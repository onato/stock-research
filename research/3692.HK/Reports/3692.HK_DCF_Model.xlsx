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<sst xmlns="http://schemas.openxmlformats.org/spreadsheetml/2006/main" count="354" uniqueCount="164">
  <si>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</si>
  <si>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3692.HK</t>
  </si>
  <si>
    <t xml:space="preserve">Company</t>
  </si>
  <si>
    <t xml:space="preserve">Hansoh Pharmaceutical Group Company Limited</t>
  </si>
  <si>
    <t xml:space="preserve">Valuation date</t>
  </si>
  <si>
    <t xml:space="preserve">2026-10-23</t>
  </si>
  <si>
    <t xml:space="preserve">Current price</t>
  </si>
  <si>
    <t xml:space="preserve">Price as of</t>
  </si>
  <si>
    <t xml:space="preserve">2026-10-22T08:08:34Z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</si>
  <si>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</si>
  <si>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</si>
  <si>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</si>
  <si>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</si>
  <si>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</si>
  <si>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</si>
  <si>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</si>
  <si>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</si>
  <si>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</si>
  <si>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</si>
  <si>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</si>
  <si>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</si>
  <si>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</si>
  <si>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2026-10-22T11:44:05Z</t>
  </si>
  <si>
    <t xml:space="preserve">Drivers file</t>
  </si>
  <si>
    <t xml:space="preserve">3692.HK_Drivers.json</t>
  </si>
  <si>
    <t xml:space="preserve">Convention</t>
  </si>
  <si>
    <t xml:space="preserve">Percents stored as percents; formulas divide by 100. Blue = input, green = link, black = formula.</t>
  </si>
  <si>
    <t xml:space="preserve">Methodology</t>
  </si>
  <si>
    <t xml:space="preserve">summary: Value the operating business on normalised owner FCF -- product sales built from the innovative-medicine franchise, licensing revenue mid-cycled rather than extrapolated from a record deal year -- and add the balance sheet once: RMB37.4bn of cash and deposits net of the RMB4.1bn convertible and the unpaid final dividend, plus the biotech investment portfolio at book. Bank interest and investment income are stripped from the flows so the cash is not counted twice. SBC is expensed and the count held flat; the convertible is debt, not shares, while it is 80% out of the money.
key_risks_to_valuation: Collaboration revenue run-rate: the base assumes RMB2.7-3.7bn/yr after FY2026; each RMB1bn/yr of sustained licensing is worth roughly RMB1.4/share (HK$1.6) at 9% and a 20% tax rate; NRDL renewal price cuts on Ameile, Hansoh Xinfu and XINYUE -- the bear case's 34% margin and 2% terminal growth is the direct expression of this; Roche US$400m upfront closing timing: slippage into FY2027 moves ~RMB2.3bn of after-tax cash by one year (~RMB0.03/share of PV), not a value change, but it would make FY2026 look like a miss; RMB/HKD: all per-share values are converted at 1.1735; a 5% RMB depreciation lowers the HKD IV ~5%; Cash pile deployment: RMB33bn net cash is 20% of the market cap; value-destructive in-licensing or M&amp;A at inflated biotech prices would impair the bridge value taken at face; Convertible conversion (HK$57.39) or a put/redemption in cash before 2033 changes the debt/shares split but is near value-neutral below the conversion price</t>
  </si>
  <si>
    <t xml:space="preserve">Data sources</t>
  </si>
  <si>
    <t xml:space="preserve">price: Yahoo Finance chart API at inputs.price_as_of; 52-week range 28.06-44.22 HKD
fx: Yahoo Finance CNYHKD=X, see inputs.fx_note
financials: 3692.HK_Metrics.csv (FY2018-FY2025 annual, H1 FY2023-H1 FY2026 interim, RMB millions); FY2025 annual report notes 5 (revenue split, other income), 10 (tax reconciliation), cash-flow statement; H1 FY2026 interim report notes 4, 8, 12, 13, 16, 18 and balance sheet
qualitative: 3692.HK_Analysis.json (2026-10-23): pipeline, licensing deals (GSK, Regeneron, Roche, Glenmark, Avere), NRDL and geopolitical risks</t>
  </si>
  <si>
    <t xml:space="preserve">Scenario narrative: bear</t>
  </si>
  <si>
    <t xml:space="preserve">NRDL negotiations cut prices 20-30% per renewal on the big three products while fourth-generation EGFR-TKIs and ADC competitors take share; product growth slows to low single digits by FY2029. Partnered programmes disappoint or are slowed by US-China biotech scrutiny, licensing falls to ~RMB1.5bn/yr, R&amp;D intensity cannot be cut without hollowing the pipeline, so EBITDA margin compresses to 34%; HNTE status lapses on some subsidiaries (22% tax) and the exit multiple is 15x.</t>
  </si>
  <si>
    <t xml:space="preserve">Scenario narrative: base</t>
  </si>
  <si>
    <t xml:space="preserve">Product sales keep compounding low-double-digit then fade to GDP-like growth as Ameile's indication expansion, XINYUE (gMG, IgG4-RD), Fulaimei and the PEGylated franchise offset NRDL renewal price cuts and generics erosion; R&amp;D stays ~22-23% of revenue. Licensing is modelled as a normalised mid-cycle stream (RMB2.7-3.7bn/yr) after the FY2026 upfront spike, i.e. a fraction of headline milestones. Pre-SBC EBITDA settles at 40-41%, cash tax drifts from 18% to 20%, and the RMB33bn cash pile plus the FVTPL stakes are added once in the bridge.</t>
  </si>
  <si>
    <t xml:space="preserve">Scenario narrative: bull</t>
  </si>
  <si>
    <t xml:space="preserve">The pivot to a global ADC/incretin licensor works: GSK's HS-20093 wins in SCLC, Regeneron takes HS-20094 to market, the Roche portfolio generates recurring milestones, and royalties turn collaboration into a compounding stream (RMB7.7bn by FY2035). Product sales grow mid-teens near term on new indications and ex-China aumolertinib, margins expand to 45% on operating leverage, and the terminal multiple is 20x.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</si>
  <si>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</si>
  <si>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</si>
  <si>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</si>
  <si>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</si>
  <si>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</si>
  <si>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</si>
  <si>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</si>
  <si>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</si>
  <si>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</si>
  <si>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</si>
  <si>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</si>
  <si>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</si>
  <si>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</si>
  <si>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</si>
  <si>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</si>
  <si>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</si>
  <si>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</si>
  <si>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</si>
  <si>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</si>
  <si>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</si>
  <si>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</si>
  <si>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</si>
  <si>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</si>
  <si>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</si>
  <si>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</si>
  <si>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</si>
  <si>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</si>
  <si>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CashGeneratedFromOperations</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</si>
  <si>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</si>
  <si>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</si>
  <si>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</si>
  <si>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</si>
  <si>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</si>
  <si>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</si>
  <si>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</si>
  <si>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</si>
  <si>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</si>
  <si>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</si>
  <si>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</si>
  <si>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</si>
  <si>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</si>
  <si>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</si>
  <si>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</si>
  <si>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</si>
  <si>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</si>
  <si>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</si>
  <si>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</si>
  <si>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</si>
  <si>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</si>
  <si>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</si>
  <si>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</si>
  <si>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</si>
  <si>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</si>
  <si>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</si>
  <si>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</si>
  <si>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</si>
  <si>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</si>
  <si>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</si>
  <si>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</si>
  <si>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</si>
  <si>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</si>
  <si>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</si>
  <si>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</si>
  <si>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</si>
  <si>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</si>
  <si>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</si>
  <si>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</si>
  <si>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</si>
  <si>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</si>
  <si>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</si>
  <si>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</si>
  <si>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</si>
  <si>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</si>
  <si>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3692.HK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</si>
  <si>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</si>
  <si>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</si>
  <si>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</si>
  <si>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</si>
  <si>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</si>
  <si>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</si>
  <si>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</si>
  <si>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</si>
  <si>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</si>
  <si>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</si>
  <si>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</si>
  <si>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</si>
  <si>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</si>
  <si>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</si>
  <si>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</si>
  <si>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</si>
  <si>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</si>
  <si>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</si>
  <si>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</si>
  <si>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</si>
  <si>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</si>
  <si>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</si>
  <si>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</si>
  <si>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</si>
  <si>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</si>
  <si>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</si>
  <si>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</si>
  <si>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</si>
  <si>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</si>
  <si>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</si>
  <si>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3692.HK owner-FCF component DCF: base case (millions, CNY)</t>
  </si>
  <si>
    <t xml:space="preserve">3692.HK owner-FCF component DCF: bull case (millions, CNY)</t>
  </si>
  <si>
    <t xml:space="preserve">3692.HK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</si>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</sst>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31.86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7722.278</v>
      </c>
      <c r="C2" s="0" t="n">
        <v>-603.1</v>
      </c>
      <c r="D2" s="0" t="n">
        <v>7119.178</v>
      </c>
      <c r="E2" s="0" t="n">
        <v>92.2</v>
      </c>
      <c r="I2" s="0" t="n">
        <v>1903.048</v>
      </c>
      <c r="J2" s="0" t="n">
        <v>24.6</v>
      </c>
      <c r="K2" s="0" t="n">
        <v>0.38</v>
      </c>
      <c r="L2" s="0" t="n">
        <v>2072.227</v>
      </c>
      <c r="M2" s="0" t="n">
        <v>382.673</v>
      </c>
      <c r="N2" s="0" t="n">
        <v>1689.554</v>
      </c>
      <c r="O2" s="0" t="n">
        <v>2467.898</v>
      </c>
      <c r="P2" s="0" t="n">
        <v>8414.371</v>
      </c>
      <c r="Q2" s="0" t="n">
        <v>5946.473</v>
      </c>
      <c r="R2" s="0" t="n">
        <v>0</v>
      </c>
      <c r="S2" s="0" t="n">
        <v>964.831</v>
      </c>
      <c r="T2" s="0" t="n">
        <v>5000</v>
      </c>
      <c r="U2" s="0" t="n">
        <v>0</v>
      </c>
      <c r="AA2" s="0" t="s">
        <v>18</v>
      </c>
      <c r="AB2" s="0" t="s">
        <v>14</v>
      </c>
    </row>
    <row r="3" customFormat="false" ht="15" hidden="false" customHeight="false" outlineLevel="0" collapsed="false">
      <c r="A3" s="0" t="s">
        <v>66</v>
      </c>
      <c r="B3" s="0" t="n">
        <v>8682.746</v>
      </c>
      <c r="C3" s="0" t="n">
        <v>-729.54</v>
      </c>
      <c r="D3" s="0" t="n">
        <v>7953.206</v>
      </c>
      <c r="E3" s="0" t="n">
        <v>91.6</v>
      </c>
      <c r="F3" s="0" t="n">
        <v>2779.706</v>
      </c>
      <c r="G3" s="0" t="n">
        <v>32</v>
      </c>
      <c r="H3" s="0" t="n">
        <v>2981.26</v>
      </c>
      <c r="I3" s="0" t="n">
        <v>2556.742</v>
      </c>
      <c r="J3" s="0" t="n">
        <v>29.4</v>
      </c>
      <c r="K3" s="0" t="n">
        <v>0.47</v>
      </c>
      <c r="L3" s="0" t="n">
        <v>3329.689</v>
      </c>
      <c r="M3" s="0" t="n">
        <v>597.29</v>
      </c>
      <c r="N3" s="0" t="n">
        <v>2732.399</v>
      </c>
      <c r="O3" s="0" t="n">
        <v>13044.322</v>
      </c>
      <c r="P3" s="0" t="n">
        <v>19575.204</v>
      </c>
      <c r="Q3" s="0" t="n">
        <v>6530.882</v>
      </c>
      <c r="R3" s="0" t="n">
        <v>0</v>
      </c>
      <c r="S3" s="0" t="n">
        <v>8238.422</v>
      </c>
      <c r="T3" s="0" t="n">
        <v>5477.489291</v>
      </c>
      <c r="U3" s="0" t="n">
        <v>0</v>
      </c>
      <c r="AA3" s="0" t="s">
        <v>18</v>
      </c>
      <c r="AB3" s="0" t="s">
        <v>14</v>
      </c>
      <c r="AC3" s="0" t="n">
        <v>3871.086</v>
      </c>
    </row>
    <row r="4" customFormat="false" ht="15" hidden="false" customHeight="false" outlineLevel="0" collapsed="false">
      <c r="A4" s="0" t="s">
        <v>67</v>
      </c>
      <c r="B4" s="0" t="n">
        <v>8690.234</v>
      </c>
      <c r="C4" s="0" t="n">
        <v>-801.561</v>
      </c>
      <c r="D4" s="0" t="n">
        <v>7888.673</v>
      </c>
      <c r="E4" s="0" t="n">
        <v>90.8</v>
      </c>
      <c r="F4" s="0" t="n">
        <v>2877.662</v>
      </c>
      <c r="G4" s="0" t="n">
        <v>33.1</v>
      </c>
      <c r="H4" s="0" t="n">
        <v>3110.936</v>
      </c>
      <c r="I4" s="0" t="n">
        <v>2568.907</v>
      </c>
      <c r="J4" s="0" t="n">
        <v>29.6</v>
      </c>
      <c r="K4" s="0" t="n">
        <v>0.44</v>
      </c>
      <c r="L4" s="0" t="n">
        <v>2390.479</v>
      </c>
      <c r="M4" s="0" t="n">
        <v>1439.25</v>
      </c>
      <c r="N4" s="0" t="n">
        <v>951.229</v>
      </c>
      <c r="O4" s="0" t="n">
        <v>17875.598</v>
      </c>
      <c r="P4" s="0" t="n">
        <v>20792.06</v>
      </c>
      <c r="Q4" s="0" t="n">
        <v>2916.462</v>
      </c>
      <c r="R4" s="0" t="n">
        <v>0</v>
      </c>
      <c r="S4" s="0" t="n">
        <v>4284.97</v>
      </c>
      <c r="T4" s="0" t="n">
        <v>5878.07873</v>
      </c>
      <c r="U4" s="0" t="n">
        <v>68.59</v>
      </c>
      <c r="AA4" s="0" t="s">
        <v>18</v>
      </c>
      <c r="AB4" s="0" t="s">
        <v>14</v>
      </c>
      <c r="AC4" s="0" t="n">
        <v>2980.581</v>
      </c>
    </row>
    <row r="5" customFormat="false" ht="15" hidden="false" customHeight="false" outlineLevel="0" collapsed="false">
      <c r="A5" s="0" t="s">
        <v>68</v>
      </c>
      <c r="B5" s="0" t="n">
        <v>9935.141</v>
      </c>
      <c r="C5" s="0" t="n">
        <v>-870.042</v>
      </c>
      <c r="D5" s="0" t="n">
        <v>9065.099</v>
      </c>
      <c r="E5" s="0" t="n">
        <v>91.2</v>
      </c>
      <c r="F5" s="0" t="n">
        <v>2959.712</v>
      </c>
      <c r="G5" s="0" t="n">
        <v>29.8</v>
      </c>
      <c r="H5" s="0" t="n">
        <v>3238.179</v>
      </c>
      <c r="I5" s="0" t="n">
        <v>2712.902</v>
      </c>
      <c r="J5" s="0" t="n">
        <v>27.3</v>
      </c>
      <c r="K5" s="0" t="n">
        <v>0.44</v>
      </c>
      <c r="L5" s="0" t="n">
        <v>2577.062</v>
      </c>
      <c r="M5" s="0" t="n">
        <v>475.441</v>
      </c>
      <c r="N5" s="0" t="n">
        <v>2101.621</v>
      </c>
      <c r="O5" s="0" t="n">
        <v>20028.845</v>
      </c>
      <c r="P5" s="0" t="n">
        <v>27160.171</v>
      </c>
      <c r="Q5" s="0" t="n">
        <v>7131.326</v>
      </c>
      <c r="R5" s="0" t="n">
        <v>3742.996</v>
      </c>
      <c r="S5" s="0" t="n">
        <v>14702.056</v>
      </c>
      <c r="T5" s="0" t="n">
        <v>5997.857724</v>
      </c>
      <c r="U5" s="0" t="n">
        <v>65.472</v>
      </c>
      <c r="AA5" s="0" t="s">
        <v>18</v>
      </c>
      <c r="AB5" s="0" t="s">
        <v>14</v>
      </c>
      <c r="AC5" s="0" t="n">
        <v>2896.501</v>
      </c>
    </row>
    <row r="6" customFormat="false" ht="15" hidden="false" customHeight="false" outlineLevel="0" collapsed="false">
      <c r="A6" s="0" t="s">
        <v>69</v>
      </c>
      <c r="B6" s="0" t="n">
        <v>9382.41</v>
      </c>
      <c r="C6" s="0" t="n">
        <v>-867.01</v>
      </c>
      <c r="D6" s="0" t="n">
        <v>8515.4</v>
      </c>
      <c r="E6" s="0" t="n">
        <v>90.8</v>
      </c>
      <c r="F6" s="0" t="n">
        <v>2557.883</v>
      </c>
      <c r="G6" s="0" t="n">
        <v>27.3</v>
      </c>
      <c r="H6" s="0" t="n">
        <v>2902.485</v>
      </c>
      <c r="I6" s="0" t="n">
        <v>2583.747</v>
      </c>
      <c r="J6" s="0" t="n">
        <v>27.5</v>
      </c>
      <c r="K6" s="0" t="n">
        <v>0.44</v>
      </c>
      <c r="L6" s="0" t="n">
        <v>2741.205</v>
      </c>
      <c r="M6" s="0" t="n">
        <v>291.823</v>
      </c>
      <c r="N6" s="0" t="n">
        <v>2449.382</v>
      </c>
      <c r="O6" s="0" t="n">
        <v>22646.944</v>
      </c>
      <c r="P6" s="0" t="n">
        <v>30001.879</v>
      </c>
      <c r="Q6" s="0" t="n">
        <v>7354.935</v>
      </c>
      <c r="R6" s="0" t="n">
        <v>4282.742</v>
      </c>
      <c r="S6" s="0" t="n">
        <v>17615.274</v>
      </c>
      <c r="T6" s="0" t="n">
        <v>5929.48331</v>
      </c>
      <c r="U6" s="0" t="n">
        <v>179.416</v>
      </c>
      <c r="AA6" s="0" t="s">
        <v>18</v>
      </c>
      <c r="AB6" s="0" t="s">
        <v>14</v>
      </c>
      <c r="AC6" s="0" t="n">
        <v>3065.238</v>
      </c>
    </row>
    <row r="7" customFormat="false" ht="15" hidden="false" customHeight="false" outlineLevel="0" collapsed="false">
      <c r="A7" s="0" t="s">
        <v>70</v>
      </c>
      <c r="B7" s="0" t="n">
        <v>10103.806</v>
      </c>
      <c r="C7" s="0" t="n">
        <v>-1030.863</v>
      </c>
      <c r="D7" s="0" t="n">
        <v>9072.943</v>
      </c>
      <c r="E7" s="0" t="n">
        <v>89.8</v>
      </c>
      <c r="F7" s="0" t="n">
        <v>2707.41</v>
      </c>
      <c r="G7" s="0" t="n">
        <v>26.8</v>
      </c>
      <c r="H7" s="0" t="n">
        <v>3073.791</v>
      </c>
      <c r="I7" s="0" t="n">
        <v>3277.503</v>
      </c>
      <c r="J7" s="0" t="n">
        <v>32.4</v>
      </c>
      <c r="K7" s="0" t="n">
        <v>0.52</v>
      </c>
      <c r="L7" s="0" t="n">
        <v>3116.468</v>
      </c>
      <c r="M7" s="0" t="n">
        <v>362.524</v>
      </c>
      <c r="N7" s="0" t="n">
        <v>2753.944</v>
      </c>
      <c r="O7" s="0" t="n">
        <v>25794.773</v>
      </c>
      <c r="P7" s="0" t="n">
        <v>33039.079</v>
      </c>
      <c r="Q7" s="0" t="n">
        <v>7244.306</v>
      </c>
      <c r="R7" s="0" t="n">
        <v>4222.94</v>
      </c>
      <c r="S7" s="0" t="n">
        <v>22434.691</v>
      </c>
      <c r="T7" s="0" t="n">
        <v>6019.650142</v>
      </c>
      <c r="U7" s="0" t="n">
        <v>171.365</v>
      </c>
      <c r="AA7" s="0" t="s">
        <v>18</v>
      </c>
      <c r="AB7" s="0" t="s">
        <v>14</v>
      </c>
      <c r="AC7" s="0" t="n">
        <v>3706.046</v>
      </c>
    </row>
    <row r="8" customFormat="false" ht="15" hidden="false" customHeight="false" outlineLevel="0" collapsed="false">
      <c r="A8" s="0" t="s">
        <v>71</v>
      </c>
      <c r="B8" s="0" t="n">
        <v>12260.814</v>
      </c>
      <c r="C8" s="0" t="n">
        <v>-1105.408</v>
      </c>
      <c r="D8" s="0" t="n">
        <v>11155.406</v>
      </c>
      <c r="E8" s="0" t="n">
        <v>91</v>
      </c>
      <c r="F8" s="0" t="n">
        <v>3958.535</v>
      </c>
      <c r="G8" s="0" t="n">
        <v>32.3</v>
      </c>
      <c r="H8" s="0" t="n">
        <v>4359.884</v>
      </c>
      <c r="I8" s="0" t="n">
        <v>4371.825</v>
      </c>
      <c r="J8" s="0" t="n">
        <v>35.7</v>
      </c>
      <c r="K8" s="0" t="n">
        <v>0.73</v>
      </c>
      <c r="L8" s="0" t="n">
        <v>3862.355</v>
      </c>
      <c r="M8" s="0" t="n">
        <v>524.935</v>
      </c>
      <c r="N8" s="0" t="n">
        <v>3337.42</v>
      </c>
      <c r="O8" s="0" t="n">
        <v>28679.914</v>
      </c>
      <c r="P8" s="0" t="n">
        <v>31657.849</v>
      </c>
      <c r="Q8" s="0" t="n">
        <v>2977.935</v>
      </c>
      <c r="R8" s="0" t="n">
        <v>40.874</v>
      </c>
      <c r="S8" s="0" t="n">
        <v>22621.566</v>
      </c>
      <c r="T8" s="0" t="n">
        <v>5949.988766</v>
      </c>
      <c r="U8" s="0" t="n">
        <v>137.725</v>
      </c>
      <c r="AA8" s="0" t="s">
        <v>18</v>
      </c>
      <c r="AB8" s="0" t="s">
        <v>14</v>
      </c>
      <c r="AC8" s="0" t="n">
        <v>4669.524</v>
      </c>
    </row>
    <row r="9" customFormat="false" ht="15" hidden="false" customHeight="false" outlineLevel="0" collapsed="false">
      <c r="A9" s="0" t="s">
        <v>72</v>
      </c>
      <c r="B9" s="0" t="n">
        <v>15028.324</v>
      </c>
      <c r="C9" s="0" t="n">
        <v>-1497.867</v>
      </c>
      <c r="D9" s="0" t="n">
        <v>13530.457</v>
      </c>
      <c r="E9" s="0" t="n">
        <v>90</v>
      </c>
      <c r="F9" s="0" t="n">
        <v>5344.824</v>
      </c>
      <c r="G9" s="0" t="n">
        <v>35.6</v>
      </c>
      <c r="H9" s="0" t="n">
        <v>5737.842</v>
      </c>
      <c r="I9" s="0" t="n">
        <v>5555.461</v>
      </c>
      <c r="J9" s="0" t="n">
        <v>37</v>
      </c>
      <c r="K9" s="0" t="n">
        <v>0.93</v>
      </c>
      <c r="L9" s="0" t="n">
        <v>6738.246</v>
      </c>
      <c r="M9" s="0" t="n">
        <v>489.461</v>
      </c>
      <c r="N9" s="0" t="n">
        <v>6248.785</v>
      </c>
      <c r="O9" s="0" t="n">
        <v>35364.451</v>
      </c>
      <c r="P9" s="0" t="n">
        <v>39900.351</v>
      </c>
      <c r="Q9" s="0" t="n">
        <v>4535.9</v>
      </c>
      <c r="R9" s="0" t="n">
        <v>40.501</v>
      </c>
      <c r="S9" s="0" t="n">
        <v>31548.668</v>
      </c>
      <c r="T9" s="0" t="n">
        <v>5980.697161</v>
      </c>
      <c r="U9" s="0" t="n">
        <v>143.268</v>
      </c>
      <c r="AA9" s="0" t="s">
        <v>18</v>
      </c>
      <c r="AB9" s="0" t="s">
        <v>14</v>
      </c>
      <c r="AC9" s="0" t="n">
        <v>7648.831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31.86</v>
      </c>
    </row>
    <row r="3" customFormat="false" ht="15" hidden="false" customHeight="false" outlineLevel="0" collapsed="false">
      <c r="A3" s="0" t="s">
        <v>76</v>
      </c>
      <c r="B3" s="3" t="n">
        <v>6079</v>
      </c>
    </row>
    <row r="4" customFormat="false" ht="15" hidden="false" customHeight="false" outlineLevel="0" collapsed="false">
      <c r="A4" s="0" t="s">
        <v>77</v>
      </c>
      <c r="B4" s="3" t="n">
        <v>-33298.1</v>
      </c>
    </row>
    <row r="5" customFormat="false" ht="15" hidden="false" customHeight="false" outlineLevel="0" collapsed="false">
      <c r="A5" s="0" t="s">
        <v>78</v>
      </c>
      <c r="B5" s="3" t="n">
        <v>273.5</v>
      </c>
    </row>
    <row r="6" customFormat="false" ht="15" hidden="false" customHeight="false" outlineLevel="0" collapsed="false">
      <c r="A6" s="0" t="s">
        <v>79</v>
      </c>
      <c r="B6" s="3" t="n">
        <v>15</v>
      </c>
    </row>
    <row r="7" customFormat="false" ht="15" hidden="false" customHeight="false" outlineLevel="0" collapsed="false">
      <c r="A7" s="0" t="s">
        <v>80</v>
      </c>
      <c r="B7" s="3" t="n">
        <v>15028.3</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1.1735</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19.4</v>
      </c>
      <c r="D13" s="3" t="n">
        <v>-6.5</v>
      </c>
      <c r="E13" s="3" t="n">
        <v>1.4</v>
      </c>
      <c r="F13" s="3" t="n">
        <v>3.8</v>
      </c>
      <c r="G13" s="3" t="n">
        <v>2.9</v>
      </c>
      <c r="H13" s="3" t="n">
        <v>2.9</v>
      </c>
      <c r="I13" s="3" t="n">
        <v>2</v>
      </c>
      <c r="J13" s="3" t="n">
        <v>2</v>
      </c>
      <c r="K13" s="3" t="n">
        <v>2</v>
      </c>
      <c r="L13" s="3" t="n">
        <v>2</v>
      </c>
    </row>
    <row r="14" customFormat="false" ht="15" hidden="false" customHeight="false" outlineLevel="0" collapsed="false">
      <c r="A14" s="0" t="s">
        <v>97</v>
      </c>
      <c r="C14" s="3" t="n">
        <v>44</v>
      </c>
      <c r="D14" s="3" t="n">
        <v>38</v>
      </c>
      <c r="E14" s="3" t="n">
        <v>35</v>
      </c>
      <c r="F14" s="3" t="n">
        <v>34</v>
      </c>
      <c r="G14" s="3" t="n">
        <v>34</v>
      </c>
      <c r="H14" s="3" t="n">
        <v>34</v>
      </c>
      <c r="I14" s="3" t="n">
        <v>34</v>
      </c>
      <c r="J14" s="3" t="n">
        <v>34</v>
      </c>
      <c r="K14" s="3" t="n">
        <v>34</v>
      </c>
      <c r="L14" s="3" t="n">
        <v>34</v>
      </c>
    </row>
    <row r="15" customFormat="false" ht="15" hidden="false" customHeight="false" outlineLevel="0" collapsed="false">
      <c r="A15" s="0" t="s">
        <v>98</v>
      </c>
      <c r="C15" s="3" t="n">
        <v>0.8</v>
      </c>
      <c r="D15" s="3" t="n">
        <v>0.8</v>
      </c>
      <c r="E15" s="3" t="n">
        <v>0.8</v>
      </c>
      <c r="F15" s="3" t="n">
        <v>0.8</v>
      </c>
      <c r="G15" s="3" t="n">
        <v>0.8</v>
      </c>
      <c r="H15" s="3" t="n">
        <v>0.8</v>
      </c>
      <c r="I15" s="3" t="n">
        <v>0.8</v>
      </c>
      <c r="J15" s="3" t="n">
        <v>0.8</v>
      </c>
      <c r="K15" s="3" t="n">
        <v>0.8</v>
      </c>
      <c r="L15" s="3" t="n">
        <v>0.8</v>
      </c>
    </row>
    <row r="16" customFormat="false" ht="15" hidden="false" customHeight="false" outlineLevel="0" collapsed="false">
      <c r="A16" s="0" t="s">
        <v>99</v>
      </c>
      <c r="C16" s="3" t="n">
        <v>0.17</v>
      </c>
      <c r="D16" s="3" t="n">
        <v>0.17</v>
      </c>
      <c r="E16" s="3" t="n">
        <v>0.17</v>
      </c>
      <c r="F16" s="3" t="n">
        <v>0.17</v>
      </c>
      <c r="G16" s="3" t="n">
        <v>0.17</v>
      </c>
      <c r="H16" s="3" t="n">
        <v>0.17</v>
      </c>
      <c r="I16" s="3" t="n">
        <v>0.17</v>
      </c>
      <c r="J16" s="3" t="n">
        <v>0.17</v>
      </c>
      <c r="K16" s="3" t="n">
        <v>0.17</v>
      </c>
      <c r="L16" s="3" t="n">
        <v>0.17</v>
      </c>
    </row>
    <row r="17" customFormat="false" ht="15" hidden="false" customHeight="false" outlineLevel="0" collapsed="false">
      <c r="A17" s="0" t="s">
        <v>100</v>
      </c>
      <c r="C17" s="3" t="n">
        <v>2.4</v>
      </c>
      <c r="D17" s="3" t="n">
        <v>2.5</v>
      </c>
      <c r="E17" s="3" t="n">
        <v>2.5</v>
      </c>
      <c r="F17" s="3" t="n">
        <v>2.5</v>
      </c>
      <c r="G17" s="3" t="n">
        <v>2.5</v>
      </c>
      <c r="H17" s="3" t="n">
        <v>2.5</v>
      </c>
      <c r="I17" s="3" t="n">
        <v>2.5</v>
      </c>
      <c r="J17" s="3" t="n">
        <v>2.5</v>
      </c>
      <c r="K17" s="3" t="n">
        <v>2.5</v>
      </c>
      <c r="L17" s="3" t="n">
        <v>2.5</v>
      </c>
    </row>
    <row r="18" customFormat="false" ht="15" hidden="false" customHeight="false" outlineLevel="0" collapsed="false">
      <c r="A18" s="0" t="s">
        <v>101</v>
      </c>
      <c r="C18" s="3" t="n">
        <v>3</v>
      </c>
      <c r="D18" s="3" t="n">
        <v>3</v>
      </c>
      <c r="E18" s="3" t="n">
        <v>3</v>
      </c>
      <c r="F18" s="3" t="n">
        <v>3</v>
      </c>
      <c r="G18" s="3" t="n">
        <v>2.8</v>
      </c>
      <c r="H18" s="3" t="n">
        <v>2.8</v>
      </c>
      <c r="I18" s="3" t="n">
        <v>2.8</v>
      </c>
      <c r="J18" s="3" t="n">
        <v>2.8</v>
      </c>
      <c r="K18" s="3" t="n">
        <v>2.8</v>
      </c>
      <c r="L18" s="3" t="n">
        <v>2.8</v>
      </c>
    </row>
    <row r="19" customFormat="false" ht="15" hidden="false" customHeight="false" outlineLevel="0" collapsed="false">
      <c r="A19" s="0" t="s">
        <v>102</v>
      </c>
      <c r="C19" s="3" t="n">
        <v>18</v>
      </c>
      <c r="D19" s="3" t="n">
        <v>19</v>
      </c>
      <c r="E19" s="3" t="n">
        <v>20</v>
      </c>
      <c r="F19" s="3" t="n">
        <v>21</v>
      </c>
      <c r="G19" s="3" t="n">
        <v>22</v>
      </c>
      <c r="H19" s="3" t="n">
        <v>22</v>
      </c>
      <c r="I19" s="3" t="n">
        <v>22</v>
      </c>
      <c r="J19" s="3" t="n">
        <v>22</v>
      </c>
      <c r="K19" s="3" t="n">
        <v>22</v>
      </c>
      <c r="L19" s="3" t="n">
        <v>22</v>
      </c>
    </row>
    <row r="20" customFormat="false" ht="15" hidden="false" customHeight="false" outlineLevel="0" collapsed="false">
      <c r="A20" s="0" t="s">
        <v>103</v>
      </c>
      <c r="B20" s="3" t="n">
        <v>9</v>
      </c>
    </row>
    <row r="21" customFormat="false" ht="15" hidden="false" customHeight="false" outlineLevel="0" collapsed="false">
      <c r="A21" s="0" t="s">
        <v>104</v>
      </c>
      <c r="B21" s="3" t="n">
        <v>2</v>
      </c>
    </row>
    <row r="22" customFormat="false" ht="15" hidden="false" customHeight="false" outlineLevel="0" collapsed="false">
      <c r="A22" s="0" t="s">
        <v>105</v>
      </c>
      <c r="B22" s="3" t="n">
        <v>15</v>
      </c>
    </row>
    <row r="23" customFormat="false" ht="15" hidden="false" customHeight="false" outlineLevel="0" collapsed="false">
      <c r="A23" s="0" t="s">
        <v>106</v>
      </c>
      <c r="B23" s="3" t="n">
        <v>-8</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29</v>
      </c>
      <c r="D27" s="3" t="n">
        <v>0</v>
      </c>
      <c r="E27" s="3" t="n">
        <v>5.8</v>
      </c>
      <c r="F27" s="3" t="n">
        <v>8.5</v>
      </c>
      <c r="G27" s="3" t="n">
        <v>7.7</v>
      </c>
      <c r="H27" s="3" t="n">
        <v>6.8</v>
      </c>
      <c r="I27" s="3" t="n">
        <v>5.9</v>
      </c>
      <c r="J27" s="3" t="n">
        <v>4.9</v>
      </c>
      <c r="K27" s="3" t="n">
        <v>4</v>
      </c>
      <c r="L27" s="3" t="n">
        <v>3.4</v>
      </c>
    </row>
    <row r="28" customFormat="false" ht="15" hidden="false" customHeight="false" outlineLevel="0" collapsed="false">
      <c r="A28" s="0" t="s">
        <v>97</v>
      </c>
      <c r="C28" s="3" t="n">
        <v>47</v>
      </c>
      <c r="D28" s="3" t="n">
        <v>42</v>
      </c>
      <c r="E28" s="3" t="n">
        <v>40</v>
      </c>
      <c r="F28" s="3" t="n">
        <v>40</v>
      </c>
      <c r="G28" s="3" t="n">
        <v>40</v>
      </c>
      <c r="H28" s="3" t="n">
        <v>40.5</v>
      </c>
      <c r="I28" s="3" t="n">
        <v>40.5</v>
      </c>
      <c r="J28" s="3" t="n">
        <v>41</v>
      </c>
      <c r="K28" s="3" t="n">
        <v>41</v>
      </c>
      <c r="L28" s="3" t="n">
        <v>41</v>
      </c>
    </row>
    <row r="29" customFormat="false" ht="15" hidden="false" customHeight="false" outlineLevel="0" collapsed="false">
      <c r="A29" s="0" t="s">
        <v>98</v>
      </c>
      <c r="C29" s="3" t="n">
        <v>0.8</v>
      </c>
      <c r="D29" s="3" t="n">
        <v>0.8</v>
      </c>
      <c r="E29" s="3" t="n">
        <v>0.75</v>
      </c>
      <c r="F29" s="3" t="n">
        <v>0.75</v>
      </c>
      <c r="G29" s="3" t="n">
        <v>0.7</v>
      </c>
      <c r="H29" s="3" t="n">
        <v>0.7</v>
      </c>
      <c r="I29" s="3" t="n">
        <v>0.65</v>
      </c>
      <c r="J29" s="3" t="n">
        <v>0.65</v>
      </c>
      <c r="K29" s="3" t="n">
        <v>0.6</v>
      </c>
      <c r="L29" s="3" t="n">
        <v>0.6</v>
      </c>
    </row>
    <row r="30" customFormat="false" ht="15" hidden="false" customHeight="false" outlineLevel="0" collapsed="false">
      <c r="A30" s="0" t="s">
        <v>99</v>
      </c>
      <c r="C30" s="3" t="n">
        <v>0.17</v>
      </c>
      <c r="D30" s="3" t="n">
        <v>0.17</v>
      </c>
      <c r="E30" s="3" t="n">
        <v>0.17</v>
      </c>
      <c r="F30" s="3" t="n">
        <v>0.17</v>
      </c>
      <c r="G30" s="3" t="n">
        <v>0.17</v>
      </c>
      <c r="H30" s="3" t="n">
        <v>0.17</v>
      </c>
      <c r="I30" s="3" t="n">
        <v>0.17</v>
      </c>
      <c r="J30" s="3" t="n">
        <v>0.17</v>
      </c>
      <c r="K30" s="3" t="n">
        <v>0.17</v>
      </c>
      <c r="L30" s="3" t="n">
        <v>0.17</v>
      </c>
    </row>
    <row r="31" customFormat="false" ht="15" hidden="false" customHeight="false" outlineLevel="0" collapsed="false">
      <c r="A31" s="0" t="s">
        <v>100</v>
      </c>
      <c r="C31" s="3" t="n">
        <v>2.4</v>
      </c>
      <c r="D31" s="3" t="n">
        <v>2.4</v>
      </c>
      <c r="E31" s="3" t="n">
        <v>2.4</v>
      </c>
      <c r="F31" s="3" t="n">
        <v>2.4</v>
      </c>
      <c r="G31" s="3" t="n">
        <v>2.4</v>
      </c>
      <c r="H31" s="3" t="n">
        <v>2.3</v>
      </c>
      <c r="I31" s="3" t="n">
        <v>2.3</v>
      </c>
      <c r="J31" s="3" t="n">
        <v>2.3</v>
      </c>
      <c r="K31" s="3" t="n">
        <v>2.3</v>
      </c>
      <c r="L31" s="3" t="n">
        <v>2.3</v>
      </c>
    </row>
    <row r="32" customFormat="false" ht="15" hidden="false" customHeight="false" outlineLevel="0" collapsed="false">
      <c r="A32" s="0" t="s">
        <v>101</v>
      </c>
      <c r="C32" s="3" t="n">
        <v>3</v>
      </c>
      <c r="D32" s="3" t="n">
        <v>3</v>
      </c>
      <c r="E32" s="3" t="n">
        <v>3</v>
      </c>
      <c r="F32" s="3" t="n">
        <v>2.8</v>
      </c>
      <c r="G32" s="3" t="n">
        <v>2.8</v>
      </c>
      <c r="H32" s="3" t="n">
        <v>2.6</v>
      </c>
      <c r="I32" s="3" t="n">
        <v>2.6</v>
      </c>
      <c r="J32" s="3" t="n">
        <v>2.5</v>
      </c>
      <c r="K32" s="3" t="n">
        <v>2.5</v>
      </c>
      <c r="L32" s="3" t="n">
        <v>2.5</v>
      </c>
    </row>
    <row r="33" customFormat="false" ht="15" hidden="false" customHeight="false" outlineLevel="0" collapsed="false">
      <c r="A33" s="0" t="s">
        <v>102</v>
      </c>
      <c r="C33" s="3" t="n">
        <v>18</v>
      </c>
      <c r="D33" s="3" t="n">
        <v>18</v>
      </c>
      <c r="E33" s="3" t="n">
        <v>19</v>
      </c>
      <c r="F33" s="3" t="n">
        <v>19</v>
      </c>
      <c r="G33" s="3" t="n">
        <v>20</v>
      </c>
      <c r="H33" s="3" t="n">
        <v>20</v>
      </c>
      <c r="I33" s="3" t="n">
        <v>20</v>
      </c>
      <c r="J33" s="3" t="n">
        <v>20</v>
      </c>
      <c r="K33" s="3" t="n">
        <v>20</v>
      </c>
      <c r="L33" s="3" t="n">
        <v>20</v>
      </c>
    </row>
    <row r="34" customFormat="false" ht="15" hidden="false" customHeight="false" outlineLevel="0" collapsed="false">
      <c r="A34" s="0" t="s">
        <v>103</v>
      </c>
      <c r="B34" s="3" t="n">
        <v>9</v>
      </c>
    </row>
    <row r="35" customFormat="false" ht="15" hidden="false" customHeight="false" outlineLevel="0" collapsed="false">
      <c r="A35" s="0" t="s">
        <v>104</v>
      </c>
      <c r="B35" s="3" t="n">
        <v>2.5</v>
      </c>
    </row>
    <row r="36" customFormat="false" ht="15" hidden="false" customHeight="false" outlineLevel="0" collapsed="false">
      <c r="A36" s="0" t="s">
        <v>105</v>
      </c>
      <c r="B36" s="3" t="n">
        <v>18</v>
      </c>
    </row>
    <row r="37" customFormat="false" ht="15" hidden="false" customHeight="false" outlineLevel="0" collapsed="false">
      <c r="A37" s="0" t="s">
        <v>106</v>
      </c>
      <c r="B37" s="3" t="n">
        <v>-5</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36.3</v>
      </c>
      <c r="D41" s="3" t="n">
        <v>2.9</v>
      </c>
      <c r="E41" s="3" t="n">
        <v>7.4</v>
      </c>
      <c r="F41" s="3" t="n">
        <v>11.2</v>
      </c>
      <c r="G41" s="3" t="n">
        <v>10.3</v>
      </c>
      <c r="H41" s="3" t="n">
        <v>9.5</v>
      </c>
      <c r="I41" s="3" t="n">
        <v>8.7</v>
      </c>
      <c r="J41" s="3" t="n">
        <v>7.8</v>
      </c>
      <c r="K41" s="3" t="n">
        <v>7</v>
      </c>
      <c r="L41" s="3" t="n">
        <v>6.3</v>
      </c>
    </row>
    <row r="42" customFormat="false" ht="15" hidden="false" customHeight="false" outlineLevel="0" collapsed="false">
      <c r="A42" s="0" t="s">
        <v>97</v>
      </c>
      <c r="C42" s="3" t="n">
        <v>48</v>
      </c>
      <c r="D42" s="3" t="n">
        <v>43</v>
      </c>
      <c r="E42" s="3" t="n">
        <v>42</v>
      </c>
      <c r="F42" s="3" t="n">
        <v>42</v>
      </c>
      <c r="G42" s="3" t="n">
        <v>42.5</v>
      </c>
      <c r="H42" s="3" t="n">
        <v>43</v>
      </c>
      <c r="I42" s="3" t="n">
        <v>43.5</v>
      </c>
      <c r="J42" s="3" t="n">
        <v>44</v>
      </c>
      <c r="K42" s="3" t="n">
        <v>44.5</v>
      </c>
      <c r="L42" s="3" t="n">
        <v>45</v>
      </c>
    </row>
    <row r="43" customFormat="false" ht="15" hidden="false" customHeight="false" outlineLevel="0" collapsed="false">
      <c r="A43" s="0" t="s">
        <v>98</v>
      </c>
      <c r="C43" s="3" t="n">
        <v>0.8</v>
      </c>
      <c r="D43" s="3" t="n">
        <v>0.8</v>
      </c>
      <c r="E43" s="3" t="n">
        <v>0.75</v>
      </c>
      <c r="F43" s="3" t="n">
        <v>0.75</v>
      </c>
      <c r="G43" s="3" t="n">
        <v>0.7</v>
      </c>
      <c r="H43" s="3" t="n">
        <v>0.7</v>
      </c>
      <c r="I43" s="3" t="n">
        <v>0.65</v>
      </c>
      <c r="J43" s="3" t="n">
        <v>0.65</v>
      </c>
      <c r="K43" s="3" t="n">
        <v>0.6</v>
      </c>
      <c r="L43" s="3" t="n">
        <v>0.6</v>
      </c>
    </row>
    <row r="44" customFormat="false" ht="15" hidden="false" customHeight="false" outlineLevel="0" collapsed="false">
      <c r="A44" s="0" t="s">
        <v>99</v>
      </c>
      <c r="C44" s="3" t="n">
        <v>0.17</v>
      </c>
      <c r="D44" s="3" t="n">
        <v>0.17</v>
      </c>
      <c r="E44" s="3" t="n">
        <v>0.17</v>
      </c>
      <c r="F44" s="3" t="n">
        <v>0.17</v>
      </c>
      <c r="G44" s="3" t="n">
        <v>0.17</v>
      </c>
      <c r="H44" s="3" t="n">
        <v>0.17</v>
      </c>
      <c r="I44" s="3" t="n">
        <v>0.17</v>
      </c>
      <c r="J44" s="3" t="n">
        <v>0.17</v>
      </c>
      <c r="K44" s="3" t="n">
        <v>0.17</v>
      </c>
      <c r="L44" s="3" t="n">
        <v>0.17</v>
      </c>
    </row>
    <row r="45" customFormat="false" ht="15" hidden="false" customHeight="false" outlineLevel="0" collapsed="false">
      <c r="A45" s="0" t="s">
        <v>100</v>
      </c>
      <c r="C45" s="3" t="n">
        <v>2.4</v>
      </c>
      <c r="D45" s="3" t="n">
        <v>2.4</v>
      </c>
      <c r="E45" s="3" t="n">
        <v>2.3</v>
      </c>
      <c r="F45" s="3" t="n">
        <v>2.3</v>
      </c>
      <c r="G45" s="3" t="n">
        <v>2.3</v>
      </c>
      <c r="H45" s="3" t="n">
        <v>2.2</v>
      </c>
      <c r="I45" s="3" t="n">
        <v>2.2</v>
      </c>
      <c r="J45" s="3" t="n">
        <v>2.2</v>
      </c>
      <c r="K45" s="3" t="n">
        <v>2.2</v>
      </c>
      <c r="L45" s="3" t="n">
        <v>2.2</v>
      </c>
    </row>
    <row r="46" customFormat="false" ht="15" hidden="false" customHeight="false" outlineLevel="0" collapsed="false">
      <c r="A46" s="0" t="s">
        <v>101</v>
      </c>
      <c r="C46" s="3" t="n">
        <v>3</v>
      </c>
      <c r="D46" s="3" t="n">
        <v>3</v>
      </c>
      <c r="E46" s="3" t="n">
        <v>2.8</v>
      </c>
      <c r="F46" s="3" t="n">
        <v>2.8</v>
      </c>
      <c r="G46" s="3" t="n">
        <v>2.6</v>
      </c>
      <c r="H46" s="3" t="n">
        <v>2.6</v>
      </c>
      <c r="I46" s="3" t="n">
        <v>2.5</v>
      </c>
      <c r="J46" s="3" t="n">
        <v>2.5</v>
      </c>
      <c r="K46" s="3" t="n">
        <v>2.4</v>
      </c>
      <c r="L46" s="3" t="n">
        <v>2.4</v>
      </c>
    </row>
    <row r="47" customFormat="false" ht="15" hidden="false" customHeight="false" outlineLevel="0" collapsed="false">
      <c r="A47" s="0" t="s">
        <v>102</v>
      </c>
      <c r="C47" s="3" t="n">
        <v>17</v>
      </c>
      <c r="D47" s="3" t="n">
        <v>17</v>
      </c>
      <c r="E47" s="3" t="n">
        <v>18</v>
      </c>
      <c r="F47" s="3" t="n">
        <v>18</v>
      </c>
      <c r="G47" s="3" t="n">
        <v>18</v>
      </c>
      <c r="H47" s="3" t="n">
        <v>18</v>
      </c>
      <c r="I47" s="3" t="n">
        <v>18</v>
      </c>
      <c r="J47" s="3" t="n">
        <v>18</v>
      </c>
      <c r="K47" s="3" t="n">
        <v>18</v>
      </c>
      <c r="L47" s="3" t="n">
        <v>18</v>
      </c>
    </row>
    <row r="48" customFormat="false" ht="15" hidden="false" customHeight="false" outlineLevel="0" collapsed="false">
      <c r="A48" s="0" t="s">
        <v>103</v>
      </c>
      <c r="B48" s="3" t="n">
        <v>9</v>
      </c>
    </row>
    <row r="49" customFormat="false" ht="15" hidden="false" customHeight="false" outlineLevel="0" collapsed="false">
      <c r="A49" s="0" t="s">
        <v>104</v>
      </c>
      <c r="B49" s="3" t="n">
        <v>3</v>
      </c>
    </row>
    <row r="50" customFormat="false" ht="15" hidden="false" customHeight="false" outlineLevel="0" collapsed="false">
      <c r="A50" s="0" t="s">
        <v>105</v>
      </c>
      <c r="B50" s="3" t="n">
        <v>20</v>
      </c>
    </row>
    <row r="51" customFormat="false" ht="15" hidden="false" customHeight="false" outlineLevel="0" collapsed="false">
      <c r="A51" s="0" t="s">
        <v>106</v>
      </c>
      <c r="B51" s="3" t="n">
        <v>-3</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19.4</v>
      </c>
      <c r="D5" s="4" t="n">
        <f aca="false">Assumptions!D13</f>
        <v>-6.5</v>
      </c>
      <c r="E5" s="4" t="n">
        <f aca="false">Assumptions!E13</f>
        <v>1.4</v>
      </c>
      <c r="F5" s="4" t="n">
        <f aca="false">Assumptions!F13</f>
        <v>3.8</v>
      </c>
      <c r="G5" s="4" t="n">
        <f aca="false">Assumptions!G13</f>
        <v>2.9</v>
      </c>
      <c r="H5" s="4" t="n">
        <f aca="false">Assumptions!H13</f>
        <v>2.9</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15028.3</v>
      </c>
      <c r="C6" s="0" t="n">
        <f aca="false">B6*(1+C5/100)</f>
        <v>17943.7902</v>
      </c>
      <c r="D6" s="0" t="n">
        <f aca="false">C6*(1+D5/100)</f>
        <v>16777.443837</v>
      </c>
      <c r="E6" s="0" t="n">
        <f aca="false">D6*(1+E5/100)</f>
        <v>17012.328050718</v>
      </c>
      <c r="F6" s="0" t="n">
        <f aca="false">E6*(1+F5/100)</f>
        <v>17658.7965166453</v>
      </c>
      <c r="G6" s="0" t="n">
        <f aca="false">F6*(1+G5/100)</f>
        <v>18170.901615628</v>
      </c>
      <c r="H6" s="0" t="n">
        <f aca="false">G6*(1+H5/100)</f>
        <v>18697.8577624812</v>
      </c>
      <c r="I6" s="0" t="n">
        <f aca="false">H6*(1+I5/100)</f>
        <v>19071.8149177308</v>
      </c>
      <c r="J6" s="0" t="n">
        <f aca="false">I6*(1+J5/100)</f>
        <v>19453.2512160855</v>
      </c>
      <c r="K6" s="0" t="n">
        <f aca="false">J6*(1+K5/100)</f>
        <v>19842.3162404072</v>
      </c>
      <c r="L6" s="0" t="n">
        <f aca="false">K6*(1+L5/100)</f>
        <v>20239.1625652153</v>
      </c>
    </row>
    <row r="7" customFormat="false" ht="15" hidden="false" customHeight="false" outlineLevel="0" collapsed="false">
      <c r="A7" s="0" t="s">
        <v>97</v>
      </c>
      <c r="C7" s="4" t="n">
        <f aca="false">Assumptions!C14</f>
        <v>44</v>
      </c>
      <c r="D7" s="4" t="n">
        <f aca="false">Assumptions!D14</f>
        <v>38</v>
      </c>
      <c r="E7" s="4" t="n">
        <f aca="false">Assumptions!E14</f>
        <v>35</v>
      </c>
      <c r="F7" s="4" t="n">
        <f aca="false">Assumptions!F14</f>
        <v>34</v>
      </c>
      <c r="G7" s="4" t="n">
        <f aca="false">Assumptions!G14</f>
        <v>34</v>
      </c>
      <c r="H7" s="4" t="n">
        <f aca="false">Assumptions!H14</f>
        <v>34</v>
      </c>
      <c r="I7" s="4" t="n">
        <f aca="false">Assumptions!I14</f>
        <v>34</v>
      </c>
      <c r="J7" s="4" t="n">
        <f aca="false">Assumptions!J14</f>
        <v>34</v>
      </c>
      <c r="K7" s="4" t="n">
        <f aca="false">Assumptions!K14</f>
        <v>34</v>
      </c>
      <c r="L7" s="4" t="n">
        <f aca="false">Assumptions!L14</f>
        <v>34</v>
      </c>
    </row>
    <row r="8" customFormat="false" ht="15" hidden="false" customHeight="false" outlineLevel="0" collapsed="false">
      <c r="A8" s="0" t="s">
        <v>44</v>
      </c>
      <c r="C8" s="0" t="n">
        <f aca="false">C6*C7/100</f>
        <v>7895.267688</v>
      </c>
      <c r="D8" s="0" t="n">
        <f aca="false">D6*D7/100</f>
        <v>6375.42865806</v>
      </c>
      <c r="E8" s="0" t="n">
        <f aca="false">E6*E7/100</f>
        <v>5954.3148177513</v>
      </c>
      <c r="F8" s="0" t="n">
        <f aca="false">F6*F7/100</f>
        <v>6003.9908156594</v>
      </c>
      <c r="G8" s="0" t="n">
        <f aca="false">G6*G7/100</f>
        <v>6178.10654931352</v>
      </c>
      <c r="H8" s="0" t="n">
        <f aca="false">H6*H7/100</f>
        <v>6357.27163924361</v>
      </c>
      <c r="I8" s="0" t="n">
        <f aca="false">I6*I7/100</f>
        <v>6484.41707202848</v>
      </c>
      <c r="J8" s="0" t="n">
        <f aca="false">J6*J7/100</f>
        <v>6614.10541346905</v>
      </c>
      <c r="K8" s="0" t="n">
        <f aca="false">K6*K7/100</f>
        <v>6746.38752173844</v>
      </c>
      <c r="L8" s="0" t="n">
        <f aca="false">L6*L7/100</f>
        <v>6881.3152721732</v>
      </c>
    </row>
    <row r="9" customFormat="false" ht="15" hidden="false" customHeight="false" outlineLevel="0" collapsed="false">
      <c r="A9" s="0" t="s">
        <v>98</v>
      </c>
      <c r="C9" s="4" t="n">
        <f aca="false">Assumptions!C15</f>
        <v>0.8</v>
      </c>
      <c r="D9" s="4" t="n">
        <f aca="false">Assumptions!D15</f>
        <v>0.8</v>
      </c>
      <c r="E9" s="4" t="n">
        <f aca="false">Assumptions!E15</f>
        <v>0.8</v>
      </c>
      <c r="F9" s="4" t="n">
        <f aca="false">Assumptions!F15</f>
        <v>0.8</v>
      </c>
      <c r="G9" s="4" t="n">
        <f aca="false">Assumptions!G15</f>
        <v>0.8</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113</v>
      </c>
      <c r="C10" s="0" t="n">
        <f aca="false">-C6*C9/100</f>
        <v>-143.5503216</v>
      </c>
      <c r="D10" s="0" t="n">
        <f aca="false">-D6*D9/100</f>
        <v>-134.219550696</v>
      </c>
      <c r="E10" s="0" t="n">
        <f aca="false">-E6*E9/100</f>
        <v>-136.098624405744</v>
      </c>
      <c r="F10" s="0" t="n">
        <f aca="false">-F6*F9/100</f>
        <v>-141.270372133162</v>
      </c>
      <c r="G10" s="0" t="n">
        <f aca="false">-G6*G9/100</f>
        <v>-145.367212925024</v>
      </c>
      <c r="H10" s="0" t="n">
        <f aca="false">-H6*H9/100</f>
        <v>-149.58286209985</v>
      </c>
      <c r="I10" s="0" t="n">
        <f aca="false">-I6*I9/100</f>
        <v>-152.574519341847</v>
      </c>
      <c r="J10" s="0" t="n">
        <f aca="false">-J6*J9/100</f>
        <v>-155.626009728684</v>
      </c>
      <c r="K10" s="0" t="n">
        <f aca="false">-K6*K9/100</f>
        <v>-158.738529923257</v>
      </c>
      <c r="L10" s="0" t="n">
        <f aca="false">-L6*L9/100</f>
        <v>-161.913300521722</v>
      </c>
    </row>
    <row r="11" customFormat="false" ht="15" hidden="false" customHeight="false" outlineLevel="0" collapsed="false">
      <c r="A11" s="0" t="s">
        <v>114</v>
      </c>
      <c r="C11" s="0" t="n">
        <f aca="false">C8+C10+C24</f>
        <v>7721.21292306</v>
      </c>
      <c r="D11" s="0" t="n">
        <f aca="false">D8+D10+D24</f>
        <v>6212.6874528411</v>
      </c>
      <c r="E11" s="0" t="n">
        <f aca="false">E8+E10+E24</f>
        <v>5789.29523565934</v>
      </c>
      <c r="F11" s="0" t="n">
        <f aca="false">F8+F10+F24</f>
        <v>5832.70048944794</v>
      </c>
      <c r="G11" s="0" t="n">
        <f aca="false">G8+G10+G24</f>
        <v>6001.84880364193</v>
      </c>
      <c r="H11" s="0" t="n">
        <f aca="false">H8+H10+H24</f>
        <v>6175.90241894754</v>
      </c>
      <c r="I11" s="0" t="n">
        <f aca="false">I8+I10+I24</f>
        <v>6299.42046732649</v>
      </c>
      <c r="J11" s="0" t="n">
        <f aca="false">J8+J10+J24</f>
        <v>6425.40887667302</v>
      </c>
      <c r="K11" s="0" t="n">
        <f aca="false">K8+K10+K24</f>
        <v>6553.91705420649</v>
      </c>
      <c r="L11" s="0" t="n">
        <f aca="false">L8+L10+L24</f>
        <v>6684.99539529061</v>
      </c>
    </row>
    <row r="12" customFormat="false" ht="15" hidden="false" customHeight="false" outlineLevel="0" collapsed="false">
      <c r="A12" s="0" t="s">
        <v>115</v>
      </c>
      <c r="C12" s="4" t="n">
        <f aca="false">-C6*Assumptions!C17/100</f>
        <v>-430.6509648</v>
      </c>
      <c r="D12" s="4" t="n">
        <f aca="false">-D6*Assumptions!D17/100</f>
        <v>-419.436095925</v>
      </c>
      <c r="E12" s="4" t="n">
        <f aca="false">-E6*Assumptions!E17/100</f>
        <v>-425.30820126795</v>
      </c>
      <c r="F12" s="4" t="n">
        <f aca="false">-F6*Assumptions!F17/100</f>
        <v>-441.469912916132</v>
      </c>
      <c r="G12" s="4" t="n">
        <f aca="false">-G6*Assumptions!G17/100</f>
        <v>-454.2725403907</v>
      </c>
      <c r="H12" s="4" t="n">
        <f aca="false">-H6*Assumptions!H17/100</f>
        <v>-467.44644406203</v>
      </c>
      <c r="I12" s="4" t="n">
        <f aca="false">-I6*Assumptions!I17/100</f>
        <v>-476.795372943271</v>
      </c>
      <c r="J12" s="4" t="n">
        <f aca="false">-J6*Assumptions!J17/100</f>
        <v>-486.331280402136</v>
      </c>
      <c r="K12" s="4" t="n">
        <f aca="false">-K6*Assumptions!K17/100</f>
        <v>-496.057906010179</v>
      </c>
      <c r="L12" s="4" t="n">
        <f aca="false">-L6*Assumptions!L17/100</f>
        <v>-505.979064130383</v>
      </c>
    </row>
    <row r="13" customFormat="false" ht="15" hidden="false" customHeight="false" outlineLevel="0" collapsed="false">
      <c r="A13" s="0" t="s">
        <v>116</v>
      </c>
      <c r="C13" s="0" t="n">
        <f aca="false">C11+C12</f>
        <v>7290.56195826</v>
      </c>
      <c r="D13" s="0" t="n">
        <f aca="false">D11+D12</f>
        <v>5793.2513569161</v>
      </c>
      <c r="E13" s="0" t="n">
        <f aca="false">E11+E12</f>
        <v>5363.98703439139</v>
      </c>
      <c r="F13" s="0" t="n">
        <f aca="false">F11+F12</f>
        <v>5391.23057653181</v>
      </c>
      <c r="G13" s="0" t="n">
        <f aca="false">G11+G12</f>
        <v>5547.57626325123</v>
      </c>
      <c r="H13" s="0" t="n">
        <f aca="false">H11+H12</f>
        <v>5708.45597488551</v>
      </c>
      <c r="I13" s="0" t="n">
        <f aca="false">I11+I12</f>
        <v>5822.62509438322</v>
      </c>
      <c r="J13" s="0" t="n">
        <f aca="false">J11+J12</f>
        <v>5939.07759627089</v>
      </c>
      <c r="K13" s="0" t="n">
        <f aca="false">K11+K12</f>
        <v>6057.85914819631</v>
      </c>
      <c r="L13" s="0" t="n">
        <f aca="false">L11+L12</f>
        <v>6179.01633116023</v>
      </c>
    </row>
    <row r="14" customFormat="false" ht="15" hidden="false" customHeight="false" outlineLevel="0" collapsed="false">
      <c r="A14" s="0" t="s">
        <v>102</v>
      </c>
      <c r="C14" s="4" t="n">
        <f aca="false">Assumptions!C19</f>
        <v>18</v>
      </c>
      <c r="D14" s="4" t="n">
        <f aca="false">Assumptions!D19</f>
        <v>19</v>
      </c>
      <c r="E14" s="4" t="n">
        <f aca="false">Assumptions!E19</f>
        <v>20</v>
      </c>
      <c r="F14" s="4" t="n">
        <f aca="false">Assumptions!F19</f>
        <v>21</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117</v>
      </c>
      <c r="C15" s="0" t="n">
        <f aca="false">C13-MAX(0,C13)*C14/100</f>
        <v>5978.2608057732</v>
      </c>
      <c r="D15" s="0" t="n">
        <f aca="false">D13-MAX(0,D13)*D14/100</f>
        <v>4692.53359910204</v>
      </c>
      <c r="E15" s="0" t="n">
        <f aca="false">E13-MAX(0,E13)*E14/100</f>
        <v>4291.18962751311</v>
      </c>
      <c r="F15" s="0" t="n">
        <f aca="false">F13-MAX(0,F13)*F14/100</f>
        <v>4259.07215546013</v>
      </c>
      <c r="G15" s="0" t="n">
        <f aca="false">G13-MAX(0,G13)*G14/100</f>
        <v>4327.10948533596</v>
      </c>
      <c r="H15" s="0" t="n">
        <f aca="false">H13-MAX(0,H13)*H14/100</f>
        <v>4452.5956604107</v>
      </c>
      <c r="I15" s="0" t="n">
        <f aca="false">I13-MAX(0,I13)*I14/100</f>
        <v>4541.64757361891</v>
      </c>
      <c r="J15" s="0" t="n">
        <f aca="false">J13-MAX(0,J13)*J14/100</f>
        <v>4632.48052509129</v>
      </c>
      <c r="K15" s="0" t="n">
        <f aca="false">K13-MAX(0,K13)*K14/100</f>
        <v>4725.13013559312</v>
      </c>
      <c r="L15" s="0" t="n">
        <f aca="false">L13-MAX(0,L13)*L14/100</f>
        <v>4819.63273830498</v>
      </c>
    </row>
    <row r="16" customFormat="false" ht="15" hidden="false" customHeight="false" outlineLevel="0" collapsed="false">
      <c r="A16" s="0" t="s">
        <v>118</v>
      </c>
      <c r="C16" s="0" t="n">
        <f aca="false">-C12</f>
        <v>430.6509648</v>
      </c>
      <c r="D16" s="0" t="n">
        <f aca="false">-D12</f>
        <v>419.436095925</v>
      </c>
      <c r="E16" s="0" t="n">
        <f aca="false">-E12</f>
        <v>425.30820126795</v>
      </c>
      <c r="F16" s="0" t="n">
        <f aca="false">-F12</f>
        <v>441.469912916132</v>
      </c>
      <c r="G16" s="0" t="n">
        <f aca="false">-G12</f>
        <v>454.2725403907</v>
      </c>
      <c r="H16" s="0" t="n">
        <f aca="false">-H12</f>
        <v>467.44644406203</v>
      </c>
      <c r="I16" s="0" t="n">
        <f aca="false">-I12</f>
        <v>476.795372943271</v>
      </c>
      <c r="J16" s="0" t="n">
        <f aca="false">-J12</f>
        <v>486.331280402136</v>
      </c>
      <c r="K16" s="0" t="n">
        <f aca="false">-K12</f>
        <v>496.057906010179</v>
      </c>
      <c r="L16" s="0" t="n">
        <f aca="false">-L12</f>
        <v>505.979064130383</v>
      </c>
    </row>
    <row r="17" customFormat="false" ht="15" hidden="false" customHeight="false" outlineLevel="0" collapsed="false">
      <c r="A17" s="0" t="s">
        <v>119</v>
      </c>
      <c r="C17" s="4" t="n">
        <f aca="false">-C6*Assumptions!C18/100</f>
        <v>-538.313706</v>
      </c>
      <c r="D17" s="4" t="n">
        <f aca="false">-D6*Assumptions!D18/100</f>
        <v>-503.32331511</v>
      </c>
      <c r="E17" s="4" t="n">
        <f aca="false">-E6*Assumptions!E18/100</f>
        <v>-510.36984152154</v>
      </c>
      <c r="F17" s="4" t="n">
        <f aca="false">-F6*Assumptions!F18/100</f>
        <v>-529.763895499359</v>
      </c>
      <c r="G17" s="4" t="n">
        <f aca="false">-G6*Assumptions!G18/100</f>
        <v>-508.785245237584</v>
      </c>
      <c r="H17" s="4" t="n">
        <f aca="false">-H6*Assumptions!H18/100</f>
        <v>-523.540017349474</v>
      </c>
      <c r="I17" s="4" t="n">
        <f aca="false">-I6*Assumptions!I18/100</f>
        <v>-534.010817696463</v>
      </c>
      <c r="J17" s="4" t="n">
        <f aca="false">-J6*Assumptions!J18/100</f>
        <v>-544.691034050393</v>
      </c>
      <c r="K17" s="4" t="n">
        <f aca="false">-K6*Assumptions!K18/100</f>
        <v>-555.5848547314</v>
      </c>
      <c r="L17" s="4" t="n">
        <f aca="false">-L6*Assumptions!L18/100</f>
        <v>-566.696551826028</v>
      </c>
    </row>
    <row r="18" customFormat="false" ht="15" hidden="false" customHeight="false" outlineLevel="0" collapsed="false">
      <c r="A18" s="0" t="s">
        <v>120</v>
      </c>
      <c r="C18" s="4" t="n">
        <f aca="false">(C6-B6)*Assumptions!$B$23/100</f>
        <v>-233.239216</v>
      </c>
      <c r="D18" s="4" t="n">
        <f aca="false">(D6-C6)*Assumptions!$B$23/100</f>
        <v>93.3077090400001</v>
      </c>
      <c r="E18" s="4" t="n">
        <f aca="false">(E6-D6)*Assumptions!$B$23/100</f>
        <v>-18.79073709744</v>
      </c>
      <c r="F18" s="4" t="n">
        <f aca="false">(F6-E6)*Assumptions!$B$23/100</f>
        <v>-51.7174772741829</v>
      </c>
      <c r="G18" s="4" t="n">
        <f aca="false">(G6-F6)*Assumptions!$B$23/100</f>
        <v>-40.968407918617</v>
      </c>
      <c r="H18" s="4" t="n">
        <f aca="false">(H6-G6)*Assumptions!$B$23/100</f>
        <v>-42.156491748257</v>
      </c>
      <c r="I18" s="4" t="n">
        <f aca="false">(I6-H6)*Assumptions!$B$23/100</f>
        <v>-29.9165724199699</v>
      </c>
      <c r="J18" s="4" t="n">
        <f aca="false">(J6-I6)*Assumptions!$B$23/100</f>
        <v>-30.5149038683693</v>
      </c>
      <c r="K18" s="4" t="n">
        <f aca="false">(K6-J6)*Assumptions!$B$23/100</f>
        <v>-31.1252019457368</v>
      </c>
      <c r="L18" s="4" t="n">
        <f aca="false">(L6-K6)*Assumptions!$B$23/100</f>
        <v>-31.7477059846514</v>
      </c>
    </row>
    <row r="19" customFormat="false" ht="15" hidden="false" customHeight="false" outlineLevel="0" collapsed="false">
      <c r="A19" s="0" t="s">
        <v>121</v>
      </c>
      <c r="C19" s="0" t="n">
        <f aca="false">C15+C16+C17+C18</f>
        <v>5637.3588485732</v>
      </c>
      <c r="D19" s="0" t="n">
        <f aca="false">D15+D16+D17+D18</f>
        <v>4701.95408895704</v>
      </c>
      <c r="E19" s="0" t="n">
        <f aca="false">E15+E16+E17+E18</f>
        <v>4187.33725016208</v>
      </c>
      <c r="F19" s="0" t="n">
        <f aca="false">F15+F16+F17+F18</f>
        <v>4119.06069560272</v>
      </c>
      <c r="G19" s="0" t="n">
        <f aca="false">G15+G16+G17+G18</f>
        <v>4231.62837257046</v>
      </c>
      <c r="H19" s="0" t="n">
        <f aca="false">H15+H16+H17+H18</f>
        <v>4354.345595375</v>
      </c>
      <c r="I19" s="0" t="n">
        <f aca="false">I15+I16+I17+I18</f>
        <v>4454.51555644575</v>
      </c>
      <c r="J19" s="0" t="n">
        <f aca="false">J15+J16+J17+J18</f>
        <v>4543.60586757467</v>
      </c>
      <c r="K19" s="0" t="n">
        <f aca="false">K15+K16+K17+K18</f>
        <v>4634.47798492616</v>
      </c>
      <c r="L19" s="0" t="n">
        <f aca="false">L15+L16+L17+L18</f>
        <v>4727.16754462468</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5171.88885190202</v>
      </c>
      <c r="D21" s="0" t="n">
        <f aca="false">D19*D20</f>
        <v>3957.54068593304</v>
      </c>
      <c r="E21" s="0" t="n">
        <f aca="false">E19*E20</f>
        <v>3233.39265001948</v>
      </c>
      <c r="F21" s="0" t="n">
        <f aca="false">F19*F20</f>
        <v>2918.04644267271</v>
      </c>
      <c r="G21" s="0" t="n">
        <f aca="false">G19*G20</f>
        <v>2750.26809448413</v>
      </c>
      <c r="H21" s="0" t="n">
        <f aca="false">H19*H20</f>
        <v>2596.35400846254</v>
      </c>
      <c r="I21" s="0" t="n">
        <f aca="false">I19*I20</f>
        <v>2436.77255356311</v>
      </c>
      <c r="J21" s="0" t="n">
        <f aca="false">J19*J20</f>
        <v>2280.28257305906</v>
      </c>
      <c r="K21" s="0" t="n">
        <f aca="false">K19*K20</f>
        <v>2133.84240781673</v>
      </c>
      <c r="L21" s="0" t="n">
        <f aca="false">L19*L20</f>
        <v>1996.80665685602</v>
      </c>
    </row>
    <row r="23" customFormat="false" ht="15" hidden="false" customHeight="false" outlineLevel="0" collapsed="false">
      <c r="A23" s="0" t="s">
        <v>99</v>
      </c>
      <c r="C23" s="4" t="n">
        <f aca="false">Assumptions!C16</f>
        <v>0.17</v>
      </c>
      <c r="D23" s="4" t="n">
        <f aca="false">Assumptions!D16</f>
        <v>0.17</v>
      </c>
      <c r="E23" s="4" t="n">
        <f aca="false">Assumptions!E16</f>
        <v>0.17</v>
      </c>
      <c r="F23" s="4" t="n">
        <f aca="false">Assumptions!F16</f>
        <v>0.17</v>
      </c>
      <c r="G23" s="4" t="n">
        <f aca="false">Assumptions!G16</f>
        <v>0.17</v>
      </c>
      <c r="H23" s="4" t="n">
        <f aca="false">Assumptions!H16</f>
        <v>0.17</v>
      </c>
      <c r="I23" s="4" t="n">
        <f aca="false">Assumptions!I16</f>
        <v>0.17</v>
      </c>
      <c r="J23" s="4" t="n">
        <f aca="false">Assumptions!J16</f>
        <v>0.17</v>
      </c>
      <c r="K23" s="4" t="n">
        <f aca="false">Assumptions!K16</f>
        <v>0.17</v>
      </c>
      <c r="L23" s="4" t="n">
        <f aca="false">Assumptions!L16</f>
        <v>0.17</v>
      </c>
    </row>
    <row r="24" customFormat="false" ht="15" hidden="false" customHeight="false" outlineLevel="0" collapsed="false">
      <c r="A24" s="0" t="s">
        <v>124</v>
      </c>
      <c r="C24" s="0" t="n">
        <f aca="false">-C6*C23/100</f>
        <v>-30.50444334</v>
      </c>
      <c r="D24" s="0" t="n">
        <f aca="false">-D6*D23/100</f>
        <v>-28.5216545229</v>
      </c>
      <c r="E24" s="0" t="n">
        <f aca="false">-E6*E23/100</f>
        <v>-28.9209576862206</v>
      </c>
      <c r="F24" s="0" t="n">
        <f aca="false">-F6*F23/100</f>
        <v>-30.019954078297</v>
      </c>
      <c r="G24" s="0" t="n">
        <f aca="false">-G6*G23/100</f>
        <v>-30.8905327465676</v>
      </c>
      <c r="H24" s="0" t="n">
        <f aca="false">-H6*H23/100</f>
        <v>-31.7863581962181</v>
      </c>
      <c r="I24" s="0" t="n">
        <f aca="false">-I6*I23/100</f>
        <v>-32.4220853601424</v>
      </c>
      <c r="J24" s="0" t="n">
        <f aca="false">-J6*J23/100</f>
        <v>-33.0705270673453</v>
      </c>
      <c r="K24" s="0" t="n">
        <f aca="false">-K6*K23/100</f>
        <v>-33.7319376086922</v>
      </c>
      <c r="L24" s="0" t="n">
        <f aca="false">-L6*L23/100</f>
        <v>-34.406576360866</v>
      </c>
    </row>
    <row r="26" customFormat="false" ht="15" hidden="false" customHeight="false" outlineLevel="0" collapsed="false">
      <c r="A26" s="2" t="s">
        <v>125</v>
      </c>
    </row>
    <row r="27" customFormat="false" ht="15" hidden="false" customHeight="false" outlineLevel="0" collapsed="false">
      <c r="A27" s="0" t="s">
        <v>103</v>
      </c>
      <c r="B27" s="4" t="n">
        <f aca="false">Assumptions!$B$20</f>
        <v>9</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15</v>
      </c>
    </row>
    <row r="30" customFormat="false" ht="15" hidden="false" customHeight="false" outlineLevel="0" collapsed="false">
      <c r="A30" s="0" t="s">
        <v>126</v>
      </c>
      <c r="B30" s="0" t="n">
        <f aca="false">SUM(C21:L21)</f>
        <v>29475.1949247688</v>
      </c>
    </row>
    <row r="31" customFormat="false" ht="15" hidden="false" customHeight="false" outlineLevel="0" collapsed="false">
      <c r="A31" s="0" t="s">
        <v>127</v>
      </c>
      <c r="B31" s="0" t="n">
        <f aca="false">L19</f>
        <v>4727.16754462468</v>
      </c>
    </row>
    <row r="32" customFormat="false" ht="15" hidden="false" customHeight="false" outlineLevel="0" collapsed="false">
      <c r="A32" s="0" t="s">
        <v>128</v>
      </c>
      <c r="B32" s="0" t="n">
        <f aca="false">IF(B27&gt;B28,B31*(1+B28/100)/((B27-B28)/100),B31*B29)</f>
        <v>68881.584221674</v>
      </c>
    </row>
    <row r="33" customFormat="false" ht="15" hidden="false" customHeight="false" outlineLevel="0" collapsed="false">
      <c r="A33" s="0" t="s">
        <v>129</v>
      </c>
      <c r="B33" s="0" t="n">
        <f aca="false">B31*B29</f>
        <v>70907.5131693703</v>
      </c>
    </row>
    <row r="34" customFormat="false" ht="15" hidden="false" customHeight="false" outlineLevel="0" collapsed="false">
      <c r="A34" s="0" t="s">
        <v>130</v>
      </c>
      <c r="B34" s="0" t="n">
        <f aca="false">MAX(0,MIN(B32,B33))</f>
        <v>68881.584221674</v>
      </c>
    </row>
    <row r="35" customFormat="false" ht="15" hidden="false" customHeight="false" outlineLevel="0" collapsed="false">
      <c r="A35" s="0" t="s">
        <v>131</v>
      </c>
      <c r="B35" s="0" t="n">
        <f aca="false">B34/(1+B27/100)^L4</f>
        <v>29096.3255713306</v>
      </c>
    </row>
    <row r="36" customFormat="false" ht="15" hidden="false" customHeight="false" outlineLevel="0" collapsed="false">
      <c r="A36" s="0" t="s">
        <v>132</v>
      </c>
      <c r="B36" s="0" t="n">
        <f aca="false">B30+B35</f>
        <v>58571.5204960995</v>
      </c>
    </row>
    <row r="37" customFormat="false" ht="15" hidden="false" customHeight="false" outlineLevel="0" collapsed="false">
      <c r="A37" s="0" t="s">
        <v>133</v>
      </c>
      <c r="B37" s="0" t="n">
        <f aca="false">B36+Assumptions!$B$5-Assumptions!$B$4</f>
        <v>92143.1204960995</v>
      </c>
    </row>
    <row r="38" customFormat="false" ht="15" hidden="false" customHeight="false" outlineLevel="0" collapsed="false">
      <c r="A38" s="0" t="s">
        <v>134</v>
      </c>
      <c r="B38" s="0" t="n">
        <f aca="false">B37/Assumptions!$B$3*Assumptions!$B$10</f>
        <v>17.7874571314645</v>
      </c>
    </row>
    <row r="39" customFormat="false" ht="15" hidden="false" customHeight="false" outlineLevel="0" collapsed="false">
      <c r="A39" s="0" t="s">
        <v>135</v>
      </c>
      <c r="B39" s="4" t="n">
        <f aca="false">B38/Assumptions!$B$2-1</f>
        <v>-0.441699399514611</v>
      </c>
    </row>
    <row r="41" customFormat="false" ht="15" hidden="false" customHeight="false" outlineLevel="0" collapsed="false">
      <c r="A41" s="0" t="s">
        <v>136</v>
      </c>
      <c r="B41" s="0" t="n">
        <f aca="false">SUMPRODUCT(-C10:L10/(1+$B$27/100)^C4:L4)</f>
        <v>936.55863371922</v>
      </c>
    </row>
    <row r="42" customFormat="false" ht="15" hidden="false" customHeight="false" outlineLevel="0" collapsed="false">
      <c r="A42" s="0" t="s">
        <v>137</v>
      </c>
      <c r="B42" s="0" t="n">
        <f aca="false">IF(B27&gt;B28,-L10*(1+B28/100)/((B27-B28)/100),-L10*20)/(1+B27/100)^L4</f>
        <v>996.597235413363</v>
      </c>
    </row>
    <row r="43" customFormat="false" ht="15" hidden="false" customHeight="false" outlineLevel="0" collapsed="false">
      <c r="A43" s="0" t="s">
        <v>138</v>
      </c>
      <c r="B43" s="0" t="n">
        <f aca="false">(B37+B41+B42)/Assumptions!$B$3*Assumptions!$B$10</f>
        <v>18.1606366696167</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37090.0838116706</v>
      </c>
    </row>
    <row r="47" customFormat="false" ht="15" hidden="false" customHeight="false" outlineLevel="0" collapsed="false">
      <c r="A47" s="0" t="s">
        <v>140</v>
      </c>
      <c r="B47" s="0" t="n">
        <f aca="false">(SUMPRODUCT(C19:L19/(1+B45/100)^C4:L4)+B46/(1+B45/100)^L4+Assumptions!$B$5-Assumptions!$B$4)/Assumptions!$B$3*Assumptions!$B$10</f>
        <v>12.7287061607641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29</v>
      </c>
      <c r="D5" s="4" t="n">
        <f aca="false">Assumptions!D27</f>
        <v>0</v>
      </c>
      <c r="E5" s="4" t="n">
        <f aca="false">Assumptions!E27</f>
        <v>5.8</v>
      </c>
      <c r="F5" s="4" t="n">
        <f aca="false">Assumptions!F27</f>
        <v>8.5</v>
      </c>
      <c r="G5" s="4" t="n">
        <f aca="false">Assumptions!G27</f>
        <v>7.7</v>
      </c>
      <c r="H5" s="4" t="n">
        <f aca="false">Assumptions!H27</f>
        <v>6.8</v>
      </c>
      <c r="I5" s="4" t="n">
        <f aca="false">Assumptions!I27</f>
        <v>5.9</v>
      </c>
      <c r="J5" s="4" t="n">
        <f aca="false">Assumptions!J27</f>
        <v>4.9</v>
      </c>
      <c r="K5" s="4" t="n">
        <f aca="false">Assumptions!K27</f>
        <v>4</v>
      </c>
      <c r="L5" s="4" t="n">
        <f aca="false">Assumptions!L27</f>
        <v>3.4</v>
      </c>
    </row>
    <row r="6" customFormat="false" ht="15" hidden="false" customHeight="false" outlineLevel="0" collapsed="false">
      <c r="A6" s="0" t="s">
        <v>38</v>
      </c>
      <c r="B6" s="3" t="n">
        <v>15028.3</v>
      </c>
      <c r="C6" s="0" t="n">
        <f aca="false">B6*(1+C5/100)</f>
        <v>19386.507</v>
      </c>
      <c r="D6" s="0" t="n">
        <f aca="false">C6*(1+D5/100)</f>
        <v>19386.507</v>
      </c>
      <c r="E6" s="0" t="n">
        <f aca="false">D6*(1+E5/100)</f>
        <v>20510.924406</v>
      </c>
      <c r="F6" s="0" t="n">
        <f aca="false">E6*(1+F5/100)</f>
        <v>22254.35298051</v>
      </c>
      <c r="G6" s="0" t="n">
        <f aca="false">F6*(1+G5/100)</f>
        <v>23967.9381600093</v>
      </c>
      <c r="H6" s="0" t="n">
        <f aca="false">G6*(1+H5/100)</f>
        <v>25597.7579548899</v>
      </c>
      <c r="I6" s="0" t="n">
        <f aca="false">H6*(1+I5/100)</f>
        <v>27108.0256742284</v>
      </c>
      <c r="J6" s="0" t="n">
        <f aca="false">I6*(1+J5/100)</f>
        <v>28436.3189322656</v>
      </c>
      <c r="K6" s="0" t="n">
        <f aca="false">J6*(1+K5/100)</f>
        <v>29573.7716895562</v>
      </c>
      <c r="L6" s="0" t="n">
        <f aca="false">K6*(1+L5/100)</f>
        <v>30579.2799270011</v>
      </c>
    </row>
    <row r="7" customFormat="false" ht="15" hidden="false" customHeight="false" outlineLevel="0" collapsed="false">
      <c r="A7" s="0" t="s">
        <v>97</v>
      </c>
      <c r="C7" s="4" t="n">
        <f aca="false">Assumptions!C28</f>
        <v>47</v>
      </c>
      <c r="D7" s="4" t="n">
        <f aca="false">Assumptions!D28</f>
        <v>42</v>
      </c>
      <c r="E7" s="4" t="n">
        <f aca="false">Assumptions!E28</f>
        <v>40</v>
      </c>
      <c r="F7" s="4" t="n">
        <f aca="false">Assumptions!F28</f>
        <v>40</v>
      </c>
      <c r="G7" s="4" t="n">
        <f aca="false">Assumptions!G28</f>
        <v>40</v>
      </c>
      <c r="H7" s="4" t="n">
        <f aca="false">Assumptions!H28</f>
        <v>40.5</v>
      </c>
      <c r="I7" s="4" t="n">
        <f aca="false">Assumptions!I28</f>
        <v>40.5</v>
      </c>
      <c r="J7" s="4" t="n">
        <f aca="false">Assumptions!J28</f>
        <v>41</v>
      </c>
      <c r="K7" s="4" t="n">
        <f aca="false">Assumptions!K28</f>
        <v>41</v>
      </c>
      <c r="L7" s="4" t="n">
        <f aca="false">Assumptions!L28</f>
        <v>41</v>
      </c>
    </row>
    <row r="8" customFormat="false" ht="15" hidden="false" customHeight="false" outlineLevel="0" collapsed="false">
      <c r="A8" s="0" t="s">
        <v>44</v>
      </c>
      <c r="C8" s="0" t="n">
        <f aca="false">C6*C7/100</f>
        <v>9111.65829</v>
      </c>
      <c r="D8" s="0" t="n">
        <f aca="false">D6*D7/100</f>
        <v>8142.33294</v>
      </c>
      <c r="E8" s="0" t="n">
        <f aca="false">E6*E7/100</f>
        <v>8204.3697624</v>
      </c>
      <c r="F8" s="0" t="n">
        <f aca="false">F6*F7/100</f>
        <v>8901.741192204</v>
      </c>
      <c r="G8" s="0" t="n">
        <f aca="false">G6*G7/100</f>
        <v>9587.17526400371</v>
      </c>
      <c r="H8" s="0" t="n">
        <f aca="false">H6*H7/100</f>
        <v>10367.0919717304</v>
      </c>
      <c r="I8" s="0" t="n">
        <f aca="false">I6*I7/100</f>
        <v>10978.7503980625</v>
      </c>
      <c r="J8" s="0" t="n">
        <f aca="false">J6*J7/100</f>
        <v>11658.8907622289</v>
      </c>
      <c r="K8" s="0" t="n">
        <f aca="false">K6*K7/100</f>
        <v>12125.246392718</v>
      </c>
      <c r="L8" s="0" t="n">
        <f aca="false">L6*L7/100</f>
        <v>12537.5047700705</v>
      </c>
    </row>
    <row r="9" customFormat="false" ht="15" hidden="false" customHeight="false" outlineLevel="0" collapsed="false">
      <c r="A9" s="0" t="s">
        <v>98</v>
      </c>
      <c r="C9" s="4" t="n">
        <f aca="false">Assumptions!C29</f>
        <v>0.8</v>
      </c>
      <c r="D9" s="4" t="n">
        <f aca="false">Assumptions!D29</f>
        <v>0.8</v>
      </c>
      <c r="E9" s="4" t="n">
        <f aca="false">Assumptions!E29</f>
        <v>0.75</v>
      </c>
      <c r="F9" s="4" t="n">
        <f aca="false">Assumptions!F29</f>
        <v>0.75</v>
      </c>
      <c r="G9" s="4" t="n">
        <f aca="false">Assumptions!G29</f>
        <v>0.7</v>
      </c>
      <c r="H9" s="4" t="n">
        <f aca="false">Assumptions!H29</f>
        <v>0.7</v>
      </c>
      <c r="I9" s="4" t="n">
        <f aca="false">Assumptions!I29</f>
        <v>0.65</v>
      </c>
      <c r="J9" s="4" t="n">
        <f aca="false">Assumptions!J29</f>
        <v>0.65</v>
      </c>
      <c r="K9" s="4" t="n">
        <f aca="false">Assumptions!K29</f>
        <v>0.6</v>
      </c>
      <c r="L9" s="4" t="n">
        <f aca="false">Assumptions!L29</f>
        <v>0.6</v>
      </c>
    </row>
    <row r="10" customFormat="false" ht="15" hidden="false" customHeight="false" outlineLevel="0" collapsed="false">
      <c r="A10" s="0" t="s">
        <v>113</v>
      </c>
      <c r="C10" s="0" t="n">
        <f aca="false">-C6*C9/100</f>
        <v>-155.092056</v>
      </c>
      <c r="D10" s="0" t="n">
        <f aca="false">-D6*D9/100</f>
        <v>-155.092056</v>
      </c>
      <c r="E10" s="0" t="n">
        <f aca="false">-E6*E9/100</f>
        <v>-153.831933045</v>
      </c>
      <c r="F10" s="0" t="n">
        <f aca="false">-F6*F9/100</f>
        <v>-166.907647353825</v>
      </c>
      <c r="G10" s="0" t="n">
        <f aca="false">-G6*G9/100</f>
        <v>-167.775567120065</v>
      </c>
      <c r="H10" s="0" t="n">
        <f aca="false">-H6*H9/100</f>
        <v>-179.184305684229</v>
      </c>
      <c r="I10" s="0" t="n">
        <f aca="false">-I6*I9/100</f>
        <v>-176.202166882485</v>
      </c>
      <c r="J10" s="0" t="n">
        <f aca="false">-J6*J9/100</f>
        <v>-184.836073059726</v>
      </c>
      <c r="K10" s="0" t="n">
        <f aca="false">-K6*K9/100</f>
        <v>-177.442630137337</v>
      </c>
      <c r="L10" s="0" t="n">
        <f aca="false">-L6*L9/100</f>
        <v>-183.475679562007</v>
      </c>
    </row>
    <row r="11" customFormat="false" ht="15" hidden="false" customHeight="false" outlineLevel="0" collapsed="false">
      <c r="A11" s="0" t="s">
        <v>114</v>
      </c>
      <c r="C11" s="0" t="n">
        <f aca="false">C8+C10+C24</f>
        <v>8923.6091721</v>
      </c>
      <c r="D11" s="0" t="n">
        <f aca="false">D8+D10+D24</f>
        <v>7954.2838221</v>
      </c>
      <c r="E11" s="0" t="n">
        <f aca="false">E8+E10+E24</f>
        <v>8015.6692578648</v>
      </c>
      <c r="F11" s="0" t="n">
        <f aca="false">F8+F10+F24</f>
        <v>8697.00114478331</v>
      </c>
      <c r="G11" s="0" t="n">
        <f aca="false">G8+G10+G24</f>
        <v>9378.65420201163</v>
      </c>
      <c r="H11" s="0" t="n">
        <f aca="false">H8+H10+H24</f>
        <v>10144.3914775229</v>
      </c>
      <c r="I11" s="0" t="n">
        <f aca="false">I8+I10+I24</f>
        <v>10756.4645875338</v>
      </c>
      <c r="J11" s="0" t="n">
        <f aca="false">J8+J10+J24</f>
        <v>11425.7129469843</v>
      </c>
      <c r="K11" s="0" t="n">
        <f aca="false">K8+K10+K24</f>
        <v>11897.5283507085</v>
      </c>
      <c r="L11" s="0" t="n">
        <f aca="false">L8+L10+L24</f>
        <v>12302.0443146326</v>
      </c>
    </row>
    <row r="12" customFormat="false" ht="15" hidden="false" customHeight="false" outlineLevel="0" collapsed="false">
      <c r="A12" s="0" t="s">
        <v>115</v>
      </c>
      <c r="C12" s="4" t="n">
        <f aca="false">-C6*Assumptions!C31/100</f>
        <v>-465.276168</v>
      </c>
      <c r="D12" s="4" t="n">
        <f aca="false">-D6*Assumptions!D31/100</f>
        <v>-465.276168</v>
      </c>
      <c r="E12" s="4" t="n">
        <f aca="false">-E6*Assumptions!E31/100</f>
        <v>-492.262185744</v>
      </c>
      <c r="F12" s="4" t="n">
        <f aca="false">-F6*Assumptions!F31/100</f>
        <v>-534.10447153224</v>
      </c>
      <c r="G12" s="4" t="n">
        <f aca="false">-G6*Assumptions!G31/100</f>
        <v>-575.230515840222</v>
      </c>
      <c r="H12" s="4" t="n">
        <f aca="false">-H6*Assumptions!H31/100</f>
        <v>-588.748432962468</v>
      </c>
      <c r="I12" s="4" t="n">
        <f aca="false">-I6*Assumptions!I31/100</f>
        <v>-623.484590507253</v>
      </c>
      <c r="J12" s="4" t="n">
        <f aca="false">-J6*Assumptions!J31/100</f>
        <v>-654.035335442109</v>
      </c>
      <c r="K12" s="4" t="n">
        <f aca="false">-K6*Assumptions!K31/100</f>
        <v>-680.196748859793</v>
      </c>
      <c r="L12" s="4" t="n">
        <f aca="false">-L6*Assumptions!L31/100</f>
        <v>-703.323438321026</v>
      </c>
    </row>
    <row r="13" customFormat="false" ht="15" hidden="false" customHeight="false" outlineLevel="0" collapsed="false">
      <c r="A13" s="0" t="s">
        <v>116</v>
      </c>
      <c r="C13" s="0" t="n">
        <f aca="false">C11+C12</f>
        <v>8458.3330041</v>
      </c>
      <c r="D13" s="0" t="n">
        <f aca="false">D11+D12</f>
        <v>7489.0076541</v>
      </c>
      <c r="E13" s="0" t="n">
        <f aca="false">E11+E12</f>
        <v>7523.4070721208</v>
      </c>
      <c r="F13" s="0" t="n">
        <f aca="false">F11+F12</f>
        <v>8162.89667325107</v>
      </c>
      <c r="G13" s="0" t="n">
        <f aca="false">G11+G12</f>
        <v>8803.42368617141</v>
      </c>
      <c r="H13" s="0" t="n">
        <f aca="false">H11+H12</f>
        <v>9555.6430445604</v>
      </c>
      <c r="I13" s="0" t="n">
        <f aca="false">I11+I12</f>
        <v>10132.9799970266</v>
      </c>
      <c r="J13" s="0" t="n">
        <f aca="false">J11+J12</f>
        <v>10771.6776115422</v>
      </c>
      <c r="K13" s="0" t="n">
        <f aca="false">K11+K12</f>
        <v>11217.3316018487</v>
      </c>
      <c r="L13" s="0" t="n">
        <f aca="false">L11+L12</f>
        <v>11598.7208763115</v>
      </c>
    </row>
    <row r="14" customFormat="false" ht="15" hidden="false" customHeight="false" outlineLevel="0" collapsed="false">
      <c r="A14" s="0" t="s">
        <v>102</v>
      </c>
      <c r="C14" s="4" t="n">
        <f aca="false">Assumptions!C33</f>
        <v>18</v>
      </c>
      <c r="D14" s="4" t="n">
        <f aca="false">Assumptions!D33</f>
        <v>18</v>
      </c>
      <c r="E14" s="4" t="n">
        <f aca="false">Assumptions!E33</f>
        <v>19</v>
      </c>
      <c r="F14" s="4" t="n">
        <f aca="false">Assumptions!F33</f>
        <v>19</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117</v>
      </c>
      <c r="C15" s="0" t="n">
        <f aca="false">C13-MAX(0,C13)*C14/100</f>
        <v>6935.833063362</v>
      </c>
      <c r="D15" s="0" t="n">
        <f aca="false">D13-MAX(0,D13)*D14/100</f>
        <v>6140.986276362</v>
      </c>
      <c r="E15" s="0" t="n">
        <f aca="false">E13-MAX(0,E13)*E14/100</f>
        <v>6093.95972841785</v>
      </c>
      <c r="F15" s="0" t="n">
        <f aca="false">F13-MAX(0,F13)*F14/100</f>
        <v>6611.94630533337</v>
      </c>
      <c r="G15" s="0" t="n">
        <f aca="false">G13-MAX(0,G13)*G14/100</f>
        <v>7042.73894893712</v>
      </c>
      <c r="H15" s="0" t="n">
        <f aca="false">H13-MAX(0,H13)*H14/100</f>
        <v>7644.51443564832</v>
      </c>
      <c r="I15" s="0" t="n">
        <f aca="false">I13-MAX(0,I13)*I14/100</f>
        <v>8106.38399762126</v>
      </c>
      <c r="J15" s="0" t="n">
        <f aca="false">J13-MAX(0,J13)*J14/100</f>
        <v>8617.34208923376</v>
      </c>
      <c r="K15" s="0" t="n">
        <f aca="false">K13-MAX(0,K13)*K14/100</f>
        <v>8973.86528147894</v>
      </c>
      <c r="L15" s="0" t="n">
        <f aca="false">L13-MAX(0,L13)*L14/100</f>
        <v>9278.97670104922</v>
      </c>
    </row>
    <row r="16" customFormat="false" ht="15" hidden="false" customHeight="false" outlineLevel="0" collapsed="false">
      <c r="A16" s="0" t="s">
        <v>118</v>
      </c>
      <c r="C16" s="0" t="n">
        <f aca="false">-C12</f>
        <v>465.276168</v>
      </c>
      <c r="D16" s="0" t="n">
        <f aca="false">-D12</f>
        <v>465.276168</v>
      </c>
      <c r="E16" s="0" t="n">
        <f aca="false">-E12</f>
        <v>492.262185744</v>
      </c>
      <c r="F16" s="0" t="n">
        <f aca="false">-F12</f>
        <v>534.10447153224</v>
      </c>
      <c r="G16" s="0" t="n">
        <f aca="false">-G12</f>
        <v>575.230515840222</v>
      </c>
      <c r="H16" s="0" t="n">
        <f aca="false">-H12</f>
        <v>588.748432962468</v>
      </c>
      <c r="I16" s="0" t="n">
        <f aca="false">-I12</f>
        <v>623.484590507253</v>
      </c>
      <c r="J16" s="0" t="n">
        <f aca="false">-J12</f>
        <v>654.035335442109</v>
      </c>
      <c r="K16" s="0" t="n">
        <f aca="false">-K12</f>
        <v>680.196748859793</v>
      </c>
      <c r="L16" s="0" t="n">
        <f aca="false">-L12</f>
        <v>703.323438321026</v>
      </c>
    </row>
    <row r="17" customFormat="false" ht="15" hidden="false" customHeight="false" outlineLevel="0" collapsed="false">
      <c r="A17" s="0" t="s">
        <v>119</v>
      </c>
      <c r="C17" s="4" t="n">
        <f aca="false">-C6*Assumptions!C32/100</f>
        <v>-581.59521</v>
      </c>
      <c r="D17" s="4" t="n">
        <f aca="false">-D6*Assumptions!D32/100</f>
        <v>-581.59521</v>
      </c>
      <c r="E17" s="4" t="n">
        <f aca="false">-E6*Assumptions!E32/100</f>
        <v>-615.32773218</v>
      </c>
      <c r="F17" s="4" t="n">
        <f aca="false">-F6*Assumptions!F32/100</f>
        <v>-623.12188345428</v>
      </c>
      <c r="G17" s="4" t="n">
        <f aca="false">-G6*Assumptions!G32/100</f>
        <v>-671.10226848026</v>
      </c>
      <c r="H17" s="4" t="n">
        <f aca="false">-H6*Assumptions!H32/100</f>
        <v>-665.541706827137</v>
      </c>
      <c r="I17" s="4" t="n">
        <f aca="false">-I6*Assumptions!I32/100</f>
        <v>-704.808667529938</v>
      </c>
      <c r="J17" s="4" t="n">
        <f aca="false">-J6*Assumptions!J32/100</f>
        <v>-710.90797330664</v>
      </c>
      <c r="K17" s="4" t="n">
        <f aca="false">-K6*Assumptions!K32/100</f>
        <v>-739.344292238905</v>
      </c>
      <c r="L17" s="4" t="n">
        <f aca="false">-L6*Assumptions!L32/100</f>
        <v>-764.481998175028</v>
      </c>
    </row>
    <row r="18" customFormat="false" ht="15" hidden="false" customHeight="false" outlineLevel="0" collapsed="false">
      <c r="A18" s="0" t="s">
        <v>120</v>
      </c>
      <c r="C18" s="4" t="n">
        <f aca="false">(C6-B6)*Assumptions!$B$37/100</f>
        <v>-217.91035</v>
      </c>
      <c r="D18" s="4" t="n">
        <f aca="false">(D6-C6)*Assumptions!$B$37/100</f>
        <v>-0</v>
      </c>
      <c r="E18" s="4" t="n">
        <f aca="false">(E6-D6)*Assumptions!$B$37/100</f>
        <v>-56.2208703</v>
      </c>
      <c r="F18" s="4" t="n">
        <f aca="false">(F6-E6)*Assumptions!$B$37/100</f>
        <v>-87.1714287254999</v>
      </c>
      <c r="G18" s="4" t="n">
        <f aca="false">(G6-F6)*Assumptions!$B$37/100</f>
        <v>-85.6792589749635</v>
      </c>
      <c r="H18" s="4" t="n">
        <f aca="false">(H6-G6)*Assumptions!$B$37/100</f>
        <v>-81.4909897440315</v>
      </c>
      <c r="I18" s="4" t="n">
        <f aca="false">(I6-H6)*Assumptions!$B$37/100</f>
        <v>-75.5133859669251</v>
      </c>
      <c r="J18" s="4" t="n">
        <f aca="false">(J6-I6)*Assumptions!$B$37/100</f>
        <v>-66.4146629018594</v>
      </c>
      <c r="K18" s="4" t="n">
        <f aca="false">(K6-J6)*Assumptions!$B$37/100</f>
        <v>-56.8726378645313</v>
      </c>
      <c r="L18" s="4" t="n">
        <f aca="false">(L6-K6)*Assumptions!$B$37/100</f>
        <v>-50.2754118722456</v>
      </c>
    </row>
    <row r="19" customFormat="false" ht="15" hidden="false" customHeight="false" outlineLevel="0" collapsed="false">
      <c r="A19" s="0" t="s">
        <v>121</v>
      </c>
      <c r="C19" s="0" t="n">
        <f aca="false">C15+C16+C17+C18</f>
        <v>6601.603671362</v>
      </c>
      <c r="D19" s="0" t="n">
        <f aca="false">D15+D16+D17+D18</f>
        <v>6024.667234362</v>
      </c>
      <c r="E19" s="0" t="n">
        <f aca="false">E15+E16+E17+E18</f>
        <v>5914.67331168185</v>
      </c>
      <c r="F19" s="0" t="n">
        <f aca="false">F15+F16+F17+F18</f>
        <v>6435.75746468583</v>
      </c>
      <c r="G19" s="0" t="n">
        <f aca="false">G15+G16+G17+G18</f>
        <v>6861.18793732212</v>
      </c>
      <c r="H19" s="0" t="n">
        <f aca="false">H15+H16+H17+H18</f>
        <v>7486.23017203962</v>
      </c>
      <c r="I19" s="0" t="n">
        <f aca="false">I15+I16+I17+I18</f>
        <v>7949.54653463165</v>
      </c>
      <c r="J19" s="0" t="n">
        <f aca="false">J15+J16+J17+J18</f>
        <v>8494.05478846737</v>
      </c>
      <c r="K19" s="0" t="n">
        <f aca="false">K15+K16+K17+K18</f>
        <v>8857.84510023529</v>
      </c>
      <c r="L19" s="0" t="n">
        <f aca="false">L15+L16+L17+L18</f>
        <v>9167.54272932297</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6056.51712968991</v>
      </c>
      <c r="D21" s="0" t="n">
        <f aca="false">D19*D20</f>
        <v>5070.84187725107</v>
      </c>
      <c r="E21" s="0" t="n">
        <f aca="false">E19*E20</f>
        <v>4567.21302123879</v>
      </c>
      <c r="F21" s="0" t="n">
        <f aca="false">F19*F20</f>
        <v>4559.25284028447</v>
      </c>
      <c r="G21" s="0" t="n">
        <f aca="false">G19*G20</f>
        <v>4459.30138775725</v>
      </c>
      <c r="H21" s="0" t="n">
        <f aca="false">H19*H20</f>
        <v>4463.79445308459</v>
      </c>
      <c r="I21" s="0" t="n">
        <f aca="false">I19*I20</f>
        <v>4348.67418541903</v>
      </c>
      <c r="J21" s="0" t="n">
        <f aca="false">J19*J20</f>
        <v>4262.87967602478</v>
      </c>
      <c r="K21" s="0" t="n">
        <f aca="false">K19*K20</f>
        <v>4078.39795080068</v>
      </c>
      <c r="L21" s="0" t="n">
        <f aca="false">L19*L20</f>
        <v>3872.46912154402</v>
      </c>
    </row>
    <row r="23" customFormat="false" ht="15" hidden="false" customHeight="false" outlineLevel="0" collapsed="false">
      <c r="A23" s="0" t="s">
        <v>99</v>
      </c>
      <c r="C23" s="4" t="n">
        <f aca="false">Assumptions!C30</f>
        <v>0.17</v>
      </c>
      <c r="D23" s="4" t="n">
        <f aca="false">Assumptions!D30</f>
        <v>0.17</v>
      </c>
      <c r="E23" s="4" t="n">
        <f aca="false">Assumptions!E30</f>
        <v>0.17</v>
      </c>
      <c r="F23" s="4" t="n">
        <f aca="false">Assumptions!F30</f>
        <v>0.17</v>
      </c>
      <c r="G23" s="4" t="n">
        <f aca="false">Assumptions!G30</f>
        <v>0.17</v>
      </c>
      <c r="H23" s="4" t="n">
        <f aca="false">Assumptions!H30</f>
        <v>0.17</v>
      </c>
      <c r="I23" s="4" t="n">
        <f aca="false">Assumptions!I30</f>
        <v>0.17</v>
      </c>
      <c r="J23" s="4" t="n">
        <f aca="false">Assumptions!J30</f>
        <v>0.17</v>
      </c>
      <c r="K23" s="4" t="n">
        <f aca="false">Assumptions!K30</f>
        <v>0.17</v>
      </c>
      <c r="L23" s="4" t="n">
        <f aca="false">Assumptions!L30</f>
        <v>0.17</v>
      </c>
    </row>
    <row r="24" customFormat="false" ht="15" hidden="false" customHeight="false" outlineLevel="0" collapsed="false">
      <c r="A24" s="0" t="s">
        <v>124</v>
      </c>
      <c r="C24" s="0" t="n">
        <f aca="false">-C6*C23/100</f>
        <v>-32.9570619</v>
      </c>
      <c r="D24" s="0" t="n">
        <f aca="false">-D6*D23/100</f>
        <v>-32.9570619</v>
      </c>
      <c r="E24" s="0" t="n">
        <f aca="false">-E6*E23/100</f>
        <v>-34.8685714902</v>
      </c>
      <c r="F24" s="0" t="n">
        <f aca="false">-F6*F23/100</f>
        <v>-37.832400066867</v>
      </c>
      <c r="G24" s="0" t="n">
        <f aca="false">-G6*G23/100</f>
        <v>-40.7454948720158</v>
      </c>
      <c r="H24" s="0" t="n">
        <f aca="false">-H6*H23/100</f>
        <v>-43.5161885233128</v>
      </c>
      <c r="I24" s="0" t="n">
        <f aca="false">-I6*I23/100</f>
        <v>-46.0836436461883</v>
      </c>
      <c r="J24" s="0" t="n">
        <f aca="false">-J6*J23/100</f>
        <v>-48.3417421848515</v>
      </c>
      <c r="K24" s="0" t="n">
        <f aca="false">-K6*K23/100</f>
        <v>-50.2754118722456</v>
      </c>
      <c r="L24" s="0" t="n">
        <f aca="false">-L6*L23/100</f>
        <v>-51.9847758759019</v>
      </c>
    </row>
    <row r="26" customFormat="false" ht="15" hidden="false" customHeight="false" outlineLevel="0" collapsed="false">
      <c r="A26" s="2" t="s">
        <v>125</v>
      </c>
    </row>
    <row r="27" customFormat="false" ht="15" hidden="false" customHeight="false" outlineLevel="0" collapsed="false">
      <c r="A27" s="0" t="s">
        <v>103</v>
      </c>
      <c r="B27" s="4" t="n">
        <f aca="false">Assumptions!$B$34</f>
        <v>9</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18</v>
      </c>
    </row>
    <row r="30" customFormat="false" ht="15" hidden="false" customHeight="false" outlineLevel="0" collapsed="false">
      <c r="A30" s="0" t="s">
        <v>126</v>
      </c>
      <c r="B30" s="0" t="n">
        <f aca="false">SUM(C21:L21)</f>
        <v>45739.3416430946</v>
      </c>
    </row>
    <row r="31" customFormat="false" ht="15" hidden="false" customHeight="false" outlineLevel="0" collapsed="false">
      <c r="A31" s="0" t="s">
        <v>127</v>
      </c>
      <c r="B31" s="0" t="n">
        <f aca="false">L19</f>
        <v>9167.54272932297</v>
      </c>
    </row>
    <row r="32" customFormat="false" ht="15" hidden="false" customHeight="false" outlineLevel="0" collapsed="false">
      <c r="A32" s="0" t="s">
        <v>128</v>
      </c>
      <c r="B32" s="0" t="n">
        <f aca="false">IF(B27&gt;B28,B31*(1+B28/100)/((B27-B28)/100),B31*B29)</f>
        <v>144565.096885478</v>
      </c>
    </row>
    <row r="33" customFormat="false" ht="15" hidden="false" customHeight="false" outlineLevel="0" collapsed="false">
      <c r="A33" s="0" t="s">
        <v>129</v>
      </c>
      <c r="B33" s="0" t="n">
        <f aca="false">B31*B29</f>
        <v>165015.769127814</v>
      </c>
    </row>
    <row r="34" customFormat="false" ht="15" hidden="false" customHeight="false" outlineLevel="0" collapsed="false">
      <c r="A34" s="0" t="s">
        <v>130</v>
      </c>
      <c r="B34" s="0" t="n">
        <f aca="false">MAX(0,MIN(B32,B33))</f>
        <v>144565.096885478</v>
      </c>
    </row>
    <row r="35" customFormat="false" ht="15" hidden="false" customHeight="false" outlineLevel="0" collapsed="false">
      <c r="A35" s="0" t="s">
        <v>131</v>
      </c>
      <c r="B35" s="0" t="n">
        <f aca="false">B34/(1+B27/100)^L4</f>
        <v>61065.859224348</v>
      </c>
    </row>
    <row r="36" customFormat="false" ht="15" hidden="false" customHeight="false" outlineLevel="0" collapsed="false">
      <c r="A36" s="0" t="s">
        <v>132</v>
      </c>
      <c r="B36" s="0" t="n">
        <f aca="false">B30+B35</f>
        <v>106805.200867443</v>
      </c>
    </row>
    <row r="37" customFormat="false" ht="15" hidden="false" customHeight="false" outlineLevel="0" collapsed="false">
      <c r="A37" s="0" t="s">
        <v>133</v>
      </c>
      <c r="B37" s="0" t="n">
        <f aca="false">B36+Assumptions!$B$5-Assumptions!$B$4</f>
        <v>140376.800867443</v>
      </c>
    </row>
    <row r="38" customFormat="false" ht="15" hidden="false" customHeight="false" outlineLevel="0" collapsed="false">
      <c r="A38" s="0" t="s">
        <v>134</v>
      </c>
      <c r="B38" s="0" t="n">
        <f aca="false">B37/Assumptions!$B$3*Assumptions!$B$10</f>
        <v>27.0985648655937</v>
      </c>
    </row>
    <row r="39" customFormat="false" ht="15" hidden="false" customHeight="false" outlineLevel="0" collapsed="false">
      <c r="A39" s="0" t="s">
        <v>135</v>
      </c>
      <c r="B39" s="4" t="n">
        <f aca="false">B38/Assumptions!$B$2-1</f>
        <v>-0.149448685951234</v>
      </c>
    </row>
    <row r="41" customFormat="false" ht="15" hidden="false" customHeight="false" outlineLevel="0" collapsed="false">
      <c r="A41" s="0" t="s">
        <v>136</v>
      </c>
      <c r="B41" s="0" t="n">
        <f aca="false">SUMPRODUCT(-C10:L10/(1+$B$27/100)^C4:L4)</f>
        <v>1074.08982483196</v>
      </c>
    </row>
    <row r="42" customFormat="false" ht="15" hidden="false" customHeight="false" outlineLevel="0" collapsed="false">
      <c r="A42" s="0" t="s">
        <v>137</v>
      </c>
      <c r="B42" s="0" t="n">
        <f aca="false">IF(B27&gt;B28,-L10*(1+B28/100)/((B27-B28)/100),-L10*20)/(1+B27/100)^L4</f>
        <v>1222.14865531939</v>
      </c>
    </row>
    <row r="43" customFormat="false" ht="15" hidden="false" customHeight="false" outlineLevel="0" collapsed="false">
      <c r="A43" s="0" t="s">
        <v>138</v>
      </c>
      <c r="B43" s="0" t="n">
        <f aca="false">(B37+B41+B42)/Assumptions!$B$3*Assumptions!$B$10</f>
        <v>27.5418344586941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75173.8503804484</v>
      </c>
    </row>
    <row r="47" customFormat="false" ht="15" hidden="false" customHeight="false" outlineLevel="0" collapsed="false">
      <c r="A47" s="0" t="s">
        <v>140</v>
      </c>
      <c r="B47" s="0" t="n">
        <f aca="false">(SUMPRODUCT(C19:L19/(1+B45/100)^C4:L4)+B46/(1+B45/100)^L4+Assumptions!$B$5-Assumptions!$B$4)/Assumptions!$B$3*Assumptions!$B$10</f>
        <v>16.8361499086485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36.3</v>
      </c>
      <c r="D5" s="4" t="n">
        <f aca="false">Assumptions!D41</f>
        <v>2.9</v>
      </c>
      <c r="E5" s="4" t="n">
        <f aca="false">Assumptions!E41</f>
        <v>7.4</v>
      </c>
      <c r="F5" s="4" t="n">
        <f aca="false">Assumptions!F41</f>
        <v>11.2</v>
      </c>
      <c r="G5" s="4" t="n">
        <f aca="false">Assumptions!G41</f>
        <v>10.3</v>
      </c>
      <c r="H5" s="4" t="n">
        <f aca="false">Assumptions!H41</f>
        <v>9.5</v>
      </c>
      <c r="I5" s="4" t="n">
        <f aca="false">Assumptions!I41</f>
        <v>8.7</v>
      </c>
      <c r="J5" s="4" t="n">
        <f aca="false">Assumptions!J41</f>
        <v>7.8</v>
      </c>
      <c r="K5" s="4" t="n">
        <f aca="false">Assumptions!K41</f>
        <v>7</v>
      </c>
      <c r="L5" s="4" t="n">
        <f aca="false">Assumptions!L41</f>
        <v>6.3</v>
      </c>
    </row>
    <row r="6" customFormat="false" ht="15" hidden="false" customHeight="false" outlineLevel="0" collapsed="false">
      <c r="A6" s="0" t="s">
        <v>38</v>
      </c>
      <c r="B6" s="3" t="n">
        <v>15028.3</v>
      </c>
      <c r="C6" s="0" t="n">
        <f aca="false">B6*(1+C5/100)</f>
        <v>20483.5729</v>
      </c>
      <c r="D6" s="0" t="n">
        <f aca="false">C6*(1+D5/100)</f>
        <v>21077.5965141</v>
      </c>
      <c r="E6" s="0" t="n">
        <f aca="false">D6*(1+E5/100)</f>
        <v>22637.3386561434</v>
      </c>
      <c r="F6" s="0" t="n">
        <f aca="false">E6*(1+F5/100)</f>
        <v>25172.7205856315</v>
      </c>
      <c r="G6" s="0" t="n">
        <f aca="false">F6*(1+G5/100)</f>
        <v>27765.5108059515</v>
      </c>
      <c r="H6" s="0" t="n">
        <f aca="false">G6*(1+H5/100)</f>
        <v>30403.2343325169</v>
      </c>
      <c r="I6" s="0" t="n">
        <f aca="false">H6*(1+I5/100)</f>
        <v>33048.3157194459</v>
      </c>
      <c r="J6" s="0" t="n">
        <f aca="false">I6*(1+J5/100)</f>
        <v>35626.0843455626</v>
      </c>
      <c r="K6" s="0" t="n">
        <f aca="false">J6*(1+K5/100)</f>
        <v>38119.910249752</v>
      </c>
      <c r="L6" s="0" t="n">
        <f aca="false">K6*(1+L5/100)</f>
        <v>40521.4645954864</v>
      </c>
    </row>
    <row r="7" customFormat="false" ht="15" hidden="false" customHeight="false" outlineLevel="0" collapsed="false">
      <c r="A7" s="0" t="s">
        <v>97</v>
      </c>
      <c r="C7" s="4" t="n">
        <f aca="false">Assumptions!C42</f>
        <v>48</v>
      </c>
      <c r="D7" s="4" t="n">
        <f aca="false">Assumptions!D42</f>
        <v>43</v>
      </c>
      <c r="E7" s="4" t="n">
        <f aca="false">Assumptions!E42</f>
        <v>42</v>
      </c>
      <c r="F7" s="4" t="n">
        <f aca="false">Assumptions!F42</f>
        <v>42</v>
      </c>
      <c r="G7" s="4" t="n">
        <f aca="false">Assumptions!G42</f>
        <v>42.5</v>
      </c>
      <c r="H7" s="4" t="n">
        <f aca="false">Assumptions!H42</f>
        <v>43</v>
      </c>
      <c r="I7" s="4" t="n">
        <f aca="false">Assumptions!I42</f>
        <v>43.5</v>
      </c>
      <c r="J7" s="4" t="n">
        <f aca="false">Assumptions!J42</f>
        <v>44</v>
      </c>
      <c r="K7" s="4" t="n">
        <f aca="false">Assumptions!K42</f>
        <v>44.5</v>
      </c>
      <c r="L7" s="4" t="n">
        <f aca="false">Assumptions!L42</f>
        <v>45</v>
      </c>
    </row>
    <row r="8" customFormat="false" ht="15" hidden="false" customHeight="false" outlineLevel="0" collapsed="false">
      <c r="A8" s="0" t="s">
        <v>44</v>
      </c>
      <c r="C8" s="0" t="n">
        <f aca="false">C6*C7/100</f>
        <v>9832.114992</v>
      </c>
      <c r="D8" s="0" t="n">
        <f aca="false">D6*D7/100</f>
        <v>9063.366501063</v>
      </c>
      <c r="E8" s="0" t="n">
        <f aca="false">E6*E7/100</f>
        <v>9507.68223558023</v>
      </c>
      <c r="F8" s="0" t="n">
        <f aca="false">F6*F7/100</f>
        <v>10572.5426459652</v>
      </c>
      <c r="G8" s="0" t="n">
        <f aca="false">G6*G7/100</f>
        <v>11800.3420925294</v>
      </c>
      <c r="H8" s="0" t="n">
        <f aca="false">H6*H7/100</f>
        <v>13073.3907629823</v>
      </c>
      <c r="I8" s="0" t="n">
        <f aca="false">I6*I7/100</f>
        <v>14376.017337959</v>
      </c>
      <c r="J8" s="0" t="n">
        <f aca="false">J6*J7/100</f>
        <v>15675.4771120476</v>
      </c>
      <c r="K8" s="0" t="n">
        <f aca="false">K6*K7/100</f>
        <v>16963.3600611397</v>
      </c>
      <c r="L8" s="0" t="n">
        <f aca="false">L6*L7/100</f>
        <v>18234.6590679689</v>
      </c>
    </row>
    <row r="9" customFormat="false" ht="15" hidden="false" customHeight="false" outlineLevel="0" collapsed="false">
      <c r="A9" s="0" t="s">
        <v>98</v>
      </c>
      <c r="C9" s="4" t="n">
        <f aca="false">Assumptions!C43</f>
        <v>0.8</v>
      </c>
      <c r="D9" s="4" t="n">
        <f aca="false">Assumptions!D43</f>
        <v>0.8</v>
      </c>
      <c r="E9" s="4" t="n">
        <f aca="false">Assumptions!E43</f>
        <v>0.75</v>
      </c>
      <c r="F9" s="4" t="n">
        <f aca="false">Assumptions!F43</f>
        <v>0.75</v>
      </c>
      <c r="G9" s="4" t="n">
        <f aca="false">Assumptions!G43</f>
        <v>0.7</v>
      </c>
      <c r="H9" s="4" t="n">
        <f aca="false">Assumptions!H43</f>
        <v>0.7</v>
      </c>
      <c r="I9" s="4" t="n">
        <f aca="false">Assumptions!I43</f>
        <v>0.65</v>
      </c>
      <c r="J9" s="4" t="n">
        <f aca="false">Assumptions!J43</f>
        <v>0.65</v>
      </c>
      <c r="K9" s="4" t="n">
        <f aca="false">Assumptions!K43</f>
        <v>0.6</v>
      </c>
      <c r="L9" s="4" t="n">
        <f aca="false">Assumptions!L43</f>
        <v>0.6</v>
      </c>
    </row>
    <row r="10" customFormat="false" ht="15" hidden="false" customHeight="false" outlineLevel="0" collapsed="false">
      <c r="A10" s="0" t="s">
        <v>113</v>
      </c>
      <c r="C10" s="0" t="n">
        <f aca="false">-C6*C9/100</f>
        <v>-163.8685832</v>
      </c>
      <c r="D10" s="0" t="n">
        <f aca="false">-D6*D9/100</f>
        <v>-168.6207721128</v>
      </c>
      <c r="E10" s="0" t="n">
        <f aca="false">-E6*E9/100</f>
        <v>-169.780039921075</v>
      </c>
      <c r="F10" s="0" t="n">
        <f aca="false">-F6*F9/100</f>
        <v>-188.795404392236</v>
      </c>
      <c r="G10" s="0" t="n">
        <f aca="false">-G6*G9/100</f>
        <v>-194.358575641661</v>
      </c>
      <c r="H10" s="0" t="n">
        <f aca="false">-H6*H9/100</f>
        <v>-212.822640327618</v>
      </c>
      <c r="I10" s="0" t="n">
        <f aca="false">-I6*I9/100</f>
        <v>-214.814052176398</v>
      </c>
      <c r="J10" s="0" t="n">
        <f aca="false">-J6*J9/100</f>
        <v>-231.569548246157</v>
      </c>
      <c r="K10" s="0" t="n">
        <f aca="false">-K6*K9/100</f>
        <v>-228.719461498512</v>
      </c>
      <c r="L10" s="0" t="n">
        <f aca="false">-L6*L9/100</f>
        <v>-243.128787572918</v>
      </c>
    </row>
    <row r="11" customFormat="false" ht="15" hidden="false" customHeight="false" outlineLevel="0" collapsed="false">
      <c r="A11" s="0" t="s">
        <v>114</v>
      </c>
      <c r="C11" s="0" t="n">
        <f aca="false">C8+C10+C24</f>
        <v>9633.42433487</v>
      </c>
      <c r="D11" s="0" t="n">
        <f aca="false">D8+D10+D24</f>
        <v>8858.91381487623</v>
      </c>
      <c r="E11" s="0" t="n">
        <f aca="false">E8+E10+E24</f>
        <v>9299.41871994371</v>
      </c>
      <c r="F11" s="0" t="n">
        <f aca="false">F8+F10+F24</f>
        <v>10340.9536165774</v>
      </c>
      <c r="G11" s="0" t="n">
        <f aca="false">G8+G10+G24</f>
        <v>11558.7821485176</v>
      </c>
      <c r="H11" s="0" t="n">
        <f aca="false">H8+H10+H24</f>
        <v>12808.8826242894</v>
      </c>
      <c r="I11" s="0" t="n">
        <f aca="false">I8+I10+I24</f>
        <v>14105.0211490595</v>
      </c>
      <c r="J11" s="0" t="n">
        <f aca="false">J8+J10+J24</f>
        <v>15383.3432204139</v>
      </c>
      <c r="K11" s="0" t="n">
        <f aca="false">K8+K10+K24</f>
        <v>16669.8367522166</v>
      </c>
      <c r="L11" s="0" t="n">
        <f aca="false">L8+L10+L24</f>
        <v>17922.6437905836</v>
      </c>
    </row>
    <row r="12" customFormat="false" ht="15" hidden="false" customHeight="false" outlineLevel="0" collapsed="false">
      <c r="A12" s="0" t="s">
        <v>115</v>
      </c>
      <c r="C12" s="4" t="n">
        <f aca="false">-C6*Assumptions!C45/100</f>
        <v>-491.6057496</v>
      </c>
      <c r="D12" s="4" t="n">
        <f aca="false">-D6*Assumptions!D45/100</f>
        <v>-505.8623163384</v>
      </c>
      <c r="E12" s="4" t="n">
        <f aca="false">-E6*Assumptions!E45/100</f>
        <v>-520.658789091298</v>
      </c>
      <c r="F12" s="4" t="n">
        <f aca="false">-F6*Assumptions!F45/100</f>
        <v>-578.972573469524</v>
      </c>
      <c r="G12" s="4" t="n">
        <f aca="false">-G6*Assumptions!G45/100</f>
        <v>-638.606748536884</v>
      </c>
      <c r="H12" s="4" t="n">
        <f aca="false">-H6*Assumptions!H45/100</f>
        <v>-668.871155315372</v>
      </c>
      <c r="I12" s="4" t="n">
        <f aca="false">-I6*Assumptions!I45/100</f>
        <v>-727.062945827809</v>
      </c>
      <c r="J12" s="4" t="n">
        <f aca="false">-J6*Assumptions!J45/100</f>
        <v>-783.773855602378</v>
      </c>
      <c r="K12" s="4" t="n">
        <f aca="false">-K6*Assumptions!K45/100</f>
        <v>-838.638025494545</v>
      </c>
      <c r="L12" s="4" t="n">
        <f aca="false">-L6*Assumptions!L45/100</f>
        <v>-891.472221100701</v>
      </c>
    </row>
    <row r="13" customFormat="false" ht="15" hidden="false" customHeight="false" outlineLevel="0" collapsed="false">
      <c r="A13" s="0" t="s">
        <v>116</v>
      </c>
      <c r="C13" s="0" t="n">
        <f aca="false">C11+C12</f>
        <v>9141.81858527</v>
      </c>
      <c r="D13" s="0" t="n">
        <f aca="false">D11+D12</f>
        <v>8353.05149853783</v>
      </c>
      <c r="E13" s="0" t="n">
        <f aca="false">E11+E12</f>
        <v>8778.75993085241</v>
      </c>
      <c r="F13" s="0" t="n">
        <f aca="false">F11+F12</f>
        <v>9761.98104310788</v>
      </c>
      <c r="G13" s="0" t="n">
        <f aca="false">G11+G12</f>
        <v>10920.1753999807</v>
      </c>
      <c r="H13" s="0" t="n">
        <f aca="false">H11+H12</f>
        <v>12140.011468974</v>
      </c>
      <c r="I13" s="0" t="n">
        <f aca="false">I11+I12</f>
        <v>13377.9582032317</v>
      </c>
      <c r="J13" s="0" t="n">
        <f aca="false">J11+J12</f>
        <v>14599.5693648116</v>
      </c>
      <c r="K13" s="0" t="n">
        <f aca="false">K11+K12</f>
        <v>15831.198726722</v>
      </c>
      <c r="L13" s="0" t="n">
        <f aca="false">L11+L12</f>
        <v>17031.1715694829</v>
      </c>
    </row>
    <row r="14" customFormat="false" ht="15" hidden="false" customHeight="false" outlineLevel="0" collapsed="false">
      <c r="A14" s="0" t="s">
        <v>102</v>
      </c>
      <c r="C14" s="4" t="n">
        <f aca="false">Assumptions!C47</f>
        <v>17</v>
      </c>
      <c r="D14" s="4" t="n">
        <f aca="false">Assumptions!D47</f>
        <v>17</v>
      </c>
      <c r="E14" s="4" t="n">
        <f aca="false">Assumptions!E47</f>
        <v>18</v>
      </c>
      <c r="F14" s="4" t="n">
        <f aca="false">Assumptions!F47</f>
        <v>18</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117</v>
      </c>
      <c r="C15" s="0" t="n">
        <f aca="false">C13-MAX(0,C13)*C14/100</f>
        <v>7587.7094257741</v>
      </c>
      <c r="D15" s="0" t="n">
        <f aca="false">D13-MAX(0,D13)*D14/100</f>
        <v>6933.0327437864</v>
      </c>
      <c r="E15" s="0" t="n">
        <f aca="false">E13-MAX(0,E13)*E14/100</f>
        <v>7198.58314329898</v>
      </c>
      <c r="F15" s="0" t="n">
        <f aca="false">F13-MAX(0,F13)*F14/100</f>
        <v>8004.82445534846</v>
      </c>
      <c r="G15" s="0" t="n">
        <f aca="false">G13-MAX(0,G13)*G14/100</f>
        <v>8954.5438279842</v>
      </c>
      <c r="H15" s="0" t="n">
        <f aca="false">H13-MAX(0,H13)*H14/100</f>
        <v>9954.80940455868</v>
      </c>
      <c r="I15" s="0" t="n">
        <f aca="false">I13-MAX(0,I13)*I14/100</f>
        <v>10969.92572665</v>
      </c>
      <c r="J15" s="0" t="n">
        <f aca="false">J13-MAX(0,J13)*J14/100</f>
        <v>11971.6468791455</v>
      </c>
      <c r="K15" s="0" t="n">
        <f aca="false">K13-MAX(0,K13)*K14/100</f>
        <v>12981.5829559121</v>
      </c>
      <c r="L15" s="0" t="n">
        <f aca="false">L13-MAX(0,L13)*L14/100</f>
        <v>13965.560686976</v>
      </c>
    </row>
    <row r="16" customFormat="false" ht="15" hidden="false" customHeight="false" outlineLevel="0" collapsed="false">
      <c r="A16" s="0" t="s">
        <v>118</v>
      </c>
      <c r="C16" s="0" t="n">
        <f aca="false">-C12</f>
        <v>491.6057496</v>
      </c>
      <c r="D16" s="0" t="n">
        <f aca="false">-D12</f>
        <v>505.8623163384</v>
      </c>
      <c r="E16" s="0" t="n">
        <f aca="false">-E12</f>
        <v>520.658789091298</v>
      </c>
      <c r="F16" s="0" t="n">
        <f aca="false">-F12</f>
        <v>578.972573469524</v>
      </c>
      <c r="G16" s="0" t="n">
        <f aca="false">-G12</f>
        <v>638.606748536884</v>
      </c>
      <c r="H16" s="0" t="n">
        <f aca="false">-H12</f>
        <v>668.871155315372</v>
      </c>
      <c r="I16" s="0" t="n">
        <f aca="false">-I12</f>
        <v>727.062945827809</v>
      </c>
      <c r="J16" s="0" t="n">
        <f aca="false">-J12</f>
        <v>783.773855602378</v>
      </c>
      <c r="K16" s="0" t="n">
        <f aca="false">-K12</f>
        <v>838.638025494545</v>
      </c>
      <c r="L16" s="0" t="n">
        <f aca="false">-L12</f>
        <v>891.472221100701</v>
      </c>
    </row>
    <row r="17" customFormat="false" ht="15" hidden="false" customHeight="false" outlineLevel="0" collapsed="false">
      <c r="A17" s="0" t="s">
        <v>119</v>
      </c>
      <c r="C17" s="4" t="n">
        <f aca="false">-C6*Assumptions!C46/100</f>
        <v>-614.507187</v>
      </c>
      <c r="D17" s="4" t="n">
        <f aca="false">-D6*Assumptions!D46/100</f>
        <v>-632.327895423</v>
      </c>
      <c r="E17" s="4" t="n">
        <f aca="false">-E6*Assumptions!E46/100</f>
        <v>-633.845482372015</v>
      </c>
      <c r="F17" s="4" t="n">
        <f aca="false">-F6*Assumptions!F46/100</f>
        <v>-704.836176397681</v>
      </c>
      <c r="G17" s="4" t="n">
        <f aca="false">-G6*Assumptions!G46/100</f>
        <v>-721.903280954739</v>
      </c>
      <c r="H17" s="4" t="n">
        <f aca="false">-H6*Assumptions!H46/100</f>
        <v>-790.484092645439</v>
      </c>
      <c r="I17" s="4" t="n">
        <f aca="false">-I6*Assumptions!I46/100</f>
        <v>-826.207892986147</v>
      </c>
      <c r="J17" s="4" t="n">
        <f aca="false">-J6*Assumptions!J46/100</f>
        <v>-890.652108639066</v>
      </c>
      <c r="K17" s="4" t="n">
        <f aca="false">-K6*Assumptions!K46/100</f>
        <v>-914.877845994049</v>
      </c>
      <c r="L17" s="4" t="n">
        <f aca="false">-L6*Assumptions!L46/100</f>
        <v>-972.515150291674</v>
      </c>
    </row>
    <row r="18" customFormat="false" ht="15" hidden="false" customHeight="false" outlineLevel="0" collapsed="false">
      <c r="A18" s="0" t="s">
        <v>120</v>
      </c>
      <c r="C18" s="4" t="n">
        <f aca="false">(C6-B6)*Assumptions!$B$51/100</f>
        <v>-163.658187</v>
      </c>
      <c r="D18" s="4" t="n">
        <f aca="false">(D6-C6)*Assumptions!$B$51/100</f>
        <v>-17.820708423</v>
      </c>
      <c r="E18" s="4" t="n">
        <f aca="false">(E6-D6)*Assumptions!$B$51/100</f>
        <v>-46.792264261302</v>
      </c>
      <c r="F18" s="4" t="n">
        <f aca="false">(F6-E6)*Assumptions!$B$51/100</f>
        <v>-76.0614578846419</v>
      </c>
      <c r="G18" s="4" t="n">
        <f aca="false">(G6-F6)*Assumptions!$B$51/100</f>
        <v>-77.7837066096012</v>
      </c>
      <c r="H18" s="4" t="n">
        <f aca="false">(H6-G6)*Assumptions!$B$51/100</f>
        <v>-79.1317057969617</v>
      </c>
      <c r="I18" s="4" t="n">
        <f aca="false">(I6-H6)*Assumptions!$B$51/100</f>
        <v>-79.3524416078691</v>
      </c>
      <c r="J18" s="4" t="n">
        <f aca="false">(J6-I6)*Assumptions!$B$51/100</f>
        <v>-77.3330587835033</v>
      </c>
      <c r="K18" s="4" t="n">
        <f aca="false">(K6-J6)*Assumptions!$B$51/100</f>
        <v>-74.8147771256815</v>
      </c>
      <c r="L18" s="4" t="n">
        <f aca="false">(L6-K6)*Assumptions!$B$51/100</f>
        <v>-72.0466303720312</v>
      </c>
    </row>
    <row r="19" customFormat="false" ht="15" hidden="false" customHeight="false" outlineLevel="0" collapsed="false">
      <c r="A19" s="0" t="s">
        <v>121</v>
      </c>
      <c r="C19" s="0" t="n">
        <f aca="false">C15+C16+C17+C18</f>
        <v>7301.1498013741</v>
      </c>
      <c r="D19" s="0" t="n">
        <f aca="false">D15+D16+D17+D18</f>
        <v>6788.7464562788</v>
      </c>
      <c r="E19" s="0" t="n">
        <f aca="false">E15+E16+E17+E18</f>
        <v>7038.60418575696</v>
      </c>
      <c r="F19" s="0" t="n">
        <f aca="false">F15+F16+F17+F18</f>
        <v>7802.89939453566</v>
      </c>
      <c r="G19" s="0" t="n">
        <f aca="false">G15+G16+G17+G18</f>
        <v>8793.46358895674</v>
      </c>
      <c r="H19" s="0" t="n">
        <f aca="false">H15+H16+H17+H18</f>
        <v>9754.06476143165</v>
      </c>
      <c r="I19" s="0" t="n">
        <f aca="false">I15+I16+I17+I18</f>
        <v>10791.4283378838</v>
      </c>
      <c r="J19" s="0" t="n">
        <f aca="false">J15+J16+J17+J18</f>
        <v>11787.4355673253</v>
      </c>
      <c r="K19" s="0" t="n">
        <f aca="false">K15+K16+K17+K18</f>
        <v>12830.5283582869</v>
      </c>
      <c r="L19" s="0" t="n">
        <f aca="false">L15+L16+L17+L18</f>
        <v>13812.471127413</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6698.30257006798</v>
      </c>
      <c r="D21" s="0" t="n">
        <f aca="false">D19*D20</f>
        <v>5713.95207160912</v>
      </c>
      <c r="E21" s="0" t="n">
        <f aca="false">E19*E20</f>
        <v>5435.09387493018</v>
      </c>
      <c r="F21" s="0" t="n">
        <f aca="false">F19*F20</f>
        <v>5527.77065049442</v>
      </c>
      <c r="G21" s="0" t="n">
        <f aca="false">G19*G20</f>
        <v>5715.14798073468</v>
      </c>
      <c r="H21" s="0" t="n">
        <f aca="false">H19*H20</f>
        <v>5816.0301215056</v>
      </c>
      <c r="I21" s="0" t="n">
        <f aca="false">I19*I20</f>
        <v>5903.28085159502</v>
      </c>
      <c r="J21" s="0" t="n">
        <f aca="false">J19*J20</f>
        <v>5915.71643505601</v>
      </c>
      <c r="K21" s="0" t="n">
        <f aca="false">K19*K20</f>
        <v>5907.53168202695</v>
      </c>
      <c r="L21" s="0" t="n">
        <f aca="false">L19*L20</f>
        <v>5834.53707415393</v>
      </c>
    </row>
    <row r="23" customFormat="false" ht="15" hidden="false" customHeight="false" outlineLevel="0" collapsed="false">
      <c r="A23" s="0" t="s">
        <v>99</v>
      </c>
      <c r="C23" s="4" t="n">
        <f aca="false">Assumptions!C44</f>
        <v>0.17</v>
      </c>
      <c r="D23" s="4" t="n">
        <f aca="false">Assumptions!D44</f>
        <v>0.17</v>
      </c>
      <c r="E23" s="4" t="n">
        <f aca="false">Assumptions!E44</f>
        <v>0.17</v>
      </c>
      <c r="F23" s="4" t="n">
        <f aca="false">Assumptions!F44</f>
        <v>0.17</v>
      </c>
      <c r="G23" s="4" t="n">
        <f aca="false">Assumptions!G44</f>
        <v>0.17</v>
      </c>
      <c r="H23" s="4" t="n">
        <f aca="false">Assumptions!H44</f>
        <v>0.17</v>
      </c>
      <c r="I23" s="4" t="n">
        <f aca="false">Assumptions!I44</f>
        <v>0.17</v>
      </c>
      <c r="J23" s="4" t="n">
        <f aca="false">Assumptions!J44</f>
        <v>0.17</v>
      </c>
      <c r="K23" s="4" t="n">
        <f aca="false">Assumptions!K44</f>
        <v>0.17</v>
      </c>
      <c r="L23" s="4" t="n">
        <f aca="false">Assumptions!L44</f>
        <v>0.17</v>
      </c>
    </row>
    <row r="24" customFormat="false" ht="15" hidden="false" customHeight="false" outlineLevel="0" collapsed="false">
      <c r="A24" s="0" t="s">
        <v>124</v>
      </c>
      <c r="C24" s="0" t="n">
        <f aca="false">-C6*C23/100</f>
        <v>-34.82207393</v>
      </c>
      <c r="D24" s="0" t="n">
        <f aca="false">-D6*D23/100</f>
        <v>-35.83191407397</v>
      </c>
      <c r="E24" s="0" t="n">
        <f aca="false">-E6*E23/100</f>
        <v>-38.4834757154438</v>
      </c>
      <c r="F24" s="0" t="n">
        <f aca="false">-F6*F23/100</f>
        <v>-42.7936249955735</v>
      </c>
      <c r="G24" s="0" t="n">
        <f aca="false">-G6*G23/100</f>
        <v>-47.2013683701176</v>
      </c>
      <c r="H24" s="0" t="n">
        <f aca="false">-H6*H23/100</f>
        <v>-51.6854983652787</v>
      </c>
      <c r="I24" s="0" t="n">
        <f aca="false">-I6*I23/100</f>
        <v>-56.182136723058</v>
      </c>
      <c r="J24" s="0" t="n">
        <f aca="false">-J6*J23/100</f>
        <v>-60.5643433874565</v>
      </c>
      <c r="K24" s="0" t="n">
        <f aca="false">-K6*K23/100</f>
        <v>-64.8038474245785</v>
      </c>
      <c r="L24" s="0" t="n">
        <f aca="false">-L6*L23/100</f>
        <v>-68.8864898123269</v>
      </c>
    </row>
    <row r="26" customFormat="false" ht="15" hidden="false" customHeight="false" outlineLevel="0" collapsed="false">
      <c r="A26" s="2" t="s">
        <v>125</v>
      </c>
    </row>
    <row r="27" customFormat="false" ht="15" hidden="false" customHeight="false" outlineLevel="0" collapsed="false">
      <c r="A27" s="0" t="s">
        <v>103</v>
      </c>
      <c r="B27" s="4" t="n">
        <f aca="false">Assumptions!$B$48</f>
        <v>9</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20</v>
      </c>
    </row>
    <row r="30" customFormat="false" ht="15" hidden="false" customHeight="false" outlineLevel="0" collapsed="false">
      <c r="A30" s="0" t="s">
        <v>126</v>
      </c>
      <c r="B30" s="0" t="n">
        <f aca="false">SUM(C21:L21)</f>
        <v>58467.3633121739</v>
      </c>
    </row>
    <row r="31" customFormat="false" ht="15" hidden="false" customHeight="false" outlineLevel="0" collapsed="false">
      <c r="A31" s="0" t="s">
        <v>127</v>
      </c>
      <c r="B31" s="0" t="n">
        <f aca="false">L19</f>
        <v>13812.471127413</v>
      </c>
    </row>
    <row r="32" customFormat="false" ht="15" hidden="false" customHeight="false" outlineLevel="0" collapsed="false">
      <c r="A32" s="0" t="s">
        <v>128</v>
      </c>
      <c r="B32" s="0" t="n">
        <f aca="false">IF(B27&gt;B28,B31*(1+B28/100)/((B27-B28)/100),B31*B29)</f>
        <v>237114.087687257</v>
      </c>
    </row>
    <row r="33" customFormat="false" ht="15" hidden="false" customHeight="false" outlineLevel="0" collapsed="false">
      <c r="A33" s="0" t="s">
        <v>129</v>
      </c>
      <c r="B33" s="0" t="n">
        <f aca="false">B31*B29</f>
        <v>276249.42254826</v>
      </c>
    </row>
    <row r="34" customFormat="false" ht="15" hidden="false" customHeight="false" outlineLevel="0" collapsed="false">
      <c r="A34" s="0" t="s">
        <v>130</v>
      </c>
      <c r="B34" s="0" t="n">
        <f aca="false">MAX(0,MIN(B32,B33))</f>
        <v>237114.087687257</v>
      </c>
    </row>
    <row r="35" customFormat="false" ht="15" hidden="false" customHeight="false" outlineLevel="0" collapsed="false">
      <c r="A35" s="0" t="s">
        <v>131</v>
      </c>
      <c r="B35" s="0" t="n">
        <f aca="false">B34/(1+B27/100)^L4</f>
        <v>100159.553106309</v>
      </c>
    </row>
    <row r="36" customFormat="false" ht="15" hidden="false" customHeight="false" outlineLevel="0" collapsed="false">
      <c r="A36" s="0" t="s">
        <v>132</v>
      </c>
      <c r="B36" s="0" t="n">
        <f aca="false">B30+B35</f>
        <v>158626.916418483</v>
      </c>
    </row>
    <row r="37" customFormat="false" ht="15" hidden="false" customHeight="false" outlineLevel="0" collapsed="false">
      <c r="A37" s="0" t="s">
        <v>133</v>
      </c>
      <c r="B37" s="0" t="n">
        <f aca="false">B36+Assumptions!$B$5-Assumptions!$B$4</f>
        <v>192198.516418483</v>
      </c>
    </row>
    <row r="38" customFormat="false" ht="15" hidden="false" customHeight="false" outlineLevel="0" collapsed="false">
      <c r="A38" s="0" t="s">
        <v>134</v>
      </c>
      <c r="B38" s="0" t="n">
        <f aca="false">B37/Assumptions!$B$3*Assumptions!$B$10</f>
        <v>37.1023127187185</v>
      </c>
    </row>
    <row r="39" customFormat="false" ht="15" hidden="false" customHeight="false" outlineLevel="0" collapsed="false">
      <c r="A39" s="0" t="s">
        <v>135</v>
      </c>
      <c r="B39" s="4" t="n">
        <f aca="false">B38/Assumptions!$B$2-1</f>
        <v>0.164542144341447</v>
      </c>
    </row>
    <row r="41" customFormat="false" ht="15" hidden="false" customHeight="false" outlineLevel="0" collapsed="false">
      <c r="A41" s="0" t="s">
        <v>136</v>
      </c>
      <c r="B41" s="0" t="n">
        <f aca="false">SUMPRODUCT(-C10:L10/(1+$B$27/100)^C4:L4)</f>
        <v>1252.06718329645</v>
      </c>
    </row>
    <row r="42" customFormat="false" ht="15" hidden="false" customHeight="false" outlineLevel="0" collapsed="false">
      <c r="A42" s="0" t="s">
        <v>137</v>
      </c>
      <c r="B42" s="0" t="n">
        <f aca="false">IF(B27&gt;B28,-L10*(1+B28/100)/((B27-B28)/100),-L10*20)/(1+B27/100)^L4</f>
        <v>1763.02056930657</v>
      </c>
    </row>
    <row r="43" customFormat="false" ht="15" hidden="false" customHeight="false" outlineLevel="0" collapsed="false">
      <c r="A43" s="0" t="s">
        <v>138</v>
      </c>
      <c r="B43" s="0" t="n">
        <f aca="false">(B37+B41+B42)/Assumptions!$B$3*Assumptions!$B$10</f>
        <v>37.6843501389652</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118557.043843628</v>
      </c>
    </row>
    <row r="47" customFormat="false" ht="15" hidden="false" customHeight="false" outlineLevel="0" collapsed="false">
      <c r="A47" s="0" t="s">
        <v>140</v>
      </c>
      <c r="B47" s="0" t="n">
        <f aca="false">(SUMPRODUCT(C19:L19/(1+B45/100)^C4:L4)+B46/(1+B45/100)^L4+Assumptions!$B$5-Assumptions!$B$4)/Assumptions!$B$3*Assumptions!$B$10</f>
        <v>20.6572036665616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17.7874571314645</v>
      </c>
      <c r="C4" s="0" t="n">
        <f aca="false">B4/Assumptions!$B$2-1</f>
        <v>-0.441699399514611</v>
      </c>
      <c r="D4" s="4" t="n">
        <f aca="false">Assumptions!$B$24</f>
        <v>0.25</v>
      </c>
      <c r="E4" s="4" t="n">
        <f aca="false">DCF_Bear!$B$43</f>
        <v>18.1606366696167</v>
      </c>
      <c r="F4" s="4" t="n">
        <f aca="false">DCF_Bear!$B$47</f>
        <v>12.7287061607641</v>
      </c>
    </row>
    <row r="5" customFormat="false" ht="15" hidden="false" customHeight="false" outlineLevel="0" collapsed="false">
      <c r="A5" s="0" t="s">
        <v>149</v>
      </c>
      <c r="B5" s="4" t="n">
        <f aca="false">DCF_Base!$B$38</f>
        <v>27.0985648655937</v>
      </c>
      <c r="C5" s="0" t="n">
        <f aca="false">B5/Assumptions!$B$2-1</f>
        <v>-0.149448685951234</v>
      </c>
      <c r="D5" s="4" t="n">
        <f aca="false">Assumptions!$B$38</f>
        <v>0.5</v>
      </c>
      <c r="E5" s="4" t="n">
        <f aca="false">DCF_Base!$B$43</f>
        <v>27.5418344586941</v>
      </c>
      <c r="F5" s="4" t="n">
        <f aca="false">DCF_Base!$B$47</f>
        <v>16.8361499086485</v>
      </c>
    </row>
    <row r="6" customFormat="false" ht="15" hidden="false" customHeight="false" outlineLevel="0" collapsed="false">
      <c r="A6" s="0" t="s">
        <v>150</v>
      </c>
      <c r="B6" s="4" t="n">
        <f aca="false">DCF_Bull!$B$38</f>
        <v>37.1023127187185</v>
      </c>
      <c r="C6" s="0" t="n">
        <f aca="false">B6/Assumptions!$B$2-1</f>
        <v>0.164542144341447</v>
      </c>
      <c r="D6" s="4" t="n">
        <f aca="false">Assumptions!$B$52</f>
        <v>0.25</v>
      </c>
      <c r="E6" s="4" t="n">
        <f aca="false">DCF_Bull!$B$43</f>
        <v>37.6843501389652</v>
      </c>
      <c r="F6" s="4" t="n">
        <f aca="false">DCF_Bull!$B$47</f>
        <v>20.6572036665616</v>
      </c>
    </row>
    <row r="8" customFormat="false" ht="15" hidden="false" customHeight="false" outlineLevel="0" collapsed="false">
      <c r="A8" s="0" t="s">
        <v>151</v>
      </c>
      <c r="B8" s="0" t="n">
        <f aca="false">SUMPRODUCT(B4:B6,D4:D6)</f>
        <v>27.2717248953426</v>
      </c>
    </row>
    <row r="9" customFormat="false" ht="15" hidden="false" customHeight="false" outlineLevel="0" collapsed="false">
      <c r="A9" s="0" t="s">
        <v>152</v>
      </c>
      <c r="B9" s="0" t="n">
        <f aca="false">SUMPRODUCT(E4:E6,D4:D6)</f>
        <v>27.7321639314925</v>
      </c>
    </row>
    <row r="10" customFormat="false" ht="15" hidden="false" customHeight="false" outlineLevel="0" collapsed="false">
      <c r="A10" s="0" t="s">
        <v>153</v>
      </c>
      <c r="B10" s="0" t="n">
        <f aca="false">1-Assumptions!$B$2/B8</f>
        <v>-0.16824293741101</v>
      </c>
    </row>
    <row r="11" customFormat="false" ht="15" hidden="false" customHeight="false" outlineLevel="0" collapsed="false">
      <c r="A11" s="0" t="s">
        <v>154</v>
      </c>
      <c r="B11" s="0" t="n">
        <f aca="false">IF(ABS(B9-B8)&gt;0.01*ABS(B8),(Assumptions!$B$2-B8)/(B9-B8)*100,"n/a")</f>
        <v>996.500023764985</v>
      </c>
    </row>
    <row r="12" customFormat="false" ht="15" hidden="false" customHeight="false" outlineLevel="0" collapsed="false">
      <c r="A12" s="0" t="s">
        <v>155</v>
      </c>
      <c r="B12" s="0" t="n">
        <f aca="false">SUMPRODUCT(F4:F6,D4:D6)</f>
        <v>16.7645524111557</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27.0985648655937</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24.2296696719224</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22.0428930234758</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20.3223635378833</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16.8361499086485</v>
      </c>
      <c r="C19" s="3" t="n">
        <v>15</v>
      </c>
    </row>
    <row r="21" customFormat="false" ht="15" hidden="false" customHeight="false" outlineLevel="0" collapsed="false">
      <c r="A21" s="2" t="s">
        <v>163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32.4078283732054</v>
      </c>
      <c r="C23" s="0" t="n">
        <f aca="false">(SUMPRODUCT(DCF_Base!$C$19:$L$19/(1+$A$23/100)^DCF_Base!$C$4:$L$4)+MAX(0,MIN(IF($A$23&gt;$C$22,DCF_Base!$L$19*(1+$C$22/100)/(($A$23-$C$22)/100),DCF_Base!$L$19*DCF_Base!$B$29),DCF_Base!$L$19*DCF_Base!$B$29))/(1+$A$23/100)^DCF_Base!$L$4+Assumptions!$B$5-Assumptions!$B$4)/Assumptions!$B$3*Assumptions!$B$10</f>
        <v>32.4078283732054</v>
      </c>
      <c r="D23" s="0" t="n">
        <f aca="false">(SUMPRODUCT(DCF_Base!$C$19:$L$19/(1+$A$23/100)^DCF_Base!$C$4:$L$4)+MAX(0,MIN(IF($A$23&gt;$D$22,DCF_Base!$L$19*(1+$D$22/100)/(($A$23-$D$22)/100),DCF_Base!$L$19*DCF_Base!$B$29),DCF_Base!$L$19*DCF_Base!$B$29))/(1+$A$23/100)^DCF_Base!$L$4+Assumptions!$B$5-Assumptions!$B$4)/Assumptions!$B$3*Assumptions!$B$10</f>
        <v>32.4078283732054</v>
      </c>
      <c r="E23" s="0" t="n">
        <f aca="false">(SUMPRODUCT(DCF_Base!$C$19:$L$19/(1+$A$23/100)^DCF_Base!$C$4:$L$4)+MAX(0,MIN(IF($A$23&gt;$E$22,DCF_Base!$L$19*(1+$E$22/100)/(($A$23-$E$22)/100),DCF_Base!$L$19*DCF_Base!$B$29),DCF_Base!$L$19*DCF_Base!$B$29))/(1+$A$23/100)^DCF_Base!$L$4+Assumptions!$B$5-Assumptions!$B$4)/Assumptions!$B$3*Assumptions!$B$10</f>
        <v>32.4078283732054</v>
      </c>
      <c r="F23" s="0" t="n">
        <f aca="false">(SUMPRODUCT(DCF_Base!$C$19:$L$19/(1+$A$23/100)^DCF_Base!$C$4:$L$4)+MAX(0,MIN(IF($A$23&gt;$F$22,DCF_Base!$L$19*(1+$F$22/100)/(($A$23-$F$22)/100),DCF_Base!$L$19*DCF_Base!$B$29),DCF_Base!$L$19*DCF_Base!$B$29))/(1+$A$23/100)^DCF_Base!$L$4+Assumptions!$B$5-Assumptions!$B$4)/Assumptions!$B$3*Assumptions!$B$10</f>
        <v>32.4078283732054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28.5461591641897</v>
      </c>
      <c r="C24" s="0" t="n">
        <f aca="false">(SUMPRODUCT(DCF_Base!$C$19:$L$19/(1+$A$24/100)^DCF_Base!$C$4:$L$4)+MAX(0,MIN(IF($A$24&gt;$C$22,DCF_Base!$L$19*(1+$C$22/100)/(($A$24-$C$22)/100),DCF_Base!$L$19*DCF_Base!$B$29),DCF_Base!$L$19*DCF_Base!$B$29))/(1+$A$24/100)^DCF_Base!$L$4+Assumptions!$B$5-Assumptions!$B$4)/Assumptions!$B$3*Assumptions!$B$10</f>
        <v>29.6811581967068</v>
      </c>
      <c r="D24" s="0" t="n">
        <f aca="false">(SUMPRODUCT(DCF_Base!$C$19:$L$19/(1+$A$24/100)^DCF_Base!$C$4:$L$4)+MAX(0,MIN(IF($A$24&gt;$D$22,DCF_Base!$L$19*(1+$D$22/100)/(($A$24-$D$22)/100),DCF_Base!$L$19*DCF_Base!$B$29),DCF_Base!$L$19*DCF_Base!$B$29))/(1+$A$24/100)^DCF_Base!$L$4+Assumptions!$B$5-Assumptions!$B$4)/Assumptions!$B$3*Assumptions!$B$10</f>
        <v>30.5008797201914</v>
      </c>
      <c r="E24" s="0" t="n">
        <f aca="false">(SUMPRODUCT(DCF_Base!$C$19:$L$19/(1+$A$24/100)^DCF_Base!$C$4:$L$4)+MAX(0,MIN(IF($A$24&gt;$E$22,DCF_Base!$L$19*(1+$E$22/100)/(($A$24-$E$22)/100),DCF_Base!$L$19*DCF_Base!$B$29),DCF_Base!$L$19*DCF_Base!$B$29))/(1+$A$24/100)^DCF_Base!$L$4+Assumptions!$B$5-Assumptions!$B$4)/Assumptions!$B$3*Assumptions!$B$10</f>
        <v>30.5008797201914</v>
      </c>
      <c r="F24" s="0" t="n">
        <f aca="false">(SUMPRODUCT(DCF_Base!$C$19:$L$19/(1+$A$24/100)^DCF_Base!$C$4:$L$4)+MAX(0,MIN(IF($A$24&gt;$F$22,DCF_Base!$L$19*(1+$F$22/100)/(($A$24-$F$22)/100),DCF_Base!$L$19*DCF_Base!$B$29),DCF_Base!$L$19*DCF_Base!$B$29))/(1+$A$24/100)^DCF_Base!$L$4+Assumptions!$B$5-Assumptions!$B$4)/Assumptions!$B$3*Assumptions!$B$10</f>
        <v>30.5008797201914</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25.4271248630954</v>
      </c>
      <c r="C25" s="0" t="n">
        <f aca="false">(SUMPRODUCT(DCF_Base!$C$19:$L$19/(1+$A$25/100)^DCF_Base!$C$4:$L$4)+MAX(0,MIN(IF($A$25&gt;$C$22,DCF_Base!$L$19*(1+$C$22/100)/(($A$25-$C$22)/100),DCF_Base!$L$19*DCF_Base!$B$29),DCF_Base!$L$19*DCF_Base!$B$29))/(1+$A$25/100)^DCF_Base!$L$4+Assumptions!$B$5-Assumptions!$B$4)/Assumptions!$B$3*Assumptions!$B$10</f>
        <v>26.203150578541</v>
      </c>
      <c r="D25" s="0" t="n">
        <f aca="false">(SUMPRODUCT(DCF_Base!$C$19:$L$19/(1+$A$25/100)^DCF_Base!$C$4:$L$4)+MAX(0,MIN(IF($A$25&gt;$D$22,DCF_Base!$L$19*(1+$D$22/100)/(($A$25-$D$22)/100),DCF_Base!$L$19*DCF_Base!$B$29),DCF_Base!$L$19*DCF_Base!$B$29))/(1+$A$25/100)^DCF_Base!$L$4+Assumptions!$B$5-Assumptions!$B$4)/Assumptions!$B$3*Assumptions!$B$10</f>
        <v>27.0985648655937</v>
      </c>
      <c r="E25" s="0" t="n">
        <f aca="false">(SUMPRODUCT(DCF_Base!$C$19:$L$19/(1+$A$25/100)^DCF_Base!$C$4:$L$4)+MAX(0,MIN(IF($A$25&gt;$E$22,DCF_Base!$L$19*(1+$E$22/100)/(($A$25-$E$22)/100),DCF_Base!$L$19*DCF_Base!$B$29),DCF_Base!$L$19*DCF_Base!$B$29))/(1+$A$25/100)^DCF_Base!$L$4+Assumptions!$B$5-Assumptions!$B$4)/Assumptions!$B$3*Assumptions!$B$10</f>
        <v>28.1432148671551</v>
      </c>
      <c r="F25" s="0" t="n">
        <f aca="false">(SUMPRODUCT(DCF_Base!$C$19:$L$19/(1+$A$25/100)^DCF_Base!$C$4:$L$4)+MAX(0,MIN(IF($A$25&gt;$F$22,DCF_Base!$L$19*(1+$F$22/100)/(($A$25-$F$22)/100),DCF_Base!$L$19*DCF_Base!$B$29),DCF_Base!$L$19*DCF_Base!$B$29))/(1+$A$25/100)^DCF_Base!$L$4+Assumptions!$B$5-Assumptions!$B$4)/Assumptions!$B$3*Assumptions!$B$10</f>
        <v>28.7661712901046</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23.0523631825558</v>
      </c>
      <c r="C26" s="0" t="n">
        <f aca="false">(SUMPRODUCT(DCF_Base!$C$19:$L$19/(1+$A$26/100)^DCF_Base!$C$4:$L$4)+MAX(0,MIN(IF($A$26&gt;$C$22,DCF_Base!$L$19*(1+$C$22/100)/(($A$26-$C$22)/100),DCF_Base!$L$19*DCF_Base!$B$29),DCF_Base!$L$19*DCF_Base!$B$29))/(1+$A$26/100)^DCF_Base!$L$4+Assumptions!$B$5-Assumptions!$B$4)/Assumptions!$B$3*Assumptions!$B$10</f>
        <v>23.6042255994464</v>
      </c>
      <c r="D26" s="0" t="n">
        <f aca="false">(SUMPRODUCT(DCF_Base!$C$19:$L$19/(1+$A$26/100)^DCF_Base!$C$4:$L$4)+MAX(0,MIN(IF($A$26&gt;$D$22,DCF_Base!$L$19*(1+$D$22/100)/(($A$26-$D$22)/100),DCF_Base!$L$19*DCF_Base!$B$29),DCF_Base!$L$19*DCF_Base!$B$29))/(1+$A$26/100)^DCF_Base!$L$4+Assumptions!$B$5-Assumptions!$B$4)/Assumptions!$B$3*Assumptions!$B$10</f>
        <v>24.2296696719224</v>
      </c>
      <c r="E26" s="0" t="n">
        <f aca="false">(SUMPRODUCT(DCF_Base!$C$19:$L$19/(1+$A$26/100)^DCF_Base!$C$4:$L$4)+MAX(0,MIN(IF($A$26&gt;$E$22,DCF_Base!$L$19*(1+$E$22/100)/(($A$26-$E$22)/100),DCF_Base!$L$19*DCF_Base!$B$29),DCF_Base!$L$19*DCF_Base!$B$29))/(1+$A$26/100)^DCF_Base!$L$4+Assumptions!$B$5-Assumptions!$B$4)/Assumptions!$B$3*Assumptions!$B$10</f>
        <v>24.9444628976093</v>
      </c>
      <c r="F26" s="0" t="n">
        <f aca="false">(SUMPRODUCT(DCF_Base!$C$19:$L$19/(1+$A$26/100)^DCF_Base!$C$4:$L$4)+MAX(0,MIN(IF($A$26&gt;$F$22,DCF_Base!$L$19*(1+$F$22/100)/(($A$26-$F$22)/100),DCF_Base!$L$19*DCF_Base!$B$29),DCF_Base!$L$19*DCF_Base!$B$29))/(1+$A$26/100)^DCF_Base!$L$4+Assumptions!$B$5-Assumptions!$B$4)/Assumptions!$B$3*Assumptions!$B$10</f>
        <v>25.7692243118634</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21.1861421550339</v>
      </c>
      <c r="C27" s="0" t="n">
        <f aca="false">(SUMPRODUCT(DCF_Base!$C$19:$L$19/(1+$A$27/100)^DCF_Base!$C$4:$L$4)+MAX(0,MIN(IF($A$27&gt;$C$22,DCF_Base!$L$19*(1+$C$22/100)/(($A$27-$C$22)/100),DCF_Base!$L$19*DCF_Base!$B$29),DCF_Base!$L$19*DCF_Base!$B$29))/(1+$A$27/100)^DCF_Base!$L$4+Assumptions!$B$5-Assumptions!$B$4)/Assumptions!$B$3*Assumptions!$B$10</f>
        <v>21.5907189540204</v>
      </c>
      <c r="D27" s="0" t="n">
        <f aca="false">(SUMPRODUCT(DCF_Base!$C$19:$L$19/(1+$A$27/100)^DCF_Base!$C$4:$L$4)+MAX(0,MIN(IF($A$27&gt;$D$22,DCF_Base!$L$19*(1+$D$22/100)/(($A$27-$D$22)/100),DCF_Base!$L$19*DCF_Base!$B$29),DCF_Base!$L$19*DCF_Base!$B$29))/(1+$A$27/100)^DCF_Base!$L$4+Assumptions!$B$5-Assumptions!$B$4)/Assumptions!$B$3*Assumptions!$B$10</f>
        <v>22.0428930234758</v>
      </c>
      <c r="E27" s="0" t="n">
        <f aca="false">(SUMPRODUCT(DCF_Base!$C$19:$L$19/(1+$A$27/100)^DCF_Base!$C$4:$L$4)+MAX(0,MIN(IF($A$27&gt;$E$22,DCF_Base!$L$19*(1+$E$22/100)/(($A$27-$E$22)/100),DCF_Base!$L$19*DCF_Base!$B$29),DCF_Base!$L$19*DCF_Base!$B$29))/(1+$A$27/100)^DCF_Base!$L$4+Assumptions!$B$5-Assumptions!$B$4)/Assumptions!$B$3*Assumptions!$B$10</f>
        <v>22.5515888516133</v>
      </c>
      <c r="F27" s="0" t="n">
        <f aca="false">(SUMPRODUCT(DCF_Base!$C$19:$L$19/(1+$A$27/100)^DCF_Base!$C$4:$L$4)+MAX(0,MIN(IF($A$27&gt;$F$22,DCF_Base!$L$19*(1+$F$22/100)/(($A$27-$F$22)/100),DCF_Base!$L$19*DCF_Base!$B$29),DCF_Base!$L$19*DCF_Base!$B$29))/(1+$A$27/100)^DCF_Base!$L$4+Assumptions!$B$5-Assumptions!$B$4)/Assumptions!$B$3*Assumptions!$B$10</f>
        <v>23.128110790169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2026-10-22T11:44:05Z</dcterms:created>
  <dc:creator>openpyxl</dc:creator>
  <dc:description/>
  <dc:language>en-NZ</dc:language>
  <cp:lastModifiedBy/>
  <dcterms:modified xsi:type="dcterms:W3CDTF">2026-10-22T11:44:05Z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