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<sst xmlns="http://schemas.openxmlformats.org/spreadsheetml/2006/main" count="390" uniqueCount="175">
  <si>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</si>
  <si>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CSCO</t>
  </si>
  <si>
    <t xml:space="preserve">Company</t>
  </si>
  <si>
    <t xml:space="preserve">Cisco Systems,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</si>
  <si>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</si>
  <si>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</si>
  <si>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</si>
  <si>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</si>
  <si>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2026-09-25T20:00:00Z regular close (Yahoo Finance chart API)</t>
  </si>
  <si>
    <t xml:space="preserve">Balance sheet date</t>
  </si>
  <si>
    <t xml:space="preserve">2026-07-25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</si>
  <si>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</si>
  <si>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</si>
  <si>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</si>
  <si>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</si>
  <si>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</si>
  <si>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</si>
  <si>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</si>
  <si>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</si>
  <si>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</si>
  <si>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</si>
  <si>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2026-09-26T01:10:21Z</t>
  </si>
  <si>
    <t xml:space="preserve">Drivers file</t>
  </si>
  <si>
    <t xml:space="preserve">CSCO_Drivers.json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</si>
  <si>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</si>
  <si>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</si>
  <si>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</si>
  <si>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Cisco is valued on a strict owner-FCF basis: SBC and the cash taxes Cisco pays on net-share settlement are both treated as real costs (together ~9% of FY26 revenue), and the share count is held flat because ~$6B/yr of buybacks keeps it flat. FY27 is anchored on management's guidance; outer years fade to mature-networking growth. On this basis the market price sits above the house value and much of the way toward (or beyond) the street basis that treats SBC as non-cash: the current price is paying for the AI networking supercycle continuing beyond FY27.
key_risks_to_valuation: Hyperscaler AI order concentration: FY27 guidance includes ~$7.5B hyperscaler AI revenue that could pause quickly; Share loss to Arista / white-box / Nvidia Spectrum-X in high-speed AI data-center switching; SBC + withholding treatment: ~$5.7B/yr; the house vs street gap is ~$25-30/share; Gross-margin dilution from lower-margin AI hardware mix and tariffs; Owner-FCF base distortion: FY26 includes the final $2.3B TCJA transition-tax payment and a working-capital build; FY23 was inflated by a tax deferral</t>
  </si>
  <si>
    <t xml:space="preserve">Data sources</t>
  </si>
  <si>
    <t xml:space="preserve">price: Yahoo Finance chart API at inputs.price_as_of; 52-week range 66.81-130.37
financials: SEC EDGAR: FY2026 10-K (filed 2026-09-02, csco-20260725.htm) and XBRL companyfacts; CSCO_Metrics.csv (FY2007-FY2026). Guidance: Q4 FY2026 earnings release, 8-K exhibit 99.1 filed 2026-08-12.
qualitative: research/CSCO/Reports/CSCO_Analysis.json</t>
  </si>
  <si>
    <t xml:space="preserve">Scenario narrative: bear</t>
  </si>
  <si>
    <t xml:space="preserve">The FY26-27 surge proves to be a hyperscaler capex cycle, not a structural step-up. Arista (already ahead in 100G-800G data-center switching) and white-box/Nvidia Spectrum-X take the next generation of AI back-end networking, a handful of concentrated webscale customers pause orders and FY28 revenue falls ~4%. Lower-margin AI hardware, tariffs and restructuring disruption (~4,000 job cuts in May 2026) compress margins ~2.5pp, and the legacy switching/routing/collaboration core reverts to ~2% growth.</t>
  </si>
  <si>
    <t xml:space="preserve">Scenario narrative: base</t>
  </si>
  <si>
    <t xml:space="preserve">Cisco converts its record order book into FY27 guidance (revenue $72.2-73.4B, non-GAAP EPS $5.05-5.11), with hyperscaler AI infrastructure revenue rising from ~$4B to ~$7.5B. After FY27 the supercycle normalises rather than reverses: enterprise campus refresh, security (Splunk, Hypershield) and observability hold the business at 4-6% growth fading to 3%, and margins stay at the FY26-27 level because AI hardware mix dilution offsets software mix gains. SBC plus withholding stays ~7-8% of revenue, funded by ~$6B/yr buybacks.</t>
  </si>
  <si>
    <t xml:space="preserve">Scenario narrative: bull</t>
  </si>
  <si>
    <t xml:space="preserve">The AI networking supercycle is durable and Cisco wins share in it: hyperscaler orders (already $9.3B in FY26) keep compounding past FY27, Silicon One and optics win 800G/1.6T scale-out and sovereign/neocloud AI builds, and enterprises re-architect campus and data-center networks for AI inference. Splunk and security become a larger, higher-margin recurring base (56% of revenue recurring, RPO $46.7B), lifting EBITDA margin ~2pp over five years. Revenue grows high-single-digit through FY30.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</si>
  <si>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</si>
  <si>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</si>
  <si>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</si>
  <si>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</si>
  <si>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</si>
  <si>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</si>
  <si>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</si>
  <si>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</si>
  <si>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</si>
  <si>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</si>
  <si>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</si>
  <si>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</si>
  <si>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</si>
  <si>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</si>
  <si>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</si>
  <si>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</si>
  <si>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</si>
  <si>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</si>
  <si>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</si>
  <si>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</si>
  <si>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</si>
  <si>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</si>
  <si>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</si>
  <si>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</si>
  <si>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</si>
  <si>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</si>
  <si>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</si>
  <si>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</si>
  <si>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</si>
  <si>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</si>
  <si>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</si>
  <si>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</si>
  <si>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</si>
  <si>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</si>
  <si>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</si>
  <si>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</si>
  <si>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</si>
  <si>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</si>
  <si>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</si>
  <si>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</si>
  <si>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</si>
  <si>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</si>
  <si>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</si>
  <si>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</si>
  <si>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</si>
  <si>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</si>
  <si>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</si>
  <si>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</si>
  <si>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</si>
  <si>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</si>
  <si>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</si>
  <si>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</si>
  <si>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</si>
  <si>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</si>
  <si>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</si>
  <si>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</si>
  <si>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</si>
  <si>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</si>
  <si>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</si>
  <si>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</si>
  <si>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</si>
  <si>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</si>
  <si>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</si>
  <si>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</si>
  <si>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</si>
  <si>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</si>
  <si>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</si>
  <si>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</si>
  <si>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</si>
  <si>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</si>
  <si>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</si>
  <si>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</si>
  <si>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</si>
  <si>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</si>
  <si>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</si>
  <si>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</si>
  <si>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</si>
  <si>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</si>
  <si>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</si>
  <si>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</si>
  <si>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</si>
  <si>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</si>
  <si>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</si>
  <si>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</si>
  <si>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CSCO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</si>
  <si>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</si>
  <si>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</si>
  <si>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</si>
  <si>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</si>
  <si>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</si>
  <si>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</si>
  <si>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</si>
  <si>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</si>
  <si>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</si>
  <si>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</si>
  <si>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</si>
  <si>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</si>
  <si>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</si>
  <si>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</si>
  <si>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</si>
  <si>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</si>
  <si>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</si>
  <si>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</si>
  <si>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</si>
  <si>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</si>
  <si>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</si>
  <si>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</si>
  <si>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</si>
  <si>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</si>
  <si>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</si>
  <si>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</si>
  <si>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</si>
  <si>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</si>
  <si>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</si>
  <si>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</si>
  <si>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CSCO owner-FCF component DCF: base case (millions, USD)</t>
  </si>
  <si>
    <t xml:space="preserve">CSCO owner-FCF component DCF: bull case (millions, USD)</t>
  </si>
  <si>
    <t xml:space="preserve">CSCO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</si>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</sst>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106.7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31941</v>
      </c>
      <c r="S2" s="0" t="n">
        <v>3728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39540</v>
      </c>
      <c r="C3" s="0" t="n">
        <v>14194</v>
      </c>
      <c r="D3" s="0" t="n">
        <v>25346</v>
      </c>
      <c r="E3" s="0" t="n">
        <v>64.1021750126454</v>
      </c>
      <c r="F3" s="0" t="n">
        <v>9442</v>
      </c>
      <c r="G3" s="0" t="n">
        <v>23.8796155791603</v>
      </c>
      <c r="I3" s="0" t="n">
        <v>8052</v>
      </c>
      <c r="J3" s="0" t="n">
        <v>20.3641881638847</v>
      </c>
      <c r="K3" s="0" t="n">
        <v>1.35</v>
      </c>
      <c r="L3" s="0" t="n">
        <v>12089</v>
      </c>
      <c r="M3" s="0" t="n">
        <v>1268</v>
      </c>
      <c r="N3" s="0" t="n">
        <v>10821</v>
      </c>
      <c r="O3" s="0" t="n">
        <v>34402</v>
      </c>
      <c r="S3" s="0" t="n">
        <v>5191</v>
      </c>
      <c r="T3" s="0" t="n">
        <v>6163</v>
      </c>
      <c r="U3" s="0" t="n">
        <v>1112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36117</v>
      </c>
      <c r="C4" s="0" t="n">
        <v>13023</v>
      </c>
      <c r="D4" s="0" t="n">
        <v>23094</v>
      </c>
      <c r="E4" s="0" t="n">
        <v>63.9421878893596</v>
      </c>
      <c r="F4" s="0" t="n">
        <v>7322</v>
      </c>
      <c r="G4" s="0" t="n">
        <v>20.2730016335798</v>
      </c>
      <c r="I4" s="0" t="n">
        <v>6134</v>
      </c>
      <c r="J4" s="0" t="n">
        <v>16.9836918902456</v>
      </c>
      <c r="K4" s="0" t="n">
        <v>1.05</v>
      </c>
      <c r="L4" s="0" t="n">
        <v>9897</v>
      </c>
      <c r="M4" s="0" t="n">
        <v>1005</v>
      </c>
      <c r="N4" s="0" t="n">
        <v>8892</v>
      </c>
      <c r="O4" s="0" t="n">
        <v>38677</v>
      </c>
      <c r="P4" s="0" t="n">
        <v>68128</v>
      </c>
      <c r="Q4" s="0" t="n">
        <v>29451</v>
      </c>
      <c r="R4" s="0" t="n">
        <v>10295</v>
      </c>
      <c r="S4" s="0" t="n">
        <v>5718</v>
      </c>
      <c r="T4" s="0" t="n">
        <v>5857</v>
      </c>
      <c r="U4" s="0" t="n">
        <v>1231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40040</v>
      </c>
      <c r="C5" s="0" t="n">
        <v>14397</v>
      </c>
      <c r="D5" s="0" t="n">
        <v>25643</v>
      </c>
      <c r="E5" s="0" t="n">
        <v>64.0434565434565</v>
      </c>
      <c r="F5" s="0" t="n">
        <v>9164</v>
      </c>
      <c r="G5" s="0" t="n">
        <v>22.8871128871129</v>
      </c>
      <c r="I5" s="0" t="n">
        <v>7767</v>
      </c>
      <c r="J5" s="0" t="n">
        <v>19.3981018981019</v>
      </c>
      <c r="K5" s="0" t="n">
        <v>1.36</v>
      </c>
      <c r="L5" s="0" t="n">
        <v>10173</v>
      </c>
      <c r="M5" s="0" t="n">
        <v>1008</v>
      </c>
      <c r="N5" s="0" t="n">
        <v>9165</v>
      </c>
      <c r="O5" s="0" t="n">
        <v>44285</v>
      </c>
      <c r="P5" s="0" t="n">
        <v>81130</v>
      </c>
      <c r="Q5" s="0" t="n">
        <v>36845</v>
      </c>
      <c r="R5" s="0" t="n">
        <v>18321</v>
      </c>
      <c r="S5" s="0" t="n">
        <v>4581</v>
      </c>
      <c r="T5" s="0" t="n">
        <v>5848</v>
      </c>
      <c r="U5" s="0" t="n">
        <v>1517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43218</v>
      </c>
      <c r="C6" s="0" t="n">
        <v>16682</v>
      </c>
      <c r="D6" s="0" t="n">
        <v>26536</v>
      </c>
      <c r="E6" s="0" t="n">
        <v>61.4003424499051</v>
      </c>
      <c r="F6" s="0" t="n">
        <v>7674</v>
      </c>
      <c r="G6" s="0" t="n">
        <v>17.7564903512425</v>
      </c>
      <c r="I6" s="0" t="n">
        <v>6490</v>
      </c>
      <c r="J6" s="0" t="n">
        <v>15.0168911101856</v>
      </c>
      <c r="K6" s="0" t="n">
        <v>1.17</v>
      </c>
      <c r="L6" s="0" t="n">
        <v>10079</v>
      </c>
      <c r="M6" s="0" t="n">
        <v>1174</v>
      </c>
      <c r="N6" s="0" t="n">
        <v>8905</v>
      </c>
      <c r="O6" s="0" t="n">
        <v>47259</v>
      </c>
      <c r="P6" s="0" t="n">
        <v>87095</v>
      </c>
      <c r="Q6" s="0" t="n">
        <v>39836</v>
      </c>
      <c r="R6" s="0" t="n">
        <v>16822</v>
      </c>
      <c r="S6" s="0" t="n">
        <v>7662</v>
      </c>
      <c r="T6" s="0" t="n">
        <v>5563</v>
      </c>
      <c r="U6" s="0" t="n">
        <v>1620</v>
      </c>
      <c r="V6" s="0" t="n">
        <v>0.12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46061</v>
      </c>
      <c r="C7" s="0" t="n">
        <v>17852</v>
      </c>
      <c r="D7" s="0" t="n">
        <v>28209</v>
      </c>
      <c r="E7" s="0" t="n">
        <v>61.2426998979614</v>
      </c>
      <c r="F7" s="0" t="n">
        <v>10065</v>
      </c>
      <c r="G7" s="0" t="n">
        <v>21.8514578493737</v>
      </c>
      <c r="H7" s="0" t="n">
        <v>11165</v>
      </c>
      <c r="I7" s="0" t="n">
        <v>8041</v>
      </c>
      <c r="J7" s="0" t="n">
        <v>17.4572849048002</v>
      </c>
      <c r="K7" s="0" t="n">
        <v>1.5</v>
      </c>
      <c r="L7" s="0" t="n">
        <v>11491</v>
      </c>
      <c r="M7" s="0" t="n">
        <v>1126</v>
      </c>
      <c r="N7" s="0" t="n">
        <v>10365</v>
      </c>
      <c r="O7" s="0" t="n">
        <v>51301</v>
      </c>
      <c r="P7" s="0" t="n">
        <v>91759</v>
      </c>
      <c r="Q7" s="0" t="n">
        <v>40458</v>
      </c>
      <c r="R7" s="0" t="n">
        <v>16328</v>
      </c>
      <c r="S7" s="0" t="n">
        <v>9799</v>
      </c>
      <c r="T7" s="0" t="n">
        <v>5404</v>
      </c>
      <c r="U7" s="0" t="n">
        <v>1401</v>
      </c>
      <c r="V7" s="0" t="n">
        <v>0.28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48607</v>
      </c>
      <c r="C8" s="0" t="n">
        <v>19167</v>
      </c>
      <c r="D8" s="0" t="n">
        <v>29440</v>
      </c>
      <c r="E8" s="0" t="n">
        <v>60.567407986504</v>
      </c>
      <c r="F8" s="0" t="n">
        <v>11196</v>
      </c>
      <c r="G8" s="0" t="n">
        <v>23.0337194231284</v>
      </c>
      <c r="H8" s="0" t="n">
        <v>12396</v>
      </c>
      <c r="I8" s="0" t="n">
        <v>9983</v>
      </c>
      <c r="J8" s="0" t="n">
        <v>20.5381940872714</v>
      </c>
      <c r="K8" s="0" t="n">
        <v>1.87</v>
      </c>
      <c r="L8" s="0" t="n">
        <v>12894</v>
      </c>
      <c r="M8" s="0" t="n">
        <v>1160</v>
      </c>
      <c r="N8" s="0" t="n">
        <v>11734</v>
      </c>
      <c r="O8" s="0" t="n">
        <v>59128</v>
      </c>
      <c r="P8" s="0" t="n">
        <v>101191</v>
      </c>
      <c r="Q8" s="0" t="n">
        <v>42063</v>
      </c>
      <c r="R8" s="0" t="n">
        <v>19484</v>
      </c>
      <c r="S8" s="0" t="n">
        <v>7925</v>
      </c>
      <c r="T8" s="0" t="n">
        <v>5389</v>
      </c>
      <c r="U8" s="0" t="n">
        <v>1120</v>
      </c>
      <c r="V8" s="0" t="n">
        <v>0.62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47142</v>
      </c>
      <c r="C9" s="0" t="n">
        <v>19373</v>
      </c>
      <c r="D9" s="0" t="n">
        <v>27769</v>
      </c>
      <c r="E9" s="0" t="n">
        <v>58.9050103941284</v>
      </c>
      <c r="F9" s="0" t="n">
        <v>9345</v>
      </c>
      <c r="G9" s="0" t="n">
        <v>19.8230876925035</v>
      </c>
      <c r="H9" s="0" t="n">
        <v>10545</v>
      </c>
      <c r="I9" s="0" t="n">
        <v>7853</v>
      </c>
      <c r="J9" s="0" t="n">
        <v>16.658181663909</v>
      </c>
      <c r="K9" s="0" t="n">
        <v>1.5</v>
      </c>
      <c r="M9" s="0" t="n">
        <v>1275</v>
      </c>
      <c r="O9" s="0" t="n">
        <v>56661</v>
      </c>
      <c r="P9" s="0" t="n">
        <v>105070</v>
      </c>
      <c r="Q9" s="0" t="n">
        <v>48409</v>
      </c>
      <c r="R9" s="0" t="n">
        <v>21345</v>
      </c>
      <c r="S9" s="0" t="n">
        <v>6726</v>
      </c>
      <c r="T9" s="0" t="n">
        <v>5281</v>
      </c>
      <c r="U9" s="0" t="n">
        <v>1348</v>
      </c>
      <c r="V9" s="0" t="n">
        <v>0.72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49161</v>
      </c>
      <c r="C10" s="0" t="n">
        <v>19480</v>
      </c>
      <c r="D10" s="0" t="n">
        <v>29681</v>
      </c>
      <c r="E10" s="0" t="n">
        <v>60.3750940786396</v>
      </c>
      <c r="F10" s="0" t="n">
        <v>10770</v>
      </c>
      <c r="G10" s="0" t="n">
        <v>21.9076096906084</v>
      </c>
      <c r="H10" s="0" t="n">
        <v>11870</v>
      </c>
      <c r="I10" s="0" t="n">
        <v>8981</v>
      </c>
      <c r="J10" s="0" t="n">
        <v>18.2685462053254</v>
      </c>
      <c r="K10" s="0" t="n">
        <v>1.76</v>
      </c>
      <c r="M10" s="0" t="n">
        <v>1227</v>
      </c>
      <c r="O10" s="0" t="n">
        <v>59707</v>
      </c>
      <c r="P10" s="0" t="n">
        <v>113373</v>
      </c>
      <c r="Q10" s="0" t="n">
        <v>53666</v>
      </c>
      <c r="R10" s="0" t="n">
        <v>29248</v>
      </c>
      <c r="S10" s="0" t="n">
        <v>6877</v>
      </c>
      <c r="T10" s="0" t="n">
        <v>5146</v>
      </c>
      <c r="U10" s="0" t="n">
        <v>1440</v>
      </c>
      <c r="V10" s="0" t="n">
        <v>0.8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49247</v>
      </c>
      <c r="C11" s="0" t="n">
        <v>18287</v>
      </c>
      <c r="D11" s="0" t="n">
        <v>30960</v>
      </c>
      <c r="E11" s="0" t="n">
        <v>62.8667736105753</v>
      </c>
      <c r="F11" s="0" t="n">
        <v>12660</v>
      </c>
      <c r="G11" s="0" t="n">
        <v>25.7071496740918</v>
      </c>
      <c r="H11" s="0" t="n">
        <v>13660</v>
      </c>
      <c r="I11" s="0" t="n">
        <v>10739</v>
      </c>
      <c r="J11" s="0" t="n">
        <v>21.8064044510326</v>
      </c>
      <c r="K11" s="0" t="n">
        <v>2.13</v>
      </c>
      <c r="L11" s="0" t="n">
        <v>13570</v>
      </c>
      <c r="M11" s="0" t="n">
        <v>1146</v>
      </c>
      <c r="N11" s="0" t="n">
        <v>12424</v>
      </c>
      <c r="O11" s="0" t="n">
        <v>63585</v>
      </c>
      <c r="P11" s="0" t="n">
        <v>121652</v>
      </c>
      <c r="Q11" s="0" t="n">
        <v>58067</v>
      </c>
      <c r="R11" s="0" t="n">
        <v>32802</v>
      </c>
      <c r="S11" s="0" t="n">
        <v>7631</v>
      </c>
      <c r="T11" s="0" t="n">
        <v>5088</v>
      </c>
      <c r="U11" s="0" t="n">
        <v>1458</v>
      </c>
      <c r="V11" s="0" t="n">
        <v>0.94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48005</v>
      </c>
      <c r="C12" s="0" t="n">
        <v>17781</v>
      </c>
      <c r="D12" s="0" t="n">
        <v>30224</v>
      </c>
      <c r="E12" s="0" t="n">
        <v>62.9601083220498</v>
      </c>
      <c r="F12" s="0" t="n">
        <v>11973</v>
      </c>
      <c r="G12" s="0" t="n">
        <v>24.9411519633372</v>
      </c>
      <c r="H12" s="0" t="n">
        <v>13073</v>
      </c>
      <c r="I12" s="0" t="n">
        <v>9609</v>
      </c>
      <c r="J12" s="0" t="n">
        <v>20.0166649307364</v>
      </c>
      <c r="K12" s="0" t="n">
        <v>1.92</v>
      </c>
      <c r="L12" s="0" t="n">
        <v>13876</v>
      </c>
      <c r="M12" s="0" t="n">
        <v>964</v>
      </c>
      <c r="N12" s="0" t="n">
        <v>12912</v>
      </c>
      <c r="O12" s="0" t="n">
        <v>66137</v>
      </c>
      <c r="P12" s="0" t="n">
        <v>129818</v>
      </c>
      <c r="Q12" s="0" t="n">
        <v>63681</v>
      </c>
      <c r="R12" s="0" t="n">
        <v>38464</v>
      </c>
      <c r="S12" s="0" t="n">
        <v>11708</v>
      </c>
      <c r="T12" s="0" t="n">
        <v>5049</v>
      </c>
      <c r="U12" s="0" t="n">
        <v>1529</v>
      </c>
      <c r="V12" s="0" t="n">
        <v>1.1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49330</v>
      </c>
      <c r="C13" s="0" t="n">
        <v>18724</v>
      </c>
      <c r="D13" s="0" t="n">
        <v>30606</v>
      </c>
      <c r="E13" s="0" t="n">
        <v>62.0433813095479</v>
      </c>
      <c r="F13" s="0" t="n">
        <v>12309</v>
      </c>
      <c r="G13" s="0" t="n">
        <v>24.9523616460572</v>
      </c>
      <c r="H13" s="0" t="n">
        <v>13409</v>
      </c>
      <c r="I13" s="0" t="n">
        <v>110</v>
      </c>
      <c r="J13" s="0" t="n">
        <v>0.222988039732414</v>
      </c>
      <c r="K13" s="0" t="n">
        <v>0.02</v>
      </c>
      <c r="L13" s="0" t="n">
        <v>13666</v>
      </c>
      <c r="M13" s="0" t="n">
        <v>834</v>
      </c>
      <c r="N13" s="0" t="n">
        <v>12832</v>
      </c>
      <c r="O13" s="0" t="n">
        <v>43204</v>
      </c>
      <c r="P13" s="0" t="n">
        <v>108784</v>
      </c>
      <c r="Q13" s="0" t="n">
        <v>65580</v>
      </c>
      <c r="R13" s="0" t="n">
        <v>30807</v>
      </c>
      <c r="S13" s="0" t="n">
        <v>8934</v>
      </c>
      <c r="T13" s="0" t="n">
        <v>4881</v>
      </c>
      <c r="U13" s="0" t="n">
        <v>1599</v>
      </c>
      <c r="V13" s="0" t="n">
        <v>1.24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51904</v>
      </c>
      <c r="C14" s="0" t="n">
        <v>19238</v>
      </c>
      <c r="D14" s="0" t="n">
        <v>32666</v>
      </c>
      <c r="E14" s="0" t="n">
        <v>62.9354192355117</v>
      </c>
      <c r="F14" s="0" t="n">
        <v>14219</v>
      </c>
      <c r="G14" s="0" t="n">
        <v>27.3948057953144</v>
      </c>
      <c r="H14" s="0" t="n">
        <v>15219</v>
      </c>
      <c r="I14" s="0" t="n">
        <v>11621</v>
      </c>
      <c r="J14" s="0" t="n">
        <v>22.3894112207152</v>
      </c>
      <c r="K14" s="0" t="n">
        <v>2.63</v>
      </c>
      <c r="L14" s="0" t="n">
        <v>15831</v>
      </c>
      <c r="M14" s="0" t="n">
        <v>909</v>
      </c>
      <c r="N14" s="0" t="n">
        <v>14922</v>
      </c>
      <c r="O14" s="0" t="n">
        <v>33571</v>
      </c>
      <c r="P14" s="0" t="n">
        <v>97793</v>
      </c>
      <c r="Q14" s="0" t="n">
        <v>64222</v>
      </c>
      <c r="R14" s="0" t="n">
        <v>30664</v>
      </c>
      <c r="S14" s="0" t="n">
        <v>11750</v>
      </c>
      <c r="T14" s="0" t="n">
        <v>4453</v>
      </c>
      <c r="U14" s="0" t="n">
        <v>1591</v>
      </c>
      <c r="V14" s="0" t="n">
        <v>1.36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49301</v>
      </c>
      <c r="C15" s="0" t="n">
        <v>17618</v>
      </c>
      <c r="D15" s="0" t="n">
        <v>31683</v>
      </c>
      <c r="E15" s="0" t="n">
        <v>64.264416543275</v>
      </c>
      <c r="F15" s="0" t="n">
        <v>13620</v>
      </c>
      <c r="G15" s="0" t="n">
        <v>27.6262144784081</v>
      </c>
      <c r="H15" s="0" t="n">
        <v>14520</v>
      </c>
      <c r="I15" s="0" t="n">
        <v>11214</v>
      </c>
      <c r="J15" s="0" t="n">
        <v>22.7459889251739</v>
      </c>
      <c r="K15" s="0" t="n">
        <v>2.65</v>
      </c>
      <c r="L15" s="0" t="n">
        <v>15426</v>
      </c>
      <c r="M15" s="0" t="n">
        <v>770</v>
      </c>
      <c r="N15" s="0" t="n">
        <v>14656</v>
      </c>
      <c r="O15" s="0" t="n">
        <v>37920</v>
      </c>
      <c r="P15" s="0" t="n">
        <v>94853</v>
      </c>
      <c r="Q15" s="0" t="n">
        <v>56933</v>
      </c>
      <c r="R15" s="0" t="n">
        <v>17588</v>
      </c>
      <c r="S15" s="0" t="n">
        <v>11809</v>
      </c>
      <c r="T15" s="0" t="n">
        <v>4254</v>
      </c>
      <c r="U15" s="0" t="n">
        <v>1569</v>
      </c>
      <c r="V15" s="0" t="n">
        <v>1.42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49818</v>
      </c>
      <c r="C16" s="0" t="n">
        <v>17924</v>
      </c>
      <c r="D16" s="0" t="n">
        <v>31894</v>
      </c>
      <c r="E16" s="0" t="n">
        <v>64.0210365731262</v>
      </c>
      <c r="F16" s="0" t="n">
        <v>12833</v>
      </c>
      <c r="G16" s="0" t="n">
        <v>25.7597655465896</v>
      </c>
      <c r="H16" s="0" t="n">
        <v>13633</v>
      </c>
      <c r="I16" s="0" t="n">
        <v>10591</v>
      </c>
      <c r="J16" s="0" t="n">
        <v>21.2593841583364</v>
      </c>
      <c r="K16" s="0" t="n">
        <v>2.51</v>
      </c>
      <c r="L16" s="0" t="n">
        <v>15454</v>
      </c>
      <c r="M16" s="0" t="n">
        <v>692</v>
      </c>
      <c r="N16" s="0" t="n">
        <v>14762</v>
      </c>
      <c r="O16" s="0" t="n">
        <v>41275</v>
      </c>
      <c r="P16" s="0" t="n">
        <v>97497</v>
      </c>
      <c r="Q16" s="0" t="n">
        <v>56222</v>
      </c>
      <c r="R16" s="0" t="n">
        <v>14034</v>
      </c>
      <c r="S16" s="0" t="n">
        <v>9175</v>
      </c>
      <c r="T16" s="0" t="n">
        <v>4236</v>
      </c>
      <c r="U16" s="0" t="n">
        <v>1761</v>
      </c>
      <c r="V16" s="0" t="n">
        <v>1.46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51557</v>
      </c>
      <c r="C17" s="0" t="n">
        <v>19309</v>
      </c>
      <c r="D17" s="0" t="n">
        <v>32248</v>
      </c>
      <c r="E17" s="0" t="n">
        <v>62.54824757065</v>
      </c>
      <c r="F17" s="0" t="n">
        <v>13969</v>
      </c>
      <c r="G17" s="0" t="n">
        <v>27.0942839963536</v>
      </c>
      <c r="H17" s="0" t="n">
        <v>14769</v>
      </c>
      <c r="I17" s="0" t="n">
        <v>11812</v>
      </c>
      <c r="J17" s="0" t="n">
        <v>22.9105650057218</v>
      </c>
      <c r="K17" s="0" t="n">
        <v>2.83</v>
      </c>
      <c r="L17" s="0" t="n">
        <v>13226</v>
      </c>
      <c r="M17" s="0" t="n">
        <v>477</v>
      </c>
      <c r="N17" s="0" t="n">
        <v>12749</v>
      </c>
      <c r="O17" s="0" t="n">
        <v>39773</v>
      </c>
      <c r="P17" s="0" t="n">
        <v>94002</v>
      </c>
      <c r="Q17" s="0" t="n">
        <v>54229</v>
      </c>
      <c r="R17" s="0" t="n">
        <v>10014</v>
      </c>
      <c r="S17" s="0" t="n">
        <v>7079</v>
      </c>
      <c r="T17" s="0" t="n">
        <v>4192</v>
      </c>
      <c r="U17" s="0" t="n">
        <v>1886</v>
      </c>
      <c r="V17" s="0" t="n">
        <v>1.5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56998</v>
      </c>
      <c r="C18" s="0" t="n">
        <v>21245</v>
      </c>
      <c r="D18" s="0" t="n">
        <v>35753</v>
      </c>
      <c r="E18" s="0" t="n">
        <v>62.7267623425383</v>
      </c>
      <c r="F18" s="0" t="n">
        <v>15031</v>
      </c>
      <c r="G18" s="0" t="n">
        <v>26.3711007403769</v>
      </c>
      <c r="H18" s="0" t="n">
        <v>15731</v>
      </c>
      <c r="I18" s="0" t="n">
        <v>12613</v>
      </c>
      <c r="J18" s="0" t="n">
        <v>22.1288466261974</v>
      </c>
      <c r="K18" s="0" t="n">
        <v>3.08</v>
      </c>
      <c r="L18" s="0" t="n">
        <v>19886</v>
      </c>
      <c r="M18" s="0" t="n">
        <v>849</v>
      </c>
      <c r="N18" s="0" t="n">
        <v>19037</v>
      </c>
      <c r="O18" s="0" t="n">
        <v>44353</v>
      </c>
      <c r="P18" s="0" t="n">
        <v>101852</v>
      </c>
      <c r="Q18" s="0" t="n">
        <v>57499</v>
      </c>
      <c r="R18" s="0" t="n">
        <v>10124</v>
      </c>
      <c r="S18" s="0" t="n">
        <v>10123</v>
      </c>
      <c r="T18" s="0" t="n">
        <v>4105</v>
      </c>
      <c r="U18" s="0" t="n">
        <v>2353</v>
      </c>
      <c r="V18" s="0" t="n">
        <v>1.54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53803</v>
      </c>
      <c r="C19" s="0" t="n">
        <v>18975</v>
      </c>
      <c r="D19" s="0" t="n">
        <v>34828</v>
      </c>
      <c r="E19" s="0" t="n">
        <v>64.7324498633905</v>
      </c>
      <c r="F19" s="0" t="n">
        <v>12181</v>
      </c>
      <c r="G19" s="0" t="n">
        <v>22.6400014869059</v>
      </c>
      <c r="H19" s="0" t="n">
        <v>12881</v>
      </c>
      <c r="I19" s="0" t="n">
        <v>10320</v>
      </c>
      <c r="J19" s="0" t="n">
        <v>19.1810865565117</v>
      </c>
      <c r="K19" s="0" t="n">
        <v>2.55</v>
      </c>
      <c r="L19" s="0" t="n">
        <v>10880</v>
      </c>
      <c r="M19" s="0" t="n">
        <v>670</v>
      </c>
      <c r="N19" s="0" t="n">
        <v>10210</v>
      </c>
      <c r="O19" s="0" t="n">
        <v>45457</v>
      </c>
      <c r="P19" s="0" t="n">
        <v>124413</v>
      </c>
      <c r="Q19" s="0" t="n">
        <v>78956</v>
      </c>
      <c r="R19" s="0" t="n">
        <v>31450</v>
      </c>
      <c r="S19" s="0" t="n">
        <v>7508</v>
      </c>
      <c r="T19" s="0" t="n">
        <v>4062</v>
      </c>
      <c r="U19" s="0" t="n">
        <v>3074</v>
      </c>
      <c r="V19" s="0" t="n">
        <v>1.58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56654</v>
      </c>
      <c r="C20" s="0" t="n">
        <v>19864</v>
      </c>
      <c r="D20" s="0" t="n">
        <v>36790</v>
      </c>
      <c r="E20" s="0" t="n">
        <v>64.9380449747591</v>
      </c>
      <c r="F20" s="0" t="n">
        <v>11760</v>
      </c>
      <c r="G20" s="0" t="n">
        <v>20.757581106365</v>
      </c>
      <c r="H20" s="0" t="n">
        <v>12460</v>
      </c>
      <c r="I20" s="0" t="n">
        <v>10180</v>
      </c>
      <c r="J20" s="0" t="n">
        <v>17.9687224203057</v>
      </c>
      <c r="K20" s="0" t="n">
        <v>2.56</v>
      </c>
      <c r="L20" s="0" t="n">
        <v>14193</v>
      </c>
      <c r="M20" s="0" t="n">
        <v>905</v>
      </c>
      <c r="N20" s="0" t="n">
        <v>13288</v>
      </c>
      <c r="O20" s="0" t="n">
        <v>46843</v>
      </c>
      <c r="P20" s="0" t="n">
        <v>122291</v>
      </c>
      <c r="Q20" s="0" t="n">
        <v>75448</v>
      </c>
      <c r="R20" s="0" t="n">
        <v>29843</v>
      </c>
      <c r="S20" s="0" t="n">
        <v>8346</v>
      </c>
      <c r="T20" s="0" t="n">
        <v>3998</v>
      </c>
      <c r="U20" s="0" t="n">
        <v>3641</v>
      </c>
      <c r="V20" s="0" t="n">
        <v>1.62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63325</v>
      </c>
      <c r="C21" s="0" t="n">
        <v>22465</v>
      </c>
      <c r="D21" s="0" t="n">
        <v>40860</v>
      </c>
      <c r="E21" s="0" t="n">
        <v>64.5242795104619</v>
      </c>
      <c r="F21" s="0" t="n">
        <v>15368</v>
      </c>
      <c r="G21" s="0" t="n">
        <v>24.2684563758389</v>
      </c>
      <c r="H21" s="0" t="n">
        <v>16068</v>
      </c>
      <c r="I21" s="0" t="n">
        <v>13267</v>
      </c>
      <c r="J21" s="0" t="n">
        <v>20.9506514015002</v>
      </c>
      <c r="K21" s="0" t="n">
        <v>3.36</v>
      </c>
      <c r="L21" s="0" t="n">
        <v>14177</v>
      </c>
      <c r="M21" s="0" t="n">
        <v>1410</v>
      </c>
      <c r="N21" s="0" t="n">
        <v>12767</v>
      </c>
      <c r="O21" s="0" t="n">
        <v>50285</v>
      </c>
      <c r="P21" s="0" t="n">
        <v>129637</v>
      </c>
      <c r="Q21" s="0" t="n">
        <v>79352</v>
      </c>
      <c r="R21" s="0" t="n">
        <v>33033</v>
      </c>
      <c r="S21" s="0" t="n">
        <v>7218</v>
      </c>
      <c r="T21" s="0" t="n">
        <v>3987</v>
      </c>
      <c r="U21" s="0" t="n">
        <v>3830</v>
      </c>
      <c r="V21" s="0" t="n">
        <v>1.66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106.7</v>
      </c>
    </row>
    <row r="3" customFormat="false" ht="15" hidden="false" customHeight="false" outlineLevel="0" collapsed="false">
      <c r="A3" s="0" t="s">
        <v>86</v>
      </c>
      <c r="B3" s="3" t="n">
        <v>3977</v>
      </c>
    </row>
    <row r="4" customFormat="false" ht="15" hidden="false" customHeight="false" outlineLevel="0" collapsed="false">
      <c r="A4" s="0" t="s">
        <v>87</v>
      </c>
      <c r="B4" s="3" t="n">
        <v>15236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63325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12</v>
      </c>
      <c r="D13" s="3" t="n">
        <v>-4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34</v>
      </c>
      <c r="D14" s="3" t="n">
        <v>33</v>
      </c>
      <c r="E14" s="3" t="n">
        <v>32.5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108</v>
      </c>
      <c r="C15" s="3" t="n">
        <v>8.3</v>
      </c>
      <c r="D15" s="3" t="n">
        <v>8.3</v>
      </c>
      <c r="E15" s="3" t="n">
        <v>8.2</v>
      </c>
      <c r="F15" s="3" t="n">
        <v>8.1</v>
      </c>
      <c r="G15" s="3" t="n">
        <v>8</v>
      </c>
      <c r="H15" s="3" t="n">
        <v>7.9</v>
      </c>
      <c r="I15" s="3" t="n">
        <v>7.8</v>
      </c>
      <c r="J15" s="3" t="n">
        <v>7.7</v>
      </c>
      <c r="K15" s="3" t="n">
        <v>7.6</v>
      </c>
      <c r="L15" s="3" t="n">
        <v>7.5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3.5</v>
      </c>
      <c r="D17" s="3" t="n">
        <v>3.3</v>
      </c>
      <c r="E17" s="3" t="n">
        <v>3.1</v>
      </c>
      <c r="F17" s="3" t="n">
        <v>2.9</v>
      </c>
      <c r="G17" s="3" t="n">
        <v>2.7</v>
      </c>
      <c r="H17" s="3" t="n">
        <v>2.6</v>
      </c>
      <c r="I17" s="3" t="n">
        <v>2.5</v>
      </c>
      <c r="J17" s="3" t="n">
        <v>2.4</v>
      </c>
      <c r="K17" s="3" t="n">
        <v>2.3</v>
      </c>
      <c r="L17" s="3" t="n">
        <v>2.3</v>
      </c>
    </row>
    <row r="18" customFormat="false" ht="15" hidden="false" customHeight="false" outlineLevel="0" collapsed="false">
      <c r="A18" s="0" t="s">
        <v>111</v>
      </c>
      <c r="C18" s="3" t="n">
        <v>2</v>
      </c>
      <c r="D18" s="3" t="n">
        <v>2</v>
      </c>
      <c r="E18" s="3" t="n">
        <v>1.9</v>
      </c>
      <c r="F18" s="3" t="n">
        <v>1.9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17</v>
      </c>
      <c r="E19" s="3" t="n">
        <v>18</v>
      </c>
      <c r="F19" s="3" t="n">
        <v>18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15</v>
      </c>
      <c r="D27" s="3" t="n">
        <v>6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34.5</v>
      </c>
      <c r="D28" s="3" t="n">
        <v>34.5</v>
      </c>
      <c r="E28" s="3" t="n">
        <v>34.5</v>
      </c>
      <c r="F28" s="3" t="n">
        <v>34.5</v>
      </c>
      <c r="G28" s="3" t="n">
        <v>34.5</v>
      </c>
      <c r="H28" s="3" t="n">
        <v>34.5</v>
      </c>
      <c r="I28" s="3" t="n">
        <v>34.5</v>
      </c>
      <c r="J28" s="3" t="n">
        <v>34.5</v>
      </c>
      <c r="K28" s="3" t="n">
        <v>34.5</v>
      </c>
      <c r="L28" s="3" t="n">
        <v>34.5</v>
      </c>
    </row>
    <row r="29" customFormat="false" ht="15" hidden="false" customHeight="false" outlineLevel="0" collapsed="false">
      <c r="A29" s="0" t="s">
        <v>108</v>
      </c>
      <c r="C29" s="3" t="n">
        <v>8.3</v>
      </c>
      <c r="D29" s="3" t="n">
        <v>8.1</v>
      </c>
      <c r="E29" s="3" t="n">
        <v>7.9</v>
      </c>
      <c r="F29" s="3" t="n">
        <v>7.8</v>
      </c>
      <c r="G29" s="3" t="n">
        <v>7.6</v>
      </c>
      <c r="H29" s="3" t="n">
        <v>7.5</v>
      </c>
      <c r="I29" s="3" t="n">
        <v>7.4</v>
      </c>
      <c r="J29" s="3" t="n">
        <v>7.3</v>
      </c>
      <c r="K29" s="3" t="n">
        <v>7.2</v>
      </c>
      <c r="L29" s="3" t="n">
        <v>7.2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3.5</v>
      </c>
      <c r="D31" s="3" t="n">
        <v>3.2</v>
      </c>
      <c r="E31" s="3" t="n">
        <v>3</v>
      </c>
      <c r="F31" s="3" t="n">
        <v>2.8</v>
      </c>
      <c r="G31" s="3" t="n">
        <v>2.6</v>
      </c>
      <c r="H31" s="3" t="n">
        <v>2.5</v>
      </c>
      <c r="I31" s="3" t="n">
        <v>2.4</v>
      </c>
      <c r="J31" s="3" t="n">
        <v>2.3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111</v>
      </c>
      <c r="C32" s="3" t="n">
        <v>2</v>
      </c>
      <c r="D32" s="3" t="n">
        <v>2</v>
      </c>
      <c r="E32" s="3" t="n">
        <v>1.9</v>
      </c>
      <c r="F32" s="3" t="n">
        <v>1.9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17</v>
      </c>
      <c r="E33" s="3" t="n">
        <v>18</v>
      </c>
      <c r="F33" s="3" t="n">
        <v>18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17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16.5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35</v>
      </c>
      <c r="D42" s="3" t="n">
        <v>35.3</v>
      </c>
      <c r="E42" s="3" t="n">
        <v>35.6</v>
      </c>
      <c r="F42" s="3" t="n">
        <v>35.9</v>
      </c>
      <c r="G42" s="3" t="n">
        <v>36.2</v>
      </c>
      <c r="H42" s="3" t="n">
        <v>36.5</v>
      </c>
      <c r="I42" s="3" t="n">
        <v>36.5</v>
      </c>
      <c r="J42" s="3" t="n">
        <v>36.5</v>
      </c>
      <c r="K42" s="3" t="n">
        <v>36.5</v>
      </c>
      <c r="L42" s="3" t="n">
        <v>36.5</v>
      </c>
    </row>
    <row r="43" customFormat="false" ht="15" hidden="false" customHeight="false" outlineLevel="0" collapsed="false">
      <c r="A43" s="0" t="s">
        <v>108</v>
      </c>
      <c r="C43" s="3" t="n">
        <v>8.2</v>
      </c>
      <c r="D43" s="3" t="n">
        <v>8</v>
      </c>
      <c r="E43" s="3" t="n">
        <v>7.8</v>
      </c>
      <c r="F43" s="3" t="n">
        <v>7.6</v>
      </c>
      <c r="G43" s="3" t="n">
        <v>7.4</v>
      </c>
      <c r="H43" s="3" t="n">
        <v>7.2</v>
      </c>
      <c r="I43" s="3" t="n">
        <v>7</v>
      </c>
      <c r="J43" s="3" t="n">
        <v>7</v>
      </c>
      <c r="K43" s="3" t="n">
        <v>7</v>
      </c>
      <c r="L43" s="3" t="n">
        <v>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3.5</v>
      </c>
      <c r="D45" s="3" t="n">
        <v>3.2</v>
      </c>
      <c r="E45" s="3" t="n">
        <v>3</v>
      </c>
      <c r="F45" s="3" t="n">
        <v>2.8</v>
      </c>
      <c r="G45" s="3" t="n">
        <v>2.6</v>
      </c>
      <c r="H45" s="3" t="n">
        <v>2.5</v>
      </c>
      <c r="I45" s="3" t="n">
        <v>2.4</v>
      </c>
      <c r="J45" s="3" t="n">
        <v>2.3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111</v>
      </c>
      <c r="C46" s="3" t="n">
        <v>2</v>
      </c>
      <c r="D46" s="3" t="n">
        <v>2</v>
      </c>
      <c r="E46" s="3" t="n">
        <v>1.9</v>
      </c>
      <c r="F46" s="3" t="n">
        <v>1.9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</v>
      </c>
      <c r="E47" s="3" t="n">
        <v>18</v>
      </c>
      <c r="F47" s="3" t="n">
        <v>18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12</v>
      </c>
      <c r="D5" s="4" t="n">
        <f aca="false">Assumptions!D13</f>
        <v>-4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63325</v>
      </c>
      <c r="C6" s="0" t="n">
        <f aca="false">B6*(1+C5/100)</f>
        <v>70924</v>
      </c>
      <c r="D6" s="0" t="n">
        <f aca="false">C6*(1+D5/100)</f>
        <v>68087.04</v>
      </c>
      <c r="E6" s="0" t="n">
        <f aca="false">D6*(1+E5/100)</f>
        <v>68767.9104</v>
      </c>
      <c r="F6" s="0" t="n">
        <f aca="false">E6*(1+F5/100)</f>
        <v>70143.268608</v>
      </c>
      <c r="G6" s="0" t="n">
        <f aca="false">F6*(1+G5/100)</f>
        <v>71546.13398016</v>
      </c>
      <c r="H6" s="0" t="n">
        <f aca="false">G6*(1+H5/100)</f>
        <v>72977.0566597632</v>
      </c>
      <c r="I6" s="0" t="n">
        <f aca="false">H6*(1+I5/100)</f>
        <v>74436.5977929585</v>
      </c>
      <c r="J6" s="0" t="n">
        <f aca="false">I6*(1+J5/100)</f>
        <v>75925.3297488176</v>
      </c>
      <c r="K6" s="0" t="n">
        <f aca="false">J6*(1+K5/100)</f>
        <v>77443.836343794</v>
      </c>
      <c r="L6" s="0" t="n">
        <f aca="false">K6*(1+L5/100)</f>
        <v>78992.7130706699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34</v>
      </c>
      <c r="D7" s="4" t="n">
        <f aca="false">Assumptions!D14</f>
        <v>33</v>
      </c>
      <c r="E7" s="4" t="n">
        <f aca="false">Assumptions!E14</f>
        <v>32.5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24114.16</v>
      </c>
      <c r="D8" s="0" t="n">
        <f aca="false">D6*D7/100</f>
        <v>22468.7232</v>
      </c>
      <c r="E8" s="0" t="n">
        <f aca="false">E6*E7/100</f>
        <v>22349.57088</v>
      </c>
      <c r="F8" s="0" t="n">
        <f aca="false">F6*F7/100</f>
        <v>22445.84595456</v>
      </c>
      <c r="G8" s="0" t="n">
        <f aca="false">G6*G7/100</f>
        <v>22894.7628736512</v>
      </c>
      <c r="H8" s="0" t="n">
        <f aca="false">H6*H7/100</f>
        <v>23352.6581311242</v>
      </c>
      <c r="I8" s="0" t="n">
        <f aca="false">I6*I7/100</f>
        <v>23819.7112937467</v>
      </c>
      <c r="J8" s="0" t="n">
        <f aca="false">J6*J7/100</f>
        <v>24296.1055196216</v>
      </c>
      <c r="K8" s="0" t="n">
        <f aca="false">K6*K7/100</f>
        <v>24782.0276300141</v>
      </c>
      <c r="L8" s="0" t="n">
        <f aca="false">L6*L7/100</f>
        <v>25277.6681826144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8.3</v>
      </c>
      <c r="D9" s="4" t="n">
        <f aca="false">Assumptions!D15</f>
        <v>8.3</v>
      </c>
      <c r="E9" s="4" t="n">
        <f aca="false">Assumptions!E15</f>
        <v>8.2</v>
      </c>
      <c r="F9" s="4" t="n">
        <f aca="false">Assumptions!F15</f>
        <v>8.1</v>
      </c>
      <c r="G9" s="4" t="n">
        <f aca="false">Assumptions!G15</f>
        <v>8</v>
      </c>
      <c r="H9" s="4" t="n">
        <f aca="false">Assumptions!H15</f>
        <v>7.9</v>
      </c>
      <c r="I9" s="4" t="n">
        <f aca="false">Assumptions!I15</f>
        <v>7.8</v>
      </c>
      <c r="J9" s="4" t="n">
        <f aca="false">Assumptions!J15</f>
        <v>7.7</v>
      </c>
      <c r="K9" s="4" t="n">
        <f aca="false">Assumptions!K15</f>
        <v>7.6</v>
      </c>
      <c r="L9" s="4" t="n">
        <f aca="false">Assumptions!L15</f>
        <v>7.5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-5886.692</v>
      </c>
      <c r="D10" s="0" t="n">
        <f aca="false">-D6*D9/100</f>
        <v>-5651.22432</v>
      </c>
      <c r="E10" s="0" t="n">
        <f aca="false">-E6*E9/100</f>
        <v>-5638.9686528</v>
      </c>
      <c r="F10" s="0" t="n">
        <f aca="false">-F6*F9/100</f>
        <v>-5681.604757248</v>
      </c>
      <c r="G10" s="0" t="n">
        <f aca="false">-G6*G9/100</f>
        <v>-5723.6907184128</v>
      </c>
      <c r="H10" s="0" t="n">
        <f aca="false">-H6*H9/100</f>
        <v>-5765.18747612129</v>
      </c>
      <c r="I10" s="0" t="n">
        <f aca="false">-I6*I9/100</f>
        <v>-5806.05462785076</v>
      </c>
      <c r="J10" s="0" t="n">
        <f aca="false">-J6*J9/100</f>
        <v>-5846.25039065896</v>
      </c>
      <c r="K10" s="0" t="n">
        <f aca="false">-K6*K9/100</f>
        <v>-5885.73156212834</v>
      </c>
      <c r="L10" s="0" t="n">
        <f aca="false">-L6*L9/100</f>
        <v>-5924.45348030024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18227.468</v>
      </c>
      <c r="D11" s="0" t="n">
        <f aca="false">D8+D10+D24</f>
        <v>16817.49888</v>
      </c>
      <c r="E11" s="0" t="n">
        <f aca="false">E8+E10+E24</f>
        <v>16710.6022272</v>
      </c>
      <c r="F11" s="0" t="n">
        <f aca="false">F8+F10+F24</f>
        <v>16764.241197312</v>
      </c>
      <c r="G11" s="0" t="n">
        <f aca="false">G8+G10+G24</f>
        <v>17171.0721552384</v>
      </c>
      <c r="H11" s="0" t="n">
        <f aca="false">H8+H10+H24</f>
        <v>17587.4706550029</v>
      </c>
      <c r="I11" s="0" t="n">
        <f aca="false">I8+I10+I24</f>
        <v>18013.6566658959</v>
      </c>
      <c r="J11" s="0" t="n">
        <f aca="false">J8+J10+J24</f>
        <v>18449.8551289627</v>
      </c>
      <c r="K11" s="0" t="n">
        <f aca="false">K8+K10+K24</f>
        <v>18896.2960678857</v>
      </c>
      <c r="L11" s="0" t="n">
        <f aca="false">L8+L10+L24</f>
        <v>19353.2147023141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-2482.34</v>
      </c>
      <c r="D12" s="4" t="n">
        <f aca="false">-D6*Assumptions!D17/100</f>
        <v>-2246.87232</v>
      </c>
      <c r="E12" s="4" t="n">
        <f aca="false">-E6*Assumptions!E17/100</f>
        <v>-2131.8052224</v>
      </c>
      <c r="F12" s="4" t="n">
        <f aca="false">-F6*Assumptions!F17/100</f>
        <v>-2034.154789632</v>
      </c>
      <c r="G12" s="4" t="n">
        <f aca="false">-G6*Assumptions!G17/100</f>
        <v>-1931.74561746432</v>
      </c>
      <c r="H12" s="4" t="n">
        <f aca="false">-H6*Assumptions!H17/100</f>
        <v>-1897.40347315384</v>
      </c>
      <c r="I12" s="4" t="n">
        <f aca="false">-I6*Assumptions!I17/100</f>
        <v>-1860.91494482396</v>
      </c>
      <c r="J12" s="4" t="n">
        <f aca="false">-J6*Assumptions!J17/100</f>
        <v>-1822.20791397162</v>
      </c>
      <c r="K12" s="4" t="n">
        <f aca="false">-K6*Assumptions!K17/100</f>
        <v>-1781.20823590726</v>
      </c>
      <c r="L12" s="4" t="n">
        <f aca="false">-L6*Assumptions!L17/100</f>
        <v>-1816.83240062541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15745.128</v>
      </c>
      <c r="D13" s="0" t="n">
        <f aca="false">D11+D12</f>
        <v>14570.62656</v>
      </c>
      <c r="E13" s="0" t="n">
        <f aca="false">E11+E12</f>
        <v>14578.7970048</v>
      </c>
      <c r="F13" s="0" t="n">
        <f aca="false">F11+F12</f>
        <v>14730.08640768</v>
      </c>
      <c r="G13" s="0" t="n">
        <f aca="false">G11+G12</f>
        <v>15239.3265377741</v>
      </c>
      <c r="H13" s="0" t="n">
        <f aca="false">H11+H12</f>
        <v>15690.0671818491</v>
      </c>
      <c r="I13" s="0" t="n">
        <f aca="false">I11+I12</f>
        <v>16152.741721072</v>
      </c>
      <c r="J13" s="0" t="n">
        <f aca="false">J11+J12</f>
        <v>16627.6472149911</v>
      </c>
      <c r="K13" s="0" t="n">
        <f aca="false">K11+K12</f>
        <v>17115.0878319785</v>
      </c>
      <c r="L13" s="0" t="n">
        <f aca="false">L11+L12</f>
        <v>17536.3823016887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13068.45624</v>
      </c>
      <c r="D15" s="0" t="n">
        <f aca="false">D13-MAX(0,D13)*D14/100</f>
        <v>12093.6200448</v>
      </c>
      <c r="E15" s="0" t="n">
        <f aca="false">E13-MAX(0,E13)*E14/100</f>
        <v>11954.613543936</v>
      </c>
      <c r="F15" s="0" t="n">
        <f aca="false">F13-MAX(0,F13)*F14/100</f>
        <v>12078.6708542976</v>
      </c>
      <c r="G15" s="0" t="n">
        <f aca="false">G13-MAX(0,G13)*G14/100</f>
        <v>12343.854495597</v>
      </c>
      <c r="H15" s="0" t="n">
        <f aca="false">H13-MAX(0,H13)*H14/100</f>
        <v>12708.9544172978</v>
      </c>
      <c r="I15" s="0" t="n">
        <f aca="false">I13-MAX(0,I13)*I14/100</f>
        <v>13083.7207940683</v>
      </c>
      <c r="J15" s="0" t="n">
        <f aca="false">J13-MAX(0,J13)*J14/100</f>
        <v>13468.3942441428</v>
      </c>
      <c r="K15" s="0" t="n">
        <f aca="false">K13-MAX(0,K13)*K14/100</f>
        <v>13863.2211439026</v>
      </c>
      <c r="L15" s="0" t="n">
        <f aca="false">L13-MAX(0,L13)*L14/100</f>
        <v>14204.4696643679</v>
      </c>
    </row>
    <row r="16" customFormat="false" ht="15" hidden="false" customHeight="false" outlineLevel="0" collapsed="false">
      <c r="A16" s="0" t="s">
        <v>128</v>
      </c>
      <c r="C16" s="0" t="n">
        <f aca="false">-C12</f>
        <v>2482.34</v>
      </c>
      <c r="D16" s="0" t="n">
        <f aca="false">-D12</f>
        <v>2246.87232</v>
      </c>
      <c r="E16" s="0" t="n">
        <f aca="false">-E12</f>
        <v>2131.8052224</v>
      </c>
      <c r="F16" s="0" t="n">
        <f aca="false">-F12</f>
        <v>2034.154789632</v>
      </c>
      <c r="G16" s="0" t="n">
        <f aca="false">-G12</f>
        <v>1931.74561746432</v>
      </c>
      <c r="H16" s="0" t="n">
        <f aca="false">-H12</f>
        <v>1897.40347315384</v>
      </c>
      <c r="I16" s="0" t="n">
        <f aca="false">-I12</f>
        <v>1860.91494482396</v>
      </c>
      <c r="J16" s="0" t="n">
        <f aca="false">-J12</f>
        <v>1822.20791397162</v>
      </c>
      <c r="K16" s="0" t="n">
        <f aca="false">-K12</f>
        <v>1781.20823590726</v>
      </c>
      <c r="L16" s="0" t="n">
        <f aca="false">-L12</f>
        <v>1816.83240062541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-1418.48</v>
      </c>
      <c r="D17" s="4" t="n">
        <f aca="false">-D6*Assumptions!D18/100</f>
        <v>-1361.7408</v>
      </c>
      <c r="E17" s="4" t="n">
        <f aca="false">-E6*Assumptions!E18/100</f>
        <v>-1306.5902976</v>
      </c>
      <c r="F17" s="4" t="n">
        <f aca="false">-F6*Assumptions!F18/100</f>
        <v>-1332.722103552</v>
      </c>
      <c r="G17" s="4" t="n">
        <f aca="false">-G6*Assumptions!G18/100</f>
        <v>-1287.83041164288</v>
      </c>
      <c r="H17" s="4" t="n">
        <f aca="false">-H6*Assumptions!H18/100</f>
        <v>-1313.58701987574</v>
      </c>
      <c r="I17" s="4" t="n">
        <f aca="false">-I6*Assumptions!I18/100</f>
        <v>-1339.85876027325</v>
      </c>
      <c r="J17" s="4" t="n">
        <f aca="false">-J6*Assumptions!J18/100</f>
        <v>-1366.65593547872</v>
      </c>
      <c r="K17" s="4" t="n">
        <f aca="false">-K6*Assumptions!K18/100</f>
        <v>-1393.98905418829</v>
      </c>
      <c r="L17" s="4" t="n">
        <f aca="false">-L6*Assumptions!L18/100</f>
        <v>-1421.86883527206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-379.95</v>
      </c>
      <c r="D18" s="4" t="n">
        <f aca="false">(D6-C6)*Assumptions!$B$23/100</f>
        <v>141.848</v>
      </c>
      <c r="E18" s="4" t="n">
        <f aca="false">(E6-D6)*Assumptions!$B$23/100</f>
        <v>-34.04352</v>
      </c>
      <c r="F18" s="4" t="n">
        <f aca="false">(F6-E6)*Assumptions!$B$23/100</f>
        <v>-68.7679104000003</v>
      </c>
      <c r="G18" s="4" t="n">
        <f aca="false">(G6-F6)*Assumptions!$B$23/100</f>
        <v>-70.1432686079999</v>
      </c>
      <c r="H18" s="4" t="n">
        <f aca="false">(H6-G6)*Assumptions!$B$23/100</f>
        <v>-71.5461339801601</v>
      </c>
      <c r="I18" s="4" t="n">
        <f aca="false">(I6-H6)*Assumptions!$B$23/100</f>
        <v>-72.9770566597632</v>
      </c>
      <c r="J18" s="4" t="n">
        <f aca="false">(J6-I6)*Assumptions!$B$23/100</f>
        <v>-74.4365977929585</v>
      </c>
      <c r="K18" s="4" t="n">
        <f aca="false">(K6-J6)*Assumptions!$B$23/100</f>
        <v>-75.9253297488176</v>
      </c>
      <c r="L18" s="4" t="n">
        <f aca="false">(L6-K6)*Assumptions!$B$23/100</f>
        <v>-77.4438363437941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13752.36624</v>
      </c>
      <c r="D19" s="0" t="n">
        <f aca="false">D15+D16+D17+D18</f>
        <v>13120.5995648</v>
      </c>
      <c r="E19" s="0" t="n">
        <f aca="false">E15+E16+E17+E18</f>
        <v>12745.784948736</v>
      </c>
      <c r="F19" s="0" t="n">
        <f aca="false">F15+F16+F17+F18</f>
        <v>12711.3356299776</v>
      </c>
      <c r="G19" s="0" t="n">
        <f aca="false">G15+G16+G17+G18</f>
        <v>12917.6264328104</v>
      </c>
      <c r="H19" s="0" t="n">
        <f aca="false">H15+H16+H17+H18</f>
        <v>13221.2247365957</v>
      </c>
      <c r="I19" s="0" t="n">
        <f aca="false">I15+I16+I17+I18</f>
        <v>13531.7999219593</v>
      </c>
      <c r="J19" s="0" t="n">
        <f aca="false">J15+J16+J17+J18</f>
        <v>13849.5096248427</v>
      </c>
      <c r="K19" s="0" t="n">
        <f aca="false">K15+K16+K17+K18</f>
        <v>14174.5149958727</v>
      </c>
      <c r="L19" s="0" t="n">
        <f aca="false">L15+L16+L17+L18</f>
        <v>14521.9893933774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12674.9919262673</v>
      </c>
      <c r="D21" s="0" t="n">
        <f aca="false">D19*D20</f>
        <v>11145.3626662703</v>
      </c>
      <c r="E21" s="0" t="n">
        <f aca="false">E19*E20</f>
        <v>9978.77825722192</v>
      </c>
      <c r="F21" s="0" t="n">
        <f aca="false">F19*F20</f>
        <v>9172.17290929082</v>
      </c>
      <c r="G21" s="0" t="n">
        <f aca="false">G19*G20</f>
        <v>8590.80833889031</v>
      </c>
      <c r="H21" s="0" t="n">
        <f aca="false">H19*H20</f>
        <v>8103.88479386252</v>
      </c>
      <c r="I21" s="0" t="n">
        <f aca="false">I19*I20</f>
        <v>7644.47034929926</v>
      </c>
      <c r="J21" s="0" t="n">
        <f aca="false">J19*J20</f>
        <v>7211.01652751548</v>
      </c>
      <c r="K21" s="0" t="n">
        <f aca="false">K19*K20</f>
        <v>6802.06165396744</v>
      </c>
      <c r="L21" s="0" t="n">
        <f aca="false">L19*L20</f>
        <v>6422.86410601132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87746.4115285966</v>
      </c>
    </row>
    <row r="31" customFormat="false" ht="15" hidden="false" customHeight="false" outlineLevel="0" collapsed="false">
      <c r="A31" s="0" t="s">
        <v>137</v>
      </c>
      <c r="B31" s="0" t="n">
        <f aca="false">L19</f>
        <v>14521.9893933774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227883.525865307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203307.851507284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203307.851507284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89920.0974841585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177666.509012755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162430.509012755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40.8424714641074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-0.617221448321393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37849.4362766794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41118.5439035292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60.6986394752235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113941.762932654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20.0724867775666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15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63325</v>
      </c>
      <c r="C6" s="0" t="n">
        <f aca="false">B6*(1+C5/100)</f>
        <v>72823.75</v>
      </c>
      <c r="D6" s="0" t="n">
        <f aca="false">C6*(1+D5/100)</f>
        <v>77193.175</v>
      </c>
      <c r="E6" s="0" t="n">
        <f aca="false">D6*(1+E5/100)</f>
        <v>81052.83375</v>
      </c>
      <c r="F6" s="0" t="n">
        <f aca="false">E6*(1+F5/100)</f>
        <v>84700.21126875</v>
      </c>
      <c r="G6" s="0" t="n">
        <f aca="false">F6*(1+G5/100)</f>
        <v>88088.2197195</v>
      </c>
      <c r="H6" s="0" t="n">
        <f aca="false">G6*(1+H5/100)</f>
        <v>91171.3074096825</v>
      </c>
      <c r="I6" s="0" t="n">
        <f aca="false">H6*(1+I5/100)</f>
        <v>94362.3031690214</v>
      </c>
      <c r="J6" s="0" t="n">
        <f aca="false">I6*(1+J5/100)</f>
        <v>97193.172264092</v>
      </c>
      <c r="K6" s="0" t="n">
        <f aca="false">J6*(1+K5/100)</f>
        <v>100108.967432015</v>
      </c>
      <c r="L6" s="0" t="n">
        <f aca="false">K6*(1+L5/100)</f>
        <v>103112.236454975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34.5</v>
      </c>
      <c r="D7" s="4" t="n">
        <f aca="false">Assumptions!D28</f>
        <v>34.5</v>
      </c>
      <c r="E7" s="4" t="n">
        <f aca="false">Assumptions!E28</f>
        <v>34.5</v>
      </c>
      <c r="F7" s="4" t="n">
        <f aca="false">Assumptions!F28</f>
        <v>34.5</v>
      </c>
      <c r="G7" s="4" t="n">
        <f aca="false">Assumptions!G28</f>
        <v>34.5</v>
      </c>
      <c r="H7" s="4" t="n">
        <f aca="false">Assumptions!H28</f>
        <v>34.5</v>
      </c>
      <c r="I7" s="4" t="n">
        <f aca="false">Assumptions!I28</f>
        <v>34.5</v>
      </c>
      <c r="J7" s="4" t="n">
        <f aca="false">Assumptions!J28</f>
        <v>34.5</v>
      </c>
      <c r="K7" s="4" t="n">
        <f aca="false">Assumptions!K28</f>
        <v>34.5</v>
      </c>
      <c r="L7" s="4" t="n">
        <f aca="false">Assumptions!L28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25124.19375</v>
      </c>
      <c r="D8" s="0" t="n">
        <f aca="false">D6*D7/100</f>
        <v>26631.645375</v>
      </c>
      <c r="E8" s="0" t="n">
        <f aca="false">E6*E7/100</f>
        <v>27963.22764375</v>
      </c>
      <c r="F8" s="0" t="n">
        <f aca="false">F6*F7/100</f>
        <v>29221.5728877188</v>
      </c>
      <c r="G8" s="0" t="n">
        <f aca="false">G6*G7/100</f>
        <v>30390.4358032275</v>
      </c>
      <c r="H8" s="0" t="n">
        <f aca="false">H6*H7/100</f>
        <v>31454.1010563405</v>
      </c>
      <c r="I8" s="0" t="n">
        <f aca="false">I6*I7/100</f>
        <v>32554.9945933124</v>
      </c>
      <c r="J8" s="0" t="n">
        <f aca="false">J6*J7/100</f>
        <v>33531.6444311117</v>
      </c>
      <c r="K8" s="0" t="n">
        <f aca="false">K6*K7/100</f>
        <v>34537.5937640451</v>
      </c>
      <c r="L8" s="0" t="n">
        <f aca="false">L6*L7/100</f>
        <v>35573.7215769665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8.3</v>
      </c>
      <c r="D9" s="4" t="n">
        <f aca="false">Assumptions!D29</f>
        <v>8.1</v>
      </c>
      <c r="E9" s="4" t="n">
        <f aca="false">Assumptions!E29</f>
        <v>7.9</v>
      </c>
      <c r="F9" s="4" t="n">
        <f aca="false">Assumptions!F29</f>
        <v>7.8</v>
      </c>
      <c r="G9" s="4" t="n">
        <f aca="false">Assumptions!G29</f>
        <v>7.6</v>
      </c>
      <c r="H9" s="4" t="n">
        <f aca="false">Assumptions!H29</f>
        <v>7.5</v>
      </c>
      <c r="I9" s="4" t="n">
        <f aca="false">Assumptions!I29</f>
        <v>7.4</v>
      </c>
      <c r="J9" s="4" t="n">
        <f aca="false">Assumptions!J29</f>
        <v>7.3</v>
      </c>
      <c r="K9" s="4" t="n">
        <f aca="false">Assumptions!K29</f>
        <v>7.2</v>
      </c>
      <c r="L9" s="4" t="n">
        <f aca="false">Assumptions!L29</f>
        <v>7.2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-6044.37125</v>
      </c>
      <c r="D10" s="0" t="n">
        <f aca="false">-D6*D9/100</f>
        <v>-6252.647175</v>
      </c>
      <c r="E10" s="0" t="n">
        <f aca="false">-E6*E9/100</f>
        <v>-6403.17386625</v>
      </c>
      <c r="F10" s="0" t="n">
        <f aca="false">-F6*F9/100</f>
        <v>-6606.6164789625</v>
      </c>
      <c r="G10" s="0" t="n">
        <f aca="false">-G6*G9/100</f>
        <v>-6694.704698682</v>
      </c>
      <c r="H10" s="0" t="n">
        <f aca="false">-H6*H9/100</f>
        <v>-6837.84805572619</v>
      </c>
      <c r="I10" s="0" t="n">
        <f aca="false">-I6*I9/100</f>
        <v>-6982.81043450758</v>
      </c>
      <c r="J10" s="0" t="n">
        <f aca="false">-J6*J9/100</f>
        <v>-7095.10157527872</v>
      </c>
      <c r="K10" s="0" t="n">
        <f aca="false">-K6*K9/100</f>
        <v>-7207.84565510507</v>
      </c>
      <c r="L10" s="0" t="n">
        <f aca="false">-L6*L9/100</f>
        <v>-7424.08102475822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19079.8225</v>
      </c>
      <c r="D11" s="0" t="n">
        <f aca="false">D8+D10+D24</f>
        <v>20378.9982</v>
      </c>
      <c r="E11" s="0" t="n">
        <f aca="false">E8+E10+E24</f>
        <v>21560.0537775</v>
      </c>
      <c r="F11" s="0" t="n">
        <f aca="false">F8+F10+F24</f>
        <v>22614.9564087563</v>
      </c>
      <c r="G11" s="0" t="n">
        <f aca="false">G8+G10+G24</f>
        <v>23695.7311045455</v>
      </c>
      <c r="H11" s="0" t="n">
        <f aca="false">H8+H10+H24</f>
        <v>24616.2530006143</v>
      </c>
      <c r="I11" s="0" t="n">
        <f aca="false">I8+I10+I24</f>
        <v>25572.1841588048</v>
      </c>
      <c r="J11" s="0" t="n">
        <f aca="false">J8+J10+J24</f>
        <v>26436.542855833</v>
      </c>
      <c r="K11" s="0" t="n">
        <f aca="false">K8+K10+K24</f>
        <v>27329.74810894</v>
      </c>
      <c r="L11" s="0" t="n">
        <f aca="false">L8+L10+L24</f>
        <v>28149.6405522082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-2548.83125</v>
      </c>
      <c r="D12" s="4" t="n">
        <f aca="false">-D6*Assumptions!D31/100</f>
        <v>-2470.1816</v>
      </c>
      <c r="E12" s="4" t="n">
        <f aca="false">-E6*Assumptions!E31/100</f>
        <v>-2431.5850125</v>
      </c>
      <c r="F12" s="4" t="n">
        <f aca="false">-F6*Assumptions!F31/100</f>
        <v>-2371.605915525</v>
      </c>
      <c r="G12" s="4" t="n">
        <f aca="false">-G6*Assumptions!G31/100</f>
        <v>-2290.293712707</v>
      </c>
      <c r="H12" s="4" t="n">
        <f aca="false">-H6*Assumptions!H31/100</f>
        <v>-2279.28268524206</v>
      </c>
      <c r="I12" s="4" t="n">
        <f aca="false">-I6*Assumptions!I31/100</f>
        <v>-2264.69527605651</v>
      </c>
      <c r="J12" s="4" t="n">
        <f aca="false">-J6*Assumptions!J31/100</f>
        <v>-2235.44296207412</v>
      </c>
      <c r="K12" s="4" t="n">
        <f aca="false">-K6*Assumptions!K31/100</f>
        <v>-2202.39728350433</v>
      </c>
      <c r="L12" s="4" t="n">
        <f aca="false">-L6*Assumptions!L31/100</f>
        <v>-2268.46920200946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16530.99125</v>
      </c>
      <c r="D13" s="0" t="n">
        <f aca="false">D11+D12</f>
        <v>17908.8166</v>
      </c>
      <c r="E13" s="0" t="n">
        <f aca="false">E11+E12</f>
        <v>19128.468765</v>
      </c>
      <c r="F13" s="0" t="n">
        <f aca="false">F11+F12</f>
        <v>20243.3504932313</v>
      </c>
      <c r="G13" s="0" t="n">
        <f aca="false">G11+G12</f>
        <v>21405.4373918385</v>
      </c>
      <c r="H13" s="0" t="n">
        <f aca="false">H11+H12</f>
        <v>22336.9703153722</v>
      </c>
      <c r="I13" s="0" t="n">
        <f aca="false">I11+I12</f>
        <v>23307.4888827483</v>
      </c>
      <c r="J13" s="0" t="n">
        <f aca="false">J11+J12</f>
        <v>24201.0998937589</v>
      </c>
      <c r="K13" s="0" t="n">
        <f aca="false">K11+K12</f>
        <v>25127.3508254357</v>
      </c>
      <c r="L13" s="0" t="n">
        <f aca="false">L11+L12</f>
        <v>25881.1713501988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13720.7227375</v>
      </c>
      <c r="D15" s="0" t="n">
        <f aca="false">D13-MAX(0,D13)*D14/100</f>
        <v>14864.317778</v>
      </c>
      <c r="E15" s="0" t="n">
        <f aca="false">E13-MAX(0,E13)*E14/100</f>
        <v>15685.3443873</v>
      </c>
      <c r="F15" s="0" t="n">
        <f aca="false">F13-MAX(0,F13)*F14/100</f>
        <v>16599.5474044496</v>
      </c>
      <c r="G15" s="0" t="n">
        <f aca="false">G13-MAX(0,G13)*G14/100</f>
        <v>17338.4042873892</v>
      </c>
      <c r="H15" s="0" t="n">
        <f aca="false">H13-MAX(0,H13)*H14/100</f>
        <v>18092.9459554515</v>
      </c>
      <c r="I15" s="0" t="n">
        <f aca="false">I13-MAX(0,I13)*I14/100</f>
        <v>18879.0659950261</v>
      </c>
      <c r="J15" s="0" t="n">
        <f aca="false">J13-MAX(0,J13)*J14/100</f>
        <v>19602.8909139447</v>
      </c>
      <c r="K15" s="0" t="n">
        <f aca="false">K13-MAX(0,K13)*K14/100</f>
        <v>20353.1541686029</v>
      </c>
      <c r="L15" s="0" t="n">
        <f aca="false">L13-MAX(0,L13)*L14/100</f>
        <v>20963.748793661</v>
      </c>
    </row>
    <row r="16" customFormat="false" ht="15" hidden="false" customHeight="false" outlineLevel="0" collapsed="false">
      <c r="A16" s="0" t="s">
        <v>128</v>
      </c>
      <c r="C16" s="0" t="n">
        <f aca="false">-C12</f>
        <v>2548.83125</v>
      </c>
      <c r="D16" s="0" t="n">
        <f aca="false">-D12</f>
        <v>2470.1816</v>
      </c>
      <c r="E16" s="0" t="n">
        <f aca="false">-E12</f>
        <v>2431.5850125</v>
      </c>
      <c r="F16" s="0" t="n">
        <f aca="false">-F12</f>
        <v>2371.605915525</v>
      </c>
      <c r="G16" s="0" t="n">
        <f aca="false">-G12</f>
        <v>2290.293712707</v>
      </c>
      <c r="H16" s="0" t="n">
        <f aca="false">-H12</f>
        <v>2279.28268524206</v>
      </c>
      <c r="I16" s="0" t="n">
        <f aca="false">-I12</f>
        <v>2264.69527605651</v>
      </c>
      <c r="J16" s="0" t="n">
        <f aca="false">-J12</f>
        <v>2235.44296207412</v>
      </c>
      <c r="K16" s="0" t="n">
        <f aca="false">-K12</f>
        <v>2202.39728350433</v>
      </c>
      <c r="L16" s="0" t="n">
        <f aca="false">-L12</f>
        <v>2268.46920200946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-1456.475</v>
      </c>
      <c r="D17" s="4" t="n">
        <f aca="false">-D6*Assumptions!D32/100</f>
        <v>-1543.8635</v>
      </c>
      <c r="E17" s="4" t="n">
        <f aca="false">-E6*Assumptions!E32/100</f>
        <v>-1540.00384125</v>
      </c>
      <c r="F17" s="4" t="n">
        <f aca="false">-F6*Assumptions!F32/100</f>
        <v>-1609.30401410625</v>
      </c>
      <c r="G17" s="4" t="n">
        <f aca="false">-G6*Assumptions!G32/100</f>
        <v>-1585.587954951</v>
      </c>
      <c r="H17" s="4" t="n">
        <f aca="false">-H6*Assumptions!H32/100</f>
        <v>-1641.08353337429</v>
      </c>
      <c r="I17" s="4" t="n">
        <f aca="false">-I6*Assumptions!I32/100</f>
        <v>-1698.52145704239</v>
      </c>
      <c r="J17" s="4" t="n">
        <f aca="false">-J6*Assumptions!J32/100</f>
        <v>-1749.47710075366</v>
      </c>
      <c r="K17" s="4" t="n">
        <f aca="false">-K6*Assumptions!K32/100</f>
        <v>-1801.96141377627</v>
      </c>
      <c r="L17" s="4" t="n">
        <f aca="false">-L6*Assumptions!L32/100</f>
        <v>-1856.02025618955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-474.9375</v>
      </c>
      <c r="D18" s="4" t="n">
        <f aca="false">(D6-C6)*Assumptions!$B$37/100</f>
        <v>-218.47125</v>
      </c>
      <c r="E18" s="4" t="n">
        <f aca="false">(E6-D6)*Assumptions!$B$37/100</f>
        <v>-192.9829375</v>
      </c>
      <c r="F18" s="4" t="n">
        <f aca="false">(F6-E6)*Assumptions!$B$37/100</f>
        <v>-182.3688759375</v>
      </c>
      <c r="G18" s="4" t="n">
        <f aca="false">(G6-F6)*Assumptions!$B$37/100</f>
        <v>-169.4004225375</v>
      </c>
      <c r="H18" s="4" t="n">
        <f aca="false">(H6-G6)*Assumptions!$B$37/100</f>
        <v>-154.154384509125</v>
      </c>
      <c r="I18" s="4" t="n">
        <f aca="false">(I6-H6)*Assumptions!$B$37/100</f>
        <v>-159.549787966944</v>
      </c>
      <c r="J18" s="4" t="n">
        <f aca="false">(J6-I6)*Assumptions!$B$37/100</f>
        <v>-141.543454753532</v>
      </c>
      <c r="K18" s="4" t="n">
        <f aca="false">(K6-J6)*Assumptions!$B$37/100</f>
        <v>-145.789758396139</v>
      </c>
      <c r="L18" s="4" t="n">
        <f aca="false">(L6-K6)*Assumptions!$B$37/100</f>
        <v>-150.163451148022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14338.1414875</v>
      </c>
      <c r="D19" s="0" t="n">
        <f aca="false">D15+D16+D17+D18</f>
        <v>15572.164628</v>
      </c>
      <c r="E19" s="0" t="n">
        <f aca="false">E15+E16+E17+E18</f>
        <v>16383.94262105</v>
      </c>
      <c r="F19" s="0" t="n">
        <f aca="false">F15+F16+F17+F18</f>
        <v>17179.4804299309</v>
      </c>
      <c r="G19" s="0" t="n">
        <f aca="false">G15+G16+G17+G18</f>
        <v>17873.7096226077</v>
      </c>
      <c r="H19" s="0" t="n">
        <f aca="false">H15+H16+H17+H18</f>
        <v>18576.9907228101</v>
      </c>
      <c r="I19" s="0" t="n">
        <f aca="false">I15+I16+I17+I18</f>
        <v>19285.6900260733</v>
      </c>
      <c r="J19" s="0" t="n">
        <f aca="false">J15+J16+J17+J18</f>
        <v>19947.3133205116</v>
      </c>
      <c r="K19" s="0" t="n">
        <f aca="false">K15+K16+K17+K18</f>
        <v>20607.8002799348</v>
      </c>
      <c r="L19" s="0" t="n">
        <f aca="false">L15+L16+L17+L18</f>
        <v>21226.0342883329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13214.8769470046</v>
      </c>
      <c r="D21" s="0" t="n">
        <f aca="false">D19*D20</f>
        <v>13227.8575701332</v>
      </c>
      <c r="E21" s="0" t="n">
        <f aca="false">E19*E20</f>
        <v>12827.1213622444</v>
      </c>
      <c r="F21" s="0" t="n">
        <f aca="false">F19*F20</f>
        <v>12396.2712953227</v>
      </c>
      <c r="G21" s="0" t="n">
        <f aca="false">G19*G20</f>
        <v>11886.8287817017</v>
      </c>
      <c r="H21" s="0" t="n">
        <f aca="false">H19*H20</f>
        <v>11386.6752614531</v>
      </c>
      <c r="I21" s="0" t="n">
        <f aca="false">I19*I20</f>
        <v>10894.9944885638</v>
      </c>
      <c r="J21" s="0" t="n">
        <f aca="false">J19*J20</f>
        <v>10385.9566100249</v>
      </c>
      <c r="K21" s="0" t="n">
        <f aca="false">K19*K20</f>
        <v>9889.26450729215</v>
      </c>
      <c r="L21" s="0" t="n">
        <f aca="false">L19*L20</f>
        <v>9387.96538480269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115497.812208543</v>
      </c>
    </row>
    <row r="31" customFormat="false" ht="15" hidden="false" customHeight="false" outlineLevel="0" collapsed="false">
      <c r="A31" s="0" t="s">
        <v>137</v>
      </c>
      <c r="B31" s="0" t="n">
        <f aca="false">L19</f>
        <v>21226.0342883329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397505.733036052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360842.582901659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360842.582901659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159595.411541646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275093.223750189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259857.223750189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65.3400110008019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-0.387628762879083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43687.4002520782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61492.1752731238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91.7869749246646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182190.127641524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29.2758404812984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16.5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63325</v>
      </c>
      <c r="C6" s="0" t="n">
        <f aca="false">B6*(1+C5/100)</f>
        <v>73773.625</v>
      </c>
      <c r="D6" s="0" t="n">
        <f aca="false">C6*(1+D5/100)</f>
        <v>81150.9875</v>
      </c>
      <c r="E6" s="0" t="n">
        <f aca="false">D6*(1+E5/100)</f>
        <v>87643.0665</v>
      </c>
      <c r="F6" s="0" t="n">
        <f aca="false">E6*(1+F5/100)</f>
        <v>93778.081155</v>
      </c>
      <c r="G6" s="0" t="n">
        <f aca="false">F6*(1+G5/100)</f>
        <v>99404.7660243</v>
      </c>
      <c r="H6" s="0" t="n">
        <f aca="false">G6*(1+H5/100)</f>
        <v>104375.004325515</v>
      </c>
      <c r="I6" s="0" t="n">
        <f aca="false">H6*(1+I5/100)</f>
        <v>109071.879520163</v>
      </c>
      <c r="J6" s="0" t="n">
        <f aca="false">I6*(1+J5/100)</f>
        <v>113434.75470097</v>
      </c>
      <c r="K6" s="0" t="n">
        <f aca="false">J6*(1+K5/100)</f>
        <v>117404.971115504</v>
      </c>
      <c r="L6" s="0" t="n">
        <f aca="false">K6*(1+L5/100)</f>
        <v>120927.120248969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35</v>
      </c>
      <c r="D7" s="4" t="n">
        <f aca="false">Assumptions!D42</f>
        <v>35.3</v>
      </c>
      <c r="E7" s="4" t="n">
        <f aca="false">Assumptions!E42</f>
        <v>35.6</v>
      </c>
      <c r="F7" s="4" t="n">
        <f aca="false">Assumptions!F42</f>
        <v>35.9</v>
      </c>
      <c r="G7" s="4" t="n">
        <f aca="false">Assumptions!G42</f>
        <v>36.2</v>
      </c>
      <c r="H7" s="4" t="n">
        <f aca="false">Assumptions!H42</f>
        <v>36.5</v>
      </c>
      <c r="I7" s="4" t="n">
        <f aca="false">Assumptions!I42</f>
        <v>36.5</v>
      </c>
      <c r="J7" s="4" t="n">
        <f aca="false">Assumptions!J42</f>
        <v>36.5</v>
      </c>
      <c r="K7" s="4" t="n">
        <f aca="false">Assumptions!K42</f>
        <v>36.5</v>
      </c>
      <c r="L7" s="4" t="n">
        <f aca="false">Assumptions!L42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25820.76875</v>
      </c>
      <c r="D8" s="0" t="n">
        <f aca="false">D6*D7/100</f>
        <v>28646.2985875</v>
      </c>
      <c r="E8" s="0" t="n">
        <f aca="false">E6*E7/100</f>
        <v>31200.931674</v>
      </c>
      <c r="F8" s="0" t="n">
        <f aca="false">F6*F7/100</f>
        <v>33666.331134645</v>
      </c>
      <c r="G8" s="0" t="n">
        <f aca="false">G6*G7/100</f>
        <v>35984.5253007966</v>
      </c>
      <c r="H8" s="0" t="n">
        <f aca="false">H6*H7/100</f>
        <v>38096.876578813</v>
      </c>
      <c r="I8" s="0" t="n">
        <f aca="false">I6*I7/100</f>
        <v>39811.2360248596</v>
      </c>
      <c r="J8" s="0" t="n">
        <f aca="false">J6*J7/100</f>
        <v>41403.685465854</v>
      </c>
      <c r="K8" s="0" t="n">
        <f aca="false">K6*K7/100</f>
        <v>42852.8144571588</v>
      </c>
      <c r="L8" s="0" t="n">
        <f aca="false">L6*L7/100</f>
        <v>44138.3988908736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8.2</v>
      </c>
      <c r="D9" s="4" t="n">
        <f aca="false">Assumptions!D43</f>
        <v>8</v>
      </c>
      <c r="E9" s="4" t="n">
        <f aca="false">Assumptions!E43</f>
        <v>7.8</v>
      </c>
      <c r="F9" s="4" t="n">
        <f aca="false">Assumptions!F43</f>
        <v>7.6</v>
      </c>
      <c r="G9" s="4" t="n">
        <f aca="false">Assumptions!G43</f>
        <v>7.4</v>
      </c>
      <c r="H9" s="4" t="n">
        <f aca="false">Assumptions!H43</f>
        <v>7.2</v>
      </c>
      <c r="I9" s="4" t="n">
        <f aca="false">Assumptions!I43</f>
        <v>7</v>
      </c>
      <c r="J9" s="4" t="n">
        <f aca="false">Assumptions!J43</f>
        <v>7</v>
      </c>
      <c r="K9" s="4" t="n">
        <f aca="false">Assumptions!K43</f>
        <v>7</v>
      </c>
      <c r="L9" s="4" t="n">
        <f aca="false">Assumptions!L43</f>
        <v>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-6049.43725</v>
      </c>
      <c r="D10" s="0" t="n">
        <f aca="false">-D6*D9/100</f>
        <v>-6492.079</v>
      </c>
      <c r="E10" s="0" t="n">
        <f aca="false">-E6*E9/100</f>
        <v>-6836.159187</v>
      </c>
      <c r="F10" s="0" t="n">
        <f aca="false">-F6*F9/100</f>
        <v>-7127.13416778</v>
      </c>
      <c r="G10" s="0" t="n">
        <f aca="false">-G6*G9/100</f>
        <v>-7355.9526857982</v>
      </c>
      <c r="H10" s="0" t="n">
        <f aca="false">-H6*H9/100</f>
        <v>-7515.00031143708</v>
      </c>
      <c r="I10" s="0" t="n">
        <f aca="false">-I6*I9/100</f>
        <v>-7635.03156641142</v>
      </c>
      <c r="J10" s="0" t="n">
        <f aca="false">-J6*J9/100</f>
        <v>-7940.43282906788</v>
      </c>
      <c r="K10" s="0" t="n">
        <f aca="false">-K6*K9/100</f>
        <v>-8218.34797808526</v>
      </c>
      <c r="L10" s="0" t="n">
        <f aca="false">-L6*L9/100</f>
        <v>-8464.89841742781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19771.3315</v>
      </c>
      <c r="D11" s="0" t="n">
        <f aca="false">D8+D10+D24</f>
        <v>22154.2195875</v>
      </c>
      <c r="E11" s="0" t="n">
        <f aca="false">E8+E10+E24</f>
        <v>24364.772487</v>
      </c>
      <c r="F11" s="0" t="n">
        <f aca="false">F8+F10+F24</f>
        <v>26539.196966865</v>
      </c>
      <c r="G11" s="0" t="n">
        <f aca="false">G8+G10+G24</f>
        <v>28628.5726149984</v>
      </c>
      <c r="H11" s="0" t="n">
        <f aca="false">H8+H10+H24</f>
        <v>30581.8762673759</v>
      </c>
      <c r="I11" s="0" t="n">
        <f aca="false">I8+I10+I24</f>
        <v>32176.2044584482</v>
      </c>
      <c r="J11" s="0" t="n">
        <f aca="false">J8+J10+J24</f>
        <v>33463.2526367861</v>
      </c>
      <c r="K11" s="0" t="n">
        <f aca="false">K8+K10+K24</f>
        <v>34634.4664790736</v>
      </c>
      <c r="L11" s="0" t="n">
        <f aca="false">L8+L10+L24</f>
        <v>35673.5004734458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-2582.076875</v>
      </c>
      <c r="D12" s="4" t="n">
        <f aca="false">-D6*Assumptions!D45/100</f>
        <v>-2596.8316</v>
      </c>
      <c r="E12" s="4" t="n">
        <f aca="false">-E6*Assumptions!E45/100</f>
        <v>-2629.291995</v>
      </c>
      <c r="F12" s="4" t="n">
        <f aca="false">-F6*Assumptions!F45/100</f>
        <v>-2625.78627234</v>
      </c>
      <c r="G12" s="4" t="n">
        <f aca="false">-G6*Assumptions!G45/100</f>
        <v>-2584.5239166318</v>
      </c>
      <c r="H12" s="4" t="n">
        <f aca="false">-H6*Assumptions!H45/100</f>
        <v>-2609.37510813788</v>
      </c>
      <c r="I12" s="4" t="n">
        <f aca="false">-I6*Assumptions!I45/100</f>
        <v>-2617.72510848392</v>
      </c>
      <c r="J12" s="4" t="n">
        <f aca="false">-J6*Assumptions!J45/100</f>
        <v>-2608.9993581223</v>
      </c>
      <c r="K12" s="4" t="n">
        <f aca="false">-K6*Assumptions!K45/100</f>
        <v>-2582.90936454108</v>
      </c>
      <c r="L12" s="4" t="n">
        <f aca="false">-L6*Assumptions!L45/100</f>
        <v>-2660.39664547731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17189.254625</v>
      </c>
      <c r="D13" s="0" t="n">
        <f aca="false">D11+D12</f>
        <v>19557.3879875</v>
      </c>
      <c r="E13" s="0" t="n">
        <f aca="false">E11+E12</f>
        <v>21735.480492</v>
      </c>
      <c r="F13" s="0" t="n">
        <f aca="false">F11+F12</f>
        <v>23913.410694525</v>
      </c>
      <c r="G13" s="0" t="n">
        <f aca="false">G11+G12</f>
        <v>26044.0486983666</v>
      </c>
      <c r="H13" s="0" t="n">
        <f aca="false">H11+H12</f>
        <v>27972.501159238</v>
      </c>
      <c r="I13" s="0" t="n">
        <f aca="false">I11+I12</f>
        <v>29558.4793499642</v>
      </c>
      <c r="J13" s="0" t="n">
        <f aca="false">J11+J12</f>
        <v>30854.2532786638</v>
      </c>
      <c r="K13" s="0" t="n">
        <f aca="false">K11+K12</f>
        <v>32051.5571145325</v>
      </c>
      <c r="L13" s="0" t="n">
        <f aca="false">L11+L12</f>
        <v>33013.1038279685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14267.08133875</v>
      </c>
      <c r="D15" s="0" t="n">
        <f aca="false">D13-MAX(0,D13)*D14/100</f>
        <v>16232.632029625</v>
      </c>
      <c r="E15" s="0" t="n">
        <f aca="false">E13-MAX(0,E13)*E14/100</f>
        <v>17823.09400344</v>
      </c>
      <c r="F15" s="0" t="n">
        <f aca="false">F13-MAX(0,F13)*F14/100</f>
        <v>19608.9967695105</v>
      </c>
      <c r="G15" s="0" t="n">
        <f aca="false">G13-MAX(0,G13)*G14/100</f>
        <v>21095.679445677</v>
      </c>
      <c r="H15" s="0" t="n">
        <f aca="false">H13-MAX(0,H13)*H14/100</f>
        <v>22657.7259389828</v>
      </c>
      <c r="I15" s="0" t="n">
        <f aca="false">I13-MAX(0,I13)*I14/100</f>
        <v>23942.368273471</v>
      </c>
      <c r="J15" s="0" t="n">
        <f aca="false">J13-MAX(0,J13)*J14/100</f>
        <v>24991.9451557177</v>
      </c>
      <c r="K15" s="0" t="n">
        <f aca="false">K13-MAX(0,K13)*K14/100</f>
        <v>25961.7612627713</v>
      </c>
      <c r="L15" s="0" t="n">
        <f aca="false">L13-MAX(0,L13)*L14/100</f>
        <v>26740.6141006545</v>
      </c>
    </row>
    <row r="16" customFormat="false" ht="15" hidden="false" customHeight="false" outlineLevel="0" collapsed="false">
      <c r="A16" s="0" t="s">
        <v>128</v>
      </c>
      <c r="C16" s="0" t="n">
        <f aca="false">-C12</f>
        <v>2582.076875</v>
      </c>
      <c r="D16" s="0" t="n">
        <f aca="false">-D12</f>
        <v>2596.8316</v>
      </c>
      <c r="E16" s="0" t="n">
        <f aca="false">-E12</f>
        <v>2629.291995</v>
      </c>
      <c r="F16" s="0" t="n">
        <f aca="false">-F12</f>
        <v>2625.78627234</v>
      </c>
      <c r="G16" s="0" t="n">
        <f aca="false">-G12</f>
        <v>2584.5239166318</v>
      </c>
      <c r="H16" s="0" t="n">
        <f aca="false">-H12</f>
        <v>2609.37510813788</v>
      </c>
      <c r="I16" s="0" t="n">
        <f aca="false">-I12</f>
        <v>2617.72510848392</v>
      </c>
      <c r="J16" s="0" t="n">
        <f aca="false">-J12</f>
        <v>2608.9993581223</v>
      </c>
      <c r="K16" s="0" t="n">
        <f aca="false">-K12</f>
        <v>2582.90936454108</v>
      </c>
      <c r="L16" s="0" t="n">
        <f aca="false">-L12</f>
        <v>2660.39664547731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-1475.4725</v>
      </c>
      <c r="D17" s="4" t="n">
        <f aca="false">-D6*Assumptions!D46/100</f>
        <v>-1623.01975</v>
      </c>
      <c r="E17" s="4" t="n">
        <f aca="false">-E6*Assumptions!E46/100</f>
        <v>-1665.2182635</v>
      </c>
      <c r="F17" s="4" t="n">
        <f aca="false">-F6*Assumptions!F46/100</f>
        <v>-1781.783541945</v>
      </c>
      <c r="G17" s="4" t="n">
        <f aca="false">-G6*Assumptions!G46/100</f>
        <v>-1789.2857884374</v>
      </c>
      <c r="H17" s="4" t="n">
        <f aca="false">-H6*Assumptions!H46/100</f>
        <v>-1878.75007785927</v>
      </c>
      <c r="I17" s="4" t="n">
        <f aca="false">-I6*Assumptions!I46/100</f>
        <v>-1963.29383136294</v>
      </c>
      <c r="J17" s="4" t="n">
        <f aca="false">-J6*Assumptions!J46/100</f>
        <v>-2041.82558461746</v>
      </c>
      <c r="K17" s="4" t="n">
        <f aca="false">-K6*Assumptions!K46/100</f>
        <v>-2113.28948007907</v>
      </c>
      <c r="L17" s="4" t="n">
        <f aca="false">-L6*Assumptions!L46/100</f>
        <v>-2176.68816448144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-522.43125</v>
      </c>
      <c r="D18" s="4" t="n">
        <f aca="false">(D6-C6)*Assumptions!$B$51/100</f>
        <v>-368.868125</v>
      </c>
      <c r="E18" s="4" t="n">
        <f aca="false">(E6-D6)*Assumptions!$B$51/100</f>
        <v>-324.603950000001</v>
      </c>
      <c r="F18" s="4" t="n">
        <f aca="false">(F6-E6)*Assumptions!$B$51/100</f>
        <v>-306.75073275</v>
      </c>
      <c r="G18" s="4" t="n">
        <f aca="false">(G6-F6)*Assumptions!$B$51/100</f>
        <v>-281.334243465</v>
      </c>
      <c r="H18" s="4" t="n">
        <f aca="false">(H6-G6)*Assumptions!$B$51/100</f>
        <v>-248.51191506075</v>
      </c>
      <c r="I18" s="4" t="n">
        <f aca="false">(I6-H6)*Assumptions!$B$51/100</f>
        <v>-234.843759732408</v>
      </c>
      <c r="J18" s="4" t="n">
        <f aca="false">(J6-I6)*Assumptions!$B$51/100</f>
        <v>-218.143759040326</v>
      </c>
      <c r="K18" s="4" t="n">
        <f aca="false">(K6-J6)*Assumptions!$B$51/100</f>
        <v>-198.510820726697</v>
      </c>
      <c r="L18" s="4" t="n">
        <f aca="false">(L6-K6)*Assumptions!$B$51/100</f>
        <v>-176.107456673255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14851.25446375</v>
      </c>
      <c r="D19" s="0" t="n">
        <f aca="false">D15+D16+D17+D18</f>
        <v>16837.575754625</v>
      </c>
      <c r="E19" s="0" t="n">
        <f aca="false">E15+E16+E17+E18</f>
        <v>18462.56378494</v>
      </c>
      <c r="F19" s="0" t="n">
        <f aca="false">F15+F16+F17+F18</f>
        <v>20146.2487671555</v>
      </c>
      <c r="G19" s="0" t="n">
        <f aca="false">G15+G16+G17+G18</f>
        <v>21609.5833304064</v>
      </c>
      <c r="H19" s="0" t="n">
        <f aca="false">H15+H16+H17+H18</f>
        <v>23139.8390542007</v>
      </c>
      <c r="I19" s="0" t="n">
        <f aca="false">I15+I16+I17+I18</f>
        <v>24361.9557908596</v>
      </c>
      <c r="J19" s="0" t="n">
        <f aca="false">J15+J16+J17+J18</f>
        <v>25340.9751701822</v>
      </c>
      <c r="K19" s="0" t="n">
        <f aca="false">K15+K16+K17+K18</f>
        <v>26232.8703265066</v>
      </c>
      <c r="L19" s="0" t="n">
        <f aca="false">L15+L16+L17+L18</f>
        <v>27048.2151249771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13687.7921324885</v>
      </c>
      <c r="D21" s="0" t="n">
        <f aca="false">D19*D20</f>
        <v>14302.7677416169</v>
      </c>
      <c r="E21" s="0" t="n">
        <f aca="false">E19*E20</f>
        <v>14454.4907050234</v>
      </c>
      <c r="F21" s="0" t="n">
        <f aca="false">F19*F20</f>
        <v>14537.0150348444</v>
      </c>
      <c r="G21" s="0" t="n">
        <f aca="false">G19*G20</f>
        <v>14371.3544930568</v>
      </c>
      <c r="H21" s="0" t="n">
        <f aca="false">H19*H20</f>
        <v>14183.4507452785</v>
      </c>
      <c r="I21" s="0" t="n">
        <f aca="false">I19*I20</f>
        <v>13762.7107826171</v>
      </c>
      <c r="J21" s="0" t="n">
        <f aca="false">J19*J20</f>
        <v>13194.2715464641</v>
      </c>
      <c r="K21" s="0" t="n">
        <f aca="false">K19*K20</f>
        <v>12588.6212948653</v>
      </c>
      <c r="L21" s="0" t="n">
        <f aca="false">L19*L20</f>
        <v>11963.0310525577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137045.505528813</v>
      </c>
    </row>
    <row r="31" customFormat="false" ht="15" hidden="false" customHeight="false" outlineLevel="0" collapsed="false">
      <c r="A31" s="0" t="s">
        <v>137</v>
      </c>
      <c r="B31" s="0" t="n">
        <f aca="false">L19</f>
        <v>27048.2151249771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506539.301431389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540964.302499542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506539.301431389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224034.945166081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361080.450694894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345844.450694894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86.961139224263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-0.184994009144677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47218.705937302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70113.0571471116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116.463719833872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232163.846489387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36.1550162744067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40.8424714641074</v>
      </c>
      <c r="C4" s="0" t="n">
        <f aca="false">B4/Assumptions!$B$2-1</f>
        <v>-0.617221448321393</v>
      </c>
      <c r="D4" s="4" t="n">
        <f aca="false">Assumptions!$B$24</f>
        <v>0.2</v>
      </c>
      <c r="E4" s="4" t="n">
        <f aca="false">DCF_Bear!$B$43</f>
        <v>60.6986394752235</v>
      </c>
      <c r="F4" s="4" t="n">
        <f aca="false">DCF_Bear!$B$47</f>
        <v>20.0724867775666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65.3400110008019</v>
      </c>
      <c r="C5" s="0" t="n">
        <f aca="false">B5/Assumptions!$B$2-1</f>
        <v>-0.387628762879083</v>
      </c>
      <c r="D5" s="4" t="n">
        <f aca="false">Assumptions!$B$38</f>
        <v>0.55</v>
      </c>
      <c r="E5" s="4" t="n">
        <f aca="false">DCF_Base!$B$43</f>
        <v>91.7869749246646</v>
      </c>
      <c r="F5" s="4" t="n">
        <f aca="false">DCF_Base!$B$47</f>
        <v>29.2758404812984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86.961139224263</v>
      </c>
      <c r="C6" s="0" t="n">
        <f aca="false">B6/Assumptions!$B$2-1</f>
        <v>-0.184994009144677</v>
      </c>
      <c r="D6" s="4" t="n">
        <f aca="false">Assumptions!$B$52</f>
        <v>0.25</v>
      </c>
      <c r="E6" s="4" t="n">
        <f aca="false">DCF_Bull!$B$43</f>
        <v>116.463719833872</v>
      </c>
      <c r="F6" s="4" t="n">
        <f aca="false">DCF_Bull!$B$47</f>
        <v>36.1550162744067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65.8457851493282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91.7384940620781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-0.620452998745791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157.782698551694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29.1549636888291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65.3400110008019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62.8562975668103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53.5168619294082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46.2355482898685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40.5765470880952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29.2758404812984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76.5260250537694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76.5260250537694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76.5260250537694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76.5260250537694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76.5260250537694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70.6692758892513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70.6692758892513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70.6692758892513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70.6692758892513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70.6692758892513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62.2531188412373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65.3400110008019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65.3400110008019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65.3400110008019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65.3400110008019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53.1625927317877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55.4085262615118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57.9999880265781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60.4849513629431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60.4849513629431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46.2242658930011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47.8220344118013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49.6328387331082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51.7023293860303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54.0902032163251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2026-09-26T01:10:21Z</dcterms:created>
  <dc:creator>openpyxl</dc:creator>
  <dc:description/>
  <dc:language>en-NZ</dc:language>
  <cp:lastModifiedBy/>
  <dcterms:modified xsi:type="dcterms:W3CDTF">2026-09-26T01:10:21Z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