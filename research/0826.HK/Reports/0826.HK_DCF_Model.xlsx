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<sst xmlns="http://schemas.openxmlformats.org/spreadsheetml/2006/main" count="356" uniqueCount="166">
  <si>
    <t xml:space="preserve">Ticker</t>
  </si>
  <si>
    <t xml:space="preserve">0826.HK</t>
  </si>
  <si>
    <t xml:space="preserve">Company</t>
  </si>
  <si>
    <t xml:space="preserve">Tiangong International Company Limited</t>
  </si>
  <si>
    <t xml:space="preserve">Valuation date</t>
  </si>
  <si>
    <t xml:space="preserve">2026-10-11</t>
  </si>
  <si>
    <t xml:space="preserve">Current price</t>
  </si>
  <si>
    <t xml:space="preserve">Price as of</t>
  </si>
  <si>
    <t xml:space="preserve">2026-10-09T08:08:06Z regular close (HKEX Friday close; valuation date is a Sunday)</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</si>
  <si>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</si>
  <si>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</si>
  <si>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</si>
  <si>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</si>
  <si>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</si>
  <si>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</si>
  <si>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</si>
  <si>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</si>
  <si>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</si>
  <si>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</si>
  <si>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</si>
  <si>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</si>
  <si>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</si>
  <si>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2026-10-11T08:47:05Z</t>
  </si>
  <si>
    <t xml:space="preserve">Drivers file</t>
  </si>
  <si>
    <t xml:space="preserve">0826.HK_Drivers.json</t>
  </si>
  <si>
    <t xml:space="preserve">Convention</t>
  </si>
  <si>
    <t xml:space="preserve">Percents stored as percents; formulas divide by 100. Blue = input, green = link, black = formula.</t>
  </si>
  <si>
    <t xml:space="preserve">Methodology</t>
  </si>
  <si>
    <t xml:space="preserve">summary: Value the consolidated specialty-steel, tools and titanium business on mid-cycle owner FCF built from components, charging working capital on growth, NCI as profit leakage, and the TG Tools redeemable capital as debt. The market capitalisation (~HK$7.8bn, ~RMB6.7bn) implies ~17x FY2025 attributable earnings and ~9.5x EV/EBITDA, a multiple that appears to carry a sum-of-the-parts premium for the BSE-listed TG Tech stake rather than the cash the group has actually produced. This model does not give credit for that re-rating: TG Tech's flows are valued inside the consolidated DCF at the same 9% rate and 12x cap as the steel business.
key_risks_to_valuation: Working-capital normalisation: the modelled 8-9% owner-FCF margin versus a realised ~2% over FY2018-25 is the dominant assumption; if receivables and inventories keep growing on flat revenue, every scenario here is too high.; Customer concentration in titanium alloy wire (consumer electronics) -- demonstrated in FY2025.; US/EU tariff policy on HSS, die steel and cutting-tool exports (27-57% of segment revenue).; NCI leakage treated as a constant ~7-8pp of EBIT; if TG Tech raises further equity at the subsidiary the parent's economic share falls below 67.6%.; CNY-built 9% WACC: a mechanical CAPM gives ~6.5%; the premium is a judgment on governance, liquidity and size, and the sensitivity grid shows its cost.; FX bridge CNY-&gt;HKD at 1.1721 is dated 2026-10-10 and is not refreshed by refresh_price.py.; Terminal value capped at 12x; the Gordon value at 9%/2.5% is ~16x, so the cap binds and the valuation is deliberately below a growth-perpetuity reading.</t>
  </si>
  <si>
    <t xml:space="preserve">Data sources</t>
  </si>
  <si>
    <t xml:space="preserve">price: Yahoo Finance chart API, HKD, at inputs.price_as_of; 52-week range 2.715-4.54 (intraday all-time high HK$5.36 in February 2026).
financials: research/0826.HK/Reports/0826.HK_Metrics.csv (FY2018-FY2025 annuals, H1 FY2023-H1 FY2026 interims, RMB millions); balance-sheet anchors from 0826.HK_HalfYear_H1-2026.txt (bank loans note 17, other financial liabilities note 18, cash note 15, shares in basic EPS note); NCI and tax from 0826.HK_Annual_FY2025.txt.
fx: Yahoo Finance CNYHKD=X, 2026-10-10.
qualitative: research/0826.HK/Reports/0826.HK_Analysis.json (2026-10-11).</t>
  </si>
  <si>
    <t xml:space="preserve">Scenario narrative: bear</t>
  </si>
  <si>
    <t xml:space="preserve">The FY2025 titanium shock recurs -- another handset generation drops titanium, or a second large customer does -- while US tariff escalation and a weak Europe push HSS and cutting-tool exports down again; revenue falls 4% in FY2027 and the EBITDA margin drops to 15.5-16%, roughly the FY2019 level, before recovering only to 17%. Receivable terms to European customers keep lengthening and loss allowances (already 5.1% of receivables) rise, so working capital absorbs 50% of any revenue growth. With RMB4.4bn of debt-like liabilities against RMB1.9bn of cash and deposits, the dividend becomes the balancing item. Terminal growth 2%.</t>
  </si>
  <si>
    <t xml:space="preserve">Scenario narrative: base</t>
  </si>
  <si>
    <t xml:space="preserve">FY2025 was the 'bottoming-out and rebound' year management calls it: H1 FY2026 revenue +5.5% and gross margin 24.8% (from 18.9%) as domestic DS/HSS demand recovered, June alloy-cost pass-through stuck, and the consumer-electronics customer resumed titanium-frame products in Q4 2025. Revenue grows 5% in FY2026 then fades to 2.5% -- a modest premium to eight flat years -- and the EBITDA margin eases from 20.5% to a 19.8% mid-cycle level equal to the FY2020-25 average. Capex runs at 7% of revenue, below D&amp;A, because the asset base was built out in FY2021-22; working capital absorbs 45 cents of every incremental revenue dollar but stops growing faster than sales. The redeemable capital in TG Tools keeps being refinanced with bank debt rather than paid from cash. Terminal value is capped at 12x year-10 FCF.</t>
  </si>
  <si>
    <t xml:space="preserve">Scenario narrative: bull</t>
  </si>
  <si>
    <t xml:space="preserve">Powder metallurgy and plasma-atomised titanium powder become real revenue lines, aerospace-grade titanium wire (AMS4931) and nuclear-fusion steels scale from first orders, and the Thailand tools plant neutralises US tariffs on cutting-tool exports. Revenue compounds 8% for two years and 5-7% through year 5; mix shift to high-end grades lifts the EBITDA margin to 23%, above any year in the FY2018-25 history. The cost is heavier capex (7.5% of revenue) and more profit leaking to TG Tech's 32.4% minorities, which is why the combined tax/leakage driver runs ~1pp above base. Terminal growth 3%.</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</si>
  <si>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</si>
  <si>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</si>
  <si>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</si>
  <si>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</si>
  <si>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</si>
  <si>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</si>
  <si>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</si>
  <si>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</si>
  <si>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</si>
  <si>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</si>
  <si>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</si>
  <si>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</si>
  <si>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</si>
  <si>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</si>
  <si>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</si>
  <si>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</si>
  <si>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</si>
  <si>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</si>
  <si>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</si>
  <si>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</si>
  <si>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</si>
  <si>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</si>
  <si>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</si>
  <si>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</si>
  <si>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</si>
  <si>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</si>
  <si>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</si>
  <si>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ProfitForPeriodInclNCI</t>
  </si>
  <si>
    <t xml:space="preserve">TimeDeposits</t>
  </si>
  <si>
    <t xml:space="preserve">TotalEquityInclNCI</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</si>
  <si>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</si>
  <si>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</si>
  <si>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</si>
  <si>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</si>
  <si>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</si>
  <si>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</si>
  <si>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</si>
  <si>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</si>
  <si>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</si>
  <si>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</si>
  <si>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</si>
  <si>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</si>
  <si>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</si>
  <si>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</si>
  <si>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</si>
  <si>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</si>
  <si>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</si>
  <si>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</si>
  <si>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</si>
  <si>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</si>
  <si>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</si>
  <si>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</si>
  <si>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</si>
  <si>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</si>
  <si>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</si>
  <si>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</si>
  <si>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</si>
  <si>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</si>
  <si>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</si>
  <si>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</si>
  <si>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</si>
  <si>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</si>
  <si>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</si>
  <si>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</si>
  <si>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</si>
  <si>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</si>
  <si>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</si>
  <si>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</si>
  <si>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</si>
  <si>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</si>
  <si>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</si>
  <si>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</si>
  <si>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</si>
  <si>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</si>
  <si>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</si>
  <si>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0826.HK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</si>
  <si>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</si>
  <si>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</si>
  <si>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</si>
  <si>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</si>
  <si>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</si>
  <si>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</si>
  <si>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</si>
  <si>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</si>
  <si>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</si>
  <si>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</si>
  <si>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</si>
  <si>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</si>
  <si>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</si>
  <si>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</si>
  <si>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</si>
  <si>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</si>
  <si>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</si>
  <si>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</si>
  <si>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</si>
  <si>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</si>
  <si>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</si>
  <si>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</si>
  <si>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</si>
  <si>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</si>
  <si>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</si>
  <si>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</si>
  <si>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</si>
  <si>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</si>
  <si>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</si>
  <si>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</si>
  <si>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0826.HK owner-FCF component DCF: base case (millions, CNY)</t>
  </si>
  <si>
    <t xml:space="preserve">0826.HK owner-FCF component DCF: bull case (millions, CNY)</t>
  </si>
  <si>
    <t xml:space="preserve">0826.HK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</si>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</sst>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2.87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row>
    <row r="2" customFormat="false" ht="15" hidden="false" customHeight="false" outlineLevel="0" collapsed="false">
      <c r="A2" s="0" t="s">
        <v>67</v>
      </c>
      <c r="B2" s="0" t="n">
        <v>5021.546</v>
      </c>
      <c r="C2" s="0" t="n">
        <v>4360.619</v>
      </c>
      <c r="D2" s="0" t="n">
        <v>660.927</v>
      </c>
      <c r="E2" s="0" t="n">
        <v>13.2</v>
      </c>
      <c r="F2" s="0" t="n">
        <v>402.164</v>
      </c>
      <c r="G2" s="0" t="n">
        <v>8</v>
      </c>
      <c r="H2" s="0" t="n">
        <v>629.691</v>
      </c>
      <c r="I2" s="0" t="n">
        <v>258.835</v>
      </c>
      <c r="J2" s="0" t="n">
        <v>5.2</v>
      </c>
      <c r="K2" s="0" t="n">
        <v>0.106</v>
      </c>
      <c r="L2" s="0" t="n">
        <v>810.899</v>
      </c>
      <c r="M2" s="0" t="n">
        <v>331.842</v>
      </c>
      <c r="N2" s="0" t="n">
        <v>479.057</v>
      </c>
      <c r="O2" s="0" t="n">
        <v>4671.504</v>
      </c>
      <c r="P2" s="0" t="n">
        <v>10036.352</v>
      </c>
      <c r="Q2" s="0" t="n">
        <v>5213.392</v>
      </c>
      <c r="R2" s="0" t="n">
        <v>3183.779</v>
      </c>
      <c r="S2" s="0" t="n">
        <v>583.235</v>
      </c>
      <c r="T2" s="0" t="n">
        <v>2435.422</v>
      </c>
      <c r="U2" s="0" t="n">
        <v>0.604</v>
      </c>
      <c r="AA2" s="0" t="s">
        <v>18</v>
      </c>
      <c r="AB2" s="0" t="s">
        <v>14</v>
      </c>
      <c r="AC2" s="0" t="n">
        <v>266.97</v>
      </c>
      <c r="AD2" s="0" t="n">
        <v>717.414</v>
      </c>
      <c r="AE2" s="0" t="n">
        <v>4822.96</v>
      </c>
    </row>
    <row r="3" customFormat="false" ht="15" hidden="false" customHeight="false" outlineLevel="0" collapsed="false">
      <c r="A3" s="0" t="s">
        <v>68</v>
      </c>
      <c r="B3" s="0" t="n">
        <v>5369.873</v>
      </c>
      <c r="C3" s="0" t="n">
        <v>4350.214</v>
      </c>
      <c r="D3" s="0" t="n">
        <v>1019.659</v>
      </c>
      <c r="E3" s="0" t="n">
        <v>19</v>
      </c>
      <c r="F3" s="0" t="n">
        <v>587.569</v>
      </c>
      <c r="G3" s="0" t="n">
        <v>10.9</v>
      </c>
      <c r="H3" s="0" t="n">
        <v>829.967</v>
      </c>
      <c r="I3" s="0" t="n">
        <v>395.146</v>
      </c>
      <c r="J3" s="0" t="n">
        <v>7.4</v>
      </c>
      <c r="K3" s="0" t="n">
        <v>0.156</v>
      </c>
      <c r="L3" s="0" t="n">
        <v>398.666</v>
      </c>
      <c r="M3" s="0" t="n">
        <v>532.935</v>
      </c>
      <c r="N3" s="0" t="n">
        <v>-134.269</v>
      </c>
      <c r="O3" s="0" t="n">
        <v>5036.347</v>
      </c>
      <c r="P3" s="0" t="n">
        <v>10216.377</v>
      </c>
      <c r="Q3" s="0" t="n">
        <v>5013.243</v>
      </c>
      <c r="R3" s="0" t="n">
        <v>3251.733</v>
      </c>
      <c r="S3" s="0" t="n">
        <v>398.017</v>
      </c>
      <c r="T3" s="0" t="n">
        <v>2549.626</v>
      </c>
      <c r="U3" s="0" t="n">
        <v>0.256</v>
      </c>
      <c r="AA3" s="0" t="s">
        <v>18</v>
      </c>
      <c r="AB3" s="0" t="s">
        <v>14</v>
      </c>
      <c r="AC3" s="0" t="n">
        <v>404.018</v>
      </c>
      <c r="AE3" s="0" t="n">
        <v>5203.134</v>
      </c>
    </row>
    <row r="4" customFormat="false" ht="15" hidden="false" customHeight="false" outlineLevel="0" collapsed="false">
      <c r="A4" s="0" t="s">
        <v>69</v>
      </c>
      <c r="B4" s="0" t="n">
        <v>5220.944</v>
      </c>
      <c r="C4" s="0" t="n">
        <v>4006.964</v>
      </c>
      <c r="D4" s="0" t="n">
        <v>1213.98</v>
      </c>
      <c r="E4" s="0" t="n">
        <v>23.3</v>
      </c>
      <c r="F4" s="0" t="n">
        <v>747.795</v>
      </c>
      <c r="G4" s="0" t="n">
        <v>14.3</v>
      </c>
      <c r="H4" s="0" t="n">
        <v>1016.676</v>
      </c>
      <c r="I4" s="0" t="n">
        <v>537.024</v>
      </c>
      <c r="J4" s="0" t="n">
        <v>10.3</v>
      </c>
      <c r="K4" s="0" t="n">
        <v>0.209</v>
      </c>
      <c r="L4" s="0" t="n">
        <v>1307.414</v>
      </c>
      <c r="M4" s="0" t="n">
        <v>476.158</v>
      </c>
      <c r="N4" s="0" t="n">
        <v>831.256</v>
      </c>
      <c r="O4" s="0" t="n">
        <v>5470.224</v>
      </c>
      <c r="P4" s="0" t="n">
        <v>11198.126</v>
      </c>
      <c r="Q4" s="0" t="n">
        <v>5557.817</v>
      </c>
      <c r="R4" s="0" t="n">
        <v>3365.819</v>
      </c>
      <c r="S4" s="0" t="n">
        <v>827.246</v>
      </c>
      <c r="T4" s="0" t="n">
        <v>2567.069</v>
      </c>
      <c r="U4" s="0" t="n">
        <v>0</v>
      </c>
      <c r="AA4" s="0" t="s">
        <v>18</v>
      </c>
      <c r="AB4" s="0" t="s">
        <v>14</v>
      </c>
      <c r="AC4" s="0" t="n">
        <v>540.322</v>
      </c>
      <c r="AE4" s="0" t="n">
        <v>5640.309</v>
      </c>
    </row>
    <row r="5" customFormat="false" ht="15" hidden="false" customHeight="false" outlineLevel="0" collapsed="false">
      <c r="A5" s="0" t="s">
        <v>70</v>
      </c>
      <c r="B5" s="0" t="n">
        <v>5744.873</v>
      </c>
      <c r="C5" s="0" t="n">
        <v>4339.675</v>
      </c>
      <c r="D5" s="0" t="n">
        <v>1405.198</v>
      </c>
      <c r="E5" s="0" t="n">
        <v>24.5</v>
      </c>
      <c r="F5" s="0" t="n">
        <v>861.178</v>
      </c>
      <c r="G5" s="0" t="n">
        <v>15</v>
      </c>
      <c r="H5" s="0" t="n">
        <v>1160.872</v>
      </c>
      <c r="I5" s="0" t="n">
        <v>664.371</v>
      </c>
      <c r="J5" s="0" t="n">
        <v>11.6</v>
      </c>
      <c r="K5" s="0" t="n">
        <v>0.244</v>
      </c>
      <c r="L5" s="0" t="n">
        <v>542.3</v>
      </c>
      <c r="M5" s="0" t="n">
        <v>472.52</v>
      </c>
      <c r="N5" s="0" t="n">
        <v>69.78</v>
      </c>
      <c r="O5" s="0" t="n">
        <v>6630.245</v>
      </c>
      <c r="P5" s="0" t="n">
        <v>12564.586</v>
      </c>
      <c r="Q5" s="0" t="n">
        <v>5672.029</v>
      </c>
      <c r="R5" s="0" t="n">
        <v>2638.786</v>
      </c>
      <c r="S5" s="0" t="n">
        <v>1356.881</v>
      </c>
      <c r="T5" s="0" t="n">
        <v>2723.022</v>
      </c>
      <c r="U5" s="0" t="n">
        <v>0</v>
      </c>
      <c r="AA5" s="0" t="s">
        <v>18</v>
      </c>
      <c r="AB5" s="0" t="s">
        <v>14</v>
      </c>
      <c r="AC5" s="0" t="n">
        <v>671.63</v>
      </c>
      <c r="AE5" s="0" t="n">
        <v>6892.557</v>
      </c>
    </row>
    <row r="6" customFormat="false" ht="15" hidden="false" customHeight="false" outlineLevel="0" collapsed="false">
      <c r="A6" s="0" t="s">
        <v>71</v>
      </c>
      <c r="B6" s="0" t="n">
        <v>5066.807</v>
      </c>
      <c r="C6" s="0" t="n">
        <v>3918.32</v>
      </c>
      <c r="D6" s="0" t="n">
        <v>1148.487</v>
      </c>
      <c r="E6" s="0" t="n">
        <v>22.7</v>
      </c>
      <c r="F6" s="0" t="n">
        <v>619.537</v>
      </c>
      <c r="G6" s="0" t="n">
        <v>12.2</v>
      </c>
      <c r="H6" s="0" t="n">
        <v>952.502</v>
      </c>
      <c r="I6" s="0" t="n">
        <v>503.535</v>
      </c>
      <c r="J6" s="0" t="n">
        <v>9.9</v>
      </c>
      <c r="K6" s="0" t="n">
        <v>0.181</v>
      </c>
      <c r="L6" s="0" t="n">
        <v>303.553</v>
      </c>
      <c r="M6" s="0" t="n">
        <v>536.983</v>
      </c>
      <c r="N6" s="0" t="n">
        <v>-233.43</v>
      </c>
      <c r="O6" s="0" t="n">
        <v>6860.284</v>
      </c>
      <c r="P6" s="0" t="n">
        <v>13363.151</v>
      </c>
      <c r="Q6" s="0" t="n">
        <v>6221.818</v>
      </c>
      <c r="R6" s="0" t="n">
        <v>2895.313</v>
      </c>
      <c r="S6" s="0" t="n">
        <v>1219.843</v>
      </c>
      <c r="T6" s="0" t="n">
        <v>2787.659</v>
      </c>
      <c r="U6" s="0" t="n">
        <v>0</v>
      </c>
      <c r="AA6" s="0" t="s">
        <v>18</v>
      </c>
      <c r="AB6" s="0" t="s">
        <v>14</v>
      </c>
      <c r="AC6" s="0" t="n">
        <v>524.11</v>
      </c>
      <c r="AE6" s="0" t="n">
        <v>7141.333</v>
      </c>
    </row>
    <row r="7" customFormat="false" ht="15" hidden="false" customHeight="false" outlineLevel="0" collapsed="false">
      <c r="A7" s="0" t="s">
        <v>72</v>
      </c>
      <c r="B7" s="0" t="n">
        <v>5163.306</v>
      </c>
      <c r="C7" s="0" t="n">
        <v>4019.922</v>
      </c>
      <c r="D7" s="0" t="n">
        <v>1143.384</v>
      </c>
      <c r="E7" s="0" t="n">
        <v>22.1</v>
      </c>
      <c r="F7" s="0" t="n">
        <v>626.619</v>
      </c>
      <c r="G7" s="0" t="n">
        <v>12.1</v>
      </c>
      <c r="H7" s="0" t="n">
        <v>1012.966</v>
      </c>
      <c r="I7" s="0" t="n">
        <v>370.209</v>
      </c>
      <c r="J7" s="0" t="n">
        <v>7.2</v>
      </c>
      <c r="K7" s="0" t="n">
        <v>0.133</v>
      </c>
      <c r="L7" s="0" t="n">
        <v>55.129</v>
      </c>
      <c r="M7" s="0" t="n">
        <v>299.157</v>
      </c>
      <c r="N7" s="0" t="n">
        <v>-244.028</v>
      </c>
      <c r="O7" s="0" t="n">
        <v>7064.555</v>
      </c>
      <c r="P7" s="0" t="n">
        <v>13561.075</v>
      </c>
      <c r="Q7" s="0" t="n">
        <v>6176.487</v>
      </c>
      <c r="R7" s="0" t="n">
        <v>2895.021</v>
      </c>
      <c r="S7" s="0" t="n">
        <v>749.087</v>
      </c>
      <c r="T7" s="0" t="n">
        <v>2778.643</v>
      </c>
      <c r="U7" s="0" t="n">
        <v>0</v>
      </c>
      <c r="AA7" s="0" t="s">
        <v>18</v>
      </c>
      <c r="AB7" s="0" t="s">
        <v>14</v>
      </c>
      <c r="AC7" s="0" t="n">
        <v>419.928</v>
      </c>
      <c r="AD7" s="0" t="n">
        <v>1307.985</v>
      </c>
      <c r="AE7" s="0" t="n">
        <v>7384.588</v>
      </c>
    </row>
    <row r="8" customFormat="false" ht="15" hidden="false" customHeight="false" outlineLevel="0" collapsed="false">
      <c r="A8" s="0" t="s">
        <v>73</v>
      </c>
      <c r="B8" s="0" t="n">
        <v>4832.036</v>
      </c>
      <c r="C8" s="0" t="n">
        <v>3848.493</v>
      </c>
      <c r="D8" s="0" t="n">
        <v>983.543</v>
      </c>
      <c r="E8" s="0" t="n">
        <v>20.4</v>
      </c>
      <c r="F8" s="0" t="n">
        <v>542.518</v>
      </c>
      <c r="G8" s="0" t="n">
        <v>11.2</v>
      </c>
      <c r="H8" s="0" t="n">
        <v>943.354</v>
      </c>
      <c r="I8" s="0" t="n">
        <v>358.757</v>
      </c>
      <c r="J8" s="0" t="n">
        <v>7.4</v>
      </c>
      <c r="K8" s="0" t="n">
        <v>0.131</v>
      </c>
      <c r="L8" s="0" t="n">
        <v>501.762</v>
      </c>
      <c r="M8" s="0" t="n">
        <v>289.293</v>
      </c>
      <c r="N8" s="0" t="n">
        <v>212.469</v>
      </c>
      <c r="O8" s="0" t="n">
        <v>7093.077</v>
      </c>
      <c r="P8" s="0" t="n">
        <v>13285.849</v>
      </c>
      <c r="Q8" s="0" t="n">
        <v>5833.111</v>
      </c>
      <c r="R8" s="0" t="n">
        <v>3284.666</v>
      </c>
      <c r="S8" s="0" t="n">
        <v>1068.922</v>
      </c>
      <c r="T8" s="0" t="n">
        <v>2743.226</v>
      </c>
      <c r="U8" s="0" t="n">
        <v>0</v>
      </c>
      <c r="AA8" s="0" t="s">
        <v>18</v>
      </c>
      <c r="AB8" s="0" t="s">
        <v>14</v>
      </c>
      <c r="AC8" s="0" t="n">
        <v>400.163</v>
      </c>
      <c r="AD8" s="0" t="n">
        <v>605.231</v>
      </c>
      <c r="AE8" s="0" t="n">
        <v>7452.738</v>
      </c>
    </row>
    <row r="9" customFormat="false" ht="15" hidden="false" customHeight="false" outlineLevel="0" collapsed="false">
      <c r="A9" s="0" t="s">
        <v>74</v>
      </c>
      <c r="B9" s="0" t="n">
        <v>4718.83</v>
      </c>
      <c r="C9" s="0" t="n">
        <v>3766.941</v>
      </c>
      <c r="D9" s="0" t="n">
        <v>951.889</v>
      </c>
      <c r="E9" s="0" t="n">
        <v>20.2</v>
      </c>
      <c r="F9" s="0" t="n">
        <v>587.693</v>
      </c>
      <c r="G9" s="0" t="n">
        <v>12.5</v>
      </c>
      <c r="H9" s="0" t="n">
        <v>989.202</v>
      </c>
      <c r="I9" s="0" t="n">
        <v>400.228</v>
      </c>
      <c r="J9" s="0" t="n">
        <v>8.5</v>
      </c>
      <c r="K9" s="0" t="n">
        <v>0.147</v>
      </c>
      <c r="L9" s="0" t="n">
        <v>294.439</v>
      </c>
      <c r="M9" s="0" t="n">
        <v>328.718</v>
      </c>
      <c r="N9" s="0" t="n">
        <v>-34.279</v>
      </c>
      <c r="O9" s="0" t="n">
        <v>7426.753</v>
      </c>
      <c r="P9" s="0" t="n">
        <v>13797.024</v>
      </c>
      <c r="Q9" s="0" t="n">
        <v>5830.165</v>
      </c>
      <c r="R9" s="0" t="n">
        <v>3434.032</v>
      </c>
      <c r="S9" s="0" t="n">
        <v>1069.583</v>
      </c>
      <c r="T9" s="0" t="n">
        <v>2725</v>
      </c>
      <c r="U9" s="0" t="n">
        <v>0</v>
      </c>
      <c r="AA9" s="0" t="s">
        <v>18</v>
      </c>
      <c r="AB9" s="0" t="s">
        <v>14</v>
      </c>
      <c r="AC9" s="0" t="n">
        <v>437.732</v>
      </c>
      <c r="AD9" s="0" t="n">
        <v>603.324</v>
      </c>
      <c r="AE9" s="0" t="n">
        <v>7966.859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2.87</v>
      </c>
    </row>
    <row r="3" customFormat="false" ht="15" hidden="false" customHeight="false" outlineLevel="0" collapsed="false">
      <c r="A3" s="0" t="s">
        <v>78</v>
      </c>
      <c r="B3" s="3" t="n">
        <v>2725</v>
      </c>
    </row>
    <row r="4" customFormat="false" ht="15" hidden="false" customHeight="false" outlineLevel="0" collapsed="false">
      <c r="A4" s="0" t="s">
        <v>79</v>
      </c>
      <c r="B4" s="3" t="n">
        <v>2491.9</v>
      </c>
    </row>
    <row r="5" customFormat="false" ht="15" hidden="false" customHeight="false" outlineLevel="0" collapsed="false">
      <c r="A5" s="0" t="s">
        <v>80</v>
      </c>
      <c r="B5" s="3" t="n">
        <v>0</v>
      </c>
    </row>
    <row r="6" customFormat="false" ht="15" hidden="false" customHeight="false" outlineLevel="0" collapsed="false">
      <c r="A6" s="0" t="s">
        <v>81</v>
      </c>
      <c r="B6" s="3" t="n">
        <v>15</v>
      </c>
    </row>
    <row r="7" customFormat="false" ht="15" hidden="false" customHeight="false" outlineLevel="0" collapsed="false">
      <c r="A7" s="0" t="s">
        <v>82</v>
      </c>
      <c r="B7" s="3" t="n">
        <v>4718.83</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1.1721</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2</v>
      </c>
      <c r="D13" s="3" t="n">
        <v>-4</v>
      </c>
      <c r="E13" s="3" t="n">
        <v>-1</v>
      </c>
      <c r="F13" s="3" t="n">
        <v>1</v>
      </c>
      <c r="G13" s="3" t="n">
        <v>1.5</v>
      </c>
      <c r="H13" s="3" t="n">
        <v>2</v>
      </c>
      <c r="I13" s="3" t="n">
        <v>2</v>
      </c>
      <c r="J13" s="3" t="n">
        <v>2</v>
      </c>
      <c r="K13" s="3" t="n">
        <v>2</v>
      </c>
      <c r="L13" s="3" t="n">
        <v>2</v>
      </c>
    </row>
    <row r="14" customFormat="false" ht="15" hidden="false" customHeight="false" outlineLevel="0" collapsed="false">
      <c r="A14" s="0" t="s">
        <v>99</v>
      </c>
      <c r="C14" s="3" t="n">
        <v>19</v>
      </c>
      <c r="D14" s="3" t="n">
        <v>16</v>
      </c>
      <c r="E14" s="3" t="n">
        <v>15.5</v>
      </c>
      <c r="F14" s="3" t="n">
        <v>16</v>
      </c>
      <c r="G14" s="3" t="n">
        <v>16.5</v>
      </c>
      <c r="H14" s="3" t="n">
        <v>17</v>
      </c>
      <c r="I14" s="3" t="n">
        <v>17</v>
      </c>
      <c r="J14" s="3" t="n">
        <v>17</v>
      </c>
      <c r="K14" s="3" t="n">
        <v>17</v>
      </c>
      <c r="L14" s="3" t="n">
        <v>17</v>
      </c>
    </row>
    <row r="15" customFormat="false" ht="15" hidden="false" customHeight="false" outlineLevel="0" collapsed="false">
      <c r="A15" s="0" t="s">
        <v>100</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101</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102</v>
      </c>
      <c r="C17" s="3" t="n">
        <v>8.6</v>
      </c>
      <c r="D17" s="3" t="n">
        <v>8.8</v>
      </c>
      <c r="E17" s="3" t="n">
        <v>8.8</v>
      </c>
      <c r="F17" s="3" t="n">
        <v>8.6</v>
      </c>
      <c r="G17" s="3" t="n">
        <v>8.5</v>
      </c>
      <c r="H17" s="3" t="n">
        <v>8.4</v>
      </c>
      <c r="I17" s="3" t="n">
        <v>8.3</v>
      </c>
      <c r="J17" s="3" t="n">
        <v>8.2</v>
      </c>
      <c r="K17" s="3" t="n">
        <v>8.2</v>
      </c>
      <c r="L17" s="3" t="n">
        <v>8.2</v>
      </c>
    </row>
    <row r="18" customFormat="false" ht="15" hidden="false" customHeight="false" outlineLevel="0" collapsed="false">
      <c r="A18" s="0" t="s">
        <v>103</v>
      </c>
      <c r="C18" s="3" t="n">
        <v>6.5</v>
      </c>
      <c r="D18" s="3" t="n">
        <v>5.5</v>
      </c>
      <c r="E18" s="3" t="n">
        <v>5.5</v>
      </c>
      <c r="F18" s="3" t="n">
        <v>6</v>
      </c>
      <c r="G18" s="3" t="n">
        <v>6</v>
      </c>
      <c r="H18" s="3" t="n">
        <v>6.5</v>
      </c>
      <c r="I18" s="3" t="n">
        <v>6.5</v>
      </c>
      <c r="J18" s="3" t="n">
        <v>6.5</v>
      </c>
      <c r="K18" s="3" t="n">
        <v>6.5</v>
      </c>
      <c r="L18" s="3" t="n">
        <v>6.5</v>
      </c>
    </row>
    <row r="19" customFormat="false" ht="15" hidden="false" customHeight="false" outlineLevel="0" collapsed="false">
      <c r="A19" s="0" t="s">
        <v>104</v>
      </c>
      <c r="C19" s="3" t="n">
        <v>14</v>
      </c>
      <c r="D19" s="3" t="n">
        <v>14</v>
      </c>
      <c r="E19" s="3" t="n">
        <v>14</v>
      </c>
      <c r="F19" s="3" t="n">
        <v>15</v>
      </c>
      <c r="G19" s="3" t="n">
        <v>15.5</v>
      </c>
      <c r="H19" s="3" t="n">
        <v>16</v>
      </c>
      <c r="I19" s="3" t="n">
        <v>16.5</v>
      </c>
      <c r="J19" s="3" t="n">
        <v>17</v>
      </c>
      <c r="K19" s="3" t="n">
        <v>17.5</v>
      </c>
      <c r="L19" s="3" t="n">
        <v>18</v>
      </c>
    </row>
    <row r="20" customFormat="false" ht="15" hidden="false" customHeight="false" outlineLevel="0" collapsed="false">
      <c r="A20" s="0" t="s">
        <v>105</v>
      </c>
      <c r="B20" s="3" t="n">
        <v>9</v>
      </c>
    </row>
    <row r="21" customFormat="false" ht="15" hidden="false" customHeight="false" outlineLevel="0" collapsed="false">
      <c r="A21" s="0" t="s">
        <v>106</v>
      </c>
      <c r="B21" s="3" t="n">
        <v>2</v>
      </c>
    </row>
    <row r="22" customFormat="false" ht="15" hidden="false" customHeight="false" outlineLevel="0" collapsed="false">
      <c r="A22" s="0" t="s">
        <v>107</v>
      </c>
      <c r="B22" s="3" t="n">
        <v>12</v>
      </c>
    </row>
    <row r="23" customFormat="false" ht="15" hidden="false" customHeight="false" outlineLevel="0" collapsed="false">
      <c r="A23" s="0" t="s">
        <v>108</v>
      </c>
      <c r="B23" s="3" t="n">
        <v>-50</v>
      </c>
    </row>
    <row r="24" customFormat="false" ht="15" hidden="false" customHeight="false" outlineLevel="0" collapsed="false">
      <c r="A24" s="0" t="s">
        <v>109</v>
      </c>
      <c r="B24" s="3" t="n">
        <v>0.3</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5</v>
      </c>
      <c r="D27" s="3" t="n">
        <v>4</v>
      </c>
      <c r="E27" s="3" t="n">
        <v>3.5</v>
      </c>
      <c r="F27" s="3" t="n">
        <v>3</v>
      </c>
      <c r="G27" s="3" t="n">
        <v>3</v>
      </c>
      <c r="H27" s="3" t="n">
        <v>2.5</v>
      </c>
      <c r="I27" s="3" t="n">
        <v>2.5</v>
      </c>
      <c r="J27" s="3" t="n">
        <v>2.5</v>
      </c>
      <c r="K27" s="3" t="n">
        <v>2.5</v>
      </c>
      <c r="L27" s="3" t="n">
        <v>2.5</v>
      </c>
    </row>
    <row r="28" customFormat="false" ht="15" hidden="false" customHeight="false" outlineLevel="0" collapsed="false">
      <c r="A28" s="0" t="s">
        <v>99</v>
      </c>
      <c r="C28" s="3" t="n">
        <v>20.5</v>
      </c>
      <c r="D28" s="3" t="n">
        <v>20.2</v>
      </c>
      <c r="E28" s="3" t="n">
        <v>20</v>
      </c>
      <c r="F28" s="3" t="n">
        <v>19.8</v>
      </c>
      <c r="G28" s="3" t="n">
        <v>19.8</v>
      </c>
      <c r="H28" s="3" t="n">
        <v>19.8</v>
      </c>
      <c r="I28" s="3" t="n">
        <v>19.8</v>
      </c>
      <c r="J28" s="3" t="n">
        <v>19.8</v>
      </c>
      <c r="K28" s="3" t="n">
        <v>19.8</v>
      </c>
      <c r="L28" s="3" t="n">
        <v>19.8</v>
      </c>
    </row>
    <row r="29" customFormat="false" ht="15" hidden="false" customHeight="false" outlineLevel="0" collapsed="false">
      <c r="A29" s="0" t="s">
        <v>100</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101</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102</v>
      </c>
      <c r="C31" s="3" t="n">
        <v>8.5</v>
      </c>
      <c r="D31" s="3" t="n">
        <v>8.4</v>
      </c>
      <c r="E31" s="3" t="n">
        <v>8.3</v>
      </c>
      <c r="F31" s="3" t="n">
        <v>8.2</v>
      </c>
      <c r="G31" s="3" t="n">
        <v>8.1</v>
      </c>
      <c r="H31" s="3" t="n">
        <v>8</v>
      </c>
      <c r="I31" s="3" t="n">
        <v>8</v>
      </c>
      <c r="J31" s="3" t="n">
        <v>8</v>
      </c>
      <c r="K31" s="3" t="n">
        <v>8</v>
      </c>
      <c r="L31" s="3" t="n">
        <v>8</v>
      </c>
    </row>
    <row r="32" customFormat="false" ht="15" hidden="false" customHeight="false" outlineLevel="0" collapsed="false">
      <c r="A32" s="0" t="s">
        <v>103</v>
      </c>
      <c r="C32" s="3" t="n">
        <v>7</v>
      </c>
      <c r="D32" s="3" t="n">
        <v>7</v>
      </c>
      <c r="E32" s="3" t="n">
        <v>7</v>
      </c>
      <c r="F32" s="3" t="n">
        <v>7</v>
      </c>
      <c r="G32" s="3" t="n">
        <v>7</v>
      </c>
      <c r="H32" s="3" t="n">
        <v>7</v>
      </c>
      <c r="I32" s="3" t="n">
        <v>7</v>
      </c>
      <c r="J32" s="3" t="n">
        <v>7</v>
      </c>
      <c r="K32" s="3" t="n">
        <v>7</v>
      </c>
      <c r="L32" s="3" t="n">
        <v>7</v>
      </c>
    </row>
    <row r="33" customFormat="false" ht="15" hidden="false" customHeight="false" outlineLevel="0" collapsed="false">
      <c r="A33" s="0" t="s">
        <v>104</v>
      </c>
      <c r="C33" s="3" t="n">
        <v>15</v>
      </c>
      <c r="D33" s="3" t="n">
        <v>15.5</v>
      </c>
      <c r="E33" s="3" t="n">
        <v>16</v>
      </c>
      <c r="F33" s="3" t="n">
        <v>16.5</v>
      </c>
      <c r="G33" s="3" t="n">
        <v>17</v>
      </c>
      <c r="H33" s="3" t="n">
        <v>17.5</v>
      </c>
      <c r="I33" s="3" t="n">
        <v>18</v>
      </c>
      <c r="J33" s="3" t="n">
        <v>18.5</v>
      </c>
      <c r="K33" s="3" t="n">
        <v>19</v>
      </c>
      <c r="L33" s="3" t="n">
        <v>20</v>
      </c>
    </row>
    <row r="34" customFormat="false" ht="15" hidden="false" customHeight="false" outlineLevel="0" collapsed="false">
      <c r="A34" s="0" t="s">
        <v>105</v>
      </c>
      <c r="B34" s="3" t="n">
        <v>9</v>
      </c>
    </row>
    <row r="35" customFormat="false" ht="15" hidden="false" customHeight="false" outlineLevel="0" collapsed="false">
      <c r="A35" s="0" t="s">
        <v>106</v>
      </c>
      <c r="B35" s="3" t="n">
        <v>2.5</v>
      </c>
    </row>
    <row r="36" customFormat="false" ht="15" hidden="false" customHeight="false" outlineLevel="0" collapsed="false">
      <c r="A36" s="0" t="s">
        <v>107</v>
      </c>
      <c r="B36" s="3" t="n">
        <v>12</v>
      </c>
    </row>
    <row r="37" customFormat="false" ht="15" hidden="false" customHeight="false" outlineLevel="0" collapsed="false">
      <c r="A37" s="0" t="s">
        <v>108</v>
      </c>
      <c r="B37" s="3" t="n">
        <v>-45</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8</v>
      </c>
      <c r="D41" s="3" t="n">
        <v>8</v>
      </c>
      <c r="E41" s="3" t="n">
        <v>7</v>
      </c>
      <c r="F41" s="3" t="n">
        <v>6</v>
      </c>
      <c r="G41" s="3" t="n">
        <v>5</v>
      </c>
      <c r="H41" s="3" t="n">
        <v>4</v>
      </c>
      <c r="I41" s="3" t="n">
        <v>4</v>
      </c>
      <c r="J41" s="3" t="n">
        <v>3.5</v>
      </c>
      <c r="K41" s="3" t="n">
        <v>3</v>
      </c>
      <c r="L41" s="3" t="n">
        <v>3</v>
      </c>
    </row>
    <row r="42" customFormat="false" ht="15" hidden="false" customHeight="false" outlineLevel="0" collapsed="false">
      <c r="A42" s="0" t="s">
        <v>99</v>
      </c>
      <c r="C42" s="3" t="n">
        <v>21.5</v>
      </c>
      <c r="D42" s="3" t="n">
        <v>22</v>
      </c>
      <c r="E42" s="3" t="n">
        <v>22.5</v>
      </c>
      <c r="F42" s="3" t="n">
        <v>23</v>
      </c>
      <c r="G42" s="3" t="n">
        <v>23</v>
      </c>
      <c r="H42" s="3" t="n">
        <v>23</v>
      </c>
      <c r="I42" s="3" t="n">
        <v>23</v>
      </c>
      <c r="J42" s="3" t="n">
        <v>23</v>
      </c>
      <c r="K42" s="3" t="n">
        <v>23</v>
      </c>
      <c r="L42" s="3" t="n">
        <v>23</v>
      </c>
    </row>
    <row r="43" customFormat="false" ht="15" hidden="false" customHeight="false" outlineLevel="0" collapsed="false">
      <c r="A43" s="0" t="s">
        <v>100</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101</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102</v>
      </c>
      <c r="C45" s="3" t="n">
        <v>8.5</v>
      </c>
      <c r="D45" s="3" t="n">
        <v>8.3</v>
      </c>
      <c r="E45" s="3" t="n">
        <v>8.1</v>
      </c>
      <c r="F45" s="3" t="n">
        <v>8</v>
      </c>
      <c r="G45" s="3" t="n">
        <v>8</v>
      </c>
      <c r="H45" s="3" t="n">
        <v>8</v>
      </c>
      <c r="I45" s="3" t="n">
        <v>8</v>
      </c>
      <c r="J45" s="3" t="n">
        <v>8</v>
      </c>
      <c r="K45" s="3" t="n">
        <v>8</v>
      </c>
      <c r="L45" s="3" t="n">
        <v>8</v>
      </c>
    </row>
    <row r="46" customFormat="false" ht="15" hidden="false" customHeight="false" outlineLevel="0" collapsed="false">
      <c r="A46" s="0" t="s">
        <v>103</v>
      </c>
      <c r="C46" s="3" t="n">
        <v>7.5</v>
      </c>
      <c r="D46" s="3" t="n">
        <v>7.5</v>
      </c>
      <c r="E46" s="3" t="n">
        <v>7.5</v>
      </c>
      <c r="F46" s="3" t="n">
        <v>7.5</v>
      </c>
      <c r="G46" s="3" t="n">
        <v>7.5</v>
      </c>
      <c r="H46" s="3" t="n">
        <v>7</v>
      </c>
      <c r="I46" s="3" t="n">
        <v>7</v>
      </c>
      <c r="J46" s="3" t="n">
        <v>7</v>
      </c>
      <c r="K46" s="3" t="n">
        <v>7</v>
      </c>
      <c r="L46" s="3" t="n">
        <v>7</v>
      </c>
    </row>
    <row r="47" customFormat="false" ht="15" hidden="false" customHeight="false" outlineLevel="0" collapsed="false">
      <c r="A47" s="0" t="s">
        <v>104</v>
      </c>
      <c r="C47" s="3" t="n">
        <v>15</v>
      </c>
      <c r="D47" s="3" t="n">
        <v>15.5</v>
      </c>
      <c r="E47" s="3" t="n">
        <v>16.5</v>
      </c>
      <c r="F47" s="3" t="n">
        <v>17.5</v>
      </c>
      <c r="G47" s="3" t="n">
        <v>18</v>
      </c>
      <c r="H47" s="3" t="n">
        <v>18.5</v>
      </c>
      <c r="I47" s="3" t="n">
        <v>19</v>
      </c>
      <c r="J47" s="3" t="n">
        <v>19.5</v>
      </c>
      <c r="K47" s="3" t="n">
        <v>20</v>
      </c>
      <c r="L47" s="3" t="n">
        <v>21</v>
      </c>
    </row>
    <row r="48" customFormat="false" ht="15" hidden="false" customHeight="false" outlineLevel="0" collapsed="false">
      <c r="A48" s="0" t="s">
        <v>105</v>
      </c>
      <c r="B48" s="3" t="n">
        <v>9</v>
      </c>
    </row>
    <row r="49" customFormat="false" ht="15" hidden="false" customHeight="false" outlineLevel="0" collapsed="false">
      <c r="A49" s="0" t="s">
        <v>106</v>
      </c>
      <c r="B49" s="3" t="n">
        <v>3</v>
      </c>
    </row>
    <row r="50" customFormat="false" ht="15" hidden="false" customHeight="false" outlineLevel="0" collapsed="false">
      <c r="A50" s="0" t="s">
        <v>107</v>
      </c>
      <c r="B50" s="3" t="n">
        <v>12</v>
      </c>
    </row>
    <row r="51" customFormat="false" ht="15" hidden="false" customHeight="false" outlineLevel="0" collapsed="false">
      <c r="A51" s="0" t="s">
        <v>108</v>
      </c>
      <c r="B51" s="3" t="n">
        <v>-40</v>
      </c>
    </row>
    <row r="52" customFormat="false" ht="15" hidden="false" customHeight="false" outlineLevel="0" collapsed="false">
      <c r="A52" s="0" t="s">
        <v>109</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2</v>
      </c>
      <c r="D5" s="4" t="n">
        <f aca="false">Assumptions!D13</f>
        <v>-4</v>
      </c>
      <c r="E5" s="4" t="n">
        <f aca="false">Assumptions!E13</f>
        <v>-1</v>
      </c>
      <c r="F5" s="4" t="n">
        <f aca="false">Assumptions!F13</f>
        <v>1</v>
      </c>
      <c r="G5" s="4" t="n">
        <f aca="false">Assumptions!G13</f>
        <v>1.5</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4718.83</v>
      </c>
      <c r="C6" s="0" t="n">
        <f aca="false">B6*(1+C5/100)</f>
        <v>4813.2066</v>
      </c>
      <c r="D6" s="0" t="n">
        <f aca="false">C6*(1+D5/100)</f>
        <v>4620.678336</v>
      </c>
      <c r="E6" s="0" t="n">
        <f aca="false">D6*(1+E5/100)</f>
        <v>4574.47155264</v>
      </c>
      <c r="F6" s="0" t="n">
        <f aca="false">E6*(1+F5/100)</f>
        <v>4620.2162681664</v>
      </c>
      <c r="G6" s="0" t="n">
        <f aca="false">F6*(1+G5/100)</f>
        <v>4689.5195121889</v>
      </c>
      <c r="H6" s="0" t="n">
        <f aca="false">G6*(1+H5/100)</f>
        <v>4783.30990243267</v>
      </c>
      <c r="I6" s="0" t="n">
        <f aca="false">H6*(1+I5/100)</f>
        <v>4878.97610048133</v>
      </c>
      <c r="J6" s="0" t="n">
        <f aca="false">I6*(1+J5/100)</f>
        <v>4976.55562249095</v>
      </c>
      <c r="K6" s="0" t="n">
        <f aca="false">J6*(1+K5/100)</f>
        <v>5076.08673494077</v>
      </c>
      <c r="L6" s="0" t="n">
        <f aca="false">K6*(1+L5/100)</f>
        <v>5177.60846963959</v>
      </c>
    </row>
    <row r="7" customFormat="false" ht="15" hidden="false" customHeight="false" outlineLevel="0" collapsed="false">
      <c r="A7" s="0" t="s">
        <v>99</v>
      </c>
      <c r="C7" s="4" t="n">
        <f aca="false">Assumptions!C14</f>
        <v>19</v>
      </c>
      <c r="D7" s="4" t="n">
        <f aca="false">Assumptions!D14</f>
        <v>16</v>
      </c>
      <c r="E7" s="4" t="n">
        <f aca="false">Assumptions!E14</f>
        <v>15.5</v>
      </c>
      <c r="F7" s="4" t="n">
        <f aca="false">Assumptions!F14</f>
        <v>16</v>
      </c>
      <c r="G7" s="4" t="n">
        <f aca="false">Assumptions!G14</f>
        <v>16.5</v>
      </c>
      <c r="H7" s="4" t="n">
        <f aca="false">Assumptions!H14</f>
        <v>17</v>
      </c>
      <c r="I7" s="4" t="n">
        <f aca="false">Assumptions!I14</f>
        <v>17</v>
      </c>
      <c r="J7" s="4" t="n">
        <f aca="false">Assumptions!J14</f>
        <v>17</v>
      </c>
      <c r="K7" s="4" t="n">
        <f aca="false">Assumptions!K14</f>
        <v>17</v>
      </c>
      <c r="L7" s="4" t="n">
        <f aca="false">Assumptions!L14</f>
        <v>17</v>
      </c>
    </row>
    <row r="8" customFormat="false" ht="15" hidden="false" customHeight="false" outlineLevel="0" collapsed="false">
      <c r="A8" s="0" t="s">
        <v>44</v>
      </c>
      <c r="C8" s="0" t="n">
        <f aca="false">C6*C7/100</f>
        <v>914.509254</v>
      </c>
      <c r="D8" s="0" t="n">
        <f aca="false">D6*D7/100</f>
        <v>739.30853376</v>
      </c>
      <c r="E8" s="0" t="n">
        <f aca="false">E6*E7/100</f>
        <v>709.0430906592</v>
      </c>
      <c r="F8" s="0" t="n">
        <f aca="false">F6*F7/100</f>
        <v>739.234602906624</v>
      </c>
      <c r="G8" s="0" t="n">
        <f aca="false">G6*G7/100</f>
        <v>773.770719511168</v>
      </c>
      <c r="H8" s="0" t="n">
        <f aca="false">H6*H7/100</f>
        <v>813.162683413554</v>
      </c>
      <c r="I8" s="0" t="n">
        <f aca="false">I6*I7/100</f>
        <v>829.425937081825</v>
      </c>
      <c r="J8" s="0" t="n">
        <f aca="false">J6*J7/100</f>
        <v>846.014455823462</v>
      </c>
      <c r="K8" s="0" t="n">
        <f aca="false">K6*K7/100</f>
        <v>862.934744939931</v>
      </c>
      <c r="L8" s="0" t="n">
        <f aca="false">L6*L7/100</f>
        <v>880.19343983873</v>
      </c>
    </row>
    <row r="9" customFormat="false" ht="15" hidden="false" customHeight="false" outlineLevel="0" collapsed="false">
      <c r="A9" s="0" t="s">
        <v>100</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914.509254</v>
      </c>
      <c r="D11" s="0" t="n">
        <f aca="false">D8+D10+D24</f>
        <v>739.30853376</v>
      </c>
      <c r="E11" s="0" t="n">
        <f aca="false">E8+E10+E24</f>
        <v>709.0430906592</v>
      </c>
      <c r="F11" s="0" t="n">
        <f aca="false">F8+F10+F24</f>
        <v>739.234602906624</v>
      </c>
      <c r="G11" s="0" t="n">
        <f aca="false">G8+G10+G24</f>
        <v>773.770719511168</v>
      </c>
      <c r="H11" s="0" t="n">
        <f aca="false">H8+H10+H24</f>
        <v>813.162683413554</v>
      </c>
      <c r="I11" s="0" t="n">
        <f aca="false">I8+I10+I24</f>
        <v>829.425937081825</v>
      </c>
      <c r="J11" s="0" t="n">
        <f aca="false">J8+J10+J24</f>
        <v>846.014455823462</v>
      </c>
      <c r="K11" s="0" t="n">
        <f aca="false">K8+K10+K24</f>
        <v>862.934744939931</v>
      </c>
      <c r="L11" s="0" t="n">
        <f aca="false">L8+L10+L24</f>
        <v>880.19343983873</v>
      </c>
    </row>
    <row r="12" customFormat="false" ht="15" hidden="false" customHeight="false" outlineLevel="0" collapsed="false">
      <c r="A12" s="0" t="s">
        <v>117</v>
      </c>
      <c r="C12" s="4" t="n">
        <f aca="false">-C6*Assumptions!C17/100</f>
        <v>-413.9357676</v>
      </c>
      <c r="D12" s="4" t="n">
        <f aca="false">-D6*Assumptions!D17/100</f>
        <v>-406.619693568</v>
      </c>
      <c r="E12" s="4" t="n">
        <f aca="false">-E6*Assumptions!E17/100</f>
        <v>-402.55349663232</v>
      </c>
      <c r="F12" s="4" t="n">
        <f aca="false">-F6*Assumptions!F17/100</f>
        <v>-397.33859906231</v>
      </c>
      <c r="G12" s="4" t="n">
        <f aca="false">-G6*Assumptions!G17/100</f>
        <v>-398.609158536056</v>
      </c>
      <c r="H12" s="4" t="n">
        <f aca="false">-H6*Assumptions!H17/100</f>
        <v>-401.798031804345</v>
      </c>
      <c r="I12" s="4" t="n">
        <f aca="false">-I6*Assumptions!I17/100</f>
        <v>-404.95501633995</v>
      </c>
      <c r="J12" s="4" t="n">
        <f aca="false">-J6*Assumptions!J17/100</f>
        <v>-408.077561044258</v>
      </c>
      <c r="K12" s="4" t="n">
        <f aca="false">-K6*Assumptions!K17/100</f>
        <v>-416.239112265143</v>
      </c>
      <c r="L12" s="4" t="n">
        <f aca="false">-L6*Assumptions!L17/100</f>
        <v>-424.563894510446</v>
      </c>
    </row>
    <row r="13" customFormat="false" ht="15" hidden="false" customHeight="false" outlineLevel="0" collapsed="false">
      <c r="A13" s="0" t="s">
        <v>118</v>
      </c>
      <c r="C13" s="0" t="n">
        <f aca="false">C11+C12</f>
        <v>500.5734864</v>
      </c>
      <c r="D13" s="0" t="n">
        <f aca="false">D11+D12</f>
        <v>332.688840192</v>
      </c>
      <c r="E13" s="0" t="n">
        <f aca="false">E11+E12</f>
        <v>306.48959402688</v>
      </c>
      <c r="F13" s="0" t="n">
        <f aca="false">F11+F12</f>
        <v>341.896003844314</v>
      </c>
      <c r="G13" s="0" t="n">
        <f aca="false">G11+G12</f>
        <v>375.161560975111</v>
      </c>
      <c r="H13" s="0" t="n">
        <f aca="false">H11+H12</f>
        <v>411.36465160921</v>
      </c>
      <c r="I13" s="0" t="n">
        <f aca="false">I11+I12</f>
        <v>424.470920741875</v>
      </c>
      <c r="J13" s="0" t="n">
        <f aca="false">J11+J12</f>
        <v>437.936894779204</v>
      </c>
      <c r="K13" s="0" t="n">
        <f aca="false">K11+K12</f>
        <v>446.695632674788</v>
      </c>
      <c r="L13" s="0" t="n">
        <f aca="false">L11+L12</f>
        <v>455.629545328284</v>
      </c>
    </row>
    <row r="14" customFormat="false" ht="15" hidden="false" customHeight="false" outlineLevel="0" collapsed="false">
      <c r="A14" s="0" t="s">
        <v>104</v>
      </c>
      <c r="C14" s="4" t="n">
        <f aca="false">Assumptions!C19</f>
        <v>14</v>
      </c>
      <c r="D14" s="4" t="n">
        <f aca="false">Assumptions!D19</f>
        <v>14</v>
      </c>
      <c r="E14" s="4" t="n">
        <f aca="false">Assumptions!E19</f>
        <v>14</v>
      </c>
      <c r="F14" s="4" t="n">
        <f aca="false">Assumptions!F19</f>
        <v>15</v>
      </c>
      <c r="G14" s="4" t="n">
        <f aca="false">Assumptions!G19</f>
        <v>15.5</v>
      </c>
      <c r="H14" s="4" t="n">
        <f aca="false">Assumptions!H19</f>
        <v>16</v>
      </c>
      <c r="I14" s="4" t="n">
        <f aca="false">Assumptions!I19</f>
        <v>16.5</v>
      </c>
      <c r="J14" s="4" t="n">
        <f aca="false">Assumptions!J19</f>
        <v>17</v>
      </c>
      <c r="K14" s="4" t="n">
        <f aca="false">Assumptions!K19</f>
        <v>17.5</v>
      </c>
      <c r="L14" s="4" t="n">
        <f aca="false">Assumptions!L19</f>
        <v>18</v>
      </c>
    </row>
    <row r="15" customFormat="false" ht="15" hidden="false" customHeight="false" outlineLevel="0" collapsed="false">
      <c r="A15" s="0" t="s">
        <v>119</v>
      </c>
      <c r="C15" s="0" t="n">
        <f aca="false">C13-MAX(0,C13)*C14/100</f>
        <v>430.493198304</v>
      </c>
      <c r="D15" s="0" t="n">
        <f aca="false">D13-MAX(0,D13)*D14/100</f>
        <v>286.11240256512</v>
      </c>
      <c r="E15" s="0" t="n">
        <f aca="false">E13-MAX(0,E13)*E14/100</f>
        <v>263.581050863117</v>
      </c>
      <c r="F15" s="0" t="n">
        <f aca="false">F13-MAX(0,F13)*F14/100</f>
        <v>290.611603267667</v>
      </c>
      <c r="G15" s="0" t="n">
        <f aca="false">G13-MAX(0,G13)*G14/100</f>
        <v>317.011519023969</v>
      </c>
      <c r="H15" s="0" t="n">
        <f aca="false">H13-MAX(0,H13)*H14/100</f>
        <v>345.546307351736</v>
      </c>
      <c r="I15" s="0" t="n">
        <f aca="false">I13-MAX(0,I13)*I14/100</f>
        <v>354.433218819466</v>
      </c>
      <c r="J15" s="0" t="n">
        <f aca="false">J13-MAX(0,J13)*J14/100</f>
        <v>363.487622666739</v>
      </c>
      <c r="K15" s="0" t="n">
        <f aca="false">K13-MAX(0,K13)*K14/100</f>
        <v>368.5238969567</v>
      </c>
      <c r="L15" s="0" t="n">
        <f aca="false">L13-MAX(0,L13)*L14/100</f>
        <v>373.616227169193</v>
      </c>
    </row>
    <row r="16" customFormat="false" ht="15" hidden="false" customHeight="false" outlineLevel="0" collapsed="false">
      <c r="A16" s="0" t="s">
        <v>120</v>
      </c>
      <c r="C16" s="0" t="n">
        <f aca="false">-C12</f>
        <v>413.9357676</v>
      </c>
      <c r="D16" s="0" t="n">
        <f aca="false">-D12</f>
        <v>406.619693568</v>
      </c>
      <c r="E16" s="0" t="n">
        <f aca="false">-E12</f>
        <v>402.55349663232</v>
      </c>
      <c r="F16" s="0" t="n">
        <f aca="false">-F12</f>
        <v>397.33859906231</v>
      </c>
      <c r="G16" s="0" t="n">
        <f aca="false">-G12</f>
        <v>398.609158536056</v>
      </c>
      <c r="H16" s="0" t="n">
        <f aca="false">-H12</f>
        <v>401.798031804345</v>
      </c>
      <c r="I16" s="0" t="n">
        <f aca="false">-I12</f>
        <v>404.95501633995</v>
      </c>
      <c r="J16" s="0" t="n">
        <f aca="false">-J12</f>
        <v>408.077561044258</v>
      </c>
      <c r="K16" s="0" t="n">
        <f aca="false">-K12</f>
        <v>416.239112265143</v>
      </c>
      <c r="L16" s="0" t="n">
        <f aca="false">-L12</f>
        <v>424.563894510446</v>
      </c>
    </row>
    <row r="17" customFormat="false" ht="15" hidden="false" customHeight="false" outlineLevel="0" collapsed="false">
      <c r="A17" s="0" t="s">
        <v>121</v>
      </c>
      <c r="C17" s="4" t="n">
        <f aca="false">-C6*Assumptions!C18/100</f>
        <v>-312.858429</v>
      </c>
      <c r="D17" s="4" t="n">
        <f aca="false">-D6*Assumptions!D18/100</f>
        <v>-254.13730848</v>
      </c>
      <c r="E17" s="4" t="n">
        <f aca="false">-E6*Assumptions!E18/100</f>
        <v>-251.5959353952</v>
      </c>
      <c r="F17" s="4" t="n">
        <f aca="false">-F6*Assumptions!F18/100</f>
        <v>-277.212976089984</v>
      </c>
      <c r="G17" s="4" t="n">
        <f aca="false">-G6*Assumptions!G18/100</f>
        <v>-281.371170731334</v>
      </c>
      <c r="H17" s="4" t="n">
        <f aca="false">-H6*Assumptions!H18/100</f>
        <v>-310.915143658124</v>
      </c>
      <c r="I17" s="4" t="n">
        <f aca="false">-I6*Assumptions!I18/100</f>
        <v>-317.133446531286</v>
      </c>
      <c r="J17" s="4" t="n">
        <f aca="false">-J6*Assumptions!J18/100</f>
        <v>-323.476115461912</v>
      </c>
      <c r="K17" s="4" t="n">
        <f aca="false">-K6*Assumptions!K18/100</f>
        <v>-329.94563777115</v>
      </c>
      <c r="L17" s="4" t="n">
        <f aca="false">-L6*Assumptions!L18/100</f>
        <v>-336.544550526573</v>
      </c>
    </row>
    <row r="18" customFormat="false" ht="15" hidden="false" customHeight="false" outlineLevel="0" collapsed="false">
      <c r="A18" s="0" t="s">
        <v>122</v>
      </c>
      <c r="C18" s="4" t="n">
        <f aca="false">(C6-B6)*Assumptions!$B$23/100</f>
        <v>-47.1883000000003</v>
      </c>
      <c r="D18" s="4" t="n">
        <f aca="false">(D6-C6)*Assumptions!$B$23/100</f>
        <v>96.2641320000003</v>
      </c>
      <c r="E18" s="4" t="n">
        <f aca="false">(E6-D6)*Assumptions!$B$23/100</f>
        <v>23.1033916800002</v>
      </c>
      <c r="F18" s="4" t="n">
        <f aca="false">(F6-E6)*Assumptions!$B$23/100</f>
        <v>-22.8723577631999</v>
      </c>
      <c r="G18" s="4" t="n">
        <f aca="false">(G6-F6)*Assumptions!$B$23/100</f>
        <v>-34.6516220112476</v>
      </c>
      <c r="H18" s="4" t="n">
        <f aca="false">(H6-G6)*Assumptions!$B$23/100</f>
        <v>-46.8951951218892</v>
      </c>
      <c r="I18" s="4" t="n">
        <f aca="false">(I6-H6)*Assumptions!$B$23/100</f>
        <v>-47.8330990243267</v>
      </c>
      <c r="J18" s="4" t="n">
        <f aca="false">(J6-I6)*Assumptions!$B$23/100</f>
        <v>-48.7897610048135</v>
      </c>
      <c r="K18" s="4" t="n">
        <f aca="false">(K6-J6)*Assumptions!$B$23/100</f>
        <v>-49.7655562249097</v>
      </c>
      <c r="L18" s="4" t="n">
        <f aca="false">(L6-K6)*Assumptions!$B$23/100</f>
        <v>-50.7608673494078</v>
      </c>
    </row>
    <row r="19" customFormat="false" ht="15" hidden="false" customHeight="false" outlineLevel="0" collapsed="false">
      <c r="A19" s="0" t="s">
        <v>123</v>
      </c>
      <c r="C19" s="0" t="n">
        <f aca="false">C15+C16+C17+C18</f>
        <v>484.382236904</v>
      </c>
      <c r="D19" s="0" t="n">
        <f aca="false">D15+D16+D17+D18</f>
        <v>534.85891965312</v>
      </c>
      <c r="E19" s="0" t="n">
        <f aca="false">E15+E16+E17+E18</f>
        <v>437.642003780237</v>
      </c>
      <c r="F19" s="0" t="n">
        <f aca="false">F15+F16+F17+F18</f>
        <v>387.864868476793</v>
      </c>
      <c r="G19" s="0" t="n">
        <f aca="false">G15+G16+G17+G18</f>
        <v>399.597884817444</v>
      </c>
      <c r="H19" s="0" t="n">
        <f aca="false">H15+H16+H17+H18</f>
        <v>389.534000376068</v>
      </c>
      <c r="I19" s="0" t="n">
        <f aca="false">I15+I16+I17+I18</f>
        <v>394.421689603803</v>
      </c>
      <c r="J19" s="0" t="n">
        <f aca="false">J15+J16+J17+J18</f>
        <v>399.299307244272</v>
      </c>
      <c r="K19" s="0" t="n">
        <f aca="false">K15+K16+K17+K18</f>
        <v>405.051815225784</v>
      </c>
      <c r="L19" s="0" t="n">
        <f aca="false">L15+L16+L17+L18</f>
        <v>410.874703803658</v>
      </c>
    </row>
    <row r="20" customFormat="false" ht="15" hidden="false" customHeight="false" outlineLevel="0" collapsed="false">
      <c r="A20" s="0" t="s">
        <v>124</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125</v>
      </c>
      <c r="C21" s="0" t="n">
        <f aca="false">C19*C20</f>
        <v>444.387373306422</v>
      </c>
      <c r="D21" s="0" t="n">
        <f aca="false">D19*D20</f>
        <v>450.180051892198</v>
      </c>
      <c r="E21" s="0" t="n">
        <f aca="false">E19*E20</f>
        <v>337.939925499921</v>
      </c>
      <c r="F21" s="0" t="n">
        <f aca="false">F19*F20</f>
        <v>274.773251315447</v>
      </c>
      <c r="G21" s="0" t="n">
        <f aca="false">G19*G20</f>
        <v>259.711207241288</v>
      </c>
      <c r="H21" s="0" t="n">
        <f aca="false">H19*H20</f>
        <v>232.266397132805</v>
      </c>
      <c r="I21" s="0" t="n">
        <f aca="false">I19*I20</f>
        <v>215.762171122242</v>
      </c>
      <c r="J21" s="0" t="n">
        <f aca="false">J19*J20</f>
        <v>200.394857802596</v>
      </c>
      <c r="K21" s="0" t="n">
        <f aca="false">K19*K20</f>
        <v>186.497107873455</v>
      </c>
      <c r="L21" s="0" t="n">
        <f aca="false">L19*L20</f>
        <v>173.55791516673</v>
      </c>
    </row>
    <row r="23" customFormat="false" ht="15" hidden="false" customHeight="false" outlineLevel="0" collapsed="false">
      <c r="A23" s="0" t="s">
        <v>101</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Assumptions!$B$20</f>
        <v>9</v>
      </c>
    </row>
    <row r="28" customFormat="false" ht="15" hidden="false" customHeight="false" outlineLevel="0" collapsed="false">
      <c r="A28" s="0" t="s">
        <v>106</v>
      </c>
      <c r="B28" s="4" t="n">
        <f aca="false">Assumptions!$B$21</f>
        <v>2</v>
      </c>
    </row>
    <row r="29" customFormat="false" ht="15" hidden="false" customHeight="false" outlineLevel="0" collapsed="false">
      <c r="A29" s="0" t="s">
        <v>107</v>
      </c>
      <c r="B29" s="4" t="n">
        <f aca="false">Assumptions!$B$22</f>
        <v>12</v>
      </c>
    </row>
    <row r="30" customFormat="false" ht="15" hidden="false" customHeight="false" outlineLevel="0" collapsed="false">
      <c r="A30" s="0" t="s">
        <v>128</v>
      </c>
      <c r="B30" s="0" t="n">
        <f aca="false">SUM(C21:L21)</f>
        <v>2775.4702583531</v>
      </c>
    </row>
    <row r="31" customFormat="false" ht="15" hidden="false" customHeight="false" outlineLevel="0" collapsed="false">
      <c r="A31" s="0" t="s">
        <v>129</v>
      </c>
      <c r="B31" s="0" t="n">
        <f aca="false">L19</f>
        <v>410.874703803658</v>
      </c>
    </row>
    <row r="32" customFormat="false" ht="15" hidden="false" customHeight="false" outlineLevel="0" collapsed="false">
      <c r="A32" s="0" t="s">
        <v>130</v>
      </c>
      <c r="B32" s="0" t="n">
        <f aca="false">IF(B27&gt;B28,B31*(1+B28/100)/((B27-B28)/100),B31*B29)</f>
        <v>5987.03139828187</v>
      </c>
    </row>
    <row r="33" customFormat="false" ht="15" hidden="false" customHeight="false" outlineLevel="0" collapsed="false">
      <c r="A33" s="0" t="s">
        <v>131</v>
      </c>
      <c r="B33" s="0" t="n">
        <f aca="false">B31*B29</f>
        <v>4930.49644564389</v>
      </c>
    </row>
    <row r="34" customFormat="false" ht="15" hidden="false" customHeight="false" outlineLevel="0" collapsed="false">
      <c r="A34" s="0" t="s">
        <v>132</v>
      </c>
      <c r="B34" s="0" t="n">
        <f aca="false">MAX(0,MIN(B32,B33))</f>
        <v>4930.49644564389</v>
      </c>
    </row>
    <row r="35" customFormat="false" ht="15" hidden="false" customHeight="false" outlineLevel="0" collapsed="false">
      <c r="A35" s="0" t="s">
        <v>133</v>
      </c>
      <c r="B35" s="0" t="n">
        <f aca="false">B34/(1+B27/100)^L4</f>
        <v>2082.69498200076</v>
      </c>
    </row>
    <row r="36" customFormat="false" ht="15" hidden="false" customHeight="false" outlineLevel="0" collapsed="false">
      <c r="A36" s="0" t="s">
        <v>134</v>
      </c>
      <c r="B36" s="0" t="n">
        <f aca="false">B30+B35</f>
        <v>4858.16524035387</v>
      </c>
    </row>
    <row r="37" customFormat="false" ht="15" hidden="false" customHeight="false" outlineLevel="0" collapsed="false">
      <c r="A37" s="0" t="s">
        <v>135</v>
      </c>
      <c r="B37" s="0" t="n">
        <f aca="false">B36+Assumptions!$B$5-Assumptions!$B$4</f>
        <v>2366.26524035387</v>
      </c>
    </row>
    <row r="38" customFormat="false" ht="15" hidden="false" customHeight="false" outlineLevel="0" collapsed="false">
      <c r="A38" s="0" t="s">
        <v>136</v>
      </c>
      <c r="B38" s="0" t="n">
        <f aca="false">B37/Assumptions!$B$3*Assumptions!$B$10</f>
        <v>1.01779797732799</v>
      </c>
    </row>
    <row r="39" customFormat="false" ht="15" hidden="false" customHeight="false" outlineLevel="0" collapsed="false">
      <c r="A39" s="0" t="s">
        <v>137</v>
      </c>
      <c r="B39" s="4" t="n">
        <f aca="false">B38/Assumptions!$B$2-1</f>
        <v>-0.645366558422304</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1.01779797732799</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3223.78613753639</v>
      </c>
    </row>
    <row r="47" customFormat="false" ht="15" hidden="false" customHeight="false" outlineLevel="0" collapsed="false">
      <c r="A47" s="0" t="s">
        <v>142</v>
      </c>
      <c r="B47" s="0" t="n">
        <f aca="false">(SUMPRODUCT(C19:L19/(1+B45/100)^C4:L4)+B46/(1+B45/100)^L4+Assumptions!$B$5-Assumptions!$B$4)/Assumptions!$B$3*Assumptions!$B$10</f>
        <v>0.216230673003525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5</v>
      </c>
      <c r="D5" s="4" t="n">
        <f aca="false">Assumptions!D27</f>
        <v>4</v>
      </c>
      <c r="E5" s="4" t="n">
        <f aca="false">Assumptions!E27</f>
        <v>3.5</v>
      </c>
      <c r="F5" s="4" t="n">
        <f aca="false">Assumptions!F27</f>
        <v>3</v>
      </c>
      <c r="G5" s="4" t="n">
        <f aca="false">Assumptions!G27</f>
        <v>3</v>
      </c>
      <c r="H5" s="4" t="n">
        <f aca="false">Assumptions!H27</f>
        <v>2.5</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38</v>
      </c>
      <c r="B6" s="3" t="n">
        <v>4718.83</v>
      </c>
      <c r="C6" s="0" t="n">
        <f aca="false">B6*(1+C5/100)</f>
        <v>4954.7715</v>
      </c>
      <c r="D6" s="0" t="n">
        <f aca="false">C6*(1+D5/100)</f>
        <v>5152.96236</v>
      </c>
      <c r="E6" s="0" t="n">
        <f aca="false">D6*(1+E5/100)</f>
        <v>5333.3160426</v>
      </c>
      <c r="F6" s="0" t="n">
        <f aca="false">E6*(1+F5/100)</f>
        <v>5493.315523878</v>
      </c>
      <c r="G6" s="0" t="n">
        <f aca="false">F6*(1+G5/100)</f>
        <v>5658.11498959434</v>
      </c>
      <c r="H6" s="0" t="n">
        <f aca="false">G6*(1+H5/100)</f>
        <v>5799.5678643342</v>
      </c>
      <c r="I6" s="0" t="n">
        <f aca="false">H6*(1+I5/100)</f>
        <v>5944.55706094255</v>
      </c>
      <c r="J6" s="0" t="n">
        <f aca="false">I6*(1+J5/100)</f>
        <v>6093.17098746612</v>
      </c>
      <c r="K6" s="0" t="n">
        <f aca="false">J6*(1+K5/100)</f>
        <v>6245.50026215277</v>
      </c>
      <c r="L6" s="0" t="n">
        <f aca="false">K6*(1+L5/100)</f>
        <v>6401.63776870659</v>
      </c>
    </row>
    <row r="7" customFormat="false" ht="15" hidden="false" customHeight="false" outlineLevel="0" collapsed="false">
      <c r="A7" s="0" t="s">
        <v>99</v>
      </c>
      <c r="C7" s="4" t="n">
        <f aca="false">Assumptions!C28</f>
        <v>20.5</v>
      </c>
      <c r="D7" s="4" t="n">
        <f aca="false">Assumptions!D28</f>
        <v>20.2</v>
      </c>
      <c r="E7" s="4" t="n">
        <f aca="false">Assumptions!E28</f>
        <v>20</v>
      </c>
      <c r="F7" s="4" t="n">
        <f aca="false">Assumptions!F28</f>
        <v>19.8</v>
      </c>
      <c r="G7" s="4" t="n">
        <f aca="false">Assumptions!G28</f>
        <v>19.8</v>
      </c>
      <c r="H7" s="4" t="n">
        <f aca="false">Assumptions!H28</f>
        <v>19.8</v>
      </c>
      <c r="I7" s="4" t="n">
        <f aca="false">Assumptions!I28</f>
        <v>19.8</v>
      </c>
      <c r="J7" s="4" t="n">
        <f aca="false">Assumptions!J28</f>
        <v>19.8</v>
      </c>
      <c r="K7" s="4" t="n">
        <f aca="false">Assumptions!K28</f>
        <v>19.8</v>
      </c>
      <c r="L7" s="4" t="n">
        <f aca="false">Assumptions!L28</f>
        <v>19.8</v>
      </c>
    </row>
    <row r="8" customFormat="false" ht="15" hidden="false" customHeight="false" outlineLevel="0" collapsed="false">
      <c r="A8" s="0" t="s">
        <v>44</v>
      </c>
      <c r="C8" s="0" t="n">
        <f aca="false">C6*C7/100</f>
        <v>1015.7281575</v>
      </c>
      <c r="D8" s="0" t="n">
        <f aca="false">D6*D7/100</f>
        <v>1040.89839672</v>
      </c>
      <c r="E8" s="0" t="n">
        <f aca="false">E6*E7/100</f>
        <v>1066.66320852</v>
      </c>
      <c r="F8" s="0" t="n">
        <f aca="false">F6*F7/100</f>
        <v>1087.67647372784</v>
      </c>
      <c r="G8" s="0" t="n">
        <f aca="false">G6*G7/100</f>
        <v>1120.30676793968</v>
      </c>
      <c r="H8" s="0" t="n">
        <f aca="false">H6*H7/100</f>
        <v>1148.31443713817</v>
      </c>
      <c r="I8" s="0" t="n">
        <f aca="false">I6*I7/100</f>
        <v>1177.02229806663</v>
      </c>
      <c r="J8" s="0" t="n">
        <f aca="false">J6*J7/100</f>
        <v>1206.44785551829</v>
      </c>
      <c r="K8" s="0" t="n">
        <f aca="false">K6*K7/100</f>
        <v>1236.60905190625</v>
      </c>
      <c r="L8" s="0" t="n">
        <f aca="false">L6*L7/100</f>
        <v>1267.5242782039</v>
      </c>
    </row>
    <row r="9" customFormat="false" ht="15" hidden="false" customHeight="false" outlineLevel="0" collapsed="false">
      <c r="A9" s="0" t="s">
        <v>100</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1015.7281575</v>
      </c>
      <c r="D11" s="0" t="n">
        <f aca="false">D8+D10+D24</f>
        <v>1040.89839672</v>
      </c>
      <c r="E11" s="0" t="n">
        <f aca="false">E8+E10+E24</f>
        <v>1066.66320852</v>
      </c>
      <c r="F11" s="0" t="n">
        <f aca="false">F8+F10+F24</f>
        <v>1087.67647372784</v>
      </c>
      <c r="G11" s="0" t="n">
        <f aca="false">G8+G10+G24</f>
        <v>1120.30676793968</v>
      </c>
      <c r="H11" s="0" t="n">
        <f aca="false">H8+H10+H24</f>
        <v>1148.31443713817</v>
      </c>
      <c r="I11" s="0" t="n">
        <f aca="false">I8+I10+I24</f>
        <v>1177.02229806663</v>
      </c>
      <c r="J11" s="0" t="n">
        <f aca="false">J8+J10+J24</f>
        <v>1206.44785551829</v>
      </c>
      <c r="K11" s="0" t="n">
        <f aca="false">K8+K10+K24</f>
        <v>1236.60905190625</v>
      </c>
      <c r="L11" s="0" t="n">
        <f aca="false">L8+L10+L24</f>
        <v>1267.5242782039</v>
      </c>
    </row>
    <row r="12" customFormat="false" ht="15" hidden="false" customHeight="false" outlineLevel="0" collapsed="false">
      <c r="A12" s="0" t="s">
        <v>117</v>
      </c>
      <c r="C12" s="4" t="n">
        <f aca="false">-C6*Assumptions!C31/100</f>
        <v>-421.1555775</v>
      </c>
      <c r="D12" s="4" t="n">
        <f aca="false">-D6*Assumptions!D31/100</f>
        <v>-432.84883824</v>
      </c>
      <c r="E12" s="4" t="n">
        <f aca="false">-E6*Assumptions!E31/100</f>
        <v>-442.6652315358</v>
      </c>
      <c r="F12" s="4" t="n">
        <f aca="false">-F6*Assumptions!F31/100</f>
        <v>-450.451872957996</v>
      </c>
      <c r="G12" s="4" t="n">
        <f aca="false">-G6*Assumptions!G31/100</f>
        <v>-458.307314157142</v>
      </c>
      <c r="H12" s="4" t="n">
        <f aca="false">-H6*Assumptions!H31/100</f>
        <v>-463.965429146736</v>
      </c>
      <c r="I12" s="4" t="n">
        <f aca="false">-I6*Assumptions!I31/100</f>
        <v>-475.564564875404</v>
      </c>
      <c r="J12" s="4" t="n">
        <f aca="false">-J6*Assumptions!J31/100</f>
        <v>-487.453678997289</v>
      </c>
      <c r="K12" s="4" t="n">
        <f aca="false">-K6*Assumptions!K31/100</f>
        <v>-499.640020972222</v>
      </c>
      <c r="L12" s="4" t="n">
        <f aca="false">-L6*Assumptions!L31/100</f>
        <v>-512.131021496527</v>
      </c>
    </row>
    <row r="13" customFormat="false" ht="15" hidden="false" customHeight="false" outlineLevel="0" collapsed="false">
      <c r="A13" s="0" t="s">
        <v>118</v>
      </c>
      <c r="C13" s="0" t="n">
        <f aca="false">C11+C12</f>
        <v>594.57258</v>
      </c>
      <c r="D13" s="0" t="n">
        <f aca="false">D11+D12</f>
        <v>608.04955848</v>
      </c>
      <c r="E13" s="0" t="n">
        <f aca="false">E11+E12</f>
        <v>623.9979769842</v>
      </c>
      <c r="F13" s="0" t="n">
        <f aca="false">F11+F12</f>
        <v>637.224600769848</v>
      </c>
      <c r="G13" s="0" t="n">
        <f aca="false">G11+G12</f>
        <v>661.999453782538</v>
      </c>
      <c r="H13" s="0" t="n">
        <f aca="false">H11+H12</f>
        <v>684.349007991436</v>
      </c>
      <c r="I13" s="0" t="n">
        <f aca="false">I11+I12</f>
        <v>701.457733191221</v>
      </c>
      <c r="J13" s="0" t="n">
        <f aca="false">J11+J12</f>
        <v>718.994176521002</v>
      </c>
      <c r="K13" s="0" t="n">
        <f aca="false">K11+K12</f>
        <v>736.969030934027</v>
      </c>
      <c r="L13" s="0" t="n">
        <f aca="false">L11+L12</f>
        <v>755.393256707377</v>
      </c>
    </row>
    <row r="14" customFormat="false" ht="15" hidden="false" customHeight="false" outlineLevel="0" collapsed="false">
      <c r="A14" s="0" t="s">
        <v>104</v>
      </c>
      <c r="C14" s="4" t="n">
        <f aca="false">Assumptions!C33</f>
        <v>15</v>
      </c>
      <c r="D14" s="4" t="n">
        <f aca="false">Assumptions!D33</f>
        <v>15.5</v>
      </c>
      <c r="E14" s="4" t="n">
        <f aca="false">Assumptions!E33</f>
        <v>16</v>
      </c>
      <c r="F14" s="4" t="n">
        <f aca="false">Assumptions!F33</f>
        <v>16.5</v>
      </c>
      <c r="G14" s="4" t="n">
        <f aca="false">Assumptions!G33</f>
        <v>17</v>
      </c>
      <c r="H14" s="4" t="n">
        <f aca="false">Assumptions!H33</f>
        <v>17.5</v>
      </c>
      <c r="I14" s="4" t="n">
        <f aca="false">Assumptions!I33</f>
        <v>18</v>
      </c>
      <c r="J14" s="4" t="n">
        <f aca="false">Assumptions!J33</f>
        <v>18.5</v>
      </c>
      <c r="K14" s="4" t="n">
        <f aca="false">Assumptions!K33</f>
        <v>19</v>
      </c>
      <c r="L14" s="4" t="n">
        <f aca="false">Assumptions!L33</f>
        <v>20</v>
      </c>
    </row>
    <row r="15" customFormat="false" ht="15" hidden="false" customHeight="false" outlineLevel="0" collapsed="false">
      <c r="A15" s="0" t="s">
        <v>119</v>
      </c>
      <c r="C15" s="0" t="n">
        <f aca="false">C13-MAX(0,C13)*C14/100</f>
        <v>505.386693</v>
      </c>
      <c r="D15" s="0" t="n">
        <f aca="false">D13-MAX(0,D13)*D14/100</f>
        <v>513.8018769156</v>
      </c>
      <c r="E15" s="0" t="n">
        <f aca="false">E13-MAX(0,E13)*E14/100</f>
        <v>524.158300666728</v>
      </c>
      <c r="F15" s="0" t="n">
        <f aca="false">F13-MAX(0,F13)*F14/100</f>
        <v>532.082541642823</v>
      </c>
      <c r="G15" s="0" t="n">
        <f aca="false">G13-MAX(0,G13)*G14/100</f>
        <v>549.459546639507</v>
      </c>
      <c r="H15" s="0" t="n">
        <f aca="false">H13-MAX(0,H13)*H14/100</f>
        <v>564.587931592934</v>
      </c>
      <c r="I15" s="0" t="n">
        <f aca="false">I13-MAX(0,I13)*I14/100</f>
        <v>575.195341216802</v>
      </c>
      <c r="J15" s="0" t="n">
        <f aca="false">J13-MAX(0,J13)*J14/100</f>
        <v>585.980253864617</v>
      </c>
      <c r="K15" s="0" t="n">
        <f aca="false">K13-MAX(0,K13)*K14/100</f>
        <v>596.944915056562</v>
      </c>
      <c r="L15" s="0" t="n">
        <f aca="false">L13-MAX(0,L13)*L14/100</f>
        <v>604.314605365902</v>
      </c>
    </row>
    <row r="16" customFormat="false" ht="15" hidden="false" customHeight="false" outlineLevel="0" collapsed="false">
      <c r="A16" s="0" t="s">
        <v>120</v>
      </c>
      <c r="C16" s="0" t="n">
        <f aca="false">-C12</f>
        <v>421.1555775</v>
      </c>
      <c r="D16" s="0" t="n">
        <f aca="false">-D12</f>
        <v>432.84883824</v>
      </c>
      <c r="E16" s="0" t="n">
        <f aca="false">-E12</f>
        <v>442.6652315358</v>
      </c>
      <c r="F16" s="0" t="n">
        <f aca="false">-F12</f>
        <v>450.451872957996</v>
      </c>
      <c r="G16" s="0" t="n">
        <f aca="false">-G12</f>
        <v>458.307314157142</v>
      </c>
      <c r="H16" s="0" t="n">
        <f aca="false">-H12</f>
        <v>463.965429146736</v>
      </c>
      <c r="I16" s="0" t="n">
        <f aca="false">-I12</f>
        <v>475.564564875404</v>
      </c>
      <c r="J16" s="0" t="n">
        <f aca="false">-J12</f>
        <v>487.453678997289</v>
      </c>
      <c r="K16" s="0" t="n">
        <f aca="false">-K12</f>
        <v>499.640020972222</v>
      </c>
      <c r="L16" s="0" t="n">
        <f aca="false">-L12</f>
        <v>512.131021496527</v>
      </c>
    </row>
    <row r="17" customFormat="false" ht="15" hidden="false" customHeight="false" outlineLevel="0" collapsed="false">
      <c r="A17" s="0" t="s">
        <v>121</v>
      </c>
      <c r="C17" s="4" t="n">
        <f aca="false">-C6*Assumptions!C32/100</f>
        <v>-346.834005</v>
      </c>
      <c r="D17" s="4" t="n">
        <f aca="false">-D6*Assumptions!D32/100</f>
        <v>-360.7073652</v>
      </c>
      <c r="E17" s="4" t="n">
        <f aca="false">-E6*Assumptions!E32/100</f>
        <v>-373.332122982</v>
      </c>
      <c r="F17" s="4" t="n">
        <f aca="false">-F6*Assumptions!F32/100</f>
        <v>-384.53208667146</v>
      </c>
      <c r="G17" s="4" t="n">
        <f aca="false">-G6*Assumptions!G32/100</f>
        <v>-396.068049271604</v>
      </c>
      <c r="H17" s="4" t="n">
        <f aca="false">-H6*Assumptions!H32/100</f>
        <v>-405.969750503394</v>
      </c>
      <c r="I17" s="4" t="n">
        <f aca="false">-I6*Assumptions!I32/100</f>
        <v>-416.118994265979</v>
      </c>
      <c r="J17" s="4" t="n">
        <f aca="false">-J6*Assumptions!J32/100</f>
        <v>-426.521969122628</v>
      </c>
      <c r="K17" s="4" t="n">
        <f aca="false">-K6*Assumptions!K32/100</f>
        <v>-437.185018350694</v>
      </c>
      <c r="L17" s="4" t="n">
        <f aca="false">-L6*Assumptions!L32/100</f>
        <v>-448.114643809461</v>
      </c>
    </row>
    <row r="18" customFormat="false" ht="15" hidden="false" customHeight="false" outlineLevel="0" collapsed="false">
      <c r="A18" s="0" t="s">
        <v>122</v>
      </c>
      <c r="C18" s="4" t="n">
        <f aca="false">(C6-B6)*Assumptions!$B$37/100</f>
        <v>-106.173675</v>
      </c>
      <c r="D18" s="4" t="n">
        <f aca="false">(D6-C6)*Assumptions!$B$37/100</f>
        <v>-89.1858870000003</v>
      </c>
      <c r="E18" s="4" t="n">
        <f aca="false">(E6-D6)*Assumptions!$B$37/100</f>
        <v>-81.15915717</v>
      </c>
      <c r="F18" s="4" t="n">
        <f aca="false">(F6-E6)*Assumptions!$B$37/100</f>
        <v>-71.9997665751002</v>
      </c>
      <c r="G18" s="4" t="n">
        <f aca="false">(G6-F6)*Assumptions!$B$37/100</f>
        <v>-74.159759572353</v>
      </c>
      <c r="H18" s="4" t="n">
        <f aca="false">(H6-G6)*Assumptions!$B$37/100</f>
        <v>-63.6537936329361</v>
      </c>
      <c r="I18" s="4" t="n">
        <f aca="false">(I6-H6)*Assumptions!$B$37/100</f>
        <v>-65.2451384737594</v>
      </c>
      <c r="J18" s="4" t="n">
        <f aca="false">(J6-I6)*Assumptions!$B$37/100</f>
        <v>-66.8762669356035</v>
      </c>
      <c r="K18" s="4" t="n">
        <f aca="false">(K6-J6)*Assumptions!$B$37/100</f>
        <v>-68.5481736089937</v>
      </c>
      <c r="L18" s="4" t="n">
        <f aca="false">(L6-K6)*Assumptions!$B$37/100</f>
        <v>-70.2618779492184</v>
      </c>
    </row>
    <row r="19" customFormat="false" ht="15" hidden="false" customHeight="false" outlineLevel="0" collapsed="false">
      <c r="A19" s="0" t="s">
        <v>123</v>
      </c>
      <c r="C19" s="0" t="n">
        <f aca="false">C15+C16+C17+C18</f>
        <v>473.5345905</v>
      </c>
      <c r="D19" s="0" t="n">
        <f aca="false">D15+D16+D17+D18</f>
        <v>496.7574629556</v>
      </c>
      <c r="E19" s="0" t="n">
        <f aca="false">E15+E16+E17+E18</f>
        <v>512.332252050528</v>
      </c>
      <c r="F19" s="0" t="n">
        <f aca="false">F15+F16+F17+F18</f>
        <v>526.002561354259</v>
      </c>
      <c r="G19" s="0" t="n">
        <f aca="false">G15+G16+G17+G18</f>
        <v>537.539051952691</v>
      </c>
      <c r="H19" s="0" t="n">
        <f aca="false">H15+H16+H17+H18</f>
        <v>558.92981660334</v>
      </c>
      <c r="I19" s="0" t="n">
        <f aca="false">I15+I16+I17+I18</f>
        <v>569.395773352468</v>
      </c>
      <c r="J19" s="0" t="n">
        <f aca="false">J15+J16+J17+J18</f>
        <v>580.035696803674</v>
      </c>
      <c r="K19" s="0" t="n">
        <f aca="false">K15+K16+K17+K18</f>
        <v>590.851744069096</v>
      </c>
      <c r="L19" s="0" t="n">
        <f aca="false">L15+L16+L17+L18</f>
        <v>598.06910510375</v>
      </c>
    </row>
    <row r="20" customFormat="false" ht="15" hidden="false" customHeight="false" outlineLevel="0" collapsed="false">
      <c r="A20" s="0" t="s">
        <v>124</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125</v>
      </c>
      <c r="C21" s="0" t="n">
        <f aca="false">C19*C20</f>
        <v>434.435404128441</v>
      </c>
      <c r="D21" s="0" t="n">
        <f aca="false">D19*D20</f>
        <v>418.110818075583</v>
      </c>
      <c r="E21" s="0" t="n">
        <f aca="false">E19*E20</f>
        <v>395.614501335899</v>
      </c>
      <c r="F21" s="0" t="n">
        <f aca="false">F19*F20</f>
        <v>372.633475548225</v>
      </c>
      <c r="G21" s="0" t="n">
        <f aca="false">G19*G20</f>
        <v>349.363501225111</v>
      </c>
      <c r="H21" s="0" t="n">
        <f aca="false">H19*H20</f>
        <v>333.271587659164</v>
      </c>
      <c r="I21" s="0" t="n">
        <f aca="false">I19*I20</f>
        <v>311.478986892844</v>
      </c>
      <c r="J21" s="0" t="n">
        <f aca="false">J19*J20</f>
        <v>291.100357232262</v>
      </c>
      <c r="K21" s="0" t="n">
        <f aca="false">K19*K20</f>
        <v>272.044556545068</v>
      </c>
      <c r="L21" s="0" t="n">
        <f aca="false">L19*L20</f>
        <v>252.630853266257</v>
      </c>
    </row>
    <row r="23" customFormat="false" ht="15" hidden="false" customHeight="false" outlineLevel="0" collapsed="false">
      <c r="A23" s="0" t="s">
        <v>101</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Assumptions!$B$34</f>
        <v>9</v>
      </c>
    </row>
    <row r="28" customFormat="false" ht="15" hidden="false" customHeight="false" outlineLevel="0" collapsed="false">
      <c r="A28" s="0" t="s">
        <v>106</v>
      </c>
      <c r="B28" s="4" t="n">
        <f aca="false">Assumptions!$B$35</f>
        <v>2.5</v>
      </c>
    </row>
    <row r="29" customFormat="false" ht="15" hidden="false" customHeight="false" outlineLevel="0" collapsed="false">
      <c r="A29" s="0" t="s">
        <v>107</v>
      </c>
      <c r="B29" s="4" t="n">
        <f aca="false">Assumptions!$B$36</f>
        <v>12</v>
      </c>
    </row>
    <row r="30" customFormat="false" ht="15" hidden="false" customHeight="false" outlineLevel="0" collapsed="false">
      <c r="A30" s="0" t="s">
        <v>128</v>
      </c>
      <c r="B30" s="0" t="n">
        <f aca="false">SUM(C21:L21)</f>
        <v>3430.68404190885</v>
      </c>
    </row>
    <row r="31" customFormat="false" ht="15" hidden="false" customHeight="false" outlineLevel="0" collapsed="false">
      <c r="A31" s="0" t="s">
        <v>129</v>
      </c>
      <c r="B31" s="0" t="n">
        <f aca="false">L19</f>
        <v>598.06910510375</v>
      </c>
    </row>
    <row r="32" customFormat="false" ht="15" hidden="false" customHeight="false" outlineLevel="0" collapsed="false">
      <c r="A32" s="0" t="s">
        <v>130</v>
      </c>
      <c r="B32" s="0" t="n">
        <f aca="false">IF(B27&gt;B28,B31*(1+B28/100)/((B27-B28)/100),B31*B29)</f>
        <v>9431.08973432836</v>
      </c>
    </row>
    <row r="33" customFormat="false" ht="15" hidden="false" customHeight="false" outlineLevel="0" collapsed="false">
      <c r="A33" s="0" t="s">
        <v>131</v>
      </c>
      <c r="B33" s="0" t="n">
        <f aca="false">B31*B29</f>
        <v>7176.82926124499</v>
      </c>
    </row>
    <row r="34" customFormat="false" ht="15" hidden="false" customHeight="false" outlineLevel="0" collapsed="false">
      <c r="A34" s="0" t="s">
        <v>132</v>
      </c>
      <c r="B34" s="0" t="n">
        <f aca="false">MAX(0,MIN(B32,B33))</f>
        <v>7176.82926124499</v>
      </c>
    </row>
    <row r="35" customFormat="false" ht="15" hidden="false" customHeight="false" outlineLevel="0" collapsed="false">
      <c r="A35" s="0" t="s">
        <v>133</v>
      </c>
      <c r="B35" s="0" t="n">
        <f aca="false">B34/(1+B27/100)^L4</f>
        <v>3031.57023919509</v>
      </c>
    </row>
    <row r="36" customFormat="false" ht="15" hidden="false" customHeight="false" outlineLevel="0" collapsed="false">
      <c r="A36" s="0" t="s">
        <v>134</v>
      </c>
      <c r="B36" s="0" t="n">
        <f aca="false">B30+B35</f>
        <v>6462.25428110394</v>
      </c>
    </row>
    <row r="37" customFormat="false" ht="15" hidden="false" customHeight="false" outlineLevel="0" collapsed="false">
      <c r="A37" s="0" t="s">
        <v>135</v>
      </c>
      <c r="B37" s="0" t="n">
        <f aca="false">B36+Assumptions!$B$5-Assumptions!$B$4</f>
        <v>3970.35428110394</v>
      </c>
    </row>
    <row r="38" customFormat="false" ht="15" hidden="false" customHeight="false" outlineLevel="0" collapsed="false">
      <c r="A38" s="0" t="s">
        <v>136</v>
      </c>
      <c r="B38" s="0" t="n">
        <f aca="false">B37/Assumptions!$B$3*Assumptions!$B$10</f>
        <v>1.70776229463557</v>
      </c>
    </row>
    <row r="39" customFormat="false" ht="15" hidden="false" customHeight="false" outlineLevel="0" collapsed="false">
      <c r="A39" s="0" t="s">
        <v>137</v>
      </c>
      <c r="B39" s="4" t="n">
        <f aca="false">B38/Assumptions!$B$2-1</f>
        <v>-0.404960872949279</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1.70776229463557</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4904.16666185075</v>
      </c>
    </row>
    <row r="47" customFormat="false" ht="15" hidden="false" customHeight="false" outlineLevel="0" collapsed="false">
      <c r="A47" s="0" t="s">
        <v>142</v>
      </c>
      <c r="B47" s="0" t="n">
        <f aca="false">(SUMPRODUCT(C19:L19/(1+B45/100)^C4:L4)+B46/(1+B45/100)^L4+Assumptions!$B$5-Assumptions!$B$4)/Assumptions!$B$3*Assumptions!$B$10</f>
        <v>0.590862918005503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8</v>
      </c>
      <c r="D5" s="4" t="n">
        <f aca="false">Assumptions!D41</f>
        <v>8</v>
      </c>
      <c r="E5" s="4" t="n">
        <f aca="false">Assumptions!E41</f>
        <v>7</v>
      </c>
      <c r="F5" s="4" t="n">
        <f aca="false">Assumptions!F41</f>
        <v>6</v>
      </c>
      <c r="G5" s="4" t="n">
        <f aca="false">Assumptions!G41</f>
        <v>5</v>
      </c>
      <c r="H5" s="4" t="n">
        <f aca="false">Assumptions!H41</f>
        <v>4</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38</v>
      </c>
      <c r="B6" s="3" t="n">
        <v>4718.83</v>
      </c>
      <c r="C6" s="0" t="n">
        <f aca="false">B6*(1+C5/100)</f>
        <v>5096.3364</v>
      </c>
      <c r="D6" s="0" t="n">
        <f aca="false">C6*(1+D5/100)</f>
        <v>5504.043312</v>
      </c>
      <c r="E6" s="0" t="n">
        <f aca="false">D6*(1+E5/100)</f>
        <v>5889.32634384</v>
      </c>
      <c r="F6" s="0" t="n">
        <f aca="false">E6*(1+F5/100)</f>
        <v>6242.6859244704</v>
      </c>
      <c r="G6" s="0" t="n">
        <f aca="false">F6*(1+G5/100)</f>
        <v>6554.82022069392</v>
      </c>
      <c r="H6" s="0" t="n">
        <f aca="false">G6*(1+H5/100)</f>
        <v>6817.01302952168</v>
      </c>
      <c r="I6" s="0" t="n">
        <f aca="false">H6*(1+I5/100)</f>
        <v>7089.69355070255</v>
      </c>
      <c r="J6" s="0" t="n">
        <f aca="false">I6*(1+J5/100)</f>
        <v>7337.83282497714</v>
      </c>
      <c r="K6" s="0" t="n">
        <f aca="false">J6*(1+K5/100)</f>
        <v>7557.96780972645</v>
      </c>
      <c r="L6" s="0" t="n">
        <f aca="false">K6*(1+L5/100)</f>
        <v>7784.70684401824</v>
      </c>
    </row>
    <row r="7" customFormat="false" ht="15" hidden="false" customHeight="false" outlineLevel="0" collapsed="false">
      <c r="A7" s="0" t="s">
        <v>99</v>
      </c>
      <c r="C7" s="4" t="n">
        <f aca="false">Assumptions!C42</f>
        <v>21.5</v>
      </c>
      <c r="D7" s="4" t="n">
        <f aca="false">Assumptions!D42</f>
        <v>22</v>
      </c>
      <c r="E7" s="4" t="n">
        <f aca="false">Assumptions!E42</f>
        <v>22.5</v>
      </c>
      <c r="F7" s="4" t="n">
        <f aca="false">Assumptions!F42</f>
        <v>23</v>
      </c>
      <c r="G7" s="4" t="n">
        <f aca="false">Assumptions!G42</f>
        <v>23</v>
      </c>
      <c r="H7" s="4" t="n">
        <f aca="false">Assumptions!H42</f>
        <v>23</v>
      </c>
      <c r="I7" s="4" t="n">
        <f aca="false">Assumptions!I42</f>
        <v>23</v>
      </c>
      <c r="J7" s="4" t="n">
        <f aca="false">Assumptions!J42</f>
        <v>23</v>
      </c>
      <c r="K7" s="4" t="n">
        <f aca="false">Assumptions!K42</f>
        <v>23</v>
      </c>
      <c r="L7" s="4" t="n">
        <f aca="false">Assumptions!L42</f>
        <v>23</v>
      </c>
    </row>
    <row r="8" customFormat="false" ht="15" hidden="false" customHeight="false" outlineLevel="0" collapsed="false">
      <c r="A8" s="0" t="s">
        <v>44</v>
      </c>
      <c r="C8" s="0" t="n">
        <f aca="false">C6*C7/100</f>
        <v>1095.712326</v>
      </c>
      <c r="D8" s="0" t="n">
        <f aca="false">D6*D7/100</f>
        <v>1210.88952864</v>
      </c>
      <c r="E8" s="0" t="n">
        <f aca="false">E6*E7/100</f>
        <v>1325.098427364</v>
      </c>
      <c r="F8" s="0" t="n">
        <f aca="false">F6*F7/100</f>
        <v>1435.81776262819</v>
      </c>
      <c r="G8" s="0" t="n">
        <f aca="false">G6*G7/100</f>
        <v>1507.6086507596</v>
      </c>
      <c r="H8" s="0" t="n">
        <f aca="false">H6*H7/100</f>
        <v>1567.91299678999</v>
      </c>
      <c r="I8" s="0" t="n">
        <f aca="false">I6*I7/100</f>
        <v>1630.62951666159</v>
      </c>
      <c r="J8" s="0" t="n">
        <f aca="false">J6*J7/100</f>
        <v>1687.70154974474</v>
      </c>
      <c r="K8" s="0" t="n">
        <f aca="false">K6*K7/100</f>
        <v>1738.33259623708</v>
      </c>
      <c r="L8" s="0" t="n">
        <f aca="false">L6*L7/100</f>
        <v>1790.4825741242</v>
      </c>
    </row>
    <row r="9" customFormat="false" ht="15" hidden="false" customHeight="false" outlineLevel="0" collapsed="false">
      <c r="A9" s="0" t="s">
        <v>100</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1095.712326</v>
      </c>
      <c r="D11" s="0" t="n">
        <f aca="false">D8+D10+D24</f>
        <v>1210.88952864</v>
      </c>
      <c r="E11" s="0" t="n">
        <f aca="false">E8+E10+E24</f>
        <v>1325.098427364</v>
      </c>
      <c r="F11" s="0" t="n">
        <f aca="false">F8+F10+F24</f>
        <v>1435.81776262819</v>
      </c>
      <c r="G11" s="0" t="n">
        <f aca="false">G8+G10+G24</f>
        <v>1507.6086507596</v>
      </c>
      <c r="H11" s="0" t="n">
        <f aca="false">H8+H10+H24</f>
        <v>1567.91299678999</v>
      </c>
      <c r="I11" s="0" t="n">
        <f aca="false">I8+I10+I24</f>
        <v>1630.62951666159</v>
      </c>
      <c r="J11" s="0" t="n">
        <f aca="false">J8+J10+J24</f>
        <v>1687.70154974474</v>
      </c>
      <c r="K11" s="0" t="n">
        <f aca="false">K8+K10+K24</f>
        <v>1738.33259623708</v>
      </c>
      <c r="L11" s="0" t="n">
        <f aca="false">L8+L10+L24</f>
        <v>1790.4825741242</v>
      </c>
    </row>
    <row r="12" customFormat="false" ht="15" hidden="false" customHeight="false" outlineLevel="0" collapsed="false">
      <c r="A12" s="0" t="s">
        <v>117</v>
      </c>
      <c r="C12" s="4" t="n">
        <f aca="false">-C6*Assumptions!C45/100</f>
        <v>-433.188594</v>
      </c>
      <c r="D12" s="4" t="n">
        <f aca="false">-D6*Assumptions!D45/100</f>
        <v>-456.835594896</v>
      </c>
      <c r="E12" s="4" t="n">
        <f aca="false">-E6*Assumptions!E45/100</f>
        <v>-477.03543385104</v>
      </c>
      <c r="F12" s="4" t="n">
        <f aca="false">-F6*Assumptions!F45/100</f>
        <v>-499.414873957632</v>
      </c>
      <c r="G12" s="4" t="n">
        <f aca="false">-G6*Assumptions!G45/100</f>
        <v>-524.385617655514</v>
      </c>
      <c r="H12" s="4" t="n">
        <f aca="false">-H6*Assumptions!H45/100</f>
        <v>-545.361042361734</v>
      </c>
      <c r="I12" s="4" t="n">
        <f aca="false">-I6*Assumptions!I45/100</f>
        <v>-567.175484056204</v>
      </c>
      <c r="J12" s="4" t="n">
        <f aca="false">-J6*Assumptions!J45/100</f>
        <v>-587.026625998171</v>
      </c>
      <c r="K12" s="4" t="n">
        <f aca="false">-K6*Assumptions!K45/100</f>
        <v>-604.637424778116</v>
      </c>
      <c r="L12" s="4" t="n">
        <f aca="false">-L6*Assumptions!L45/100</f>
        <v>-622.776547521459</v>
      </c>
    </row>
    <row r="13" customFormat="false" ht="15" hidden="false" customHeight="false" outlineLevel="0" collapsed="false">
      <c r="A13" s="0" t="s">
        <v>118</v>
      </c>
      <c r="C13" s="0" t="n">
        <f aca="false">C11+C12</f>
        <v>662.523732</v>
      </c>
      <c r="D13" s="0" t="n">
        <f aca="false">D11+D12</f>
        <v>754.053933744</v>
      </c>
      <c r="E13" s="0" t="n">
        <f aca="false">E11+E12</f>
        <v>848.06299351296</v>
      </c>
      <c r="F13" s="0" t="n">
        <f aca="false">F11+F12</f>
        <v>936.40288867056</v>
      </c>
      <c r="G13" s="0" t="n">
        <f aca="false">G11+G12</f>
        <v>983.223033104088</v>
      </c>
      <c r="H13" s="0" t="n">
        <f aca="false">H11+H12</f>
        <v>1022.55195442825</v>
      </c>
      <c r="I13" s="0" t="n">
        <f aca="false">I11+I12</f>
        <v>1063.45403260538</v>
      </c>
      <c r="J13" s="0" t="n">
        <f aca="false">J11+J12</f>
        <v>1100.67492374657</v>
      </c>
      <c r="K13" s="0" t="n">
        <f aca="false">K11+K12</f>
        <v>1133.69517145897</v>
      </c>
      <c r="L13" s="0" t="n">
        <f aca="false">L11+L12</f>
        <v>1167.70602660274</v>
      </c>
    </row>
    <row r="14" customFormat="false" ht="15" hidden="false" customHeight="false" outlineLevel="0" collapsed="false">
      <c r="A14" s="0" t="s">
        <v>104</v>
      </c>
      <c r="C14" s="4" t="n">
        <f aca="false">Assumptions!C47</f>
        <v>15</v>
      </c>
      <c r="D14" s="4" t="n">
        <f aca="false">Assumptions!D47</f>
        <v>15.5</v>
      </c>
      <c r="E14" s="4" t="n">
        <f aca="false">Assumptions!E47</f>
        <v>16.5</v>
      </c>
      <c r="F14" s="4" t="n">
        <f aca="false">Assumptions!F47</f>
        <v>17.5</v>
      </c>
      <c r="G14" s="4" t="n">
        <f aca="false">Assumptions!G47</f>
        <v>18</v>
      </c>
      <c r="H14" s="4" t="n">
        <f aca="false">Assumptions!H47</f>
        <v>18.5</v>
      </c>
      <c r="I14" s="4" t="n">
        <f aca="false">Assumptions!I47</f>
        <v>19</v>
      </c>
      <c r="J14" s="4" t="n">
        <f aca="false">Assumptions!J47</f>
        <v>19.5</v>
      </c>
      <c r="K14" s="4" t="n">
        <f aca="false">Assumptions!K47</f>
        <v>20</v>
      </c>
      <c r="L14" s="4" t="n">
        <f aca="false">Assumptions!L47</f>
        <v>21</v>
      </c>
    </row>
    <row r="15" customFormat="false" ht="15" hidden="false" customHeight="false" outlineLevel="0" collapsed="false">
      <c r="A15" s="0" t="s">
        <v>119</v>
      </c>
      <c r="C15" s="0" t="n">
        <f aca="false">C13-MAX(0,C13)*C14/100</f>
        <v>563.1451722</v>
      </c>
      <c r="D15" s="0" t="n">
        <f aca="false">D13-MAX(0,D13)*D14/100</f>
        <v>637.17557401368</v>
      </c>
      <c r="E15" s="0" t="n">
        <f aca="false">E13-MAX(0,E13)*E14/100</f>
        <v>708.132599583322</v>
      </c>
      <c r="F15" s="0" t="n">
        <f aca="false">F13-MAX(0,F13)*F14/100</f>
        <v>772.532383153212</v>
      </c>
      <c r="G15" s="0" t="n">
        <f aca="false">G13-MAX(0,G13)*G14/100</f>
        <v>806.242887145352</v>
      </c>
      <c r="H15" s="0" t="n">
        <f aca="false">H13-MAX(0,H13)*H14/100</f>
        <v>833.379842859025</v>
      </c>
      <c r="I15" s="0" t="n">
        <f aca="false">I13-MAX(0,I13)*I14/100</f>
        <v>861.39776641036</v>
      </c>
      <c r="J15" s="0" t="n">
        <f aca="false">J13-MAX(0,J13)*J14/100</f>
        <v>886.043313615989</v>
      </c>
      <c r="K15" s="0" t="n">
        <f aca="false">K13-MAX(0,K13)*K14/100</f>
        <v>906.956137167174</v>
      </c>
      <c r="L15" s="0" t="n">
        <f aca="false">L13-MAX(0,L13)*L14/100</f>
        <v>922.487761016162</v>
      </c>
    </row>
    <row r="16" customFormat="false" ht="15" hidden="false" customHeight="false" outlineLevel="0" collapsed="false">
      <c r="A16" s="0" t="s">
        <v>120</v>
      </c>
      <c r="C16" s="0" t="n">
        <f aca="false">-C12</f>
        <v>433.188594</v>
      </c>
      <c r="D16" s="0" t="n">
        <f aca="false">-D12</f>
        <v>456.835594896</v>
      </c>
      <c r="E16" s="0" t="n">
        <f aca="false">-E12</f>
        <v>477.03543385104</v>
      </c>
      <c r="F16" s="0" t="n">
        <f aca="false">-F12</f>
        <v>499.414873957632</v>
      </c>
      <c r="G16" s="0" t="n">
        <f aca="false">-G12</f>
        <v>524.385617655514</v>
      </c>
      <c r="H16" s="0" t="n">
        <f aca="false">-H12</f>
        <v>545.361042361734</v>
      </c>
      <c r="I16" s="0" t="n">
        <f aca="false">-I12</f>
        <v>567.175484056204</v>
      </c>
      <c r="J16" s="0" t="n">
        <f aca="false">-J12</f>
        <v>587.026625998171</v>
      </c>
      <c r="K16" s="0" t="n">
        <f aca="false">-K12</f>
        <v>604.637424778116</v>
      </c>
      <c r="L16" s="0" t="n">
        <f aca="false">-L12</f>
        <v>622.776547521459</v>
      </c>
    </row>
    <row r="17" customFormat="false" ht="15" hidden="false" customHeight="false" outlineLevel="0" collapsed="false">
      <c r="A17" s="0" t="s">
        <v>121</v>
      </c>
      <c r="C17" s="4" t="n">
        <f aca="false">-C6*Assumptions!C46/100</f>
        <v>-382.22523</v>
      </c>
      <c r="D17" s="4" t="n">
        <f aca="false">-D6*Assumptions!D46/100</f>
        <v>-412.8032484</v>
      </c>
      <c r="E17" s="4" t="n">
        <f aca="false">-E6*Assumptions!E46/100</f>
        <v>-441.699475788</v>
      </c>
      <c r="F17" s="4" t="n">
        <f aca="false">-F6*Assumptions!F46/100</f>
        <v>-468.20144433528</v>
      </c>
      <c r="G17" s="4" t="n">
        <f aca="false">-G6*Assumptions!G46/100</f>
        <v>-491.611516552044</v>
      </c>
      <c r="H17" s="4" t="n">
        <f aca="false">-H6*Assumptions!H46/100</f>
        <v>-477.190912066518</v>
      </c>
      <c r="I17" s="4" t="n">
        <f aca="false">-I6*Assumptions!I46/100</f>
        <v>-496.278548549178</v>
      </c>
      <c r="J17" s="4" t="n">
        <f aca="false">-J6*Assumptions!J46/100</f>
        <v>-513.648297748399</v>
      </c>
      <c r="K17" s="4" t="n">
        <f aca="false">-K6*Assumptions!K46/100</f>
        <v>-529.057746680851</v>
      </c>
      <c r="L17" s="4" t="n">
        <f aca="false">-L6*Assumptions!L46/100</f>
        <v>-544.929479081277</v>
      </c>
    </row>
    <row r="18" customFormat="false" ht="15" hidden="false" customHeight="false" outlineLevel="0" collapsed="false">
      <c r="A18" s="0" t="s">
        <v>122</v>
      </c>
      <c r="C18" s="4" t="n">
        <f aca="false">(C6-B6)*Assumptions!$B$51/100</f>
        <v>-151.00256</v>
      </c>
      <c r="D18" s="4" t="n">
        <f aca="false">(D6-C6)*Assumptions!$B$51/100</f>
        <v>-163.0827648</v>
      </c>
      <c r="E18" s="4" t="n">
        <f aca="false">(E6-D6)*Assumptions!$B$51/100</f>
        <v>-154.113212736</v>
      </c>
      <c r="F18" s="4" t="n">
        <f aca="false">(F6-E6)*Assumptions!$B$51/100</f>
        <v>-141.34383225216</v>
      </c>
      <c r="G18" s="4" t="n">
        <f aca="false">(G6-F6)*Assumptions!$B$51/100</f>
        <v>-124.853718489408</v>
      </c>
      <c r="H18" s="4" t="n">
        <f aca="false">(H6-G6)*Assumptions!$B$51/100</f>
        <v>-104.877123531103</v>
      </c>
      <c r="I18" s="4" t="n">
        <f aca="false">(I6-H6)*Assumptions!$B$51/100</f>
        <v>-109.072208472347</v>
      </c>
      <c r="J18" s="4" t="n">
        <f aca="false">(J6-I6)*Assumptions!$B$51/100</f>
        <v>-99.2557097098354</v>
      </c>
      <c r="K18" s="4" t="n">
        <f aca="false">(K6-J6)*Assumptions!$B$51/100</f>
        <v>-88.0539938997255</v>
      </c>
      <c r="L18" s="4" t="n">
        <f aca="false">(L6-K6)*Assumptions!$B$51/100</f>
        <v>-90.6956137167174</v>
      </c>
    </row>
    <row r="19" customFormat="false" ht="15" hidden="false" customHeight="false" outlineLevel="0" collapsed="false">
      <c r="A19" s="0" t="s">
        <v>123</v>
      </c>
      <c r="C19" s="0" t="n">
        <f aca="false">C15+C16+C17+C18</f>
        <v>463.1059762</v>
      </c>
      <c r="D19" s="0" t="n">
        <f aca="false">D15+D16+D17+D18</f>
        <v>518.12515570968</v>
      </c>
      <c r="E19" s="0" t="n">
        <f aca="false">E15+E16+E17+E18</f>
        <v>589.355344910362</v>
      </c>
      <c r="F19" s="0" t="n">
        <f aca="false">F15+F16+F17+F18</f>
        <v>662.401980523404</v>
      </c>
      <c r="G19" s="0" t="n">
        <f aca="false">G15+G16+G17+G18</f>
        <v>714.163269759414</v>
      </c>
      <c r="H19" s="0" t="n">
        <f aca="false">H15+H16+H17+H18</f>
        <v>796.672849623139</v>
      </c>
      <c r="I19" s="0" t="n">
        <f aca="false">I15+I16+I17+I18</f>
        <v>823.222493445038</v>
      </c>
      <c r="J19" s="0" t="n">
        <f aca="false">J15+J16+J17+J18</f>
        <v>860.165932155925</v>
      </c>
      <c r="K19" s="0" t="n">
        <f aca="false">K15+K16+K17+K18</f>
        <v>894.481821364713</v>
      </c>
      <c r="L19" s="0" t="n">
        <f aca="false">L15+L16+L17+L18</f>
        <v>909.639215739627</v>
      </c>
    </row>
    <row r="20" customFormat="false" ht="15" hidden="false" customHeight="false" outlineLevel="0" collapsed="false">
      <c r="A20" s="0" t="s">
        <v>124</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125</v>
      </c>
      <c r="C21" s="0" t="n">
        <f aca="false">C19*C20</f>
        <v>424.867868073395</v>
      </c>
      <c r="D21" s="0" t="n">
        <f aca="false">D19*D20</f>
        <v>436.095577568959</v>
      </c>
      <c r="E21" s="0" t="n">
        <f aca="false">E19*E20</f>
        <v>455.090461225472</v>
      </c>
      <c r="F21" s="0" t="n">
        <f aca="false">F19*F20</f>
        <v>469.262262862297</v>
      </c>
      <c r="G21" s="0" t="n">
        <f aca="false">G19*G20</f>
        <v>464.157123958095</v>
      </c>
      <c r="H21" s="0" t="n">
        <f aca="false">H19*H20</f>
        <v>475.029990442037</v>
      </c>
      <c r="I21" s="0" t="n">
        <f aca="false">I19*I20</f>
        <v>450.330895039739</v>
      </c>
      <c r="J21" s="0" t="n">
        <f aca="false">J19*J20</f>
        <v>431.688276272353</v>
      </c>
      <c r="K21" s="0" t="n">
        <f aca="false">K19*K20</f>
        <v>411.844278828651</v>
      </c>
      <c r="L21" s="0" t="n">
        <f aca="false">L19*L20</f>
        <v>384.241435104537</v>
      </c>
    </row>
    <row r="23" customFormat="false" ht="15" hidden="false" customHeight="false" outlineLevel="0" collapsed="false">
      <c r="A23" s="0" t="s">
        <v>101</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Assumptions!$B$48</f>
        <v>9</v>
      </c>
    </row>
    <row r="28" customFormat="false" ht="15" hidden="false" customHeight="false" outlineLevel="0" collapsed="false">
      <c r="A28" s="0" t="s">
        <v>106</v>
      </c>
      <c r="B28" s="4" t="n">
        <f aca="false">Assumptions!$B$49</f>
        <v>3</v>
      </c>
    </row>
    <row r="29" customFormat="false" ht="15" hidden="false" customHeight="false" outlineLevel="0" collapsed="false">
      <c r="A29" s="0" t="s">
        <v>107</v>
      </c>
      <c r="B29" s="4" t="n">
        <f aca="false">Assumptions!$B$50</f>
        <v>12</v>
      </c>
    </row>
    <row r="30" customFormat="false" ht="15" hidden="false" customHeight="false" outlineLevel="0" collapsed="false">
      <c r="A30" s="0" t="s">
        <v>128</v>
      </c>
      <c r="B30" s="0" t="n">
        <f aca="false">SUM(C21:L21)</f>
        <v>4402.60816937553</v>
      </c>
    </row>
    <row r="31" customFormat="false" ht="15" hidden="false" customHeight="false" outlineLevel="0" collapsed="false">
      <c r="A31" s="0" t="s">
        <v>129</v>
      </c>
      <c r="B31" s="0" t="n">
        <f aca="false">L19</f>
        <v>909.639215739627</v>
      </c>
    </row>
    <row r="32" customFormat="false" ht="15" hidden="false" customHeight="false" outlineLevel="0" collapsed="false">
      <c r="A32" s="0" t="s">
        <v>130</v>
      </c>
      <c r="B32" s="0" t="n">
        <f aca="false">IF(B27&gt;B28,B31*(1+B28/100)/((B27-B28)/100),B31*B29)</f>
        <v>15615.4732035303</v>
      </c>
    </row>
    <row r="33" customFormat="false" ht="15" hidden="false" customHeight="false" outlineLevel="0" collapsed="false">
      <c r="A33" s="0" t="s">
        <v>131</v>
      </c>
      <c r="B33" s="0" t="n">
        <f aca="false">B31*B29</f>
        <v>10915.6705888755</v>
      </c>
    </row>
    <row r="34" customFormat="false" ht="15" hidden="false" customHeight="false" outlineLevel="0" collapsed="false">
      <c r="A34" s="0" t="s">
        <v>132</v>
      </c>
      <c r="B34" s="0" t="n">
        <f aca="false">MAX(0,MIN(B32,B33))</f>
        <v>10915.6705888755</v>
      </c>
    </row>
    <row r="35" customFormat="false" ht="15" hidden="false" customHeight="false" outlineLevel="0" collapsed="false">
      <c r="A35" s="0" t="s">
        <v>133</v>
      </c>
      <c r="B35" s="0" t="n">
        <f aca="false">B34/(1+B27/100)^L4</f>
        <v>4610.89722125445</v>
      </c>
    </row>
    <row r="36" customFormat="false" ht="15" hidden="false" customHeight="false" outlineLevel="0" collapsed="false">
      <c r="A36" s="0" t="s">
        <v>134</v>
      </c>
      <c r="B36" s="0" t="n">
        <f aca="false">B30+B35</f>
        <v>9013.50539062998</v>
      </c>
    </row>
    <row r="37" customFormat="false" ht="15" hidden="false" customHeight="false" outlineLevel="0" collapsed="false">
      <c r="A37" s="0" t="s">
        <v>135</v>
      </c>
      <c r="B37" s="0" t="n">
        <f aca="false">B36+Assumptions!$B$5-Assumptions!$B$4</f>
        <v>6521.60539062998</v>
      </c>
    </row>
    <row r="38" customFormat="false" ht="15" hidden="false" customHeight="false" outlineLevel="0" collapsed="false">
      <c r="A38" s="0" t="s">
        <v>136</v>
      </c>
      <c r="B38" s="0" t="n">
        <f aca="false">B37/Assumptions!$B$3*Assumptions!$B$10</f>
        <v>2.80512795536052</v>
      </c>
    </row>
    <row r="39" customFormat="false" ht="15" hidden="false" customHeight="false" outlineLevel="0" collapsed="false">
      <c r="A39" s="0" t="s">
        <v>137</v>
      </c>
      <c r="B39" s="4" t="n">
        <f aca="false">B38/Assumptions!$B$2-1</f>
        <v>-0.0226034998743851</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2.80512795536052</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7807.73660176513</v>
      </c>
    </row>
    <row r="47" customFormat="false" ht="15" hidden="false" customHeight="false" outlineLevel="0" collapsed="false">
      <c r="A47" s="0" t="s">
        <v>142</v>
      </c>
      <c r="B47" s="0" t="n">
        <f aca="false">(SUMPRODUCT(C19:L19/(1+B45/100)^C4:L4)+B46/(1+B45/100)^L4+Assumptions!$B$5-Assumptions!$B$4)/Assumptions!$B$3*Assumptions!$B$10</f>
        <v>1.19061584617785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1.01779797732799</v>
      </c>
      <c r="C4" s="0" t="n">
        <f aca="false">B4/Assumptions!$B$2-1</f>
        <v>-0.645366558422304</v>
      </c>
      <c r="D4" s="4" t="n">
        <f aca="false">Assumptions!$B$24</f>
        <v>0.3</v>
      </c>
      <c r="E4" s="4" t="n">
        <f aca="false">DCF_Bear!$B$43</f>
        <v>1.01779797732799</v>
      </c>
      <c r="F4" s="4" t="n">
        <f aca="false">DCF_Bear!$B$47</f>
        <v>0.216230673003525</v>
      </c>
    </row>
    <row r="5" customFormat="false" ht="15" hidden="false" customHeight="false" outlineLevel="0" collapsed="false">
      <c r="A5" s="0" t="s">
        <v>151</v>
      </c>
      <c r="B5" s="4" t="n">
        <f aca="false">DCF_Base!$B$38</f>
        <v>1.70776229463557</v>
      </c>
      <c r="C5" s="0" t="n">
        <f aca="false">B5/Assumptions!$B$2-1</f>
        <v>-0.404960872949279</v>
      </c>
      <c r="D5" s="4" t="n">
        <f aca="false">Assumptions!$B$38</f>
        <v>0.5</v>
      </c>
      <c r="E5" s="4" t="n">
        <f aca="false">DCF_Base!$B$43</f>
        <v>1.70776229463557</v>
      </c>
      <c r="F5" s="4" t="n">
        <f aca="false">DCF_Base!$B$47</f>
        <v>0.590862918005503</v>
      </c>
    </row>
    <row r="6" customFormat="false" ht="15" hidden="false" customHeight="false" outlineLevel="0" collapsed="false">
      <c r="A6" s="0" t="s">
        <v>152</v>
      </c>
      <c r="B6" s="4" t="n">
        <f aca="false">DCF_Bull!$B$38</f>
        <v>2.80512795536052</v>
      </c>
      <c r="C6" s="0" t="n">
        <f aca="false">B6/Assumptions!$B$2-1</f>
        <v>-0.0226034998743851</v>
      </c>
      <c r="D6" s="4" t="n">
        <f aca="false">Assumptions!$B$52</f>
        <v>0.2</v>
      </c>
      <c r="E6" s="4" t="n">
        <f aca="false">DCF_Bull!$B$43</f>
        <v>2.80512795536052</v>
      </c>
      <c r="F6" s="4" t="n">
        <f aca="false">DCF_Bull!$B$47</f>
        <v>1.19061584617785</v>
      </c>
    </row>
    <row r="8" customFormat="false" ht="15" hidden="false" customHeight="false" outlineLevel="0" collapsed="false">
      <c r="A8" s="0" t="s">
        <v>153</v>
      </c>
      <c r="B8" s="0" t="n">
        <f aca="false">SUMPRODUCT(B4:B6,D4:D6)</f>
        <v>1.72024613158828</v>
      </c>
    </row>
    <row r="9" customFormat="false" ht="15" hidden="false" customHeight="false" outlineLevel="0" collapsed="false">
      <c r="A9" s="0" t="s">
        <v>154</v>
      </c>
      <c r="B9" s="0" t="n">
        <f aca="false">SUMPRODUCT(E4:E6,D4:D6)</f>
        <v>1.72024613158828</v>
      </c>
    </row>
    <row r="10" customFormat="false" ht="15" hidden="false" customHeight="false" outlineLevel="0" collapsed="false">
      <c r="A10" s="0" t="s">
        <v>155</v>
      </c>
      <c r="B10" s="0" t="n">
        <f aca="false">1-Assumptions!$B$2/B8</f>
        <v>-0.668365908400655</v>
      </c>
    </row>
    <row r="11" customFormat="false" ht="15" hidden="false" customHeight="false" outlineLevel="0" collapsed="false">
      <c r="A11" s="0" t="s">
        <v>156</v>
      </c>
      <c r="B11" s="0" t="str">
        <f aca="false">IF(ABS(B9-B8)&gt;0.01*ABS(B8),(Assumptions!$B$2-B8)/(B9-B8)*100,"n/a")</f>
        <v>n/a</v>
      </c>
    </row>
    <row r="12" customFormat="false" ht="15" hidden="false" customHeight="false" outlineLevel="0" collapsed="false">
      <c r="A12" s="0" t="s">
        <v>157</v>
      </c>
      <c r="B12" s="0" t="n">
        <f aca="false">SUMPRODUCT(F4:F6,D4:D6)</f>
        <v>0.598423830139378</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1.70776229463557</v>
      </c>
      <c r="C15" s="3" t="n">
        <v>9</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1.52846547977751</v>
      </c>
      <c r="C16" s="3" t="n">
        <v>10</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1.36434528192882</v>
      </c>
      <c r="C17" s="3" t="n">
        <v>11</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1.11366929077155</v>
      </c>
      <c r="C18" s="3" t="n">
        <v>12</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0.590862918005503</v>
      </c>
      <c r="C19" s="3" t="n">
        <v>15</v>
      </c>
    </row>
    <row r="21" customFormat="false" ht="15" hidden="false" customHeight="false" outlineLevel="0" collapsed="false">
      <c r="A21" s="2" t="s">
        <v>165</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2.11866874388119</v>
      </c>
      <c r="C23" s="0" t="n">
        <f aca="false">(SUMPRODUCT(DCF_Base!$C$19:$L$19/(1+$A$23/100)^DCF_Base!$C$4:$L$4)+MAX(0,MIN(IF($A$23&gt;$C$22,DCF_Base!$L$19*(1+$C$22/100)/(($A$23-$C$22)/100),DCF_Base!$L$19*DCF_Base!$B$29),DCF_Base!$L$19*DCF_Base!$B$29))/(1+$A$23/100)^DCF_Base!$L$4+Assumptions!$B$5-Assumptions!$B$4)/Assumptions!$B$3*Assumptions!$B$10</f>
        <v>2.11866874388119</v>
      </c>
      <c r="D23" s="0" t="n">
        <f aca="false">(SUMPRODUCT(DCF_Base!$C$19:$L$19/(1+$A$23/100)^DCF_Base!$C$4:$L$4)+MAX(0,MIN(IF($A$23&gt;$D$22,DCF_Base!$L$19*(1+$D$22/100)/(($A$23-$D$22)/100),DCF_Base!$L$19*DCF_Base!$B$29),DCF_Base!$L$19*DCF_Base!$B$29))/(1+$A$23/100)^DCF_Base!$L$4+Assumptions!$B$5-Assumptions!$B$4)/Assumptions!$B$3*Assumptions!$B$10</f>
        <v>2.11866874388119</v>
      </c>
      <c r="E23" s="0" t="n">
        <f aca="false">(SUMPRODUCT(DCF_Base!$C$19:$L$19/(1+$A$23/100)^DCF_Base!$C$4:$L$4)+MAX(0,MIN(IF($A$23&gt;$E$22,DCF_Base!$L$19*(1+$E$22/100)/(($A$23-$E$22)/100),DCF_Base!$L$19*DCF_Base!$B$29),DCF_Base!$L$19*DCF_Base!$B$29))/(1+$A$23/100)^DCF_Base!$L$4+Assumptions!$B$5-Assumptions!$B$4)/Assumptions!$B$3*Assumptions!$B$10</f>
        <v>2.11866874388119</v>
      </c>
      <c r="F23" s="0" t="n">
        <f aca="false">(SUMPRODUCT(DCF_Base!$C$19:$L$19/(1+$A$23/100)^DCF_Base!$C$4:$L$4)+MAX(0,MIN(IF($A$23&gt;$F$22,DCF_Base!$L$19*(1+$F$22/100)/(($A$23-$F$22)/100),DCF_Base!$L$19*DCF_Base!$B$29),DCF_Base!$L$19*DCF_Base!$B$29))/(1+$A$23/100)^DCF_Base!$L$4+Assumptions!$B$5-Assumptions!$B$4)/Assumptions!$B$3*Assumptions!$B$10</f>
        <v>2.11866874388119</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1.90388137350784</v>
      </c>
      <c r="C24" s="0" t="n">
        <f aca="false">(SUMPRODUCT(DCF_Base!$C$19:$L$19/(1+$A$24/100)^DCF_Base!$C$4:$L$4)+MAX(0,MIN(IF($A$24&gt;$C$22,DCF_Base!$L$19*(1+$C$22/100)/(($A$24-$C$22)/100),DCF_Base!$L$19*DCF_Base!$B$29),DCF_Base!$L$19*DCF_Base!$B$29))/(1+$A$24/100)^DCF_Base!$L$4+Assumptions!$B$5-Assumptions!$B$4)/Assumptions!$B$3*Assumptions!$B$10</f>
        <v>1.90388137350784</v>
      </c>
      <c r="D24" s="0" t="n">
        <f aca="false">(SUMPRODUCT(DCF_Base!$C$19:$L$19/(1+$A$24/100)^DCF_Base!$C$4:$L$4)+MAX(0,MIN(IF($A$24&gt;$D$22,DCF_Base!$L$19*(1+$D$22/100)/(($A$24-$D$22)/100),DCF_Base!$L$19*DCF_Base!$B$29),DCF_Base!$L$19*DCF_Base!$B$29))/(1+$A$24/100)^DCF_Base!$L$4+Assumptions!$B$5-Assumptions!$B$4)/Assumptions!$B$3*Assumptions!$B$10</f>
        <v>1.90388137350784</v>
      </c>
      <c r="E24" s="0" t="n">
        <f aca="false">(SUMPRODUCT(DCF_Base!$C$19:$L$19/(1+$A$24/100)^DCF_Base!$C$4:$L$4)+MAX(0,MIN(IF($A$24&gt;$E$22,DCF_Base!$L$19*(1+$E$22/100)/(($A$24-$E$22)/100),DCF_Base!$L$19*DCF_Base!$B$29),DCF_Base!$L$19*DCF_Base!$B$29))/(1+$A$24/100)^DCF_Base!$L$4+Assumptions!$B$5-Assumptions!$B$4)/Assumptions!$B$3*Assumptions!$B$10</f>
        <v>1.90388137350784</v>
      </c>
      <c r="F24" s="0" t="n">
        <f aca="false">(SUMPRODUCT(DCF_Base!$C$19:$L$19/(1+$A$24/100)^DCF_Base!$C$4:$L$4)+MAX(0,MIN(IF($A$24&gt;$F$22,DCF_Base!$L$19*(1+$F$22/100)/(($A$24-$F$22)/100),DCF_Base!$L$19*DCF_Base!$B$29),DCF_Base!$L$19*DCF_Base!$B$29))/(1+$A$24/100)^DCF_Base!$L$4+Assumptions!$B$5-Assumptions!$B$4)/Assumptions!$B$3*Assumptions!$B$10</f>
        <v>1.90388137350784</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1.70776229463557</v>
      </c>
      <c r="C25" s="0" t="n">
        <f aca="false">(SUMPRODUCT(DCF_Base!$C$19:$L$19/(1+$A$25/100)^DCF_Base!$C$4:$L$4)+MAX(0,MIN(IF($A$25&gt;$C$22,DCF_Base!$L$19*(1+$C$22/100)/(($A$25-$C$22)/100),DCF_Base!$L$19*DCF_Base!$B$29),DCF_Base!$L$19*DCF_Base!$B$29))/(1+$A$25/100)^DCF_Base!$L$4+Assumptions!$B$5-Assumptions!$B$4)/Assumptions!$B$3*Assumptions!$B$10</f>
        <v>1.70776229463557</v>
      </c>
      <c r="D25" s="0" t="n">
        <f aca="false">(SUMPRODUCT(DCF_Base!$C$19:$L$19/(1+$A$25/100)^DCF_Base!$C$4:$L$4)+MAX(0,MIN(IF($A$25&gt;$D$22,DCF_Base!$L$19*(1+$D$22/100)/(($A$25-$D$22)/100),DCF_Base!$L$19*DCF_Base!$B$29),DCF_Base!$L$19*DCF_Base!$B$29))/(1+$A$25/100)^DCF_Base!$L$4+Assumptions!$B$5-Assumptions!$B$4)/Assumptions!$B$3*Assumptions!$B$10</f>
        <v>1.70776229463557</v>
      </c>
      <c r="E25" s="0" t="n">
        <f aca="false">(SUMPRODUCT(DCF_Base!$C$19:$L$19/(1+$A$25/100)^DCF_Base!$C$4:$L$4)+MAX(0,MIN(IF($A$25&gt;$E$22,DCF_Base!$L$19*(1+$E$22/100)/(($A$25-$E$22)/100),DCF_Base!$L$19*DCF_Base!$B$29),DCF_Base!$L$19*DCF_Base!$B$29))/(1+$A$25/100)^DCF_Base!$L$4+Assumptions!$B$5-Assumptions!$B$4)/Assumptions!$B$3*Assumptions!$B$10</f>
        <v>1.70776229463557</v>
      </c>
      <c r="F25" s="0" t="n">
        <f aca="false">(SUMPRODUCT(DCF_Base!$C$19:$L$19/(1+$A$25/100)^DCF_Base!$C$4:$L$4)+MAX(0,MIN(IF($A$25&gt;$F$22,DCF_Base!$L$19*(1+$F$22/100)/(($A$25-$F$22)/100),DCF_Base!$L$19*DCF_Base!$B$29),DCF_Base!$L$19*DCF_Base!$B$29))/(1+$A$25/100)^DCF_Base!$L$4+Assumptions!$B$5-Assumptions!$B$4)/Assumptions!$B$3*Assumptions!$B$10</f>
        <v>1.70776229463557</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1.52263138131197</v>
      </c>
      <c r="C26" s="0" t="n">
        <f aca="false">(SUMPRODUCT(DCF_Base!$C$19:$L$19/(1+$A$26/100)^DCF_Base!$C$4:$L$4)+MAX(0,MIN(IF($A$26&gt;$C$22,DCF_Base!$L$19*(1+$C$22/100)/(($A$26-$C$22)/100),DCF_Base!$L$19*DCF_Base!$B$29),DCF_Base!$L$19*DCF_Base!$B$29))/(1+$A$26/100)^DCF_Base!$L$4+Assumptions!$B$5-Assumptions!$B$4)/Assumptions!$B$3*Assumptions!$B$10</f>
        <v>1.52846547977751</v>
      </c>
      <c r="D26" s="0" t="n">
        <f aca="false">(SUMPRODUCT(DCF_Base!$C$19:$L$19/(1+$A$26/100)^DCF_Base!$C$4:$L$4)+MAX(0,MIN(IF($A$26&gt;$D$22,DCF_Base!$L$19*(1+$D$22/100)/(($A$26-$D$22)/100),DCF_Base!$L$19*DCF_Base!$B$29),DCF_Base!$L$19*DCF_Base!$B$29))/(1+$A$26/100)^DCF_Base!$L$4+Assumptions!$B$5-Assumptions!$B$4)/Assumptions!$B$3*Assumptions!$B$10</f>
        <v>1.52846547977751</v>
      </c>
      <c r="E26" s="0" t="n">
        <f aca="false">(SUMPRODUCT(DCF_Base!$C$19:$L$19/(1+$A$26/100)^DCF_Base!$C$4:$L$4)+MAX(0,MIN(IF($A$26&gt;$E$22,DCF_Base!$L$19*(1+$E$22/100)/(($A$26-$E$22)/100),DCF_Base!$L$19*DCF_Base!$B$29),DCF_Base!$L$19*DCF_Base!$B$29))/(1+$A$26/100)^DCF_Base!$L$4+Assumptions!$B$5-Assumptions!$B$4)/Assumptions!$B$3*Assumptions!$B$10</f>
        <v>1.52846547977751</v>
      </c>
      <c r="F26" s="0" t="n">
        <f aca="false">(SUMPRODUCT(DCF_Base!$C$19:$L$19/(1+$A$26/100)^DCF_Base!$C$4:$L$4)+MAX(0,MIN(IF($A$26&gt;$F$22,DCF_Base!$L$19*(1+$F$22/100)/(($A$26-$F$22)/100),DCF_Base!$L$19*DCF_Base!$B$29),DCF_Base!$L$19*DCF_Base!$B$29))/(1+$A$26/100)^DCF_Base!$L$4+Assumptions!$B$5-Assumptions!$B$4)/Assumptions!$B$3*Assumptions!$B$10</f>
        <v>1.52846547977751</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1.24513707721678</v>
      </c>
      <c r="C27" s="0" t="n">
        <f aca="false">(SUMPRODUCT(DCF_Base!$C$19:$L$19/(1+$A$27/100)^DCF_Base!$C$4:$L$4)+MAX(0,MIN(IF($A$27&gt;$C$22,DCF_Base!$L$19*(1+$C$22/100)/(($A$27-$C$22)/100),DCF_Base!$L$19*DCF_Base!$B$29),DCF_Base!$L$19*DCF_Base!$B$29))/(1+$A$27/100)^DCF_Base!$L$4+Assumptions!$B$5-Assumptions!$B$4)/Assumptions!$B$3*Assumptions!$B$10</f>
        <v>1.30394645820805</v>
      </c>
      <c r="D27" s="0" t="n">
        <f aca="false">(SUMPRODUCT(DCF_Base!$C$19:$L$19/(1+$A$27/100)^DCF_Base!$C$4:$L$4)+MAX(0,MIN(IF($A$27&gt;$D$22,DCF_Base!$L$19*(1+$D$22/100)/(($A$27-$D$22)/100),DCF_Base!$L$19*DCF_Base!$B$29),DCF_Base!$L$19*DCF_Base!$B$29))/(1+$A$27/100)^DCF_Base!$L$4+Assumptions!$B$5-Assumptions!$B$4)/Assumptions!$B$3*Assumptions!$B$10</f>
        <v>1.36434528192882</v>
      </c>
      <c r="E27" s="0" t="n">
        <f aca="false">(SUMPRODUCT(DCF_Base!$C$19:$L$19/(1+$A$27/100)^DCF_Base!$C$4:$L$4)+MAX(0,MIN(IF($A$27&gt;$E$22,DCF_Base!$L$19*(1+$E$22/100)/(($A$27-$E$22)/100),DCF_Base!$L$19*DCF_Base!$B$29),DCF_Base!$L$19*DCF_Base!$B$29))/(1+$A$27/100)^DCF_Base!$L$4+Assumptions!$B$5-Assumptions!$B$4)/Assumptions!$B$3*Assumptions!$B$10</f>
        <v>1.36434528192882</v>
      </c>
      <c r="F27" s="0" t="n">
        <f aca="false">(SUMPRODUCT(DCF_Base!$C$19:$L$19/(1+$A$27/100)^DCF_Base!$C$4:$L$4)+MAX(0,MIN(IF($A$27&gt;$F$22,DCF_Base!$L$19*(1+$F$22/100)/(($A$27-$F$22)/100),DCF_Base!$L$19*DCF_Base!$B$29),DCF_Base!$L$19*DCF_Base!$B$29))/(1+$A$27/100)^DCF_Base!$L$4+Assumptions!$B$5-Assumptions!$B$4)/Assumptions!$B$3*Assumptions!$B$10</f>
        <v>1.36434528192882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2026-10-11T08:47:05Z</dcterms:created>
  <dc:creator>openpyxl</dc:creator>
  <dc:description/>
  <dc:language>en-NZ</dc:language>
  <cp:lastModifiedBy/>
  <dcterms:modified xsi:type="dcterms:W3CDTF">2026-10-11T08:47:05Z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