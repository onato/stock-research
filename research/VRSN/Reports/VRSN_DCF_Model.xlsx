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<sst xmlns="http://schemas.openxmlformats.org/spreadsheetml/2006/main" count="390" uniqueCount="175">
  <si>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</si>
  <si>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VRSN</t>
  </si>
  <si>
    <t xml:space="preserve">Company</t>
  </si>
  <si>
    <t xml:space="preserve">VeriSign,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</si>
  <si>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</si>
  <si>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</si>
  <si>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</si>
  <si>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</si>
  <si>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2026-10-02T20:00:01Z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</si>
  <si>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</si>
  <si>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</si>
  <si>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</si>
  <si>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</si>
  <si>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</si>
  <si>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</si>
  <si>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</si>
  <si>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</si>
  <si>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</si>
  <si>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</si>
  <si>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</si>
  <si>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</si>
  <si>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2026-10-02T21:34:39Z</t>
  </si>
  <si>
    <t xml:space="preserve">Drivers file</t>
  </si>
  <si>
    <t xml:space="preserve">VRSN_Drivers.json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</si>
  <si>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</si>
  <si>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</si>
  <si>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</si>
  <si>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VRSN is valued as an unlevered owner-FCF annuity: SBC (including RSU tax-withholding repurchases) is expensed and the share count held flat, so the ~$0.9-1.2B/yr of buybacks is the mechanism keeping the count flat rather than an extra source of value. The equity is the DCF enterprise value less ~$1.3B of net debt. The key value drivers are the .com price escalator (4 of every 6 years at up to 7%), registration volume, and whether the contract terms survive the 2030 renewal.
key_risks_to_valuation: Regulatory: Commerce/NTIA or ICANN curtails .com pricing flexibility, or the 2030 renewal removes it (bear case).; Volume: first-time renewal of the large 2025-26 AI-era cohorts at mid-40% rates creates a 2H26-2027 domain-base air pocket.; Substitution: new gTLDs/ccTLDs and app/social/AI-agent navigation erode .com's share of new businesses over the decade.; Terminal dependence: the terminal value is most of EV; a 1pp WACC change moves value by roughly 15-20%.; Unverified inputs: the $10.97 .com fee from 1-Nov-26 and the raised FY26 guide come from the Analysis JSON (Q2-26 call), not from an 8-K seen in this build.</t>
  </si>
  <si>
    <t xml:space="preserve">Data sources</t>
  </si>
  <si>
    <t xml:space="preserve">price: Yahoo Finance chart API at inputs.price_as_of; 52-week range 208.86-312.48
financials: VRSN_Metrics.csv (SEC XBRL); SEC companyfacts API for senior notes, marketable securities, interest income, diluted shares; Q2-26 earnings release (8-K ex99.1, 2026-07-23) for the 2026-06-30 balance sheet and the debt refinancing; FY2025 10-K Note 5 for RSU tax-withholding repurchases; 8-K 2026-08-27 for the .net price increase.
qualitative: VRSN_Analysis.json (guidance, .com price increase, bull/bear axes); FY2025 10-K for .com Registry Agreement pricing terms (up to 7% in the final four years of each six-year period beginning 26-Oct-2024; agreement through 30-Nov-2030).</t>
  </si>
  <si>
    <t xml:space="preserve">Scenario narrative: bear</t>
  </si>
  <si>
    <t xml:space="preserve">The single-contract dependency bites: the Department of Commerce/NTIA or ICANN, under political pressure on .com pricing, blocks or curtails the escalator after the Nov-26 increase (or the 2030 renewal removes it), while the first-time-renewal air pocket, new gTLD/ccTLD substitution (.ai/.io/.co) and app/social/AI-agent navigation shrink the .com base. Revenue growth falls to 2-3% a year, margins drift down a point as costs keep rising, and the exit multiple compresses to 15x as the market re-rates VRSN from compounder to capped utility.</t>
  </si>
  <si>
    <t xml:space="preserve">Scenario narrative: base</t>
  </si>
  <si>
    <t xml:space="preserve">Guidance is met in FY26 ($1.75B revenue) and VRSN takes the .com escalator in each of the four permitted years from Nov-26 (as it did in 2021-24), with .net at +10% from Mar-27. The AI-driven registration surge (new units +21% YoY in Q2-26, domain base +5.2-6.0% guided) fades as the large late-2025/2026 cohorts hit first-time renewal at mid-40% rates, leaving the base growing ~1-2% a year. Revenue compounds ~8% through FY30, then slows to ~4-5% when the next six-year window opens with two price-freeze years. Margins expand ~3pp on a fixed cost base; the business stays an annuity with near-zero reinvestment needs.</t>
  </si>
  <si>
    <t xml:space="preserve">Scenario narrative: bull</t>
  </si>
  <si>
    <t xml:space="preserve">AI-enabled business and website formation proves structural rather than a cohort spike: domain base growth holds ~3% a year while the full 7% .com escalator is taken every permitted year, .web launches with uncapped pricing and adds a modest new stream, and the 2030 .com renewal preserves the escalator. Revenue compounds ~9-10% through FY30 and 6% thereafter, adjusted EBITDA margin reaches 79%, and the market keeps paying ~22x for a contract-protected annuity.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</si>
  <si>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</si>
  <si>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</si>
  <si>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</si>
  <si>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</si>
  <si>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</si>
  <si>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</si>
  <si>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</si>
  <si>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</si>
  <si>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</si>
  <si>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</si>
  <si>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</si>
  <si>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</si>
  <si>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</si>
  <si>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</si>
  <si>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</si>
  <si>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</si>
  <si>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</si>
  <si>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</si>
  <si>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</si>
  <si>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</si>
  <si>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</si>
  <si>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</si>
  <si>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</si>
  <si>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</si>
  <si>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</si>
  <si>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</si>
  <si>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</si>
  <si>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</si>
  <si>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</si>
  <si>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</si>
  <si>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</si>
  <si>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</si>
  <si>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</si>
  <si>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</si>
  <si>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</si>
  <si>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</si>
  <si>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</si>
  <si>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</si>
  <si>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</si>
  <si>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</si>
  <si>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</si>
  <si>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</si>
  <si>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</si>
  <si>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</si>
  <si>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</si>
  <si>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</si>
  <si>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</si>
  <si>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</si>
  <si>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</si>
  <si>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</si>
  <si>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</si>
  <si>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</si>
  <si>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</si>
  <si>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</si>
  <si>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</si>
  <si>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</si>
  <si>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</si>
  <si>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</si>
  <si>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</si>
  <si>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</si>
  <si>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</si>
  <si>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</si>
  <si>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</si>
  <si>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</si>
  <si>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</si>
  <si>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</si>
  <si>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</si>
  <si>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</si>
  <si>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</si>
  <si>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</si>
  <si>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</si>
  <si>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</si>
  <si>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</si>
  <si>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</si>
  <si>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</si>
  <si>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</si>
  <si>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</si>
  <si>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</si>
  <si>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</si>
  <si>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</si>
  <si>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</si>
  <si>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</si>
  <si>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</si>
  <si>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</si>
  <si>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VRSN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</si>
  <si>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</si>
  <si>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</si>
  <si>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</si>
  <si>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</si>
  <si>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</si>
  <si>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</si>
  <si>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</si>
  <si>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</si>
  <si>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</si>
  <si>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</si>
  <si>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</si>
  <si>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</si>
  <si>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</si>
  <si>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</si>
  <si>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</si>
  <si>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</si>
  <si>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</si>
  <si>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</si>
  <si>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</si>
  <si>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</si>
  <si>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</si>
  <si>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</si>
  <si>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</si>
  <si>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</si>
  <si>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</si>
  <si>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</si>
  <si>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</si>
  <si>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</si>
  <si>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</si>
  <si>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</si>
  <si>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VRSN owner-FCF component DCF: base case (millions, USD)</t>
  </si>
  <si>
    <t xml:space="preserve">VRSN owner-FCF component DCF: bull case (millions, USD)</t>
  </si>
  <si>
    <t xml:space="preserve">VRSN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</si>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</sst>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288.32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2438.683</v>
      </c>
      <c r="S2" s="0" t="n">
        <v>501.784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850.509</v>
      </c>
      <c r="C3" s="0" t="n">
        <v>240.119</v>
      </c>
      <c r="F3" s="0" t="n">
        <v>-231.518</v>
      </c>
      <c r="G3" s="0" t="n">
        <v>-27.2211111228688</v>
      </c>
      <c r="I3" s="0" t="n">
        <v>-150.347</v>
      </c>
      <c r="J3" s="0" t="n">
        <v>-17.6772967716979</v>
      </c>
      <c r="K3" s="0" t="n">
        <v>-0.63</v>
      </c>
      <c r="L3" s="0" t="n">
        <v>473.537</v>
      </c>
      <c r="M3" s="0" t="n">
        <v>154.54</v>
      </c>
      <c r="N3" s="0" t="n">
        <v>318.997</v>
      </c>
      <c r="O3" s="0" t="n">
        <v>1969.061</v>
      </c>
      <c r="S3" s="0" t="n">
        <v>1376.722</v>
      </c>
      <c r="T3" s="0" t="n">
        <v>237.707</v>
      </c>
      <c r="U3" s="0" t="n">
        <v>90.914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558.896</v>
      </c>
      <c r="C4" s="0" t="n">
        <v>160.845</v>
      </c>
      <c r="F4" s="0" t="n">
        <v>-26.012</v>
      </c>
      <c r="G4" s="0" t="n">
        <v>-4.65417537430935</v>
      </c>
      <c r="I4" s="0" t="n">
        <v>-390.26</v>
      </c>
      <c r="J4" s="0" t="n">
        <v>-69.8269445478229</v>
      </c>
      <c r="K4" s="0" t="n">
        <v>-1.9</v>
      </c>
      <c r="L4" s="0" t="n">
        <v>484.034</v>
      </c>
      <c r="M4" s="0" t="n">
        <v>120.99</v>
      </c>
      <c r="N4" s="0" t="n">
        <v>363.044</v>
      </c>
      <c r="O4" s="0" t="n">
        <v>518.421</v>
      </c>
      <c r="P4" s="0" t="n">
        <v>2366.872</v>
      </c>
      <c r="Q4" s="0" t="n">
        <v>1848.451</v>
      </c>
      <c r="S4" s="0" t="n">
        <v>789.068</v>
      </c>
      <c r="T4" s="0" t="n">
        <v>200.602</v>
      </c>
      <c r="U4" s="0" t="n">
        <v>90.066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615.947</v>
      </c>
      <c r="C5" s="0" t="n">
        <v>166.705</v>
      </c>
      <c r="F5" s="0" t="n">
        <v>159.958</v>
      </c>
      <c r="G5" s="0" t="n">
        <v>25.9694421760314</v>
      </c>
      <c r="H5" s="0" t="n">
        <v>246.224</v>
      </c>
      <c r="I5" s="0" t="n">
        <v>249.239</v>
      </c>
      <c r="J5" s="0" t="n">
        <v>40.4643581347096</v>
      </c>
      <c r="K5" s="0" t="n">
        <v>1.28</v>
      </c>
      <c r="L5" s="0" t="n">
        <v>395.191</v>
      </c>
      <c r="M5" s="0" t="n">
        <v>116.876</v>
      </c>
      <c r="N5" s="0" t="n">
        <v>278.315</v>
      </c>
      <c r="O5" s="0" t="n">
        <v>598.664</v>
      </c>
      <c r="P5" s="0" t="n">
        <v>2470.144</v>
      </c>
      <c r="Q5" s="0" t="n">
        <v>1871.48</v>
      </c>
      <c r="S5" s="0" t="n">
        <v>1477.166</v>
      </c>
      <c r="T5" s="0" t="n">
        <v>192.575</v>
      </c>
      <c r="U5" s="0" t="n">
        <v>51.166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680.578</v>
      </c>
      <c r="C6" s="0" t="n">
        <v>156.676</v>
      </c>
      <c r="F6" s="0" t="n">
        <v>232.283</v>
      </c>
      <c r="G6" s="0" t="n">
        <v>34.1302539899909</v>
      </c>
      <c r="H6" s="0" t="n">
        <v>299.938</v>
      </c>
      <c r="I6" s="0" t="n">
        <v>833.854</v>
      </c>
      <c r="J6" s="0" t="n">
        <v>122.521445007038</v>
      </c>
      <c r="K6" s="0" t="n">
        <v>4.68</v>
      </c>
      <c r="L6" s="0" t="n">
        <v>215.206</v>
      </c>
      <c r="M6" s="0" t="n">
        <v>80.527</v>
      </c>
      <c r="N6" s="0" t="n">
        <v>134.679</v>
      </c>
      <c r="O6" s="0" t="n">
        <v>676.43</v>
      </c>
      <c r="P6" s="0" t="n">
        <v>2444.006</v>
      </c>
      <c r="Q6" s="0" t="n">
        <v>1767.576</v>
      </c>
      <c r="S6" s="0" t="n">
        <v>1559.628</v>
      </c>
      <c r="T6" s="0" t="n">
        <v>178.965</v>
      </c>
      <c r="U6" s="0" t="n">
        <v>52.178</v>
      </c>
      <c r="V6" s="0" t="n">
        <v>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771.978</v>
      </c>
      <c r="C7" s="0" t="n">
        <v>165.246</v>
      </c>
      <c r="F7" s="0" t="n">
        <v>329.389</v>
      </c>
      <c r="G7" s="0" t="n">
        <v>42.6681848446458</v>
      </c>
      <c r="H7" s="0" t="n">
        <v>385.095</v>
      </c>
      <c r="I7" s="0" t="n">
        <v>142.891</v>
      </c>
      <c r="J7" s="0" t="n">
        <v>18.5097243703836</v>
      </c>
      <c r="K7" s="0" t="n">
        <v>0.87</v>
      </c>
      <c r="L7" s="0" t="n">
        <v>335.901</v>
      </c>
      <c r="M7" s="0" t="n">
        <v>192.66</v>
      </c>
      <c r="N7" s="0" t="n">
        <v>143.241</v>
      </c>
      <c r="O7" s="0" t="n">
        <v>-88.107</v>
      </c>
      <c r="P7" s="0" t="n">
        <v>1856.179</v>
      </c>
      <c r="Q7" s="0" t="n">
        <v>1944.286</v>
      </c>
      <c r="R7" s="0" t="n">
        <v>100</v>
      </c>
      <c r="S7" s="0" t="n">
        <v>1313.349</v>
      </c>
      <c r="T7" s="0" t="n">
        <v>166.887</v>
      </c>
      <c r="U7" s="0" t="n">
        <v>43.272</v>
      </c>
      <c r="V7" s="0" t="n">
        <v>2.75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873.592</v>
      </c>
      <c r="C8" s="0" t="n">
        <v>167.6</v>
      </c>
      <c r="F8" s="0" t="n">
        <v>457.327</v>
      </c>
      <c r="G8" s="0" t="n">
        <v>52.3501817782214</v>
      </c>
      <c r="H8" s="0" t="n">
        <v>512.146</v>
      </c>
      <c r="I8" s="0" t="n">
        <v>320.032</v>
      </c>
      <c r="J8" s="0" t="n">
        <v>36.6340351102116</v>
      </c>
      <c r="K8" s="0" t="n">
        <v>2.04</v>
      </c>
      <c r="L8" s="0" t="n">
        <v>537.63</v>
      </c>
      <c r="M8" s="0" t="n">
        <v>53.023</v>
      </c>
      <c r="N8" s="0" t="n">
        <v>484.607</v>
      </c>
      <c r="O8" s="0" t="n">
        <v>-9.323</v>
      </c>
      <c r="P8" s="0" t="n">
        <v>2062.476</v>
      </c>
      <c r="Q8" s="0" t="n">
        <v>2071.799</v>
      </c>
      <c r="R8" s="0" t="n">
        <v>100</v>
      </c>
      <c r="S8" s="0" t="n">
        <v>130.736</v>
      </c>
      <c r="T8" s="0" t="n">
        <v>163.909</v>
      </c>
      <c r="U8" s="0" t="n">
        <v>33.362</v>
      </c>
      <c r="V8" s="0" t="n">
        <v>2.75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965.087</v>
      </c>
      <c r="C9" s="0" t="n">
        <v>187.013</v>
      </c>
      <c r="F9" s="0" t="n">
        <v>528.232</v>
      </c>
      <c r="G9" s="0" t="n">
        <v>54.7341327776667</v>
      </c>
      <c r="H9" s="0" t="n">
        <v>588.887</v>
      </c>
      <c r="I9" s="0" t="n">
        <v>544.45</v>
      </c>
      <c r="J9" s="0" t="n">
        <v>56.4146030357885</v>
      </c>
      <c r="K9" s="0" t="n">
        <v>3.77</v>
      </c>
      <c r="L9" s="0" t="n">
        <v>579.397</v>
      </c>
      <c r="M9" s="0" t="n">
        <v>65.594</v>
      </c>
      <c r="N9" s="0" t="n">
        <v>513.803</v>
      </c>
      <c r="O9" s="0" t="n">
        <v>-423.558</v>
      </c>
      <c r="P9" s="0" t="n">
        <v>2660.767</v>
      </c>
      <c r="Q9" s="0" t="n">
        <v>3084.325</v>
      </c>
      <c r="R9" s="0" t="n">
        <v>0</v>
      </c>
      <c r="S9" s="0" t="n">
        <v>339.223</v>
      </c>
      <c r="T9" s="0" t="n">
        <v>155.786</v>
      </c>
      <c r="U9" s="0" t="n">
        <v>36.649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1010.117</v>
      </c>
      <c r="C10" s="0" t="n">
        <v>188.425</v>
      </c>
      <c r="F10" s="0" t="n">
        <v>564.427</v>
      </c>
      <c r="G10" s="0" t="n">
        <v>55.8773884609407</v>
      </c>
      <c r="H10" s="0" t="n">
        <v>628.117</v>
      </c>
      <c r="I10" s="0" t="n">
        <v>355.26</v>
      </c>
      <c r="J10" s="0" t="n">
        <v>35.1701832559991</v>
      </c>
      <c r="K10" s="0" t="n">
        <v>2.8</v>
      </c>
      <c r="L10" s="0" t="n">
        <v>600.949</v>
      </c>
      <c r="M10" s="0" t="n">
        <v>39.327</v>
      </c>
      <c r="N10" s="0" t="n">
        <v>561.622</v>
      </c>
      <c r="O10" s="0" t="n">
        <v>-883.466</v>
      </c>
      <c r="P10" s="0" t="n">
        <v>1901.15</v>
      </c>
      <c r="Q10" s="0" t="n">
        <v>2784.616</v>
      </c>
      <c r="S10" s="0" t="n">
        <v>191.608</v>
      </c>
      <c r="T10" s="0" t="n">
        <v>140.895</v>
      </c>
      <c r="U10" s="0" t="n">
        <v>43.977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1059.366</v>
      </c>
      <c r="C11" s="0" t="n">
        <v>192.788</v>
      </c>
      <c r="F11" s="0" t="n">
        <v>605.946</v>
      </c>
      <c r="G11" s="0" t="n">
        <v>57.198928415675</v>
      </c>
      <c r="H11" s="0" t="n">
        <v>667.437</v>
      </c>
      <c r="I11" s="0" t="n">
        <v>375.236</v>
      </c>
      <c r="J11" s="0" t="n">
        <v>35.4208082947725</v>
      </c>
      <c r="K11" s="0" t="n">
        <v>3.29</v>
      </c>
      <c r="L11" s="0" t="n">
        <v>669.946</v>
      </c>
      <c r="M11" s="0" t="n">
        <v>40.656</v>
      </c>
      <c r="N11" s="0" t="n">
        <v>629.29</v>
      </c>
      <c r="O11" s="0" t="n">
        <v>-1070.447</v>
      </c>
      <c r="P11" s="0" t="n">
        <v>2357.737</v>
      </c>
      <c r="Q11" s="0" t="n">
        <v>3428.184</v>
      </c>
      <c r="S11" s="0" t="n">
        <v>228.659</v>
      </c>
      <c r="T11" s="0" t="n">
        <v>133.031</v>
      </c>
      <c r="U11" s="0" t="n">
        <v>46.075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1142.167</v>
      </c>
      <c r="C12" s="0" t="n">
        <v>198.242</v>
      </c>
      <c r="F12" s="0" t="n">
        <v>686.572</v>
      </c>
      <c r="G12" s="0" t="n">
        <v>60.1113497413251</v>
      </c>
      <c r="H12" s="0" t="n">
        <v>744.739</v>
      </c>
      <c r="I12" s="0" t="n">
        <v>440.645</v>
      </c>
      <c r="J12" s="0" t="n">
        <v>38.5797348373749</v>
      </c>
      <c r="K12" s="0" t="n">
        <v>4.12</v>
      </c>
      <c r="L12" s="0" t="n">
        <v>693.007</v>
      </c>
      <c r="M12" s="0" t="n">
        <v>26.574</v>
      </c>
      <c r="N12" s="0" t="n">
        <v>666.433</v>
      </c>
      <c r="O12" s="0" t="n">
        <v>-1200.595</v>
      </c>
      <c r="P12" s="0" t="n">
        <v>2334.572</v>
      </c>
      <c r="Q12" s="0" t="n">
        <v>3535.167</v>
      </c>
      <c r="S12" s="0" t="n">
        <v>231.945</v>
      </c>
      <c r="T12" s="0" t="n">
        <v>128.833</v>
      </c>
      <c r="U12" s="0" t="n">
        <v>50.044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1165.095</v>
      </c>
      <c r="C13" s="0" t="n">
        <v>193.326</v>
      </c>
      <c r="F13" s="0" t="n">
        <v>707.722</v>
      </c>
      <c r="G13" s="0" t="n">
        <v>60.7437161776507</v>
      </c>
      <c r="H13" s="0" t="n">
        <v>757.6</v>
      </c>
      <c r="I13" s="0" t="n">
        <v>457.248</v>
      </c>
      <c r="J13" s="0" t="n">
        <v>39.2455550834911</v>
      </c>
      <c r="K13" s="0" t="n">
        <v>4.56</v>
      </c>
      <c r="L13" s="0" t="n">
        <v>702.761</v>
      </c>
      <c r="M13" s="0" t="n">
        <v>49.499</v>
      </c>
      <c r="N13" s="0" t="n">
        <v>653.262</v>
      </c>
      <c r="O13" s="0" t="n">
        <v>-1260.271</v>
      </c>
      <c r="P13" s="0" t="n">
        <v>2941.188</v>
      </c>
      <c r="Q13" s="0" t="n">
        <v>4201.459</v>
      </c>
      <c r="S13" s="0" t="n">
        <v>465.851</v>
      </c>
      <c r="T13" s="0" t="n">
        <v>124.18</v>
      </c>
      <c r="U13" s="0" t="n">
        <v>52.907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1214.969</v>
      </c>
      <c r="C14" s="0" t="n">
        <v>192.134</v>
      </c>
      <c r="F14" s="0" t="n">
        <v>767.392</v>
      </c>
      <c r="G14" s="0" t="n">
        <v>63.1614469175757</v>
      </c>
      <c r="H14" s="0" t="n">
        <v>815.759</v>
      </c>
      <c r="I14" s="0" t="n">
        <v>582.489</v>
      </c>
      <c r="J14" s="0" t="n">
        <v>47.9427047109844</v>
      </c>
      <c r="K14" s="0" t="n">
        <v>5.13</v>
      </c>
      <c r="L14" s="0" t="n">
        <v>697.767</v>
      </c>
      <c r="M14" s="0" t="n">
        <v>37.007</v>
      </c>
      <c r="N14" s="0" t="n">
        <v>660.76</v>
      </c>
      <c r="O14" s="0" t="n">
        <v>-1385.474</v>
      </c>
      <c r="P14" s="0" t="n">
        <v>1914.504</v>
      </c>
      <c r="Q14" s="0" t="n">
        <v>3299.978</v>
      </c>
      <c r="S14" s="0" t="n">
        <v>357.415</v>
      </c>
      <c r="T14" s="0" t="n">
        <v>122.661</v>
      </c>
      <c r="U14" s="0" t="n">
        <v>52.504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1231.661</v>
      </c>
      <c r="C15" s="0" t="n">
        <v>180.467</v>
      </c>
      <c r="F15" s="0" t="n">
        <v>806.127</v>
      </c>
      <c r="G15" s="0" t="n">
        <v>65.4503958475587</v>
      </c>
      <c r="H15" s="0" t="n">
        <v>852.457</v>
      </c>
      <c r="I15" s="0" t="n">
        <v>612.299</v>
      </c>
      <c r="J15" s="0" t="n">
        <v>49.7132733763592</v>
      </c>
      <c r="K15" s="0" t="n">
        <v>5.17</v>
      </c>
      <c r="L15" s="0" t="n">
        <v>753.892</v>
      </c>
      <c r="M15" s="0" t="n">
        <v>40.316</v>
      </c>
      <c r="N15" s="0" t="n">
        <v>713.576</v>
      </c>
      <c r="O15" s="0" t="n">
        <v>-1490.1</v>
      </c>
      <c r="P15" s="0" t="n">
        <v>1854.009</v>
      </c>
      <c r="Q15" s="0" t="n">
        <v>3344.109</v>
      </c>
      <c r="S15" s="0" t="n">
        <v>508.196</v>
      </c>
      <c r="T15" s="0" t="n">
        <v>118.968</v>
      </c>
      <c r="U15" s="0" t="n">
        <v>50.626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1265.1</v>
      </c>
      <c r="C16" s="0" t="n">
        <v>180.2</v>
      </c>
      <c r="F16" s="0" t="n">
        <v>824.2</v>
      </c>
      <c r="G16" s="0" t="n">
        <v>65.1490000790451</v>
      </c>
      <c r="H16" s="0" t="n">
        <v>870.6</v>
      </c>
      <c r="I16" s="0" t="n">
        <v>814.9</v>
      </c>
      <c r="J16" s="0" t="n">
        <v>64.413880325666</v>
      </c>
      <c r="K16" s="0" t="n">
        <v>7.08</v>
      </c>
      <c r="L16" s="0" t="n">
        <v>730.2</v>
      </c>
      <c r="M16" s="0" t="n">
        <v>43.4</v>
      </c>
      <c r="N16" s="0" t="n">
        <v>686.8</v>
      </c>
      <c r="O16" s="0" t="n">
        <v>-1390.198</v>
      </c>
      <c r="P16" s="0" t="n">
        <v>1766.91</v>
      </c>
      <c r="Q16" s="0" t="n">
        <v>3157.108</v>
      </c>
      <c r="S16" s="0" t="n">
        <v>401.194</v>
      </c>
      <c r="T16" s="0" t="n">
        <v>115.3</v>
      </c>
      <c r="U16" s="0" t="n">
        <v>48.2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1327.6</v>
      </c>
      <c r="C17" s="0" t="n">
        <v>191.9</v>
      </c>
      <c r="F17" s="0" t="n">
        <v>866.8</v>
      </c>
      <c r="G17" s="0" t="n">
        <v>65.2907502259717</v>
      </c>
      <c r="H17" s="0" t="n">
        <v>914.7</v>
      </c>
      <c r="I17" s="0" t="n">
        <v>784.8</v>
      </c>
      <c r="J17" s="0" t="n">
        <v>59.114191021392</v>
      </c>
      <c r="K17" s="0" t="n">
        <v>7.01</v>
      </c>
      <c r="L17" s="0" t="n">
        <v>807.2</v>
      </c>
      <c r="M17" s="0" t="n">
        <v>53</v>
      </c>
      <c r="N17" s="0" t="n">
        <v>754.2</v>
      </c>
      <c r="O17" s="0" t="n">
        <v>-1260.5</v>
      </c>
      <c r="P17" s="0" t="n">
        <v>1983.8</v>
      </c>
      <c r="Q17" s="0" t="n">
        <v>3244.3</v>
      </c>
      <c r="S17" s="0" t="n">
        <v>223.5</v>
      </c>
      <c r="T17" s="0" t="n">
        <v>112.2</v>
      </c>
      <c r="U17" s="0" t="n">
        <v>53.4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1424.9</v>
      </c>
      <c r="C18" s="0" t="n">
        <v>200.7</v>
      </c>
      <c r="F18" s="0" t="n">
        <v>943.1</v>
      </c>
      <c r="G18" s="0" t="n">
        <v>66.1871008491824</v>
      </c>
      <c r="H18" s="0" t="n">
        <v>990</v>
      </c>
      <c r="I18" s="0" t="n">
        <v>673.8</v>
      </c>
      <c r="J18" s="0" t="n">
        <v>47.2875289494</v>
      </c>
      <c r="K18" s="0" t="n">
        <v>6.24</v>
      </c>
      <c r="L18" s="0" t="n">
        <v>831.1</v>
      </c>
      <c r="M18" s="0" t="n">
        <v>27.4</v>
      </c>
      <c r="N18" s="0" t="n">
        <v>803.7</v>
      </c>
      <c r="O18" s="0" t="n">
        <v>-1562.2</v>
      </c>
      <c r="P18" s="0" t="n">
        <v>1733.4</v>
      </c>
      <c r="Q18" s="0" t="n">
        <v>3295.6</v>
      </c>
      <c r="S18" s="0" t="n">
        <v>373.6</v>
      </c>
      <c r="T18" s="0" t="n">
        <v>108</v>
      </c>
      <c r="U18" s="0" t="n">
        <v>58.6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1493.1</v>
      </c>
      <c r="C19" s="0" t="n">
        <v>197.3</v>
      </c>
      <c r="F19" s="0" t="n">
        <v>1000.6</v>
      </c>
      <c r="G19" s="0" t="n">
        <v>67.0149353693658</v>
      </c>
      <c r="H19" s="0" t="n">
        <v>1044.7</v>
      </c>
      <c r="I19" s="0" t="n">
        <v>817.6</v>
      </c>
      <c r="J19" s="0" t="n">
        <v>54.7585560243788</v>
      </c>
      <c r="L19" s="0" t="n">
        <v>853.8</v>
      </c>
      <c r="M19" s="0" t="n">
        <v>45.8</v>
      </c>
      <c r="N19" s="0" t="n">
        <v>808</v>
      </c>
      <c r="O19" s="0" t="n">
        <v>-1581</v>
      </c>
      <c r="P19" s="0" t="n">
        <v>1749</v>
      </c>
      <c r="Q19" s="0" t="n">
        <v>3330</v>
      </c>
      <c r="S19" s="0" t="n">
        <v>240.1</v>
      </c>
      <c r="T19" s="0" t="n">
        <v>103.5</v>
      </c>
      <c r="U19" s="0" t="n">
        <v>59.7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1557.4</v>
      </c>
      <c r="C20" s="0" t="n">
        <v>191.4</v>
      </c>
      <c r="F20" s="0" t="n">
        <v>1058.2</v>
      </c>
      <c r="G20" s="0" t="n">
        <v>67.9465776293823</v>
      </c>
      <c r="H20" s="0" t="n">
        <v>1095.1</v>
      </c>
      <c r="I20" s="0" t="n">
        <v>785.7</v>
      </c>
      <c r="J20" s="0" t="n">
        <v>50.4494670604854</v>
      </c>
      <c r="L20" s="0" t="n">
        <v>902.6</v>
      </c>
      <c r="M20" s="0" t="n">
        <v>28.1</v>
      </c>
      <c r="N20" s="0" t="n">
        <v>874.5</v>
      </c>
      <c r="O20" s="0" t="n">
        <v>-1957.9</v>
      </c>
      <c r="P20" s="0" t="n">
        <v>1406.5</v>
      </c>
      <c r="Q20" s="0" t="n">
        <v>3364.4</v>
      </c>
      <c r="S20" s="0" t="n">
        <v>206.7</v>
      </c>
      <c r="T20" s="0" t="n">
        <v>98.2</v>
      </c>
      <c r="U20" s="0" t="n">
        <v>61.1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1656.6</v>
      </c>
      <c r="C21" s="0" t="n">
        <v>196.3</v>
      </c>
      <c r="F21" s="0" t="n">
        <v>1121</v>
      </c>
      <c r="G21" s="0" t="n">
        <v>67.6687190631414</v>
      </c>
      <c r="H21" s="0" t="n">
        <v>1152.2</v>
      </c>
      <c r="I21" s="0" t="n">
        <v>825.7</v>
      </c>
      <c r="J21" s="0" t="n">
        <v>49.8430520342871</v>
      </c>
      <c r="L21" s="0" t="n">
        <v>1091.1</v>
      </c>
      <c r="M21" s="0" t="n">
        <v>22.8</v>
      </c>
      <c r="N21" s="0" t="n">
        <v>1068.3</v>
      </c>
      <c r="O21" s="0" t="n">
        <v>-2154.2</v>
      </c>
      <c r="P21" s="0" t="n">
        <v>1325.9</v>
      </c>
      <c r="Q21" s="0" t="n">
        <v>3480.1</v>
      </c>
      <c r="S21" s="0" t="n">
        <v>307.9</v>
      </c>
      <c r="T21" s="0" t="n">
        <v>93.8</v>
      </c>
      <c r="U21" s="0" t="n">
        <v>69.7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288.32</v>
      </c>
    </row>
    <row r="3" customFormat="false" ht="15" hidden="false" customHeight="false" outlineLevel="0" collapsed="false">
      <c r="A3" s="0" t="s">
        <v>86</v>
      </c>
      <c r="B3" s="3" t="n">
        <v>90.7</v>
      </c>
    </row>
    <row r="4" customFormat="false" ht="15" hidden="false" customHeight="false" outlineLevel="0" collapsed="false">
      <c r="A4" s="0" t="s">
        <v>87</v>
      </c>
      <c r="B4" s="3" t="n">
        <v>1298.7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1656.6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5.4</v>
      </c>
      <c r="D13" s="3" t="n">
        <v>4</v>
      </c>
      <c r="E13" s="3" t="n">
        <v>3</v>
      </c>
      <c r="F13" s="3" t="n">
        <v>3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73.8</v>
      </c>
      <c r="D14" s="3" t="n">
        <v>73.8</v>
      </c>
      <c r="E14" s="3" t="n">
        <v>73.5</v>
      </c>
      <c r="F14" s="3" t="n">
        <v>73.5</v>
      </c>
      <c r="G14" s="3" t="n">
        <v>73</v>
      </c>
      <c r="H14" s="3" t="n">
        <v>73</v>
      </c>
      <c r="I14" s="3" t="n">
        <v>73</v>
      </c>
      <c r="J14" s="3" t="n">
        <v>73</v>
      </c>
      <c r="K14" s="3" t="n">
        <v>73</v>
      </c>
      <c r="L14" s="3" t="n">
        <v>73</v>
      </c>
    </row>
    <row r="15" customFormat="false" ht="15" hidden="false" customHeight="false" outlineLevel="0" collapsed="false">
      <c r="A15" s="0" t="s">
        <v>108</v>
      </c>
      <c r="C15" s="3" t="n">
        <v>5.9</v>
      </c>
      <c r="D15" s="3" t="n">
        <v>5.9</v>
      </c>
      <c r="E15" s="3" t="n">
        <v>5.9</v>
      </c>
      <c r="F15" s="3" t="n">
        <v>5.9</v>
      </c>
      <c r="G15" s="3" t="n">
        <v>5.9</v>
      </c>
      <c r="H15" s="3" t="n">
        <v>5.9</v>
      </c>
      <c r="I15" s="3" t="n">
        <v>5.9</v>
      </c>
      <c r="J15" s="3" t="n">
        <v>5.9</v>
      </c>
      <c r="K15" s="3" t="n">
        <v>5.9</v>
      </c>
      <c r="L15" s="3" t="n">
        <v>5.9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1.6</v>
      </c>
      <c r="D17" s="3" t="n">
        <v>1.6</v>
      </c>
      <c r="E17" s="3" t="n">
        <v>1.6</v>
      </c>
      <c r="F17" s="3" t="n">
        <v>1.6</v>
      </c>
      <c r="G17" s="3" t="n">
        <v>1.6</v>
      </c>
      <c r="H17" s="3" t="n">
        <v>1.6</v>
      </c>
      <c r="I17" s="3" t="n">
        <v>1.6</v>
      </c>
      <c r="J17" s="3" t="n">
        <v>1.6</v>
      </c>
      <c r="K17" s="3" t="n">
        <v>1.6</v>
      </c>
      <c r="L17" s="3" t="n">
        <v>1.6</v>
      </c>
    </row>
    <row r="18" customFormat="false" ht="15" hidden="false" customHeight="false" outlineLevel="0" collapsed="false">
      <c r="A18" s="0" t="s">
        <v>111</v>
      </c>
      <c r="C18" s="3" t="n">
        <v>3.4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22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70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5.6</v>
      </c>
      <c r="D27" s="3" t="n">
        <v>8.5</v>
      </c>
      <c r="E27" s="3" t="n">
        <v>8.5</v>
      </c>
      <c r="F27" s="3" t="n">
        <v>8</v>
      </c>
      <c r="G27" s="3" t="n">
        <v>7</v>
      </c>
      <c r="H27" s="3" t="n">
        <v>4.5</v>
      </c>
      <c r="I27" s="3" t="n">
        <v>4</v>
      </c>
      <c r="J27" s="3" t="n">
        <v>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107</v>
      </c>
      <c r="C28" s="3" t="n">
        <v>74</v>
      </c>
      <c r="D28" s="3" t="n">
        <v>75</v>
      </c>
      <c r="E28" s="3" t="n">
        <v>75.8</v>
      </c>
      <c r="F28" s="3" t="n">
        <v>76.5</v>
      </c>
      <c r="G28" s="3" t="n">
        <v>77</v>
      </c>
      <c r="H28" s="3" t="n">
        <v>77</v>
      </c>
      <c r="I28" s="3" t="n">
        <v>77</v>
      </c>
      <c r="J28" s="3" t="n">
        <v>77</v>
      </c>
      <c r="K28" s="3" t="n">
        <v>77</v>
      </c>
      <c r="L28" s="3" t="n">
        <v>77</v>
      </c>
    </row>
    <row r="29" customFormat="false" ht="15" hidden="false" customHeight="false" outlineLevel="0" collapsed="false">
      <c r="A29" s="0" t="s">
        <v>108</v>
      </c>
      <c r="C29" s="3" t="n">
        <v>5.9</v>
      </c>
      <c r="D29" s="3" t="n">
        <v>5.7</v>
      </c>
      <c r="E29" s="3" t="n">
        <v>5.5</v>
      </c>
      <c r="F29" s="3" t="n">
        <v>5.3</v>
      </c>
      <c r="G29" s="3" t="n">
        <v>5.1</v>
      </c>
      <c r="H29" s="3" t="n">
        <v>5</v>
      </c>
      <c r="I29" s="3" t="n">
        <v>5</v>
      </c>
      <c r="J29" s="3" t="n">
        <v>5</v>
      </c>
      <c r="K29" s="3" t="n">
        <v>5</v>
      </c>
      <c r="L29" s="3" t="n">
        <v>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1.6</v>
      </c>
      <c r="D31" s="3" t="n">
        <v>1.6</v>
      </c>
      <c r="E31" s="3" t="n">
        <v>1.6</v>
      </c>
      <c r="F31" s="3" t="n">
        <v>1.6</v>
      </c>
      <c r="G31" s="3" t="n">
        <v>1.6</v>
      </c>
      <c r="H31" s="3" t="n">
        <v>1.6</v>
      </c>
      <c r="I31" s="3" t="n">
        <v>1.6</v>
      </c>
      <c r="J31" s="3" t="n">
        <v>1.6</v>
      </c>
      <c r="K31" s="3" t="n">
        <v>1.6</v>
      </c>
      <c r="L31" s="3" t="n">
        <v>1.6</v>
      </c>
    </row>
    <row r="32" customFormat="false" ht="15" hidden="false" customHeight="false" outlineLevel="0" collapsed="false">
      <c r="A32" s="0" t="s">
        <v>111</v>
      </c>
      <c r="C32" s="3" t="n">
        <v>3.4</v>
      </c>
      <c r="D32" s="3" t="n">
        <v>2.8</v>
      </c>
      <c r="E32" s="3" t="n">
        <v>2.5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21.5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70</v>
      </c>
    </row>
    <row r="38" customFormat="false" ht="15" hidden="false" customHeight="false" outlineLevel="0" collapsed="false">
      <c r="A38" s="0" t="s">
        <v>117</v>
      </c>
      <c r="B38" s="3" t="n">
        <v>0.55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5.8</v>
      </c>
      <c r="D41" s="3" t="n">
        <v>10</v>
      </c>
      <c r="E41" s="3" t="n">
        <v>10</v>
      </c>
      <c r="F41" s="3" t="n">
        <v>9.5</v>
      </c>
      <c r="G41" s="3" t="n">
        <v>8.5</v>
      </c>
      <c r="H41" s="3" t="n">
        <v>6</v>
      </c>
      <c r="I41" s="3" t="n">
        <v>5.5</v>
      </c>
      <c r="J41" s="3" t="n">
        <v>6.5</v>
      </c>
      <c r="K41" s="3" t="n">
        <v>6.5</v>
      </c>
      <c r="L41" s="3" t="n">
        <v>6</v>
      </c>
    </row>
    <row r="42" customFormat="false" ht="15" hidden="false" customHeight="false" outlineLevel="0" collapsed="false">
      <c r="A42" s="0" t="s">
        <v>107</v>
      </c>
      <c r="C42" s="3" t="n">
        <v>74.2</v>
      </c>
      <c r="D42" s="3" t="n">
        <v>75.5</v>
      </c>
      <c r="E42" s="3" t="n">
        <v>76.7</v>
      </c>
      <c r="F42" s="3" t="n">
        <v>77.8</v>
      </c>
      <c r="G42" s="3" t="n">
        <v>78.5</v>
      </c>
      <c r="H42" s="3" t="n">
        <v>79</v>
      </c>
      <c r="I42" s="3" t="n">
        <v>79</v>
      </c>
      <c r="J42" s="3" t="n">
        <v>79</v>
      </c>
      <c r="K42" s="3" t="n">
        <v>79</v>
      </c>
      <c r="L42" s="3" t="n">
        <v>79</v>
      </c>
    </row>
    <row r="43" customFormat="false" ht="15" hidden="false" customHeight="false" outlineLevel="0" collapsed="false">
      <c r="A43" s="0" t="s">
        <v>108</v>
      </c>
      <c r="C43" s="3" t="n">
        <v>5.9</v>
      </c>
      <c r="D43" s="3" t="n">
        <v>5.6</v>
      </c>
      <c r="E43" s="3" t="n">
        <v>5.3</v>
      </c>
      <c r="F43" s="3" t="n">
        <v>5</v>
      </c>
      <c r="G43" s="3" t="n">
        <v>4.8</v>
      </c>
      <c r="H43" s="3" t="n">
        <v>4.7</v>
      </c>
      <c r="I43" s="3" t="n">
        <v>4.6</v>
      </c>
      <c r="J43" s="3" t="n">
        <v>4.5</v>
      </c>
      <c r="K43" s="3" t="n">
        <v>4.5</v>
      </c>
      <c r="L43" s="3" t="n">
        <v>4.5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1.6</v>
      </c>
      <c r="D45" s="3" t="n">
        <v>1.6</v>
      </c>
      <c r="E45" s="3" t="n">
        <v>1.6</v>
      </c>
      <c r="F45" s="3" t="n">
        <v>1.6</v>
      </c>
      <c r="G45" s="3" t="n">
        <v>1.6</v>
      </c>
      <c r="H45" s="3" t="n">
        <v>1.6</v>
      </c>
      <c r="I45" s="3" t="n">
        <v>1.6</v>
      </c>
      <c r="J45" s="3" t="n">
        <v>1.6</v>
      </c>
      <c r="K45" s="3" t="n">
        <v>1.6</v>
      </c>
      <c r="L45" s="3" t="n">
        <v>1.6</v>
      </c>
    </row>
    <row r="46" customFormat="false" ht="15" hidden="false" customHeight="false" outlineLevel="0" collapsed="false">
      <c r="A46" s="0" t="s">
        <v>111</v>
      </c>
      <c r="C46" s="3" t="n">
        <v>3.4</v>
      </c>
      <c r="D46" s="3" t="n">
        <v>2.8</v>
      </c>
      <c r="E46" s="3" t="n">
        <v>2.5</v>
      </c>
      <c r="F46" s="3" t="n">
        <v>2.4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21.5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70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5.4</v>
      </c>
      <c r="D5" s="4" t="n">
        <f aca="false">Assumptions!D13</f>
        <v>4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1656.6</v>
      </c>
      <c r="C6" s="0" t="n">
        <f aca="false">B6*(1+C5/100)</f>
        <v>1746.0564</v>
      </c>
      <c r="D6" s="0" t="n">
        <f aca="false">C6*(1+D5/100)</f>
        <v>1815.898656</v>
      </c>
      <c r="E6" s="0" t="n">
        <f aca="false">D6*(1+E5/100)</f>
        <v>1870.37561568</v>
      </c>
      <c r="F6" s="0" t="n">
        <f aca="false">E6*(1+F5/100)</f>
        <v>1926.4868841504</v>
      </c>
      <c r="G6" s="0" t="n">
        <f aca="false">F6*(1+G5/100)</f>
        <v>1974.64905625416</v>
      </c>
      <c r="H6" s="0" t="n">
        <f aca="false">G6*(1+H5/100)</f>
        <v>2024.01528266051</v>
      </c>
      <c r="I6" s="0" t="n">
        <f aca="false">H6*(1+I5/100)</f>
        <v>2064.49558831372</v>
      </c>
      <c r="J6" s="0" t="n">
        <f aca="false">I6*(1+J5/100)</f>
        <v>2105.78550008</v>
      </c>
      <c r="K6" s="0" t="n">
        <f aca="false">J6*(1+K5/100)</f>
        <v>2147.9012100816</v>
      </c>
      <c r="L6" s="0" t="n">
        <f aca="false">K6*(1+L5/100)</f>
        <v>2190.85923428323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73.8</v>
      </c>
      <c r="D7" s="4" t="n">
        <f aca="false">Assumptions!D14</f>
        <v>73.8</v>
      </c>
      <c r="E7" s="4" t="n">
        <f aca="false">Assumptions!E14</f>
        <v>73.5</v>
      </c>
      <c r="F7" s="4" t="n">
        <f aca="false">Assumptions!F14</f>
        <v>73.5</v>
      </c>
      <c r="G7" s="4" t="n">
        <f aca="false">Assumptions!G14</f>
        <v>73</v>
      </c>
      <c r="H7" s="4" t="n">
        <f aca="false">Assumptions!H14</f>
        <v>73</v>
      </c>
      <c r="I7" s="4" t="n">
        <f aca="false">Assumptions!I14</f>
        <v>73</v>
      </c>
      <c r="J7" s="4" t="n">
        <f aca="false">Assumptions!J14</f>
        <v>73</v>
      </c>
      <c r="K7" s="4" t="n">
        <f aca="false">Assumptions!K14</f>
        <v>73</v>
      </c>
      <c r="L7" s="4" t="n">
        <f aca="false">Assumptions!L14</f>
        <v>73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1288.5896232</v>
      </c>
      <c r="D8" s="0" t="n">
        <f aca="false">D6*D7/100</f>
        <v>1340.133208128</v>
      </c>
      <c r="E8" s="0" t="n">
        <f aca="false">E6*E7/100</f>
        <v>1374.7260775248</v>
      </c>
      <c r="F8" s="0" t="n">
        <f aca="false">F6*F7/100</f>
        <v>1415.96785985054</v>
      </c>
      <c r="G8" s="0" t="n">
        <f aca="false">G6*G7/100</f>
        <v>1441.49381106554</v>
      </c>
      <c r="H8" s="0" t="n">
        <f aca="false">H6*H7/100</f>
        <v>1477.53115634218</v>
      </c>
      <c r="I8" s="0" t="n">
        <f aca="false">I6*I7/100</f>
        <v>1507.08177946902</v>
      </c>
      <c r="J8" s="0" t="n">
        <f aca="false">J6*J7/100</f>
        <v>1537.2234150584</v>
      </c>
      <c r="K8" s="0" t="n">
        <f aca="false">K6*K7/100</f>
        <v>1567.96788335957</v>
      </c>
      <c r="L8" s="0" t="n">
        <f aca="false">L6*L7/100</f>
        <v>1599.32724102676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5.9</v>
      </c>
      <c r="D9" s="4" t="n">
        <f aca="false">Assumptions!D15</f>
        <v>5.9</v>
      </c>
      <c r="E9" s="4" t="n">
        <f aca="false">Assumptions!E15</f>
        <v>5.9</v>
      </c>
      <c r="F9" s="4" t="n">
        <f aca="false">Assumptions!F15</f>
        <v>5.9</v>
      </c>
      <c r="G9" s="4" t="n">
        <f aca="false">Assumptions!G15</f>
        <v>5.9</v>
      </c>
      <c r="H9" s="4" t="n">
        <f aca="false">Assumptions!H15</f>
        <v>5.9</v>
      </c>
      <c r="I9" s="4" t="n">
        <f aca="false">Assumptions!I15</f>
        <v>5.9</v>
      </c>
      <c r="J9" s="4" t="n">
        <f aca="false">Assumptions!J15</f>
        <v>5.9</v>
      </c>
      <c r="K9" s="4" t="n">
        <f aca="false">Assumptions!K15</f>
        <v>5.9</v>
      </c>
      <c r="L9" s="4" t="n">
        <f aca="false">Assumptions!L15</f>
        <v>5.9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-103.0173276</v>
      </c>
      <c r="D10" s="0" t="n">
        <f aca="false">-D6*D9/100</f>
        <v>-107.138020704</v>
      </c>
      <c r="E10" s="0" t="n">
        <f aca="false">-E6*E9/100</f>
        <v>-110.35216132512</v>
      </c>
      <c r="F10" s="0" t="n">
        <f aca="false">-F6*F9/100</f>
        <v>-113.662726164874</v>
      </c>
      <c r="G10" s="0" t="n">
        <f aca="false">-G6*G9/100</f>
        <v>-116.504294318995</v>
      </c>
      <c r="H10" s="0" t="n">
        <f aca="false">-H6*H9/100</f>
        <v>-119.41690167697</v>
      </c>
      <c r="I10" s="0" t="n">
        <f aca="false">-I6*I9/100</f>
        <v>-121.80523971051</v>
      </c>
      <c r="J10" s="0" t="n">
        <f aca="false">-J6*J9/100</f>
        <v>-124.24134450472</v>
      </c>
      <c r="K10" s="0" t="n">
        <f aca="false">-K6*K9/100</f>
        <v>-126.726171394814</v>
      </c>
      <c r="L10" s="0" t="n">
        <f aca="false">-L6*L9/100</f>
        <v>-129.260694822711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1185.5722956</v>
      </c>
      <c r="D11" s="0" t="n">
        <f aca="false">D8+D10+D24</f>
        <v>1232.995187424</v>
      </c>
      <c r="E11" s="0" t="n">
        <f aca="false">E8+E10+E24</f>
        <v>1264.37391619968</v>
      </c>
      <c r="F11" s="0" t="n">
        <f aca="false">F8+F10+F24</f>
        <v>1302.30513368567</v>
      </c>
      <c r="G11" s="0" t="n">
        <f aca="false">G8+G10+G24</f>
        <v>1324.98951674654</v>
      </c>
      <c r="H11" s="0" t="n">
        <f aca="false">H8+H10+H24</f>
        <v>1358.1142546652</v>
      </c>
      <c r="I11" s="0" t="n">
        <f aca="false">I8+I10+I24</f>
        <v>1385.27653975851</v>
      </c>
      <c r="J11" s="0" t="n">
        <f aca="false">J8+J10+J24</f>
        <v>1412.98207055368</v>
      </c>
      <c r="K11" s="0" t="n">
        <f aca="false">K8+K10+K24</f>
        <v>1441.24171196475</v>
      </c>
      <c r="L11" s="0" t="n">
        <f aca="false">L8+L10+L24</f>
        <v>1470.06654620405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-27.9369024</v>
      </c>
      <c r="D12" s="4" t="n">
        <f aca="false">-D6*Assumptions!D17/100</f>
        <v>-29.054378496</v>
      </c>
      <c r="E12" s="4" t="n">
        <f aca="false">-E6*Assumptions!E17/100</f>
        <v>-29.92600985088</v>
      </c>
      <c r="F12" s="4" t="n">
        <f aca="false">-F6*Assumptions!F17/100</f>
        <v>-30.8237901464064</v>
      </c>
      <c r="G12" s="4" t="n">
        <f aca="false">-G6*Assumptions!G17/100</f>
        <v>-31.5943849000666</v>
      </c>
      <c r="H12" s="4" t="n">
        <f aca="false">-H6*Assumptions!H17/100</f>
        <v>-32.3842445225682</v>
      </c>
      <c r="I12" s="4" t="n">
        <f aca="false">-I6*Assumptions!I17/100</f>
        <v>-33.0319294130196</v>
      </c>
      <c r="J12" s="4" t="n">
        <f aca="false">-J6*Assumptions!J17/100</f>
        <v>-33.69256800128</v>
      </c>
      <c r="K12" s="4" t="n">
        <f aca="false">-K6*Assumptions!K17/100</f>
        <v>-34.3664193613056</v>
      </c>
      <c r="L12" s="4" t="n">
        <f aca="false">-L6*Assumptions!L17/100</f>
        <v>-35.0537477485317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1157.6353932</v>
      </c>
      <c r="D13" s="0" t="n">
        <f aca="false">D11+D12</f>
        <v>1203.940808928</v>
      </c>
      <c r="E13" s="0" t="n">
        <f aca="false">E11+E12</f>
        <v>1234.4479063488</v>
      </c>
      <c r="F13" s="0" t="n">
        <f aca="false">F11+F12</f>
        <v>1271.48134353926</v>
      </c>
      <c r="G13" s="0" t="n">
        <f aca="false">G11+G12</f>
        <v>1293.39513184648</v>
      </c>
      <c r="H13" s="0" t="n">
        <f aca="false">H11+H12</f>
        <v>1325.73001014264</v>
      </c>
      <c r="I13" s="0" t="n">
        <f aca="false">I11+I12</f>
        <v>1352.24461034549</v>
      </c>
      <c r="J13" s="0" t="n">
        <f aca="false">J11+J12</f>
        <v>1379.2895025524</v>
      </c>
      <c r="K13" s="0" t="n">
        <f aca="false">K11+K12</f>
        <v>1406.87529260345</v>
      </c>
      <c r="L13" s="0" t="n">
        <f aca="false">L11+L12</f>
        <v>1435.01279845552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22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914.531960628</v>
      </c>
      <c r="D15" s="0" t="n">
        <f aca="false">D13-MAX(0,D13)*D14/100</f>
        <v>939.07383096384</v>
      </c>
      <c r="E15" s="0" t="n">
        <f aca="false">E13-MAX(0,E13)*E14/100</f>
        <v>950.524887888576</v>
      </c>
      <c r="F15" s="0" t="n">
        <f aca="false">F13-MAX(0,F13)*F14/100</f>
        <v>979.040634525233</v>
      </c>
      <c r="G15" s="0" t="n">
        <f aca="false">G13-MAX(0,G13)*G14/100</f>
        <v>995.914251521786</v>
      </c>
      <c r="H15" s="0" t="n">
        <f aca="false">H13-MAX(0,H13)*H14/100</f>
        <v>1020.81210780983</v>
      </c>
      <c r="I15" s="0" t="n">
        <f aca="false">I13-MAX(0,I13)*I14/100</f>
        <v>1041.22834996603</v>
      </c>
      <c r="J15" s="0" t="n">
        <f aca="false">J13-MAX(0,J13)*J14/100</f>
        <v>1062.05291696535</v>
      </c>
      <c r="K15" s="0" t="n">
        <f aca="false">K13-MAX(0,K13)*K14/100</f>
        <v>1083.29397530465</v>
      </c>
      <c r="L15" s="0" t="n">
        <f aca="false">L13-MAX(0,L13)*L14/100</f>
        <v>1104.95985481075</v>
      </c>
    </row>
    <row r="16" customFormat="false" ht="15" hidden="false" customHeight="false" outlineLevel="0" collapsed="false">
      <c r="A16" s="0" t="s">
        <v>128</v>
      </c>
      <c r="C16" s="0" t="n">
        <f aca="false">-C12</f>
        <v>27.9369024</v>
      </c>
      <c r="D16" s="0" t="n">
        <f aca="false">-D12</f>
        <v>29.054378496</v>
      </c>
      <c r="E16" s="0" t="n">
        <f aca="false">-E12</f>
        <v>29.92600985088</v>
      </c>
      <c r="F16" s="0" t="n">
        <f aca="false">-F12</f>
        <v>30.8237901464064</v>
      </c>
      <c r="G16" s="0" t="n">
        <f aca="false">-G12</f>
        <v>31.5943849000666</v>
      </c>
      <c r="H16" s="0" t="n">
        <f aca="false">-H12</f>
        <v>32.3842445225682</v>
      </c>
      <c r="I16" s="0" t="n">
        <f aca="false">-I12</f>
        <v>33.0319294130196</v>
      </c>
      <c r="J16" s="0" t="n">
        <f aca="false">-J12</f>
        <v>33.69256800128</v>
      </c>
      <c r="K16" s="0" t="n">
        <f aca="false">-K12</f>
        <v>34.3664193613056</v>
      </c>
      <c r="L16" s="0" t="n">
        <f aca="false">-L12</f>
        <v>35.0537477485317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-59.3659176</v>
      </c>
      <c r="D17" s="4" t="n">
        <f aca="false">-D6*Assumptions!D18/100</f>
        <v>-54.47695968</v>
      </c>
      <c r="E17" s="4" t="n">
        <f aca="false">-E6*Assumptions!E18/100</f>
        <v>-56.1112684704</v>
      </c>
      <c r="F17" s="4" t="n">
        <f aca="false">-F6*Assumptions!F18/100</f>
        <v>-57.794606524512</v>
      </c>
      <c r="G17" s="4" t="n">
        <f aca="false">-G6*Assumptions!G18/100</f>
        <v>-59.2394716876248</v>
      </c>
      <c r="H17" s="4" t="n">
        <f aca="false">-H6*Assumptions!H18/100</f>
        <v>-60.7204584798154</v>
      </c>
      <c r="I17" s="4" t="n">
        <f aca="false">-I6*Assumptions!I18/100</f>
        <v>-61.9348676494117</v>
      </c>
      <c r="J17" s="4" t="n">
        <f aca="false">-J6*Assumptions!J18/100</f>
        <v>-63.1735650024</v>
      </c>
      <c r="K17" s="4" t="n">
        <f aca="false">-K6*Assumptions!K18/100</f>
        <v>-64.437036302448</v>
      </c>
      <c r="L17" s="4" t="n">
        <f aca="false">-L6*Assumptions!L18/100</f>
        <v>-65.7257770284969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62.61948</v>
      </c>
      <c r="D18" s="4" t="n">
        <f aca="false">(D6-C6)*Assumptions!$B$23/100</f>
        <v>48.8895792000001</v>
      </c>
      <c r="E18" s="4" t="n">
        <f aca="false">(E6-D6)*Assumptions!$B$23/100</f>
        <v>38.1338717760001</v>
      </c>
      <c r="F18" s="4" t="n">
        <f aca="false">(F6-E6)*Assumptions!$B$23/100</f>
        <v>39.2778879292801</v>
      </c>
      <c r="G18" s="4" t="n">
        <f aca="false">(G6-F6)*Assumptions!$B$23/100</f>
        <v>33.7135204726318</v>
      </c>
      <c r="H18" s="4" t="n">
        <f aca="false">(H6-G6)*Assumptions!$B$23/100</f>
        <v>34.5563584844477</v>
      </c>
      <c r="I18" s="4" t="n">
        <f aca="false">(I6-H6)*Assumptions!$B$23/100</f>
        <v>28.3362139572474</v>
      </c>
      <c r="J18" s="4" t="n">
        <f aca="false">(J6-I6)*Assumptions!$B$23/100</f>
        <v>28.9029382363922</v>
      </c>
      <c r="K18" s="4" t="n">
        <f aca="false">(K6-J6)*Assumptions!$B$23/100</f>
        <v>29.4809970011199</v>
      </c>
      <c r="L18" s="4" t="n">
        <f aca="false">(L6-K6)*Assumptions!$B$23/100</f>
        <v>30.0706169411423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945.722425428</v>
      </c>
      <c r="D19" s="0" t="n">
        <f aca="false">D15+D16+D17+D18</f>
        <v>962.54082897984</v>
      </c>
      <c r="E19" s="0" t="n">
        <f aca="false">E15+E16+E17+E18</f>
        <v>962.473501045056</v>
      </c>
      <c r="F19" s="0" t="n">
        <f aca="false">F15+F16+F17+F18</f>
        <v>991.347706076408</v>
      </c>
      <c r="G19" s="0" t="n">
        <f aca="false">G15+G16+G17+G18</f>
        <v>1001.98268520686</v>
      </c>
      <c r="H19" s="0" t="n">
        <f aca="false">H15+H16+H17+H18</f>
        <v>1027.03225233703</v>
      </c>
      <c r="I19" s="0" t="n">
        <f aca="false">I15+I16+I17+I18</f>
        <v>1040.66162568688</v>
      </c>
      <c r="J19" s="0" t="n">
        <f aca="false">J15+J16+J17+J18</f>
        <v>1061.47485820062</v>
      </c>
      <c r="K19" s="0" t="n">
        <f aca="false">K15+K16+K17+K18</f>
        <v>1082.70435536463</v>
      </c>
      <c r="L19" s="0" t="n">
        <f aca="false">L15+L16+L17+L18</f>
        <v>1104.35844247193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875.668912433333</v>
      </c>
      <c r="D21" s="0" t="n">
        <f aca="false">D19*D20</f>
        <v>825.223618809877</v>
      </c>
      <c r="E21" s="0" t="n">
        <f aca="false">E19*E20</f>
        <v>764.042496257125</v>
      </c>
      <c r="F21" s="0" t="n">
        <f aca="false">F19*F20</f>
        <v>728.670158467444</v>
      </c>
      <c r="G21" s="0" t="n">
        <f aca="false">G19*G20</f>
        <v>681.932579270549</v>
      </c>
      <c r="H21" s="0" t="n">
        <f aca="false">H19*H20</f>
        <v>647.204531252141</v>
      </c>
      <c r="I21" s="0" t="n">
        <f aca="false">I19*I20</f>
        <v>607.216063306173</v>
      </c>
      <c r="J21" s="0" t="n">
        <f aca="false">J19*J20</f>
        <v>573.481837566942</v>
      </c>
      <c r="K21" s="0" t="n">
        <f aca="false">K19*K20</f>
        <v>541.621735479889</v>
      </c>
      <c r="L21" s="0" t="n">
        <f aca="false">L19*L20</f>
        <v>511.53163906434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6756.59357190781</v>
      </c>
    </row>
    <row r="31" customFormat="false" ht="15" hidden="false" customHeight="false" outlineLevel="0" collapsed="false">
      <c r="A31" s="0" t="s">
        <v>137</v>
      </c>
      <c r="B31" s="0" t="n">
        <f aca="false">L19</f>
        <v>1104.35844247193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18774.0935220227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16565.3766370789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16565.3766370789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7672.9745859651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14429.5681578729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13130.8681578729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144.772526547662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-0.497875532229253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774.393637125162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1017.83610582208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164.532501662846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8664.96624093357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64.5439099221966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5.6</v>
      </c>
      <c r="D5" s="4" t="n">
        <f aca="false">Assumptions!D27</f>
        <v>8.5</v>
      </c>
      <c r="E5" s="4" t="n">
        <f aca="false">Assumptions!E27</f>
        <v>8.5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1656.6</v>
      </c>
      <c r="C6" s="0" t="n">
        <f aca="false">B6*(1+C5/100)</f>
        <v>1749.3696</v>
      </c>
      <c r="D6" s="0" t="n">
        <f aca="false">C6*(1+D5/100)</f>
        <v>1898.066016</v>
      </c>
      <c r="E6" s="0" t="n">
        <f aca="false">D6*(1+E5/100)</f>
        <v>2059.40162736</v>
      </c>
      <c r="F6" s="0" t="n">
        <f aca="false">E6*(1+F5/100)</f>
        <v>2224.1537575488</v>
      </c>
      <c r="G6" s="0" t="n">
        <f aca="false">F6*(1+G5/100)</f>
        <v>2379.84452057722</v>
      </c>
      <c r="H6" s="0" t="n">
        <f aca="false">G6*(1+H5/100)</f>
        <v>2486.93752400319</v>
      </c>
      <c r="I6" s="0" t="n">
        <f aca="false">H6*(1+I5/100)</f>
        <v>2586.41502496332</v>
      </c>
      <c r="J6" s="0" t="n">
        <f aca="false">I6*(1+J5/100)</f>
        <v>2715.73577621148</v>
      </c>
      <c r="K6" s="0" t="n">
        <f aca="false">J6*(1+K5/100)</f>
        <v>2851.52256502206</v>
      </c>
      <c r="L6" s="0" t="n">
        <f aca="false">K6*(1+L5/100)</f>
        <v>2979.84108044805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74</v>
      </c>
      <c r="D7" s="4" t="n">
        <f aca="false">Assumptions!D28</f>
        <v>75</v>
      </c>
      <c r="E7" s="4" t="n">
        <f aca="false">Assumptions!E28</f>
        <v>75.8</v>
      </c>
      <c r="F7" s="4" t="n">
        <f aca="false">Assumptions!F28</f>
        <v>76.5</v>
      </c>
      <c r="G7" s="4" t="n">
        <f aca="false">Assumptions!G28</f>
        <v>77</v>
      </c>
      <c r="H7" s="4" t="n">
        <f aca="false">Assumptions!H28</f>
        <v>77</v>
      </c>
      <c r="I7" s="4" t="n">
        <f aca="false">Assumptions!I28</f>
        <v>77</v>
      </c>
      <c r="J7" s="4" t="n">
        <f aca="false">Assumptions!J28</f>
        <v>77</v>
      </c>
      <c r="K7" s="4" t="n">
        <f aca="false">Assumptions!K28</f>
        <v>77</v>
      </c>
      <c r="L7" s="4" t="n">
        <f aca="false">Assumptions!L28</f>
        <v>77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1294.533504</v>
      </c>
      <c r="D8" s="0" t="n">
        <f aca="false">D6*D7/100</f>
        <v>1423.549512</v>
      </c>
      <c r="E8" s="0" t="n">
        <f aca="false">E6*E7/100</f>
        <v>1561.02643353888</v>
      </c>
      <c r="F8" s="0" t="n">
        <f aca="false">F6*F7/100</f>
        <v>1701.47762452483</v>
      </c>
      <c r="G8" s="0" t="n">
        <f aca="false">G6*G7/100</f>
        <v>1832.48028084446</v>
      </c>
      <c r="H8" s="0" t="n">
        <f aca="false">H6*H7/100</f>
        <v>1914.94189348246</v>
      </c>
      <c r="I8" s="0" t="n">
        <f aca="false">I6*I7/100</f>
        <v>1991.53956922176</v>
      </c>
      <c r="J8" s="0" t="n">
        <f aca="false">J6*J7/100</f>
        <v>2091.11654768284</v>
      </c>
      <c r="K8" s="0" t="n">
        <f aca="false">K6*K7/100</f>
        <v>2195.67237506699</v>
      </c>
      <c r="L8" s="0" t="n">
        <f aca="false">L6*L7/100</f>
        <v>2294.477631945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5.9</v>
      </c>
      <c r="D9" s="4" t="n">
        <f aca="false">Assumptions!D29</f>
        <v>5.7</v>
      </c>
      <c r="E9" s="4" t="n">
        <f aca="false">Assumptions!E29</f>
        <v>5.5</v>
      </c>
      <c r="F9" s="4" t="n">
        <f aca="false">Assumptions!F29</f>
        <v>5.3</v>
      </c>
      <c r="G9" s="4" t="n">
        <f aca="false">Assumptions!G29</f>
        <v>5.1</v>
      </c>
      <c r="H9" s="4" t="n">
        <f aca="false">Assumptions!H29</f>
        <v>5</v>
      </c>
      <c r="I9" s="4" t="n">
        <f aca="false">Assumptions!I29</f>
        <v>5</v>
      </c>
      <c r="J9" s="4" t="n">
        <f aca="false">Assumptions!J29</f>
        <v>5</v>
      </c>
      <c r="K9" s="4" t="n">
        <f aca="false">Assumptions!K29</f>
        <v>5</v>
      </c>
      <c r="L9" s="4" t="n">
        <f aca="false">Assumptions!L29</f>
        <v>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-103.2128064</v>
      </c>
      <c r="D10" s="0" t="n">
        <f aca="false">-D6*D9/100</f>
        <v>-108.189762912</v>
      </c>
      <c r="E10" s="0" t="n">
        <f aca="false">-E6*E9/100</f>
        <v>-113.2670895048</v>
      </c>
      <c r="F10" s="0" t="n">
        <f aca="false">-F6*F9/100</f>
        <v>-117.880149150086</v>
      </c>
      <c r="G10" s="0" t="n">
        <f aca="false">-G6*G9/100</f>
        <v>-121.372070549438</v>
      </c>
      <c r="H10" s="0" t="n">
        <f aca="false">-H6*H9/100</f>
        <v>-124.34687620016</v>
      </c>
      <c r="I10" s="0" t="n">
        <f aca="false">-I6*I9/100</f>
        <v>-129.320751248166</v>
      </c>
      <c r="J10" s="0" t="n">
        <f aca="false">-J6*J9/100</f>
        <v>-135.786788810574</v>
      </c>
      <c r="K10" s="0" t="n">
        <f aca="false">-K6*K9/100</f>
        <v>-142.576128251103</v>
      </c>
      <c r="L10" s="0" t="n">
        <f aca="false">-L6*L9/100</f>
        <v>-148.992054022403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1191.3206976</v>
      </c>
      <c r="D11" s="0" t="n">
        <f aca="false">D8+D10+D24</f>
        <v>1315.359749088</v>
      </c>
      <c r="E11" s="0" t="n">
        <f aca="false">E8+E10+E24</f>
        <v>1447.75934403408</v>
      </c>
      <c r="F11" s="0" t="n">
        <f aca="false">F8+F10+F24</f>
        <v>1583.59747537475</v>
      </c>
      <c r="G11" s="0" t="n">
        <f aca="false">G8+G10+G24</f>
        <v>1711.10821029502</v>
      </c>
      <c r="H11" s="0" t="n">
        <f aca="false">H8+H10+H24</f>
        <v>1790.5950172823</v>
      </c>
      <c r="I11" s="0" t="n">
        <f aca="false">I8+I10+I24</f>
        <v>1862.21881797359</v>
      </c>
      <c r="J11" s="0" t="n">
        <f aca="false">J8+J10+J24</f>
        <v>1955.32975887227</v>
      </c>
      <c r="K11" s="0" t="n">
        <f aca="false">K8+K10+K24</f>
        <v>2053.09624681588</v>
      </c>
      <c r="L11" s="0" t="n">
        <f aca="false">L8+L10+L24</f>
        <v>2145.4855779226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-27.9899136</v>
      </c>
      <c r="D12" s="4" t="n">
        <f aca="false">-D6*Assumptions!D31/100</f>
        <v>-30.369056256</v>
      </c>
      <c r="E12" s="4" t="n">
        <f aca="false">-E6*Assumptions!E31/100</f>
        <v>-32.95042603776</v>
      </c>
      <c r="F12" s="4" t="n">
        <f aca="false">-F6*Assumptions!F31/100</f>
        <v>-35.5864601207808</v>
      </c>
      <c r="G12" s="4" t="n">
        <f aca="false">-G6*Assumptions!G31/100</f>
        <v>-38.0775123292355</v>
      </c>
      <c r="H12" s="4" t="n">
        <f aca="false">-H6*Assumptions!H31/100</f>
        <v>-39.7910003840511</v>
      </c>
      <c r="I12" s="4" t="n">
        <f aca="false">-I6*Assumptions!I31/100</f>
        <v>-41.3826403994131</v>
      </c>
      <c r="J12" s="4" t="n">
        <f aca="false">-J6*Assumptions!J31/100</f>
        <v>-43.4517724193838</v>
      </c>
      <c r="K12" s="4" t="n">
        <f aca="false">-K6*Assumptions!K31/100</f>
        <v>-45.6243610403529</v>
      </c>
      <c r="L12" s="4" t="n">
        <f aca="false">-L6*Assumptions!L31/100</f>
        <v>-47.6774572871688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1163.330784</v>
      </c>
      <c r="D13" s="0" t="n">
        <f aca="false">D11+D12</f>
        <v>1284.990692832</v>
      </c>
      <c r="E13" s="0" t="n">
        <f aca="false">E11+E12</f>
        <v>1414.80891799632</v>
      </c>
      <c r="F13" s="0" t="n">
        <f aca="false">F11+F12</f>
        <v>1548.01101525396</v>
      </c>
      <c r="G13" s="0" t="n">
        <f aca="false">G11+G12</f>
        <v>1673.03069796578</v>
      </c>
      <c r="H13" s="0" t="n">
        <f aca="false">H11+H12</f>
        <v>1750.80401689825</v>
      </c>
      <c r="I13" s="0" t="n">
        <f aca="false">I11+I12</f>
        <v>1820.83617757418</v>
      </c>
      <c r="J13" s="0" t="n">
        <f aca="false">J11+J12</f>
        <v>1911.87798645288</v>
      </c>
      <c r="K13" s="0" t="n">
        <f aca="false">K11+K12</f>
        <v>2007.47188577553</v>
      </c>
      <c r="L13" s="0" t="n">
        <f aca="false">L11+L12</f>
        <v>2097.80812063543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21.5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919.03131936</v>
      </c>
      <c r="D15" s="0" t="n">
        <f aca="false">D13-MAX(0,D13)*D14/100</f>
        <v>1008.71769387312</v>
      </c>
      <c r="E15" s="0" t="n">
        <f aca="false">E13-MAX(0,E13)*E14/100</f>
        <v>1103.55095603713</v>
      </c>
      <c r="F15" s="0" t="n">
        <f aca="false">F13-MAX(0,F13)*F14/100</f>
        <v>1207.44859189809</v>
      </c>
      <c r="G15" s="0" t="n">
        <f aca="false">G13-MAX(0,G13)*G14/100</f>
        <v>1304.96394441331</v>
      </c>
      <c r="H15" s="0" t="n">
        <f aca="false">H13-MAX(0,H13)*H14/100</f>
        <v>1365.62713318063</v>
      </c>
      <c r="I15" s="0" t="n">
        <f aca="false">I13-MAX(0,I13)*I14/100</f>
        <v>1420.25221850786</v>
      </c>
      <c r="J15" s="0" t="n">
        <f aca="false">J13-MAX(0,J13)*J14/100</f>
        <v>1491.26482943325</v>
      </c>
      <c r="K15" s="0" t="n">
        <f aca="false">K13-MAX(0,K13)*K14/100</f>
        <v>1565.82807090491</v>
      </c>
      <c r="L15" s="0" t="n">
        <f aca="false">L13-MAX(0,L13)*L14/100</f>
        <v>1636.29033409563</v>
      </c>
    </row>
    <row r="16" customFormat="false" ht="15" hidden="false" customHeight="false" outlineLevel="0" collapsed="false">
      <c r="A16" s="0" t="s">
        <v>128</v>
      </c>
      <c r="C16" s="0" t="n">
        <f aca="false">-C12</f>
        <v>27.9899136</v>
      </c>
      <c r="D16" s="0" t="n">
        <f aca="false">-D12</f>
        <v>30.369056256</v>
      </c>
      <c r="E16" s="0" t="n">
        <f aca="false">-E12</f>
        <v>32.95042603776</v>
      </c>
      <c r="F16" s="0" t="n">
        <f aca="false">-F12</f>
        <v>35.5864601207808</v>
      </c>
      <c r="G16" s="0" t="n">
        <f aca="false">-G12</f>
        <v>38.0775123292355</v>
      </c>
      <c r="H16" s="0" t="n">
        <f aca="false">-H12</f>
        <v>39.7910003840511</v>
      </c>
      <c r="I16" s="0" t="n">
        <f aca="false">-I12</f>
        <v>41.3826403994131</v>
      </c>
      <c r="J16" s="0" t="n">
        <f aca="false">-J12</f>
        <v>43.4517724193838</v>
      </c>
      <c r="K16" s="0" t="n">
        <f aca="false">-K12</f>
        <v>45.6243610403529</v>
      </c>
      <c r="L16" s="0" t="n">
        <f aca="false">-L12</f>
        <v>47.6774572871688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-59.4785664</v>
      </c>
      <c r="D17" s="4" t="n">
        <f aca="false">-D6*Assumptions!D32/100</f>
        <v>-53.145848448</v>
      </c>
      <c r="E17" s="4" t="n">
        <f aca="false">-E6*Assumptions!E32/100</f>
        <v>-51.485040684</v>
      </c>
      <c r="F17" s="4" t="n">
        <f aca="false">-F6*Assumptions!F32/100</f>
        <v>-55.60384393872</v>
      </c>
      <c r="G17" s="4" t="n">
        <f aca="false">-G6*Assumptions!G32/100</f>
        <v>-59.4961130144304</v>
      </c>
      <c r="H17" s="4" t="n">
        <f aca="false">-H6*Assumptions!H32/100</f>
        <v>-62.1734381000798</v>
      </c>
      <c r="I17" s="4" t="n">
        <f aca="false">-I6*Assumptions!I32/100</f>
        <v>-64.660375624083</v>
      </c>
      <c r="J17" s="4" t="n">
        <f aca="false">-J6*Assumptions!J32/100</f>
        <v>-67.8933944052871</v>
      </c>
      <c r="K17" s="4" t="n">
        <f aca="false">-K6*Assumptions!K32/100</f>
        <v>-71.2880641255515</v>
      </c>
      <c r="L17" s="4" t="n">
        <f aca="false">-L6*Assumptions!L32/100</f>
        <v>-74.4960270112013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64.9387200000001</v>
      </c>
      <c r="D18" s="4" t="n">
        <f aca="false">(D6-C6)*Assumptions!$B$37/100</f>
        <v>104.0874912</v>
      </c>
      <c r="E18" s="4" t="n">
        <f aca="false">(E6-D6)*Assumptions!$B$37/100</f>
        <v>112.934927952</v>
      </c>
      <c r="F18" s="4" t="n">
        <f aca="false">(F6-E6)*Assumptions!$B$37/100</f>
        <v>115.32649113216</v>
      </c>
      <c r="G18" s="4" t="n">
        <f aca="false">(G6-F6)*Assumptions!$B$37/100</f>
        <v>108.983534119891</v>
      </c>
      <c r="H18" s="4" t="n">
        <f aca="false">(H6-G6)*Assumptions!$B$37/100</f>
        <v>74.9651023981822</v>
      </c>
      <c r="I18" s="4" t="n">
        <f aca="false">(I6-H6)*Assumptions!$B$37/100</f>
        <v>69.6342506720893</v>
      </c>
      <c r="J18" s="4" t="n">
        <f aca="false">(J6-I6)*Assumptions!$B$37/100</f>
        <v>90.5245258737161</v>
      </c>
      <c r="K18" s="4" t="n">
        <f aca="false">(K6-J6)*Assumptions!$B$37/100</f>
        <v>95.050752167402</v>
      </c>
      <c r="L18" s="4" t="n">
        <f aca="false">(L6-K6)*Assumptions!$B$37/100</f>
        <v>89.8229607981946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952.48138656</v>
      </c>
      <c r="D19" s="0" t="n">
        <f aca="false">D15+D16+D17+D18</f>
        <v>1090.02839288112</v>
      </c>
      <c r="E19" s="0" t="n">
        <f aca="false">E15+E16+E17+E18</f>
        <v>1197.95126934289</v>
      </c>
      <c r="F19" s="0" t="n">
        <f aca="false">F15+F16+F17+F18</f>
        <v>1302.75769921231</v>
      </c>
      <c r="G19" s="0" t="n">
        <f aca="false">G15+G16+G17+G18</f>
        <v>1392.52887784801</v>
      </c>
      <c r="H19" s="0" t="n">
        <f aca="false">H15+H16+H17+H18</f>
        <v>1418.20979786279</v>
      </c>
      <c r="I19" s="0" t="n">
        <f aca="false">I15+I16+I17+I18</f>
        <v>1466.60873395528</v>
      </c>
      <c r="J19" s="0" t="n">
        <f aca="false">J15+J16+J17+J18</f>
        <v>1557.34773332106</v>
      </c>
      <c r="K19" s="0" t="n">
        <f aca="false">K15+K16+K17+K18</f>
        <v>1635.21511998712</v>
      </c>
      <c r="L19" s="0" t="n">
        <f aca="false">L15+L16+L17+L18</f>
        <v>1699.2947251698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881.927209777778</v>
      </c>
      <c r="D21" s="0" t="n">
        <f aca="false">D19*D20</f>
        <v>934.523656448148</v>
      </c>
      <c r="E21" s="0" t="n">
        <f aca="false">E19*E20</f>
        <v>950.972340775423</v>
      </c>
      <c r="F21" s="0" t="n">
        <f aca="false">F19*F20</f>
        <v>957.565799881473</v>
      </c>
      <c r="G21" s="0" t="n">
        <f aca="false">G19*G20</f>
        <v>947.731755647621</v>
      </c>
      <c r="H21" s="0" t="n">
        <f aca="false">H19*H20</f>
        <v>893.712739161155</v>
      </c>
      <c r="I21" s="0" t="n">
        <f aca="false">I19*I20</f>
        <v>855.752109870462</v>
      </c>
      <c r="J21" s="0" t="n">
        <f aca="false">J19*J20</f>
        <v>841.386522663051</v>
      </c>
      <c r="K21" s="0" t="n">
        <f aca="false">K19*K20</f>
        <v>818.0146748113</v>
      </c>
      <c r="L21" s="0" t="n">
        <f aca="false">L19*L20</f>
        <v>787.102251035303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8868.68906007171</v>
      </c>
    </row>
    <row r="31" customFormat="false" ht="15" hidden="false" customHeight="false" outlineLevel="0" collapsed="false">
      <c r="A31" s="0" t="s">
        <v>137</v>
      </c>
      <c r="B31" s="0" t="n">
        <f aca="false">L19</f>
        <v>1699.2947251698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35005.4713384978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33985.8945033959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33985.8945033959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15742.0450207061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24610.7340807778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23312.0340807778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257.023529005268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-0.108547693516691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815.001112871091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1421.65027351049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281.683411986321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14585.6130577074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96.3882901163548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5.8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9.5</v>
      </c>
      <c r="G5" s="4" t="n">
        <f aca="false">Assumptions!G41</f>
        <v>8.5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6.5</v>
      </c>
      <c r="K5" s="4" t="n">
        <f aca="false">Assumptions!K41</f>
        <v>6.5</v>
      </c>
      <c r="L5" s="4" t="n">
        <f aca="false">Assumptions!L41</f>
        <v>6</v>
      </c>
    </row>
    <row r="6" customFormat="false" ht="15" hidden="false" customHeight="false" outlineLevel="0" collapsed="false">
      <c r="A6" s="0" t="s">
        <v>37</v>
      </c>
      <c r="B6" s="3" t="n">
        <v>1656.6</v>
      </c>
      <c r="C6" s="0" t="n">
        <f aca="false">B6*(1+C5/100)</f>
        <v>1752.6828</v>
      </c>
      <c r="D6" s="0" t="n">
        <f aca="false">C6*(1+D5/100)</f>
        <v>1927.95108</v>
      </c>
      <c r="E6" s="0" t="n">
        <f aca="false">D6*(1+E5/100)</f>
        <v>2120.746188</v>
      </c>
      <c r="F6" s="0" t="n">
        <f aca="false">E6*(1+F5/100)</f>
        <v>2322.21707586</v>
      </c>
      <c r="G6" s="0" t="n">
        <f aca="false">F6*(1+G5/100)</f>
        <v>2519.6055273081</v>
      </c>
      <c r="H6" s="0" t="n">
        <f aca="false">G6*(1+H5/100)</f>
        <v>2670.78185894659</v>
      </c>
      <c r="I6" s="0" t="n">
        <f aca="false">H6*(1+I5/100)</f>
        <v>2817.67486118865</v>
      </c>
      <c r="J6" s="0" t="n">
        <f aca="false">I6*(1+J5/100)</f>
        <v>3000.82372716591</v>
      </c>
      <c r="K6" s="0" t="n">
        <f aca="false">J6*(1+K5/100)</f>
        <v>3195.8772694317</v>
      </c>
      <c r="L6" s="0" t="n">
        <f aca="false">K6*(1+L5/100)</f>
        <v>3387.6299055976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74.2</v>
      </c>
      <c r="D7" s="4" t="n">
        <f aca="false">Assumptions!D42</f>
        <v>75.5</v>
      </c>
      <c r="E7" s="4" t="n">
        <f aca="false">Assumptions!E42</f>
        <v>76.7</v>
      </c>
      <c r="F7" s="4" t="n">
        <f aca="false">Assumptions!F42</f>
        <v>77.8</v>
      </c>
      <c r="G7" s="4" t="n">
        <f aca="false">Assumptions!G42</f>
        <v>78.5</v>
      </c>
      <c r="H7" s="4" t="n">
        <f aca="false">Assumptions!H42</f>
        <v>79</v>
      </c>
      <c r="I7" s="4" t="n">
        <f aca="false">Assumptions!I42</f>
        <v>79</v>
      </c>
      <c r="J7" s="4" t="n">
        <f aca="false">Assumptions!J42</f>
        <v>79</v>
      </c>
      <c r="K7" s="4" t="n">
        <f aca="false">Assumptions!K42</f>
        <v>79</v>
      </c>
      <c r="L7" s="4" t="n">
        <f aca="false">Assumptions!L42</f>
        <v>79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1300.4906376</v>
      </c>
      <c r="D8" s="0" t="n">
        <f aca="false">D6*D7/100</f>
        <v>1455.6030654</v>
      </c>
      <c r="E8" s="0" t="n">
        <f aca="false">E6*E7/100</f>
        <v>1626.612326196</v>
      </c>
      <c r="F8" s="0" t="n">
        <f aca="false">F6*F7/100</f>
        <v>1806.68488501908</v>
      </c>
      <c r="G8" s="0" t="n">
        <f aca="false">G6*G7/100</f>
        <v>1977.89033893686</v>
      </c>
      <c r="H8" s="0" t="n">
        <f aca="false">H6*H7/100</f>
        <v>2109.9176685678</v>
      </c>
      <c r="I8" s="0" t="n">
        <f aca="false">I6*I7/100</f>
        <v>2225.96314033903</v>
      </c>
      <c r="J8" s="0" t="n">
        <f aca="false">J6*J7/100</f>
        <v>2370.65074446107</v>
      </c>
      <c r="K8" s="0" t="n">
        <f aca="false">K6*K7/100</f>
        <v>2524.74304285104</v>
      </c>
      <c r="L8" s="0" t="n">
        <f aca="false">L6*L7/100</f>
        <v>2676.2276254221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5.9</v>
      </c>
      <c r="D9" s="4" t="n">
        <f aca="false">Assumptions!D43</f>
        <v>5.6</v>
      </c>
      <c r="E9" s="4" t="n">
        <f aca="false">Assumptions!E43</f>
        <v>5.3</v>
      </c>
      <c r="F9" s="4" t="n">
        <f aca="false">Assumptions!F43</f>
        <v>5</v>
      </c>
      <c r="G9" s="4" t="n">
        <f aca="false">Assumptions!G43</f>
        <v>4.8</v>
      </c>
      <c r="H9" s="4" t="n">
        <f aca="false">Assumptions!H43</f>
        <v>4.7</v>
      </c>
      <c r="I9" s="4" t="n">
        <f aca="false">Assumptions!I43</f>
        <v>4.6</v>
      </c>
      <c r="J9" s="4" t="n">
        <f aca="false">Assumptions!J43</f>
        <v>4.5</v>
      </c>
      <c r="K9" s="4" t="n">
        <f aca="false">Assumptions!K43</f>
        <v>4.5</v>
      </c>
      <c r="L9" s="4" t="n">
        <f aca="false">Assumptions!L43</f>
        <v>4.5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-103.4082852</v>
      </c>
      <c r="D10" s="0" t="n">
        <f aca="false">-D6*D9/100</f>
        <v>-107.96526048</v>
      </c>
      <c r="E10" s="0" t="n">
        <f aca="false">-E6*E9/100</f>
        <v>-112.399547964</v>
      </c>
      <c r="F10" s="0" t="n">
        <f aca="false">-F6*F9/100</f>
        <v>-116.110853793</v>
      </c>
      <c r="G10" s="0" t="n">
        <f aca="false">-G6*G9/100</f>
        <v>-120.941065310789</v>
      </c>
      <c r="H10" s="0" t="n">
        <f aca="false">-H6*H9/100</f>
        <v>-125.52674737049</v>
      </c>
      <c r="I10" s="0" t="n">
        <f aca="false">-I6*I9/100</f>
        <v>-129.613043614678</v>
      </c>
      <c r="J10" s="0" t="n">
        <f aca="false">-J6*J9/100</f>
        <v>-135.037067722466</v>
      </c>
      <c r="K10" s="0" t="n">
        <f aca="false">-K6*K9/100</f>
        <v>-143.814477124426</v>
      </c>
      <c r="L10" s="0" t="n">
        <f aca="false">-L6*L9/100</f>
        <v>-152.443345751892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1197.0823524</v>
      </c>
      <c r="D11" s="0" t="n">
        <f aca="false">D8+D10+D24</f>
        <v>1347.63780492</v>
      </c>
      <c r="E11" s="0" t="n">
        <f aca="false">E8+E10+E24</f>
        <v>1514.212778232</v>
      </c>
      <c r="F11" s="0" t="n">
        <f aca="false">F8+F10+F24</f>
        <v>1690.57403122608</v>
      </c>
      <c r="G11" s="0" t="n">
        <f aca="false">G8+G10+G24</f>
        <v>1856.94927362607</v>
      </c>
      <c r="H11" s="0" t="n">
        <f aca="false">H8+H10+H24</f>
        <v>1984.39092119731</v>
      </c>
      <c r="I11" s="0" t="n">
        <f aca="false">I8+I10+I24</f>
        <v>2096.35009672436</v>
      </c>
      <c r="J11" s="0" t="n">
        <f aca="false">J8+J10+J24</f>
        <v>2235.6136767386</v>
      </c>
      <c r="K11" s="0" t="n">
        <f aca="false">K8+K10+K24</f>
        <v>2380.92856572661</v>
      </c>
      <c r="L11" s="0" t="n">
        <f aca="false">L8+L10+L24</f>
        <v>2523.78427967021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-28.0429248</v>
      </c>
      <c r="D12" s="4" t="n">
        <f aca="false">-D6*Assumptions!D45/100</f>
        <v>-30.84721728</v>
      </c>
      <c r="E12" s="4" t="n">
        <f aca="false">-E6*Assumptions!E45/100</f>
        <v>-33.931939008</v>
      </c>
      <c r="F12" s="4" t="n">
        <f aca="false">-F6*Assumptions!F45/100</f>
        <v>-37.15547321376</v>
      </c>
      <c r="G12" s="4" t="n">
        <f aca="false">-G6*Assumptions!G45/100</f>
        <v>-40.3136884369296</v>
      </c>
      <c r="H12" s="4" t="n">
        <f aca="false">-H6*Assumptions!H45/100</f>
        <v>-42.7325097431454</v>
      </c>
      <c r="I12" s="4" t="n">
        <f aca="false">-I6*Assumptions!I45/100</f>
        <v>-45.0827977790184</v>
      </c>
      <c r="J12" s="4" t="n">
        <f aca="false">-J6*Assumptions!J45/100</f>
        <v>-48.0131796346546</v>
      </c>
      <c r="K12" s="4" t="n">
        <f aca="false">-K6*Assumptions!K45/100</f>
        <v>-51.1340363109071</v>
      </c>
      <c r="L12" s="4" t="n">
        <f aca="false">-L6*Assumptions!L45/100</f>
        <v>-54.2020784895616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1169.0394276</v>
      </c>
      <c r="D13" s="0" t="n">
        <f aca="false">D11+D12</f>
        <v>1316.79058764</v>
      </c>
      <c r="E13" s="0" t="n">
        <f aca="false">E11+E12</f>
        <v>1480.280839224</v>
      </c>
      <c r="F13" s="0" t="n">
        <f aca="false">F11+F12</f>
        <v>1653.41855801232</v>
      </c>
      <c r="G13" s="0" t="n">
        <f aca="false">G11+G12</f>
        <v>1816.63558518914</v>
      </c>
      <c r="H13" s="0" t="n">
        <f aca="false">H11+H12</f>
        <v>1941.65841145417</v>
      </c>
      <c r="I13" s="0" t="n">
        <f aca="false">I11+I12</f>
        <v>2051.26729894534</v>
      </c>
      <c r="J13" s="0" t="n">
        <f aca="false">J11+J12</f>
        <v>2187.60049710395</v>
      </c>
      <c r="K13" s="0" t="n">
        <f aca="false">K11+K12</f>
        <v>2329.79452941571</v>
      </c>
      <c r="L13" s="0" t="n">
        <f aca="false">L11+L12</f>
        <v>2469.58220118065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21.5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923.541147804</v>
      </c>
      <c r="D15" s="0" t="n">
        <f aca="false">D13-MAX(0,D13)*D14/100</f>
        <v>1033.6806112974</v>
      </c>
      <c r="E15" s="0" t="n">
        <f aca="false">E13-MAX(0,E13)*E14/100</f>
        <v>1154.61905459472</v>
      </c>
      <c r="F15" s="0" t="n">
        <f aca="false">F13-MAX(0,F13)*F14/100</f>
        <v>1289.66647524961</v>
      </c>
      <c r="G15" s="0" t="n">
        <f aca="false">G13-MAX(0,G13)*G14/100</f>
        <v>1416.97575644753</v>
      </c>
      <c r="H15" s="0" t="n">
        <f aca="false">H13-MAX(0,H13)*H14/100</f>
        <v>1514.49356093425</v>
      </c>
      <c r="I15" s="0" t="n">
        <f aca="false">I13-MAX(0,I13)*I14/100</f>
        <v>1599.98849317736</v>
      </c>
      <c r="J15" s="0" t="n">
        <f aca="false">J13-MAX(0,J13)*J14/100</f>
        <v>1706.32838774108</v>
      </c>
      <c r="K15" s="0" t="n">
        <f aca="false">K13-MAX(0,K13)*K14/100</f>
        <v>1817.23973294425</v>
      </c>
      <c r="L15" s="0" t="n">
        <f aca="false">L13-MAX(0,L13)*L14/100</f>
        <v>1926.27411692091</v>
      </c>
    </row>
    <row r="16" customFormat="false" ht="15" hidden="false" customHeight="false" outlineLevel="0" collapsed="false">
      <c r="A16" s="0" t="s">
        <v>128</v>
      </c>
      <c r="C16" s="0" t="n">
        <f aca="false">-C12</f>
        <v>28.0429248</v>
      </c>
      <c r="D16" s="0" t="n">
        <f aca="false">-D12</f>
        <v>30.84721728</v>
      </c>
      <c r="E16" s="0" t="n">
        <f aca="false">-E12</f>
        <v>33.931939008</v>
      </c>
      <c r="F16" s="0" t="n">
        <f aca="false">-F12</f>
        <v>37.15547321376</v>
      </c>
      <c r="G16" s="0" t="n">
        <f aca="false">-G12</f>
        <v>40.3136884369296</v>
      </c>
      <c r="H16" s="0" t="n">
        <f aca="false">-H12</f>
        <v>42.7325097431454</v>
      </c>
      <c r="I16" s="0" t="n">
        <f aca="false">-I12</f>
        <v>45.0827977790184</v>
      </c>
      <c r="J16" s="0" t="n">
        <f aca="false">-J12</f>
        <v>48.0131796346546</v>
      </c>
      <c r="K16" s="0" t="n">
        <f aca="false">-K12</f>
        <v>51.1340363109071</v>
      </c>
      <c r="L16" s="0" t="n">
        <f aca="false">-L12</f>
        <v>54.2020784895616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-59.5912152</v>
      </c>
      <c r="D17" s="4" t="n">
        <f aca="false">-D6*Assumptions!D46/100</f>
        <v>-53.98263024</v>
      </c>
      <c r="E17" s="4" t="n">
        <f aca="false">-E6*Assumptions!E46/100</f>
        <v>-53.0186547</v>
      </c>
      <c r="F17" s="4" t="n">
        <f aca="false">-F6*Assumptions!F46/100</f>
        <v>-55.73320982064</v>
      </c>
      <c r="G17" s="4" t="n">
        <f aca="false">-G6*Assumptions!G46/100</f>
        <v>-57.9509271280863</v>
      </c>
      <c r="H17" s="4" t="n">
        <f aca="false">-H6*Assumptions!H46/100</f>
        <v>-61.4279827557715</v>
      </c>
      <c r="I17" s="4" t="n">
        <f aca="false">-I6*Assumptions!I46/100</f>
        <v>-64.8065218073389</v>
      </c>
      <c r="J17" s="4" t="n">
        <f aca="false">-J6*Assumptions!J46/100</f>
        <v>-69.018945724816</v>
      </c>
      <c r="K17" s="4" t="n">
        <f aca="false">-K6*Assumptions!K46/100</f>
        <v>-73.505177196929</v>
      </c>
      <c r="L17" s="4" t="n">
        <f aca="false">-L6*Assumptions!L46/100</f>
        <v>-77.9154878287447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67.2579600000001</v>
      </c>
      <c r="D18" s="4" t="n">
        <f aca="false">(D6-C6)*Assumptions!$B$51/100</f>
        <v>122.687796</v>
      </c>
      <c r="E18" s="4" t="n">
        <f aca="false">(E6-D6)*Assumptions!$B$51/100</f>
        <v>134.9565756</v>
      </c>
      <c r="F18" s="4" t="n">
        <f aca="false">(F6-E6)*Assumptions!$B$51/100</f>
        <v>141.029621502</v>
      </c>
      <c r="G18" s="4" t="n">
        <f aca="false">(G6-F6)*Assumptions!$B$51/100</f>
        <v>138.17191601367</v>
      </c>
      <c r="H18" s="4" t="n">
        <f aca="false">(H6-G6)*Assumptions!$B$51/100</f>
        <v>105.82343214694</v>
      </c>
      <c r="I18" s="4" t="n">
        <f aca="false">(I6-H6)*Assumptions!$B$51/100</f>
        <v>102.825101569444</v>
      </c>
      <c r="J18" s="4" t="n">
        <f aca="false">(J6-I6)*Assumptions!$B$51/100</f>
        <v>128.204206184084</v>
      </c>
      <c r="K18" s="4" t="n">
        <f aca="false">(K6-J6)*Assumptions!$B$51/100</f>
        <v>136.537479586049</v>
      </c>
      <c r="L18" s="4" t="n">
        <f aca="false">(L6-K6)*Assumptions!$B$51/100</f>
        <v>134.226845316131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959.250817404</v>
      </c>
      <c r="D19" s="0" t="n">
        <f aca="false">D15+D16+D17+D18</f>
        <v>1133.2329943374</v>
      </c>
      <c r="E19" s="0" t="n">
        <f aca="false">E15+E16+E17+E18</f>
        <v>1270.48891450272</v>
      </c>
      <c r="F19" s="0" t="n">
        <f aca="false">F15+F16+F17+F18</f>
        <v>1412.11836014473</v>
      </c>
      <c r="G19" s="0" t="n">
        <f aca="false">G15+G16+G17+G18</f>
        <v>1537.51043377004</v>
      </c>
      <c r="H19" s="0" t="n">
        <f aca="false">H15+H16+H17+H18</f>
        <v>1601.62152006857</v>
      </c>
      <c r="I19" s="0" t="n">
        <f aca="false">I15+I16+I17+I18</f>
        <v>1683.08987071849</v>
      </c>
      <c r="J19" s="0" t="n">
        <f aca="false">J15+J16+J17+J18</f>
        <v>1813.526827835</v>
      </c>
      <c r="K19" s="0" t="n">
        <f aca="false">K15+K16+K17+K18</f>
        <v>1931.40607164428</v>
      </c>
      <c r="L19" s="0" t="n">
        <f aca="false">L15+L16+L17+L18</f>
        <v>2036.78755289785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888.1952013</v>
      </c>
      <c r="D21" s="0" t="n">
        <f aca="false">D19*D20</f>
        <v>971.564638492284</v>
      </c>
      <c r="E21" s="0" t="n">
        <f aca="false">E19*E20</f>
        <v>1008.55506219098</v>
      </c>
      <c r="F21" s="0" t="n">
        <f aca="false">F19*F20</f>
        <v>1037.94915038835</v>
      </c>
      <c r="G21" s="0" t="n">
        <f aca="false">G19*G20</f>
        <v>1046.40376648797</v>
      </c>
      <c r="H21" s="0" t="n">
        <f aca="false">H19*H20</f>
        <v>1009.29323570956</v>
      </c>
      <c r="I21" s="0" t="n">
        <f aca="false">I19*I20</f>
        <v>982.066773927223</v>
      </c>
      <c r="J21" s="0" t="n">
        <f aca="false">J19*J20</f>
        <v>979.792116288824</v>
      </c>
      <c r="K21" s="0" t="n">
        <f aca="false">K19*K20</f>
        <v>966.183892451478</v>
      </c>
      <c r="L21" s="0" t="n">
        <f aca="false">L19*L20</f>
        <v>943.426731114225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9833.43056835089</v>
      </c>
    </row>
    <row r="31" customFormat="false" ht="15" hidden="false" customHeight="false" outlineLevel="0" collapsed="false">
      <c r="A31" s="0" t="s">
        <v>137</v>
      </c>
      <c r="B31" s="0" t="n">
        <f aca="false">L19</f>
        <v>2036.78755289785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46846.1137166506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44809.3261637528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44809.3261637528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20755.388084513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30588.8186528638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29290.1186528638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322.934053504563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0.120054292121819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815.434251222226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1624.04759624472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349.830214998134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18331.0879760807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113.573786917805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144.772526547662</v>
      </c>
      <c r="C4" s="0" t="n">
        <f aca="false">B4/Assumptions!$B$2-1</f>
        <v>-0.497875532229253</v>
      </c>
      <c r="D4" s="4" t="n">
        <f aca="false">Assumptions!$B$24</f>
        <v>0.2</v>
      </c>
      <c r="E4" s="4" t="n">
        <f aca="false">DCF_Bear!$B$43</f>
        <v>164.532501662846</v>
      </c>
      <c r="F4" s="4" t="n">
        <f aca="false">DCF_Bear!$B$47</f>
        <v>64.5439099221966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257.023529005268</v>
      </c>
      <c r="C5" s="0" t="n">
        <f aca="false">B5/Assumptions!$B$2-1</f>
        <v>-0.108547693516691</v>
      </c>
      <c r="D5" s="4" t="n">
        <f aca="false">Assumptions!$B$38</f>
        <v>0.55</v>
      </c>
      <c r="E5" s="4" t="n">
        <f aca="false">DCF_Base!$B$43</f>
        <v>281.683411986321</v>
      </c>
      <c r="F5" s="4" t="n">
        <f aca="false">DCF_Base!$B$47</f>
        <v>96.3882901163548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322.934053504563</v>
      </c>
      <c r="C6" s="0" t="n">
        <f aca="false">B6/Assumptions!$B$2-1</f>
        <v>0.120054292121819</v>
      </c>
      <c r="D6" s="4" t="n">
        <f aca="false">Assumptions!$B$52</f>
        <v>0.25</v>
      </c>
      <c r="E6" s="4" t="n">
        <f aca="false">DCF_Bull!$B$43</f>
        <v>349.830214998134</v>
      </c>
      <c r="F6" s="4" t="n">
        <f aca="false">DCF_Bull!$B$47</f>
        <v>113.573786917805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251.05095963857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275.28993067458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-0.148452092814482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153.756693326886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94.3157882778857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257.023529005268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214.641916105494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180.715797705251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155.324612035878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135.62010047934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96.3882901163548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303.140692072002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303.140692072002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303.140692072002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303.140692072002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303.140692072002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278.973233426969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278.973233426969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278.973233426969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278.973233426969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278.973233426969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230.98927593905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245.189777611532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257.023529005268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257.023529005268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257.023529005268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194.10318304901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203.582598305849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214.641916105494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227.71201895962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237.064936598352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166.527208048269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173.148549888194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180.715797705251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189.447237494163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199.633917247894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2026-10-02T21:34:39Z</dcterms:created>
  <dc:creator>openpyxl</dc:creator>
  <dc:description/>
  <dc:language>en-NZ</dc:language>
  <cp:lastModifiedBy/>
  <dcterms:modified xsi:type="dcterms:W3CDTF">2026-10-02T21:34:39Z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