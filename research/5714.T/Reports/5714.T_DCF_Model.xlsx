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<sst xmlns="http://schemas.openxmlformats.org/spreadsheetml/2006/main" count="374" uniqueCount="171">
  <si>
    <t xml:space="preserve">Ticker</t>
  </si>
  <si>
    <t xml:space="preserve">5714.T</t>
  </si>
  <si>
    <t xml:space="preserve">Company</t>
  </si>
  <si>
    <t xml:space="preserve">DOWA Holdings Co., Ltd.</t>
  </si>
  <si>
    <t xml:space="preserve">Valuation date</t>
  </si>
  <si>
    <t xml:space="preserve">2026-11-01</t>
  </si>
  <si>
    <t xml:space="preserve">Current price</t>
  </si>
  <si>
    <t xml:space="preserve">Price as of</t>
  </si>
  <si>
    <t xml:space="preserve">2026-10-30T06:30:00Z regular close (TSE)</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</si>
  <si>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</si>
  <si>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</si>
  <si>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</si>
  <si>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</si>
  <si>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</si>
  <si>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</si>
  <si>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</si>
  <si>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</si>
  <si>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</si>
  <si>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</si>
  <si>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</si>
  <si>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</si>
  <si>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2026-10-31T11:26:19Z</t>
  </si>
  <si>
    <t xml:space="preserve">Drivers file</t>
  </si>
  <si>
    <t xml:space="preserve">5714.T_Drivers.json</t>
  </si>
  <si>
    <t xml:space="preserve">Convention</t>
  </si>
  <si>
    <t xml:space="preserve">Percents stored as percents; formulas divide by 100. Blue = input, green = link, black = formula.</t>
  </si>
  <si>
    <t xml:space="preserve">Methodology</t>
  </si>
  <si>
    <t xml:space="preserve">summary: Value DOWA on a mid-cycle owner-FCF stream, not on FY2026's record (one-off-flattered) profit or FY2027's guidance struck at record precious-metal prices. The flows include the Mexican zinc-mine affiliates because they are the most price-sensitive earnings DOWA has; the heavy FY2028-30 smelter rebuild is charged in full with only a modest productivity credit; working capital is tied to the metal-price-driven revenue swings in both directions; and a 13x FCF cap rather than Gordon growth is used for a business whose mid-cycle returns do not clear its cost of capital. The 30/50/20 weighting is the explicit price of buying a cyclical at the top of its price cycle.
key_risks_to_valuation: Metal-price and FX assumption: each 1pp of sustained EBITDA-ord margin is worth roughly JPY 900-1,000/share; the base case's 10.5-11% is a judgment about mid-cycle gold, silver, copper and zinc prices and JPY/USD that may be too low if 2025-26 prices prove structural (bull) or too high if the rally fully reverses (bear).; Smelter rebuild capex: the &gt;JPY 100bn programme is charged on management's FY2028-30 schedule with little growth credited; a deferral, a cost overrun, or a larger-than-assumed capacity/productivity payoff would each move the value by several hundred yen per share.; Equity-method affiliates are valued through their earnings in the flows at consolidated tax rates, not as a separate asset; mine life, Mexican fiscal changes or a sale of the Los Gatos stake would change both the flows and the appropriate treatment.; Working-capital capture of -15% is a through-cycle figure; FY2026 realised ~80% of the revenue change because inventory was re-marked with metal prices, so a continued price rise would consume more cash in year 1 than modelled, and a fall would release more.; AFS securities taken at fair value less tax (JPY 41bn) assume the cross-shareholdings are saleable at book, as the Fujita Kanko sale demonstrated; a market fall in those holdings reduces the bridge directly.; Terminal cap of 13x FCF (12x bear, 14x bull) sets the exit; the Gordon value at 8%/2% would be ~17x and the gap is the price of not assuming a re-rating.</t>
  </si>
  <si>
    <t xml:space="preserve">Data sources</t>
  </si>
  <si>
    <t xml:space="preserve">price: Yahoo Finance chart API, regular TSE close at inputs.price_as_of; 52-week range 5,334-12,380.
financials: 5714.T_Metrics.csv (54 periods FY2013-Q1 FY2027, restated for the October 2017 1-for-5 consolidation); FY2026 consolidated financial results tanshin dated 2026-05-14 (income statement, balance sheet, cash-flow statement, segment note with equity-method investments); Q1 FY2027 tanshin dated 2026-08-07 (balance sheet and share counts at 2026-06-30, unchanged FY2027 forecast); kpis table for segment profit history, depreciation, cash taxes paid, interest income, dividends and buybacks.
qualitative: 5714.T_Analysis.json dated 2026-11-01 (segment mix, Medium-term Plan 2027 targets and investment programme, smelter rebuild schedule, Q1 FY2027 commentary on softening metal prices, bull and bear cases).</t>
  </si>
  <si>
    <t xml:space="preserve">Scenario narrative: bear</t>
  </si>
  <si>
    <t xml:space="preserve">The precious-metal rally that management itself flagged as softening at the Q1 FY2027 release reverses in earnest -- gold and silver down 25-30%, zinc and copper down 20% -- while the yen strengthens toward JPY 130/USD. Revenue falls to ~JPY 700bn by FY2029 and the EBITDA-ord margin returns to the 9-9.5% of FY2019-21, when ordinary profit was JPY 24-37bn; equity-method income from the Mexican mines collapses toward the FY2019-20 level. Electronic Materials remains loss-making-adjacent as Chinese silver-powder entrants take share, recycling feedstock competition degrades urban-mining margins, and higher electricity and carbon costs are not passed through. The smelter rebuild is only slightly deferred, so FY2028-30 owner FCF is near zero or negative and the balance sheet absorbs it; the company repeats its MTP2024 miss, and the market caps the exit at 12x a JPY 20bn FCF.</t>
  </si>
  <si>
    <t xml:space="preserve">Scenario narrative: base</t>
  </si>
  <si>
    <t xml:space="preserve">FY2027 lands close to guidance (JPY 941bn sales, ~JPY 80bn ordinary profit) on the strength already banked in Q1 (operating profit JPY 24.7bn exceeded the full H1 target), but gold, silver, copper and zinc then give back part of their 2025-26 run and the yen firms from JPY 142/USD: revenue retraces ~13% over FY2028-29 and the ordinary-basis EBITDA margin settles at 10.5%, roughly the FY2022-26 average, with the Mexican zinc-mine affiliates contributing a mid-cycle ~JPY 9-10bn rather than FY2027's ~JPY 22bn. Environmental Management &amp; Recycling keeps growing on Japan's circular-economy push (segment profit JPY 16.5bn FY2026, up from JPY 6-9bn a decade ago), Metal Processing and Heat Treatment track Japanese auto output, and Electronic Materials stabilises at a low profit without the repeatedly-promised turnaround. The &gt;JPY 100bn smelting-complex rebuild is spent on schedule in FY2028-30, suppressing owner FCF to JPY 1-20bn/yr in those years before it recovers to JPY 30-39bn/yr; the rebuild earns its keep only as a +0.5pp margin lift from year 7. Mid-cycle returns remain a little below the 8% WACC, which is why the value sits below book.</t>
  </si>
  <si>
    <t xml:space="preserve">Scenario narrative: bull</t>
  </si>
  <si>
    <t xml:space="preserve">Gold's reserve-asset bid, structural silver and copper deficits and a yen that stays above JPY 140/USD keep metal prices and FX near 2026 levels for several years, so FY2027 guidance is beaten (the Q1 run-rate already implies it) and revenue holds around JPY 950bn-1.0tn rather than retracing. Los Gatos and Tizapa keep paying out at elevated silver and zinc prices. The rebuilt smelter adds critical-minerals capacity and labour productivity, the Kumamoto recycling plant and the Nippon Light Metal battery/solar recycling partnership add volume, and the next-generation silver powder and LED/PD projects finally deliver the Electronic Materials recovery, taking the EBITDA-ord margin past the FY2017 peak of 12.8% to 12.5% sustained on a larger base. Management's MTP2027 ROE &gt;= 10% target is met and exceeded, buybacks continue, and the market pays a 14x FCF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</si>
  <si>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</si>
  <si>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</si>
  <si>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</si>
  <si>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</si>
  <si>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</si>
  <si>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</si>
  <si>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</si>
  <si>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</si>
  <si>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</si>
  <si>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</si>
  <si>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</si>
  <si>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</si>
  <si>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</si>
  <si>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</si>
  <si>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</si>
  <si>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</si>
  <si>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</si>
  <si>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</si>
  <si>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</si>
  <si>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</si>
  <si>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</si>
  <si>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</si>
  <si>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</si>
  <si>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</si>
  <si>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</si>
  <si>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</si>
  <si>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</si>
  <si>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</si>
  <si>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OrdinaryProfit</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</si>
  <si>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</si>
  <si>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</si>
  <si>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</si>
  <si>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</si>
  <si>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</si>
  <si>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</si>
  <si>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</si>
  <si>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</si>
  <si>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</si>
  <si>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</si>
  <si>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</si>
  <si>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</si>
  <si>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</si>
  <si>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</si>
  <si>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</si>
  <si>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</si>
  <si>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</si>
  <si>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</si>
  <si>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</si>
  <si>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</si>
  <si>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</si>
  <si>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</si>
  <si>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</si>
  <si>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</si>
  <si>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</si>
  <si>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</si>
  <si>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</si>
  <si>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</si>
  <si>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</si>
  <si>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</si>
  <si>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</si>
  <si>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</si>
  <si>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</si>
  <si>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</si>
  <si>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</si>
  <si>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</si>
  <si>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</si>
  <si>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</si>
  <si>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</si>
  <si>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</si>
  <si>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</si>
  <si>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</si>
  <si>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</si>
  <si>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</si>
  <si>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</si>
  <si>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</si>
  <si>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</si>
  <si>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</si>
  <si>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</si>
  <si>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</si>
  <si>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</si>
  <si>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5714.T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</si>
  <si>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</si>
  <si>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</si>
  <si>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</si>
  <si>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</si>
  <si>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</si>
  <si>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</si>
  <si>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</si>
  <si>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</si>
  <si>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</si>
  <si>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</si>
  <si>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</si>
  <si>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</si>
  <si>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</si>
  <si>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</si>
  <si>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</si>
  <si>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</si>
  <si>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</si>
  <si>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</si>
  <si>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</si>
  <si>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</si>
  <si>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</si>
  <si>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</si>
  <si>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</si>
  <si>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</si>
  <si>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</si>
  <si>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</si>
  <si>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</si>
  <si>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</si>
  <si>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</si>
  <si>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</si>
  <si>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5714.T owner-FCF component DCF: base case (millions, JPY)</t>
  </si>
  <si>
    <t xml:space="preserve">5714.T owner-FCF component DCF: bull case (millions, JPY)</t>
  </si>
  <si>
    <t xml:space="preserve">5714.T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</si>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</sst>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7940</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419390</v>
      </c>
      <c r="F2" s="0" t="n">
        <v>24564</v>
      </c>
      <c r="G2" s="0" t="n">
        <v>5.9</v>
      </c>
      <c r="I2" s="0" t="n">
        <v>15213</v>
      </c>
      <c r="J2" s="0" t="n">
        <v>3.6</v>
      </c>
      <c r="K2" s="0" t="n">
        <v>257.05</v>
      </c>
      <c r="O2" s="0" t="n">
        <v>133593</v>
      </c>
      <c r="P2" s="0" t="n">
        <v>349787</v>
      </c>
      <c r="T2" s="0" t="n">
        <v>59.189</v>
      </c>
      <c r="AA2" s="0" t="s">
        <v>17</v>
      </c>
      <c r="AB2" s="0" t="s">
        <v>14</v>
      </c>
      <c r="AC2" s="0" t="n">
        <v>2257.05</v>
      </c>
      <c r="AD2" s="0" t="n">
        <v>27277</v>
      </c>
    </row>
    <row r="3" customFormat="false" ht="15" hidden="false" customHeight="false" outlineLevel="0" collapsed="false">
      <c r="A3" s="0" t="s">
        <v>66</v>
      </c>
      <c r="B3" s="0" t="n">
        <v>443985</v>
      </c>
      <c r="C3" s="0" t="n">
        <v>382079</v>
      </c>
      <c r="D3" s="0" t="n">
        <v>61905</v>
      </c>
      <c r="E3" s="0" t="n">
        <v>13.9</v>
      </c>
      <c r="F3" s="0" t="n">
        <v>31794</v>
      </c>
      <c r="G3" s="0" t="n">
        <v>7.2</v>
      </c>
      <c r="H3" s="0" t="n">
        <v>47999</v>
      </c>
      <c r="I3" s="0" t="n">
        <v>23310</v>
      </c>
      <c r="J3" s="0" t="n">
        <v>5.3</v>
      </c>
      <c r="K3" s="0" t="n">
        <v>393.85</v>
      </c>
      <c r="L3" s="0" t="n">
        <v>30189</v>
      </c>
      <c r="M3" s="0" t="n">
        <v>16330</v>
      </c>
      <c r="N3" s="0" t="n">
        <v>13859</v>
      </c>
      <c r="O3" s="0" t="n">
        <v>158253</v>
      </c>
      <c r="P3" s="0" t="n">
        <v>358717</v>
      </c>
      <c r="Q3" s="0" t="n">
        <v>191730</v>
      </c>
      <c r="R3" s="0" t="n">
        <v>99663</v>
      </c>
      <c r="S3" s="0" t="n">
        <v>5857</v>
      </c>
      <c r="T3" s="0" t="n">
        <v>59.188</v>
      </c>
      <c r="V3" s="0" t="n">
        <v>75</v>
      </c>
      <c r="AA3" s="0" t="s">
        <v>17</v>
      </c>
      <c r="AB3" s="0" t="s">
        <v>14</v>
      </c>
      <c r="AC3" s="0" t="n">
        <v>2673.75</v>
      </c>
      <c r="AD3" s="0" t="n">
        <v>35055</v>
      </c>
    </row>
    <row r="4" customFormat="false" ht="15" hidden="false" customHeight="false" outlineLevel="0" collapsed="false">
      <c r="A4" s="0" t="s">
        <v>67</v>
      </c>
      <c r="B4" s="0" t="n">
        <v>464219</v>
      </c>
      <c r="C4" s="0" t="n">
        <v>391509</v>
      </c>
      <c r="D4" s="0" t="n">
        <v>72710</v>
      </c>
      <c r="E4" s="0" t="n">
        <v>15.7</v>
      </c>
      <c r="F4" s="0" t="n">
        <v>39094</v>
      </c>
      <c r="G4" s="0" t="n">
        <v>8.4</v>
      </c>
      <c r="H4" s="0" t="n">
        <v>54666</v>
      </c>
      <c r="I4" s="0" t="n">
        <v>26543</v>
      </c>
      <c r="J4" s="0" t="n">
        <v>5.7</v>
      </c>
      <c r="K4" s="0" t="n">
        <v>448.45</v>
      </c>
      <c r="L4" s="0" t="n">
        <v>38345</v>
      </c>
      <c r="M4" s="0" t="n">
        <v>16838</v>
      </c>
      <c r="N4" s="0" t="n">
        <v>21507</v>
      </c>
      <c r="O4" s="0" t="n">
        <v>187121</v>
      </c>
      <c r="P4" s="0" t="n">
        <v>379193</v>
      </c>
      <c r="Q4" s="0" t="n">
        <v>183543</v>
      </c>
      <c r="R4" s="0" t="n">
        <v>86667</v>
      </c>
      <c r="S4" s="0" t="n">
        <v>8517</v>
      </c>
      <c r="T4" s="0" t="n">
        <v>59.187</v>
      </c>
      <c r="V4" s="0" t="n">
        <v>90</v>
      </c>
      <c r="AA4" s="0" t="s">
        <v>17</v>
      </c>
      <c r="AB4" s="0" t="s">
        <v>14</v>
      </c>
      <c r="AC4" s="0" t="n">
        <v>3161.5</v>
      </c>
      <c r="AD4" s="0" t="n">
        <v>42037</v>
      </c>
    </row>
    <row r="5" customFormat="false" ht="15" hidden="false" customHeight="false" outlineLevel="0" collapsed="false">
      <c r="A5" s="0" t="s">
        <v>68</v>
      </c>
      <c r="B5" s="0" t="n">
        <v>406598</v>
      </c>
      <c r="C5" s="0" t="n">
        <v>337314</v>
      </c>
      <c r="D5" s="0" t="n">
        <v>69283</v>
      </c>
      <c r="E5" s="0" t="n">
        <v>17</v>
      </c>
      <c r="F5" s="0" t="n">
        <v>35067</v>
      </c>
      <c r="G5" s="0" t="n">
        <v>8.6</v>
      </c>
      <c r="H5" s="0" t="n">
        <v>50212</v>
      </c>
      <c r="I5" s="0" t="n">
        <v>21826</v>
      </c>
      <c r="J5" s="0" t="n">
        <v>5.4</v>
      </c>
      <c r="K5" s="0" t="n">
        <v>368.75</v>
      </c>
      <c r="L5" s="0" t="n">
        <v>45751</v>
      </c>
      <c r="M5" s="0" t="n">
        <v>20664</v>
      </c>
      <c r="N5" s="0" t="n">
        <v>25087</v>
      </c>
      <c r="O5" s="0" t="n">
        <v>194921</v>
      </c>
      <c r="P5" s="0" t="n">
        <v>364420</v>
      </c>
      <c r="Q5" s="0" t="n">
        <v>161049</v>
      </c>
      <c r="R5" s="0" t="n">
        <v>81134</v>
      </c>
      <c r="S5" s="0" t="n">
        <v>19364</v>
      </c>
      <c r="T5" s="0" t="n">
        <v>59.187</v>
      </c>
      <c r="V5" s="0" t="n">
        <v>90</v>
      </c>
      <c r="AA5" s="0" t="s">
        <v>17</v>
      </c>
      <c r="AB5" s="0" t="s">
        <v>14</v>
      </c>
      <c r="AC5" s="0" t="n">
        <v>3293.3</v>
      </c>
      <c r="AD5" s="0" t="n">
        <v>35056</v>
      </c>
    </row>
    <row r="6" customFormat="false" ht="15" hidden="false" customHeight="false" outlineLevel="0" collapsed="false">
      <c r="A6" s="0" t="s">
        <v>69</v>
      </c>
      <c r="B6" s="0" t="n">
        <v>410503</v>
      </c>
      <c r="C6" s="0" t="n">
        <v>341177</v>
      </c>
      <c r="D6" s="0" t="n">
        <v>69325</v>
      </c>
      <c r="E6" s="0" t="n">
        <v>16.9</v>
      </c>
      <c r="F6" s="0" t="n">
        <v>33990</v>
      </c>
      <c r="G6" s="0" t="n">
        <v>8.3</v>
      </c>
      <c r="H6" s="0" t="n">
        <v>49786</v>
      </c>
      <c r="I6" s="0" t="n">
        <v>26169</v>
      </c>
      <c r="J6" s="0" t="n">
        <v>6.4</v>
      </c>
      <c r="K6" s="0" t="n">
        <v>442.15</v>
      </c>
      <c r="L6" s="0" t="n">
        <v>29389</v>
      </c>
      <c r="M6" s="0" t="n">
        <v>25964</v>
      </c>
      <c r="N6" s="0" t="n">
        <v>3425</v>
      </c>
      <c r="O6" s="0" t="n">
        <v>219303</v>
      </c>
      <c r="P6" s="0" t="n">
        <v>404604</v>
      </c>
      <c r="Q6" s="0" t="n">
        <v>176782</v>
      </c>
      <c r="R6" s="0" t="n">
        <v>79882</v>
      </c>
      <c r="S6" s="0" t="n">
        <v>15589</v>
      </c>
      <c r="T6" s="0" t="n">
        <v>59.186</v>
      </c>
      <c r="V6" s="0" t="n">
        <v>90</v>
      </c>
      <c r="AA6" s="0" t="s">
        <v>17</v>
      </c>
      <c r="AB6" s="0" t="s">
        <v>14</v>
      </c>
      <c r="AC6" s="0" t="n">
        <v>3705.3</v>
      </c>
      <c r="AD6" s="0" t="n">
        <v>36504</v>
      </c>
    </row>
    <row r="7" customFormat="false" ht="15" hidden="false" customHeight="false" outlineLevel="0" collapsed="false">
      <c r="A7" s="0" t="s">
        <v>70</v>
      </c>
      <c r="B7" s="0" t="n">
        <v>454754</v>
      </c>
      <c r="C7" s="0" t="n">
        <v>387831</v>
      </c>
      <c r="D7" s="0" t="n">
        <v>66923</v>
      </c>
      <c r="E7" s="0" t="n">
        <v>14.7</v>
      </c>
      <c r="F7" s="0" t="n">
        <v>30948</v>
      </c>
      <c r="G7" s="0" t="n">
        <v>6.8</v>
      </c>
      <c r="H7" s="0" t="n">
        <v>48160</v>
      </c>
      <c r="I7" s="0" t="n">
        <v>24693</v>
      </c>
      <c r="J7" s="0" t="n">
        <v>5.4</v>
      </c>
      <c r="K7" s="0" t="n">
        <v>417.21</v>
      </c>
      <c r="L7" s="0" t="n">
        <v>11125</v>
      </c>
      <c r="M7" s="0" t="n">
        <v>24036</v>
      </c>
      <c r="N7" s="0" t="n">
        <v>-12911</v>
      </c>
      <c r="O7" s="0" t="n">
        <v>238815</v>
      </c>
      <c r="P7" s="0" t="n">
        <v>457841</v>
      </c>
      <c r="Q7" s="0" t="n">
        <v>210078</v>
      </c>
      <c r="R7" s="0" t="n">
        <v>109826</v>
      </c>
      <c r="S7" s="0" t="n">
        <v>16935</v>
      </c>
      <c r="T7" s="0" t="n">
        <v>59.185</v>
      </c>
      <c r="V7" s="0" t="n">
        <v>90</v>
      </c>
      <c r="AA7" s="0" t="s">
        <v>17</v>
      </c>
      <c r="AB7" s="0" t="s">
        <v>14</v>
      </c>
      <c r="AC7" s="0" t="n">
        <v>4035.06</v>
      </c>
      <c r="AD7" s="0" t="n">
        <v>36355</v>
      </c>
    </row>
    <row r="8" customFormat="false" ht="15" hidden="false" customHeight="false" outlineLevel="0" collapsed="false">
      <c r="A8" s="0" t="s">
        <v>71</v>
      </c>
      <c r="B8" s="0" t="n">
        <v>452928</v>
      </c>
      <c r="C8" s="0" t="n">
        <v>396495</v>
      </c>
      <c r="D8" s="0" t="n">
        <v>56432</v>
      </c>
      <c r="E8" s="0" t="n">
        <v>12.5</v>
      </c>
      <c r="F8" s="0" t="n">
        <v>18671</v>
      </c>
      <c r="G8" s="0" t="n">
        <v>4.1</v>
      </c>
      <c r="H8" s="0" t="n">
        <v>37299</v>
      </c>
      <c r="I8" s="0" t="n">
        <v>14986</v>
      </c>
      <c r="J8" s="0" t="n">
        <v>3.3</v>
      </c>
      <c r="K8" s="0" t="n">
        <v>253.22</v>
      </c>
      <c r="L8" s="0" t="n">
        <v>37555</v>
      </c>
      <c r="M8" s="0" t="n">
        <v>23683</v>
      </c>
      <c r="N8" s="0" t="n">
        <v>13872</v>
      </c>
      <c r="O8" s="0" t="n">
        <v>237214</v>
      </c>
      <c r="P8" s="0" t="n">
        <v>494683</v>
      </c>
      <c r="Q8" s="0" t="n">
        <v>248524</v>
      </c>
      <c r="R8" s="0" t="n">
        <v>135240</v>
      </c>
      <c r="S8" s="0" t="n">
        <v>20118</v>
      </c>
      <c r="T8" s="0" t="n">
        <v>59.185</v>
      </c>
      <c r="V8" s="0" t="n">
        <v>90</v>
      </c>
      <c r="AA8" s="0" t="s">
        <v>17</v>
      </c>
      <c r="AB8" s="0" t="s">
        <v>14</v>
      </c>
      <c r="AC8" s="0" t="n">
        <v>4008.03</v>
      </c>
      <c r="AD8" s="0" t="n">
        <v>24309</v>
      </c>
    </row>
    <row r="9" customFormat="false" ht="15" hidden="false" customHeight="false" outlineLevel="0" collapsed="false">
      <c r="A9" s="0" t="s">
        <v>72</v>
      </c>
      <c r="B9" s="0" t="n">
        <v>485130</v>
      </c>
      <c r="C9" s="0" t="n">
        <v>421630</v>
      </c>
      <c r="D9" s="0" t="n">
        <v>63499</v>
      </c>
      <c r="E9" s="0" t="n">
        <v>13.1</v>
      </c>
      <c r="F9" s="0" t="n">
        <v>25955</v>
      </c>
      <c r="G9" s="0" t="n">
        <v>5.4</v>
      </c>
      <c r="H9" s="0" t="n">
        <v>45243</v>
      </c>
      <c r="I9" s="0" t="n">
        <v>17395</v>
      </c>
      <c r="J9" s="0" t="n">
        <v>3.6</v>
      </c>
      <c r="K9" s="0" t="n">
        <v>293.92</v>
      </c>
      <c r="L9" s="0" t="n">
        <v>55113</v>
      </c>
      <c r="M9" s="0" t="n">
        <v>36126</v>
      </c>
      <c r="N9" s="0" t="n">
        <v>18987</v>
      </c>
      <c r="O9" s="0" t="n">
        <v>248047</v>
      </c>
      <c r="P9" s="0" t="n">
        <v>512495</v>
      </c>
      <c r="Q9" s="0" t="n">
        <v>254254</v>
      </c>
      <c r="R9" s="0" t="n">
        <v>134086</v>
      </c>
      <c r="S9" s="0" t="n">
        <v>31730</v>
      </c>
      <c r="T9" s="0" t="n">
        <v>59.184</v>
      </c>
      <c r="V9" s="0" t="n">
        <v>90</v>
      </c>
      <c r="AA9" s="0" t="s">
        <v>17</v>
      </c>
      <c r="AB9" s="0" t="s">
        <v>14</v>
      </c>
      <c r="AC9" s="0" t="n">
        <v>4191.09</v>
      </c>
      <c r="AD9" s="0" t="n">
        <v>28996</v>
      </c>
    </row>
    <row r="10" customFormat="false" ht="15" hidden="false" customHeight="false" outlineLevel="0" collapsed="false">
      <c r="A10" s="0" t="s">
        <v>73</v>
      </c>
      <c r="B10" s="0" t="n">
        <v>588003</v>
      </c>
      <c r="C10" s="0" t="n">
        <v>512155</v>
      </c>
      <c r="D10" s="0" t="n">
        <v>75848</v>
      </c>
      <c r="E10" s="0" t="n">
        <v>12.9</v>
      </c>
      <c r="F10" s="0" t="n">
        <v>37454</v>
      </c>
      <c r="G10" s="0" t="n">
        <v>6.4</v>
      </c>
      <c r="H10" s="0" t="n">
        <v>57504</v>
      </c>
      <c r="I10" s="0" t="n">
        <v>21824</v>
      </c>
      <c r="J10" s="0" t="n">
        <v>3.7</v>
      </c>
      <c r="K10" s="0" t="n">
        <v>368.45</v>
      </c>
      <c r="L10" s="0" t="n">
        <v>-3088</v>
      </c>
      <c r="M10" s="0" t="n">
        <v>35022</v>
      </c>
      <c r="N10" s="0" t="n">
        <v>-38110</v>
      </c>
      <c r="O10" s="0" t="n">
        <v>265704</v>
      </c>
      <c r="P10" s="0" t="n">
        <v>598471</v>
      </c>
      <c r="Q10" s="0" t="n">
        <v>321755</v>
      </c>
      <c r="R10" s="0" t="n">
        <v>153951</v>
      </c>
      <c r="S10" s="0" t="n">
        <v>18277</v>
      </c>
      <c r="T10" s="0" t="n">
        <v>59.502</v>
      </c>
      <c r="V10" s="0" t="n">
        <v>95</v>
      </c>
      <c r="AA10" s="0" t="s">
        <v>17</v>
      </c>
      <c r="AB10" s="0" t="s">
        <v>14</v>
      </c>
      <c r="AC10" s="0" t="n">
        <v>4465.44</v>
      </c>
      <c r="AD10" s="0" t="n">
        <v>37200</v>
      </c>
    </row>
    <row r="11" customFormat="false" ht="15" hidden="false" customHeight="false" outlineLevel="0" collapsed="false">
      <c r="A11" s="0" t="s">
        <v>74</v>
      </c>
      <c r="B11" s="0" t="n">
        <v>831794</v>
      </c>
      <c r="C11" s="0" t="n">
        <v>725368</v>
      </c>
      <c r="D11" s="0" t="n">
        <v>106425</v>
      </c>
      <c r="E11" s="0" t="n">
        <v>12.8</v>
      </c>
      <c r="F11" s="0" t="n">
        <v>63824</v>
      </c>
      <c r="G11" s="0" t="n">
        <v>7.7</v>
      </c>
      <c r="H11" s="0" t="n">
        <v>86406</v>
      </c>
      <c r="I11" s="0" t="n">
        <v>51012</v>
      </c>
      <c r="J11" s="0" t="n">
        <v>6.1</v>
      </c>
      <c r="K11" s="0" t="n">
        <v>857.32</v>
      </c>
      <c r="L11" s="0" t="n">
        <v>59911</v>
      </c>
      <c r="M11" s="0" t="n">
        <v>31779</v>
      </c>
      <c r="N11" s="0" t="n">
        <v>28132</v>
      </c>
      <c r="O11" s="0" t="n">
        <v>313455</v>
      </c>
      <c r="P11" s="0" t="n">
        <v>657283</v>
      </c>
      <c r="Q11" s="0" t="n">
        <v>328708</v>
      </c>
      <c r="R11" s="0" t="n">
        <v>131624</v>
      </c>
      <c r="S11" s="0" t="n">
        <v>36847</v>
      </c>
      <c r="T11" s="0" t="n">
        <v>59.502</v>
      </c>
      <c r="V11" s="0" t="n">
        <v>130</v>
      </c>
      <c r="AA11" s="0" t="s">
        <v>17</v>
      </c>
      <c r="AB11" s="0" t="s">
        <v>14</v>
      </c>
      <c r="AC11" s="0" t="n">
        <v>5267.94</v>
      </c>
      <c r="AD11" s="0" t="n">
        <v>76073</v>
      </c>
    </row>
    <row r="12" customFormat="false" ht="15" hidden="false" customHeight="false" outlineLevel="0" collapsed="false">
      <c r="A12" s="0" t="s">
        <v>75</v>
      </c>
      <c r="B12" s="0" t="n">
        <v>780060</v>
      </c>
      <c r="C12" s="0" t="n">
        <v>689241</v>
      </c>
      <c r="D12" s="0" t="n">
        <v>90819</v>
      </c>
      <c r="E12" s="0" t="n">
        <v>11.6</v>
      </c>
      <c r="F12" s="0" t="n">
        <v>44610</v>
      </c>
      <c r="G12" s="0" t="n">
        <v>5.7</v>
      </c>
      <c r="H12" s="0" t="n">
        <v>68565</v>
      </c>
      <c r="I12" s="0" t="n">
        <v>25041</v>
      </c>
      <c r="J12" s="0" t="n">
        <v>3.2</v>
      </c>
      <c r="K12" s="0" t="n">
        <v>420.76</v>
      </c>
      <c r="L12" s="0" t="n">
        <v>50725</v>
      </c>
      <c r="M12" s="0" t="n">
        <v>33076</v>
      </c>
      <c r="N12" s="0" t="n">
        <v>17649</v>
      </c>
      <c r="O12" s="0" t="n">
        <v>344893</v>
      </c>
      <c r="P12" s="0" t="n">
        <v>655282</v>
      </c>
      <c r="Q12" s="0" t="n">
        <v>294678</v>
      </c>
      <c r="R12" s="0" t="n">
        <v>124767</v>
      </c>
      <c r="S12" s="0" t="n">
        <v>38818</v>
      </c>
      <c r="T12" s="0" t="n">
        <v>59.519</v>
      </c>
      <c r="V12" s="0" t="n">
        <v>130</v>
      </c>
      <c r="AA12" s="0" t="s">
        <v>17</v>
      </c>
      <c r="AB12" s="0" t="s">
        <v>14</v>
      </c>
      <c r="AC12" s="0" t="n">
        <v>5794.63</v>
      </c>
      <c r="AD12" s="0" t="n">
        <v>55501</v>
      </c>
    </row>
    <row r="13" customFormat="false" ht="15" hidden="false" customHeight="false" outlineLevel="0" collapsed="false">
      <c r="A13" s="0" t="s">
        <v>76</v>
      </c>
      <c r="B13" s="0" t="n">
        <v>717194</v>
      </c>
      <c r="C13" s="0" t="n">
        <v>635748</v>
      </c>
      <c r="D13" s="0" t="n">
        <v>81446</v>
      </c>
      <c r="E13" s="0" t="n">
        <v>11.4</v>
      </c>
      <c r="F13" s="0" t="n">
        <v>30003</v>
      </c>
      <c r="G13" s="0" t="n">
        <v>4.2</v>
      </c>
      <c r="H13" s="0" t="n">
        <v>55301</v>
      </c>
      <c r="I13" s="0" t="n">
        <v>27853</v>
      </c>
      <c r="J13" s="0" t="n">
        <v>3.9</v>
      </c>
      <c r="K13" s="0" t="n">
        <v>467.9</v>
      </c>
      <c r="L13" s="0" t="n">
        <v>118630</v>
      </c>
      <c r="M13" s="0" t="n">
        <v>38357</v>
      </c>
      <c r="N13" s="0" t="n">
        <v>80273</v>
      </c>
      <c r="O13" s="0" t="n">
        <v>372990</v>
      </c>
      <c r="P13" s="0" t="n">
        <v>632770</v>
      </c>
      <c r="Q13" s="0" t="n">
        <v>243980</v>
      </c>
      <c r="R13" s="0" t="n">
        <v>75910</v>
      </c>
      <c r="S13" s="0" t="n">
        <v>75066</v>
      </c>
      <c r="T13" s="0" t="n">
        <v>59.536</v>
      </c>
      <c r="V13" s="0" t="n">
        <v>130</v>
      </c>
      <c r="AA13" s="0" t="s">
        <v>17</v>
      </c>
      <c r="AB13" s="0" t="s">
        <v>14</v>
      </c>
      <c r="AC13" s="0" t="n">
        <v>6264.96</v>
      </c>
      <c r="AD13" s="0" t="n">
        <v>44745</v>
      </c>
    </row>
    <row r="14" customFormat="false" ht="15" hidden="false" customHeight="false" outlineLevel="0" collapsed="false">
      <c r="A14" s="0" t="s">
        <v>77</v>
      </c>
      <c r="B14" s="0" t="n">
        <v>678672</v>
      </c>
      <c r="C14" s="0" t="n">
        <v>592043</v>
      </c>
      <c r="D14" s="0" t="n">
        <v>86629</v>
      </c>
      <c r="E14" s="0" t="n">
        <v>12.8</v>
      </c>
      <c r="F14" s="0" t="n">
        <v>32226</v>
      </c>
      <c r="G14" s="0" t="n">
        <v>4.7</v>
      </c>
      <c r="H14" s="0" t="n">
        <v>61013</v>
      </c>
      <c r="I14" s="0" t="n">
        <v>27128</v>
      </c>
      <c r="J14" s="0" t="n">
        <v>4</v>
      </c>
      <c r="K14" s="0" t="n">
        <v>455.6</v>
      </c>
      <c r="L14" s="0" t="n">
        <v>12827</v>
      </c>
      <c r="M14" s="0" t="n">
        <v>47177</v>
      </c>
      <c r="N14" s="0" t="n">
        <v>-34350</v>
      </c>
      <c r="O14" s="0" t="n">
        <v>398401</v>
      </c>
      <c r="P14" s="0" t="n">
        <v>673537</v>
      </c>
      <c r="Q14" s="0" t="n">
        <v>257501</v>
      </c>
      <c r="R14" s="0" t="n">
        <v>81266</v>
      </c>
      <c r="S14" s="0" t="n">
        <v>43577</v>
      </c>
      <c r="T14" s="0" t="n">
        <v>59.549</v>
      </c>
      <c r="V14" s="0" t="n">
        <v>150</v>
      </c>
      <c r="AA14" s="0" t="s">
        <v>17</v>
      </c>
      <c r="AB14" s="0" t="s">
        <v>14</v>
      </c>
      <c r="AC14" s="0" t="n">
        <v>6690.29</v>
      </c>
      <c r="AD14" s="0" t="n">
        <v>43598</v>
      </c>
    </row>
    <row r="15" customFormat="false" ht="15" hidden="false" customHeight="false" outlineLevel="0" collapsed="false">
      <c r="A15" s="0" t="s">
        <v>78</v>
      </c>
      <c r="B15" s="0" t="n">
        <v>745410</v>
      </c>
      <c r="C15" s="0" t="n">
        <v>655111</v>
      </c>
      <c r="D15" s="0" t="n">
        <v>90299</v>
      </c>
      <c r="E15" s="0" t="n">
        <v>12.1</v>
      </c>
      <c r="F15" s="0" t="n">
        <v>34192</v>
      </c>
      <c r="G15" s="0" t="n">
        <v>4.6</v>
      </c>
      <c r="H15" s="0" t="n">
        <v>65157</v>
      </c>
      <c r="I15" s="0" t="n">
        <v>62458</v>
      </c>
      <c r="J15" s="0" t="n">
        <v>8.4</v>
      </c>
      <c r="K15" s="0" t="n">
        <v>1049.83</v>
      </c>
      <c r="L15" s="0" t="n">
        <v>5241</v>
      </c>
      <c r="M15" s="0" t="n">
        <v>35176</v>
      </c>
      <c r="N15" s="0" t="n">
        <v>-29935</v>
      </c>
      <c r="O15" s="0" t="n">
        <v>455564</v>
      </c>
      <c r="P15" s="0" t="n">
        <v>794476</v>
      </c>
      <c r="Q15" s="0" t="n">
        <v>319846</v>
      </c>
      <c r="R15" s="0" t="n">
        <v>90690</v>
      </c>
      <c r="S15" s="0" t="n">
        <v>51225</v>
      </c>
      <c r="T15" s="0" t="n">
        <v>59.148</v>
      </c>
      <c r="V15" s="0" t="n">
        <v>368</v>
      </c>
      <c r="AA15" s="0" t="s">
        <v>17</v>
      </c>
      <c r="AB15" s="0" t="s">
        <v>14</v>
      </c>
      <c r="AC15" s="0" t="n">
        <v>7702.07</v>
      </c>
      <c r="AD15" s="0" t="n">
        <v>54325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7940</v>
      </c>
    </row>
    <row r="3" customFormat="false" ht="15" hidden="false" customHeight="false" outlineLevel="0" collapsed="false">
      <c r="A3" s="0" t="s">
        <v>82</v>
      </c>
      <c r="B3" s="3" t="n">
        <v>59.148</v>
      </c>
    </row>
    <row r="4" customFormat="false" ht="15" hidden="false" customHeight="false" outlineLevel="0" collapsed="false">
      <c r="A4" s="0" t="s">
        <v>83</v>
      </c>
      <c r="B4" s="3" t="n">
        <v>66177</v>
      </c>
    </row>
    <row r="5" customFormat="false" ht="15" hidden="false" customHeight="false" outlineLevel="0" collapsed="false">
      <c r="A5" s="0" t="s">
        <v>84</v>
      </c>
      <c r="B5" s="3" t="n">
        <v>10232</v>
      </c>
    </row>
    <row r="6" customFormat="false" ht="15" hidden="false" customHeight="false" outlineLevel="0" collapsed="false">
      <c r="A6" s="0" t="s">
        <v>85</v>
      </c>
      <c r="B6" s="3" t="n">
        <v>15</v>
      </c>
    </row>
    <row r="7" customFormat="false" ht="15" hidden="false" customHeight="false" outlineLevel="0" collapsed="false">
      <c r="A7" s="0" t="s">
        <v>86</v>
      </c>
      <c r="B7" s="3" t="n">
        <v>745410</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20</v>
      </c>
      <c r="D13" s="3" t="n">
        <v>-15</v>
      </c>
      <c r="E13" s="3" t="n">
        <v>-8</v>
      </c>
      <c r="F13" s="3" t="n">
        <v>0</v>
      </c>
      <c r="G13" s="3" t="n">
        <v>1.5</v>
      </c>
      <c r="H13" s="3" t="n">
        <v>1.5</v>
      </c>
      <c r="I13" s="3" t="n">
        <v>1.5</v>
      </c>
      <c r="J13" s="3" t="n">
        <v>1.5</v>
      </c>
      <c r="K13" s="3" t="n">
        <v>1.5</v>
      </c>
      <c r="L13" s="3" t="n">
        <v>1.5</v>
      </c>
    </row>
    <row r="14" customFormat="false" ht="15" hidden="false" customHeight="false" outlineLevel="0" collapsed="false">
      <c r="A14" s="0" t="s">
        <v>103</v>
      </c>
      <c r="C14" s="3" t="n">
        <v>11.5</v>
      </c>
      <c r="D14" s="3" t="n">
        <v>9.5</v>
      </c>
      <c r="E14" s="3" t="n">
        <v>9</v>
      </c>
      <c r="F14" s="3" t="n">
        <v>9</v>
      </c>
      <c r="G14" s="3" t="n">
        <v>9.2</v>
      </c>
      <c r="H14" s="3" t="n">
        <v>9.5</v>
      </c>
      <c r="I14" s="3" t="n">
        <v>9.5</v>
      </c>
      <c r="J14" s="3" t="n">
        <v>9.5</v>
      </c>
      <c r="K14" s="3" t="n">
        <v>9.5</v>
      </c>
      <c r="L14" s="3" t="n">
        <v>9.5</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106</v>
      </c>
      <c r="C17" s="3" t="n">
        <v>3.7</v>
      </c>
      <c r="D17" s="3" t="n">
        <v>4.3</v>
      </c>
      <c r="E17" s="3" t="n">
        <v>4.8</v>
      </c>
      <c r="F17" s="3" t="n">
        <v>5</v>
      </c>
      <c r="G17" s="3" t="n">
        <v>5.1</v>
      </c>
      <c r="H17" s="3" t="n">
        <v>5.2</v>
      </c>
      <c r="I17" s="3" t="n">
        <v>5.2</v>
      </c>
      <c r="J17" s="3" t="n">
        <v>5.2</v>
      </c>
      <c r="K17" s="3" t="n">
        <v>5.2</v>
      </c>
      <c r="L17" s="3" t="n">
        <v>5.2</v>
      </c>
    </row>
    <row r="18" customFormat="false" ht="15" hidden="false" customHeight="false" outlineLevel="0" collapsed="false">
      <c r="A18" s="0" t="s">
        <v>107</v>
      </c>
      <c r="C18" s="3" t="n">
        <v>5.5</v>
      </c>
      <c r="D18" s="3" t="n">
        <v>8</v>
      </c>
      <c r="E18" s="3" t="n">
        <v>8.5</v>
      </c>
      <c r="F18" s="3" t="n">
        <v>8</v>
      </c>
      <c r="G18" s="3" t="n">
        <v>6</v>
      </c>
      <c r="H18" s="3" t="n">
        <v>5.5</v>
      </c>
      <c r="I18" s="3" t="n">
        <v>5.3</v>
      </c>
      <c r="J18" s="3" t="n">
        <v>5.3</v>
      </c>
      <c r="K18" s="3" t="n">
        <v>5.2</v>
      </c>
      <c r="L18" s="3" t="n">
        <v>5.2</v>
      </c>
    </row>
    <row r="19" customFormat="false" ht="15" hidden="false" customHeight="false" outlineLevel="0" collapsed="false">
      <c r="A19" s="0" t="s">
        <v>108</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109</v>
      </c>
      <c r="B20" s="3" t="n">
        <v>8</v>
      </c>
    </row>
    <row r="21" customFormat="false" ht="15" hidden="false" customHeight="false" outlineLevel="0" collapsed="false">
      <c r="A21" s="0" t="s">
        <v>110</v>
      </c>
      <c r="B21" s="3" t="n">
        <v>1.5</v>
      </c>
    </row>
    <row r="22" customFormat="false" ht="15" hidden="false" customHeight="false" outlineLevel="0" collapsed="false">
      <c r="A22" s="0" t="s">
        <v>111</v>
      </c>
      <c r="B22" s="3" t="n">
        <v>12</v>
      </c>
    </row>
    <row r="23" customFormat="false" ht="15" hidden="false" customHeight="false" outlineLevel="0" collapsed="false">
      <c r="A23" s="0" t="s">
        <v>112</v>
      </c>
      <c r="B23" s="3" t="n">
        <v>-15</v>
      </c>
    </row>
    <row r="24" customFormat="false" ht="15" hidden="false" customHeight="false" outlineLevel="0" collapsed="false">
      <c r="A24" s="0" t="s">
        <v>113</v>
      </c>
      <c r="B24" s="3" t="n">
        <v>0.3</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26.2</v>
      </c>
      <c r="D27" s="3" t="n">
        <v>-8</v>
      </c>
      <c r="E27" s="3" t="n">
        <v>-5</v>
      </c>
      <c r="F27" s="3" t="n">
        <v>2</v>
      </c>
      <c r="G27" s="3" t="n">
        <v>2.5</v>
      </c>
      <c r="H27" s="3" t="n">
        <v>2.5</v>
      </c>
      <c r="I27" s="3" t="n">
        <v>2.5</v>
      </c>
      <c r="J27" s="3" t="n">
        <v>2.5</v>
      </c>
      <c r="K27" s="3" t="n">
        <v>2.5</v>
      </c>
      <c r="L27" s="3" t="n">
        <v>2.5</v>
      </c>
    </row>
    <row r="28" customFormat="false" ht="15" hidden="false" customHeight="false" outlineLevel="0" collapsed="false">
      <c r="A28" s="0" t="s">
        <v>103</v>
      </c>
      <c r="C28" s="3" t="n">
        <v>12.5</v>
      </c>
      <c r="D28" s="3" t="n">
        <v>11</v>
      </c>
      <c r="E28" s="3" t="n">
        <v>10.5</v>
      </c>
      <c r="F28" s="3" t="n">
        <v>10.5</v>
      </c>
      <c r="G28" s="3" t="n">
        <v>10.7</v>
      </c>
      <c r="H28" s="3" t="n">
        <v>10.9</v>
      </c>
      <c r="I28" s="3" t="n">
        <v>11</v>
      </c>
      <c r="J28" s="3" t="n">
        <v>11</v>
      </c>
      <c r="K28" s="3" t="n">
        <v>11</v>
      </c>
      <c r="L28" s="3" t="n">
        <v>11</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106</v>
      </c>
      <c r="C31" s="3" t="n">
        <v>3.6</v>
      </c>
      <c r="D31" s="3" t="n">
        <v>3.9</v>
      </c>
      <c r="E31" s="3" t="n">
        <v>4.2</v>
      </c>
      <c r="F31" s="3" t="n">
        <v>4.4</v>
      </c>
      <c r="G31" s="3" t="n">
        <v>4.5</v>
      </c>
      <c r="H31" s="3" t="n">
        <v>4.6</v>
      </c>
      <c r="I31" s="3" t="n">
        <v>4.6</v>
      </c>
      <c r="J31" s="3" t="n">
        <v>4.6</v>
      </c>
      <c r="K31" s="3" t="n">
        <v>4.6</v>
      </c>
      <c r="L31" s="3" t="n">
        <v>4.6</v>
      </c>
    </row>
    <row r="32" customFormat="false" ht="15" hidden="false" customHeight="false" outlineLevel="0" collapsed="false">
      <c r="A32" s="0" t="s">
        <v>107</v>
      </c>
      <c r="C32" s="3" t="n">
        <v>5.3</v>
      </c>
      <c r="D32" s="3" t="n">
        <v>8</v>
      </c>
      <c r="E32" s="3" t="n">
        <v>8.5</v>
      </c>
      <c r="F32" s="3" t="n">
        <v>8.3</v>
      </c>
      <c r="G32" s="3" t="n">
        <v>5.8</v>
      </c>
      <c r="H32" s="3" t="n">
        <v>5.3</v>
      </c>
      <c r="I32" s="3" t="n">
        <v>5</v>
      </c>
      <c r="J32" s="3" t="n">
        <v>5</v>
      </c>
      <c r="K32" s="3" t="n">
        <v>4.8</v>
      </c>
      <c r="L32" s="3" t="n">
        <v>4.8</v>
      </c>
    </row>
    <row r="33" customFormat="false" ht="15" hidden="false" customHeight="false" outlineLevel="0" collapsed="false">
      <c r="A33" s="0" t="s">
        <v>108</v>
      </c>
      <c r="C33" s="3" t="n">
        <v>29</v>
      </c>
      <c r="D33" s="3" t="n">
        <v>29</v>
      </c>
      <c r="E33" s="3" t="n">
        <v>29</v>
      </c>
      <c r="F33" s="3" t="n">
        <v>29</v>
      </c>
      <c r="G33" s="3" t="n">
        <v>29</v>
      </c>
      <c r="H33" s="3" t="n">
        <v>29</v>
      </c>
      <c r="I33" s="3" t="n">
        <v>29</v>
      </c>
      <c r="J33" s="3" t="n">
        <v>29</v>
      </c>
      <c r="K33" s="3" t="n">
        <v>29</v>
      </c>
      <c r="L33" s="3" t="n">
        <v>29</v>
      </c>
    </row>
    <row r="34" customFormat="false" ht="15" hidden="false" customHeight="false" outlineLevel="0" collapsed="false">
      <c r="A34" s="0" t="s">
        <v>109</v>
      </c>
      <c r="B34" s="3" t="n">
        <v>8</v>
      </c>
    </row>
    <row r="35" customFormat="false" ht="15" hidden="false" customHeight="false" outlineLevel="0" collapsed="false">
      <c r="A35" s="0" t="s">
        <v>110</v>
      </c>
      <c r="B35" s="3" t="n">
        <v>2</v>
      </c>
    </row>
    <row r="36" customFormat="false" ht="15" hidden="false" customHeight="false" outlineLevel="0" collapsed="false">
      <c r="A36" s="0" t="s">
        <v>111</v>
      </c>
      <c r="B36" s="3" t="n">
        <v>13</v>
      </c>
    </row>
    <row r="37" customFormat="false" ht="15" hidden="false" customHeight="false" outlineLevel="0" collapsed="false">
      <c r="A37" s="0" t="s">
        <v>112</v>
      </c>
      <c r="B37" s="3" t="n">
        <v>-15</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27</v>
      </c>
      <c r="D41" s="3" t="n">
        <v>2</v>
      </c>
      <c r="E41" s="3" t="n">
        <v>1</v>
      </c>
      <c r="F41" s="3" t="n">
        <v>3</v>
      </c>
      <c r="G41" s="3" t="n">
        <v>3.5</v>
      </c>
      <c r="H41" s="3" t="n">
        <v>3.5</v>
      </c>
      <c r="I41" s="3" t="n">
        <v>3.5</v>
      </c>
      <c r="J41" s="3" t="n">
        <v>3</v>
      </c>
      <c r="K41" s="3" t="n">
        <v>3</v>
      </c>
      <c r="L41" s="3" t="n">
        <v>3</v>
      </c>
    </row>
    <row r="42" customFormat="false" ht="15" hidden="false" customHeight="false" outlineLevel="0" collapsed="false">
      <c r="A42" s="0" t="s">
        <v>103</v>
      </c>
      <c r="C42" s="3" t="n">
        <v>13.2</v>
      </c>
      <c r="D42" s="3" t="n">
        <v>12.8</v>
      </c>
      <c r="E42" s="3" t="n">
        <v>12.3</v>
      </c>
      <c r="F42" s="3" t="n">
        <v>12</v>
      </c>
      <c r="G42" s="3" t="n">
        <v>12</v>
      </c>
      <c r="H42" s="3" t="n">
        <v>12.2</v>
      </c>
      <c r="I42" s="3" t="n">
        <v>12.4</v>
      </c>
      <c r="J42" s="3" t="n">
        <v>12.5</v>
      </c>
      <c r="K42" s="3" t="n">
        <v>12.5</v>
      </c>
      <c r="L42" s="3" t="n">
        <v>12.5</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106</v>
      </c>
      <c r="C45" s="3" t="n">
        <v>3.6</v>
      </c>
      <c r="D45" s="3" t="n">
        <v>3.7</v>
      </c>
      <c r="E45" s="3" t="n">
        <v>3.9</v>
      </c>
      <c r="F45" s="3" t="n">
        <v>4.1</v>
      </c>
      <c r="G45" s="3" t="n">
        <v>4.2</v>
      </c>
      <c r="H45" s="3" t="n">
        <v>4.3</v>
      </c>
      <c r="I45" s="3" t="n">
        <v>4.3</v>
      </c>
      <c r="J45" s="3" t="n">
        <v>4.3</v>
      </c>
      <c r="K45" s="3" t="n">
        <v>4.3</v>
      </c>
      <c r="L45" s="3" t="n">
        <v>4.3</v>
      </c>
    </row>
    <row r="46" customFormat="false" ht="15" hidden="false" customHeight="false" outlineLevel="0" collapsed="false">
      <c r="A46" s="0" t="s">
        <v>107</v>
      </c>
      <c r="C46" s="3" t="n">
        <v>5.3</v>
      </c>
      <c r="D46" s="3" t="n">
        <v>7.5</v>
      </c>
      <c r="E46" s="3" t="n">
        <v>7.8</v>
      </c>
      <c r="F46" s="3" t="n">
        <v>7.5</v>
      </c>
      <c r="G46" s="3" t="n">
        <v>5.5</v>
      </c>
      <c r="H46" s="3" t="n">
        <v>5</v>
      </c>
      <c r="I46" s="3" t="n">
        <v>4.8</v>
      </c>
      <c r="J46" s="3" t="n">
        <v>4.8</v>
      </c>
      <c r="K46" s="3" t="n">
        <v>4.6</v>
      </c>
      <c r="L46" s="3" t="n">
        <v>4.6</v>
      </c>
    </row>
    <row r="47" customFormat="false" ht="15" hidden="false" customHeight="false" outlineLevel="0" collapsed="false">
      <c r="A47" s="0" t="s">
        <v>108</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109</v>
      </c>
      <c r="B48" s="3" t="n">
        <v>8</v>
      </c>
    </row>
    <row r="49" customFormat="false" ht="15" hidden="false" customHeight="false" outlineLevel="0" collapsed="false">
      <c r="A49" s="0" t="s">
        <v>110</v>
      </c>
      <c r="B49" s="3" t="n">
        <v>2.5</v>
      </c>
    </row>
    <row r="50" customFormat="false" ht="15" hidden="false" customHeight="false" outlineLevel="0" collapsed="false">
      <c r="A50" s="0" t="s">
        <v>111</v>
      </c>
      <c r="B50" s="3" t="n">
        <v>14</v>
      </c>
    </row>
    <row r="51" customFormat="false" ht="15" hidden="false" customHeight="false" outlineLevel="0" collapsed="false">
      <c r="A51" s="0" t="s">
        <v>112</v>
      </c>
      <c r="B51" s="3" t="n">
        <v>-15</v>
      </c>
    </row>
    <row r="52" customFormat="false" ht="15" hidden="false" customHeight="false" outlineLevel="0" collapsed="false">
      <c r="A52" s="0" t="s">
        <v>113</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20</v>
      </c>
      <c r="D5" s="4" t="n">
        <f aca="false">Assumptions!D13</f>
        <v>-15</v>
      </c>
      <c r="E5" s="4" t="n">
        <f aca="false">Assumptions!E13</f>
        <v>-8</v>
      </c>
      <c r="F5" s="4" t="n">
        <f aca="false">Assumptions!F13</f>
        <v>0</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745410</v>
      </c>
      <c r="C6" s="0" t="n">
        <f aca="false">B6*(1+C5/100)</f>
        <v>894492</v>
      </c>
      <c r="D6" s="0" t="n">
        <f aca="false">C6*(1+D5/100)</f>
        <v>760318.2</v>
      </c>
      <c r="E6" s="0" t="n">
        <f aca="false">D6*(1+E5/100)</f>
        <v>699492.744</v>
      </c>
      <c r="F6" s="0" t="n">
        <f aca="false">E6*(1+F5/100)</f>
        <v>699492.744</v>
      </c>
      <c r="G6" s="0" t="n">
        <f aca="false">F6*(1+G5/100)</f>
        <v>709985.13516</v>
      </c>
      <c r="H6" s="0" t="n">
        <f aca="false">G6*(1+H5/100)</f>
        <v>720634.9121874</v>
      </c>
      <c r="I6" s="0" t="n">
        <f aca="false">H6*(1+I5/100)</f>
        <v>731444.435870211</v>
      </c>
      <c r="J6" s="0" t="n">
        <f aca="false">I6*(1+J5/100)</f>
        <v>742416.102408264</v>
      </c>
      <c r="K6" s="0" t="n">
        <f aca="false">J6*(1+K5/100)</f>
        <v>753552.343944388</v>
      </c>
      <c r="L6" s="0" t="n">
        <f aca="false">K6*(1+L5/100)</f>
        <v>764855.629103554</v>
      </c>
    </row>
    <row r="7" customFormat="false" ht="15" hidden="false" customHeight="false" outlineLevel="0" collapsed="false">
      <c r="A7" s="0" t="s">
        <v>103</v>
      </c>
      <c r="C7" s="4" t="n">
        <f aca="false">Assumptions!C14</f>
        <v>11.5</v>
      </c>
      <c r="D7" s="4" t="n">
        <f aca="false">Assumptions!D14</f>
        <v>9.5</v>
      </c>
      <c r="E7" s="4" t="n">
        <f aca="false">Assumptions!E14</f>
        <v>9</v>
      </c>
      <c r="F7" s="4" t="n">
        <f aca="false">Assumptions!F14</f>
        <v>9</v>
      </c>
      <c r="G7" s="4" t="n">
        <f aca="false">Assumptions!G14</f>
        <v>9.2</v>
      </c>
      <c r="H7" s="4" t="n">
        <f aca="false">Assumptions!H14</f>
        <v>9.5</v>
      </c>
      <c r="I7" s="4" t="n">
        <f aca="false">Assumptions!I14</f>
        <v>9.5</v>
      </c>
      <c r="J7" s="4" t="n">
        <f aca="false">Assumptions!J14</f>
        <v>9.5</v>
      </c>
      <c r="K7" s="4" t="n">
        <f aca="false">Assumptions!K14</f>
        <v>9.5</v>
      </c>
      <c r="L7" s="4" t="n">
        <f aca="false">Assumptions!L14</f>
        <v>9.5</v>
      </c>
    </row>
    <row r="8" customFormat="false" ht="15" hidden="false" customHeight="false" outlineLevel="0" collapsed="false">
      <c r="A8" s="0" t="s">
        <v>43</v>
      </c>
      <c r="C8" s="0" t="n">
        <f aca="false">C6*C7/100</f>
        <v>102866.58</v>
      </c>
      <c r="D8" s="0" t="n">
        <f aca="false">D6*D7/100</f>
        <v>72230.229</v>
      </c>
      <c r="E8" s="0" t="n">
        <f aca="false">E6*E7/100</f>
        <v>62954.34696</v>
      </c>
      <c r="F8" s="0" t="n">
        <f aca="false">F6*F7/100</f>
        <v>62954.34696</v>
      </c>
      <c r="G8" s="0" t="n">
        <f aca="false">G6*G7/100</f>
        <v>65318.63243472</v>
      </c>
      <c r="H8" s="0" t="n">
        <f aca="false">H6*H7/100</f>
        <v>68460.316657803</v>
      </c>
      <c r="I8" s="0" t="n">
        <f aca="false">I6*I7/100</f>
        <v>69487.22140767</v>
      </c>
      <c r="J8" s="0" t="n">
        <f aca="false">J6*J7/100</f>
        <v>70529.5297287851</v>
      </c>
      <c r="K8" s="0" t="n">
        <f aca="false">K6*K7/100</f>
        <v>71587.4726747168</v>
      </c>
      <c r="L8" s="0" t="n">
        <f aca="false">L6*L7/100</f>
        <v>72661.2847648376</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102866.58</v>
      </c>
      <c r="D11" s="0" t="n">
        <f aca="false">D8+D10+D24</f>
        <v>72230.229</v>
      </c>
      <c r="E11" s="0" t="n">
        <f aca="false">E8+E10+E24</f>
        <v>62954.34696</v>
      </c>
      <c r="F11" s="0" t="n">
        <f aca="false">F8+F10+F24</f>
        <v>62954.34696</v>
      </c>
      <c r="G11" s="0" t="n">
        <f aca="false">G8+G10+G24</f>
        <v>65318.63243472</v>
      </c>
      <c r="H11" s="0" t="n">
        <f aca="false">H8+H10+H24</f>
        <v>68460.316657803</v>
      </c>
      <c r="I11" s="0" t="n">
        <f aca="false">I8+I10+I24</f>
        <v>69487.22140767</v>
      </c>
      <c r="J11" s="0" t="n">
        <f aca="false">J8+J10+J24</f>
        <v>70529.5297287851</v>
      </c>
      <c r="K11" s="0" t="n">
        <f aca="false">K8+K10+K24</f>
        <v>71587.4726747168</v>
      </c>
      <c r="L11" s="0" t="n">
        <f aca="false">L8+L10+L24</f>
        <v>72661.2847648376</v>
      </c>
    </row>
    <row r="12" customFormat="false" ht="15" hidden="false" customHeight="false" outlineLevel="0" collapsed="false">
      <c r="A12" s="0" t="s">
        <v>121</v>
      </c>
      <c r="C12" s="4" t="n">
        <f aca="false">-C6*Assumptions!C17/100</f>
        <v>-33096.204</v>
      </c>
      <c r="D12" s="4" t="n">
        <f aca="false">-D6*Assumptions!D17/100</f>
        <v>-32693.6826</v>
      </c>
      <c r="E12" s="4" t="n">
        <f aca="false">-E6*Assumptions!E17/100</f>
        <v>-33575.651712</v>
      </c>
      <c r="F12" s="4" t="n">
        <f aca="false">-F6*Assumptions!F17/100</f>
        <v>-34974.6372</v>
      </c>
      <c r="G12" s="4" t="n">
        <f aca="false">-G6*Assumptions!G17/100</f>
        <v>-36209.24189316</v>
      </c>
      <c r="H12" s="4" t="n">
        <f aca="false">-H6*Assumptions!H17/100</f>
        <v>-37473.0154337448</v>
      </c>
      <c r="I12" s="4" t="n">
        <f aca="false">-I6*Assumptions!I17/100</f>
        <v>-38035.110665251</v>
      </c>
      <c r="J12" s="4" t="n">
        <f aca="false">-J6*Assumptions!J17/100</f>
        <v>-38605.6373252297</v>
      </c>
      <c r="K12" s="4" t="n">
        <f aca="false">-K6*Assumptions!K17/100</f>
        <v>-39184.7218851082</v>
      </c>
      <c r="L12" s="4" t="n">
        <f aca="false">-L6*Assumptions!L17/100</f>
        <v>-39772.4927133848</v>
      </c>
    </row>
    <row r="13" customFormat="false" ht="15" hidden="false" customHeight="false" outlineLevel="0" collapsed="false">
      <c r="A13" s="0" t="s">
        <v>122</v>
      </c>
      <c r="C13" s="0" t="n">
        <f aca="false">C11+C12</f>
        <v>69770.376</v>
      </c>
      <c r="D13" s="0" t="n">
        <f aca="false">D11+D12</f>
        <v>39536.5464</v>
      </c>
      <c r="E13" s="0" t="n">
        <f aca="false">E11+E12</f>
        <v>29378.695248</v>
      </c>
      <c r="F13" s="0" t="n">
        <f aca="false">F11+F12</f>
        <v>27979.70976</v>
      </c>
      <c r="G13" s="0" t="n">
        <f aca="false">G11+G12</f>
        <v>29109.39054156</v>
      </c>
      <c r="H13" s="0" t="n">
        <f aca="false">H11+H12</f>
        <v>30987.3012240582</v>
      </c>
      <c r="I13" s="0" t="n">
        <f aca="false">I11+I12</f>
        <v>31452.1107424191</v>
      </c>
      <c r="J13" s="0" t="n">
        <f aca="false">J11+J12</f>
        <v>31923.8924035554</v>
      </c>
      <c r="K13" s="0" t="n">
        <f aca="false">K11+K12</f>
        <v>32402.7507896087</v>
      </c>
      <c r="L13" s="0" t="n">
        <f aca="false">L11+L12</f>
        <v>32888.7920514528</v>
      </c>
    </row>
    <row r="14" customFormat="false" ht="15" hidden="false" customHeight="false" outlineLevel="0" collapsed="false">
      <c r="A14" s="0" t="s">
        <v>108</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123</v>
      </c>
      <c r="C15" s="0" t="n">
        <f aca="false">C13-MAX(0,C13)*C14/100</f>
        <v>49536.96696</v>
      </c>
      <c r="D15" s="0" t="n">
        <f aca="false">D13-MAX(0,D13)*D14/100</f>
        <v>28070.947944</v>
      </c>
      <c r="E15" s="0" t="n">
        <f aca="false">E13-MAX(0,E13)*E14/100</f>
        <v>20858.87362608</v>
      </c>
      <c r="F15" s="0" t="n">
        <f aca="false">F13-MAX(0,F13)*F14/100</f>
        <v>19865.5939296</v>
      </c>
      <c r="G15" s="0" t="n">
        <f aca="false">G13-MAX(0,G13)*G14/100</f>
        <v>20667.6672845076</v>
      </c>
      <c r="H15" s="0" t="n">
        <f aca="false">H13-MAX(0,H13)*H14/100</f>
        <v>22000.9838690813</v>
      </c>
      <c r="I15" s="0" t="n">
        <f aca="false">I13-MAX(0,I13)*I14/100</f>
        <v>22330.9986271175</v>
      </c>
      <c r="J15" s="0" t="n">
        <f aca="false">J13-MAX(0,J13)*J14/100</f>
        <v>22665.9636065243</v>
      </c>
      <c r="K15" s="0" t="n">
        <f aca="false">K13-MAX(0,K13)*K14/100</f>
        <v>23005.9530606222</v>
      </c>
      <c r="L15" s="0" t="n">
        <f aca="false">L13-MAX(0,L13)*L14/100</f>
        <v>23351.0423565315</v>
      </c>
    </row>
    <row r="16" customFormat="false" ht="15" hidden="false" customHeight="false" outlineLevel="0" collapsed="false">
      <c r="A16" s="0" t="s">
        <v>124</v>
      </c>
      <c r="C16" s="0" t="n">
        <f aca="false">-C12</f>
        <v>33096.204</v>
      </c>
      <c r="D16" s="0" t="n">
        <f aca="false">-D12</f>
        <v>32693.6826</v>
      </c>
      <c r="E16" s="0" t="n">
        <f aca="false">-E12</f>
        <v>33575.651712</v>
      </c>
      <c r="F16" s="0" t="n">
        <f aca="false">-F12</f>
        <v>34974.6372</v>
      </c>
      <c r="G16" s="0" t="n">
        <f aca="false">-G12</f>
        <v>36209.24189316</v>
      </c>
      <c r="H16" s="0" t="n">
        <f aca="false">-H12</f>
        <v>37473.0154337448</v>
      </c>
      <c r="I16" s="0" t="n">
        <f aca="false">-I12</f>
        <v>38035.110665251</v>
      </c>
      <c r="J16" s="0" t="n">
        <f aca="false">-J12</f>
        <v>38605.6373252297</v>
      </c>
      <c r="K16" s="0" t="n">
        <f aca="false">-K12</f>
        <v>39184.7218851082</v>
      </c>
      <c r="L16" s="0" t="n">
        <f aca="false">-L12</f>
        <v>39772.4927133848</v>
      </c>
    </row>
    <row r="17" customFormat="false" ht="15" hidden="false" customHeight="false" outlineLevel="0" collapsed="false">
      <c r="A17" s="0" t="s">
        <v>125</v>
      </c>
      <c r="C17" s="4" t="n">
        <f aca="false">-C6*Assumptions!C18/100</f>
        <v>-49197.06</v>
      </c>
      <c r="D17" s="4" t="n">
        <f aca="false">-D6*Assumptions!D18/100</f>
        <v>-60825.456</v>
      </c>
      <c r="E17" s="4" t="n">
        <f aca="false">-E6*Assumptions!E18/100</f>
        <v>-59456.88324</v>
      </c>
      <c r="F17" s="4" t="n">
        <f aca="false">-F6*Assumptions!F18/100</f>
        <v>-55959.41952</v>
      </c>
      <c r="G17" s="4" t="n">
        <f aca="false">-G6*Assumptions!G18/100</f>
        <v>-42599.1081096</v>
      </c>
      <c r="H17" s="4" t="n">
        <f aca="false">-H6*Assumptions!H18/100</f>
        <v>-39634.920170307</v>
      </c>
      <c r="I17" s="4" t="n">
        <f aca="false">-I6*Assumptions!I18/100</f>
        <v>-38766.5551011212</v>
      </c>
      <c r="J17" s="4" t="n">
        <f aca="false">-J6*Assumptions!J18/100</f>
        <v>-39348.053427638</v>
      </c>
      <c r="K17" s="4" t="n">
        <f aca="false">-K6*Assumptions!K18/100</f>
        <v>-39184.7218851082</v>
      </c>
      <c r="L17" s="4" t="n">
        <f aca="false">-L6*Assumptions!L18/100</f>
        <v>-39772.4927133848</v>
      </c>
    </row>
    <row r="18" customFormat="false" ht="15" hidden="false" customHeight="false" outlineLevel="0" collapsed="false">
      <c r="A18" s="0" t="s">
        <v>126</v>
      </c>
      <c r="C18" s="4" t="n">
        <f aca="false">(C6-B6)*Assumptions!$B$23/100</f>
        <v>-22362.3</v>
      </c>
      <c r="D18" s="4" t="n">
        <f aca="false">(D6-C6)*Assumptions!$B$23/100</f>
        <v>20126.07</v>
      </c>
      <c r="E18" s="4" t="n">
        <f aca="false">(E6-D6)*Assumptions!$B$23/100</f>
        <v>9123.8184</v>
      </c>
      <c r="F18" s="4" t="n">
        <f aca="false">(F6-E6)*Assumptions!$B$23/100</f>
        <v>-0</v>
      </c>
      <c r="G18" s="4" t="n">
        <f aca="false">(G6-F6)*Assumptions!$B$23/100</f>
        <v>-1573.85867399998</v>
      </c>
      <c r="H18" s="4" t="n">
        <f aca="false">(H6-G6)*Assumptions!$B$23/100</f>
        <v>-1597.46655411</v>
      </c>
      <c r="I18" s="4" t="n">
        <f aca="false">(I6-H6)*Assumptions!$B$23/100</f>
        <v>-1621.42855242164</v>
      </c>
      <c r="J18" s="4" t="n">
        <f aca="false">(J6-I6)*Assumptions!$B$23/100</f>
        <v>-1645.74998070796</v>
      </c>
      <c r="K18" s="4" t="n">
        <f aca="false">(K6-J6)*Assumptions!$B$23/100</f>
        <v>-1670.43623041859</v>
      </c>
      <c r="L18" s="4" t="n">
        <f aca="false">(L6-K6)*Assumptions!$B$23/100</f>
        <v>-1695.49277387486</v>
      </c>
    </row>
    <row r="19" customFormat="false" ht="15" hidden="false" customHeight="false" outlineLevel="0" collapsed="false">
      <c r="A19" s="0" t="s">
        <v>127</v>
      </c>
      <c r="C19" s="0" t="n">
        <f aca="false">C15+C16+C17+C18</f>
        <v>11073.81096</v>
      </c>
      <c r="D19" s="0" t="n">
        <f aca="false">D15+D16+D17+D18</f>
        <v>20065.244544</v>
      </c>
      <c r="E19" s="0" t="n">
        <f aca="false">E15+E16+E17+E18</f>
        <v>4101.46049808001</v>
      </c>
      <c r="F19" s="0" t="n">
        <f aca="false">F15+F16+F17+F18</f>
        <v>-1119.1883904</v>
      </c>
      <c r="G19" s="0" t="n">
        <f aca="false">G15+G16+G17+G18</f>
        <v>12703.9423940676</v>
      </c>
      <c r="H19" s="0" t="n">
        <f aca="false">H15+H16+H17+H18</f>
        <v>18241.6125784091</v>
      </c>
      <c r="I19" s="0" t="n">
        <f aca="false">I15+I16+I17+I18</f>
        <v>19978.1256388257</v>
      </c>
      <c r="J19" s="0" t="n">
        <f aca="false">J15+J16+J17+J18</f>
        <v>20277.7975234081</v>
      </c>
      <c r="K19" s="0" t="n">
        <f aca="false">K15+K16+K17+K18</f>
        <v>21335.5168302036</v>
      </c>
      <c r="L19" s="0" t="n">
        <f aca="false">L15+L16+L17+L18</f>
        <v>21655.5495826566</v>
      </c>
    </row>
    <row r="20" customFormat="false" ht="15" hidden="false" customHeight="false" outlineLevel="0" collapsed="false">
      <c r="A20" s="0" t="s">
        <v>128</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129</v>
      </c>
      <c r="C21" s="0" t="n">
        <f aca="false">C19*C20</f>
        <v>10253.5286666667</v>
      </c>
      <c r="D21" s="0" t="n">
        <f aca="false">D19*D20</f>
        <v>17202.7130864198</v>
      </c>
      <c r="E21" s="0" t="n">
        <f aca="false">E19*E20</f>
        <v>3255.87157864656</v>
      </c>
      <c r="F21" s="0" t="n">
        <f aca="false">F19*F20</f>
        <v>-822.636877847211</v>
      </c>
      <c r="G21" s="0" t="n">
        <f aca="false">G19*G20</f>
        <v>8646.08972948717</v>
      </c>
      <c r="H21" s="0" t="n">
        <f aca="false">H19*H20</f>
        <v>11495.3101922822</v>
      </c>
      <c r="I21" s="0" t="n">
        <f aca="false">I19*I20</f>
        <v>11657.044425595</v>
      </c>
      <c r="J21" s="0" t="n">
        <f aca="false">J19*J20</f>
        <v>10955.4630481286</v>
      </c>
      <c r="K21" s="0" t="n">
        <f aca="false">K19*K20</f>
        <v>10673.0702575252</v>
      </c>
      <c r="L21" s="0" t="n">
        <f aca="false">L19*L20</f>
        <v>10030.7095475816</v>
      </c>
    </row>
    <row r="23" customFormat="false" ht="15" hidden="false" customHeight="false" outlineLevel="0" collapsed="false">
      <c r="A23" s="0" t="s">
        <v>105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Assumptions!$B$20</f>
        <v>8</v>
      </c>
    </row>
    <row r="28" customFormat="false" ht="15" hidden="false" customHeight="false" outlineLevel="0" collapsed="false">
      <c r="A28" s="0" t="s">
        <v>110</v>
      </c>
      <c r="B28" s="4" t="n">
        <f aca="false">Assumptions!$B$21</f>
        <v>1.5</v>
      </c>
    </row>
    <row r="29" customFormat="false" ht="15" hidden="false" customHeight="false" outlineLevel="0" collapsed="false">
      <c r="A29" s="0" t="s">
        <v>111</v>
      </c>
      <c r="B29" s="4" t="n">
        <f aca="false">Assumptions!$B$22</f>
        <v>12</v>
      </c>
    </row>
    <row r="30" customFormat="false" ht="15" hidden="false" customHeight="false" outlineLevel="0" collapsed="false">
      <c r="A30" s="0" t="s">
        <v>132</v>
      </c>
      <c r="B30" s="0" t="n">
        <f aca="false">SUM(C21:L21)</f>
        <v>93347.1636544855</v>
      </c>
    </row>
    <row r="31" customFormat="false" ht="15" hidden="false" customHeight="false" outlineLevel="0" collapsed="false">
      <c r="A31" s="0" t="s">
        <v>133</v>
      </c>
      <c r="B31" s="0" t="n">
        <f aca="false">L19</f>
        <v>21655.5495826566</v>
      </c>
    </row>
    <row r="32" customFormat="false" ht="15" hidden="false" customHeight="false" outlineLevel="0" collapsed="false">
      <c r="A32" s="0" t="s">
        <v>134</v>
      </c>
      <c r="B32" s="0" t="n">
        <f aca="false">IF(B27&gt;B28,B31*(1+B28/100)/((B27-B28)/100),B31*B29)</f>
        <v>338159.735790715</v>
      </c>
    </row>
    <row r="33" customFormat="false" ht="15" hidden="false" customHeight="false" outlineLevel="0" collapsed="false">
      <c r="A33" s="0" t="s">
        <v>135</v>
      </c>
      <c r="B33" s="0" t="n">
        <f aca="false">B31*B29</f>
        <v>259866.59499188</v>
      </c>
    </row>
    <row r="34" customFormat="false" ht="15" hidden="false" customHeight="false" outlineLevel="0" collapsed="false">
      <c r="A34" s="0" t="s">
        <v>136</v>
      </c>
      <c r="B34" s="0" t="n">
        <f aca="false">MAX(0,MIN(B32,B33))</f>
        <v>259866.59499188</v>
      </c>
    </row>
    <row r="35" customFormat="false" ht="15" hidden="false" customHeight="false" outlineLevel="0" collapsed="false">
      <c r="A35" s="0" t="s">
        <v>137</v>
      </c>
      <c r="B35" s="0" t="n">
        <f aca="false">B34/(1+B27/100)^L4</f>
        <v>120368.514570979</v>
      </c>
    </row>
    <row r="36" customFormat="false" ht="15" hidden="false" customHeight="false" outlineLevel="0" collapsed="false">
      <c r="A36" s="0" t="s">
        <v>138</v>
      </c>
      <c r="B36" s="0" t="n">
        <f aca="false">B30+B35</f>
        <v>213715.678225464</v>
      </c>
    </row>
    <row r="37" customFormat="false" ht="15" hidden="false" customHeight="false" outlineLevel="0" collapsed="false">
      <c r="A37" s="0" t="s">
        <v>139</v>
      </c>
      <c r="B37" s="0" t="n">
        <f aca="false">B36+Assumptions!$B$5-Assumptions!$B$4</f>
        <v>157770.678225464</v>
      </c>
    </row>
    <row r="38" customFormat="false" ht="15" hidden="false" customHeight="false" outlineLevel="0" collapsed="false">
      <c r="A38" s="0" t="s">
        <v>140</v>
      </c>
      <c r="B38" s="0" t="n">
        <f aca="false">B37/Assumptions!$B$3*Assumptions!$B$10</f>
        <v>2667.38821643106</v>
      </c>
    </row>
    <row r="39" customFormat="false" ht="15" hidden="false" customHeight="false" outlineLevel="0" collapsed="false">
      <c r="A39" s="0" t="s">
        <v>141</v>
      </c>
      <c r="B39" s="4" t="n">
        <f aca="false">B38/Assumptions!$B$2-1</f>
        <v>-0.664056899693822</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2667.38821643106</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162817.6505659</v>
      </c>
    </row>
    <row r="47" customFormat="false" ht="15" hidden="false" customHeight="false" outlineLevel="0" collapsed="false">
      <c r="A47" s="0" t="s">
        <v>146</v>
      </c>
      <c r="B47" s="0" t="n">
        <f aca="false">(SUMPRODUCT(C19:L19/(1+B45/100)^C4:L4)+B46/(1+B45/100)^L4+Assumptions!$B$5-Assumptions!$B$4)/Assumptions!$B$3*Assumptions!$B$10</f>
        <v>860.87690951196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26.2</v>
      </c>
      <c r="D5" s="4" t="n">
        <f aca="false">Assumptions!D27</f>
        <v>-8</v>
      </c>
      <c r="E5" s="4" t="n">
        <f aca="false">Assumptions!E27</f>
        <v>-5</v>
      </c>
      <c r="F5" s="4" t="n">
        <f aca="false">Assumptions!F27</f>
        <v>2</v>
      </c>
      <c r="G5" s="4" t="n">
        <f aca="false">Assumptions!G27</f>
        <v>2.5</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745410</v>
      </c>
      <c r="C6" s="0" t="n">
        <f aca="false">B6*(1+C5/100)</f>
        <v>940707.42</v>
      </c>
      <c r="D6" s="0" t="n">
        <f aca="false">C6*(1+D5/100)</f>
        <v>865450.8264</v>
      </c>
      <c r="E6" s="0" t="n">
        <f aca="false">D6*(1+E5/100)</f>
        <v>822178.28508</v>
      </c>
      <c r="F6" s="0" t="n">
        <f aca="false">E6*(1+F5/100)</f>
        <v>838621.8507816</v>
      </c>
      <c r="G6" s="0" t="n">
        <f aca="false">F6*(1+G5/100)</f>
        <v>859587.39705114</v>
      </c>
      <c r="H6" s="0" t="n">
        <f aca="false">G6*(1+H5/100)</f>
        <v>881077.081977418</v>
      </c>
      <c r="I6" s="0" t="n">
        <f aca="false">H6*(1+I5/100)</f>
        <v>903104.009026854</v>
      </c>
      <c r="J6" s="0" t="n">
        <f aca="false">I6*(1+J5/100)</f>
        <v>925681.609252525</v>
      </c>
      <c r="K6" s="0" t="n">
        <f aca="false">J6*(1+K5/100)</f>
        <v>948823.649483838</v>
      </c>
      <c r="L6" s="0" t="n">
        <f aca="false">K6*(1+L5/100)</f>
        <v>972544.240720934</v>
      </c>
    </row>
    <row r="7" customFormat="false" ht="15" hidden="false" customHeight="false" outlineLevel="0" collapsed="false">
      <c r="A7" s="0" t="s">
        <v>103</v>
      </c>
      <c r="C7" s="4" t="n">
        <f aca="false">Assumptions!C28</f>
        <v>12.5</v>
      </c>
      <c r="D7" s="4" t="n">
        <f aca="false">Assumptions!D28</f>
        <v>11</v>
      </c>
      <c r="E7" s="4" t="n">
        <f aca="false">Assumptions!E28</f>
        <v>10.5</v>
      </c>
      <c r="F7" s="4" t="n">
        <f aca="false">Assumptions!F28</f>
        <v>10.5</v>
      </c>
      <c r="G7" s="4" t="n">
        <f aca="false">Assumptions!G28</f>
        <v>10.7</v>
      </c>
      <c r="H7" s="4" t="n">
        <f aca="false">Assumptions!H28</f>
        <v>10.9</v>
      </c>
      <c r="I7" s="4" t="n">
        <f aca="false">Assumptions!I28</f>
        <v>11</v>
      </c>
      <c r="J7" s="4" t="n">
        <f aca="false">Assumptions!J28</f>
        <v>11</v>
      </c>
      <c r="K7" s="4" t="n">
        <f aca="false">Assumptions!K28</f>
        <v>11</v>
      </c>
      <c r="L7" s="4" t="n">
        <f aca="false">Assumptions!L28</f>
        <v>11</v>
      </c>
    </row>
    <row r="8" customFormat="false" ht="15" hidden="false" customHeight="false" outlineLevel="0" collapsed="false">
      <c r="A8" s="0" t="s">
        <v>43</v>
      </c>
      <c r="C8" s="0" t="n">
        <f aca="false">C6*C7/100</f>
        <v>117588.4275</v>
      </c>
      <c r="D8" s="0" t="n">
        <f aca="false">D6*D7/100</f>
        <v>95199.590904</v>
      </c>
      <c r="E8" s="0" t="n">
        <f aca="false">E6*E7/100</f>
        <v>86328.7199334</v>
      </c>
      <c r="F8" s="0" t="n">
        <f aca="false">F6*F7/100</f>
        <v>88055.294332068</v>
      </c>
      <c r="G8" s="0" t="n">
        <f aca="false">G6*G7/100</f>
        <v>91975.851484472</v>
      </c>
      <c r="H8" s="0" t="n">
        <f aca="false">H6*H7/100</f>
        <v>96037.4019355386</v>
      </c>
      <c r="I8" s="0" t="n">
        <f aca="false">I6*I7/100</f>
        <v>99341.4409929539</v>
      </c>
      <c r="J8" s="0" t="n">
        <f aca="false">J6*J7/100</f>
        <v>101824.977017778</v>
      </c>
      <c r="K8" s="0" t="n">
        <f aca="false">K6*K7/100</f>
        <v>104370.601443222</v>
      </c>
      <c r="L8" s="0" t="n">
        <f aca="false">L6*L7/100</f>
        <v>106979.866479303</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117588.4275</v>
      </c>
      <c r="D11" s="0" t="n">
        <f aca="false">D8+D10+D24</f>
        <v>95199.590904</v>
      </c>
      <c r="E11" s="0" t="n">
        <f aca="false">E8+E10+E24</f>
        <v>86328.7199334</v>
      </c>
      <c r="F11" s="0" t="n">
        <f aca="false">F8+F10+F24</f>
        <v>88055.294332068</v>
      </c>
      <c r="G11" s="0" t="n">
        <f aca="false">G8+G10+G24</f>
        <v>91975.851484472</v>
      </c>
      <c r="H11" s="0" t="n">
        <f aca="false">H8+H10+H24</f>
        <v>96037.4019355386</v>
      </c>
      <c r="I11" s="0" t="n">
        <f aca="false">I8+I10+I24</f>
        <v>99341.4409929539</v>
      </c>
      <c r="J11" s="0" t="n">
        <f aca="false">J8+J10+J24</f>
        <v>101824.977017778</v>
      </c>
      <c r="K11" s="0" t="n">
        <f aca="false">K8+K10+K24</f>
        <v>104370.601443222</v>
      </c>
      <c r="L11" s="0" t="n">
        <f aca="false">L8+L10+L24</f>
        <v>106979.866479303</v>
      </c>
    </row>
    <row r="12" customFormat="false" ht="15" hidden="false" customHeight="false" outlineLevel="0" collapsed="false">
      <c r="A12" s="0" t="s">
        <v>121</v>
      </c>
      <c r="C12" s="4" t="n">
        <f aca="false">-C6*Assumptions!C31/100</f>
        <v>-33865.46712</v>
      </c>
      <c r="D12" s="4" t="n">
        <f aca="false">-D6*Assumptions!D31/100</f>
        <v>-33752.5822296</v>
      </c>
      <c r="E12" s="4" t="n">
        <f aca="false">-E6*Assumptions!E31/100</f>
        <v>-34531.48797336</v>
      </c>
      <c r="F12" s="4" t="n">
        <f aca="false">-F6*Assumptions!F31/100</f>
        <v>-36899.3614343904</v>
      </c>
      <c r="G12" s="4" t="n">
        <f aca="false">-G6*Assumptions!G31/100</f>
        <v>-38681.4328673013</v>
      </c>
      <c r="H12" s="4" t="n">
        <f aca="false">-H6*Assumptions!H31/100</f>
        <v>-40529.5457709612</v>
      </c>
      <c r="I12" s="4" t="n">
        <f aca="false">-I6*Assumptions!I31/100</f>
        <v>-41542.7844152353</v>
      </c>
      <c r="J12" s="4" t="n">
        <f aca="false">-J6*Assumptions!J31/100</f>
        <v>-42581.3540256162</v>
      </c>
      <c r="K12" s="4" t="n">
        <f aca="false">-K6*Assumptions!K31/100</f>
        <v>-43645.8878762565</v>
      </c>
      <c r="L12" s="4" t="n">
        <f aca="false">-L6*Assumptions!L31/100</f>
        <v>-44737.035073163</v>
      </c>
    </row>
    <row r="13" customFormat="false" ht="15" hidden="false" customHeight="false" outlineLevel="0" collapsed="false">
      <c r="A13" s="0" t="s">
        <v>122</v>
      </c>
      <c r="C13" s="0" t="n">
        <f aca="false">C11+C12</f>
        <v>83722.96038</v>
      </c>
      <c r="D13" s="0" t="n">
        <f aca="false">D11+D12</f>
        <v>61447.0086744</v>
      </c>
      <c r="E13" s="0" t="n">
        <f aca="false">E11+E12</f>
        <v>51797.23196004</v>
      </c>
      <c r="F13" s="0" t="n">
        <f aca="false">F11+F12</f>
        <v>51155.9328976776</v>
      </c>
      <c r="G13" s="0" t="n">
        <f aca="false">G11+G12</f>
        <v>53294.4186171707</v>
      </c>
      <c r="H13" s="0" t="n">
        <f aca="false">H11+H12</f>
        <v>55507.8561645774</v>
      </c>
      <c r="I13" s="0" t="n">
        <f aca="false">I11+I12</f>
        <v>57798.6565777186</v>
      </c>
      <c r="J13" s="0" t="n">
        <f aca="false">J11+J12</f>
        <v>59243.6229921616</v>
      </c>
      <c r="K13" s="0" t="n">
        <f aca="false">K11+K12</f>
        <v>60724.7135669657</v>
      </c>
      <c r="L13" s="0" t="n">
        <f aca="false">L11+L12</f>
        <v>62242.8314061398</v>
      </c>
    </row>
    <row r="14" customFormat="false" ht="15" hidden="false" customHeight="false" outlineLevel="0" collapsed="false">
      <c r="A14" s="0" t="s">
        <v>108</v>
      </c>
      <c r="C14" s="4" t="n">
        <f aca="false">Assumptions!C33</f>
        <v>29</v>
      </c>
      <c r="D14" s="4" t="n">
        <f aca="false">Assumptions!D33</f>
        <v>29</v>
      </c>
      <c r="E14" s="4" t="n">
        <f aca="false">Assumptions!E33</f>
        <v>29</v>
      </c>
      <c r="F14" s="4" t="n">
        <f aca="false">Assumptions!F33</f>
        <v>29</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123</v>
      </c>
      <c r="C15" s="0" t="n">
        <f aca="false">C13-MAX(0,C13)*C14/100</f>
        <v>59443.3018698</v>
      </c>
      <c r="D15" s="0" t="n">
        <f aca="false">D13-MAX(0,D13)*D14/100</f>
        <v>43627.376158824</v>
      </c>
      <c r="E15" s="0" t="n">
        <f aca="false">E13-MAX(0,E13)*E14/100</f>
        <v>36776.0346916284</v>
      </c>
      <c r="F15" s="0" t="n">
        <f aca="false">F13-MAX(0,F13)*F14/100</f>
        <v>36320.7123573511</v>
      </c>
      <c r="G15" s="0" t="n">
        <f aca="false">G13-MAX(0,G13)*G14/100</f>
        <v>37839.0372181912</v>
      </c>
      <c r="H15" s="0" t="n">
        <f aca="false">H13-MAX(0,H13)*H14/100</f>
        <v>39410.5778768499</v>
      </c>
      <c r="I15" s="0" t="n">
        <f aca="false">I13-MAX(0,I13)*I14/100</f>
        <v>41037.0461701802</v>
      </c>
      <c r="J15" s="0" t="n">
        <f aca="false">J13-MAX(0,J13)*J14/100</f>
        <v>42062.9723244347</v>
      </c>
      <c r="K15" s="0" t="n">
        <f aca="false">K13-MAX(0,K13)*K14/100</f>
        <v>43114.5466325456</v>
      </c>
      <c r="L15" s="0" t="n">
        <f aca="false">L13-MAX(0,L13)*L14/100</f>
        <v>44192.4102983592</v>
      </c>
    </row>
    <row r="16" customFormat="false" ht="15" hidden="false" customHeight="false" outlineLevel="0" collapsed="false">
      <c r="A16" s="0" t="s">
        <v>124</v>
      </c>
      <c r="C16" s="0" t="n">
        <f aca="false">-C12</f>
        <v>33865.46712</v>
      </c>
      <c r="D16" s="0" t="n">
        <f aca="false">-D12</f>
        <v>33752.5822296</v>
      </c>
      <c r="E16" s="0" t="n">
        <f aca="false">-E12</f>
        <v>34531.48797336</v>
      </c>
      <c r="F16" s="0" t="n">
        <f aca="false">-F12</f>
        <v>36899.3614343904</v>
      </c>
      <c r="G16" s="0" t="n">
        <f aca="false">-G12</f>
        <v>38681.4328673013</v>
      </c>
      <c r="H16" s="0" t="n">
        <f aca="false">-H12</f>
        <v>40529.5457709612</v>
      </c>
      <c r="I16" s="0" t="n">
        <f aca="false">-I12</f>
        <v>41542.7844152353</v>
      </c>
      <c r="J16" s="0" t="n">
        <f aca="false">-J12</f>
        <v>42581.3540256162</v>
      </c>
      <c r="K16" s="0" t="n">
        <f aca="false">-K12</f>
        <v>43645.8878762565</v>
      </c>
      <c r="L16" s="0" t="n">
        <f aca="false">-L12</f>
        <v>44737.035073163</v>
      </c>
    </row>
    <row r="17" customFormat="false" ht="15" hidden="false" customHeight="false" outlineLevel="0" collapsed="false">
      <c r="A17" s="0" t="s">
        <v>125</v>
      </c>
      <c r="C17" s="4" t="n">
        <f aca="false">-C6*Assumptions!C32/100</f>
        <v>-49857.49326</v>
      </c>
      <c r="D17" s="4" t="n">
        <f aca="false">-D6*Assumptions!D32/100</f>
        <v>-69236.066112</v>
      </c>
      <c r="E17" s="4" t="n">
        <f aca="false">-E6*Assumptions!E32/100</f>
        <v>-69885.1542318</v>
      </c>
      <c r="F17" s="4" t="n">
        <f aca="false">-F6*Assumptions!F32/100</f>
        <v>-69605.6136148728</v>
      </c>
      <c r="G17" s="4" t="n">
        <f aca="false">-G6*Assumptions!G32/100</f>
        <v>-49856.0690289661</v>
      </c>
      <c r="H17" s="4" t="n">
        <f aca="false">-H6*Assumptions!H32/100</f>
        <v>-46697.0853448032</v>
      </c>
      <c r="I17" s="4" t="n">
        <f aca="false">-I6*Assumptions!I32/100</f>
        <v>-45155.2004513427</v>
      </c>
      <c r="J17" s="4" t="n">
        <f aca="false">-J6*Assumptions!J32/100</f>
        <v>-46284.0804626263</v>
      </c>
      <c r="K17" s="4" t="n">
        <f aca="false">-K6*Assumptions!K32/100</f>
        <v>-45543.5351752242</v>
      </c>
      <c r="L17" s="4" t="n">
        <f aca="false">-L6*Assumptions!L32/100</f>
        <v>-46682.1235546048</v>
      </c>
    </row>
    <row r="18" customFormat="false" ht="15" hidden="false" customHeight="false" outlineLevel="0" collapsed="false">
      <c r="A18" s="0" t="s">
        <v>126</v>
      </c>
      <c r="C18" s="4" t="n">
        <f aca="false">(C6-B6)*Assumptions!$B$37/100</f>
        <v>-29294.613</v>
      </c>
      <c r="D18" s="4" t="n">
        <f aca="false">(D6-C6)*Assumptions!$B$37/100</f>
        <v>11288.48904</v>
      </c>
      <c r="E18" s="4" t="n">
        <f aca="false">(E6-D6)*Assumptions!$B$37/100</f>
        <v>6490.88119800001</v>
      </c>
      <c r="F18" s="4" t="n">
        <f aca="false">(F6-E6)*Assumptions!$B$37/100</f>
        <v>-2466.53485524001</v>
      </c>
      <c r="G18" s="4" t="n">
        <f aca="false">(G6-F6)*Assumptions!$B$37/100</f>
        <v>-3144.831940431</v>
      </c>
      <c r="H18" s="4" t="n">
        <f aca="false">(H6-G6)*Assumptions!$B$37/100</f>
        <v>-3223.45273894176</v>
      </c>
      <c r="I18" s="4" t="n">
        <f aca="false">(I6-H6)*Assumptions!$B$37/100</f>
        <v>-3304.0390574153</v>
      </c>
      <c r="J18" s="4" t="n">
        <f aca="false">(J6-I6)*Assumptions!$B$37/100</f>
        <v>-3386.6400338507</v>
      </c>
      <c r="K18" s="4" t="n">
        <f aca="false">(K6-J6)*Assumptions!$B$37/100</f>
        <v>-3471.30603469696</v>
      </c>
      <c r="L18" s="4" t="n">
        <f aca="false">(L6-K6)*Assumptions!$B$37/100</f>
        <v>-3558.08868556438</v>
      </c>
    </row>
    <row r="19" customFormat="false" ht="15" hidden="false" customHeight="false" outlineLevel="0" collapsed="false">
      <c r="A19" s="0" t="s">
        <v>127</v>
      </c>
      <c r="C19" s="0" t="n">
        <f aca="false">C15+C16+C17+C18</f>
        <v>14156.6627298</v>
      </c>
      <c r="D19" s="0" t="n">
        <f aca="false">D15+D16+D17+D18</f>
        <v>19432.381316424</v>
      </c>
      <c r="E19" s="0" t="n">
        <f aca="false">E15+E16+E17+E18</f>
        <v>7913.2496311884</v>
      </c>
      <c r="F19" s="0" t="n">
        <f aca="false">F15+F16+F17+F18</f>
        <v>1147.92532162869</v>
      </c>
      <c r="G19" s="0" t="n">
        <f aca="false">G15+G16+G17+G18</f>
        <v>23519.5691160954</v>
      </c>
      <c r="H19" s="0" t="n">
        <f aca="false">H15+H16+H17+H18</f>
        <v>30019.5855640662</v>
      </c>
      <c r="I19" s="0" t="n">
        <f aca="false">I15+I16+I17+I18</f>
        <v>34120.5910766575</v>
      </c>
      <c r="J19" s="0" t="n">
        <f aca="false">J15+J16+J17+J18</f>
        <v>34973.6058535739</v>
      </c>
      <c r="K19" s="0" t="n">
        <f aca="false">K15+K16+K17+K18</f>
        <v>37745.593298881</v>
      </c>
      <c r="L19" s="0" t="n">
        <f aca="false">L15+L16+L17+L18</f>
        <v>38689.233131353</v>
      </c>
    </row>
    <row r="20" customFormat="false" ht="15" hidden="false" customHeight="false" outlineLevel="0" collapsed="false">
      <c r="A20" s="0" t="s">
        <v>128</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129</v>
      </c>
      <c r="C21" s="0" t="n">
        <f aca="false">C19*C20</f>
        <v>13108.0210461111</v>
      </c>
      <c r="D21" s="0" t="n">
        <f aca="false">D19*D20</f>
        <v>16660.1348734774</v>
      </c>
      <c r="E21" s="0" t="n">
        <f aca="false">E19*E20</f>
        <v>6281.79268847832</v>
      </c>
      <c r="F21" s="0" t="n">
        <f aca="false">F19*F20</f>
        <v>843.759380178058</v>
      </c>
      <c r="G21" s="0" t="n">
        <f aca="false">G19*G20</f>
        <v>16007.0235418885</v>
      </c>
      <c r="H21" s="0" t="n">
        <f aca="false">H19*H20</f>
        <v>18917.4310340931</v>
      </c>
      <c r="I21" s="0" t="n">
        <f aca="false">I19*I20</f>
        <v>19909.0371738965</v>
      </c>
      <c r="J21" s="0" t="n">
        <f aca="false">J19*J20</f>
        <v>18895.1510215222</v>
      </c>
      <c r="K21" s="0" t="n">
        <f aca="false">K19*K20</f>
        <v>18882.1940615293</v>
      </c>
      <c r="L21" s="0" t="n">
        <f aca="false">L19*L20</f>
        <v>17920.6008454329</v>
      </c>
    </row>
    <row r="23" customFormat="false" ht="15" hidden="false" customHeight="false" outlineLevel="0" collapsed="false">
      <c r="A23" s="0" t="s">
        <v>105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Assumptions!$B$34</f>
        <v>8</v>
      </c>
    </row>
    <row r="28" customFormat="false" ht="15" hidden="false" customHeight="false" outlineLevel="0" collapsed="false">
      <c r="A28" s="0" t="s">
        <v>110</v>
      </c>
      <c r="B28" s="4" t="n">
        <f aca="false">Assumptions!$B$35</f>
        <v>2</v>
      </c>
    </row>
    <row r="29" customFormat="false" ht="15" hidden="false" customHeight="false" outlineLevel="0" collapsed="false">
      <c r="A29" s="0" t="s">
        <v>111</v>
      </c>
      <c r="B29" s="4" t="n">
        <f aca="false">Assumptions!$B$36</f>
        <v>13</v>
      </c>
    </row>
    <row r="30" customFormat="false" ht="15" hidden="false" customHeight="false" outlineLevel="0" collapsed="false">
      <c r="A30" s="0" t="s">
        <v>132</v>
      </c>
      <c r="B30" s="0" t="n">
        <f aca="false">SUM(C21:L21)</f>
        <v>147425.145666607</v>
      </c>
    </row>
    <row r="31" customFormat="false" ht="15" hidden="false" customHeight="false" outlineLevel="0" collapsed="false">
      <c r="A31" s="0" t="s">
        <v>133</v>
      </c>
      <c r="B31" s="0" t="n">
        <f aca="false">L19</f>
        <v>38689.233131353</v>
      </c>
    </row>
    <row r="32" customFormat="false" ht="15" hidden="false" customHeight="false" outlineLevel="0" collapsed="false">
      <c r="A32" s="0" t="s">
        <v>134</v>
      </c>
      <c r="B32" s="0" t="n">
        <f aca="false">IF(B27&gt;B28,B31*(1+B28/100)/((B27-B28)/100),B31*B29)</f>
        <v>657716.963233001</v>
      </c>
    </row>
    <row r="33" customFormat="false" ht="15" hidden="false" customHeight="false" outlineLevel="0" collapsed="false">
      <c r="A33" s="0" t="s">
        <v>135</v>
      </c>
      <c r="B33" s="0" t="n">
        <f aca="false">B31*B29</f>
        <v>502960.030707589</v>
      </c>
    </row>
    <row r="34" customFormat="false" ht="15" hidden="false" customHeight="false" outlineLevel="0" collapsed="false">
      <c r="A34" s="0" t="s">
        <v>136</v>
      </c>
      <c r="B34" s="0" t="n">
        <f aca="false">MAX(0,MIN(B32,B33))</f>
        <v>502960.030707589</v>
      </c>
    </row>
    <row r="35" customFormat="false" ht="15" hidden="false" customHeight="false" outlineLevel="0" collapsed="false">
      <c r="A35" s="0" t="s">
        <v>137</v>
      </c>
      <c r="B35" s="0" t="n">
        <f aca="false">B34/(1+B27/100)^L4</f>
        <v>232967.810990628</v>
      </c>
    </row>
    <row r="36" customFormat="false" ht="15" hidden="false" customHeight="false" outlineLevel="0" collapsed="false">
      <c r="A36" s="0" t="s">
        <v>138</v>
      </c>
      <c r="B36" s="0" t="n">
        <f aca="false">B30+B35</f>
        <v>380392.956657235</v>
      </c>
    </row>
    <row r="37" customFormat="false" ht="15" hidden="false" customHeight="false" outlineLevel="0" collapsed="false">
      <c r="A37" s="0" t="s">
        <v>139</v>
      </c>
      <c r="B37" s="0" t="n">
        <f aca="false">B36+Assumptions!$B$5-Assumptions!$B$4</f>
        <v>324447.956657235</v>
      </c>
    </row>
    <row r="38" customFormat="false" ht="15" hidden="false" customHeight="false" outlineLevel="0" collapsed="false">
      <c r="A38" s="0" t="s">
        <v>140</v>
      </c>
      <c r="B38" s="0" t="n">
        <f aca="false">B37/Assumptions!$B$3*Assumptions!$B$10</f>
        <v>5485.35802828896</v>
      </c>
    </row>
    <row r="39" customFormat="false" ht="15" hidden="false" customHeight="false" outlineLevel="0" collapsed="false">
      <c r="A39" s="0" t="s">
        <v>141</v>
      </c>
      <c r="B39" s="4" t="n">
        <f aca="false">B38/Assumptions!$B$2-1</f>
        <v>-0.3091488629359</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5485.35802828896</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303561.675338308</v>
      </c>
    </row>
    <row r="47" customFormat="false" ht="15" hidden="false" customHeight="false" outlineLevel="0" collapsed="false">
      <c r="A47" s="0" t="s">
        <v>146</v>
      </c>
      <c r="B47" s="0" t="n">
        <f aca="false">(SUMPRODUCT(C19:L19/(1+B45/100)^C4:L4)+B46/(1+B45/100)^L4+Assumptions!$B$5-Assumptions!$B$4)/Assumptions!$B$3*Assumptions!$B$10</f>
        <v>2048.74015962179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27</v>
      </c>
      <c r="D5" s="4" t="n">
        <f aca="false">Assumptions!D41</f>
        <v>2</v>
      </c>
      <c r="E5" s="4" t="n">
        <f aca="false">Assumptions!E41</f>
        <v>1</v>
      </c>
      <c r="F5" s="4" t="n">
        <f aca="false">Assumptions!F41</f>
        <v>3</v>
      </c>
      <c r="G5" s="4" t="n">
        <f aca="false">Assumptions!G41</f>
        <v>3.5</v>
      </c>
      <c r="H5" s="4" t="n">
        <f aca="false">Assumptions!H41</f>
        <v>3.5</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745410</v>
      </c>
      <c r="C6" s="0" t="n">
        <f aca="false">B6*(1+C5/100)</f>
        <v>946670.7</v>
      </c>
      <c r="D6" s="0" t="n">
        <f aca="false">C6*(1+D5/100)</f>
        <v>965604.114</v>
      </c>
      <c r="E6" s="0" t="n">
        <f aca="false">D6*(1+E5/100)</f>
        <v>975260.15514</v>
      </c>
      <c r="F6" s="0" t="n">
        <f aca="false">E6*(1+F5/100)</f>
        <v>1004517.9597942</v>
      </c>
      <c r="G6" s="0" t="n">
        <f aca="false">F6*(1+G5/100)</f>
        <v>1039676.088387</v>
      </c>
      <c r="H6" s="0" t="n">
        <f aca="false">G6*(1+H5/100)</f>
        <v>1076064.75148054</v>
      </c>
      <c r="I6" s="0" t="n">
        <f aca="false">H6*(1+I5/100)</f>
        <v>1113727.01778236</v>
      </c>
      <c r="J6" s="0" t="n">
        <f aca="false">I6*(1+J5/100)</f>
        <v>1147138.82831583</v>
      </c>
      <c r="K6" s="0" t="n">
        <f aca="false">J6*(1+K5/100)</f>
        <v>1181552.99316531</v>
      </c>
      <c r="L6" s="0" t="n">
        <f aca="false">K6*(1+L5/100)</f>
        <v>1216999.58296027</v>
      </c>
    </row>
    <row r="7" customFormat="false" ht="15" hidden="false" customHeight="false" outlineLevel="0" collapsed="false">
      <c r="A7" s="0" t="s">
        <v>103</v>
      </c>
      <c r="C7" s="4" t="n">
        <f aca="false">Assumptions!C42</f>
        <v>13.2</v>
      </c>
      <c r="D7" s="4" t="n">
        <f aca="false">Assumptions!D42</f>
        <v>12.8</v>
      </c>
      <c r="E7" s="4" t="n">
        <f aca="false">Assumptions!E42</f>
        <v>12.3</v>
      </c>
      <c r="F7" s="4" t="n">
        <f aca="false">Assumptions!F42</f>
        <v>12</v>
      </c>
      <c r="G7" s="4" t="n">
        <f aca="false">Assumptions!G42</f>
        <v>12</v>
      </c>
      <c r="H7" s="4" t="n">
        <f aca="false">Assumptions!H42</f>
        <v>12.2</v>
      </c>
      <c r="I7" s="4" t="n">
        <f aca="false">Assumptions!I42</f>
        <v>12.4</v>
      </c>
      <c r="J7" s="4" t="n">
        <f aca="false">Assumptions!J42</f>
        <v>12.5</v>
      </c>
      <c r="K7" s="4" t="n">
        <f aca="false">Assumptions!K42</f>
        <v>12.5</v>
      </c>
      <c r="L7" s="4" t="n">
        <f aca="false">Assumptions!L42</f>
        <v>12.5</v>
      </c>
    </row>
    <row r="8" customFormat="false" ht="15" hidden="false" customHeight="false" outlineLevel="0" collapsed="false">
      <c r="A8" s="0" t="s">
        <v>43</v>
      </c>
      <c r="C8" s="0" t="n">
        <f aca="false">C6*C7/100</f>
        <v>124960.5324</v>
      </c>
      <c r="D8" s="0" t="n">
        <f aca="false">D6*D7/100</f>
        <v>123597.326592</v>
      </c>
      <c r="E8" s="0" t="n">
        <f aca="false">E6*E7/100</f>
        <v>119956.99908222</v>
      </c>
      <c r="F8" s="0" t="n">
        <f aca="false">F6*F7/100</f>
        <v>120542.155175304</v>
      </c>
      <c r="G8" s="0" t="n">
        <f aca="false">G6*G7/100</f>
        <v>124761.13060644</v>
      </c>
      <c r="H8" s="0" t="n">
        <f aca="false">H6*H7/100</f>
        <v>131279.899680626</v>
      </c>
      <c r="I8" s="0" t="n">
        <f aca="false">I6*I7/100</f>
        <v>138102.150205013</v>
      </c>
      <c r="J8" s="0" t="n">
        <f aca="false">J6*J7/100</f>
        <v>143392.353539479</v>
      </c>
      <c r="K8" s="0" t="n">
        <f aca="false">K6*K7/100</f>
        <v>147694.124145663</v>
      </c>
      <c r="L8" s="0" t="n">
        <f aca="false">L6*L7/100</f>
        <v>152124.947870033</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124960.5324</v>
      </c>
      <c r="D11" s="0" t="n">
        <f aca="false">D8+D10+D24</f>
        <v>123597.326592</v>
      </c>
      <c r="E11" s="0" t="n">
        <f aca="false">E8+E10+E24</f>
        <v>119956.99908222</v>
      </c>
      <c r="F11" s="0" t="n">
        <f aca="false">F8+F10+F24</f>
        <v>120542.155175304</v>
      </c>
      <c r="G11" s="0" t="n">
        <f aca="false">G8+G10+G24</f>
        <v>124761.13060644</v>
      </c>
      <c r="H11" s="0" t="n">
        <f aca="false">H8+H10+H24</f>
        <v>131279.899680626</v>
      </c>
      <c r="I11" s="0" t="n">
        <f aca="false">I8+I10+I24</f>
        <v>138102.150205013</v>
      </c>
      <c r="J11" s="0" t="n">
        <f aca="false">J8+J10+J24</f>
        <v>143392.353539479</v>
      </c>
      <c r="K11" s="0" t="n">
        <f aca="false">K8+K10+K24</f>
        <v>147694.124145663</v>
      </c>
      <c r="L11" s="0" t="n">
        <f aca="false">L8+L10+L24</f>
        <v>152124.947870033</v>
      </c>
    </row>
    <row r="12" customFormat="false" ht="15" hidden="false" customHeight="false" outlineLevel="0" collapsed="false">
      <c r="A12" s="0" t="s">
        <v>121</v>
      </c>
      <c r="C12" s="4" t="n">
        <f aca="false">-C6*Assumptions!C45/100</f>
        <v>-34080.1452</v>
      </c>
      <c r="D12" s="4" t="n">
        <f aca="false">-D6*Assumptions!D45/100</f>
        <v>-35727.352218</v>
      </c>
      <c r="E12" s="4" t="n">
        <f aca="false">-E6*Assumptions!E45/100</f>
        <v>-38035.14605046</v>
      </c>
      <c r="F12" s="4" t="n">
        <f aca="false">-F6*Assumptions!F45/100</f>
        <v>-41185.2363515622</v>
      </c>
      <c r="G12" s="4" t="n">
        <f aca="false">-G6*Assumptions!G45/100</f>
        <v>-43666.3957122539</v>
      </c>
      <c r="H12" s="4" t="n">
        <f aca="false">-H6*Assumptions!H45/100</f>
        <v>-46270.7843136633</v>
      </c>
      <c r="I12" s="4" t="n">
        <f aca="false">-I6*Assumptions!I45/100</f>
        <v>-47890.2617646415</v>
      </c>
      <c r="J12" s="4" t="n">
        <f aca="false">-J6*Assumptions!J45/100</f>
        <v>-49326.9696175808</v>
      </c>
      <c r="K12" s="4" t="n">
        <f aca="false">-K6*Assumptions!K45/100</f>
        <v>-50806.7787061082</v>
      </c>
      <c r="L12" s="4" t="n">
        <f aca="false">-L6*Assumptions!L45/100</f>
        <v>-52330.9820672914</v>
      </c>
    </row>
    <row r="13" customFormat="false" ht="15" hidden="false" customHeight="false" outlineLevel="0" collapsed="false">
      <c r="A13" s="0" t="s">
        <v>122</v>
      </c>
      <c r="C13" s="0" t="n">
        <f aca="false">C11+C12</f>
        <v>90880.3872</v>
      </c>
      <c r="D13" s="0" t="n">
        <f aca="false">D11+D12</f>
        <v>87869.974374</v>
      </c>
      <c r="E13" s="0" t="n">
        <f aca="false">E11+E12</f>
        <v>81921.85303176</v>
      </c>
      <c r="F13" s="0" t="n">
        <f aca="false">F11+F12</f>
        <v>79356.9188237418</v>
      </c>
      <c r="G13" s="0" t="n">
        <f aca="false">G11+G12</f>
        <v>81094.7348941858</v>
      </c>
      <c r="H13" s="0" t="n">
        <f aca="false">H11+H12</f>
        <v>85009.1153669628</v>
      </c>
      <c r="I13" s="0" t="n">
        <f aca="false">I11+I12</f>
        <v>90211.8884403712</v>
      </c>
      <c r="J13" s="0" t="n">
        <f aca="false">J11+J12</f>
        <v>94065.3839218982</v>
      </c>
      <c r="K13" s="0" t="n">
        <f aca="false">K11+K12</f>
        <v>96887.3454395552</v>
      </c>
      <c r="L13" s="0" t="n">
        <f aca="false">L11+L12</f>
        <v>99793.9658027418</v>
      </c>
    </row>
    <row r="14" customFormat="false" ht="15" hidden="false" customHeight="false" outlineLevel="0" collapsed="false">
      <c r="A14" s="0" t="s">
        <v>108</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123</v>
      </c>
      <c r="C15" s="0" t="n">
        <f aca="false">C13-MAX(0,C13)*C14/100</f>
        <v>64525.074912</v>
      </c>
      <c r="D15" s="0" t="n">
        <f aca="false">D13-MAX(0,D13)*D14/100</f>
        <v>62387.68180554</v>
      </c>
      <c r="E15" s="0" t="n">
        <f aca="false">E13-MAX(0,E13)*E14/100</f>
        <v>58164.5156525496</v>
      </c>
      <c r="F15" s="0" t="n">
        <f aca="false">F13-MAX(0,F13)*F14/100</f>
        <v>56343.4123648567</v>
      </c>
      <c r="G15" s="0" t="n">
        <f aca="false">G13-MAX(0,G13)*G14/100</f>
        <v>57577.2617748719</v>
      </c>
      <c r="H15" s="0" t="n">
        <f aca="false">H13-MAX(0,H13)*H14/100</f>
        <v>60356.4719105436</v>
      </c>
      <c r="I15" s="0" t="n">
        <f aca="false">I13-MAX(0,I13)*I14/100</f>
        <v>64050.4407926636</v>
      </c>
      <c r="J15" s="0" t="n">
        <f aca="false">J13-MAX(0,J13)*J14/100</f>
        <v>66786.4225845477</v>
      </c>
      <c r="K15" s="0" t="n">
        <f aca="false">K13-MAX(0,K13)*K14/100</f>
        <v>68790.0152620842</v>
      </c>
      <c r="L15" s="0" t="n">
        <f aca="false">L13-MAX(0,L13)*L14/100</f>
        <v>70853.7157199467</v>
      </c>
    </row>
    <row r="16" customFormat="false" ht="15" hidden="false" customHeight="false" outlineLevel="0" collapsed="false">
      <c r="A16" s="0" t="s">
        <v>124</v>
      </c>
      <c r="C16" s="0" t="n">
        <f aca="false">-C12</f>
        <v>34080.1452</v>
      </c>
      <c r="D16" s="0" t="n">
        <f aca="false">-D12</f>
        <v>35727.352218</v>
      </c>
      <c r="E16" s="0" t="n">
        <f aca="false">-E12</f>
        <v>38035.14605046</v>
      </c>
      <c r="F16" s="0" t="n">
        <f aca="false">-F12</f>
        <v>41185.2363515622</v>
      </c>
      <c r="G16" s="0" t="n">
        <f aca="false">-G12</f>
        <v>43666.3957122539</v>
      </c>
      <c r="H16" s="0" t="n">
        <f aca="false">-H12</f>
        <v>46270.7843136633</v>
      </c>
      <c r="I16" s="0" t="n">
        <f aca="false">-I12</f>
        <v>47890.2617646415</v>
      </c>
      <c r="J16" s="0" t="n">
        <f aca="false">-J12</f>
        <v>49326.9696175808</v>
      </c>
      <c r="K16" s="0" t="n">
        <f aca="false">-K12</f>
        <v>50806.7787061082</v>
      </c>
      <c r="L16" s="0" t="n">
        <f aca="false">-L12</f>
        <v>52330.9820672914</v>
      </c>
    </row>
    <row r="17" customFormat="false" ht="15" hidden="false" customHeight="false" outlineLevel="0" collapsed="false">
      <c r="A17" s="0" t="s">
        <v>125</v>
      </c>
      <c r="C17" s="4" t="n">
        <f aca="false">-C6*Assumptions!C46/100</f>
        <v>-50173.5471</v>
      </c>
      <c r="D17" s="4" t="n">
        <f aca="false">-D6*Assumptions!D46/100</f>
        <v>-72420.30855</v>
      </c>
      <c r="E17" s="4" t="n">
        <f aca="false">-E6*Assumptions!E46/100</f>
        <v>-76070.29210092</v>
      </c>
      <c r="F17" s="4" t="n">
        <f aca="false">-F6*Assumptions!F46/100</f>
        <v>-75338.846984565</v>
      </c>
      <c r="G17" s="4" t="n">
        <f aca="false">-G6*Assumptions!G46/100</f>
        <v>-57182.1848612848</v>
      </c>
      <c r="H17" s="4" t="n">
        <f aca="false">-H6*Assumptions!H46/100</f>
        <v>-53803.2375740271</v>
      </c>
      <c r="I17" s="4" t="n">
        <f aca="false">-I6*Assumptions!I46/100</f>
        <v>-53458.8968535533</v>
      </c>
      <c r="J17" s="4" t="n">
        <f aca="false">-J6*Assumptions!J46/100</f>
        <v>-55062.6637591599</v>
      </c>
      <c r="K17" s="4" t="n">
        <f aca="false">-K6*Assumptions!K46/100</f>
        <v>-54351.4376856041</v>
      </c>
      <c r="L17" s="4" t="n">
        <f aca="false">-L6*Assumptions!L46/100</f>
        <v>-55981.9808161722</v>
      </c>
    </row>
    <row r="18" customFormat="false" ht="15" hidden="false" customHeight="false" outlineLevel="0" collapsed="false">
      <c r="A18" s="0" t="s">
        <v>126</v>
      </c>
      <c r="C18" s="4" t="n">
        <f aca="false">(C6-B6)*Assumptions!$B$51/100</f>
        <v>-30189.105</v>
      </c>
      <c r="D18" s="4" t="n">
        <f aca="false">(D6-C6)*Assumptions!$B$51/100</f>
        <v>-2840.0121</v>
      </c>
      <c r="E18" s="4" t="n">
        <f aca="false">(E6-D6)*Assumptions!$B$51/100</f>
        <v>-1448.406171</v>
      </c>
      <c r="F18" s="4" t="n">
        <f aca="false">(F6-E6)*Assumptions!$B$51/100</f>
        <v>-4388.67069813</v>
      </c>
      <c r="G18" s="4" t="n">
        <f aca="false">(G6-F6)*Assumptions!$B$51/100</f>
        <v>-5273.71928891955</v>
      </c>
      <c r="H18" s="4" t="n">
        <f aca="false">(H6-G6)*Assumptions!$B$51/100</f>
        <v>-5458.29946403173</v>
      </c>
      <c r="I18" s="4" t="n">
        <f aca="false">(I6-H6)*Assumptions!$B$51/100</f>
        <v>-5649.33994527283</v>
      </c>
      <c r="J18" s="4" t="n">
        <f aca="false">(J6-I6)*Assumptions!$B$51/100</f>
        <v>-5011.77158002064</v>
      </c>
      <c r="K18" s="4" t="n">
        <f aca="false">(K6-J6)*Assumptions!$B$51/100</f>
        <v>-5162.12472742125</v>
      </c>
      <c r="L18" s="4" t="n">
        <f aca="false">(L6-K6)*Assumptions!$B$51/100</f>
        <v>-5316.98846924388</v>
      </c>
    </row>
    <row r="19" customFormat="false" ht="15" hidden="false" customHeight="false" outlineLevel="0" collapsed="false">
      <c r="A19" s="0" t="s">
        <v>127</v>
      </c>
      <c r="C19" s="0" t="n">
        <f aca="false">C15+C16+C17+C18</f>
        <v>18242.568012</v>
      </c>
      <c r="D19" s="0" t="n">
        <f aca="false">D15+D16+D17+D18</f>
        <v>22854.71337354</v>
      </c>
      <c r="E19" s="0" t="n">
        <f aca="false">E15+E16+E17+E18</f>
        <v>18680.9634310896</v>
      </c>
      <c r="F19" s="0" t="n">
        <f aca="false">F15+F16+F17+F18</f>
        <v>17801.1310337239</v>
      </c>
      <c r="G19" s="0" t="n">
        <f aca="false">G15+G16+G17+G18</f>
        <v>38787.7533369214</v>
      </c>
      <c r="H19" s="0" t="n">
        <f aca="false">H15+H16+H17+H18</f>
        <v>47365.7191861481</v>
      </c>
      <c r="I19" s="0" t="n">
        <f aca="false">I15+I16+I17+I18</f>
        <v>52832.4657584789</v>
      </c>
      <c r="J19" s="0" t="n">
        <f aca="false">J15+J16+J17+J18</f>
        <v>56038.9568629479</v>
      </c>
      <c r="K19" s="0" t="n">
        <f aca="false">K15+K16+K17+K18</f>
        <v>60083.231555167</v>
      </c>
      <c r="L19" s="0" t="n">
        <f aca="false">L15+L16+L17+L18</f>
        <v>61885.728501822</v>
      </c>
    </row>
    <row r="20" customFormat="false" ht="15" hidden="false" customHeight="false" outlineLevel="0" collapsed="false">
      <c r="A20" s="0" t="s">
        <v>128</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129</v>
      </c>
      <c r="C21" s="0" t="n">
        <f aca="false">C19*C20</f>
        <v>16891.2666777778</v>
      </c>
      <c r="D21" s="0" t="n">
        <f aca="false">D19*D20</f>
        <v>19594.2330020062</v>
      </c>
      <c r="E21" s="0" t="n">
        <f aca="false">E19*E20</f>
        <v>14829.5510649177</v>
      </c>
      <c r="F21" s="0" t="n">
        <f aca="false">F19*F20</f>
        <v>13084.3627233284</v>
      </c>
      <c r="G21" s="0" t="n">
        <f aca="false">G19*G20</f>
        <v>26398.2931717986</v>
      </c>
      <c r="H21" s="0" t="n">
        <f aca="false">H19*H20</f>
        <v>29848.4375865848</v>
      </c>
      <c r="I21" s="0" t="n">
        <f aca="false">I19*I20</f>
        <v>30827.236328088</v>
      </c>
      <c r="J21" s="0" t="n">
        <f aca="false">J19*J20</f>
        <v>30276.1047129992</v>
      </c>
      <c r="K21" s="0" t="n">
        <f aca="false">K19*K20</f>
        <v>30056.5745273926</v>
      </c>
      <c r="L21" s="0" t="n">
        <f aca="false">L19*L20</f>
        <v>28665.0664474207</v>
      </c>
    </row>
    <row r="23" customFormat="false" ht="15" hidden="false" customHeight="false" outlineLevel="0" collapsed="false">
      <c r="A23" s="0" t="s">
        <v>105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Assumptions!$B$48</f>
        <v>8</v>
      </c>
    </row>
    <row r="28" customFormat="false" ht="15" hidden="false" customHeight="false" outlineLevel="0" collapsed="false">
      <c r="A28" s="0" t="s">
        <v>110</v>
      </c>
      <c r="B28" s="4" t="n">
        <f aca="false">Assumptions!$B$49</f>
        <v>2.5</v>
      </c>
    </row>
    <row r="29" customFormat="false" ht="15" hidden="false" customHeight="false" outlineLevel="0" collapsed="false">
      <c r="A29" s="0" t="s">
        <v>111</v>
      </c>
      <c r="B29" s="4" t="n">
        <f aca="false">Assumptions!$B$50</f>
        <v>14</v>
      </c>
    </row>
    <row r="30" customFormat="false" ht="15" hidden="false" customHeight="false" outlineLevel="0" collapsed="false">
      <c r="A30" s="0" t="s">
        <v>132</v>
      </c>
      <c r="B30" s="0" t="n">
        <f aca="false">SUM(C21:L21)</f>
        <v>240471.126242314</v>
      </c>
    </row>
    <row r="31" customFormat="false" ht="15" hidden="false" customHeight="false" outlineLevel="0" collapsed="false">
      <c r="A31" s="0" t="s">
        <v>133</v>
      </c>
      <c r="B31" s="0" t="n">
        <f aca="false">L19</f>
        <v>61885.728501822</v>
      </c>
    </row>
    <row r="32" customFormat="false" ht="15" hidden="false" customHeight="false" outlineLevel="0" collapsed="false">
      <c r="A32" s="0" t="s">
        <v>134</v>
      </c>
      <c r="B32" s="0" t="n">
        <f aca="false">IF(B27&gt;B28,B31*(1+B28/100)/((B27-B28)/100),B31*B29)</f>
        <v>1153324.94026123</v>
      </c>
    </row>
    <row r="33" customFormat="false" ht="15" hidden="false" customHeight="false" outlineLevel="0" collapsed="false">
      <c r="A33" s="0" t="s">
        <v>135</v>
      </c>
      <c r="B33" s="0" t="n">
        <f aca="false">B31*B29</f>
        <v>866400.199025508</v>
      </c>
    </row>
    <row r="34" customFormat="false" ht="15" hidden="false" customHeight="false" outlineLevel="0" collapsed="false">
      <c r="A34" s="0" t="s">
        <v>136</v>
      </c>
      <c r="B34" s="0" t="n">
        <f aca="false">MAX(0,MIN(B32,B33))</f>
        <v>866400.199025508</v>
      </c>
    </row>
    <row r="35" customFormat="false" ht="15" hidden="false" customHeight="false" outlineLevel="0" collapsed="false">
      <c r="A35" s="0" t="s">
        <v>137</v>
      </c>
      <c r="B35" s="0" t="n">
        <f aca="false">B34/(1+B27/100)^L4</f>
        <v>401310.93026389</v>
      </c>
    </row>
    <row r="36" customFormat="false" ht="15" hidden="false" customHeight="false" outlineLevel="0" collapsed="false">
      <c r="A36" s="0" t="s">
        <v>138</v>
      </c>
      <c r="B36" s="0" t="n">
        <f aca="false">B30+B35</f>
        <v>641782.056506204</v>
      </c>
    </row>
    <row r="37" customFormat="false" ht="15" hidden="false" customHeight="false" outlineLevel="0" collapsed="false">
      <c r="A37" s="0" t="s">
        <v>139</v>
      </c>
      <c r="B37" s="0" t="n">
        <f aca="false">B36+Assumptions!$B$5-Assumptions!$B$4</f>
        <v>585837.056506204</v>
      </c>
    </row>
    <row r="38" customFormat="false" ht="15" hidden="false" customHeight="false" outlineLevel="0" collapsed="false">
      <c r="A38" s="0" t="s">
        <v>140</v>
      </c>
      <c r="B38" s="0" t="n">
        <f aca="false">B37/Assumptions!$B$3*Assumptions!$B$10</f>
        <v>9904.59620792256</v>
      </c>
    </row>
    <row r="39" customFormat="false" ht="15" hidden="false" customHeight="false" outlineLevel="0" collapsed="false">
      <c r="A39" s="0" t="s">
        <v>141</v>
      </c>
      <c r="B39" s="4" t="n">
        <f aca="false">B38/Assumptions!$B$2-1</f>
        <v>0.247430252886972</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9904.59620792256</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507462.97371494</v>
      </c>
    </row>
    <row r="47" customFormat="false" ht="15" hidden="false" customHeight="false" outlineLevel="0" collapsed="false">
      <c r="A47" s="0" t="s">
        <v>146</v>
      </c>
      <c r="B47" s="0" t="n">
        <f aca="false">(SUMPRODUCT(C19:L19/(1+B45/100)^C4:L4)+B46/(1+B45/100)^L4+Assumptions!$B$5-Assumptions!$B$4)/Assumptions!$B$3*Assumptions!$B$10</f>
        <v>3980.13335657979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2667.38821643106</v>
      </c>
      <c r="C4" s="0" t="n">
        <f aca="false">B4/Assumptions!$B$2-1</f>
        <v>-0.664056899693822</v>
      </c>
      <c r="D4" s="4" t="n">
        <f aca="false">Assumptions!$B$24</f>
        <v>0.3</v>
      </c>
      <c r="E4" s="4" t="n">
        <f aca="false">DCF_Bear!$B$43</f>
        <v>2667.38821643106</v>
      </c>
      <c r="F4" s="4" t="n">
        <f aca="false">DCF_Bear!$B$47</f>
        <v>860.87690951196</v>
      </c>
    </row>
    <row r="5" customFormat="false" ht="15" hidden="false" customHeight="false" outlineLevel="0" collapsed="false">
      <c r="A5" s="0" t="s">
        <v>155</v>
      </c>
      <c r="B5" s="4" t="n">
        <f aca="false">DCF_Base!$B$38</f>
        <v>5485.35802828896</v>
      </c>
      <c r="C5" s="0" t="n">
        <f aca="false">B5/Assumptions!$B$2-1</f>
        <v>-0.3091488629359</v>
      </c>
      <c r="D5" s="4" t="n">
        <f aca="false">Assumptions!$B$38</f>
        <v>0.5</v>
      </c>
      <c r="E5" s="4" t="n">
        <f aca="false">DCF_Base!$B$43</f>
        <v>5485.35802828896</v>
      </c>
      <c r="F5" s="4" t="n">
        <f aca="false">DCF_Base!$B$47</f>
        <v>2048.74015962179</v>
      </c>
    </row>
    <row r="6" customFormat="false" ht="15" hidden="false" customHeight="false" outlineLevel="0" collapsed="false">
      <c r="A6" s="0" t="s">
        <v>156</v>
      </c>
      <c r="B6" s="4" t="n">
        <f aca="false">DCF_Bull!$B$38</f>
        <v>9904.59620792256</v>
      </c>
      <c r="C6" s="0" t="n">
        <f aca="false">B6/Assumptions!$B$2-1</f>
        <v>0.247430252886972</v>
      </c>
      <c r="D6" s="4" t="n">
        <f aca="false">Assumptions!$B$52</f>
        <v>0.2</v>
      </c>
      <c r="E6" s="4" t="n">
        <f aca="false">DCF_Bull!$B$43</f>
        <v>9904.59620792256</v>
      </c>
      <c r="F6" s="4" t="n">
        <f aca="false">DCF_Bull!$B$47</f>
        <v>3980.13335657979</v>
      </c>
    </row>
    <row r="8" customFormat="false" ht="15" hidden="false" customHeight="false" outlineLevel="0" collapsed="false">
      <c r="A8" s="0" t="s">
        <v>157</v>
      </c>
      <c r="B8" s="0" t="n">
        <f aca="false">SUMPRODUCT(B4:B6,D4:D6)</f>
        <v>5523.81472065831</v>
      </c>
    </row>
    <row r="9" customFormat="false" ht="15" hidden="false" customHeight="false" outlineLevel="0" collapsed="false">
      <c r="A9" s="0" t="s">
        <v>158</v>
      </c>
      <c r="B9" s="0" t="n">
        <f aca="false">SUMPRODUCT(E4:E6,D4:D6)</f>
        <v>5523.81472065831</v>
      </c>
    </row>
    <row r="10" customFormat="false" ht="15" hidden="false" customHeight="false" outlineLevel="0" collapsed="false">
      <c r="A10" s="0" t="s">
        <v>159</v>
      </c>
      <c r="B10" s="0" t="n">
        <f aca="false">1-Assumptions!$B$2/B8</f>
        <v>-0.437412440773129</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2078.65982398044</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5485.35802828896</v>
      </c>
      <c r="C15" s="3" t="n">
        <v>8</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5002.75482105033</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4500.50117008729</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3779.45513927433</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3208.74982077585</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2048.74015962179</v>
      </c>
      <c r="C20" s="3" t="n">
        <v>15</v>
      </c>
    </row>
    <row r="22" customFormat="false" ht="15" hidden="false" customHeight="false" outlineLevel="0" collapsed="false">
      <c r="A22" s="2" t="s">
        <v>170</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6600.84839011451</v>
      </c>
      <c r="C24" s="0" t="n">
        <f aca="false">(SUMPRODUCT(DCF_Base!$C$19:$L$19/(1+$A$24/100)^DCF_Base!$C$4:$L$4)+MAX(0,MIN(IF($A$24&gt;$C$23,DCF_Base!$L$19*(1+$C$23/100)/(($A$24-$C$23)/100),DCF_Base!$L$19*DCF_Base!$B$29),DCF_Base!$L$19*DCF_Base!$B$29))/(1+$A$24/100)^DCF_Base!$L$4+Assumptions!$B$5-Assumptions!$B$4)/Assumptions!$B$3*Assumptions!$B$10</f>
        <v>6600.84839011451</v>
      </c>
      <c r="D24" s="0" t="n">
        <f aca="false">(SUMPRODUCT(DCF_Base!$C$19:$L$19/(1+$A$24/100)^DCF_Base!$C$4:$L$4)+MAX(0,MIN(IF($A$24&gt;$D$23,DCF_Base!$L$19*(1+$D$23/100)/(($A$24-$D$23)/100),DCF_Base!$L$19*DCF_Base!$B$29),DCF_Base!$L$19*DCF_Base!$B$29))/(1+$A$24/100)^DCF_Base!$L$4+Assumptions!$B$5-Assumptions!$B$4)/Assumptions!$B$3*Assumptions!$B$10</f>
        <v>6600.84839011451</v>
      </c>
      <c r="E24" s="0" t="n">
        <f aca="false">(SUMPRODUCT(DCF_Base!$C$19:$L$19/(1+$A$24/100)^DCF_Base!$C$4:$L$4)+MAX(0,MIN(IF($A$24&gt;$E$23,DCF_Base!$L$19*(1+$E$23/100)/(($A$24-$E$23)/100),DCF_Base!$L$19*DCF_Base!$B$29),DCF_Base!$L$19*DCF_Base!$B$29))/(1+$A$24/100)^DCF_Base!$L$4+Assumptions!$B$5-Assumptions!$B$4)/Assumptions!$B$3*Assumptions!$B$10</f>
        <v>6600.84839011451</v>
      </c>
      <c r="F24" s="0" t="n">
        <f aca="false">(SUMPRODUCT(DCF_Base!$C$19:$L$19/(1+$A$24/100)^DCF_Base!$C$4:$L$4)+MAX(0,MIN(IF($A$24&gt;$F$23,DCF_Base!$L$19*(1+$F$23/100)/(($A$24-$F$23)/100),DCF_Base!$L$19*DCF_Base!$B$29),DCF_Base!$L$19*DCF_Base!$B$29))/(1+$A$24/100)^DCF_Base!$L$4+Assumptions!$B$5-Assumptions!$B$4)/Assumptions!$B$3*Assumptions!$B$10</f>
        <v>6600.84839011451</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6016.22961172084</v>
      </c>
      <c r="C25" s="0" t="n">
        <f aca="false">(SUMPRODUCT(DCF_Base!$C$19:$L$19/(1+$A$25/100)^DCF_Base!$C$4:$L$4)+MAX(0,MIN(IF($A$25&gt;$C$23,DCF_Base!$L$19*(1+$C$23/100)/(($A$25-$C$23)/100),DCF_Base!$L$19*DCF_Base!$B$29),DCF_Base!$L$19*DCF_Base!$B$29))/(1+$A$25/100)^DCF_Base!$L$4+Assumptions!$B$5-Assumptions!$B$4)/Assumptions!$B$3*Assumptions!$B$10</f>
        <v>6016.22961172084</v>
      </c>
      <c r="D25" s="0" t="n">
        <f aca="false">(SUMPRODUCT(DCF_Base!$C$19:$L$19/(1+$A$25/100)^DCF_Base!$C$4:$L$4)+MAX(0,MIN(IF($A$25&gt;$D$23,DCF_Base!$L$19*(1+$D$23/100)/(($A$25-$D$23)/100),DCF_Base!$L$19*DCF_Base!$B$29),DCF_Base!$L$19*DCF_Base!$B$29))/(1+$A$25/100)^DCF_Base!$L$4+Assumptions!$B$5-Assumptions!$B$4)/Assumptions!$B$3*Assumptions!$B$10</f>
        <v>6016.22961172084</v>
      </c>
      <c r="E25" s="0" t="n">
        <f aca="false">(SUMPRODUCT(DCF_Base!$C$19:$L$19/(1+$A$25/100)^DCF_Base!$C$4:$L$4)+MAX(0,MIN(IF($A$25&gt;$E$23,DCF_Base!$L$19*(1+$E$23/100)/(($A$25-$E$23)/100),DCF_Base!$L$19*DCF_Base!$B$29),DCF_Base!$L$19*DCF_Base!$B$29))/(1+$A$25/100)^DCF_Base!$L$4+Assumptions!$B$5-Assumptions!$B$4)/Assumptions!$B$3*Assumptions!$B$10</f>
        <v>6016.22961172084</v>
      </c>
      <c r="F25" s="0" t="n">
        <f aca="false">(SUMPRODUCT(DCF_Base!$C$19:$L$19/(1+$A$25/100)^DCF_Base!$C$4:$L$4)+MAX(0,MIN(IF($A$25&gt;$F$23,DCF_Base!$L$19*(1+$F$23/100)/(($A$25-$F$23)/100),DCF_Base!$L$19*DCF_Base!$B$29),DCF_Base!$L$19*DCF_Base!$B$29))/(1+$A$25/100)^DCF_Base!$L$4+Assumptions!$B$5-Assumptions!$B$4)/Assumptions!$B$3*Assumptions!$B$10</f>
        <v>6016.22961172084</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5485.35802828896</v>
      </c>
      <c r="C26" s="0" t="n">
        <f aca="false">(SUMPRODUCT(DCF_Base!$C$19:$L$19/(1+$A$26/100)^DCF_Base!$C$4:$L$4)+MAX(0,MIN(IF($A$26&gt;$C$23,DCF_Base!$L$19*(1+$C$23/100)/(($A$26-$C$23)/100),DCF_Base!$L$19*DCF_Base!$B$29),DCF_Base!$L$19*DCF_Base!$B$29))/(1+$A$26/100)^DCF_Base!$L$4+Assumptions!$B$5-Assumptions!$B$4)/Assumptions!$B$3*Assumptions!$B$10</f>
        <v>5485.35802828896</v>
      </c>
      <c r="D26" s="0" t="n">
        <f aca="false">(SUMPRODUCT(DCF_Base!$C$19:$L$19/(1+$A$26/100)^DCF_Base!$C$4:$L$4)+MAX(0,MIN(IF($A$26&gt;$D$23,DCF_Base!$L$19*(1+$D$23/100)/(($A$26-$D$23)/100),DCF_Base!$L$19*DCF_Base!$B$29),DCF_Base!$L$19*DCF_Base!$B$29))/(1+$A$26/100)^DCF_Base!$L$4+Assumptions!$B$5-Assumptions!$B$4)/Assumptions!$B$3*Assumptions!$B$10</f>
        <v>5485.35802828896</v>
      </c>
      <c r="E26" s="0" t="n">
        <f aca="false">(SUMPRODUCT(DCF_Base!$C$19:$L$19/(1+$A$26/100)^DCF_Base!$C$4:$L$4)+MAX(0,MIN(IF($A$26&gt;$E$23,DCF_Base!$L$19*(1+$E$23/100)/(($A$26-$E$23)/100),DCF_Base!$L$19*DCF_Base!$B$29),DCF_Base!$L$19*DCF_Base!$B$29))/(1+$A$26/100)^DCF_Base!$L$4+Assumptions!$B$5-Assumptions!$B$4)/Assumptions!$B$3*Assumptions!$B$10</f>
        <v>5485.35802828896</v>
      </c>
      <c r="F26" s="0" t="n">
        <f aca="false">(SUMPRODUCT(DCF_Base!$C$19:$L$19/(1+$A$26/100)^DCF_Base!$C$4:$L$4)+MAX(0,MIN(IF($A$26&gt;$F$23,DCF_Base!$L$19*(1+$F$23/100)/(($A$26-$F$23)/100),DCF_Base!$L$19*DCF_Base!$B$29),DCF_Base!$L$19*DCF_Base!$B$29))/(1+$A$26/100)^DCF_Base!$L$4+Assumptions!$B$5-Assumptions!$B$4)/Assumptions!$B$3*Assumptions!$B$10</f>
        <v>5485.35802828896</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4899.14132068774</v>
      </c>
      <c r="C27" s="0" t="n">
        <f aca="false">(SUMPRODUCT(DCF_Base!$C$19:$L$19/(1+$A$27/100)^DCF_Base!$C$4:$L$4)+MAX(0,MIN(IF($A$27&gt;$C$23,DCF_Base!$L$19*(1+$C$23/100)/(($A$27-$C$23)/100),DCF_Base!$L$19*DCF_Base!$B$29),DCF_Base!$L$19*DCF_Base!$B$29))/(1+$A$27/100)^DCF_Base!$L$4+Assumptions!$B$5-Assumptions!$B$4)/Assumptions!$B$3*Assumptions!$B$10</f>
        <v>5002.75482105033</v>
      </c>
      <c r="D27" s="0" t="n">
        <f aca="false">(SUMPRODUCT(DCF_Base!$C$19:$L$19/(1+$A$27/100)^DCF_Base!$C$4:$L$4)+MAX(0,MIN(IF($A$27&gt;$D$23,DCF_Base!$L$19*(1+$D$23/100)/(($A$27-$D$23)/100),DCF_Base!$L$19*DCF_Base!$B$29),DCF_Base!$L$19*DCF_Base!$B$29))/(1+$A$27/100)^DCF_Base!$L$4+Assumptions!$B$5-Assumptions!$B$4)/Assumptions!$B$3*Assumptions!$B$10</f>
        <v>5002.75482105033</v>
      </c>
      <c r="E27" s="0" t="n">
        <f aca="false">(SUMPRODUCT(DCF_Base!$C$19:$L$19/(1+$A$27/100)^DCF_Base!$C$4:$L$4)+MAX(0,MIN(IF($A$27&gt;$E$23,DCF_Base!$L$19*(1+$E$23/100)/(($A$27-$E$23)/100),DCF_Base!$L$19*DCF_Base!$B$29),DCF_Base!$L$19*DCF_Base!$B$29))/(1+$A$27/100)^DCF_Base!$L$4+Assumptions!$B$5-Assumptions!$B$4)/Assumptions!$B$3*Assumptions!$B$10</f>
        <v>5002.75482105033</v>
      </c>
      <c r="F27" s="0" t="n">
        <f aca="false">(SUMPRODUCT(DCF_Base!$C$19:$L$19/(1+$A$27/100)^DCF_Base!$C$4:$L$4)+MAX(0,MIN(IF($A$27&gt;$F$23,DCF_Base!$L$19*(1+$F$23/100)/(($A$27-$F$23)/100),DCF_Base!$L$19*DCF_Base!$B$29),DCF_Base!$L$19*DCF_Base!$B$29))/(1+$A$27/100)^DCF_Base!$L$4+Assumptions!$B$5-Assumptions!$B$4)/Assumptions!$B$3*Assumptions!$B$10</f>
        <v>5002.75482105033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4115.21502282241</v>
      </c>
      <c r="C28" s="0" t="n">
        <f aca="false">(SUMPRODUCT(DCF_Base!$C$19:$L$19/(1+$A$28/100)^DCF_Base!$C$4:$L$4)+MAX(0,MIN(IF($A$28&gt;$C$23,DCF_Base!$L$19*(1+$C$23/100)/(($A$28-$C$23)/100),DCF_Base!$L$19*DCF_Base!$B$29),DCF_Base!$L$19*DCF_Base!$B$29))/(1+$A$28/100)^DCF_Base!$L$4+Assumptions!$B$5-Assumptions!$B$4)/Assumptions!$B$3*Assumptions!$B$10</f>
        <v>4296.52615094706</v>
      </c>
      <c r="D28" s="0" t="n">
        <f aca="false">(SUMPRODUCT(DCF_Base!$C$19:$L$19/(1+$A$28/100)^DCF_Base!$C$4:$L$4)+MAX(0,MIN(IF($A$28&gt;$D$23,DCF_Base!$L$19*(1+$D$23/100)/(($A$28-$D$23)/100),DCF_Base!$L$19*DCF_Base!$B$29),DCF_Base!$L$19*DCF_Base!$B$29))/(1+$A$28/100)^DCF_Base!$L$4+Assumptions!$B$5-Assumptions!$B$4)/Assumptions!$B$3*Assumptions!$B$10</f>
        <v>4500.50117008729</v>
      </c>
      <c r="E28" s="0" t="n">
        <f aca="false">(SUMPRODUCT(DCF_Base!$C$19:$L$19/(1+$A$28/100)^DCF_Base!$C$4:$L$4)+MAX(0,MIN(IF($A$28&gt;$E$23,DCF_Base!$L$19*(1+$E$23/100)/(($A$28-$E$23)/100),DCF_Base!$L$19*DCF_Base!$B$29),DCF_Base!$L$19*DCF_Base!$B$29))/(1+$A$28/100)^DCF_Base!$L$4+Assumptions!$B$5-Assumptions!$B$4)/Assumptions!$B$3*Assumptions!$B$10</f>
        <v>4563.54799418518</v>
      </c>
      <c r="F28" s="0" t="n">
        <f aca="false">(SUMPRODUCT(DCF_Base!$C$19:$L$19/(1+$A$28/100)^DCF_Base!$C$4:$L$4)+MAX(0,MIN(IF($A$28&gt;$F$23,DCF_Base!$L$19*(1+$F$23/100)/(($A$28-$F$23)/100),DCF_Base!$L$19*DCF_Base!$B$29),DCF_Base!$L$19*DCF_Base!$B$29))/(1+$A$28/100)^DCF_Base!$L$4+Assumptions!$B$5-Assumptions!$B$4)/Assumptions!$B$3*Assumptions!$B$10</f>
        <v>4563.54799418518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2026-10-31T11:26:19Z</dcterms:created>
  <dc:creator>openpyxl</dc:creator>
  <dc:description/>
  <dc:language>en-NZ</dc:language>
  <cp:lastModifiedBy/>
  <dcterms:modified xsi:type="dcterms:W3CDTF">2026-10-31T11:26:19Z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