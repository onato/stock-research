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Historicals" sheetId="3" state="visible" r:id="rId5"/>
    <sheet name="Forecast" sheetId="4" state="visible" r:id="rId6"/>
    <sheet name="DCF" sheetId="5" state="visible" r:id="rId7"/>
    <sheet name="Sensitivity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<sst xmlns="http://schemas.openxmlformats.org/spreadsheetml/2006/main" count="215" uniqueCount="175">
  <si>
    <t xml:space="preserve">Adyen N.V. — DCF Valuation</t>
  </si>
  <si>
    <t xml:space="preserve">ADYEN.AS (Euronext Amsterdam) / ADYEY (OTC ADR, 100 ADRs = 1 ordinary share)</t>
  </si>
  <si>
    <t xml:space="preserve">Built July 18, 2026 · All figures €m unless noted · FY2025 actuals per Adyen H2 2025 release</t>
  </si>
  <si>
    <t xml:space="preserve">COMPANY SNAPSHOT (FY2025)</t>
  </si>
  <si>
    <t xml:space="preserve">Net revenue</t>
  </si>
  <si>
    <t xml:space="preserve">+18% YoY reported, +21% constant currency</t>
  </si>
  <si>
    <t xml:space="preserve">EBITDA</t>
  </si>
  <si>
    <t xml:space="preserve">53% margin (H2 exit rate: 55%)</t>
  </si>
  <si>
    <t xml:space="preserve">Net income</t>
  </si>
  <si>
    <t xml:space="preserve">+15% YoY</t>
  </si>
  <si>
    <t xml:space="preserve">Free cash flow (87% EBITDA conversion)</t>
  </si>
  <si>
    <t xml:space="preserve">CapEx held at 5% of net revenue</t>
  </si>
  <si>
    <t xml:space="preserve">Processed volume (€bn)</t>
  </si>
  <si>
    <t xml:space="preserve">+21% ex-eBay, +8% incl.</t>
  </si>
  <si>
    <t xml:space="preserve">VALUATION OUTPUT (per ADR, USD)</t>
  </si>
  <si>
    <t xml:space="preserve">Scenario</t>
  </si>
  <si>
    <t xml:space="preserve">Value / ADR</t>
  </si>
  <si>
    <t xml:space="preserve">Current ADR</t>
  </si>
  <si>
    <t xml:space="preserve">Upside</t>
  </si>
  <si>
    <t xml:space="preserve">Bear</t>
  </si>
  <si>
    <t xml:space="preserve">Base</t>
  </si>
  <si>
    <t xml:space="preserve">Bull</t>
  </si>
  <si>
    <t xml:space="preserve">Probability-weighted value / ADR</t>
  </si>
  <si>
    <t xml:space="preserve">Implied upside (weighted)</t>
  </si>
  <si>
    <t xml:space="preserve">WHY THE STOCK IS DOWN ~72% FROM 2021 HIGHS / ~42% YTD 2026</t>
  </si>
  <si>
    <t xml:space="preserve">• Feb 2026: FY25 results — Q4 net revenue ~2% below consensus (USD FX drag); 2026 guide of 20–22% cc vs ~23% expected; stock fell ~17–20%.</t>
  </si>
  <si>
    <t xml:space="preserve">• 2026 EBITDA margin guided flat vs 2025 (investment year); &gt;55% margin pushed to 2028.</t>
  </si>
  <si>
    <t xml:space="preserve">• May 2026: CFO departure announced (surprise to market); Q1 take rate softer per JPM.</t>
  </si>
  <si>
    <t xml:space="preserve">• Jun 2026: analyst downgrades on European enterprise pricing pressure.</t>
  </si>
  <si>
    <t xml:space="preserve">• Sector-wide payments derating: stablecoin / agentic-commerce disruption fears.</t>
  </si>
  <si>
    <t xml:space="preserve">• Apr 2026: Talon.One acquisition (~€750m / $876m) and Orb — first acquisitions in company history.</t>
  </si>
  <si>
    <t xml:space="preserve">• Leadership: co-founder/Co-CEO van der Does stepped back (health); CFO exit effective Aug 31, 2026.</t>
  </si>
  <si>
    <t xml:space="preserve">• </t>
  </si>
  <si>
    <t xml:space="preserve">• SEGMENT MIX FY2025: Digital ~56% of net rev (+9% rep.) · Unified Commerce ~32% (+30%) · Platforms ~12%.</t>
  </si>
  <si>
    <t xml:space="preserve">• Growth is being carried by Unified Commerce/POS while core Digital decelerates — central to the bear case.</t>
  </si>
  <si>
    <t xml:space="preserve">Assumptions &amp; Inputs</t>
  </si>
  <si>
    <t xml:space="preserve">Yellow cells = key inputs to flex. Blue font = hardcoded.</t>
  </si>
  <si>
    <t xml:space="preserve">SHARED INPUTS</t>
  </si>
  <si>
    <t xml:space="preserve">Net cash (own): cash − merchant payables − debt</t>
  </si>
  <si>
    <t xml:space="preserve">Derived: €10,797.4m − €6,371.8m − €252.4m = €4,173.2m (FY2025 balance sheet per user CSV)</t>
  </si>
  <si>
    <t xml:space="preserve">Ordinary shares outstanding (m)</t>
  </si>
  <si>
    <t xml:space="preserve">Per MSN/Morningstar, mid-2026</t>
  </si>
  <si>
    <t xml:space="preserve">ADRs per ordinary share</t>
  </si>
  <si>
    <t xml:space="preserve">ADYEY ratio 100:1</t>
  </si>
  <si>
    <t xml:space="preserve">EUR/USD</t>
  </si>
  <si>
    <t xml:space="preserve">Spot estimate Jul 2026 — update</t>
  </si>
  <si>
    <t xml:space="preserve">Current price, ordinary (€)</t>
  </si>
  <si>
    <t xml:space="preserve">ADYEN.AS approx mid-Jul 2026 — update</t>
  </si>
  <si>
    <t xml:space="preserve">D&amp;A (% of net revenue)</t>
  </si>
  <si>
    <t xml:space="preserve">Historical ~4%</t>
  </si>
  <si>
    <t xml:space="preserve">CapEx (% of net revenue)</t>
  </si>
  <si>
    <t xml:space="preserve">Company guidance: up to 5%</t>
  </si>
  <si>
    <t xml:space="preserve">Change in WC (% of Δ net revenue)</t>
  </si>
  <si>
    <t xml:space="preserve">Minimal; asset-light</t>
  </si>
  <si>
    <t xml:space="preserve">Tax rate</t>
  </si>
  <si>
    <t xml:space="preserve">Dutch statutory 25.8%</t>
  </si>
  <si>
    <t xml:space="preserve">Current price / ADR (USD, derived)</t>
  </si>
  <si>
    <t xml:space="preserve">Market cap (€m, derived)</t>
  </si>
  <si>
    <t xml:space="preserve">SCENARIO DRIVERS</t>
  </si>
  <si>
    <t xml:space="preserve">Driver</t>
  </si>
  <si>
    <t xml:space="preserve">2026 net revenue growth (reported €)</t>
  </si>
  <si>
    <t xml:space="preserve">Guide 20–22% cc; reported nets off USD drag</t>
  </si>
  <si>
    <t xml:space="preserve">2035 net revenue growth (fade to, linear)</t>
  </si>
  <si>
    <t xml:space="preserve">Terminal-year growth</t>
  </si>
  <si>
    <t xml:space="preserve">2026 EBITDA margin</t>
  </si>
  <si>
    <t xml:space="preserve">Guided broadly in line with FY25 (53%)</t>
  </si>
  <si>
    <t xml:space="preserve">Terminal EBITDA margin (reached 2030)</t>
  </si>
  <si>
    <t xml:space="preserve">Company targets &gt;55% by 2028</t>
  </si>
  <si>
    <t xml:space="preserve">WACC (effectively cost of equity; no debt)</t>
  </si>
  <si>
    <t xml:space="preserve">EUR rf ~2.7% + β~1.3 × ERP ~5%</t>
  </si>
  <si>
    <t xml:space="preserve">Terminal growth g</t>
  </si>
  <si>
    <t xml:space="preserve">≤ long-run nominal EU GDP</t>
  </si>
  <si>
    <t xml:space="preserve">SCENARIO WEIGHTS</t>
  </si>
  <si>
    <t xml:space="preserve">Check: weights sum</t>
  </si>
  <si>
    <t xml:space="preserve">Historical Financials FY2018-FY2025 (€m)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</si>
  <si>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</si>
  <si>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</si>
  <si>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</si>
  <si>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</si>
  <si>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</si>
  <si>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</si>
  <si>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</si>
  <si>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</si>
  <si>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Source / note</t>
  </si>
  <si>
    <t xml:space="preserve">User CSV; FY25 per press release</t>
  </si>
  <si>
    <t xml:space="preserve">FY25 per H2 2025 press release (12 Feb 2026)</t>
  </si>
  <si>
    <t xml:space="preserve">FY25 +26% YoY</t>
  </si>
  <si>
    <t xml:space="preserve">EBITDA margin</t>
  </si>
  <si>
    <t xml:space="preserve">formula</t>
  </si>
  <si>
    <t xml:space="preserve">FY25 = H1 €481.0m + H2 €581.6m</t>
  </si>
  <si>
    <t xml:space="preserve">Free cash flow</t>
  </si>
  <si>
    <t xml:space="preserve">Actuals per CSV; FY25 conversion 86.8%</t>
  </si>
  <si>
    <t xml:space="preserve">Net revenue growth YoY</t>
  </si>
  <si>
    <t xml:space="preserve">Take rate (bps)</t>
  </si>
  <si>
    <t xml:space="preserve">21.9bps (2018) -&gt; 15.5 (2024) -&gt; 17.0 (2025): compression then mix-driven recovery</t>
  </si>
  <si>
    <t xml:space="preserve">Cash &amp; equivalents</t>
  </si>
  <si>
    <t xml:space="preserve">Includes merchant settlement float</t>
  </si>
  <si>
    <t xml:space="preserve">Payables to merchants</t>
  </si>
  <si>
    <t xml:space="preserve">Pass-through liability</t>
  </si>
  <si>
    <t xml:space="preserve">Total debt</t>
  </si>
  <si>
    <t xml:space="preserve">Mostly lease liabilities</t>
  </si>
  <si>
    <t xml:space="preserve">Own net cash (cash - merchant payables - debt)</t>
  </si>
  <si>
    <t xml:space="preserve">Feeds the DCF bridge (Assumptions!C6)</t>
  </si>
  <si>
    <t xml:space="preserve">Shareholders' equity</t>
  </si>
  <si>
    <t xml:space="preserve">User CSV</t>
  </si>
  <si>
    <t xml:space="preserve">FTEs</t>
  </si>
  <si>
    <t xml:space="preserve">Headcount discipline post-2023</t>
  </si>
  <si>
    <t xml:space="preserve">Data: user-provided ADYEY_Metrics.csv (semi-annual series 2018-2025); FY2025 row reconciles exactly to Adyen's official release.</t>
  </si>
  <si>
    <t xml:space="preserve">FCFF Forecast 2026–2035 (€m)</t>
  </si>
  <si>
    <t xml:space="preserve">Period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</si>
  <si>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</si>
  <si>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</si>
  <si>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</si>
  <si>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</si>
  <si>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</si>
  <si>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</si>
  <si>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</si>
  <si>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</si>
  <si>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</si>
  <si>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</si>
  <si>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BEAR CASE</t>
  </si>
  <si>
    <t xml:space="preserve">Net revenue growth</t>
  </si>
  <si>
    <t xml:space="preserve">D&amp;A</t>
  </si>
  <si>
    <t xml:space="preserve">EBIT</t>
  </si>
  <si>
    <t xml:space="preserve">Tax on EBIT</t>
  </si>
  <si>
    <t xml:space="preserve">NOPAT</t>
  </si>
  <si>
    <t xml:space="preserve">CapEx</t>
  </si>
  <si>
    <t xml:space="preserve">Δ Working capital</t>
  </si>
  <si>
    <t xml:space="preserve">FCFF</t>
  </si>
  <si>
    <t xml:space="preserve">BASE CASE</t>
  </si>
  <si>
    <t xml:space="preserve">BULL CASE</t>
  </si>
  <si>
    <t xml:space="preserve">DCF Valuation (€m unless noted)</t>
  </si>
  <si>
    <t xml:space="preserve">PV of FCFF 2026–2035</t>
  </si>
  <si>
    <t xml:space="preserve">Terminal value (Gordon, on 2035 FCFF)</t>
  </si>
  <si>
    <t xml:space="preserve">PV of terminal value</t>
  </si>
  <si>
    <t xml:space="preserve">Enterprise value</t>
  </si>
  <si>
    <t xml:space="preserve">(+) Net cash (own)</t>
  </si>
  <si>
    <t xml:space="preserve">Equity value</t>
  </si>
  <si>
    <t xml:space="preserve">Value per ordinary share (€)</t>
  </si>
  <si>
    <t xml:space="preserve">Upside vs current (€ ordinary)</t>
  </si>
  <si>
    <t xml:space="preserve">TV as % of EV</t>
  </si>
  <si>
    <t xml:space="preserve">Implied EV / 2026E EBITDA</t>
  </si>
  <si>
    <t xml:space="preserve">Value per ADR (USD)</t>
  </si>
  <si>
    <t xml:space="preserve">REVERSE DCF — what the market is pricing in</t>
  </si>
  <si>
    <t xml:space="preserve">Market cap (€m)</t>
  </si>
  <si>
    <t xml:space="preserve">Implied EV (market cap − net cash)</t>
  </si>
  <si>
    <t xml:space="preserve">Implied EV / 2026E FCFF (base rev/margin path)</t>
  </si>
  <si>
    <t xml:space="preserve">Bear-case value ≈ current price ⇒ market is pricing roughly the bear path (growth fading to ~5%, no margin expansion).</t>
  </si>
  <si>
    <t xml:space="preserve">Sensitivity — Base-case value per ADR (USD)</t>
  </si>
  <si>
    <t xml:space="preserve">Rows: WACC · Columns: terminal growth g. Uses base-case FCFF path from Forecast.</t>
  </si>
  <si>
    <t xml:space="preserve">WACC \ g</t>
  </si>
  <si>
    <t xml:space="preserve">Current ADR price (USD):</t>
  </si>
  <si>
    <t xml:space="preserve">Notes, Caveats &amp; Sources</t>
  </si>
  <si>
    <t xml:space="preserve">KEY CAVEATS</t>
  </si>
  <si>
    <t xml:space="preserve">1. NET CASH now DERIVED from FY2025 balance sheet (user CSV): cash €10,797.4m − merchant payables €6,371.8m − debt €252.4m = €4,173.2m.</t>
  </si>
  <si>
    <t xml:space="preserve">   Cross-checked vs equity €5,285.4m; plausible. Residual risk: other own financial investments / restricted cash not captured.</t>
  </si>
  <si>
    <t xml:space="preserve">2. Float income (~€260-270m/yr, ~25% of FY2025 net income) is EXCLUDED from FCFF; net cash added separately. This matters:</t>
  </si>
  <si>
    <t xml:space="preserve">   a rate-sensitive quarter of net income is NOT in the operating valuation — which is why FCFF, not net income, anchors this model.</t>
  </si>
  <si>
    <t xml:space="preserve">3. Forecast is in reported EUR. 2026 guidance (20–22%) is constant currency; base case of 19% reported assumes ~2pt USD drag persists.</t>
  </si>
  <si>
    <t xml:space="preserve">4. Talon.One acquisition (~€750m reported, Apr 2026) not separately modelled; treat as roughly value-neutral use of net cash.</t>
  </si>
  <si>
    <t xml:space="preserve">5. The ADR is unsponsored (Adyen explicitly disclaims sponsorship). Liquidity is thin vs Amsterdam line; NZ brokers may access either.</t>
  </si>
  <si>
    <t xml:space="preserve">KEY DEBATE POINTS FOR THE THESIS</t>
  </si>
  <si>
    <t xml:space="preserve">• Take rate: 21.9bps (2018) -&gt; 15.5 (2024) -&gt; 17.0 (2025). Long-run compression is structural; 2025 recovery is mix. JPM flagged Q1 26 softness.</t>
  </si>
  <si>
    <t xml:space="preserve">• Segment: Digital (56% of rev) grew only ~9% reported in FY25; Unified Commerce (+30%) is carrying growth. Stripe (&gt;$900bn US volume, ~45% growth) contests the core.</t>
  </si>
  <si>
    <t xml:space="preserve">• eBay volume runoff masks underlying volume growth (+21% ex-eBay vs +8% incl. in FY25).</t>
  </si>
  <si>
    <t xml:space="preserve">• Stablecoin / agentic-commerce disruption is the sector-level bear case; Adyen is partnering (OpenAI, Google, Visa, MC) rather than ignoring.</t>
  </si>
  <si>
    <t xml:space="preserve">• CFO departure (May 2026) + first-ever acquisition = mild capital-allocation regime-change risk for a famously organic company.</t>
  </si>
  <si>
    <t xml:space="preserve">• Governance: dual-class-free but founder-influenced; no buybacks or dividends historically — cash pile keeps growing.</t>
  </si>
  <si>
    <t xml:space="preserve">SOURCES</t>
  </si>
  <si>
    <t xml:space="preserve">• Adyen H2 2025 press release, 12 Feb 2026 — adyen.com/press-and-media (FY25 net revenue, EBITDA, FCF conversion, guidance)</t>
  </si>
  <si>
    <t xml:space="preserve">• Adyen H2 2025 shareholder letter — investors.adyen.com/financials/h2-2025</t>
  </si>
  <si>
    <t xml:space="preserve">• CNBC, 12 Feb 2026 (guidance vs LSEG consensus 22.8%); Sharecast / Investing.com (Q4 miss, −17-20% move)</t>
  </si>
  <si>
    <t xml:space="preserve">• Casteleijn Substack FY25 summary (net income €1,062.5m; float income); Motley Fool, 1 Jul 2026 (CFO exit, downgrades, −42% YTD)</t>
  </si>
  <si>
    <t xml:space="preserve">• TS2/Reuters, Jun 2026 (Talon.One ~€750m; Q1 take-rate commentary)</t>
  </si>
  <si>
    <t xml:space="preserve">• Prices: ADYEN.AS ~€880 / ADYEY ~$9.85–10.20, Jul 2026 (update Assumptions!C10 and C9 before relying on upside numbers)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</si>
</sst>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€#,##0;&quot;(€&quot;#,##0\);\-"/>
    <numFmt numFmtId="166" formatCode="#,##0.0;\(#,##0.0\);\-"/>
    <numFmt numFmtId="167" formatCode="\$#,##0.00;&quot;($&quot;#,##0.00\);\-"/>
    <numFmt numFmtId="168" formatCode="0.0%;\(0.0%\);\-"/>
    <numFmt numFmtId="169" formatCode="#,##0"/>
    <numFmt numFmtId="170" formatCode="0.00"/>
    <numFmt numFmtId="171" formatCode="\€#,##0.00;&quot;(€&quot;#,##0.00\);\-"/>
    <numFmt numFmtId="172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4444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6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6" t="s">
        <v>4</v>
      </c>
      <c r="C7" s="7" t="n">
        <f aca="false">Historicals!J6</f>
        <v>2364.2</v>
      </c>
      <c r="D7" s="8" t="s">
        <v>5</v>
      </c>
    </row>
    <row r="8" customFormat="false" ht="15" hidden="false" customHeight="true" outlineLevel="0" collapsed="false">
      <c r="B8" s="6" t="s">
        <v>6</v>
      </c>
      <c r="C8" s="7" t="n">
        <f aca="false">Historicals!J7</f>
        <v>1245.7</v>
      </c>
      <c r="D8" s="8" t="s">
        <v>7</v>
      </c>
    </row>
    <row r="9" customFormat="false" ht="15" hidden="false" customHeight="true" outlineLevel="0" collapsed="false">
      <c r="B9" s="6" t="s">
        <v>8</v>
      </c>
      <c r="C9" s="7" t="n">
        <f aca="false">Historicals!J9</f>
        <v>1062.5</v>
      </c>
      <c r="D9" s="8" t="s">
        <v>9</v>
      </c>
    </row>
    <row r="10" customFormat="false" ht="15" hidden="false" customHeight="true" outlineLevel="0" collapsed="false">
      <c r="B10" s="6" t="s">
        <v>10</v>
      </c>
      <c r="C10" s="7" t="n">
        <f aca="false">Historicals!J10</f>
        <v>1081.3</v>
      </c>
      <c r="D10" s="8" t="s">
        <v>11</v>
      </c>
    </row>
    <row r="11" customFormat="false" ht="15" hidden="false" customHeight="true" outlineLevel="0" collapsed="false">
      <c r="B11" s="6" t="s">
        <v>12</v>
      </c>
      <c r="C11" s="9" t="n">
        <v>1394.3</v>
      </c>
      <c r="D11" s="8" t="s">
        <v>13</v>
      </c>
    </row>
    <row r="13" customFormat="false" ht="15" hidden="false" customHeight="true" outlineLevel="0" collapsed="false">
      <c r="B13" s="5" t="s">
        <v>14</v>
      </c>
    </row>
    <row r="14" customFormat="false" ht="15" hidden="false" customHeight="true" outlineLevel="0" collapsed="false">
      <c r="B14" s="10" t="s">
        <v>15</v>
      </c>
      <c r="C14" s="10" t="s">
        <v>16</v>
      </c>
      <c r="D14" s="10" t="s">
        <v>17</v>
      </c>
      <c r="E14" s="10" t="s">
        <v>18</v>
      </c>
    </row>
    <row r="15" customFormat="false" ht="15" hidden="false" customHeight="true" outlineLevel="0" collapsed="false">
      <c r="B15" s="6" t="s">
        <v>19</v>
      </c>
      <c r="C15" s="11" t="n">
        <f aca="false">DCF!C16</f>
        <v>8.65919242245063</v>
      </c>
      <c r="D15" s="11" t="n">
        <f aca="false">Assumptions!$C$15</f>
        <v>9.450056</v>
      </c>
      <c r="E15" s="12" t="n">
        <f aca="false">(C15-D15)/D15</f>
        <v>-0.0836887715320811</v>
      </c>
    </row>
    <row r="16" customFormat="false" ht="15" hidden="false" customHeight="true" outlineLevel="0" collapsed="false">
      <c r="B16" s="13" t="s">
        <v>20</v>
      </c>
      <c r="C16" s="11" t="n">
        <f aca="false">DCF!D16</f>
        <v>13.8309423249926</v>
      </c>
      <c r="D16" s="11" t="n">
        <f aca="false">Assumptions!$C$15</f>
        <v>9.450056</v>
      </c>
      <c r="E16" s="12" t="n">
        <f aca="false">(C16-D16)/D16</f>
        <v>0.463583107337421</v>
      </c>
    </row>
    <row r="17" customFormat="false" ht="15" hidden="false" customHeight="true" outlineLevel="0" collapsed="false">
      <c r="B17" s="6" t="s">
        <v>21</v>
      </c>
      <c r="C17" s="11" t="n">
        <f aca="false">DCF!E16</f>
        <v>19.7887396645842</v>
      </c>
      <c r="D17" s="11" t="n">
        <f aca="false">Assumptions!$C$15</f>
        <v>9.450056</v>
      </c>
      <c r="E17" s="12" t="n">
        <f aca="false">(C17-D17)/D17</f>
        <v>1.09403411626177</v>
      </c>
    </row>
    <row r="19" customFormat="false" ht="15" hidden="false" customHeight="true" outlineLevel="0" collapsed="false">
      <c r="B19" s="13" t="s">
        <v>22</v>
      </c>
      <c r="C19" s="14" t="n">
        <f aca="false">SUMPRODUCT(C15:C17,Assumptions!D28:D30)</f>
        <v>14.027454184255</v>
      </c>
    </row>
    <row r="20" customFormat="false" ht="15" hidden="false" customHeight="true" outlineLevel="0" collapsed="false">
      <c r="B20" s="13" t="s">
        <v>23</v>
      </c>
      <c r="C20" s="12" t="n">
        <f aca="false">(C19-Assumptions!C15)/Assumptions!C15</f>
        <v>0.484377889851133</v>
      </c>
    </row>
    <row r="22" customFormat="false" ht="15" hidden="false" customHeight="true" outlineLevel="0" collapsed="false">
      <c r="B22" s="5" t="s">
        <v>24</v>
      </c>
    </row>
    <row r="23" customFormat="false" ht="15" hidden="false" customHeight="true" outlineLevel="0" collapsed="false">
      <c r="B23" s="15" t="s">
        <v>25</v>
      </c>
    </row>
    <row r="24" customFormat="false" ht="15" hidden="false" customHeight="true" outlineLevel="0" collapsed="false">
      <c r="B24" s="15" t="s">
        <v>26</v>
      </c>
    </row>
    <row r="25" customFormat="false" ht="15" hidden="false" customHeight="true" outlineLevel="0" collapsed="false">
      <c r="B25" s="15" t="s">
        <v>27</v>
      </c>
    </row>
    <row r="26" customFormat="false" ht="15" hidden="false" customHeight="true" outlineLevel="0" collapsed="false">
      <c r="B26" s="15" t="s">
        <v>28</v>
      </c>
    </row>
    <row r="27" customFormat="false" ht="15" hidden="false" customHeight="true" outlineLevel="0" collapsed="false">
      <c r="B27" s="15" t="s">
        <v>29</v>
      </c>
    </row>
    <row r="28" customFormat="false" ht="15" hidden="false" customHeight="true" outlineLevel="0" collapsed="false">
      <c r="B28" s="15" t="s">
        <v>30</v>
      </c>
    </row>
    <row r="29" customFormat="false" ht="15" hidden="false" customHeight="true" outlineLevel="0" collapsed="false">
      <c r="B29" s="15" t="s">
        <v>31</v>
      </c>
    </row>
    <row r="30" customFormat="false" ht="15" hidden="false" customHeight="true" outlineLevel="0" collapsed="false">
      <c r="B30" s="15" t="s">
        <v>32</v>
      </c>
    </row>
    <row r="31" customFormat="false" ht="15" hidden="false" customHeight="true" outlineLevel="0" collapsed="false">
      <c r="B31" s="15" t="s">
        <v>33</v>
      </c>
    </row>
    <row r="32" customFormat="false" ht="15" hidden="false" customHeight="true" outlineLevel="0" collapsed="false">
      <c r="B32" s="1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6" min="3" style="1" width="14"/>
  </cols>
  <sheetData>
    <row r="2" customFormat="false" ht="17.25" hidden="false" customHeight="true" outlineLevel="0" collapsed="false">
      <c r="B2" s="2" t="s">
        <v>35</v>
      </c>
    </row>
    <row r="3" customFormat="false" ht="15" hidden="false" customHeight="true" outlineLevel="0" collapsed="false">
      <c r="B3" s="4" t="s">
        <v>36</v>
      </c>
    </row>
    <row r="5" customFormat="false" ht="15" hidden="false" customHeight="true" outlineLevel="0" collapsed="false">
      <c r="B5" s="5" t="s">
        <v>37</v>
      </c>
    </row>
    <row r="6" customFormat="false" ht="15" hidden="false" customHeight="true" outlineLevel="0" collapsed="false">
      <c r="B6" s="6" t="s">
        <v>38</v>
      </c>
      <c r="C6" s="7" t="n">
        <f aca="false">Historicals!J16</f>
        <v>4173.2</v>
      </c>
      <c r="D6" s="16" t="s">
        <v>39</v>
      </c>
    </row>
    <row r="7" customFormat="false" ht="15" hidden="false" customHeight="true" outlineLevel="0" collapsed="false">
      <c r="B7" s="6" t="s">
        <v>40</v>
      </c>
      <c r="C7" s="9" t="n">
        <v>31.55</v>
      </c>
      <c r="D7" s="16" t="s">
        <v>41</v>
      </c>
    </row>
    <row r="8" customFormat="false" ht="15" hidden="false" customHeight="true" outlineLevel="0" collapsed="false">
      <c r="B8" s="6" t="s">
        <v>42</v>
      </c>
      <c r="C8" s="17" t="n">
        <v>100</v>
      </c>
      <c r="D8" s="16" t="s">
        <v>43</v>
      </c>
    </row>
    <row r="9" customFormat="false" ht="15" hidden="false" customHeight="true" outlineLevel="0" collapsed="false">
      <c r="B9" s="6" t="s">
        <v>44</v>
      </c>
      <c r="C9" s="18" t="n">
        <v>1.16</v>
      </c>
      <c r="D9" s="16" t="s">
        <v>45</v>
      </c>
    </row>
    <row r="10" customFormat="false" ht="15" hidden="false" customHeight="true" outlineLevel="0" collapsed="false">
      <c r="B10" s="6" t="s">
        <v>46</v>
      </c>
      <c r="C10" s="19" t="n">
        <v>814.66</v>
      </c>
      <c r="D10" s="16" t="s">
        <v>47</v>
      </c>
    </row>
    <row r="11" customFormat="false" ht="15" hidden="false" customHeight="true" outlineLevel="0" collapsed="false">
      <c r="B11" s="6" t="s">
        <v>48</v>
      </c>
      <c r="C11" s="20" t="n">
        <v>0.04</v>
      </c>
      <c r="D11" s="16" t="s">
        <v>49</v>
      </c>
    </row>
    <row r="12" customFormat="false" ht="15" hidden="false" customHeight="true" outlineLevel="0" collapsed="false">
      <c r="B12" s="6" t="s">
        <v>50</v>
      </c>
      <c r="C12" s="20" t="n">
        <v>0.05</v>
      </c>
      <c r="D12" s="16" t="s">
        <v>51</v>
      </c>
    </row>
    <row r="13" customFormat="false" ht="15" hidden="false" customHeight="true" outlineLevel="0" collapsed="false">
      <c r="B13" s="6" t="s">
        <v>52</v>
      </c>
      <c r="C13" s="20" t="n">
        <v>0.005</v>
      </c>
      <c r="D13" s="16" t="s">
        <v>53</v>
      </c>
    </row>
    <row r="14" customFormat="false" ht="15" hidden="false" customHeight="true" outlineLevel="0" collapsed="false">
      <c r="B14" s="6" t="s">
        <v>54</v>
      </c>
      <c r="C14" s="20" t="n">
        <v>0.258</v>
      </c>
      <c r="D14" s="16" t="s">
        <v>55</v>
      </c>
    </row>
    <row r="15" customFormat="false" ht="15" hidden="false" customHeight="true" outlineLevel="0" collapsed="false">
      <c r="B15" s="6" t="s">
        <v>56</v>
      </c>
      <c r="C15" s="21" t="n">
        <f aca="false">C10*C9/C8</f>
        <v>9.450056</v>
      </c>
    </row>
    <row r="16" customFormat="false" ht="15" hidden="false" customHeight="true" outlineLevel="0" collapsed="false">
      <c r="B16" s="6" t="s">
        <v>57</v>
      </c>
      <c r="C16" s="22" t="n">
        <f aca="false">C10*C7</f>
        <v>25702.523</v>
      </c>
    </row>
    <row r="18" customFormat="false" ht="15" hidden="false" customHeight="true" outlineLevel="0" collapsed="false">
      <c r="B18" s="5" t="s">
        <v>58</v>
      </c>
    </row>
    <row r="19" customFormat="false" ht="15" hidden="false" customHeight="true" outlineLevel="0" collapsed="false">
      <c r="B19" s="10" t="s">
        <v>59</v>
      </c>
      <c r="C19" s="10" t="s">
        <v>19</v>
      </c>
      <c r="D19" s="10" t="s">
        <v>20</v>
      </c>
      <c r="E19" s="10" t="s">
        <v>21</v>
      </c>
    </row>
    <row r="20" customFormat="false" ht="15" hidden="false" customHeight="true" outlineLevel="0" collapsed="false">
      <c r="B20" s="6" t="s">
        <v>60</v>
      </c>
      <c r="C20" s="23" t="n">
        <v>0.15</v>
      </c>
      <c r="D20" s="23" t="n">
        <v>0.19</v>
      </c>
      <c r="E20" s="23" t="n">
        <v>0.21</v>
      </c>
      <c r="F20" s="16" t="s">
        <v>61</v>
      </c>
    </row>
    <row r="21" customFormat="false" ht="15" hidden="false" customHeight="true" outlineLevel="0" collapsed="false">
      <c r="B21" s="6" t="s">
        <v>62</v>
      </c>
      <c r="C21" s="23" t="n">
        <v>0.05</v>
      </c>
      <c r="D21" s="23" t="n">
        <v>0.09</v>
      </c>
      <c r="E21" s="23" t="n">
        <v>0.12</v>
      </c>
      <c r="F21" s="16" t="s">
        <v>63</v>
      </c>
    </row>
    <row r="22" customFormat="false" ht="15" hidden="false" customHeight="true" outlineLevel="0" collapsed="false">
      <c r="B22" s="6" t="s">
        <v>64</v>
      </c>
      <c r="C22" s="23" t="n">
        <v>0.53</v>
      </c>
      <c r="D22" s="23" t="n">
        <v>0.53</v>
      </c>
      <c r="E22" s="23" t="n">
        <v>0.54</v>
      </c>
      <c r="F22" s="16" t="s">
        <v>65</v>
      </c>
    </row>
    <row r="23" customFormat="false" ht="15" hidden="false" customHeight="true" outlineLevel="0" collapsed="false">
      <c r="B23" s="6" t="s">
        <v>66</v>
      </c>
      <c r="C23" s="23" t="n">
        <v>0.54</v>
      </c>
      <c r="D23" s="23" t="n">
        <v>0.57</v>
      </c>
      <c r="E23" s="23" t="n">
        <v>0.6</v>
      </c>
      <c r="F23" s="16" t="s">
        <v>67</v>
      </c>
    </row>
    <row r="24" customFormat="false" ht="15" hidden="false" customHeight="true" outlineLevel="0" collapsed="false">
      <c r="B24" s="6" t="s">
        <v>68</v>
      </c>
      <c r="C24" s="23" t="n">
        <v>0.105</v>
      </c>
      <c r="D24" s="23" t="n">
        <v>0.095</v>
      </c>
      <c r="E24" s="23" t="n">
        <v>0.09</v>
      </c>
      <c r="F24" s="16" t="s">
        <v>69</v>
      </c>
    </row>
    <row r="25" customFormat="false" ht="15" hidden="false" customHeight="true" outlineLevel="0" collapsed="false">
      <c r="B25" s="6" t="s">
        <v>70</v>
      </c>
      <c r="C25" s="23" t="n">
        <v>0.025</v>
      </c>
      <c r="D25" s="23" t="n">
        <v>0.03</v>
      </c>
      <c r="E25" s="23" t="n">
        <v>0.035</v>
      </c>
      <c r="F25" s="16" t="s">
        <v>71</v>
      </c>
    </row>
    <row r="27" customFormat="false" ht="15" hidden="false" customHeight="true" outlineLevel="0" collapsed="false">
      <c r="B27" s="5" t="s">
        <v>72</v>
      </c>
    </row>
    <row r="28" customFormat="false" ht="15" hidden="false" customHeight="true" outlineLevel="0" collapsed="false">
      <c r="B28" s="6" t="s">
        <v>19</v>
      </c>
      <c r="C28" s="6"/>
      <c r="D28" s="23" t="n">
        <v>0.25</v>
      </c>
    </row>
    <row r="29" customFormat="false" ht="15" hidden="false" customHeight="true" outlineLevel="0" collapsed="false">
      <c r="B29" s="6" t="s">
        <v>20</v>
      </c>
      <c r="C29" s="6"/>
      <c r="D29" s="23" t="n">
        <v>0.5</v>
      </c>
    </row>
    <row r="30" customFormat="false" ht="15" hidden="false" customHeight="true" outlineLevel="0" collapsed="false">
      <c r="B30" s="6" t="s">
        <v>21</v>
      </c>
      <c r="C30" s="6"/>
      <c r="D30" s="23" t="n">
        <v>0.25</v>
      </c>
    </row>
    <row r="31" customFormat="false" ht="15" hidden="false" customHeight="true" outlineLevel="0" collapsed="false">
      <c r="B31" s="6" t="s">
        <v>73</v>
      </c>
      <c r="D31" s="12" t="n">
        <f aca="false">SUM(D28:D30)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10" min="3" style="1" width="11"/>
    <col collapsed="false" customWidth="true" hidden="false" outlineLevel="0" max="11" min="11" style="1" width="55"/>
  </cols>
  <sheetData>
    <row r="2" customFormat="false" ht="17.25" hidden="false" customHeight="true" outlineLevel="0" collapsed="false">
      <c r="B2" s="2" t="s">
        <v>74</v>
      </c>
    </row>
    <row r="4" customFormat="false" ht="15" hidden="false" customHeight="true" outlineLevel="0" collapsed="false">
      <c r="B4" s="10"/>
      <c r="C4" s="10" t="s">
        <v>75</v>
      </c>
      <c r="D4" s="10" t="s">
        <v>76</v>
      </c>
      <c r="E4" s="10" t="s">
        <v>77</v>
      </c>
      <c r="F4" s="10" t="s">
        <v>78</v>
      </c>
      <c r="G4" s="10" t="s">
        <v>79</v>
      </c>
      <c r="H4" s="10" t="s">
        <v>80</v>
      </c>
      <c r="I4" s="10" t="s">
        <v>81</v>
      </c>
      <c r="J4" s="10" t="s">
        <v>82</v>
      </c>
      <c r="K4" s="24" t="s">
        <v>83</v>
      </c>
    </row>
    <row r="5" customFormat="false" ht="15" hidden="false" customHeight="true" outlineLevel="0" collapsed="false">
      <c r="B5" s="6" t="s">
        <v>12</v>
      </c>
      <c r="C5" s="9" t="n">
        <v>159</v>
      </c>
      <c r="D5" s="9" t="n">
        <v>239.6</v>
      </c>
      <c r="E5" s="9" t="n">
        <v>303.6</v>
      </c>
      <c r="F5" s="9" t="n">
        <v>516</v>
      </c>
      <c r="G5" s="9" t="n">
        <v>767.5</v>
      </c>
      <c r="H5" s="9" t="n">
        <v>970.1</v>
      </c>
      <c r="I5" s="9" t="n">
        <v>1285.9</v>
      </c>
      <c r="J5" s="9" t="n">
        <v>1394.3</v>
      </c>
      <c r="K5" s="16" t="s">
        <v>84</v>
      </c>
    </row>
    <row r="6" customFormat="false" ht="15" hidden="false" customHeight="true" outlineLevel="0" collapsed="false">
      <c r="B6" s="6" t="s">
        <v>4</v>
      </c>
      <c r="C6" s="25" t="n">
        <v>348.9</v>
      </c>
      <c r="D6" s="25" t="n">
        <v>496.7</v>
      </c>
      <c r="E6" s="25" t="n">
        <v>684.2</v>
      </c>
      <c r="F6" s="25" t="n">
        <v>1001.5</v>
      </c>
      <c r="G6" s="25" t="n">
        <v>1330.2</v>
      </c>
      <c r="H6" s="25" t="n">
        <v>1626.1</v>
      </c>
      <c r="I6" s="25" t="n">
        <v>1996.1</v>
      </c>
      <c r="J6" s="25" t="n">
        <v>2364.2</v>
      </c>
      <c r="K6" s="16" t="s">
        <v>85</v>
      </c>
    </row>
    <row r="7" customFormat="false" ht="15" hidden="false" customHeight="true" outlineLevel="0" collapsed="false">
      <c r="B7" s="6" t="s">
        <v>6</v>
      </c>
      <c r="C7" s="25" t="n">
        <v>181.9</v>
      </c>
      <c r="D7" s="25" t="n">
        <v>279.3</v>
      </c>
      <c r="E7" s="25" t="n">
        <v>402.5</v>
      </c>
      <c r="F7" s="25" t="n">
        <v>629.9</v>
      </c>
      <c r="G7" s="25" t="n">
        <v>728.3</v>
      </c>
      <c r="H7" s="25" t="n">
        <v>743</v>
      </c>
      <c r="I7" s="25" t="n">
        <v>992.3</v>
      </c>
      <c r="J7" s="25" t="n">
        <v>1245.7</v>
      </c>
      <c r="K7" s="16" t="s">
        <v>86</v>
      </c>
    </row>
    <row r="8" customFormat="false" ht="15" hidden="false" customHeight="true" outlineLevel="0" collapsed="false">
      <c r="B8" s="6" t="s">
        <v>87</v>
      </c>
      <c r="C8" s="12" t="n">
        <f aca="false">C7/C6</f>
        <v>0.521352823158498</v>
      </c>
      <c r="D8" s="12" t="n">
        <f aca="false">D7/D6</f>
        <v>0.562311254278236</v>
      </c>
      <c r="E8" s="12" t="n">
        <f aca="false">E7/E6</f>
        <v>0.588278281204326</v>
      </c>
      <c r="F8" s="12" t="n">
        <f aca="false">F7/F6</f>
        <v>0.628956565152272</v>
      </c>
      <c r="G8" s="12" t="n">
        <f aca="false">G7/G6</f>
        <v>0.5475116523831</v>
      </c>
      <c r="H8" s="12" t="n">
        <f aca="false">H7/H6</f>
        <v>0.45692146854437</v>
      </c>
      <c r="I8" s="12" t="n">
        <f aca="false">I7/I6</f>
        <v>0.497119382796453</v>
      </c>
      <c r="J8" s="12" t="n">
        <f aca="false">J7/J6</f>
        <v>0.5269012773877</v>
      </c>
      <c r="K8" s="16" t="s">
        <v>88</v>
      </c>
    </row>
    <row r="9" customFormat="false" ht="15" hidden="false" customHeight="true" outlineLevel="0" collapsed="false">
      <c r="B9" s="6" t="s">
        <v>8</v>
      </c>
      <c r="C9" s="25" t="n">
        <v>131.1</v>
      </c>
      <c r="D9" s="25" t="n">
        <v>204</v>
      </c>
      <c r="E9" s="25" t="n">
        <v>261</v>
      </c>
      <c r="F9" s="25" t="n">
        <v>469.7</v>
      </c>
      <c r="G9" s="25" t="n">
        <v>564.1</v>
      </c>
      <c r="H9" s="25" t="n">
        <v>698.3</v>
      </c>
      <c r="I9" s="25" t="n">
        <v>925.2</v>
      </c>
      <c r="J9" s="25" t="n">
        <v>1062.5</v>
      </c>
      <c r="K9" s="16" t="s">
        <v>89</v>
      </c>
    </row>
    <row r="10" customFormat="false" ht="15" hidden="false" customHeight="true" outlineLevel="0" collapsed="false">
      <c r="B10" s="6" t="s">
        <v>90</v>
      </c>
      <c r="C10" s="25" t="n">
        <v>168.1</v>
      </c>
      <c r="D10" s="25" t="n">
        <v>259.3</v>
      </c>
      <c r="E10" s="25" t="n">
        <v>346.3</v>
      </c>
      <c r="F10" s="25" t="n">
        <v>544.6</v>
      </c>
      <c r="G10" s="25" t="n">
        <v>607.1</v>
      </c>
      <c r="H10" s="25" t="n">
        <v>639.5</v>
      </c>
      <c r="I10" s="25" t="n">
        <v>859.8</v>
      </c>
      <c r="J10" s="25" t="n">
        <v>1081.3</v>
      </c>
      <c r="K10" s="16" t="s">
        <v>91</v>
      </c>
    </row>
    <row r="11" customFormat="false" ht="15" hidden="false" customHeight="true" outlineLevel="0" collapsed="false">
      <c r="B11" s="6" t="s">
        <v>92</v>
      </c>
      <c r="D11" s="12" t="n">
        <f aca="false">D6/C6-1</f>
        <v>0.423617082258527</v>
      </c>
      <c r="E11" s="12" t="n">
        <f aca="false">E6/D6-1</f>
        <v>0.37749144352728</v>
      </c>
      <c r="F11" s="12" t="n">
        <f aca="false">F6/E6-1</f>
        <v>0.463753288512131</v>
      </c>
      <c r="G11" s="12" t="n">
        <f aca="false">G6/F6-1</f>
        <v>0.328207688467299</v>
      </c>
      <c r="H11" s="12" t="n">
        <f aca="false">H6/G6-1</f>
        <v>0.222447752217712</v>
      </c>
      <c r="I11" s="12" t="n">
        <f aca="false">I6/H6-1</f>
        <v>0.227538281778488</v>
      </c>
      <c r="J11" s="12" t="n">
        <f aca="false">J6/I6-1</f>
        <v>0.184409598717499</v>
      </c>
      <c r="K11" s="16" t="s">
        <v>88</v>
      </c>
    </row>
    <row r="12" customFormat="false" ht="15" hidden="false" customHeight="true" outlineLevel="0" collapsed="false">
      <c r="B12" s="6" t="s">
        <v>93</v>
      </c>
      <c r="C12" s="26" t="n">
        <f aca="false">C6/(C5*1000)*10000</f>
        <v>21.9433962264151</v>
      </c>
      <c r="D12" s="26" t="n">
        <f aca="false">D6/(D5*1000)*10000</f>
        <v>20.7303839732888</v>
      </c>
      <c r="E12" s="26" t="n">
        <f aca="false">E6/(E5*1000)*10000</f>
        <v>22.536231884058</v>
      </c>
      <c r="F12" s="26" t="n">
        <f aca="false">F6/(F5*1000)*10000</f>
        <v>19.4089147286822</v>
      </c>
      <c r="G12" s="26" t="n">
        <f aca="false">G6/(G5*1000)*10000</f>
        <v>17.3315960912052</v>
      </c>
      <c r="H12" s="26" t="n">
        <f aca="false">H6/(H5*1000)*10000</f>
        <v>16.7621894650036</v>
      </c>
      <c r="I12" s="26" t="n">
        <f aca="false">I6/(I5*1000)*10000</f>
        <v>15.522980013998</v>
      </c>
      <c r="J12" s="26" t="n">
        <f aca="false">J6/(J5*1000)*10000</f>
        <v>16.956178727677</v>
      </c>
      <c r="K12" s="16" t="s">
        <v>94</v>
      </c>
    </row>
    <row r="13" customFormat="false" ht="15" hidden="false" customHeight="true" outlineLevel="0" collapsed="false">
      <c r="B13" s="6" t="s">
        <v>95</v>
      </c>
      <c r="C13" s="25" t="n">
        <v>1231.9</v>
      </c>
      <c r="D13" s="25" t="n">
        <v>1745.4</v>
      </c>
      <c r="E13" s="25" t="n">
        <v>2737.5</v>
      </c>
      <c r="F13" s="25" t="n">
        <v>4616.1</v>
      </c>
      <c r="G13" s="25" t="n">
        <v>6522.3</v>
      </c>
      <c r="H13" s="25" t="n">
        <v>8307</v>
      </c>
      <c r="I13" s="25" t="n">
        <v>9965</v>
      </c>
      <c r="J13" s="25" t="n">
        <v>10797.4</v>
      </c>
      <c r="K13" s="16" t="s">
        <v>96</v>
      </c>
    </row>
    <row r="14" customFormat="false" ht="15" hidden="false" customHeight="true" outlineLevel="0" collapsed="false">
      <c r="B14" s="6" t="s">
        <v>97</v>
      </c>
      <c r="C14" s="25" t="n">
        <v>1186.9</v>
      </c>
      <c r="D14" s="25" t="n">
        <v>1521.4</v>
      </c>
      <c r="E14" s="25" t="n">
        <v>2588.9</v>
      </c>
      <c r="F14" s="25" t="n">
        <v>3608.5</v>
      </c>
      <c r="G14" s="25" t="n">
        <v>4795.8</v>
      </c>
      <c r="H14" s="25" t="n">
        <v>5953.6</v>
      </c>
      <c r="I14" s="25" t="n">
        <v>6684.7</v>
      </c>
      <c r="J14" s="25" t="n">
        <v>6371.8</v>
      </c>
      <c r="K14" s="16" t="s">
        <v>98</v>
      </c>
    </row>
    <row r="15" customFormat="false" ht="15" hidden="false" customHeight="true" outlineLevel="0" collapsed="false">
      <c r="B15" s="6" t="s">
        <v>99</v>
      </c>
      <c r="C15" s="25" t="n">
        <v>0</v>
      </c>
      <c r="D15" s="25" t="n">
        <v>50.9</v>
      </c>
      <c r="E15" s="25" t="n">
        <v>131.5</v>
      </c>
      <c r="F15" s="25" t="n">
        <v>143</v>
      </c>
      <c r="G15" s="25" t="n">
        <v>203.1</v>
      </c>
      <c r="H15" s="25" t="n">
        <v>223.1</v>
      </c>
      <c r="I15" s="25" t="n">
        <v>228.3</v>
      </c>
      <c r="J15" s="25" t="n">
        <v>252.4</v>
      </c>
      <c r="K15" s="16" t="s">
        <v>100</v>
      </c>
    </row>
    <row r="16" customFormat="false" ht="15" hidden="false" customHeight="true" outlineLevel="0" collapsed="false">
      <c r="B16" s="13" t="s">
        <v>101</v>
      </c>
      <c r="C16" s="27" t="n">
        <f aca="false">C13-C14-C15</f>
        <v>45</v>
      </c>
      <c r="D16" s="27" t="n">
        <f aca="false">D13-D14-D15</f>
        <v>173.1</v>
      </c>
      <c r="E16" s="27" t="n">
        <f aca="false">E13-E14-E15</f>
        <v>17.0999999999999</v>
      </c>
      <c r="F16" s="27" t="n">
        <f aca="false">F13-F14-F15</f>
        <v>864.6</v>
      </c>
      <c r="G16" s="27" t="n">
        <f aca="false">G13-G14-G15</f>
        <v>1523.4</v>
      </c>
      <c r="H16" s="27" t="n">
        <f aca="false">H13-H14-H15</f>
        <v>2130.3</v>
      </c>
      <c r="I16" s="27" t="n">
        <f aca="false">I13-I14-I15</f>
        <v>3052</v>
      </c>
      <c r="J16" s="27" t="n">
        <f aca="false">J13-J14-J15</f>
        <v>4173.2</v>
      </c>
      <c r="K16" s="16" t="s">
        <v>102</v>
      </c>
    </row>
    <row r="17" customFormat="false" ht="15" hidden="false" customHeight="true" outlineLevel="0" collapsed="false">
      <c r="B17" s="6" t="s">
        <v>103</v>
      </c>
      <c r="C17" s="25" t="n">
        <v>582.4</v>
      </c>
      <c r="D17" s="25" t="n">
        <v>868.3</v>
      </c>
      <c r="E17" s="25" t="n">
        <v>1218.1</v>
      </c>
      <c r="F17" s="25" t="n">
        <v>1810.4</v>
      </c>
      <c r="G17" s="25" t="n">
        <v>2412.1</v>
      </c>
      <c r="H17" s="25" t="n">
        <v>3159.6</v>
      </c>
      <c r="I17" s="25" t="n">
        <v>4231.5</v>
      </c>
      <c r="J17" s="25" t="n">
        <v>5285.4</v>
      </c>
      <c r="K17" s="16" t="s">
        <v>104</v>
      </c>
    </row>
    <row r="18" customFormat="false" ht="15" hidden="false" customHeight="true" outlineLevel="0" collapsed="false">
      <c r="B18" s="6" t="s">
        <v>105</v>
      </c>
      <c r="C18" s="17" t="n">
        <v>873</v>
      </c>
      <c r="D18" s="17" t="n">
        <v>1182</v>
      </c>
      <c r="E18" s="17" t="n">
        <v>1747</v>
      </c>
      <c r="F18" s="17" t="n">
        <v>2180</v>
      </c>
      <c r="G18" s="17" t="n">
        <v>3332</v>
      </c>
      <c r="H18" s="17" t="n">
        <v>4196</v>
      </c>
      <c r="I18" s="17" t="n">
        <v>4345</v>
      </c>
      <c r="J18" s="17" t="n">
        <v>4771</v>
      </c>
      <c r="K18" s="16" t="s">
        <v>106</v>
      </c>
    </row>
    <row r="20" customFormat="false" ht="15" hidden="false" customHeight="true" outlineLevel="0" collapsed="false">
      <c r="B20" s="2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12" min="3" style="1" width="11"/>
  </cols>
  <sheetData>
    <row r="2" customFormat="false" ht="17.25" hidden="false" customHeight="true" outlineLevel="0" collapsed="false">
      <c r="B2" s="2" t="s">
        <v>108</v>
      </c>
    </row>
    <row r="4" customFormat="false" ht="15" hidden="false" customHeight="true" outlineLevel="0" collapsed="false">
      <c r="B4" s="13" t="s">
        <v>109</v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 customFormat="false" ht="15" hidden="false" customHeight="true" outlineLevel="0" collapsed="false">
      <c r="B5" s="10"/>
      <c r="C5" s="10" t="s">
        <v>110</v>
      </c>
      <c r="D5" s="10" t="s">
        <v>111</v>
      </c>
      <c r="E5" s="10" t="s">
        <v>112</v>
      </c>
      <c r="F5" s="10" t="s">
        <v>113</v>
      </c>
      <c r="G5" s="10" t="s">
        <v>114</v>
      </c>
      <c r="H5" s="10" t="s">
        <v>115</v>
      </c>
      <c r="I5" s="10" t="s">
        <v>116</v>
      </c>
      <c r="J5" s="10" t="s">
        <v>117</v>
      </c>
      <c r="K5" s="10" t="s">
        <v>118</v>
      </c>
      <c r="L5" s="10" t="s">
        <v>119</v>
      </c>
    </row>
    <row r="6" customFormat="false" ht="15" hidden="false" customHeight="true" outlineLevel="0" collapsed="false">
      <c r="B6" s="5" t="s">
        <v>120</v>
      </c>
    </row>
    <row r="7" customFormat="false" ht="15" hidden="false" customHeight="true" outlineLevel="0" collapsed="false">
      <c r="B7" s="6" t="s">
        <v>121</v>
      </c>
      <c r="C7" s="30" t="n">
        <f aca="false">Assumptions!$C$20+(Assumptions!$C$21-Assumptions!$C$20)*(C$4-1)/9</f>
        <v>0.15</v>
      </c>
      <c r="D7" s="30" t="n">
        <f aca="false">Assumptions!$C$20+(Assumptions!$C$21-Assumptions!$C$20)*(D$4-1)/9</f>
        <v>0.138888888888889</v>
      </c>
      <c r="E7" s="30" t="n">
        <f aca="false">Assumptions!$C$20+(Assumptions!$C$21-Assumptions!$C$20)*(E$4-1)/9</f>
        <v>0.127777777777778</v>
      </c>
      <c r="F7" s="30" t="n">
        <f aca="false">Assumptions!$C$20+(Assumptions!$C$21-Assumptions!$C$20)*(F$4-1)/9</f>
        <v>0.116666666666667</v>
      </c>
      <c r="G7" s="30" t="n">
        <f aca="false">Assumptions!$C$20+(Assumptions!$C$21-Assumptions!$C$20)*(G$4-1)/9</f>
        <v>0.105555555555556</v>
      </c>
      <c r="H7" s="30" t="n">
        <f aca="false">Assumptions!$C$20+(Assumptions!$C$21-Assumptions!$C$20)*(H$4-1)/9</f>
        <v>0.0944444444444444</v>
      </c>
      <c r="I7" s="30" t="n">
        <f aca="false">Assumptions!$C$20+(Assumptions!$C$21-Assumptions!$C$20)*(I$4-1)/9</f>
        <v>0.0833333333333333</v>
      </c>
      <c r="J7" s="30" t="n">
        <f aca="false">Assumptions!$C$20+(Assumptions!$C$21-Assumptions!$C$20)*(J$4-1)/9</f>
        <v>0.0722222222222222</v>
      </c>
      <c r="K7" s="30" t="n">
        <f aca="false">Assumptions!$C$20+(Assumptions!$C$21-Assumptions!$C$20)*(K$4-1)/9</f>
        <v>0.0611111111111111</v>
      </c>
      <c r="L7" s="30" t="n">
        <f aca="false">Assumptions!$C$20+(Assumptions!$C$21-Assumptions!$C$20)*(L$4-1)/9</f>
        <v>0.05</v>
      </c>
    </row>
    <row r="8" customFormat="false" ht="15" hidden="false" customHeight="true" outlineLevel="0" collapsed="false">
      <c r="B8" s="6" t="s">
        <v>4</v>
      </c>
      <c r="C8" s="7" t="n">
        <f aca="false">Historicals!$J$6*(1+C7)</f>
        <v>2718.83</v>
      </c>
      <c r="D8" s="22" t="n">
        <f aca="false">C8*(1+D7)</f>
        <v>3096.44527777778</v>
      </c>
      <c r="E8" s="22" t="n">
        <f aca="false">D8*(1+E7)</f>
        <v>3492.10217438272</v>
      </c>
      <c r="F8" s="22" t="n">
        <f aca="false">E8*(1+F7)</f>
        <v>3899.51409472737</v>
      </c>
      <c r="G8" s="22" t="n">
        <f aca="false">F8*(1+G7)</f>
        <v>4311.12947139303</v>
      </c>
      <c r="H8" s="22" t="n">
        <f aca="false">G8*(1+H7)</f>
        <v>4718.29169924682</v>
      </c>
      <c r="I8" s="22" t="n">
        <f aca="false">H8*(1+I7)</f>
        <v>5111.48267418405</v>
      </c>
      <c r="J8" s="22" t="n">
        <f aca="false">I8*(1+J7)</f>
        <v>5480.64531176401</v>
      </c>
      <c r="K8" s="22" t="n">
        <f aca="false">J8*(1+K7)</f>
        <v>5815.57363637181</v>
      </c>
      <c r="L8" s="22" t="n">
        <f aca="false">K8*(1+L7)</f>
        <v>6106.35231819041</v>
      </c>
    </row>
    <row r="9" customFormat="false" ht="15" hidden="false" customHeight="true" outlineLevel="0" collapsed="false">
      <c r="B9" s="6" t="s">
        <v>87</v>
      </c>
      <c r="C9" s="30" t="n">
        <f aca="false">Assumptions!$C$22+(Assumptions!$C$23-Assumptions!$C$22)*MIN((C$4-1)/4,1)</f>
        <v>0.53</v>
      </c>
      <c r="D9" s="30" t="n">
        <f aca="false">Assumptions!$C$22+(Assumptions!$C$23-Assumptions!$C$22)*MIN((D$4-1)/4,1)</f>
        <v>0.5325</v>
      </c>
      <c r="E9" s="30" t="n">
        <f aca="false">Assumptions!$C$22+(Assumptions!$C$23-Assumptions!$C$22)*MIN((E$4-1)/4,1)</f>
        <v>0.535</v>
      </c>
      <c r="F9" s="30" t="n">
        <f aca="false">Assumptions!$C$22+(Assumptions!$C$23-Assumptions!$C$22)*MIN((F$4-1)/4,1)</f>
        <v>0.5375</v>
      </c>
      <c r="G9" s="30" t="n">
        <f aca="false">Assumptions!$C$22+(Assumptions!$C$23-Assumptions!$C$22)*MIN((G$4-1)/4,1)</f>
        <v>0.54</v>
      </c>
      <c r="H9" s="30" t="n">
        <f aca="false">Assumptions!$C$22+(Assumptions!$C$23-Assumptions!$C$22)*MIN((H$4-1)/4,1)</f>
        <v>0.54</v>
      </c>
      <c r="I9" s="30" t="n">
        <f aca="false">Assumptions!$C$22+(Assumptions!$C$23-Assumptions!$C$22)*MIN((I$4-1)/4,1)</f>
        <v>0.54</v>
      </c>
      <c r="J9" s="30" t="n">
        <f aca="false">Assumptions!$C$22+(Assumptions!$C$23-Assumptions!$C$22)*MIN((J$4-1)/4,1)</f>
        <v>0.54</v>
      </c>
      <c r="K9" s="30" t="n">
        <f aca="false">Assumptions!$C$22+(Assumptions!$C$23-Assumptions!$C$22)*MIN((K$4-1)/4,1)</f>
        <v>0.54</v>
      </c>
      <c r="L9" s="30" t="n">
        <f aca="false">Assumptions!$C$22+(Assumptions!$C$23-Assumptions!$C$22)*MIN((L$4-1)/4,1)</f>
        <v>0.54</v>
      </c>
    </row>
    <row r="10" customFormat="false" ht="15" hidden="false" customHeight="true" outlineLevel="0" collapsed="false">
      <c r="B10" s="6" t="s">
        <v>6</v>
      </c>
      <c r="C10" s="22" t="n">
        <f aca="false">C8*C9</f>
        <v>1440.9799</v>
      </c>
      <c r="D10" s="22" t="n">
        <f aca="false">D8*D9</f>
        <v>1648.85711041667</v>
      </c>
      <c r="E10" s="22" t="n">
        <f aca="false">E8*E9</f>
        <v>1868.27466329475</v>
      </c>
      <c r="F10" s="22" t="n">
        <f aca="false">F8*F9</f>
        <v>2095.98882591596</v>
      </c>
      <c r="G10" s="22" t="n">
        <f aca="false">G8*G9</f>
        <v>2328.00991455224</v>
      </c>
      <c r="H10" s="22" t="n">
        <f aca="false">H8*H9</f>
        <v>2547.87751759328</v>
      </c>
      <c r="I10" s="22" t="n">
        <f aca="false">I8*I9</f>
        <v>2760.20064405939</v>
      </c>
      <c r="J10" s="22" t="n">
        <f aca="false">J8*J9</f>
        <v>2959.54846835257</v>
      </c>
      <c r="K10" s="22" t="n">
        <f aca="false">K8*K9</f>
        <v>3140.40976364078</v>
      </c>
      <c r="L10" s="22" t="n">
        <f aca="false">L8*L9</f>
        <v>3297.43025182282</v>
      </c>
    </row>
    <row r="11" customFormat="false" ht="15" hidden="false" customHeight="true" outlineLevel="0" collapsed="false">
      <c r="B11" s="6" t="s">
        <v>122</v>
      </c>
      <c r="C11" s="7" t="n">
        <f aca="false">-C8*Assumptions!$C$11</f>
        <v>-108.7532</v>
      </c>
      <c r="D11" s="7" t="n">
        <f aca="false">-D8*Assumptions!$C$11</f>
        <v>-123.857811111111</v>
      </c>
      <c r="E11" s="7" t="n">
        <f aca="false">-E8*Assumptions!$C$11</f>
        <v>-139.684086975309</v>
      </c>
      <c r="F11" s="7" t="n">
        <f aca="false">-F8*Assumptions!$C$11</f>
        <v>-155.980563789095</v>
      </c>
      <c r="G11" s="7" t="n">
        <f aca="false">-G8*Assumptions!$C$11</f>
        <v>-172.445178855721</v>
      </c>
      <c r="H11" s="7" t="n">
        <f aca="false">-H8*Assumptions!$C$11</f>
        <v>-188.731667969873</v>
      </c>
      <c r="I11" s="7" t="n">
        <f aca="false">-I8*Assumptions!$C$11</f>
        <v>-204.459306967362</v>
      </c>
      <c r="J11" s="7" t="n">
        <f aca="false">-J8*Assumptions!$C$11</f>
        <v>-219.225812470561</v>
      </c>
      <c r="K11" s="7" t="n">
        <f aca="false">-K8*Assumptions!$C$11</f>
        <v>-232.622945454873</v>
      </c>
      <c r="L11" s="7" t="n">
        <f aca="false">-L8*Assumptions!$C$11</f>
        <v>-244.254092727616</v>
      </c>
    </row>
    <row r="12" customFormat="false" ht="15" hidden="false" customHeight="true" outlineLevel="0" collapsed="false">
      <c r="B12" s="6" t="s">
        <v>123</v>
      </c>
      <c r="C12" s="22" t="n">
        <f aca="false">C10+C11</f>
        <v>1332.2267</v>
      </c>
      <c r="D12" s="22" t="n">
        <f aca="false">D10+D11</f>
        <v>1524.99929930556</v>
      </c>
      <c r="E12" s="22" t="n">
        <f aca="false">E10+E11</f>
        <v>1728.59057631944</v>
      </c>
      <c r="F12" s="22" t="n">
        <f aca="false">F10+F11</f>
        <v>1940.00826212686</v>
      </c>
      <c r="G12" s="22" t="n">
        <f aca="false">G10+G11</f>
        <v>2155.56473569652</v>
      </c>
      <c r="H12" s="22" t="n">
        <f aca="false">H10+H11</f>
        <v>2359.14584962341</v>
      </c>
      <c r="I12" s="22" t="n">
        <f aca="false">I10+I11</f>
        <v>2555.74133709203</v>
      </c>
      <c r="J12" s="22" t="n">
        <f aca="false">J10+J11</f>
        <v>2740.32265588201</v>
      </c>
      <c r="K12" s="22" t="n">
        <f aca="false">K10+K11</f>
        <v>2907.78681818591</v>
      </c>
      <c r="L12" s="22" t="n">
        <f aca="false">L10+L11</f>
        <v>3053.1761590952</v>
      </c>
    </row>
    <row r="13" customFormat="false" ht="15" hidden="false" customHeight="true" outlineLevel="0" collapsed="false">
      <c r="B13" s="6" t="s">
        <v>124</v>
      </c>
      <c r="C13" s="7" t="n">
        <f aca="false">-C12*Assumptions!$C$14</f>
        <v>-343.7144886</v>
      </c>
      <c r="D13" s="7" t="n">
        <f aca="false">-D12*Assumptions!$C$14</f>
        <v>-393.449819220833</v>
      </c>
      <c r="E13" s="7" t="n">
        <f aca="false">-E12*Assumptions!$C$14</f>
        <v>-445.976368690417</v>
      </c>
      <c r="F13" s="7" t="n">
        <f aca="false">-F12*Assumptions!$C$14</f>
        <v>-500.522131628731</v>
      </c>
      <c r="G13" s="7" t="n">
        <f aca="false">-G12*Assumptions!$C$14</f>
        <v>-556.135701809701</v>
      </c>
      <c r="H13" s="7" t="n">
        <f aca="false">-H12*Assumptions!$C$14</f>
        <v>-608.65962920284</v>
      </c>
      <c r="I13" s="7" t="n">
        <f aca="false">-I12*Assumptions!$C$14</f>
        <v>-659.381264969743</v>
      </c>
      <c r="J13" s="7" t="n">
        <f aca="false">-J12*Assumptions!$C$14</f>
        <v>-707.003245217558</v>
      </c>
      <c r="K13" s="7" t="n">
        <f aca="false">-K12*Assumptions!$C$14</f>
        <v>-750.208999091964</v>
      </c>
      <c r="L13" s="7" t="n">
        <f aca="false">-L12*Assumptions!$C$14</f>
        <v>-787.719449046562</v>
      </c>
    </row>
    <row r="14" customFormat="false" ht="15" hidden="false" customHeight="true" outlineLevel="0" collapsed="false">
      <c r="B14" s="6" t="s">
        <v>125</v>
      </c>
      <c r="C14" s="22" t="n">
        <f aca="false">C12+C13</f>
        <v>988.5122114</v>
      </c>
      <c r="D14" s="22" t="n">
        <f aca="false">D12+D13</f>
        <v>1131.54948008472</v>
      </c>
      <c r="E14" s="22" t="n">
        <f aca="false">E12+E13</f>
        <v>1282.61420762903</v>
      </c>
      <c r="F14" s="22" t="n">
        <f aca="false">F12+F13</f>
        <v>1439.48613049813</v>
      </c>
      <c r="G14" s="22" t="n">
        <f aca="false">G12+G13</f>
        <v>1599.42903388682</v>
      </c>
      <c r="H14" s="22" t="n">
        <f aca="false">H12+H13</f>
        <v>1750.48622042057</v>
      </c>
      <c r="I14" s="22" t="n">
        <f aca="false">I12+I13</f>
        <v>1896.36007212228</v>
      </c>
      <c r="J14" s="22" t="n">
        <f aca="false">J12+J13</f>
        <v>2033.31941066445</v>
      </c>
      <c r="K14" s="22" t="n">
        <f aca="false">K12+K13</f>
        <v>2157.57781909394</v>
      </c>
      <c r="L14" s="22" t="n">
        <f aca="false">L12+L13</f>
        <v>2265.45671004864</v>
      </c>
    </row>
    <row r="15" customFormat="false" ht="15" hidden="false" customHeight="true" outlineLevel="0" collapsed="false">
      <c r="B15" s="6" t="s">
        <v>126</v>
      </c>
      <c r="C15" s="7" t="n">
        <f aca="false">-C8*Assumptions!$C$12</f>
        <v>-135.9415</v>
      </c>
      <c r="D15" s="7" t="n">
        <f aca="false">-D8*Assumptions!$C$12</f>
        <v>-154.822263888889</v>
      </c>
      <c r="E15" s="7" t="n">
        <f aca="false">-E8*Assumptions!$C$12</f>
        <v>-174.605108719136</v>
      </c>
      <c r="F15" s="7" t="n">
        <f aca="false">-F8*Assumptions!$C$12</f>
        <v>-194.975704736368</v>
      </c>
      <c r="G15" s="7" t="n">
        <f aca="false">-G8*Assumptions!$C$12</f>
        <v>-215.556473569652</v>
      </c>
      <c r="H15" s="7" t="n">
        <f aca="false">-H8*Assumptions!$C$12</f>
        <v>-235.914584962341</v>
      </c>
      <c r="I15" s="7" t="n">
        <f aca="false">-I8*Assumptions!$C$12</f>
        <v>-255.574133709203</v>
      </c>
      <c r="J15" s="7" t="n">
        <f aca="false">-J8*Assumptions!$C$12</f>
        <v>-274.032265588201</v>
      </c>
      <c r="K15" s="7" t="n">
        <f aca="false">-K8*Assumptions!$C$12</f>
        <v>-290.778681818591</v>
      </c>
      <c r="L15" s="7" t="n">
        <f aca="false">-L8*Assumptions!$C$12</f>
        <v>-305.31761590952</v>
      </c>
    </row>
    <row r="16" customFormat="false" ht="15" hidden="false" customHeight="true" outlineLevel="0" collapsed="false">
      <c r="B16" s="6" t="s">
        <v>127</v>
      </c>
      <c r="C16" s="7" t="n">
        <f aca="false">-(C8-Historicals!$J$6)*Assumptions!$C$13</f>
        <v>-1.77315</v>
      </c>
      <c r="D16" s="7" t="n">
        <f aca="false">-(D8-C8)*Assumptions!$C$13</f>
        <v>-1.88807638888889</v>
      </c>
      <c r="E16" s="7" t="n">
        <f aca="false">-(E8-D8)*Assumptions!$C$13</f>
        <v>-1.97828448302469</v>
      </c>
      <c r="F16" s="7" t="n">
        <f aca="false">-(F8-E8)*Assumptions!$C$13</f>
        <v>-2.03705960172325</v>
      </c>
      <c r="G16" s="7" t="n">
        <f aca="false">-(G8-F8)*Assumptions!$C$13</f>
        <v>-2.05807688332833</v>
      </c>
      <c r="H16" s="7" t="n">
        <f aca="false">-(H8-G8)*Assumptions!$C$13</f>
        <v>-2.03581113926894</v>
      </c>
      <c r="I16" s="7" t="n">
        <f aca="false">-(I8-H8)*Assumptions!$C$13</f>
        <v>-1.96595487468617</v>
      </c>
      <c r="J16" s="7" t="n">
        <f aca="false">-(J8-I8)*Assumptions!$C$13</f>
        <v>-1.8458131878998</v>
      </c>
      <c r="K16" s="7" t="n">
        <f aca="false">-(K8-J8)*Assumptions!$C$13</f>
        <v>-1.67464162303901</v>
      </c>
      <c r="L16" s="7" t="n">
        <f aca="false">-(L8-K8)*Assumptions!$C$13</f>
        <v>-1.45389340909296</v>
      </c>
    </row>
    <row r="17" customFormat="false" ht="15" hidden="false" customHeight="true" outlineLevel="0" collapsed="false">
      <c r="B17" s="13" t="s">
        <v>128</v>
      </c>
      <c r="C17" s="31" t="n">
        <f aca="false">C14-C11+C15+C16</f>
        <v>959.5507614</v>
      </c>
      <c r="D17" s="31" t="n">
        <f aca="false">D14-D11+D15+D16</f>
        <v>1098.69695091806</v>
      </c>
      <c r="E17" s="31" t="n">
        <f aca="false">E14-E11+E15+E16</f>
        <v>1245.71490140218</v>
      </c>
      <c r="F17" s="31" t="n">
        <f aca="false">F14-F11+F15+F16</f>
        <v>1398.45392994914</v>
      </c>
      <c r="G17" s="31" t="n">
        <f aca="false">G14-G11+G15+G16</f>
        <v>1554.25966228956</v>
      </c>
      <c r="H17" s="31" t="n">
        <f aca="false">H14-H11+H15+H16</f>
        <v>1701.26749228883</v>
      </c>
      <c r="I17" s="31" t="n">
        <f aca="false">I14-I11+I15+I16</f>
        <v>1843.27929050576</v>
      </c>
      <c r="J17" s="31" t="n">
        <f aca="false">J14-J11+J15+J16</f>
        <v>1976.66714435891</v>
      </c>
      <c r="K17" s="31" t="n">
        <f aca="false">K14-K11+K15+K16</f>
        <v>2097.74744110719</v>
      </c>
      <c r="L17" s="31" t="n">
        <f aca="false">L14-L11+L15+L16</f>
        <v>2202.93929345764</v>
      </c>
    </row>
    <row r="19" customFormat="false" ht="15" hidden="false" customHeight="true" outlineLevel="0" collapsed="false">
      <c r="B19" s="5" t="s">
        <v>129</v>
      </c>
    </row>
    <row r="20" customFormat="false" ht="15" hidden="false" customHeight="true" outlineLevel="0" collapsed="false">
      <c r="B20" s="6" t="s">
        <v>121</v>
      </c>
      <c r="C20" s="30" t="n">
        <f aca="false">Assumptions!$D$20+(Assumptions!$D$21-Assumptions!$D$20)*(C$4-1)/9</f>
        <v>0.19</v>
      </c>
      <c r="D20" s="30" t="n">
        <f aca="false">Assumptions!$D$20+(Assumptions!$D$21-Assumptions!$D$20)*(D$4-1)/9</f>
        <v>0.178888888888889</v>
      </c>
      <c r="E20" s="30" t="n">
        <f aca="false">Assumptions!$D$20+(Assumptions!$D$21-Assumptions!$D$20)*(E$4-1)/9</f>
        <v>0.167777777777778</v>
      </c>
      <c r="F20" s="30" t="n">
        <f aca="false">Assumptions!$D$20+(Assumptions!$D$21-Assumptions!$D$20)*(F$4-1)/9</f>
        <v>0.156666666666667</v>
      </c>
      <c r="G20" s="30" t="n">
        <f aca="false">Assumptions!$D$20+(Assumptions!$D$21-Assumptions!$D$20)*(G$4-1)/9</f>
        <v>0.145555555555556</v>
      </c>
      <c r="H20" s="30" t="n">
        <f aca="false">Assumptions!$D$20+(Assumptions!$D$21-Assumptions!$D$20)*(H$4-1)/9</f>
        <v>0.134444444444444</v>
      </c>
      <c r="I20" s="30" t="n">
        <f aca="false">Assumptions!$D$20+(Assumptions!$D$21-Assumptions!$D$20)*(I$4-1)/9</f>
        <v>0.123333333333333</v>
      </c>
      <c r="J20" s="30" t="n">
        <f aca="false">Assumptions!$D$20+(Assumptions!$D$21-Assumptions!$D$20)*(J$4-1)/9</f>
        <v>0.112222222222222</v>
      </c>
      <c r="K20" s="30" t="n">
        <f aca="false">Assumptions!$D$20+(Assumptions!$D$21-Assumptions!$D$20)*(K$4-1)/9</f>
        <v>0.101111111111111</v>
      </c>
      <c r="L20" s="30" t="n">
        <f aca="false">Assumptions!$D$20+(Assumptions!$D$21-Assumptions!$D$20)*(L$4-1)/9</f>
        <v>0.09</v>
      </c>
    </row>
    <row r="21" customFormat="false" ht="15" hidden="false" customHeight="true" outlineLevel="0" collapsed="false">
      <c r="B21" s="6" t="s">
        <v>4</v>
      </c>
      <c r="C21" s="7" t="n">
        <f aca="false">Historicals!$J$6*(1+C20)</f>
        <v>2813.398</v>
      </c>
      <c r="D21" s="22" t="n">
        <f aca="false">C21*(1+D20)</f>
        <v>3316.68364222222</v>
      </c>
      <c r="E21" s="22" t="n">
        <f aca="false">D21*(1+E20)</f>
        <v>3873.14945330617</v>
      </c>
      <c r="F21" s="22" t="n">
        <f aca="false">E21*(1+F20)</f>
        <v>4479.94286765747</v>
      </c>
      <c r="G21" s="22" t="n">
        <f aca="false">F21*(1+G20)</f>
        <v>5132.02344061651</v>
      </c>
      <c r="H21" s="22" t="n">
        <f aca="false">G21*(1+H20)</f>
        <v>5821.99548096606</v>
      </c>
      <c r="I21" s="22" t="n">
        <f aca="false">H21*(1+I20)</f>
        <v>6540.04159028521</v>
      </c>
      <c r="J21" s="22" t="n">
        <f aca="false">I21*(1+J20)</f>
        <v>7273.97959097277</v>
      </c>
      <c r="K21" s="22" t="n">
        <f aca="false">J21*(1+K20)</f>
        <v>8009.45974961557</v>
      </c>
      <c r="L21" s="22" t="n">
        <f aca="false">K21*(1+L20)</f>
        <v>8730.31112708097</v>
      </c>
    </row>
    <row r="22" customFormat="false" ht="15" hidden="false" customHeight="true" outlineLevel="0" collapsed="false">
      <c r="B22" s="6" t="s">
        <v>87</v>
      </c>
      <c r="C22" s="30" t="n">
        <f aca="false">Assumptions!$D$22+(Assumptions!$D$23-Assumptions!$D$22)*MIN((C$4-1)/4,1)</f>
        <v>0.53</v>
      </c>
      <c r="D22" s="30" t="n">
        <f aca="false">Assumptions!$D$22+(Assumptions!$D$23-Assumptions!$D$22)*MIN((D$4-1)/4,1)</f>
        <v>0.54</v>
      </c>
      <c r="E22" s="30" t="n">
        <f aca="false">Assumptions!$D$22+(Assumptions!$D$23-Assumptions!$D$22)*MIN((E$4-1)/4,1)</f>
        <v>0.55</v>
      </c>
      <c r="F22" s="30" t="n">
        <f aca="false">Assumptions!$D$22+(Assumptions!$D$23-Assumptions!$D$22)*MIN((F$4-1)/4,1)</f>
        <v>0.56</v>
      </c>
      <c r="G22" s="30" t="n">
        <f aca="false">Assumptions!$D$22+(Assumptions!$D$23-Assumptions!$D$22)*MIN((G$4-1)/4,1)</f>
        <v>0.57</v>
      </c>
      <c r="H22" s="30" t="n">
        <f aca="false">Assumptions!$D$22+(Assumptions!$D$23-Assumptions!$D$22)*MIN((H$4-1)/4,1)</f>
        <v>0.57</v>
      </c>
      <c r="I22" s="30" t="n">
        <f aca="false">Assumptions!$D$22+(Assumptions!$D$23-Assumptions!$D$22)*MIN((I$4-1)/4,1)</f>
        <v>0.57</v>
      </c>
      <c r="J22" s="30" t="n">
        <f aca="false">Assumptions!$D$22+(Assumptions!$D$23-Assumptions!$D$22)*MIN((J$4-1)/4,1)</f>
        <v>0.57</v>
      </c>
      <c r="K22" s="30" t="n">
        <f aca="false">Assumptions!$D$22+(Assumptions!$D$23-Assumptions!$D$22)*MIN((K$4-1)/4,1)</f>
        <v>0.57</v>
      </c>
      <c r="L22" s="30" t="n">
        <f aca="false">Assumptions!$D$22+(Assumptions!$D$23-Assumptions!$D$22)*MIN((L$4-1)/4,1)</f>
        <v>0.57</v>
      </c>
    </row>
    <row r="23" customFormat="false" ht="15" hidden="false" customHeight="true" outlineLevel="0" collapsed="false">
      <c r="B23" s="6" t="s">
        <v>6</v>
      </c>
      <c r="C23" s="22" t="n">
        <f aca="false">C21*C22</f>
        <v>1491.10094</v>
      </c>
      <c r="D23" s="22" t="n">
        <f aca="false">D21*D22</f>
        <v>1791.0091668</v>
      </c>
      <c r="E23" s="22" t="n">
        <f aca="false">E21*E22</f>
        <v>2130.2321993184</v>
      </c>
      <c r="F23" s="22" t="n">
        <f aca="false">F21*F22</f>
        <v>2508.76800588818</v>
      </c>
      <c r="G23" s="22" t="n">
        <f aca="false">G21*G22</f>
        <v>2925.25336115141</v>
      </c>
      <c r="H23" s="22" t="n">
        <f aca="false">H21*H22</f>
        <v>3318.53742415065</v>
      </c>
      <c r="I23" s="22" t="n">
        <f aca="false">I21*I22</f>
        <v>3727.82370646257</v>
      </c>
      <c r="J23" s="22" t="n">
        <f aca="false">J21*J22</f>
        <v>4146.16836685448</v>
      </c>
      <c r="K23" s="22" t="n">
        <f aca="false">K21*K22</f>
        <v>4565.39205728087</v>
      </c>
      <c r="L23" s="22" t="n">
        <f aca="false">L21*L22</f>
        <v>4976.27734243615</v>
      </c>
    </row>
    <row r="24" customFormat="false" ht="15" hidden="false" customHeight="true" outlineLevel="0" collapsed="false">
      <c r="B24" s="6" t="s">
        <v>122</v>
      </c>
      <c r="C24" s="7" t="n">
        <f aca="false">-C21*Assumptions!$C$11</f>
        <v>-112.53592</v>
      </c>
      <c r="D24" s="7" t="n">
        <f aca="false">-D21*Assumptions!$C$11</f>
        <v>-132.667345688889</v>
      </c>
      <c r="E24" s="7" t="n">
        <f aca="false">-E21*Assumptions!$C$11</f>
        <v>-154.925978132247</v>
      </c>
      <c r="F24" s="7" t="n">
        <f aca="false">-F21*Assumptions!$C$11</f>
        <v>-179.197714706299</v>
      </c>
      <c r="G24" s="7" t="n">
        <f aca="false">-G21*Assumptions!$C$11</f>
        <v>-205.28093762466</v>
      </c>
      <c r="H24" s="7" t="n">
        <f aca="false">-H21*Assumptions!$C$11</f>
        <v>-232.879819238642</v>
      </c>
      <c r="I24" s="7" t="n">
        <f aca="false">-I21*Assumptions!$C$11</f>
        <v>-261.601663611408</v>
      </c>
      <c r="J24" s="7" t="n">
        <f aca="false">-J21*Assumptions!$C$11</f>
        <v>-290.959183638911</v>
      </c>
      <c r="K24" s="7" t="n">
        <f aca="false">-K21*Assumptions!$C$11</f>
        <v>-320.378389984623</v>
      </c>
      <c r="L24" s="7" t="n">
        <f aca="false">-L21*Assumptions!$C$11</f>
        <v>-349.212445083239</v>
      </c>
    </row>
    <row r="25" customFormat="false" ht="15" hidden="false" customHeight="true" outlineLevel="0" collapsed="false">
      <c r="B25" s="6" t="s">
        <v>123</v>
      </c>
      <c r="C25" s="22" t="n">
        <f aca="false">C23+C24</f>
        <v>1378.56502</v>
      </c>
      <c r="D25" s="22" t="n">
        <f aca="false">D23+D24</f>
        <v>1658.34182111111</v>
      </c>
      <c r="E25" s="22" t="n">
        <f aca="false">E23+E24</f>
        <v>1975.30622118615</v>
      </c>
      <c r="F25" s="22" t="n">
        <f aca="false">F23+F24</f>
        <v>2329.57029118189</v>
      </c>
      <c r="G25" s="22" t="n">
        <f aca="false">G23+G24</f>
        <v>2719.97242352675</v>
      </c>
      <c r="H25" s="22" t="n">
        <f aca="false">H23+H24</f>
        <v>3085.65760491201</v>
      </c>
      <c r="I25" s="22" t="n">
        <f aca="false">I23+I24</f>
        <v>3466.22204285116</v>
      </c>
      <c r="J25" s="22" t="n">
        <f aca="false">J23+J24</f>
        <v>3855.20918321557</v>
      </c>
      <c r="K25" s="22" t="n">
        <f aca="false">K23+K24</f>
        <v>4245.01366729625</v>
      </c>
      <c r="L25" s="22" t="n">
        <f aca="false">L23+L24</f>
        <v>4627.06489735291</v>
      </c>
    </row>
    <row r="26" customFormat="false" ht="15" hidden="false" customHeight="true" outlineLevel="0" collapsed="false">
      <c r="B26" s="6" t="s">
        <v>124</v>
      </c>
      <c r="C26" s="7" t="n">
        <f aca="false">-C25*Assumptions!$C$14</f>
        <v>-355.66977516</v>
      </c>
      <c r="D26" s="7" t="n">
        <f aca="false">-D25*Assumptions!$C$14</f>
        <v>-427.852189846667</v>
      </c>
      <c r="E26" s="7" t="n">
        <f aca="false">-E25*Assumptions!$C$14</f>
        <v>-509.629005066026</v>
      </c>
      <c r="F26" s="7" t="n">
        <f aca="false">-F25*Assumptions!$C$14</f>
        <v>-601.029135124926</v>
      </c>
      <c r="G26" s="7" t="n">
        <f aca="false">-G25*Assumptions!$C$14</f>
        <v>-701.752885269901</v>
      </c>
      <c r="H26" s="7" t="n">
        <f aca="false">-H25*Assumptions!$C$14</f>
        <v>-796.099662067299</v>
      </c>
      <c r="I26" s="7" t="n">
        <f aca="false">-I25*Assumptions!$C$14</f>
        <v>-894.285287055599</v>
      </c>
      <c r="J26" s="7" t="n">
        <f aca="false">-J25*Assumptions!$C$14</f>
        <v>-994.643969269616</v>
      </c>
      <c r="K26" s="7" t="n">
        <f aca="false">-K25*Assumptions!$C$14</f>
        <v>-1095.21352616243</v>
      </c>
      <c r="L26" s="7" t="n">
        <f aca="false">-L25*Assumptions!$C$14</f>
        <v>-1193.78274351705</v>
      </c>
    </row>
    <row r="27" customFormat="false" ht="15" hidden="false" customHeight="true" outlineLevel="0" collapsed="false">
      <c r="B27" s="6" t="s">
        <v>125</v>
      </c>
      <c r="C27" s="22" t="n">
        <f aca="false">C25+C26</f>
        <v>1022.89524484</v>
      </c>
      <c r="D27" s="22" t="n">
        <f aca="false">D25+D26</f>
        <v>1230.48963126444</v>
      </c>
      <c r="E27" s="22" t="n">
        <f aca="false">E25+E26</f>
        <v>1465.67721612012</v>
      </c>
      <c r="F27" s="22" t="n">
        <f aca="false">F25+F26</f>
        <v>1728.54115605696</v>
      </c>
      <c r="G27" s="22" t="n">
        <f aca="false">G25+G26</f>
        <v>2018.21953825685</v>
      </c>
      <c r="H27" s="22" t="n">
        <f aca="false">H25+H26</f>
        <v>2289.55794284471</v>
      </c>
      <c r="I27" s="22" t="n">
        <f aca="false">I25+I26</f>
        <v>2571.93675579556</v>
      </c>
      <c r="J27" s="22" t="n">
        <f aca="false">J25+J26</f>
        <v>2860.56521394595</v>
      </c>
      <c r="K27" s="22" t="n">
        <f aca="false">K25+K26</f>
        <v>3149.80014113382</v>
      </c>
      <c r="L27" s="22" t="n">
        <f aca="false">L25+L26</f>
        <v>3433.28215383586</v>
      </c>
    </row>
    <row r="28" customFormat="false" ht="15" hidden="false" customHeight="true" outlineLevel="0" collapsed="false">
      <c r="B28" s="6" t="s">
        <v>126</v>
      </c>
      <c r="C28" s="7" t="n">
        <f aca="false">-C21*Assumptions!$C$12</f>
        <v>-140.6699</v>
      </c>
      <c r="D28" s="7" t="n">
        <f aca="false">-D21*Assumptions!$C$12</f>
        <v>-165.834182111111</v>
      </c>
      <c r="E28" s="7" t="n">
        <f aca="false">-E21*Assumptions!$C$12</f>
        <v>-193.657472665309</v>
      </c>
      <c r="F28" s="7" t="n">
        <f aca="false">-F21*Assumptions!$C$12</f>
        <v>-223.997143382874</v>
      </c>
      <c r="G28" s="7" t="n">
        <f aca="false">-G21*Assumptions!$C$12</f>
        <v>-256.601172030825</v>
      </c>
      <c r="H28" s="7" t="n">
        <f aca="false">-H21*Assumptions!$C$12</f>
        <v>-291.099774048303</v>
      </c>
      <c r="I28" s="7" t="n">
        <f aca="false">-I21*Assumptions!$C$12</f>
        <v>-327.00207951426</v>
      </c>
      <c r="J28" s="7" t="n">
        <f aca="false">-J21*Assumptions!$C$12</f>
        <v>-363.698979548638</v>
      </c>
      <c r="K28" s="7" t="n">
        <f aca="false">-K21*Assumptions!$C$12</f>
        <v>-400.472987480778</v>
      </c>
      <c r="L28" s="7" t="n">
        <f aca="false">-L21*Assumptions!$C$12</f>
        <v>-436.515556354049</v>
      </c>
    </row>
    <row r="29" customFormat="false" ht="15" hidden="false" customHeight="true" outlineLevel="0" collapsed="false">
      <c r="B29" s="6" t="s">
        <v>127</v>
      </c>
      <c r="C29" s="7" t="n">
        <f aca="false">-(C21-Historicals!$J$6)*Assumptions!$C$13</f>
        <v>-2.24599</v>
      </c>
      <c r="D29" s="7" t="n">
        <f aca="false">-(D21-C21)*Assumptions!$C$13</f>
        <v>-2.51642821111111</v>
      </c>
      <c r="E29" s="7" t="n">
        <f aca="false">-(E21-D21)*Assumptions!$C$13</f>
        <v>-2.78232905541975</v>
      </c>
      <c r="F29" s="7" t="n">
        <f aca="false">-(F21-E21)*Assumptions!$C$13</f>
        <v>-3.0339670717565</v>
      </c>
      <c r="G29" s="7" t="n">
        <f aca="false">-(G21-F21)*Assumptions!$C$13</f>
        <v>-3.26040286479516</v>
      </c>
      <c r="H29" s="7" t="n">
        <f aca="false">-(H21-G21)*Assumptions!$C$13</f>
        <v>-3.44986020174776</v>
      </c>
      <c r="I29" s="7" t="n">
        <f aca="false">-(I21-H21)*Assumptions!$C$13</f>
        <v>-3.59023054659574</v>
      </c>
      <c r="J29" s="7" t="n">
        <f aca="false">-(J21-I21)*Assumptions!$C$13</f>
        <v>-3.66969000343781</v>
      </c>
      <c r="K29" s="7" t="n">
        <f aca="false">-(K21-J21)*Assumptions!$C$13</f>
        <v>-3.67740079321401</v>
      </c>
      <c r="L29" s="7" t="n">
        <f aca="false">-(L21-K21)*Assumptions!$C$13</f>
        <v>-3.60425688732701</v>
      </c>
    </row>
    <row r="30" customFormat="false" ht="15" hidden="false" customHeight="true" outlineLevel="0" collapsed="false">
      <c r="B30" s="13" t="s">
        <v>128</v>
      </c>
      <c r="C30" s="31" t="n">
        <f aca="false">C27-C24+C28+C29</f>
        <v>992.51527484</v>
      </c>
      <c r="D30" s="31" t="n">
        <f aca="false">D27-D24+D28+D29</f>
        <v>1194.80636663111</v>
      </c>
      <c r="E30" s="31" t="n">
        <f aca="false">E27-E24+E28+E29</f>
        <v>1424.16339253164</v>
      </c>
      <c r="F30" s="31" t="n">
        <f aca="false">F27-F24+F28+F29</f>
        <v>1680.70776030863</v>
      </c>
      <c r="G30" s="31" t="n">
        <f aca="false">G27-G24+G28+G29</f>
        <v>1963.63890098589</v>
      </c>
      <c r="H30" s="31" t="n">
        <f aca="false">H27-H24+H28+H29</f>
        <v>2227.8881278333</v>
      </c>
      <c r="I30" s="31" t="n">
        <f aca="false">I27-I24+I28+I29</f>
        <v>2502.94610934611</v>
      </c>
      <c r="J30" s="31" t="n">
        <f aca="false">J27-J24+J28+J29</f>
        <v>2784.15572803278</v>
      </c>
      <c r="K30" s="31" t="n">
        <f aca="false">K27-K24+K28+K29</f>
        <v>3066.02814284445</v>
      </c>
      <c r="L30" s="31" t="n">
        <f aca="false">L27-L24+L28+L29</f>
        <v>3342.37478567773</v>
      </c>
    </row>
    <row r="32" customFormat="false" ht="15" hidden="false" customHeight="true" outlineLevel="0" collapsed="false">
      <c r="B32" s="5" t="s">
        <v>130</v>
      </c>
    </row>
    <row r="33" customFormat="false" ht="15" hidden="false" customHeight="true" outlineLevel="0" collapsed="false">
      <c r="B33" s="6" t="s">
        <v>121</v>
      </c>
      <c r="C33" s="30" t="n">
        <f aca="false">Assumptions!$E$20+(Assumptions!$E$21-Assumptions!$E$20)*(C$4-1)/9</f>
        <v>0.21</v>
      </c>
      <c r="D33" s="30" t="n">
        <f aca="false">Assumptions!$E$20+(Assumptions!$E$21-Assumptions!$E$20)*(D$4-1)/9</f>
        <v>0.2</v>
      </c>
      <c r="E33" s="30" t="n">
        <f aca="false">Assumptions!$E$20+(Assumptions!$E$21-Assumptions!$E$20)*(E$4-1)/9</f>
        <v>0.19</v>
      </c>
      <c r="F33" s="30" t="n">
        <f aca="false">Assumptions!$E$20+(Assumptions!$E$21-Assumptions!$E$20)*(F$4-1)/9</f>
        <v>0.18</v>
      </c>
      <c r="G33" s="30" t="n">
        <f aca="false">Assumptions!$E$20+(Assumptions!$E$21-Assumptions!$E$20)*(G$4-1)/9</f>
        <v>0.17</v>
      </c>
      <c r="H33" s="30" t="n">
        <f aca="false">Assumptions!$E$20+(Assumptions!$E$21-Assumptions!$E$20)*(H$4-1)/9</f>
        <v>0.16</v>
      </c>
      <c r="I33" s="30" t="n">
        <f aca="false">Assumptions!$E$20+(Assumptions!$E$21-Assumptions!$E$20)*(I$4-1)/9</f>
        <v>0.15</v>
      </c>
      <c r="J33" s="30" t="n">
        <f aca="false">Assumptions!$E$20+(Assumptions!$E$21-Assumptions!$E$20)*(J$4-1)/9</f>
        <v>0.14</v>
      </c>
      <c r="K33" s="30" t="n">
        <f aca="false">Assumptions!$E$20+(Assumptions!$E$21-Assumptions!$E$20)*(K$4-1)/9</f>
        <v>0.13</v>
      </c>
      <c r="L33" s="30" t="n">
        <f aca="false">Assumptions!$E$20+(Assumptions!$E$21-Assumptions!$E$20)*(L$4-1)/9</f>
        <v>0.12</v>
      </c>
    </row>
    <row r="34" customFormat="false" ht="15" hidden="false" customHeight="true" outlineLevel="0" collapsed="false">
      <c r="B34" s="6" t="s">
        <v>4</v>
      </c>
      <c r="C34" s="7" t="n">
        <f aca="false">Historicals!$J$6*(1+C33)</f>
        <v>2860.682</v>
      </c>
      <c r="D34" s="22" t="n">
        <f aca="false">C34*(1+D33)</f>
        <v>3432.8184</v>
      </c>
      <c r="E34" s="22" t="n">
        <f aca="false">D34*(1+E33)</f>
        <v>4085.053896</v>
      </c>
      <c r="F34" s="22" t="n">
        <f aca="false">E34*(1+F33)</f>
        <v>4820.36359728</v>
      </c>
      <c r="G34" s="22" t="n">
        <f aca="false">F34*(1+G33)</f>
        <v>5639.8254088176</v>
      </c>
      <c r="H34" s="22" t="n">
        <f aca="false">G34*(1+H33)</f>
        <v>6542.19747422842</v>
      </c>
      <c r="I34" s="22" t="n">
        <f aca="false">H34*(1+I33)</f>
        <v>7523.52709536268</v>
      </c>
      <c r="J34" s="22" t="n">
        <f aca="false">I34*(1+J33)</f>
        <v>8576.82088871345</v>
      </c>
      <c r="K34" s="22" t="n">
        <f aca="false">J34*(1+K33)</f>
        <v>9691.8076042462</v>
      </c>
      <c r="L34" s="22" t="n">
        <f aca="false">K34*(1+L33)</f>
        <v>10854.8245167557</v>
      </c>
    </row>
    <row r="35" customFormat="false" ht="15" hidden="false" customHeight="true" outlineLevel="0" collapsed="false">
      <c r="B35" s="6" t="s">
        <v>87</v>
      </c>
      <c r="C35" s="30" t="n">
        <f aca="false">Assumptions!$E$22+(Assumptions!$E$23-Assumptions!$E$22)*MIN((C$4-1)/4,1)</f>
        <v>0.54</v>
      </c>
      <c r="D35" s="30" t="n">
        <f aca="false">Assumptions!$E$22+(Assumptions!$E$23-Assumptions!$E$22)*MIN((D$4-1)/4,1)</f>
        <v>0.555</v>
      </c>
      <c r="E35" s="30" t="n">
        <f aca="false">Assumptions!$E$22+(Assumptions!$E$23-Assumptions!$E$22)*MIN((E$4-1)/4,1)</f>
        <v>0.57</v>
      </c>
      <c r="F35" s="30" t="n">
        <f aca="false">Assumptions!$E$22+(Assumptions!$E$23-Assumptions!$E$22)*MIN((F$4-1)/4,1)</f>
        <v>0.585</v>
      </c>
      <c r="G35" s="30" t="n">
        <f aca="false">Assumptions!$E$22+(Assumptions!$E$23-Assumptions!$E$22)*MIN((G$4-1)/4,1)</f>
        <v>0.6</v>
      </c>
      <c r="H35" s="30" t="n">
        <f aca="false">Assumptions!$E$22+(Assumptions!$E$23-Assumptions!$E$22)*MIN((H$4-1)/4,1)</f>
        <v>0.6</v>
      </c>
      <c r="I35" s="30" t="n">
        <f aca="false">Assumptions!$E$22+(Assumptions!$E$23-Assumptions!$E$22)*MIN((I$4-1)/4,1)</f>
        <v>0.6</v>
      </c>
      <c r="J35" s="30" t="n">
        <f aca="false">Assumptions!$E$22+(Assumptions!$E$23-Assumptions!$E$22)*MIN((J$4-1)/4,1)</f>
        <v>0.6</v>
      </c>
      <c r="K35" s="30" t="n">
        <f aca="false">Assumptions!$E$22+(Assumptions!$E$23-Assumptions!$E$22)*MIN((K$4-1)/4,1)</f>
        <v>0.6</v>
      </c>
      <c r="L35" s="30" t="n">
        <f aca="false">Assumptions!$E$22+(Assumptions!$E$23-Assumptions!$E$22)*MIN((L$4-1)/4,1)</f>
        <v>0.6</v>
      </c>
    </row>
    <row r="36" customFormat="false" ht="15" hidden="false" customHeight="true" outlineLevel="0" collapsed="false">
      <c r="B36" s="6" t="s">
        <v>6</v>
      </c>
      <c r="C36" s="22" t="n">
        <f aca="false">C34*C35</f>
        <v>1544.76828</v>
      </c>
      <c r="D36" s="22" t="n">
        <f aca="false">D34*D35</f>
        <v>1905.214212</v>
      </c>
      <c r="E36" s="22" t="n">
        <f aca="false">E34*E35</f>
        <v>2328.48072072</v>
      </c>
      <c r="F36" s="22" t="n">
        <f aca="false">F34*F35</f>
        <v>2819.9127044088</v>
      </c>
      <c r="G36" s="22" t="n">
        <f aca="false">G34*G35</f>
        <v>3383.89524529056</v>
      </c>
      <c r="H36" s="22" t="n">
        <f aca="false">H34*H35</f>
        <v>3925.31848453705</v>
      </c>
      <c r="I36" s="22" t="n">
        <f aca="false">I34*I35</f>
        <v>4514.11625721761</v>
      </c>
      <c r="J36" s="22" t="n">
        <f aca="false">J34*J35</f>
        <v>5146.09253322807</v>
      </c>
      <c r="K36" s="22" t="n">
        <f aca="false">K34*K35</f>
        <v>5815.08456254772</v>
      </c>
      <c r="L36" s="22" t="n">
        <f aca="false">L34*L35</f>
        <v>6512.89471005345</v>
      </c>
    </row>
    <row r="37" customFormat="false" ht="15" hidden="false" customHeight="true" outlineLevel="0" collapsed="false">
      <c r="B37" s="6" t="s">
        <v>122</v>
      </c>
      <c r="C37" s="7" t="n">
        <f aca="false">-C34*Assumptions!$C$11</f>
        <v>-114.42728</v>
      </c>
      <c r="D37" s="7" t="n">
        <f aca="false">-D34*Assumptions!$C$11</f>
        <v>-137.312736</v>
      </c>
      <c r="E37" s="7" t="n">
        <f aca="false">-E34*Assumptions!$C$11</f>
        <v>-163.40215584</v>
      </c>
      <c r="F37" s="7" t="n">
        <f aca="false">-F34*Assumptions!$C$11</f>
        <v>-192.8145438912</v>
      </c>
      <c r="G37" s="7" t="n">
        <f aca="false">-G34*Assumptions!$C$11</f>
        <v>-225.593016352704</v>
      </c>
      <c r="H37" s="7" t="n">
        <f aca="false">-H34*Assumptions!$C$11</f>
        <v>-261.687898969137</v>
      </c>
      <c r="I37" s="7" t="n">
        <f aca="false">-I34*Assumptions!$C$11</f>
        <v>-300.941083814507</v>
      </c>
      <c r="J37" s="7" t="n">
        <f aca="false">-J34*Assumptions!$C$11</f>
        <v>-343.072835548538</v>
      </c>
      <c r="K37" s="7" t="n">
        <f aca="false">-K34*Assumptions!$C$11</f>
        <v>-387.672304169848</v>
      </c>
      <c r="L37" s="7" t="n">
        <f aca="false">-L34*Assumptions!$C$11</f>
        <v>-434.19298067023</v>
      </c>
    </row>
    <row r="38" customFormat="false" ht="15" hidden="false" customHeight="true" outlineLevel="0" collapsed="false">
      <c r="B38" s="6" t="s">
        <v>123</v>
      </c>
      <c r="C38" s="22" t="n">
        <f aca="false">C36+C37</f>
        <v>1430.341</v>
      </c>
      <c r="D38" s="22" t="n">
        <f aca="false">D36+D37</f>
        <v>1767.901476</v>
      </c>
      <c r="E38" s="22" t="n">
        <f aca="false">E36+E37</f>
        <v>2165.07856488</v>
      </c>
      <c r="F38" s="22" t="n">
        <f aca="false">F36+F37</f>
        <v>2627.0981605176</v>
      </c>
      <c r="G38" s="22" t="n">
        <f aca="false">G36+G37</f>
        <v>3158.30222893786</v>
      </c>
      <c r="H38" s="22" t="n">
        <f aca="false">H36+H37</f>
        <v>3663.63058556791</v>
      </c>
      <c r="I38" s="22" t="n">
        <f aca="false">I36+I37</f>
        <v>4213.1751734031</v>
      </c>
      <c r="J38" s="22" t="n">
        <f aca="false">J36+J37</f>
        <v>4803.01969767953</v>
      </c>
      <c r="K38" s="22" t="n">
        <f aca="false">K36+K37</f>
        <v>5427.41225837787</v>
      </c>
      <c r="L38" s="22" t="n">
        <f aca="false">L36+L37</f>
        <v>6078.70172938322</v>
      </c>
    </row>
    <row r="39" customFormat="false" ht="15" hidden="false" customHeight="true" outlineLevel="0" collapsed="false">
      <c r="B39" s="6" t="s">
        <v>124</v>
      </c>
      <c r="C39" s="7" t="n">
        <f aca="false">-C38*Assumptions!$C$14</f>
        <v>-369.027978</v>
      </c>
      <c r="D39" s="7" t="n">
        <f aca="false">-D38*Assumptions!$C$14</f>
        <v>-456.118580808</v>
      </c>
      <c r="E39" s="7" t="n">
        <f aca="false">-E38*Assumptions!$C$14</f>
        <v>-558.59026973904</v>
      </c>
      <c r="F39" s="7" t="n">
        <f aca="false">-F38*Assumptions!$C$14</f>
        <v>-677.791325413541</v>
      </c>
      <c r="G39" s="7" t="n">
        <f aca="false">-G38*Assumptions!$C$14</f>
        <v>-814.841975065967</v>
      </c>
      <c r="H39" s="7" t="n">
        <f aca="false">-H38*Assumptions!$C$14</f>
        <v>-945.216691076521</v>
      </c>
      <c r="I39" s="7" t="n">
        <f aca="false">-I38*Assumptions!$C$14</f>
        <v>-1086.999194738</v>
      </c>
      <c r="J39" s="7" t="n">
        <f aca="false">-J38*Assumptions!$C$14</f>
        <v>-1239.17908200132</v>
      </c>
      <c r="K39" s="7" t="n">
        <f aca="false">-K38*Assumptions!$C$14</f>
        <v>-1400.27236266149</v>
      </c>
      <c r="L39" s="7" t="n">
        <f aca="false">-L38*Assumptions!$C$14</f>
        <v>-1568.30504618087</v>
      </c>
    </row>
    <row r="40" customFormat="false" ht="15" hidden="false" customHeight="true" outlineLevel="0" collapsed="false">
      <c r="B40" s="6" t="s">
        <v>125</v>
      </c>
      <c r="C40" s="22" t="n">
        <f aca="false">C38+C39</f>
        <v>1061.313022</v>
      </c>
      <c r="D40" s="22" t="n">
        <f aca="false">D38+D39</f>
        <v>1311.782895192</v>
      </c>
      <c r="E40" s="22" t="n">
        <f aca="false">E38+E39</f>
        <v>1606.48829514096</v>
      </c>
      <c r="F40" s="22" t="n">
        <f aca="false">F38+F39</f>
        <v>1949.30683510406</v>
      </c>
      <c r="G40" s="22" t="n">
        <f aca="false">G38+G39</f>
        <v>2343.46025387189</v>
      </c>
      <c r="H40" s="22" t="n">
        <f aca="false">H38+H39</f>
        <v>2718.41389449139</v>
      </c>
      <c r="I40" s="22" t="n">
        <f aca="false">I38+I39</f>
        <v>3126.1759786651</v>
      </c>
      <c r="J40" s="22" t="n">
        <f aca="false">J38+J39</f>
        <v>3563.84061567821</v>
      </c>
      <c r="K40" s="22" t="n">
        <f aca="false">K38+K39</f>
        <v>4027.13989571638</v>
      </c>
      <c r="L40" s="22" t="n">
        <f aca="false">L38+L39</f>
        <v>4510.39668320235</v>
      </c>
    </row>
    <row r="41" customFormat="false" ht="15" hidden="false" customHeight="true" outlineLevel="0" collapsed="false">
      <c r="B41" s="6" t="s">
        <v>126</v>
      </c>
      <c r="C41" s="7" t="n">
        <f aca="false">-C34*Assumptions!$C$12</f>
        <v>-143.0341</v>
      </c>
      <c r="D41" s="7" t="n">
        <f aca="false">-D34*Assumptions!$C$12</f>
        <v>-171.64092</v>
      </c>
      <c r="E41" s="7" t="n">
        <f aca="false">-E34*Assumptions!$C$12</f>
        <v>-204.2526948</v>
      </c>
      <c r="F41" s="7" t="n">
        <f aca="false">-F34*Assumptions!$C$12</f>
        <v>-241.018179864</v>
      </c>
      <c r="G41" s="7" t="n">
        <f aca="false">-G34*Assumptions!$C$12</f>
        <v>-281.99127044088</v>
      </c>
      <c r="H41" s="7" t="n">
        <f aca="false">-H34*Assumptions!$C$12</f>
        <v>-327.109873711421</v>
      </c>
      <c r="I41" s="7" t="n">
        <f aca="false">-I34*Assumptions!$C$12</f>
        <v>-376.176354768134</v>
      </c>
      <c r="J41" s="7" t="n">
        <f aca="false">-J34*Assumptions!$C$12</f>
        <v>-428.841044435673</v>
      </c>
      <c r="K41" s="7" t="n">
        <f aca="false">-K34*Assumptions!$C$12</f>
        <v>-484.59038021231</v>
      </c>
      <c r="L41" s="7" t="n">
        <f aca="false">-L34*Assumptions!$C$12</f>
        <v>-542.741225837787</v>
      </c>
    </row>
    <row r="42" customFormat="false" ht="15" hidden="false" customHeight="true" outlineLevel="0" collapsed="false">
      <c r="B42" s="6" t="s">
        <v>127</v>
      </c>
      <c r="C42" s="7" t="n">
        <f aca="false">-(C34-Historicals!$J$6)*Assumptions!$C$13</f>
        <v>-2.48241</v>
      </c>
      <c r="D42" s="7" t="n">
        <f aca="false">-(D34-C34)*Assumptions!$C$13</f>
        <v>-2.860682</v>
      </c>
      <c r="E42" s="7" t="n">
        <f aca="false">-(E34-D34)*Assumptions!$C$13</f>
        <v>-3.26117748</v>
      </c>
      <c r="F42" s="7" t="n">
        <f aca="false">-(F34-E34)*Assumptions!$C$13</f>
        <v>-3.6765485064</v>
      </c>
      <c r="G42" s="7" t="n">
        <f aca="false">-(G34-F34)*Assumptions!$C$13</f>
        <v>-4.097309057688</v>
      </c>
      <c r="H42" s="7" t="n">
        <f aca="false">-(H34-G34)*Assumptions!$C$13</f>
        <v>-4.51186032705408</v>
      </c>
      <c r="I42" s="7" t="n">
        <f aca="false">-(I34-H34)*Assumptions!$C$13</f>
        <v>-4.90664810567131</v>
      </c>
      <c r="J42" s="7" t="n">
        <f aca="false">-(J34-I34)*Assumptions!$C$13</f>
        <v>-5.26646896675387</v>
      </c>
      <c r="K42" s="7" t="n">
        <f aca="false">-(K34-J34)*Assumptions!$C$13</f>
        <v>-5.57493357766374</v>
      </c>
      <c r="L42" s="7" t="n">
        <f aca="false">-(L34-K34)*Assumptions!$C$13</f>
        <v>-5.81508456254773</v>
      </c>
    </row>
    <row r="43" customFormat="false" ht="15" hidden="false" customHeight="true" outlineLevel="0" collapsed="false">
      <c r="B43" s="13" t="s">
        <v>128</v>
      </c>
      <c r="C43" s="31" t="n">
        <f aca="false">C40-C37+C41+C42</f>
        <v>1030.223792</v>
      </c>
      <c r="D43" s="31" t="n">
        <f aca="false">D40-D37+D41+D42</f>
        <v>1274.594029192</v>
      </c>
      <c r="E43" s="31" t="n">
        <f aca="false">E40-E37+E41+E42</f>
        <v>1562.37657870096</v>
      </c>
      <c r="F43" s="31" t="n">
        <f aca="false">F40-F37+F41+F42</f>
        <v>1897.42665062486</v>
      </c>
      <c r="G43" s="31" t="n">
        <f aca="false">G40-G37+G41+G42</f>
        <v>2282.96469072602</v>
      </c>
      <c r="H43" s="31" t="n">
        <f aca="false">H40-H37+H41+H42</f>
        <v>2648.48005942205</v>
      </c>
      <c r="I43" s="31" t="n">
        <f aca="false">I40-I37+I41+I42</f>
        <v>3046.0340596058</v>
      </c>
      <c r="J43" s="31" t="n">
        <f aca="false">J40-J37+J41+J42</f>
        <v>3472.80593782432</v>
      </c>
      <c r="K43" s="31" t="n">
        <f aca="false">K40-K37+K41+K42</f>
        <v>3924.64688609625</v>
      </c>
      <c r="L43" s="31" t="n">
        <f aca="false">L40-L37+L41+L42</f>
        <v>4396.03335347224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5" min="3" style="1" width="15"/>
  </cols>
  <sheetData>
    <row r="2" customFormat="false" ht="17.25" hidden="false" customHeight="true" outlineLevel="0" collapsed="false">
      <c r="B2" s="2" t="s">
        <v>131</v>
      </c>
    </row>
    <row r="4" customFormat="false" ht="15" hidden="false" customHeight="true" outlineLevel="0" collapsed="false">
      <c r="B4" s="10"/>
      <c r="C4" s="10" t="s">
        <v>19</v>
      </c>
      <c r="D4" s="10" t="s">
        <v>20</v>
      </c>
      <c r="E4" s="10" t="s">
        <v>21</v>
      </c>
    </row>
    <row r="5" customFormat="false" ht="15" hidden="false" customHeight="true" outlineLevel="0" collapsed="false">
      <c r="B5" s="6" t="s">
        <v>132</v>
      </c>
      <c r="C5" s="22" t="n">
        <f aca="false">SUMPRODUCT(Forecast!$C$17:$L$17/(1+Assumptions!$C$24)^Forecast!$C$4:$L$4)</f>
        <v>8978.78244738185</v>
      </c>
      <c r="D5" s="22" t="n">
        <f aca="false">SUMPRODUCT(Forecast!$C$30:$L$30/(1+Assumptions!$D$24)^Forecast!$C$4:$L$4)</f>
        <v>12072.9398214622</v>
      </c>
      <c r="E5" s="22" t="n">
        <f aca="false">SUMPRODUCT(Forecast!$C$43:$L$43/(1+Assumptions!$E$24)^Forecast!$C$4:$L$4)</f>
        <v>14704.6761116411</v>
      </c>
    </row>
    <row r="6" customFormat="false" ht="15" hidden="false" customHeight="true" outlineLevel="0" collapsed="false">
      <c r="B6" s="6" t="s">
        <v>133</v>
      </c>
      <c r="C6" s="22" t="n">
        <f aca="false">Forecast!$L$17*(1+Assumptions!$C$25)/(Assumptions!$C$24-Assumptions!$C$25)</f>
        <v>28225.1596974261</v>
      </c>
      <c r="D6" s="22" t="n">
        <f aca="false">Forecast!$L$30*(1+Assumptions!$D$25)/(Assumptions!$D$24-Assumptions!$D$25)</f>
        <v>52963.7850653547</v>
      </c>
      <c r="E6" s="22" t="n">
        <f aca="false">Forecast!$L$43*(1+Assumptions!$E$25)/(Assumptions!$E$24-Assumptions!$E$25)</f>
        <v>82725.3549244322</v>
      </c>
    </row>
    <row r="7" customFormat="false" ht="15" hidden="false" customHeight="true" outlineLevel="0" collapsed="false">
      <c r="B7" s="6" t="s">
        <v>134</v>
      </c>
      <c r="C7" s="22" t="n">
        <f aca="false">C6/(1+Assumptions!$C$24)^10</f>
        <v>10399.5279774731</v>
      </c>
      <c r="D7" s="22" t="n">
        <f aca="false">D6/(1+Assumptions!$D$24)^10</f>
        <v>21371.6386572894</v>
      </c>
      <c r="E7" s="22" t="n">
        <f aca="false">E6/(1+Assumptions!$E$24)^10</f>
        <v>34944.0839243616</v>
      </c>
    </row>
    <row r="8" customFormat="false" ht="15" hidden="false" customHeight="true" outlineLevel="0" collapsed="false">
      <c r="B8" s="6" t="s">
        <v>135</v>
      </c>
      <c r="C8" s="22" t="n">
        <f aca="false">C5+C7</f>
        <v>19378.3104248549</v>
      </c>
      <c r="D8" s="22" t="n">
        <f aca="false">D5+D7</f>
        <v>33444.5784787515</v>
      </c>
      <c r="E8" s="22" t="n">
        <f aca="false">E5+E7</f>
        <v>49648.7600360028</v>
      </c>
    </row>
    <row r="9" customFormat="false" ht="15" hidden="false" customHeight="true" outlineLevel="0" collapsed="false">
      <c r="B9" s="6" t="s">
        <v>136</v>
      </c>
      <c r="C9" s="22" t="n">
        <f aca="false">Assumptions!$C$6</f>
        <v>4173.2</v>
      </c>
      <c r="D9" s="22" t="n">
        <f aca="false">Assumptions!$C$6</f>
        <v>4173.2</v>
      </c>
      <c r="E9" s="22" t="n">
        <f aca="false">Assumptions!$C$6</f>
        <v>4173.2</v>
      </c>
    </row>
    <row r="10" customFormat="false" ht="15" hidden="false" customHeight="true" outlineLevel="0" collapsed="false">
      <c r="B10" s="13" t="s">
        <v>137</v>
      </c>
      <c r="C10" s="22" t="n">
        <f aca="false">C8+C9</f>
        <v>23551.5104248549</v>
      </c>
      <c r="D10" s="22" t="n">
        <f aca="false">D8+D9</f>
        <v>37617.7784787515</v>
      </c>
      <c r="E10" s="22" t="n">
        <f aca="false">E8+E9</f>
        <v>53821.9600360028</v>
      </c>
    </row>
    <row r="11" customFormat="false" ht="15" hidden="false" customHeight="true" outlineLevel="0" collapsed="false">
      <c r="B11" s="6" t="s">
        <v>138</v>
      </c>
      <c r="C11" s="32" t="n">
        <f aca="false">C10/Assumptions!$C$7</f>
        <v>746.482105383675</v>
      </c>
      <c r="D11" s="32" t="n">
        <f aca="false">D10/Assumptions!$C$7</f>
        <v>1192.3226142235</v>
      </c>
      <c r="E11" s="32" t="n">
        <f aca="false">E10/Assumptions!$C$7</f>
        <v>1705.92583315381</v>
      </c>
    </row>
    <row r="12" customFormat="false" ht="15" hidden="false" customHeight="true" outlineLevel="0" collapsed="false">
      <c r="B12" s="6" t="s">
        <v>139</v>
      </c>
      <c r="C12" s="12" t="n">
        <f aca="false">C11/Assumptions!$C$10-1</f>
        <v>-0.0836887715320811</v>
      </c>
      <c r="D12" s="12" t="n">
        <f aca="false">D11/Assumptions!$C$10-1</f>
        <v>0.463583107337421</v>
      </c>
      <c r="E12" s="12" t="n">
        <f aca="false">E11/Assumptions!$C$10-1</f>
        <v>1.09403411626177</v>
      </c>
    </row>
    <row r="13" customFormat="false" ht="15" hidden="false" customHeight="true" outlineLevel="0" collapsed="false">
      <c r="B13" s="6" t="s">
        <v>140</v>
      </c>
      <c r="C13" s="12" t="n">
        <f aca="false">C7/C8</f>
        <v>0.536658137343825</v>
      </c>
      <c r="D13" s="12" t="n">
        <f aca="false">D7/D8</f>
        <v>0.639016535097534</v>
      </c>
      <c r="E13" s="12" t="n">
        <f aca="false">E7/E8</f>
        <v>0.703825914262953</v>
      </c>
    </row>
    <row r="14" customFormat="false" ht="15" hidden="false" customHeight="true" outlineLevel="0" collapsed="false">
      <c r="B14" s="6" t="s">
        <v>141</v>
      </c>
      <c r="C14" s="33" t="n">
        <f aca="false">C8/Forecast!$C$10</f>
        <v>13.4480088340267</v>
      </c>
      <c r="D14" s="33" t="n">
        <f aca="false">D8/Forecast!$C$23</f>
        <v>22.4294530179503</v>
      </c>
      <c r="E14" s="33" t="n">
        <f aca="false">E8/Forecast!$C$36</f>
        <v>32.1399401313463</v>
      </c>
    </row>
    <row r="15" customFormat="false" ht="15" hidden="false" customHeight="true" outlineLevel="0" collapsed="false">
      <c r="B15" s="6"/>
    </row>
    <row r="16" customFormat="false" ht="15" hidden="false" customHeight="true" outlineLevel="0" collapsed="false">
      <c r="B16" s="13" t="s">
        <v>142</v>
      </c>
      <c r="C16" s="34" t="n">
        <f aca="false">C11*Assumptions!$C$9/Assumptions!$C$8</f>
        <v>8.65919242245063</v>
      </c>
      <c r="D16" s="34" t="n">
        <f aca="false">D11*Assumptions!$C$9/Assumptions!$C$8</f>
        <v>13.8309423249926</v>
      </c>
      <c r="E16" s="34" t="n">
        <f aca="false">E11*Assumptions!$C$9/Assumptions!$C$8</f>
        <v>19.7887396645842</v>
      </c>
    </row>
    <row r="19" customFormat="false" ht="15" hidden="false" customHeight="true" outlineLevel="0" collapsed="false">
      <c r="B19" s="5" t="s">
        <v>143</v>
      </c>
    </row>
    <row r="20" customFormat="false" ht="15" hidden="false" customHeight="true" outlineLevel="0" collapsed="false">
      <c r="B20" s="6" t="s">
        <v>144</v>
      </c>
      <c r="C20" s="22" t="n">
        <f aca="false">Assumptions!$C$10*Assumptions!$C$7</f>
        <v>25702.523</v>
      </c>
    </row>
    <row r="21" customFormat="false" ht="15" hidden="false" customHeight="true" outlineLevel="0" collapsed="false">
      <c r="B21" s="6" t="s">
        <v>145</v>
      </c>
      <c r="C21" s="22" t="n">
        <f aca="false">C20-Assumptions!$C$6</f>
        <v>21529.323</v>
      </c>
    </row>
    <row r="22" customFormat="false" ht="15" hidden="false" customHeight="true" outlineLevel="0" collapsed="false">
      <c r="B22" s="6" t="s">
        <v>146</v>
      </c>
      <c r="C22" s="33" t="n">
        <f aca="false">C21/Forecast!$C$30</f>
        <v>21.6916792575013</v>
      </c>
    </row>
    <row r="23" customFormat="false" ht="15" hidden="false" customHeight="true" outlineLevel="0" collapsed="false">
      <c r="B23" s="6" t="s">
        <v>141</v>
      </c>
      <c r="C23" s="33" t="n">
        <f aca="false">C21/Forecast!$C$23</f>
        <v>14.4385416321983</v>
      </c>
    </row>
    <row r="24" customFormat="false" ht="15" hidden="false" customHeight="true" outlineLevel="0" collapsed="false">
      <c r="B24" s="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8" min="3" style="1" width="12"/>
  </cols>
  <sheetData>
    <row r="2" customFormat="false" ht="17.25" hidden="false" customHeight="true" outlineLevel="0" collapsed="false">
      <c r="B2" s="2" t="s">
        <v>148</v>
      </c>
    </row>
    <row r="3" customFormat="false" ht="15" hidden="false" customHeight="true" outlineLevel="0" collapsed="false">
      <c r="B3" s="4" t="s">
        <v>149</v>
      </c>
    </row>
    <row r="5" customFormat="false" ht="15" hidden="false" customHeight="true" outlineLevel="0" collapsed="false">
      <c r="B5" s="35" t="s">
        <v>150</v>
      </c>
      <c r="C5" s="36" t="n">
        <v>0.02</v>
      </c>
      <c r="D5" s="36" t="n">
        <v>0.025</v>
      </c>
      <c r="E5" s="36" t="n">
        <v>0.03</v>
      </c>
      <c r="F5" s="36" t="n">
        <v>0.035</v>
      </c>
      <c r="G5" s="36" t="n">
        <v>0.04</v>
      </c>
    </row>
    <row r="6" customFormat="false" ht="15" hidden="false" customHeight="true" outlineLevel="0" collapsed="false">
      <c r="B6" s="36" t="n">
        <v>0.08</v>
      </c>
      <c r="C6" s="21" t="n">
        <f aca="false">IF($B6&lt;=C$5,"n/m",(SUMPRODUCT(Forecast!$C$30:$L$30/(1+$B6)^Forecast!$C$4:$L$4)+Forecast!$L$30*(1+C$5)/($B6-C$5)/(1+$B6)^10+Assumptions!$C$6)/Assumptions!$C$7*Assumptions!$C$9/Assumptions!$C$8)</f>
        <v>16.0261045102011</v>
      </c>
      <c r="D6" s="21" t="n">
        <f aca="false">IF($B6&lt;=D$5,"n/m",(SUMPRODUCT(Forecast!$C$30:$L$30/(1+$B6)^Forecast!$C$4:$L$4)+Forecast!$L$30*(1+D$5)/($B6-D$5)/(1+$B6)^10+Assumptions!$C$6)/Assumptions!$C$7*Assumptions!$C$9/Assumptions!$C$8)</f>
        <v>16.9575469823664</v>
      </c>
      <c r="E6" s="21" t="n">
        <f aca="false">IF($B6&lt;=E$5,"n/m",(SUMPRODUCT(Forecast!$C$30:$L$30/(1+$B6)^Forecast!$C$4:$L$4)+Forecast!$L$30*(1+E$5)/($B6-E$5)/(1+$B6)^10+Assumptions!$C$6)/Assumptions!$C$7*Assumptions!$C$9/Assumptions!$C$8)</f>
        <v>18.0752779489647</v>
      </c>
      <c r="F6" s="21" t="n">
        <f aca="false">IF($B6&lt;=F$5,"n/m",(SUMPRODUCT(Forecast!$C$30:$L$30/(1+$B6)^Forecast!$C$4:$L$4)+Forecast!$L$30*(1+F$5)/($B6-F$5)/(1+$B6)^10+Assumptions!$C$6)/Assumptions!$C$7*Assumptions!$C$9/Assumptions!$C$8)</f>
        <v>19.4413935748071</v>
      </c>
      <c r="G6" s="21" t="n">
        <f aca="false">IF($B6&lt;=G$5,"n/m",(SUMPRODUCT(Forecast!$C$30:$L$30/(1+$B6)^Forecast!$C$4:$L$4)+Forecast!$L$30*(1+G$5)/($B6-G$5)/(1+$B6)^10+Assumptions!$C$6)/Assumptions!$C$7*Assumptions!$C$9/Assumptions!$C$8)</f>
        <v>21.1490381071101</v>
      </c>
    </row>
    <row r="7" customFormat="false" ht="15" hidden="false" customHeight="true" outlineLevel="0" collapsed="false">
      <c r="B7" s="36" t="n">
        <v>0.085</v>
      </c>
      <c r="C7" s="21" t="n">
        <f aca="false">IF($B7&lt;=C$5,"n/m",(SUMPRODUCT(Forecast!$C$30:$L$30/(1+$B7)^Forecast!$C$4:$L$4)+Forecast!$L$30*(1+C$5)/($B7-C$5)/(1+$B7)^10+Assumptions!$C$6)/Assumptions!$C$7*Assumptions!$C$9/Assumptions!$C$8)</f>
        <v>14.7483674236544</v>
      </c>
      <c r="D7" s="21" t="n">
        <f aca="false">IF($B7&lt;=D$5,"n/m",(SUMPRODUCT(Forecast!$C$30:$L$30/(1+$B7)^Forecast!$C$4:$L$4)+Forecast!$L$30*(1+D$5)/($B7-D$5)/(1+$B7)^10+Assumptions!$C$6)/Assumptions!$C$7*Assumptions!$C$9/Assumptions!$C$8)</f>
        <v>15.5044191783951</v>
      </c>
      <c r="E7" s="21" t="n">
        <f aca="false">IF($B7&lt;=E$5,"n/m",(SUMPRODUCT(Forecast!$C$30:$L$30/(1+$B7)^Forecast!$C$4:$L$4)+Forecast!$L$30*(1+E$5)/($B7-E$5)/(1+$B7)^10+Assumptions!$C$6)/Assumptions!$C$7*Assumptions!$C$9/Assumptions!$C$8)</f>
        <v>16.3979348885432</v>
      </c>
      <c r="F7" s="21" t="n">
        <f aca="false">IF($B7&lt;=F$5,"n/m",(SUMPRODUCT(Forecast!$C$30:$L$30/(1+$B7)^Forecast!$C$4:$L$4)+Forecast!$L$30*(1+F$5)/($B7-F$5)/(1+$B7)^10+Assumptions!$C$6)/Assumptions!$C$7*Assumptions!$C$9/Assumptions!$C$8)</f>
        <v>17.4701537407209</v>
      </c>
      <c r="G7" s="21" t="n">
        <f aca="false">IF($B7&lt;=G$5,"n/m",(SUMPRODUCT(Forecast!$C$30:$L$30/(1+$B7)^Forecast!$C$4:$L$4)+Forecast!$L$30*(1+G$5)/($B7-G$5)/(1+$B7)^10+Assumptions!$C$6)/Assumptions!$C$7*Assumptions!$C$9/Assumptions!$C$8)</f>
        <v>18.780643448938</v>
      </c>
    </row>
    <row r="8" customFormat="false" ht="15" hidden="false" customHeight="true" outlineLevel="0" collapsed="false">
      <c r="B8" s="36" t="n">
        <v>0.09</v>
      </c>
      <c r="C8" s="21" t="n">
        <f aca="false">IF($B8&lt;=C$5,"n/m",(SUMPRODUCT(Forecast!$C$30:$L$30/(1+$B8)^Forecast!$C$4:$L$4)+Forecast!$L$30*(1+C$5)/($B8-C$5)/(1+$B8)^10+Assumptions!$C$6)/Assumptions!$C$7*Assumptions!$C$9/Assumptions!$C$8)</f>
        <v>13.6579195067389</v>
      </c>
      <c r="D8" s="21" t="n">
        <f aca="false">IF($B8&lt;=D$5,"n/m",(SUMPRODUCT(Forecast!$C$30:$L$30/(1+$B8)^Forecast!$C$4:$L$4)+Forecast!$L$30*(1+D$5)/($B8-D$5)/(1+$B8)^10+Assumptions!$C$6)/Assumptions!$C$7*Assumptions!$C$9/Assumptions!$C$8)</f>
        <v>14.2796954260095</v>
      </c>
      <c r="E8" s="21" t="n">
        <f aca="false">IF($B8&lt;=E$5,"n/m",(SUMPRODUCT(Forecast!$C$30:$L$30/(1+$B8)^Forecast!$C$4:$L$4)+Forecast!$L$30*(1+E$5)/($B8-E$5)/(1+$B8)^10+Assumptions!$C$6)/Assumptions!$C$7*Assumptions!$C$9/Assumptions!$C$8)</f>
        <v>15.0051006651585</v>
      </c>
      <c r="F8" s="21" t="n">
        <f aca="false">IF($B8&lt;=F$5,"n/m",(SUMPRODUCT(Forecast!$C$30:$L$30/(1+$B8)^Forecast!$C$4:$L$4)+Forecast!$L$30*(1+F$5)/($B8-F$5)/(1+$B8)^10+Assumptions!$C$6)/Assumptions!$C$7*Assumptions!$C$9/Assumptions!$C$8)</f>
        <v>15.862397765971</v>
      </c>
      <c r="G8" s="21" t="n">
        <f aca="false">IF($B8&lt;=G$5,"n/m",(SUMPRODUCT(Forecast!$C$30:$L$30/(1+$B8)^Forecast!$C$4:$L$4)+Forecast!$L$30*(1+G$5)/($B8-G$5)/(1+$B8)^10+Assumptions!$C$6)/Assumptions!$C$7*Assumptions!$C$9/Assumptions!$C$8)</f>
        <v>16.8911542869459</v>
      </c>
    </row>
    <row r="9" customFormat="false" ht="15" hidden="false" customHeight="true" outlineLevel="0" collapsed="false">
      <c r="B9" s="36" t="n">
        <v>0.095</v>
      </c>
      <c r="C9" s="21" t="n">
        <f aca="false">IF($B9&lt;=C$5,"n/m",(SUMPRODUCT(Forecast!$C$30:$L$30/(1+$B9)^Forecast!$C$4:$L$4)+Forecast!$L$30*(1+C$5)/($B9-C$5)/(1+$B9)^10+Assumptions!$C$6)/Assumptions!$C$7*Assumptions!$C$9/Assumptions!$C$8)</f>
        <v>12.717129845803</v>
      </c>
      <c r="D9" s="21" t="n">
        <f aca="false">IF($B9&lt;=D$5,"n/m",(SUMPRODUCT(Forecast!$C$30:$L$30/(1+$B9)^Forecast!$C$4:$L$4)+Forecast!$L$30*(1+D$5)/($B9-D$5)/(1+$B9)^10+Assumptions!$C$6)/Assumptions!$C$7*Assumptions!$C$9/Assumptions!$C$8)</f>
        <v>13.2342570682839</v>
      </c>
      <c r="E9" s="21" t="n">
        <f aca="false">IF($B9&lt;=E$5,"n/m",(SUMPRODUCT(Forecast!$C$30:$L$30/(1+$B9)^Forecast!$C$4:$L$4)+Forecast!$L$30*(1+E$5)/($B9-E$5)/(1+$B9)^10+Assumptions!$C$6)/Assumptions!$C$7*Assumptions!$C$9/Assumptions!$C$8)</f>
        <v>13.8309423249926</v>
      </c>
      <c r="F9" s="21" t="n">
        <f aca="false">IF($B9&lt;=F$5,"n/m",(SUMPRODUCT(Forecast!$C$30:$L$30/(1+$B9)^Forecast!$C$4:$L$4)+Forecast!$L$30*(1+F$5)/($B9-F$5)/(1+$B9)^10+Assumptions!$C$6)/Assumptions!$C$7*Assumptions!$C$9/Assumptions!$C$8)</f>
        <v>14.5270751244861</v>
      </c>
      <c r="G9" s="21" t="n">
        <f aca="false">IF($B9&lt;=G$5,"n/m",(SUMPRODUCT(Forecast!$C$30:$L$30/(1+$B9)^Forecast!$C$4:$L$4)+Forecast!$L$30*(1+G$5)/($B9-G$5)/(1+$B9)^10+Assumptions!$C$6)/Assumptions!$C$7*Assumptions!$C$9/Assumptions!$C$8)</f>
        <v>15.3497775238876</v>
      </c>
    </row>
    <row r="10" customFormat="false" ht="15" hidden="false" customHeight="true" outlineLevel="0" collapsed="false">
      <c r="B10" s="36" t="n">
        <v>0.1</v>
      </c>
      <c r="C10" s="21" t="n">
        <f aca="false">IF($B10&lt;=C$5,"n/m",(SUMPRODUCT(Forecast!$C$30:$L$30/(1+$B10)^Forecast!$C$4:$L$4)+Forecast!$L$30*(1+C$5)/($B10-C$5)/(1+$B10)^10+Assumptions!$C$6)/Assumptions!$C$7*Assumptions!$C$9/Assumptions!$C$8)</f>
        <v>11.8977826059449</v>
      </c>
      <c r="D10" s="21" t="n">
        <f aca="false">IF($B10&lt;=D$5,"n/m",(SUMPRODUCT(Forecast!$C$30:$L$30/(1+$B10)^Forecast!$C$4:$L$4)+Forecast!$L$30*(1+D$5)/($B10-D$5)/(1+$B10)^10+Assumptions!$C$6)/Assumptions!$C$7*Assumptions!$C$9/Assumptions!$C$8)</f>
        <v>12.3320911363529</v>
      </c>
      <c r="E10" s="21" t="n">
        <f aca="false">IF($B10&lt;=E$5,"n/m",(SUMPRODUCT(Forecast!$C$30:$L$30/(1+$B10)^Forecast!$C$4:$L$4)+Forecast!$L$30*(1+E$5)/($B10-E$5)/(1+$B10)^10+Assumptions!$C$6)/Assumptions!$C$7*Assumptions!$C$9/Assumptions!$C$8)</f>
        <v>12.8284437425334</v>
      </c>
      <c r="F10" s="21" t="n">
        <f aca="false">IF($B10&lt;=F$5,"n/m",(SUMPRODUCT(Forecast!$C$30:$L$30/(1+$B10)^Forecast!$C$4:$L$4)+Forecast!$L$30*(1+F$5)/($B10-F$5)/(1+$B10)^10+Assumptions!$C$6)/Assumptions!$C$7*Assumptions!$C$9/Assumptions!$C$8)</f>
        <v>13.4011582881262</v>
      </c>
      <c r="G10" s="21" t="n">
        <f aca="false">IF($B10&lt;=G$5,"n/m",(SUMPRODUCT(Forecast!$C$30:$L$30/(1+$B10)^Forecast!$C$4:$L$4)+Forecast!$L$30*(1+G$5)/($B10-G$5)/(1+$B10)^10+Assumptions!$C$6)/Assumptions!$C$7*Assumptions!$C$9/Assumptions!$C$8)</f>
        <v>14.0693252579846</v>
      </c>
    </row>
    <row r="11" customFormat="false" ht="15" hidden="false" customHeight="true" outlineLevel="0" collapsed="false">
      <c r="B11" s="36" t="n">
        <v>0.105</v>
      </c>
      <c r="C11" s="21" t="n">
        <f aca="false">IF($B11&lt;=C$5,"n/m",(SUMPRODUCT(Forecast!$C$30:$L$30/(1+$B11)^Forecast!$C$4:$L$4)+Forecast!$L$30*(1+C$5)/($B11-C$5)/(1+$B11)^10+Assumptions!$C$6)/Assumptions!$C$7*Assumptions!$C$9/Assumptions!$C$8)</f>
        <v>11.1783075380484</v>
      </c>
      <c r="D11" s="21" t="n">
        <f aca="false">IF($B11&lt;=D$5,"n/m",(SUMPRODUCT(Forecast!$C$30:$L$30/(1+$B11)^Forecast!$C$4:$L$4)+Forecast!$L$30*(1+D$5)/($B11-D$5)/(1+$B11)^10+Assumptions!$C$6)/Assumptions!$C$7*Assumptions!$C$9/Assumptions!$C$8)</f>
        <v>11.5461944703015</v>
      </c>
      <c r="E11" s="21" t="n">
        <f aca="false">IF($B11&lt;=E$5,"n/m",(SUMPRODUCT(Forecast!$C$30:$L$30/(1+$B11)^Forecast!$C$4:$L$4)+Forecast!$L$30*(1+E$5)/($B11-E$5)/(1+$B11)^10+Assumptions!$C$6)/Assumptions!$C$7*Assumptions!$C$9/Assumptions!$C$8)</f>
        <v>11.9631329935217</v>
      </c>
      <c r="F11" s="21" t="n">
        <f aca="false">IF($B11&lt;=F$5,"n/m",(SUMPRODUCT(Forecast!$C$30:$L$30/(1+$B11)^Forecast!$C$4:$L$4)+Forecast!$L$30*(1+F$5)/($B11-F$5)/(1+$B11)^10+Assumptions!$C$6)/Assumptions!$C$7*Assumptions!$C$9/Assumptions!$C$8)</f>
        <v>12.4396341629162</v>
      </c>
      <c r="G11" s="21" t="n">
        <f aca="false">IF($B11&lt;=G$5,"n/m",(SUMPRODUCT(Forecast!$C$30:$L$30/(1+$B11)^Forecast!$C$4:$L$4)+Forecast!$L$30*(1+G$5)/($B11-G$5)/(1+$B11)^10+Assumptions!$C$6)/Assumptions!$C$7*Assumptions!$C$9/Assumptions!$C$8)</f>
        <v>12.9894432045252</v>
      </c>
    </row>
    <row r="12" customFormat="false" ht="15" hidden="false" customHeight="true" outlineLevel="0" collapsed="false">
      <c r="B12" s="36" t="n">
        <v>0.11</v>
      </c>
      <c r="C12" s="21" t="n">
        <f aca="false">IF($B12&lt;=C$5,"n/m",(SUMPRODUCT(Forecast!$C$30:$L$30/(1+$B12)^Forecast!$C$4:$L$4)+Forecast!$L$30*(1+C$5)/($B12-C$5)/(1+$B12)^10+Assumptions!$C$6)/Assumptions!$C$7*Assumptions!$C$9/Assumptions!$C$8)</f>
        <v>10.5419336687923</v>
      </c>
      <c r="D12" s="21" t="n">
        <f aca="false">IF($B12&lt;=D$5,"n/m",(SUMPRODUCT(Forecast!$C$30:$L$30/(1+$B12)^Forecast!$C$4:$L$4)+Forecast!$L$30*(1+D$5)/($B12-D$5)/(1+$B12)^10+Assumptions!$C$6)/Assumptions!$C$7*Assumptions!$C$9/Assumptions!$C$8)</f>
        <v>10.8559234629818</v>
      </c>
      <c r="E12" s="21" t="n">
        <f aca="false">IF($B12&lt;=E$5,"n/m",(SUMPRODUCT(Forecast!$C$30:$L$30/(1+$B12)^Forecast!$C$4:$L$4)+Forecast!$L$30*(1+E$5)/($B12-E$5)/(1+$B12)^10+Assumptions!$C$6)/Assumptions!$C$7*Assumptions!$C$9/Assumptions!$C$8)</f>
        <v>11.209161981445</v>
      </c>
      <c r="F12" s="21" t="n">
        <f aca="false">IF($B12&lt;=F$5,"n/m",(SUMPRODUCT(Forecast!$C$30:$L$30/(1+$B12)^Forecast!$C$4:$L$4)+Forecast!$L$30*(1+F$5)/($B12-F$5)/(1+$B12)^10+Assumptions!$C$6)/Assumptions!$C$7*Assumptions!$C$9/Assumptions!$C$8)</f>
        <v>11.6094989690366</v>
      </c>
      <c r="G12" s="21" t="n">
        <f aca="false">IF($B12&lt;=G$5,"n/m",(SUMPRODUCT(Forecast!$C$30:$L$30/(1+$B12)^Forecast!$C$4:$L$4)+Forecast!$L$30*(1+G$5)/($B12-G$5)/(1+$B12)^10+Assumptions!$C$6)/Assumptions!$C$7*Assumptions!$C$9/Assumptions!$C$8)</f>
        <v>12.0670269548556</v>
      </c>
    </row>
    <row r="14" customFormat="false" ht="15" hidden="false" customHeight="true" outlineLevel="0" collapsed="false">
      <c r="B14" s="13" t="s">
        <v>151</v>
      </c>
      <c r="C14" s="14" t="n">
        <f aca="false">Assumptions!$C$10*Assumptions!$C$9/Assumptions!$C$8</f>
        <v>9.450056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30"/>
  </cols>
  <sheetData>
    <row r="2" customFormat="false" ht="17.25" hidden="false" customHeight="true" outlineLevel="0" collapsed="false">
      <c r="B2" s="2" t="s">
        <v>152</v>
      </c>
    </row>
    <row r="3" customFormat="false" ht="15" hidden="false" customHeight="true" outlineLevel="0" collapsed="false">
      <c r="B3" s="15"/>
    </row>
    <row r="4" customFormat="false" ht="15" hidden="false" customHeight="true" outlineLevel="0" collapsed="false">
      <c r="B4" s="5" t="s">
        <v>153</v>
      </c>
    </row>
    <row r="5" customFormat="false" ht="15" hidden="false" customHeight="true" outlineLevel="0" collapsed="false">
      <c r="B5" s="15" t="s">
        <v>154</v>
      </c>
    </row>
    <row r="6" customFormat="false" ht="15" hidden="false" customHeight="true" outlineLevel="0" collapsed="false">
      <c r="B6" s="15" t="s">
        <v>155</v>
      </c>
    </row>
    <row r="7" customFormat="false" ht="15" hidden="false" customHeight="true" outlineLevel="0" collapsed="false">
      <c r="B7" s="15" t="s">
        <v>156</v>
      </c>
    </row>
    <row r="8" customFormat="false" ht="15" hidden="false" customHeight="true" outlineLevel="0" collapsed="false">
      <c r="B8" s="15" t="s">
        <v>157</v>
      </c>
    </row>
    <row r="9" customFormat="false" ht="15" hidden="false" customHeight="true" outlineLevel="0" collapsed="false">
      <c r="B9" s="15" t="s">
        <v>158</v>
      </c>
    </row>
    <row r="10" customFormat="false" ht="15" hidden="false" customHeight="true" outlineLevel="0" collapsed="false">
      <c r="B10" s="15" t="s">
        <v>159</v>
      </c>
    </row>
    <row r="11" customFormat="false" ht="15" hidden="false" customHeight="true" outlineLevel="0" collapsed="false">
      <c r="B11" s="15" t="s">
        <v>160</v>
      </c>
    </row>
    <row r="12" customFormat="false" ht="15" hidden="false" customHeight="true" outlineLevel="0" collapsed="false">
      <c r="B12" s="15"/>
    </row>
    <row r="13" customFormat="false" ht="15" hidden="false" customHeight="true" outlineLevel="0" collapsed="false">
      <c r="B13" s="5" t="s">
        <v>161</v>
      </c>
    </row>
    <row r="14" customFormat="false" ht="15" hidden="false" customHeight="true" outlineLevel="0" collapsed="false">
      <c r="B14" s="15" t="s">
        <v>162</v>
      </c>
    </row>
    <row r="15" customFormat="false" ht="15" hidden="false" customHeight="true" outlineLevel="0" collapsed="false">
      <c r="B15" s="15" t="s">
        <v>163</v>
      </c>
    </row>
    <row r="16" customFormat="false" ht="15" hidden="false" customHeight="true" outlineLevel="0" collapsed="false">
      <c r="B16" s="15" t="s">
        <v>164</v>
      </c>
    </row>
    <row r="17" customFormat="false" ht="15" hidden="false" customHeight="true" outlineLevel="0" collapsed="false">
      <c r="B17" s="15" t="s">
        <v>165</v>
      </c>
    </row>
    <row r="18" customFormat="false" ht="15" hidden="false" customHeight="true" outlineLevel="0" collapsed="false">
      <c r="B18" s="15" t="s">
        <v>166</v>
      </c>
    </row>
    <row r="19" customFormat="false" ht="15" hidden="false" customHeight="true" outlineLevel="0" collapsed="false">
      <c r="B19" s="15" t="s">
        <v>167</v>
      </c>
    </row>
    <row r="20" customFormat="false" ht="15" hidden="false" customHeight="true" outlineLevel="0" collapsed="false">
      <c r="B20" s="15"/>
    </row>
    <row r="21" customFormat="false" ht="15" hidden="false" customHeight="true" outlineLevel="0" collapsed="false">
      <c r="B21" s="5" t="s">
        <v>168</v>
      </c>
    </row>
    <row r="22" customFormat="false" ht="15" hidden="false" customHeight="true" outlineLevel="0" collapsed="false">
      <c r="B22" s="15" t="s">
        <v>169</v>
      </c>
    </row>
    <row r="23" customFormat="false" ht="15" hidden="false" customHeight="true" outlineLevel="0" collapsed="false">
      <c r="B23" s="15" t="s">
        <v>170</v>
      </c>
    </row>
    <row r="24" customFormat="false" ht="15" hidden="false" customHeight="true" outlineLevel="0" collapsed="false">
      <c r="B24" s="15" t="s">
        <v>171</v>
      </c>
    </row>
    <row r="25" customFormat="false" ht="15" hidden="false" customHeight="true" outlineLevel="0" collapsed="false">
      <c r="B25" s="15" t="s">
        <v>172</v>
      </c>
    </row>
    <row r="26" customFormat="false" ht="15" hidden="false" customHeight="true" outlineLevel="0" collapsed="false">
      <c r="B26" s="15" t="s">
        <v>173</v>
      </c>
    </row>
    <row r="27" customFormat="false" ht="15" hidden="false" customHeight="true" outlineLevel="0" collapsed="false">
      <c r="B27" s="1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2026-07-18T01:57:59Z</dcterms:created>
  <dc:creator>openpyxl</dc:creator>
  <dc:description/>
  <dc:language>en-US</dc:language>
  <cp:lastModifiedBy/>
  <dcterms:modified xsi:type="dcterms:W3CDTF">2026-07-18T02:09:14Z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