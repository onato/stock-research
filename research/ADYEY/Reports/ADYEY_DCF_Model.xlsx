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Historical" sheetId="4" r:id="rId4"/>
  </sheets>
  <calcPr calcId="124519" fullCalcOnLoad="1"/>
</workbook>
</file>

<file path=xl/sharedStrings.xml><?xml version="1.0" encoding="utf-8"?>
<sst xmlns="http://schemas.openxmlformats.org/spreadsheetml/2006/main" count="90" uniqueCount="76">
  <si>
    <t>ADYEY (Adyen N.V.) DCF Valuation Model - BASE CASE</t>
  </si>
  <si>
    <t>Model built in EUR at ordinary-share level; converted to USD per ADR (1 ADR = 1/100 ordinary share). Gray cells are INPUTS.</t>
  </si>
  <si>
    <t>KEY INPUTS (EUR, millions except per-share/ADR)</t>
  </si>
  <si>
    <t>Current ADR Price (USD)</t>
  </si>
  <si>
    <t>EURUSD Exchange Rate</t>
  </si>
  <si>
    <t>Ordinary Shares Outstanding (M, diluted)</t>
  </si>
  <si>
    <t>ADR Ratio (ordinary shares per ADR)</t>
  </si>
  <si>
    <t>Own-Cash (M EUR)</t>
  </si>
  <si>
    <t>Lease Liabilities (M EUR)</t>
  </si>
  <si>
    <t>Net Cash (M EUR)</t>
  </si>
  <si>
    <t>Net Debt (M EUR) [negative = net cash]</t>
  </si>
  <si>
    <t>Base Year FCF (M EUR, FY2025)</t>
  </si>
  <si>
    <t>WACC</t>
  </si>
  <si>
    <t>Terminal Growth Rate</t>
  </si>
  <si>
    <t>GROWTH ASSUMPTIONS (FCF growth, base case)</t>
  </si>
  <si>
    <t>FY2026</t>
  </si>
  <si>
    <t>FY2027</t>
  </si>
  <si>
    <t>FY2028</t>
  </si>
  <si>
    <t>FY2029</t>
  </si>
  <si>
    <t>FY2030</t>
  </si>
  <si>
    <t>FCF Growth Rate</t>
  </si>
  <si>
    <t>PROJECTIONS (EUR millions)</t>
  </si>
  <si>
    <t>FY2025</t>
  </si>
  <si>
    <t>Free Cash Flow (EUR M)</t>
  </si>
  <si>
    <t>Discount Factor</t>
  </si>
  <si>
    <t>PV of FCF (EUR M)</t>
  </si>
  <si>
    <t>VALUATION (EUR millions)</t>
  </si>
  <si>
    <t>Sum of PV of FCF</t>
  </si>
  <si>
    <t>Terminal FCF (Year 5 x (1+g))</t>
  </si>
  <si>
    <t>Terminal Value</t>
  </si>
  <si>
    <t>PV of Terminal Value</t>
  </si>
  <si>
    <t>Enterprise Value</t>
  </si>
  <si>
    <t>Less: Net Debt</t>
  </si>
  <si>
    <t>Equity Value</t>
  </si>
  <si>
    <t>INTRINSIC VALUE / ORDINARY SHARE (EUR)</t>
  </si>
  <si>
    <t>INTRINSIC VALUE / ADR (USD)</t>
  </si>
  <si>
    <t>ENTRY PRICE (15% CAGR Target)</t>
  </si>
  <si>
    <t>Terminal Value per Ordinary Share (EUR)</t>
  </si>
  <si>
    <t>Terminal Value per ADR (USD)</t>
  </si>
  <si>
    <t>Entry Price per ADR (15% CAGR, USD)</t>
  </si>
  <si>
    <t>Upside to Intrinsic Value (ADR)</t>
  </si>
  <si>
    <t>Upside to Entry Price (ADR)</t>
  </si>
  <si>
    <t>Notes:</t>
  </si>
  <si>
    <t>Own-cash excludes merchant settlement funds (gross cash EUR 10,797.4m includes pass-through merchant balances not available to equity holders).</t>
  </si>
  <si>
    <t>FY2025 FCF (EUR 1,081.3m, +25.8% YoY) is NOT a peak - FY2026 guidance is 20-22% CC net revenue growth with flat EBITDA margin, implying continued FCF growth.</t>
  </si>
  <si>
    <t>Bull / Bear Scenario Comparison</t>
  </si>
  <si>
    <t>Independent of DCF Model sheet inputs - hardcoded scenario assumptions per Analysis JSON</t>
  </si>
  <si>
    <t>Base (ref)</t>
  </si>
  <si>
    <t>Bull</t>
  </si>
  <si>
    <t>Bear</t>
  </si>
  <si>
    <t>Terminal Growth</t>
  </si>
  <si>
    <t>FCF Growth Rates (Y1-Y5)</t>
  </si>
  <si>
    <t>Base</t>
  </si>
  <si>
    <t>RESULTS SUMMARY (USD per ADR)</t>
  </si>
  <si>
    <t>Scenario</t>
  </si>
  <si>
    <t>Intrinsic Value</t>
  </si>
  <si>
    <t>Upside vs $9.45</t>
  </si>
  <si>
    <t>Probability-Weighted IV</t>
  </si>
  <si>
    <t>Weights: Bull 25% / Base 50% / Bear 25%</t>
  </si>
  <si>
    <t>Sensitivity Analysis</t>
  </si>
  <si>
    <t>Intrinsic Value per ADR (USD) by WACC &amp; Terminal Growth - Base Case FCF path</t>
  </si>
  <si>
    <t>WACC \ Term G</t>
  </si>
  <si>
    <t>Note: grid shows terminal-value-driven IV (dominant term); full model (DCF Model sheet) also includes PV of explicit FCF years 1-5.</t>
  </si>
  <si>
    <t>Historical Growth Rates</t>
  </si>
  <si>
    <t>Metric</t>
  </si>
  <si>
    <t>3-Year CAGR</t>
  </si>
  <si>
    <t>5-Year CAGR</t>
  </si>
  <si>
    <t>Net Revenue</t>
  </si>
  <si>
    <t>EBITDA</t>
  </si>
  <si>
    <t>Equity (Book Value)</t>
  </si>
  <si>
    <t>FCF</t>
  </si>
  <si>
    <t>Selected Growth Rate:</t>
  </si>
  <si>
    <t>Source:</t>
  </si>
  <si>
    <t>revenue_3yr_cagr (net revenue), cross-checked against fcf_3yr_cagr (21.2%) and FY2026 guidance (20-22% CC)</t>
  </si>
  <si>
    <t>Divergence Warning:</t>
  </si>
  <si>
    <t>Shareholders'-equity CAGR (~30% 3yr / ~34% 5yr) is materially higher than net-revenue CAGR (~21% 3yr / ~28% 5yr) and FCF CAGR (~21% 3yr / ~26% 5yr). This divergence is an artifact of 100% earnings retention (Adyen pays no dividends and conducts no buybacks), not superior underlying economics. Net-revenue CAGR (~21%) is used as the primary anchor for FY2026 base-case growth, consistent with management's own 20-22% CC guidance and Q1-2026 actual (+20% CC).</t>
  </si>
</sst>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&quot;EUR &quot;#,##0.00"/>
    <numFmt numFmtId="167" formatCode="&quot;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0984E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6" fontId="4" fillId="4" borderId="2" xfId="0" applyNumberFormat="1" applyFont="1" applyFill="1" applyBorder="1"/>
    <xf numFmtId="167" fontId="4" fillId="5" borderId="2" xfId="0" applyNumberFormat="1" applyFont="1" applyFill="1" applyBorder="1"/>
    <xf numFmtId="166" fontId="0" fillId="0" borderId="2" xfId="0" applyNumberFormat="1" applyBorder="1"/>
    <xf numFmtId="167" fontId="0" fillId="0" borderId="2" xfId="0" applyNumberFormat="1" applyBorder="1"/>
    <xf numFmtId="165" fontId="0" fillId="0" borderId="2" xfId="0" applyNumberFormat="1" applyBorder="1"/>
    <xf numFmtId="0" fontId="2" fillId="0" borderId="0" xfId="0" applyFont="1" applyAlignment="1">
      <alignment wrapText="1"/>
    </xf>
    <xf numFmtId="165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cols>
    <col min="1" max="1" width="30.7109375" customWidth="1"/>
    <col min="2" max="8" width="14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9.449999999999999</v>
      </c>
    </row>
    <row r="6" spans="1:2">
      <c r="A6" t="s">
        <v>4</v>
      </c>
      <c r="B6" s="4">
        <v>1.1446</v>
      </c>
    </row>
    <row r="7" spans="1:2">
      <c r="A7" t="s">
        <v>5</v>
      </c>
      <c r="B7" s="4">
        <v>31.5</v>
      </c>
    </row>
    <row r="8" spans="1:2">
      <c r="A8" t="s">
        <v>6</v>
      </c>
      <c r="B8" s="4">
        <v>0.01</v>
      </c>
    </row>
    <row r="9" spans="1:2">
      <c r="A9" t="s">
        <v>7</v>
      </c>
      <c r="B9" s="4">
        <v>4987.3</v>
      </c>
    </row>
    <row r="10" spans="1:2">
      <c r="A10" t="s">
        <v>8</v>
      </c>
      <c r="B10" s="4">
        <v>252.4</v>
      </c>
    </row>
    <row r="11" spans="1:2">
      <c r="A11" t="s">
        <v>9</v>
      </c>
      <c r="B11" s="5">
        <f>B9-B10</f>
        <v>0</v>
      </c>
    </row>
    <row r="12" spans="1:2">
      <c r="A12" t="s">
        <v>10</v>
      </c>
      <c r="B12" s="5">
        <f>-B11</f>
        <v>0</v>
      </c>
    </row>
    <row r="13" spans="1:2">
      <c r="A13" t="s">
        <v>11</v>
      </c>
      <c r="B13" s="4">
        <v>1081.3</v>
      </c>
    </row>
    <row r="15" spans="1:2">
      <c r="A15" t="s">
        <v>12</v>
      </c>
      <c r="B15" s="6">
        <v>0.105</v>
      </c>
    </row>
    <row r="16" spans="1:2">
      <c r="A16" t="s">
        <v>13</v>
      </c>
      <c r="B16" s="6">
        <v>0.03</v>
      </c>
    </row>
    <row r="18" spans="1:7">
      <c r="A18" s="3" t="s">
        <v>14</v>
      </c>
      <c r="B18" s="7" t="s">
        <v>15</v>
      </c>
      <c r="C18" s="7" t="s">
        <v>16</v>
      </c>
      <c r="D18" s="7" t="s">
        <v>17</v>
      </c>
      <c r="E18" s="7" t="s">
        <v>18</v>
      </c>
      <c r="F18" s="7" t="s">
        <v>19</v>
      </c>
    </row>
    <row r="19" spans="1:7">
      <c r="A19" t="s">
        <v>20</v>
      </c>
      <c r="B19" s="6">
        <v>0.2</v>
      </c>
      <c r="C19" s="6">
        <v>0.17</v>
      </c>
      <c r="D19" s="6">
        <v>0.15</v>
      </c>
      <c r="E19" s="6">
        <v>0.13</v>
      </c>
      <c r="F19" s="6">
        <v>0.115</v>
      </c>
    </row>
    <row r="21" spans="1:7">
      <c r="A21" s="3" t="s">
        <v>21</v>
      </c>
    </row>
    <row r="22" spans="1:7">
      <c r="A22" s="7"/>
      <c r="B22" s="7" t="s">
        <v>22</v>
      </c>
      <c r="C22" s="7" t="s">
        <v>15</v>
      </c>
      <c r="D22" s="7" t="s">
        <v>16</v>
      </c>
      <c r="E22" s="7" t="s">
        <v>17</v>
      </c>
      <c r="F22" s="7" t="s">
        <v>18</v>
      </c>
      <c r="G22" s="7" t="s">
        <v>19</v>
      </c>
    </row>
    <row r="23" spans="1:7">
      <c r="A23" t="s">
        <v>23</v>
      </c>
      <c r="B23" s="5">
        <f>B13</f>
        <v>0</v>
      </c>
      <c r="C23" s="5">
        <f>B23*(1+B19)</f>
        <v>0</v>
      </c>
      <c r="D23" s="5">
        <f>C23*(1+C19)</f>
        <v>0</v>
      </c>
      <c r="E23" s="5">
        <f>D23*(1+D19)</f>
        <v>0</v>
      </c>
      <c r="F23" s="5">
        <f>E23*(1+E19)</f>
        <v>0</v>
      </c>
      <c r="G23" s="5">
        <f>F23*(1+F19)</f>
        <v>0</v>
      </c>
    </row>
    <row r="24" spans="1:7">
      <c r="A24" t="s">
        <v>24</v>
      </c>
      <c r="C24" s="5">
        <f>1/(1+$B$15)^1</f>
        <v>0</v>
      </c>
      <c r="D24" s="5">
        <f>1/(1+$B$15)^2</f>
        <v>0</v>
      </c>
      <c r="E24" s="5">
        <f>1/(1+$B$15)^3</f>
        <v>0</v>
      </c>
      <c r="F24" s="5">
        <f>1/(1+$B$15)^4</f>
        <v>0</v>
      </c>
      <c r="G24" s="5">
        <f>1/(1+$B$15)^5</f>
        <v>0</v>
      </c>
    </row>
    <row r="25" spans="1:7">
      <c r="A25" t="s">
        <v>25</v>
      </c>
      <c r="C25" s="5">
        <f>C23*C24</f>
        <v>0</v>
      </c>
      <c r="D25" s="5">
        <f>D23*D24</f>
        <v>0</v>
      </c>
      <c r="E25" s="5">
        <f>E23*E24</f>
        <v>0</v>
      </c>
      <c r="F25" s="5">
        <f>F23*F24</f>
        <v>0</v>
      </c>
      <c r="G25" s="5">
        <f>G23*G24</f>
        <v>0</v>
      </c>
    </row>
    <row r="27" spans="1:7">
      <c r="A27" s="3" t="s">
        <v>26</v>
      </c>
    </row>
    <row r="28" spans="1:7">
      <c r="A28" t="s">
        <v>27</v>
      </c>
      <c r="B28" s="5">
        <f>SUM(C25:G25)</f>
        <v>0</v>
      </c>
    </row>
    <row r="29" spans="1:7">
      <c r="A29" t="s">
        <v>28</v>
      </c>
      <c r="B29" s="5">
        <f>G23*(1+$B$16)</f>
        <v>0</v>
      </c>
    </row>
    <row r="30" spans="1:7">
      <c r="A30" t="s">
        <v>29</v>
      </c>
      <c r="B30" s="5">
        <f>B29/($B$15-$B$16)</f>
        <v>0</v>
      </c>
    </row>
    <row r="31" spans="1:7">
      <c r="A31" t="s">
        <v>30</v>
      </c>
      <c r="B31" s="5">
        <f>B30*G24</f>
        <v>0</v>
      </c>
    </row>
    <row r="32" spans="1:7">
      <c r="A32" t="s">
        <v>31</v>
      </c>
      <c r="B32" s="5">
        <f>B28+B31</f>
        <v>0</v>
      </c>
    </row>
    <row r="33" spans="1:7">
      <c r="A33" t="s">
        <v>32</v>
      </c>
      <c r="B33" s="5">
        <f>B12</f>
        <v>0</v>
      </c>
    </row>
    <row r="34" spans="1:7">
      <c r="A34" t="s">
        <v>33</v>
      </c>
      <c r="B34" s="5">
        <f>B32-B33</f>
        <v>0</v>
      </c>
    </row>
    <row r="35" spans="1:7">
      <c r="A35" s="8" t="s">
        <v>34</v>
      </c>
      <c r="B35" s="9">
        <f>B34/B7</f>
        <v>0</v>
      </c>
    </row>
    <row r="36" spans="1:7">
      <c r="A36" s="8" t="s">
        <v>35</v>
      </c>
      <c r="B36" s="10">
        <f>B35*B6*B8</f>
        <v>0</v>
      </c>
    </row>
    <row r="38" spans="1:7">
      <c r="A38" s="3" t="s">
        <v>36</v>
      </c>
    </row>
    <row r="39" spans="1:7">
      <c r="A39" t="s">
        <v>37</v>
      </c>
      <c r="B39" s="11">
        <f>B30/B7</f>
        <v>0</v>
      </c>
    </row>
    <row r="40" spans="1:7">
      <c r="A40" t="s">
        <v>38</v>
      </c>
      <c r="B40" s="12">
        <f>B39*B6*B8</f>
        <v>0</v>
      </c>
    </row>
    <row r="41" spans="1:7">
      <c r="A41" t="s">
        <v>39</v>
      </c>
      <c r="B41" s="10">
        <f>B40/(1.15^5)</f>
        <v>0</v>
      </c>
    </row>
    <row r="43" spans="1:7">
      <c r="A43" t="s">
        <v>40</v>
      </c>
      <c r="B43" s="13">
        <f>(B36-B5)/B5</f>
        <v>0</v>
      </c>
    </row>
    <row r="44" spans="1:7">
      <c r="A44" t="s">
        <v>41</v>
      </c>
      <c r="B44" s="13">
        <f>(B5-B41)/B5</f>
        <v>0</v>
      </c>
    </row>
    <row r="46" spans="1:7">
      <c r="A46" s="8" t="s">
        <v>42</v>
      </c>
    </row>
    <row r="47" spans="1:7">
      <c r="A47" s="14" t="s">
        <v>43</v>
      </c>
      <c r="B47" s="14"/>
      <c r="C47" s="14"/>
      <c r="D47" s="14"/>
      <c r="E47" s="14"/>
      <c r="F47" s="14"/>
      <c r="G47" s="14"/>
    </row>
    <row r="48" spans="1:7">
      <c r="A48" s="14" t="s">
        <v>44</v>
      </c>
      <c r="B48" s="14"/>
      <c r="C48" s="14"/>
      <c r="D48" s="14"/>
      <c r="E48" s="14"/>
      <c r="F48" s="14"/>
      <c r="G48" s="14"/>
    </row>
  </sheetData>
  <mergeCells count="2">
    <mergeCell ref="A47:G47"/>
    <mergeCell ref="A48:G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30.7109375" customWidth="1"/>
    <col min="2" max="8" width="14.7109375" customWidth="1"/>
  </cols>
  <sheetData>
    <row r="1" spans="1:6">
      <c r="A1" s="1" t="s">
        <v>45</v>
      </c>
    </row>
    <row r="2" spans="1:6">
      <c r="A2" s="2" t="s">
        <v>46</v>
      </c>
    </row>
    <row r="4" spans="1:6">
      <c r="A4" s="7"/>
      <c r="B4" s="7" t="s">
        <v>47</v>
      </c>
      <c r="C4" s="7" t="s">
        <v>48</v>
      </c>
      <c r="D4" s="7"/>
      <c r="F4" s="7" t="s">
        <v>49</v>
      </c>
    </row>
    <row r="5" spans="1:6">
      <c r="A5" t="s">
        <v>12</v>
      </c>
      <c r="B5" s="13">
        <v>0.105</v>
      </c>
      <c r="C5" s="13">
        <v>0.09</v>
      </c>
      <c r="F5" s="13">
        <v>0.125</v>
      </c>
    </row>
    <row r="6" spans="1:6">
      <c r="A6" t="s">
        <v>50</v>
      </c>
      <c r="B6" s="13">
        <v>0.03</v>
      </c>
      <c r="C6" s="13">
        <v>0.035</v>
      </c>
      <c r="F6" s="13">
        <v>0.025</v>
      </c>
    </row>
    <row r="8" spans="1:6">
      <c r="A8" s="8" t="s">
        <v>51</v>
      </c>
    </row>
    <row r="9" spans="1:6">
      <c r="B9" s="13">
        <v>0.2</v>
      </c>
      <c r="C9" s="13">
        <v>0.17</v>
      </c>
      <c r="D9" s="13">
        <v>0.15</v>
      </c>
      <c r="E9" s="13">
        <v>0.13</v>
      </c>
      <c r="F9" s="13">
        <v>0.115</v>
      </c>
    </row>
    <row r="10" spans="1:6">
      <c r="B10" s="13">
        <v>0.24</v>
      </c>
      <c r="C10" s="13">
        <v>0.23</v>
      </c>
      <c r="D10" s="13">
        <v>0.21</v>
      </c>
      <c r="E10" s="13">
        <v>0.19</v>
      </c>
      <c r="F10" s="13">
        <v>0.17</v>
      </c>
    </row>
    <row r="11" spans="1:6">
      <c r="B11" s="13">
        <v>0.13</v>
      </c>
      <c r="C11" s="13">
        <v>0.13</v>
      </c>
      <c r="D11" s="13">
        <v>0.12</v>
      </c>
      <c r="E11" s="13">
        <v>0.11</v>
      </c>
      <c r="F11" s="13">
        <v>0.1</v>
      </c>
    </row>
    <row r="13" spans="1:6">
      <c r="A13" s="3" t="s">
        <v>53</v>
      </c>
    </row>
    <row r="14" spans="1:6">
      <c r="A14" s="7" t="s">
        <v>54</v>
      </c>
      <c r="B14" s="7" t="s">
        <v>55</v>
      </c>
      <c r="C14" s="7" t="s">
        <v>56</v>
      </c>
    </row>
    <row r="15" spans="1:6">
      <c r="A15" t="s">
        <v>48</v>
      </c>
      <c r="B15" s="12">
        <v>16.85</v>
      </c>
      <c r="C15" s="13">
        <f>(B15-9.45)/9.45</f>
        <v>0</v>
      </c>
    </row>
    <row r="16" spans="1:6">
      <c r="A16" t="s">
        <v>52</v>
      </c>
      <c r="B16" s="12">
        <v>10.7</v>
      </c>
      <c r="C16" s="13">
        <f>(B16-9.45)/9.45</f>
        <v>0</v>
      </c>
    </row>
    <row r="17" spans="1:3">
      <c r="A17" t="s">
        <v>49</v>
      </c>
      <c r="B17" s="12">
        <v>7.58</v>
      </c>
      <c r="C17" s="13">
        <f>(B17-9.45)/9.45</f>
        <v>0</v>
      </c>
    </row>
    <row r="19" spans="1:3">
      <c r="A19" s="8" t="s">
        <v>57</v>
      </c>
      <c r="B19" s="10">
        <f>0.25*B15+0.50*B16+0.25*B17</f>
        <v>0</v>
      </c>
    </row>
    <row r="20" spans="1:3">
      <c r="A20" s="1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7">
      <c r="A1" s="1" t="s">
        <v>59</v>
      </c>
    </row>
    <row r="2" spans="1:7">
      <c r="A2" t="s">
        <v>60</v>
      </c>
    </row>
    <row r="4" spans="1:7">
      <c r="A4" s="7" t="s">
        <v>61</v>
      </c>
      <c r="B4" s="15">
        <v>0.02</v>
      </c>
      <c r="C4" s="15">
        <v>0.025</v>
      </c>
      <c r="D4" s="15">
        <v>0.03</v>
      </c>
      <c r="E4" s="15">
        <v>0.035</v>
      </c>
      <c r="F4" s="15">
        <v>0.04</v>
      </c>
    </row>
    <row r="5" spans="1:7">
      <c r="A5" s="15">
        <v>0.08500000000000001</v>
      </c>
      <c r="B5" s="12">
        <f>('DCF Model'!$B$13*(1+'DCF Model'!$B$19)*(1+'DCF Model'!$C$19)*(1+'DCF Model'!$D$19)*(1+'DCF Model'!$E$19)*(1+'DCF Model'!$F$19)*(1+0.02)/(0.085-0.02))/(1+0.085)^5/'DCF Model'!$B$7*'DCF Model'!$B$6*'DCF Model'!$B$8</f>
        <v>0</v>
      </c>
      <c r="C5" s="12">
        <f>('DCF Model'!$B$13*(1+'DCF Model'!$B$19)*(1+'DCF Model'!$C$19)*(1+'DCF Model'!$D$19)*(1+'DCF Model'!$E$19)*(1+'DCF Model'!$F$19)*(1+0.025)/(0.085-0.025))/(1+0.085)^5/'DCF Model'!$B$7*'DCF Model'!$B$6*'DCF Model'!$B$8</f>
        <v>0</v>
      </c>
      <c r="D5" s="12">
        <f>('DCF Model'!$B$13*(1+'DCF Model'!$B$19)*(1+'DCF Model'!$C$19)*(1+'DCF Model'!$D$19)*(1+'DCF Model'!$E$19)*(1+'DCF Model'!$F$19)*(1+0.03)/(0.085-0.03))/(1+0.085)^5/'DCF Model'!$B$7*'DCF Model'!$B$6*'DCF Model'!$B$8</f>
        <v>0</v>
      </c>
      <c r="E5" s="12">
        <f>('DCF Model'!$B$13*(1+'DCF Model'!$B$19)*(1+'DCF Model'!$C$19)*(1+'DCF Model'!$D$19)*(1+'DCF Model'!$E$19)*(1+'DCF Model'!$F$19)*(1+0.035)/(0.085-0.035))/(1+0.085)^5/'DCF Model'!$B$7*'DCF Model'!$B$6*'DCF Model'!$B$8</f>
        <v>0</v>
      </c>
      <c r="F5" s="12">
        <f>('DCF Model'!$B$13*(1+'DCF Model'!$B$19)*(1+'DCF Model'!$C$19)*(1+'DCF Model'!$D$19)*(1+'DCF Model'!$E$19)*(1+'DCF Model'!$F$19)*(1+0.04)/(0.085-0.04))/(1+0.085)^5/'DCF Model'!$B$7*'DCF Model'!$B$6*'DCF Model'!$B$8</f>
        <v>0</v>
      </c>
    </row>
    <row r="6" spans="1:7">
      <c r="A6" s="15">
        <v>0.095</v>
      </c>
      <c r="B6" s="12">
        <f>('DCF Model'!$B$13*(1+'DCF Model'!$B$19)*(1+'DCF Model'!$C$19)*(1+'DCF Model'!$D$19)*(1+'DCF Model'!$E$19)*(1+'DCF Model'!$F$19)*(1+0.02)/(0.095-0.02))/(1+0.095)^5/'DCF Model'!$B$7*'DCF Model'!$B$6*'DCF Model'!$B$8</f>
        <v>0</v>
      </c>
      <c r="C6" s="12">
        <f>('DCF Model'!$B$13*(1+'DCF Model'!$B$19)*(1+'DCF Model'!$C$19)*(1+'DCF Model'!$D$19)*(1+'DCF Model'!$E$19)*(1+'DCF Model'!$F$19)*(1+0.025)/(0.095-0.025))/(1+0.095)^5/'DCF Model'!$B$7*'DCF Model'!$B$6*'DCF Model'!$B$8</f>
        <v>0</v>
      </c>
      <c r="D6" s="12">
        <f>('DCF Model'!$B$13*(1+'DCF Model'!$B$19)*(1+'DCF Model'!$C$19)*(1+'DCF Model'!$D$19)*(1+'DCF Model'!$E$19)*(1+'DCF Model'!$F$19)*(1+0.03)/(0.095-0.03))/(1+0.095)^5/'DCF Model'!$B$7*'DCF Model'!$B$6*'DCF Model'!$B$8</f>
        <v>0</v>
      </c>
      <c r="E6" s="12">
        <f>('DCF Model'!$B$13*(1+'DCF Model'!$B$19)*(1+'DCF Model'!$C$19)*(1+'DCF Model'!$D$19)*(1+'DCF Model'!$E$19)*(1+'DCF Model'!$F$19)*(1+0.035)/(0.095-0.035))/(1+0.095)^5/'DCF Model'!$B$7*'DCF Model'!$B$6*'DCF Model'!$B$8</f>
        <v>0</v>
      </c>
      <c r="F6" s="12">
        <f>('DCF Model'!$B$13*(1+'DCF Model'!$B$19)*(1+'DCF Model'!$C$19)*(1+'DCF Model'!$D$19)*(1+'DCF Model'!$E$19)*(1+'DCF Model'!$F$19)*(1+0.04)/(0.095-0.04))/(1+0.095)^5/'DCF Model'!$B$7*'DCF Model'!$B$6*'DCF Model'!$B$8</f>
        <v>0</v>
      </c>
    </row>
    <row r="7" spans="1:7">
      <c r="A7" s="15">
        <v>0.105</v>
      </c>
      <c r="B7" s="12">
        <f>('DCF Model'!$B$13*(1+'DCF Model'!$B$19)*(1+'DCF Model'!$C$19)*(1+'DCF Model'!$D$19)*(1+'DCF Model'!$E$19)*(1+'DCF Model'!$F$19)*(1+0.02)/(0.105-0.02))/(1+0.105)^5/'DCF Model'!$B$7*'DCF Model'!$B$6*'DCF Model'!$B$8</f>
        <v>0</v>
      </c>
      <c r="C7" s="12">
        <f>('DCF Model'!$B$13*(1+'DCF Model'!$B$19)*(1+'DCF Model'!$C$19)*(1+'DCF Model'!$D$19)*(1+'DCF Model'!$E$19)*(1+'DCF Model'!$F$19)*(1+0.025)/(0.105-0.025))/(1+0.105)^5/'DCF Model'!$B$7*'DCF Model'!$B$6*'DCF Model'!$B$8</f>
        <v>0</v>
      </c>
      <c r="D7" s="12">
        <f>('DCF Model'!$B$13*(1+'DCF Model'!$B$19)*(1+'DCF Model'!$C$19)*(1+'DCF Model'!$D$19)*(1+'DCF Model'!$E$19)*(1+'DCF Model'!$F$19)*(1+0.03)/(0.105-0.03))/(1+0.105)^5/'DCF Model'!$B$7*'DCF Model'!$B$6*'DCF Model'!$B$8</f>
        <v>0</v>
      </c>
      <c r="E7" s="12">
        <f>('DCF Model'!$B$13*(1+'DCF Model'!$B$19)*(1+'DCF Model'!$C$19)*(1+'DCF Model'!$D$19)*(1+'DCF Model'!$E$19)*(1+'DCF Model'!$F$19)*(1+0.035)/(0.105-0.035))/(1+0.105)^5/'DCF Model'!$B$7*'DCF Model'!$B$6*'DCF Model'!$B$8</f>
        <v>0</v>
      </c>
      <c r="F7" s="12">
        <f>('DCF Model'!$B$13*(1+'DCF Model'!$B$19)*(1+'DCF Model'!$C$19)*(1+'DCF Model'!$D$19)*(1+'DCF Model'!$E$19)*(1+'DCF Model'!$F$19)*(1+0.04)/(0.105-0.04))/(1+0.105)^5/'DCF Model'!$B$7*'DCF Model'!$B$6*'DCF Model'!$B$8</f>
        <v>0</v>
      </c>
    </row>
    <row r="8" spans="1:7">
      <c r="A8" s="15">
        <v>0.115</v>
      </c>
      <c r="B8" s="12">
        <f>('DCF Model'!$B$13*(1+'DCF Model'!$B$19)*(1+'DCF Model'!$C$19)*(1+'DCF Model'!$D$19)*(1+'DCF Model'!$E$19)*(1+'DCF Model'!$F$19)*(1+0.02)/(0.115-0.02))/(1+0.115)^5/'DCF Model'!$B$7*'DCF Model'!$B$6*'DCF Model'!$B$8</f>
        <v>0</v>
      </c>
      <c r="C8" s="12">
        <f>('DCF Model'!$B$13*(1+'DCF Model'!$B$19)*(1+'DCF Model'!$C$19)*(1+'DCF Model'!$D$19)*(1+'DCF Model'!$E$19)*(1+'DCF Model'!$F$19)*(1+0.025)/(0.115-0.025))/(1+0.115)^5/'DCF Model'!$B$7*'DCF Model'!$B$6*'DCF Model'!$B$8</f>
        <v>0</v>
      </c>
      <c r="D8" s="12">
        <f>('DCF Model'!$B$13*(1+'DCF Model'!$B$19)*(1+'DCF Model'!$C$19)*(1+'DCF Model'!$D$19)*(1+'DCF Model'!$E$19)*(1+'DCF Model'!$F$19)*(1+0.03)/(0.115-0.03))/(1+0.115)^5/'DCF Model'!$B$7*'DCF Model'!$B$6*'DCF Model'!$B$8</f>
        <v>0</v>
      </c>
      <c r="E8" s="12">
        <f>('DCF Model'!$B$13*(1+'DCF Model'!$B$19)*(1+'DCF Model'!$C$19)*(1+'DCF Model'!$D$19)*(1+'DCF Model'!$E$19)*(1+'DCF Model'!$F$19)*(1+0.035)/(0.115-0.035))/(1+0.115)^5/'DCF Model'!$B$7*'DCF Model'!$B$6*'DCF Model'!$B$8</f>
        <v>0</v>
      </c>
      <c r="F8" s="12">
        <f>('DCF Model'!$B$13*(1+'DCF Model'!$B$19)*(1+'DCF Model'!$C$19)*(1+'DCF Model'!$D$19)*(1+'DCF Model'!$E$19)*(1+'DCF Model'!$F$19)*(1+0.04)/(0.115-0.04))/(1+0.115)^5/'DCF Model'!$B$7*'DCF Model'!$B$6*'DCF Model'!$B$8</f>
        <v>0</v>
      </c>
    </row>
    <row r="9" spans="1:7">
      <c r="A9" s="15">
        <v>0.125</v>
      </c>
      <c r="B9" s="12">
        <f>('DCF Model'!$B$13*(1+'DCF Model'!$B$19)*(1+'DCF Model'!$C$19)*(1+'DCF Model'!$D$19)*(1+'DCF Model'!$E$19)*(1+'DCF Model'!$F$19)*(1+0.02)/(0.125-0.02))/(1+0.125)^5/'DCF Model'!$B$7*'DCF Model'!$B$6*'DCF Model'!$B$8</f>
        <v>0</v>
      </c>
      <c r="C9" s="12">
        <f>('DCF Model'!$B$13*(1+'DCF Model'!$B$19)*(1+'DCF Model'!$C$19)*(1+'DCF Model'!$D$19)*(1+'DCF Model'!$E$19)*(1+'DCF Model'!$F$19)*(1+0.025)/(0.125-0.025))/(1+0.125)^5/'DCF Model'!$B$7*'DCF Model'!$B$6*'DCF Model'!$B$8</f>
        <v>0</v>
      </c>
      <c r="D9" s="12">
        <f>('DCF Model'!$B$13*(1+'DCF Model'!$B$19)*(1+'DCF Model'!$C$19)*(1+'DCF Model'!$D$19)*(1+'DCF Model'!$E$19)*(1+'DCF Model'!$F$19)*(1+0.03)/(0.125-0.03))/(1+0.125)^5/'DCF Model'!$B$7*'DCF Model'!$B$6*'DCF Model'!$B$8</f>
        <v>0</v>
      </c>
      <c r="E9" s="12">
        <f>('DCF Model'!$B$13*(1+'DCF Model'!$B$19)*(1+'DCF Model'!$C$19)*(1+'DCF Model'!$D$19)*(1+'DCF Model'!$E$19)*(1+'DCF Model'!$F$19)*(1+0.035)/(0.125-0.035))/(1+0.125)^5/'DCF Model'!$B$7*'DCF Model'!$B$6*'DCF Model'!$B$8</f>
        <v>0</v>
      </c>
      <c r="F9" s="12">
        <f>('DCF Model'!$B$13*(1+'DCF Model'!$B$19)*(1+'DCF Model'!$C$19)*(1+'DCF Model'!$D$19)*(1+'DCF Model'!$E$19)*(1+'DCF Model'!$F$19)*(1+0.04)/(0.125-0.04))/(1+0.125)^5/'DCF Model'!$B$7*'DCF Model'!$B$6*'DCF Model'!$B$8</f>
        <v>0</v>
      </c>
    </row>
    <row r="11" spans="1:7">
      <c r="A11" s="14" t="s">
        <v>62</v>
      </c>
      <c r="B11" s="14"/>
      <c r="C11" s="14"/>
      <c r="D11" s="14"/>
      <c r="E11" s="14"/>
      <c r="F11" s="14"/>
      <c r="G11" s="14"/>
    </row>
  </sheetData>
  <mergeCells count="1">
    <mergeCell ref="A11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22.7109375" customWidth="1"/>
    <col min="2" max="3" width="15.7109375" customWidth="1"/>
  </cols>
  <sheetData>
    <row r="1" spans="1:4">
      <c r="A1" s="1" t="s">
        <v>63</v>
      </c>
    </row>
    <row r="3" spans="1:4">
      <c r="A3" s="7" t="s">
        <v>64</v>
      </c>
      <c r="B3" s="7" t="s">
        <v>65</v>
      </c>
      <c r="C3" s="7" t="s">
        <v>66</v>
      </c>
    </row>
    <row r="4" spans="1:4">
      <c r="A4" t="s">
        <v>67</v>
      </c>
      <c r="B4" s="13">
        <v>0.211</v>
      </c>
      <c r="C4" s="13">
        <v>0.281</v>
      </c>
    </row>
    <row r="5" spans="1:4">
      <c r="A5" t="s">
        <v>68</v>
      </c>
      <c r="B5" s="13">
        <v>0.196</v>
      </c>
      <c r="C5" s="13">
        <v>0.254</v>
      </c>
    </row>
    <row r="6" spans="1:4">
      <c r="A6" t="s">
        <v>69</v>
      </c>
      <c r="B6" s="13">
        <v>0.299</v>
      </c>
      <c r="C6" s="13">
        <v>0.341</v>
      </c>
    </row>
    <row r="7" spans="1:4">
      <c r="A7" t="s">
        <v>70</v>
      </c>
      <c r="B7" s="13">
        <v>0.212</v>
      </c>
      <c r="C7" s="13">
        <v>0.256</v>
      </c>
    </row>
    <row r="9" spans="1:4">
      <c r="A9" s="8" t="s">
        <v>71</v>
      </c>
      <c r="B9" s="13">
        <v>0.211</v>
      </c>
    </row>
    <row r="10" spans="1:4">
      <c r="A10" t="s">
        <v>72</v>
      </c>
      <c r="B10" t="s">
        <v>73</v>
      </c>
    </row>
    <row r="12" spans="1:4">
      <c r="A12" s="8" t="s">
        <v>74</v>
      </c>
    </row>
    <row r="13" spans="1:4">
      <c r="A13" s="14" t="s">
        <v>75</v>
      </c>
      <c r="B13" s="14"/>
      <c r="C13" s="14"/>
      <c r="D13" s="14"/>
    </row>
    <row r="14" spans="1:4">
      <c r="A14" s="14"/>
      <c r="B14" s="14"/>
      <c r="C14" s="14"/>
      <c r="D14" s="14"/>
    </row>
    <row r="15" spans="1:4">
      <c r="A15" s="14"/>
      <c r="B15" s="14"/>
      <c r="C15" s="14"/>
      <c r="D15" s="14"/>
    </row>
    <row r="16" spans="1:4">
      <c r="A16" s="14"/>
      <c r="B16" s="14"/>
      <c r="C16" s="14"/>
      <c r="D16" s="14"/>
    </row>
  </sheetData>
  <mergeCells count="1">
    <mergeCell ref="A13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Scenarios</vt:lpstr>
      <vt:lpstr>Sensitivity</vt:lpstr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2026-07-18T00:10:01Z</dcterms:created>
  <dcterms:modified xsi:type="dcterms:W3CDTF">2026-07-18T00:10:01Z</dcterms:modified>
</cp:coreProperties>
</file>