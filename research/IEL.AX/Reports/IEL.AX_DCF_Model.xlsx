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<sst xmlns="http://schemas.openxmlformats.org/spreadsheetml/2006/main" count="370" uniqueCount="171">
  <si>
    <t xml:space="preserve">Ticker</t>
  </si>
  <si>
    <t xml:space="preserve">IEL.AX</t>
  </si>
  <si>
    <t xml:space="preserve">Company</t>
  </si>
  <si>
    <t xml:space="preserve">IDP Education Limited</t>
  </si>
  <si>
    <t xml:space="preserve">Valuation date</t>
  </si>
  <si>
    <t xml:space="preserve">2026-09-23</t>
  </si>
  <si>
    <t xml:space="preserve">Current price</t>
  </si>
  <si>
    <t xml:space="preserve">Price as of</t>
  </si>
  <si>
    <t xml:space="preserve">2026-09-23T02:26:31Z regular session (ASX)</t>
  </si>
  <si>
    <t xml:space="preserve">Balance sheet date</t>
  </si>
  <si>
    <t xml:space="preserve">2026-06-30</t>
  </si>
  <si>
    <t xml:space="preserve">Model</t>
  </si>
  <si>
    <t xml:space="preserve">owner_fcf_dcf_component</t>
  </si>
  <si>
    <t xml:space="preserve">Currency (model)</t>
  </si>
  <si>
    <t xml:space="preserve">AUD</t>
  </si>
  <si>
    <t xml:space="preserve">Currency (quote)</t>
  </si>
  <si>
    <t xml:space="preserve">Units</t>
  </si>
  <si>
    <t xml:space="preserve">millions</t>
  </si>
  <si>
    <t xml:space="preserve">Engine</t>
  </si>
  <si>
    <t xml:space="preserve">dcf_engine v1</t>
  </si>
  <si>
    <t xml:space="preserve">Built at</t>
  </si>
  <si>
    <t xml:space="preserve">2026-09-23T02:52:39Z</t>
  </si>
  <si>
    <t xml:space="preserve">Drivers file</t>
  </si>
  <si>
    <t xml:space="preserve">IEL.AX_Drivers.json</t>
  </si>
  <si>
    <t xml:space="preserve">Convention</t>
  </si>
  <si>
    <t xml:space="preserve">Percents stored as percents; formulas divide by 100. Blue = input, green = link, black = formula.</t>
  </si>
  <si>
    <t xml:space="preserve">Methodology</t>
  </si>
  <si>
    <t xml:space="preserve">summary: Mid-cycle owner-FCF DCF on a business at a policy-driven trough. The valuation does not extrapolate the FY26 decline or the FY22-24 boom; it charges restructuring as cash, deducts the full IFRS-16 lease charge, holds the count flat with SBC expensed, uses one AUD WACC across scenarios (risk lives in the flows and the 30% bear weight), and caps the terminal multiple at 15x owner FCF for a cyclical. The market price at ~3.8x FY26 adjusted EBITDA and ~10x adjusted EPS is pricing something close to the bear path; the question the model answers is what the equity is worth if IELTS co-ownership and the placement network survive the cycle at a lower margin than the peak.
key_risks_to_valuation: Visa/migration policy in Australia, Canada, UK and US does not normalise - the base case assumes recovery begins FY28; each additional year of decline is worth roughly $0.30-0.40/share; IELTS loses acceptance to PTE / Duolingo English Test faster than assumed (India Language Testing revenue -24% in FY26); the 24% mid-cycle margin assumes IELTS pricing holds; Transformation costs recur beyond FY29 (FY25 $7.6m, FY26 $36.2m, FY27 ~$40m): the base case tapers them out by FY29; Yield growth that cushioned FY26 (placement fee +10%) may reflect mix, not pricing power, and could reverse as volumes recover; FX: revenue in ~50 currencies, $21.3m FY26 translation headwind; AUD strength lowers AUD revenue and margin; Cash in FX-controlled jurisdictions and credit-loss provisions ($6.0m FY26, $15.1m FY25) recur; not haircut in the bridge</t>
  </si>
  <si>
    <t xml:space="preserve">Data sources</t>
  </si>
  <si>
    <t xml:space="preserve">price: Yahoo Finance chart API at inputs.price_as_of; 52-week range 1.49-6.735 AUD
financials: IEL.AX_Metrics.csv / core_metrics (FY2015-FY2026 annual, H1 FY2016-H1 FY2026); FY2026 Annual Report (research/IEL.AX/Extracted/IEL.AX_Annual_FY2026.txt) for the significant-items reconciliation (p.23), net debt definition, ROU depreciation (note 4.2), lease cash (cash flow statement), diluted share count (note 7) and buy-back note; FY2025 restated comparatives from the same report
qualitative: IEL.AX_Analysis.json (2026-09-23): FY27 guidance, transformation program, volume declines, competitive threats, bull/bear axes</t>
  </si>
  <si>
    <t xml:space="preserve">Scenario narrative: bear</t>
  </si>
  <si>
    <t xml:space="preserve">Structural decline: permanent caps, IELTS share loss to PTE/Duolingo, agent disintermediation. Revenue bottoms ~$645m in FY29 and grows 2%; margin capped at 20%. The company remains cash-generative and solvent (net debt/EBITDA stays &lt;1.5x), so this is a value-erosion bear, not a solvency bear.</t>
  </si>
  <si>
    <t xml:space="preserve">Scenario narrative: base</t>
  </si>
  <si>
    <t xml:space="preserve">Trough in FY27, gradual policy normalisation from FY28, mid-cycle 23% EBITDA margin by FY31, revenue back to the FY24 nominal peak only by FY36. Transformation spend charged as real cash. This is the 'IDP survives the policy cycle as the scale leader with a leaner cost base' path.</t>
  </si>
  <si>
    <t xml:space="preserve">Scenario narrative: bull</t>
  </si>
  <si>
    <t xml:space="preserve">Policy turns early (FY28), share gains from failed competitors, China IELTS and new destinations compound, margins recover to ~26% by FY31, just under the FY24 level. Buy-back accretion at ~A$2 is additional upside not in the number.</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</si>
  <si>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</si>
  <si>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</si>
  <si>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</si>
  <si>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</si>
  <si>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</si>
  <si>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</si>
  <si>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</si>
  <si>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</si>
  <si>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</si>
  <si>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</si>
  <si>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</si>
  <si>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</si>
  <si>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</si>
  <si>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</si>
  <si>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</si>
  <si>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</si>
  <si>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</si>
  <si>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</si>
  <si>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</si>
  <si>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</si>
  <si>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</si>
  <si>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</si>
  <si>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</si>
  <si>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</si>
  <si>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</si>
  <si>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</si>
  <si>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</si>
  <si>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CapexPPE</t>
  </si>
  <si>
    <t xml:space="preserve">CapitalisedDevelopmentCosts</t>
  </si>
  <si>
    <t xml:space="preserve">CashTaxRate</t>
  </si>
  <si>
    <t xml:space="preserve">LeasePrincipalPaid</t>
  </si>
  <si>
    <t xml:space="preserve">OtherRevenue</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</si>
  <si>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</si>
  <si>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</si>
  <si>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</si>
  <si>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</si>
  <si>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</si>
  <si>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</si>
  <si>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</si>
  <si>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</si>
  <si>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</si>
  <si>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</si>
  <si>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</si>
  <si>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</si>
  <si>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</si>
  <si>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</si>
  <si>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</si>
  <si>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</si>
  <si>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</si>
  <si>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</si>
  <si>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</si>
  <si>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</si>
  <si>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</si>
  <si>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</si>
  <si>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AUD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</si>
  <si>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</si>
  <si>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</si>
  <si>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</si>
  <si>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</si>
  <si>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</si>
  <si>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</si>
  <si>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</si>
  <si>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</si>
  <si>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</si>
  <si>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</si>
  <si>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</si>
  <si>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</si>
  <si>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</si>
  <si>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</si>
  <si>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</si>
  <si>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</si>
  <si>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</si>
  <si>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</si>
  <si>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</si>
  <si>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</si>
  <si>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</si>
  <si>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</si>
  <si>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</si>
  <si>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</si>
  <si>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</si>
  <si>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</si>
  <si>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IEL.AX owner-FCF component DCF: bear case (millions, AUD)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</si>
  <si>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</si>
  <si>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</si>
  <si>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</si>
  <si>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</si>
  <si>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</si>
  <si>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</si>
  <si>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</si>
  <si>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</si>
  <si>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</si>
  <si>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</si>
  <si>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</si>
  <si>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</si>
  <si>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</si>
  <si>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</si>
  <si>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</si>
  <si>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</si>
  <si>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</si>
  <si>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</si>
  <si>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</si>
  <si>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</si>
  <si>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</si>
  <si>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</si>
  <si>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</si>
  <si>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</si>
  <si>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</si>
  <si>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</si>
  <si>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</si>
  <si>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</si>
  <si>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</si>
  <si>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</si>
  <si>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IEL.AX owner-FCF component DCF: base case (millions, AUD)</t>
  </si>
  <si>
    <t xml:space="preserve">IEL.AX owner-FCF component DCF: bull case (millions, AUD)</t>
  </si>
  <si>
    <t xml:space="preserve">IEL.AX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</si>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</sst>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row>
    <row r="2" customFormat="false" ht="15" hidden="false" customHeight="false" outlineLevel="0" collapsed="false">
      <c r="A2" s="0" t="s">
        <v>68</v>
      </c>
      <c r="B2" s="0" t="n">
        <v>309.865</v>
      </c>
      <c r="F2" s="0" t="n">
        <v>45.15</v>
      </c>
      <c r="G2" s="0" t="n">
        <v>14.6</v>
      </c>
      <c r="H2" s="0" t="n">
        <v>51.779</v>
      </c>
      <c r="I2" s="0" t="n">
        <v>31.476</v>
      </c>
      <c r="J2" s="0" t="n">
        <v>10.2</v>
      </c>
      <c r="K2" s="0" t="n">
        <v>0.1248</v>
      </c>
      <c r="L2" s="0" t="n">
        <v>44.493</v>
      </c>
      <c r="O2" s="0" t="n">
        <v>91.435</v>
      </c>
      <c r="P2" s="0" t="n">
        <v>165.352</v>
      </c>
      <c r="Q2" s="0" t="n">
        <v>73.917</v>
      </c>
      <c r="S2" s="0" t="n">
        <v>51.184</v>
      </c>
      <c r="T2" s="0" t="n">
        <v>252.132518</v>
      </c>
      <c r="AA2" s="0" t="s">
        <v>17</v>
      </c>
      <c r="AB2" s="0" t="s">
        <v>14</v>
      </c>
    </row>
    <row r="3" customFormat="false" ht="15" hidden="false" customHeight="false" outlineLevel="0" collapsed="false">
      <c r="A3" s="0" t="s">
        <v>69</v>
      </c>
      <c r="B3" s="0" t="n">
        <v>361.636</v>
      </c>
      <c r="F3" s="0" t="n">
        <v>53.664</v>
      </c>
      <c r="G3" s="0" t="n">
        <v>14.8</v>
      </c>
      <c r="H3" s="0" t="n">
        <v>61.061</v>
      </c>
      <c r="I3" s="0" t="n">
        <v>39.914</v>
      </c>
      <c r="J3" s="0" t="n">
        <v>11</v>
      </c>
      <c r="K3" s="0" t="n">
        <v>0.156</v>
      </c>
      <c r="L3" s="0" t="n">
        <v>43.842</v>
      </c>
      <c r="M3" s="0" t="n">
        <v>9.166</v>
      </c>
      <c r="N3" s="0" t="n">
        <v>34.676</v>
      </c>
      <c r="O3" s="0" t="n">
        <v>79.318</v>
      </c>
      <c r="P3" s="0" t="n">
        <v>154.076</v>
      </c>
      <c r="Q3" s="0" t="n">
        <v>74.758</v>
      </c>
      <c r="R3" s="0" t="n">
        <v>0</v>
      </c>
      <c r="S3" s="0" t="n">
        <v>35.353</v>
      </c>
      <c r="T3" s="0" t="n">
        <v>255.798899</v>
      </c>
      <c r="U3" s="0" t="n">
        <v>2.087</v>
      </c>
      <c r="AA3" s="0" t="s">
        <v>17</v>
      </c>
      <c r="AB3" s="0" t="s">
        <v>14</v>
      </c>
      <c r="AE3" s="0" t="n">
        <v>31.6</v>
      </c>
    </row>
    <row r="4" customFormat="false" ht="15" hidden="false" customHeight="false" outlineLevel="0" collapsed="false">
      <c r="A4" s="0" t="s">
        <v>70</v>
      </c>
      <c r="B4" s="0" t="n">
        <v>394.187</v>
      </c>
      <c r="F4" s="0" t="n">
        <v>61.224</v>
      </c>
      <c r="G4" s="0" t="n">
        <v>15.5</v>
      </c>
      <c r="H4" s="0" t="n">
        <v>68.365</v>
      </c>
      <c r="I4" s="0" t="n">
        <v>41.511</v>
      </c>
      <c r="J4" s="0" t="n">
        <v>10.5</v>
      </c>
      <c r="K4" s="0" t="n">
        <v>0.162</v>
      </c>
      <c r="L4" s="0" t="n">
        <v>58.811</v>
      </c>
      <c r="M4" s="0" t="n">
        <v>15.666</v>
      </c>
      <c r="N4" s="0" t="n">
        <v>43.145</v>
      </c>
      <c r="O4" s="0" t="n">
        <v>88.803</v>
      </c>
      <c r="P4" s="0" t="n">
        <v>239.848</v>
      </c>
      <c r="Q4" s="0" t="n">
        <v>151.045</v>
      </c>
      <c r="R4" s="0" t="n">
        <v>39.108</v>
      </c>
      <c r="S4" s="0" t="n">
        <v>41.958</v>
      </c>
      <c r="T4" s="0" t="n">
        <v>256.220258</v>
      </c>
      <c r="U4" s="0" t="n">
        <v>2.765</v>
      </c>
      <c r="AA4" s="0" t="s">
        <v>17</v>
      </c>
      <c r="AB4" s="0" t="s">
        <v>14</v>
      </c>
      <c r="AE4" s="0" t="n">
        <v>30.8</v>
      </c>
    </row>
    <row r="5" customFormat="false" ht="15" hidden="false" customHeight="false" outlineLevel="0" collapsed="false">
      <c r="A5" s="0" t="s">
        <v>71</v>
      </c>
      <c r="B5" s="0" t="n">
        <v>487.155</v>
      </c>
      <c r="F5" s="0" t="n">
        <v>75.924</v>
      </c>
      <c r="G5" s="0" t="n">
        <v>15.6</v>
      </c>
      <c r="H5" s="0" t="n">
        <v>89.038</v>
      </c>
      <c r="I5" s="0" t="n">
        <v>51.524</v>
      </c>
      <c r="J5" s="0" t="n">
        <v>10.6</v>
      </c>
      <c r="K5" s="0" t="n">
        <v>0.2014</v>
      </c>
      <c r="L5" s="0" t="n">
        <v>74.534</v>
      </c>
      <c r="M5" s="0" t="n">
        <v>28.488</v>
      </c>
      <c r="N5" s="0" t="n">
        <v>46.046</v>
      </c>
      <c r="O5" s="0" t="n">
        <v>101.286</v>
      </c>
      <c r="P5" s="0" t="n">
        <v>288.848</v>
      </c>
      <c r="Q5" s="0" t="n">
        <v>187.562</v>
      </c>
      <c r="R5" s="0" t="n">
        <v>63.928</v>
      </c>
      <c r="S5" s="0" t="n">
        <v>48.809</v>
      </c>
      <c r="T5" s="0" t="n">
        <v>255.783748</v>
      </c>
      <c r="U5" s="0" t="n">
        <v>3.745</v>
      </c>
      <c r="AA5" s="0" t="s">
        <v>17</v>
      </c>
      <c r="AB5" s="0" t="s">
        <v>14</v>
      </c>
      <c r="AE5" s="0" t="n">
        <v>34.6</v>
      </c>
    </row>
    <row r="6" customFormat="false" ht="15" hidden="false" customHeight="false" outlineLevel="0" collapsed="false">
      <c r="A6" s="0" t="s">
        <v>72</v>
      </c>
      <c r="B6" s="0" t="n">
        <v>598.136</v>
      </c>
      <c r="F6" s="0" t="n">
        <v>97.116</v>
      </c>
      <c r="G6" s="0" t="n">
        <v>16.2</v>
      </c>
      <c r="H6" s="0" t="n">
        <v>115.035</v>
      </c>
      <c r="I6" s="0" t="n">
        <v>66.627</v>
      </c>
      <c r="J6" s="0" t="n">
        <v>11.1</v>
      </c>
      <c r="K6" s="0" t="n">
        <v>0.2609</v>
      </c>
      <c r="L6" s="0" t="n">
        <v>74.705</v>
      </c>
      <c r="M6" s="0" t="n">
        <v>19.674</v>
      </c>
      <c r="N6" s="0" t="n">
        <v>55.031</v>
      </c>
      <c r="O6" s="0" t="n">
        <v>153.947</v>
      </c>
      <c r="P6" s="0" t="n">
        <v>369.458</v>
      </c>
      <c r="Q6" s="0" t="n">
        <v>215.511</v>
      </c>
      <c r="R6" s="0" t="n">
        <v>60.478</v>
      </c>
      <c r="S6" s="0" t="n">
        <v>56.059</v>
      </c>
      <c r="T6" s="0" t="n">
        <v>255.342703</v>
      </c>
      <c r="U6" s="0" t="n">
        <v>3.142</v>
      </c>
      <c r="AA6" s="0" t="s">
        <v>17</v>
      </c>
      <c r="AB6" s="0" t="s">
        <v>14</v>
      </c>
      <c r="AE6" s="0" t="n">
        <v>30.6</v>
      </c>
      <c r="AG6" s="0" t="n">
        <v>3.994</v>
      </c>
    </row>
    <row r="7" customFormat="false" ht="15" hidden="false" customHeight="false" outlineLevel="0" collapsed="false">
      <c r="A7" s="0" t="s">
        <v>73</v>
      </c>
      <c r="B7" s="0" t="n">
        <v>587.106</v>
      </c>
      <c r="F7" s="0" t="n">
        <v>107.761</v>
      </c>
      <c r="G7" s="0" t="n">
        <v>18.4</v>
      </c>
      <c r="H7" s="0" t="n">
        <v>148.649</v>
      </c>
      <c r="I7" s="0" t="n">
        <v>67.873</v>
      </c>
      <c r="J7" s="0" t="n">
        <v>11.6</v>
      </c>
      <c r="K7" s="0" t="n">
        <v>0.2609</v>
      </c>
      <c r="L7" s="0" t="n">
        <v>78.602</v>
      </c>
      <c r="M7" s="0" t="n">
        <v>22.422</v>
      </c>
      <c r="N7" s="0" t="n">
        <v>56.18</v>
      </c>
      <c r="O7" s="0" t="n">
        <v>392.921</v>
      </c>
      <c r="P7" s="0" t="n">
        <v>701.918</v>
      </c>
      <c r="Q7" s="0" t="n">
        <v>308.997</v>
      </c>
      <c r="R7" s="0" t="n">
        <v>59.831</v>
      </c>
      <c r="S7" s="0" t="n">
        <v>307.089</v>
      </c>
      <c r="T7" s="0" t="n">
        <v>260.179941</v>
      </c>
      <c r="U7" s="0" t="n">
        <v>1.631</v>
      </c>
      <c r="AA7" s="0" t="s">
        <v>17</v>
      </c>
      <c r="AB7" s="0" t="s">
        <v>14</v>
      </c>
      <c r="AE7" s="0" t="n">
        <v>30.8</v>
      </c>
      <c r="AF7" s="0" t="n">
        <v>15.478</v>
      </c>
      <c r="AG7" s="0" t="n">
        <v>4.271</v>
      </c>
    </row>
    <row r="8" customFormat="false" ht="15" hidden="false" customHeight="false" outlineLevel="0" collapsed="false">
      <c r="A8" s="0" t="s">
        <v>74</v>
      </c>
      <c r="B8" s="0" t="n">
        <v>528.742</v>
      </c>
      <c r="F8" s="0" t="n">
        <v>64.143</v>
      </c>
      <c r="G8" s="0" t="n">
        <v>12.1</v>
      </c>
      <c r="H8" s="0" t="n">
        <v>101.731</v>
      </c>
      <c r="I8" s="0" t="n">
        <v>39.683</v>
      </c>
      <c r="J8" s="0" t="n">
        <v>7.5</v>
      </c>
      <c r="K8" s="0" t="n">
        <v>0.1422</v>
      </c>
      <c r="L8" s="0" t="n">
        <v>116.901</v>
      </c>
      <c r="M8" s="0" t="n">
        <v>20.14</v>
      </c>
      <c r="N8" s="0" t="n">
        <v>96.761</v>
      </c>
      <c r="O8" s="0" t="n">
        <v>387.994</v>
      </c>
      <c r="P8" s="0" t="n">
        <v>695.442</v>
      </c>
      <c r="Q8" s="0" t="n">
        <v>307.448</v>
      </c>
      <c r="R8" s="0" t="n">
        <v>56.745</v>
      </c>
      <c r="S8" s="0" t="n">
        <v>306.948</v>
      </c>
      <c r="T8" s="0" t="n">
        <v>278.967632</v>
      </c>
      <c r="U8" s="0" t="n">
        <v>2.16</v>
      </c>
      <c r="AA8" s="0" t="s">
        <v>17</v>
      </c>
      <c r="AB8" s="0" t="s">
        <v>14</v>
      </c>
      <c r="AE8" s="0" t="n">
        <v>19.7</v>
      </c>
      <c r="AF8" s="0" t="n">
        <v>17.483</v>
      </c>
      <c r="AG8" s="0" t="n">
        <v>3.192</v>
      </c>
    </row>
    <row r="9" customFormat="false" ht="15" hidden="false" customHeight="false" outlineLevel="0" collapsed="false">
      <c r="A9" s="0" t="s">
        <v>75</v>
      </c>
      <c r="B9" s="0" t="n">
        <v>793.331</v>
      </c>
      <c r="F9" s="0" t="n">
        <v>158.881</v>
      </c>
      <c r="G9" s="0" t="n">
        <v>20</v>
      </c>
      <c r="H9" s="0" t="n">
        <v>197.109</v>
      </c>
      <c r="I9" s="0" t="n">
        <v>102.604</v>
      </c>
      <c r="J9" s="0" t="n">
        <v>12.9</v>
      </c>
      <c r="K9" s="0" t="n">
        <v>0.3679</v>
      </c>
      <c r="L9" s="0" t="n">
        <v>140.634</v>
      </c>
      <c r="M9" s="0" t="n">
        <v>29.648</v>
      </c>
      <c r="N9" s="0" t="n">
        <v>110.986</v>
      </c>
      <c r="O9" s="0" t="n">
        <v>455.368</v>
      </c>
      <c r="P9" s="0" t="n">
        <v>974.786</v>
      </c>
      <c r="Q9" s="0" t="n">
        <v>519.418</v>
      </c>
      <c r="R9" s="0" t="n">
        <v>156.453</v>
      </c>
      <c r="S9" s="0" t="n">
        <v>196.608</v>
      </c>
      <c r="T9" s="0" t="n">
        <v>278.882947</v>
      </c>
      <c r="U9" s="0" t="n">
        <v>5.168</v>
      </c>
      <c r="AA9" s="0" t="s">
        <v>17</v>
      </c>
      <c r="AB9" s="0" t="s">
        <v>14</v>
      </c>
      <c r="AC9" s="0" t="n">
        <v>11.995</v>
      </c>
      <c r="AD9" s="0" t="n">
        <v>17.653</v>
      </c>
      <c r="AE9" s="0" t="n">
        <v>31</v>
      </c>
      <c r="AF9" s="0" t="n">
        <v>19.35</v>
      </c>
      <c r="AG9" s="0" t="n">
        <v>2.738</v>
      </c>
    </row>
    <row r="10" customFormat="false" ht="15" hidden="false" customHeight="false" outlineLevel="0" collapsed="false">
      <c r="A10" s="0" t="s">
        <v>76</v>
      </c>
      <c r="B10" s="0" t="n">
        <v>981.916</v>
      </c>
      <c r="D10" s="0" t="n">
        <v>613.868</v>
      </c>
      <c r="E10" s="0" t="n">
        <v>62.5</v>
      </c>
      <c r="F10" s="0" t="n">
        <v>220.684</v>
      </c>
      <c r="G10" s="0" t="n">
        <v>22.5</v>
      </c>
      <c r="H10" s="0" t="n">
        <v>271.157</v>
      </c>
      <c r="I10" s="0" t="n">
        <v>148.521</v>
      </c>
      <c r="J10" s="0" t="n">
        <v>15.1</v>
      </c>
      <c r="K10" s="0" t="n">
        <v>0.5328</v>
      </c>
      <c r="L10" s="0" t="n">
        <v>170.28</v>
      </c>
      <c r="M10" s="0" t="n">
        <v>38.946</v>
      </c>
      <c r="N10" s="0" t="n">
        <v>131.334</v>
      </c>
      <c r="O10" s="0" t="n">
        <v>517.442</v>
      </c>
      <c r="P10" s="0" t="n">
        <v>1233.467</v>
      </c>
      <c r="Q10" s="0" t="n">
        <v>716.025</v>
      </c>
      <c r="R10" s="0" t="n">
        <v>209.004</v>
      </c>
      <c r="S10" s="0" t="n">
        <v>166.626</v>
      </c>
      <c r="T10" s="0" t="n">
        <v>278.741939</v>
      </c>
      <c r="U10" s="0" t="n">
        <v>7.573</v>
      </c>
      <c r="AA10" s="0" t="s">
        <v>17</v>
      </c>
      <c r="AB10" s="0" t="s">
        <v>14</v>
      </c>
      <c r="AC10" s="0" t="n">
        <v>17.132</v>
      </c>
      <c r="AD10" s="0" t="n">
        <v>21.814</v>
      </c>
      <c r="AE10" s="0" t="n">
        <v>24.4</v>
      </c>
      <c r="AF10" s="0" t="n">
        <v>22.726</v>
      </c>
      <c r="AG10" s="0" t="n">
        <v>4.088</v>
      </c>
    </row>
    <row r="11" customFormat="false" ht="15" hidden="false" customHeight="false" outlineLevel="0" collapsed="false">
      <c r="A11" s="0" t="s">
        <v>77</v>
      </c>
      <c r="B11" s="0" t="n">
        <v>1037.246</v>
      </c>
      <c r="D11" s="0" t="n">
        <v>662.839</v>
      </c>
      <c r="E11" s="0" t="n">
        <v>63.9</v>
      </c>
      <c r="F11" s="0" t="n">
        <v>210.326</v>
      </c>
      <c r="G11" s="0" t="n">
        <v>20.3</v>
      </c>
      <c r="H11" s="0" t="n">
        <v>265.77</v>
      </c>
      <c r="I11" s="0" t="n">
        <v>132.749</v>
      </c>
      <c r="J11" s="0" t="n">
        <v>12.8</v>
      </c>
      <c r="K11" s="0" t="n">
        <v>0.4758</v>
      </c>
      <c r="L11" s="0" t="n">
        <v>115.959</v>
      </c>
      <c r="M11" s="0" t="n">
        <v>54.166</v>
      </c>
      <c r="N11" s="0" t="n">
        <v>61.793</v>
      </c>
      <c r="O11" s="0" t="n">
        <v>523.373</v>
      </c>
      <c r="P11" s="0" t="n">
        <v>1256.326</v>
      </c>
      <c r="Q11" s="0" t="n">
        <v>732.953</v>
      </c>
      <c r="R11" s="0" t="n">
        <v>277.652</v>
      </c>
      <c r="S11" s="0" t="n">
        <v>107.622</v>
      </c>
      <c r="T11" s="0" t="n">
        <v>279.027506</v>
      </c>
      <c r="U11" s="0" t="n">
        <v>3.172</v>
      </c>
      <c r="AA11" s="0" t="s">
        <v>17</v>
      </c>
      <c r="AB11" s="0" t="s">
        <v>14</v>
      </c>
      <c r="AC11" s="0" t="n">
        <v>14.229</v>
      </c>
      <c r="AD11" s="0" t="n">
        <v>39.937</v>
      </c>
      <c r="AE11" s="0" t="n">
        <v>39.8</v>
      </c>
      <c r="AF11" s="0" t="n">
        <v>25.403</v>
      </c>
      <c r="AG11" s="0" t="n">
        <v>3.977</v>
      </c>
    </row>
    <row r="12" customFormat="false" ht="15" hidden="false" customHeight="false" outlineLevel="0" collapsed="false">
      <c r="A12" s="0" t="s">
        <v>78</v>
      </c>
      <c r="B12" s="0" t="n">
        <v>882.201</v>
      </c>
      <c r="F12" s="0" t="n">
        <v>92.297</v>
      </c>
      <c r="G12" s="0" t="n">
        <v>10.5</v>
      </c>
      <c r="H12" s="0" t="n">
        <v>153.464</v>
      </c>
      <c r="I12" s="0" t="n">
        <v>44.508</v>
      </c>
      <c r="J12" s="0" t="n">
        <v>5</v>
      </c>
      <c r="K12" s="0" t="n">
        <v>0.1592</v>
      </c>
      <c r="L12" s="0" t="n">
        <v>132.63</v>
      </c>
      <c r="M12" s="0" t="n">
        <v>60.884</v>
      </c>
      <c r="N12" s="0" t="n">
        <v>71.746</v>
      </c>
      <c r="O12" s="0" t="n">
        <v>534.479</v>
      </c>
      <c r="P12" s="0" t="n">
        <v>1279.448</v>
      </c>
      <c r="Q12" s="0" t="n">
        <v>744.969</v>
      </c>
      <c r="R12" s="0" t="n">
        <v>286.582</v>
      </c>
      <c r="S12" s="0" t="n">
        <v>121.481</v>
      </c>
      <c r="T12" s="0" t="n">
        <v>279.499672</v>
      </c>
      <c r="U12" s="0" t="n">
        <v>4.137</v>
      </c>
      <c r="AA12" s="0" t="s">
        <v>17</v>
      </c>
      <c r="AB12" s="0" t="s">
        <v>14</v>
      </c>
      <c r="AC12" s="0" t="n">
        <v>9.261</v>
      </c>
      <c r="AD12" s="0" t="n">
        <v>51.623</v>
      </c>
      <c r="AE12" s="0" t="n">
        <v>96.9</v>
      </c>
      <c r="AF12" s="0" t="n">
        <v>26.252</v>
      </c>
    </row>
    <row r="13" customFormat="false" ht="15" hidden="false" customHeight="false" outlineLevel="0" collapsed="false">
      <c r="A13" s="0" t="s">
        <v>79</v>
      </c>
      <c r="B13" s="0" t="n">
        <v>795.401</v>
      </c>
      <c r="D13" s="0" t="n">
        <v>479.294</v>
      </c>
      <c r="E13" s="0" t="n">
        <v>60.3</v>
      </c>
      <c r="F13" s="0" t="n">
        <v>61.808</v>
      </c>
      <c r="G13" s="0" t="n">
        <v>7.8</v>
      </c>
      <c r="H13" s="0" t="n">
        <v>126.929</v>
      </c>
      <c r="I13" s="0" t="n">
        <v>12.266</v>
      </c>
      <c r="J13" s="0" t="n">
        <v>1.5</v>
      </c>
      <c r="K13" s="0" t="n">
        <v>0.0437</v>
      </c>
      <c r="L13" s="0" t="n">
        <v>135.473</v>
      </c>
      <c r="M13" s="0" t="n">
        <v>32.346</v>
      </c>
      <c r="N13" s="0" t="n">
        <v>103.127</v>
      </c>
      <c r="O13" s="0" t="n">
        <v>398.851</v>
      </c>
      <c r="P13" s="0" t="n">
        <v>1023.345</v>
      </c>
      <c r="Q13" s="0" t="n">
        <v>624.494</v>
      </c>
      <c r="R13" s="0" t="n">
        <v>252.055</v>
      </c>
      <c r="S13" s="0" t="n">
        <v>135.12</v>
      </c>
      <c r="T13" s="0" t="n">
        <v>280.432135</v>
      </c>
      <c r="U13" s="0" t="n">
        <v>6.864</v>
      </c>
      <c r="AA13" s="0" t="s">
        <v>17</v>
      </c>
      <c r="AB13" s="0" t="s">
        <v>14</v>
      </c>
      <c r="AC13" s="0" t="n">
        <v>5.842</v>
      </c>
      <c r="AD13" s="0" t="n">
        <v>26.504</v>
      </c>
      <c r="AE13" s="0" t="n">
        <v>41</v>
      </c>
      <c r="AF13" s="0" t="n">
        <v>22.78</v>
      </c>
      <c r="AG13" s="0" t="n">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1.97</v>
      </c>
    </row>
    <row r="3" customFormat="false" ht="15" hidden="false" customHeight="false" outlineLevel="0" collapsed="false">
      <c r="A3" s="0" t="s">
        <v>83</v>
      </c>
      <c r="B3" s="3" t="n">
        <v>280.432</v>
      </c>
    </row>
    <row r="4" customFormat="false" ht="15" hidden="false" customHeight="false" outlineLevel="0" collapsed="false">
      <c r="A4" s="0" t="s">
        <v>84</v>
      </c>
      <c r="B4" s="3" t="n">
        <v>118.636</v>
      </c>
    </row>
    <row r="5" customFormat="false" ht="15" hidden="false" customHeight="false" outlineLevel="0" collapsed="false">
      <c r="A5" s="0" t="s">
        <v>85</v>
      </c>
      <c r="B5" s="3" t="n">
        <v>-1.379</v>
      </c>
    </row>
    <row r="6" customFormat="false" ht="15" hidden="false" customHeight="false" outlineLevel="0" collapsed="false">
      <c r="A6" s="0" t="s">
        <v>86</v>
      </c>
      <c r="B6" s="3" t="n">
        <v>15</v>
      </c>
    </row>
    <row r="7" customFormat="false" ht="15" hidden="false" customHeight="false" outlineLevel="0" collapsed="false">
      <c r="A7" s="0" t="s">
        <v>87</v>
      </c>
      <c r="B7" s="3" t="n">
        <v>795.401</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-12</v>
      </c>
      <c r="D13" s="3" t="n">
        <v>-6</v>
      </c>
      <c r="E13" s="3" t="n">
        <v>-2</v>
      </c>
      <c r="F13" s="3" t="n">
        <v>1</v>
      </c>
      <c r="G13" s="3" t="n">
        <v>2</v>
      </c>
      <c r="H13" s="3" t="n">
        <v>2</v>
      </c>
      <c r="I13" s="3" t="n">
        <v>2</v>
      </c>
      <c r="J13" s="3" t="n">
        <v>2</v>
      </c>
      <c r="K13" s="3" t="n">
        <v>2</v>
      </c>
      <c r="L13" s="3" t="n">
        <v>2</v>
      </c>
    </row>
    <row r="14" customFormat="false" ht="15" hidden="false" customHeight="false" outlineLevel="0" collapsed="false">
      <c r="A14" s="0" t="s">
        <v>104</v>
      </c>
      <c r="C14" s="3" t="n">
        <v>13</v>
      </c>
      <c r="D14" s="3" t="n">
        <v>15</v>
      </c>
      <c r="E14" s="3" t="n">
        <v>17</v>
      </c>
      <c r="F14" s="3" t="n">
        <v>18.5</v>
      </c>
      <c r="G14" s="3" t="n">
        <v>19.5</v>
      </c>
      <c r="H14" s="3" t="n">
        <v>20</v>
      </c>
      <c r="I14" s="3" t="n">
        <v>20</v>
      </c>
      <c r="J14" s="3" t="n">
        <v>20</v>
      </c>
      <c r="K14" s="3" t="n">
        <v>20</v>
      </c>
      <c r="L14" s="3" t="n">
        <v>20</v>
      </c>
    </row>
    <row r="15" customFormat="false" ht="15" hidden="false" customHeight="false" outlineLevel="0" collapsed="false">
      <c r="A15" s="0" t="s">
        <v>105</v>
      </c>
      <c r="C15" s="3" t="n">
        <v>0.8</v>
      </c>
      <c r="D15" s="3" t="n">
        <v>0.8</v>
      </c>
      <c r="E15" s="3" t="n">
        <v>0.8</v>
      </c>
      <c r="F15" s="3" t="n">
        <v>0.8</v>
      </c>
      <c r="G15" s="3" t="n">
        <v>0.8</v>
      </c>
      <c r="H15" s="3" t="n">
        <v>0.8</v>
      </c>
      <c r="I15" s="3" t="n">
        <v>0.8</v>
      </c>
      <c r="J15" s="3" t="n">
        <v>0.8</v>
      </c>
      <c r="K15" s="3" t="n">
        <v>0.8</v>
      </c>
      <c r="L15" s="3" t="n">
        <v>0.8</v>
      </c>
    </row>
    <row r="16" customFormat="false" ht="15" hidden="false" customHeight="false" outlineLevel="0" collapsed="false">
      <c r="A16" s="0" t="s">
        <v>106</v>
      </c>
      <c r="C16" s="3" t="n">
        <v>3.8</v>
      </c>
      <c r="D16" s="3" t="n">
        <v>3.7</v>
      </c>
      <c r="E16" s="3" t="n">
        <v>3.6</v>
      </c>
      <c r="F16" s="3" t="n">
        <v>3.5</v>
      </c>
      <c r="G16" s="3" t="n">
        <v>3.5</v>
      </c>
      <c r="H16" s="3" t="n">
        <v>3.5</v>
      </c>
      <c r="I16" s="3" t="n">
        <v>3.5</v>
      </c>
      <c r="J16" s="3" t="n">
        <v>3.5</v>
      </c>
      <c r="K16" s="3" t="n">
        <v>3.5</v>
      </c>
      <c r="L16" s="3" t="n">
        <v>3.5</v>
      </c>
    </row>
    <row r="17" customFormat="false" ht="15" hidden="false" customHeight="false" outlineLevel="0" collapsed="false">
      <c r="A17" s="0" t="s">
        <v>107</v>
      </c>
      <c r="C17" s="3" t="n">
        <v>5.7</v>
      </c>
      <c r="D17" s="3" t="n">
        <v>5.5</v>
      </c>
      <c r="E17" s="3" t="n">
        <v>5.3</v>
      </c>
      <c r="F17" s="3" t="n">
        <v>5</v>
      </c>
      <c r="G17" s="3" t="n">
        <v>4.8</v>
      </c>
      <c r="H17" s="3" t="n">
        <v>4.6</v>
      </c>
      <c r="I17" s="3" t="n">
        <v>4.5</v>
      </c>
      <c r="J17" s="3" t="n">
        <v>4.5</v>
      </c>
      <c r="K17" s="3" t="n">
        <v>4.5</v>
      </c>
      <c r="L17" s="3" t="n">
        <v>4.5</v>
      </c>
    </row>
    <row r="18" customFormat="false" ht="15" hidden="false" customHeight="false" outlineLevel="0" collapsed="false">
      <c r="A18" s="0" t="s">
        <v>108</v>
      </c>
      <c r="C18" s="3" t="n">
        <v>5</v>
      </c>
      <c r="D18" s="3" t="n">
        <v>5</v>
      </c>
      <c r="E18" s="3" t="n">
        <v>4.8</v>
      </c>
      <c r="F18" s="3" t="n">
        <v>4.6</v>
      </c>
      <c r="G18" s="3" t="n">
        <v>4.5</v>
      </c>
      <c r="H18" s="3" t="n">
        <v>4.5</v>
      </c>
      <c r="I18" s="3" t="n">
        <v>4.5</v>
      </c>
      <c r="J18" s="3" t="n">
        <v>4.5</v>
      </c>
      <c r="K18" s="3" t="n">
        <v>4.5</v>
      </c>
      <c r="L18" s="3" t="n">
        <v>4.5</v>
      </c>
    </row>
    <row r="19" customFormat="false" ht="15" hidden="false" customHeight="false" outlineLevel="0" collapsed="false">
      <c r="A19" s="0" t="s">
        <v>109</v>
      </c>
      <c r="C19" s="3" t="n">
        <v>30</v>
      </c>
      <c r="D19" s="3" t="n">
        <v>30</v>
      </c>
      <c r="E19" s="3" t="n">
        <v>30</v>
      </c>
      <c r="F19" s="3" t="n">
        <v>30</v>
      </c>
      <c r="G19" s="3" t="n">
        <v>30</v>
      </c>
      <c r="H19" s="3" t="n">
        <v>30</v>
      </c>
      <c r="I19" s="3" t="n">
        <v>30</v>
      </c>
      <c r="J19" s="3" t="n">
        <v>30</v>
      </c>
      <c r="K19" s="3" t="n">
        <v>30</v>
      </c>
      <c r="L19" s="3" t="n">
        <v>30</v>
      </c>
    </row>
    <row r="20" customFormat="false" ht="15" hidden="false" customHeight="false" outlineLevel="0" collapsed="false">
      <c r="A20" s="0" t="s">
        <v>110</v>
      </c>
      <c r="B20" s="3" t="n">
        <v>10</v>
      </c>
    </row>
    <row r="21" customFormat="false" ht="15" hidden="false" customHeight="false" outlineLevel="0" collapsed="false">
      <c r="A21" s="0" t="s">
        <v>111</v>
      </c>
      <c r="B21" s="3" t="n">
        <v>1.5</v>
      </c>
    </row>
    <row r="22" customFormat="false" ht="15" hidden="false" customHeight="false" outlineLevel="0" collapsed="false">
      <c r="A22" s="0" t="s">
        <v>112</v>
      </c>
      <c r="B22" s="3" t="n">
        <v>15</v>
      </c>
    </row>
    <row r="23" customFormat="false" ht="15" hidden="false" customHeight="false" outlineLevel="0" collapsed="false">
      <c r="A23" s="0" t="s">
        <v>113</v>
      </c>
      <c r="B23" s="3" t="n">
        <v>-3</v>
      </c>
    </row>
    <row r="24" customFormat="false" ht="15" hidden="false" customHeight="false" outlineLevel="0" collapsed="false">
      <c r="A24" s="0" t="s">
        <v>114</v>
      </c>
      <c r="B24" s="3" t="n">
        <v>0.3</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-7</v>
      </c>
      <c r="D27" s="3" t="n">
        <v>2</v>
      </c>
      <c r="E27" s="3" t="n">
        <v>6</v>
      </c>
      <c r="F27" s="3" t="n">
        <v>6</v>
      </c>
      <c r="G27" s="3" t="n">
        <v>5</v>
      </c>
      <c r="H27" s="3" t="n">
        <v>4</v>
      </c>
      <c r="I27" s="3" t="n">
        <v>3.5</v>
      </c>
      <c r="J27" s="3" t="n">
        <v>3</v>
      </c>
      <c r="K27" s="3" t="n">
        <v>3</v>
      </c>
      <c r="L27" s="3" t="n">
        <v>3</v>
      </c>
    </row>
    <row r="28" customFormat="false" ht="15" hidden="false" customHeight="false" outlineLevel="0" collapsed="false">
      <c r="A28" s="0" t="s">
        <v>104</v>
      </c>
      <c r="C28" s="3" t="n">
        <v>16</v>
      </c>
      <c r="D28" s="3" t="n">
        <v>20</v>
      </c>
      <c r="E28" s="3" t="n">
        <v>22</v>
      </c>
      <c r="F28" s="3" t="n">
        <v>22.5</v>
      </c>
      <c r="G28" s="3" t="n">
        <v>23</v>
      </c>
      <c r="H28" s="3" t="n">
        <v>23</v>
      </c>
      <c r="I28" s="3" t="n">
        <v>23</v>
      </c>
      <c r="J28" s="3" t="n">
        <v>23</v>
      </c>
      <c r="K28" s="3" t="n">
        <v>23</v>
      </c>
      <c r="L28" s="3" t="n">
        <v>23</v>
      </c>
    </row>
    <row r="29" customFormat="false" ht="15" hidden="false" customHeight="false" outlineLevel="0" collapsed="false">
      <c r="A29" s="0" t="s">
        <v>105</v>
      </c>
      <c r="C29" s="3" t="n">
        <v>0.8</v>
      </c>
      <c r="D29" s="3" t="n">
        <v>0.8</v>
      </c>
      <c r="E29" s="3" t="n">
        <v>0.8</v>
      </c>
      <c r="F29" s="3" t="n">
        <v>0.8</v>
      </c>
      <c r="G29" s="3" t="n">
        <v>0.8</v>
      </c>
      <c r="H29" s="3" t="n">
        <v>0.8</v>
      </c>
      <c r="I29" s="3" t="n">
        <v>0.8</v>
      </c>
      <c r="J29" s="3" t="n">
        <v>0.8</v>
      </c>
      <c r="K29" s="3" t="n">
        <v>0.8</v>
      </c>
      <c r="L29" s="3" t="n">
        <v>0.8</v>
      </c>
    </row>
    <row r="30" customFormat="false" ht="15" hidden="false" customHeight="false" outlineLevel="0" collapsed="false">
      <c r="A30" s="0" t="s">
        <v>106</v>
      </c>
      <c r="C30" s="3" t="n">
        <v>3.5</v>
      </c>
      <c r="D30" s="3" t="n">
        <v>3.4</v>
      </c>
      <c r="E30" s="3" t="n">
        <v>3.3</v>
      </c>
      <c r="F30" s="3" t="n">
        <v>3.2</v>
      </c>
      <c r="G30" s="3" t="n">
        <v>3.2</v>
      </c>
      <c r="H30" s="3" t="n">
        <v>3.2</v>
      </c>
      <c r="I30" s="3" t="n">
        <v>3.2</v>
      </c>
      <c r="J30" s="3" t="n">
        <v>3.2</v>
      </c>
      <c r="K30" s="3" t="n">
        <v>3.2</v>
      </c>
      <c r="L30" s="3" t="n">
        <v>3.2</v>
      </c>
    </row>
    <row r="31" customFormat="false" ht="15" hidden="false" customHeight="false" outlineLevel="0" collapsed="false">
      <c r="A31" s="0" t="s">
        <v>107</v>
      </c>
      <c r="C31" s="3" t="n">
        <v>5.5</v>
      </c>
      <c r="D31" s="3" t="n">
        <v>5.3</v>
      </c>
      <c r="E31" s="3" t="n">
        <v>5.1</v>
      </c>
      <c r="F31" s="3" t="n">
        <v>4.9</v>
      </c>
      <c r="G31" s="3" t="n">
        <v>4.7</v>
      </c>
      <c r="H31" s="3" t="n">
        <v>4.6</v>
      </c>
      <c r="I31" s="3" t="n">
        <v>4.5</v>
      </c>
      <c r="J31" s="3" t="n">
        <v>4.5</v>
      </c>
      <c r="K31" s="3" t="n">
        <v>4.5</v>
      </c>
      <c r="L31" s="3" t="n">
        <v>4.5</v>
      </c>
    </row>
    <row r="32" customFormat="false" ht="15" hidden="false" customHeight="false" outlineLevel="0" collapsed="false">
      <c r="A32" s="0" t="s">
        <v>108</v>
      </c>
      <c r="C32" s="3" t="n">
        <v>5</v>
      </c>
      <c r="D32" s="3" t="n">
        <v>5</v>
      </c>
      <c r="E32" s="3" t="n">
        <v>4.8</v>
      </c>
      <c r="F32" s="3" t="n">
        <v>4.6</v>
      </c>
      <c r="G32" s="3" t="n">
        <v>4.5</v>
      </c>
      <c r="H32" s="3" t="n">
        <v>4.5</v>
      </c>
      <c r="I32" s="3" t="n">
        <v>4.5</v>
      </c>
      <c r="J32" s="3" t="n">
        <v>4.5</v>
      </c>
      <c r="K32" s="3" t="n">
        <v>4.5</v>
      </c>
      <c r="L32" s="3" t="n">
        <v>4.5</v>
      </c>
    </row>
    <row r="33" customFormat="false" ht="15" hidden="false" customHeight="false" outlineLevel="0" collapsed="false">
      <c r="A33" s="0" t="s">
        <v>109</v>
      </c>
      <c r="C33" s="3" t="n">
        <v>30</v>
      </c>
      <c r="D33" s="3" t="n">
        <v>30</v>
      </c>
      <c r="E33" s="3" t="n">
        <v>30</v>
      </c>
      <c r="F33" s="3" t="n">
        <v>30</v>
      </c>
      <c r="G33" s="3" t="n">
        <v>30</v>
      </c>
      <c r="H33" s="3" t="n">
        <v>30</v>
      </c>
      <c r="I33" s="3" t="n">
        <v>30</v>
      </c>
      <c r="J33" s="3" t="n">
        <v>30</v>
      </c>
      <c r="K33" s="3" t="n">
        <v>30</v>
      </c>
      <c r="L33" s="3" t="n">
        <v>30</v>
      </c>
    </row>
    <row r="34" customFormat="false" ht="15" hidden="false" customHeight="false" outlineLevel="0" collapsed="false">
      <c r="A34" s="0" t="s">
        <v>110</v>
      </c>
      <c r="B34" s="3" t="n">
        <v>10</v>
      </c>
    </row>
    <row r="35" customFormat="false" ht="15" hidden="false" customHeight="false" outlineLevel="0" collapsed="false">
      <c r="A35" s="0" t="s">
        <v>111</v>
      </c>
      <c r="B35" s="3" t="n">
        <v>2.5</v>
      </c>
    </row>
    <row r="36" customFormat="false" ht="15" hidden="false" customHeight="false" outlineLevel="0" collapsed="false">
      <c r="A36" s="0" t="s">
        <v>112</v>
      </c>
      <c r="B36" s="3" t="n">
        <v>15</v>
      </c>
    </row>
    <row r="37" customFormat="false" ht="15" hidden="false" customHeight="false" outlineLevel="0" collapsed="false">
      <c r="A37" s="0" t="s">
        <v>113</v>
      </c>
      <c r="B37" s="3" t="n">
        <v>-3</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-4</v>
      </c>
      <c r="D41" s="3" t="n">
        <v>5</v>
      </c>
      <c r="E41" s="3" t="n">
        <v>9</v>
      </c>
      <c r="F41" s="3" t="n">
        <v>8</v>
      </c>
      <c r="G41" s="3" t="n">
        <v>6</v>
      </c>
      <c r="H41" s="3" t="n">
        <v>5</v>
      </c>
      <c r="I41" s="3" t="n">
        <v>4</v>
      </c>
      <c r="J41" s="3" t="n">
        <v>3.5</v>
      </c>
      <c r="K41" s="3" t="n">
        <v>3</v>
      </c>
      <c r="L41" s="3" t="n">
        <v>3</v>
      </c>
    </row>
    <row r="42" customFormat="false" ht="15" hidden="false" customHeight="false" outlineLevel="0" collapsed="false">
      <c r="A42" s="0" t="s">
        <v>104</v>
      </c>
      <c r="C42" s="3" t="n">
        <v>17</v>
      </c>
      <c r="D42" s="3" t="n">
        <v>21</v>
      </c>
      <c r="E42" s="3" t="n">
        <v>23.5</v>
      </c>
      <c r="F42" s="3" t="n">
        <v>25</v>
      </c>
      <c r="G42" s="3" t="n">
        <v>26</v>
      </c>
      <c r="H42" s="3" t="n">
        <v>26</v>
      </c>
      <c r="I42" s="3" t="n">
        <v>26</v>
      </c>
      <c r="J42" s="3" t="n">
        <v>26</v>
      </c>
      <c r="K42" s="3" t="n">
        <v>26</v>
      </c>
      <c r="L42" s="3" t="n">
        <v>26</v>
      </c>
    </row>
    <row r="43" customFormat="false" ht="15" hidden="false" customHeight="false" outlineLevel="0" collapsed="false">
      <c r="A43" s="0" t="s">
        <v>105</v>
      </c>
      <c r="C43" s="3" t="n">
        <v>0.8</v>
      </c>
      <c r="D43" s="3" t="n">
        <v>0.8</v>
      </c>
      <c r="E43" s="3" t="n">
        <v>0.8</v>
      </c>
      <c r="F43" s="3" t="n">
        <v>0.8</v>
      </c>
      <c r="G43" s="3" t="n">
        <v>0.8</v>
      </c>
      <c r="H43" s="3" t="n">
        <v>0.8</v>
      </c>
      <c r="I43" s="3" t="n">
        <v>0.8</v>
      </c>
      <c r="J43" s="3" t="n">
        <v>0.8</v>
      </c>
      <c r="K43" s="3" t="n">
        <v>0.8</v>
      </c>
      <c r="L43" s="3" t="n">
        <v>0.8</v>
      </c>
    </row>
    <row r="44" customFormat="false" ht="15" hidden="false" customHeight="false" outlineLevel="0" collapsed="false">
      <c r="A44" s="0" t="s">
        <v>106</v>
      </c>
      <c r="C44" s="3" t="n">
        <v>3.4</v>
      </c>
      <c r="D44" s="3" t="n">
        <v>3.2</v>
      </c>
      <c r="E44" s="3" t="n">
        <v>3.1</v>
      </c>
      <c r="F44" s="3" t="n">
        <v>3</v>
      </c>
      <c r="G44" s="3" t="n">
        <v>3</v>
      </c>
      <c r="H44" s="3" t="n">
        <v>3</v>
      </c>
      <c r="I44" s="3" t="n">
        <v>3</v>
      </c>
      <c r="J44" s="3" t="n">
        <v>3</v>
      </c>
      <c r="K44" s="3" t="n">
        <v>3</v>
      </c>
      <c r="L44" s="3" t="n">
        <v>3</v>
      </c>
    </row>
    <row r="45" customFormat="false" ht="15" hidden="false" customHeight="false" outlineLevel="0" collapsed="false">
      <c r="A45" s="0" t="s">
        <v>107</v>
      </c>
      <c r="C45" s="3" t="n">
        <v>5.5</v>
      </c>
      <c r="D45" s="3" t="n">
        <v>5.3</v>
      </c>
      <c r="E45" s="3" t="n">
        <v>5.1</v>
      </c>
      <c r="F45" s="3" t="n">
        <v>4.9</v>
      </c>
      <c r="G45" s="3" t="n">
        <v>4.7</v>
      </c>
      <c r="H45" s="3" t="n">
        <v>4.6</v>
      </c>
      <c r="I45" s="3" t="n">
        <v>4.5</v>
      </c>
      <c r="J45" s="3" t="n">
        <v>4.5</v>
      </c>
      <c r="K45" s="3" t="n">
        <v>4.5</v>
      </c>
      <c r="L45" s="3" t="n">
        <v>4.5</v>
      </c>
    </row>
    <row r="46" customFormat="false" ht="15" hidden="false" customHeight="false" outlineLevel="0" collapsed="false">
      <c r="A46" s="0" t="s">
        <v>108</v>
      </c>
      <c r="C46" s="3" t="n">
        <v>5</v>
      </c>
      <c r="D46" s="3" t="n">
        <v>5</v>
      </c>
      <c r="E46" s="3" t="n">
        <v>4.8</v>
      </c>
      <c r="F46" s="3" t="n">
        <v>4.6</v>
      </c>
      <c r="G46" s="3" t="n">
        <v>4.5</v>
      </c>
      <c r="H46" s="3" t="n">
        <v>4.5</v>
      </c>
      <c r="I46" s="3" t="n">
        <v>4.5</v>
      </c>
      <c r="J46" s="3" t="n">
        <v>4.5</v>
      </c>
      <c r="K46" s="3" t="n">
        <v>4.5</v>
      </c>
      <c r="L46" s="3" t="n">
        <v>4.5</v>
      </c>
    </row>
    <row r="47" customFormat="false" ht="15" hidden="false" customHeight="false" outlineLevel="0" collapsed="false">
      <c r="A47" s="0" t="s">
        <v>109</v>
      </c>
      <c r="C47" s="3" t="n">
        <v>30</v>
      </c>
      <c r="D47" s="3" t="n">
        <v>30</v>
      </c>
      <c r="E47" s="3" t="n">
        <v>30</v>
      </c>
      <c r="F47" s="3" t="n">
        <v>30</v>
      </c>
      <c r="G47" s="3" t="n">
        <v>30</v>
      </c>
      <c r="H47" s="3" t="n">
        <v>30</v>
      </c>
      <c r="I47" s="3" t="n">
        <v>30</v>
      </c>
      <c r="J47" s="3" t="n">
        <v>30</v>
      </c>
      <c r="K47" s="3" t="n">
        <v>30</v>
      </c>
      <c r="L47" s="3" t="n">
        <v>30</v>
      </c>
    </row>
    <row r="48" customFormat="false" ht="15" hidden="false" customHeight="false" outlineLevel="0" collapsed="false">
      <c r="A48" s="0" t="s">
        <v>110</v>
      </c>
      <c r="B48" s="3" t="n">
        <v>10</v>
      </c>
    </row>
    <row r="49" customFormat="false" ht="15" hidden="false" customHeight="false" outlineLevel="0" collapsed="false">
      <c r="A49" s="0" t="s">
        <v>111</v>
      </c>
      <c r="B49" s="3" t="n">
        <v>3</v>
      </c>
    </row>
    <row r="50" customFormat="false" ht="15" hidden="false" customHeight="false" outlineLevel="0" collapsed="false">
      <c r="A50" s="0" t="s">
        <v>112</v>
      </c>
      <c r="B50" s="3" t="n">
        <v>15</v>
      </c>
    </row>
    <row r="51" customFormat="false" ht="15" hidden="false" customHeight="false" outlineLevel="0" collapsed="false">
      <c r="A51" s="0" t="s">
        <v>113</v>
      </c>
      <c r="B51" s="3" t="n">
        <v>-3</v>
      </c>
    </row>
    <row r="52" customFormat="false" ht="15" hidden="false" customHeight="false" outlineLevel="0" collapsed="false">
      <c r="A52" s="0" t="s">
        <v>114</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-12</v>
      </c>
      <c r="D5" s="4" t="n">
        <f aca="false">Assumptions!D13</f>
        <v>-6</v>
      </c>
      <c r="E5" s="4" t="n">
        <f aca="false">Assumptions!E13</f>
        <v>-2</v>
      </c>
      <c r="F5" s="4" t="n">
        <f aca="false">Assumptions!F13</f>
        <v>1</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37</v>
      </c>
      <c r="B6" s="3" t="n">
        <v>795.401</v>
      </c>
      <c r="C6" s="0" t="n">
        <f aca="false">B6*(1+C5/100)</f>
        <v>699.95288</v>
      </c>
      <c r="D6" s="0" t="n">
        <f aca="false">C6*(1+D5/100)</f>
        <v>657.9557072</v>
      </c>
      <c r="E6" s="0" t="n">
        <f aca="false">D6*(1+E5/100)</f>
        <v>644.796593056</v>
      </c>
      <c r="F6" s="0" t="n">
        <f aca="false">E6*(1+F5/100)</f>
        <v>651.24455898656</v>
      </c>
      <c r="G6" s="0" t="n">
        <f aca="false">F6*(1+G5/100)</f>
        <v>664.269450166291</v>
      </c>
      <c r="H6" s="0" t="n">
        <f aca="false">G6*(1+H5/100)</f>
        <v>677.554839169617</v>
      </c>
      <c r="I6" s="0" t="n">
        <f aca="false">H6*(1+I5/100)</f>
        <v>691.105935953009</v>
      </c>
      <c r="J6" s="0" t="n">
        <f aca="false">I6*(1+J5/100)</f>
        <v>704.92805467207</v>
      </c>
      <c r="K6" s="0" t="n">
        <f aca="false">J6*(1+K5/100)</f>
        <v>719.026615765511</v>
      </c>
      <c r="L6" s="0" t="n">
        <f aca="false">K6*(1+L5/100)</f>
        <v>733.407148080821</v>
      </c>
    </row>
    <row r="7" customFormat="false" ht="15" hidden="false" customHeight="false" outlineLevel="0" collapsed="false">
      <c r="A7" s="0" t="s">
        <v>104</v>
      </c>
      <c r="C7" s="4" t="n">
        <f aca="false">Assumptions!C14</f>
        <v>13</v>
      </c>
      <c r="D7" s="4" t="n">
        <f aca="false">Assumptions!D14</f>
        <v>15</v>
      </c>
      <c r="E7" s="4" t="n">
        <f aca="false">Assumptions!E14</f>
        <v>17</v>
      </c>
      <c r="F7" s="4" t="n">
        <f aca="false">Assumptions!F14</f>
        <v>18.5</v>
      </c>
      <c r="G7" s="4" t="n">
        <f aca="false">Assumptions!G14</f>
        <v>19.5</v>
      </c>
      <c r="H7" s="4" t="n">
        <f aca="false">Assumptions!H14</f>
        <v>20</v>
      </c>
      <c r="I7" s="4" t="n">
        <f aca="false">Assumptions!I14</f>
        <v>20</v>
      </c>
      <c r="J7" s="4" t="n">
        <f aca="false">Assumptions!J14</f>
        <v>20</v>
      </c>
      <c r="K7" s="4" t="n">
        <f aca="false">Assumptions!K14</f>
        <v>20</v>
      </c>
      <c r="L7" s="4" t="n">
        <f aca="false">Assumptions!L14</f>
        <v>20</v>
      </c>
    </row>
    <row r="8" customFormat="false" ht="15" hidden="false" customHeight="false" outlineLevel="0" collapsed="false">
      <c r="A8" s="0" t="s">
        <v>43</v>
      </c>
      <c r="C8" s="0" t="n">
        <f aca="false">C6*C7/100</f>
        <v>90.9938744</v>
      </c>
      <c r="D8" s="0" t="n">
        <f aca="false">D6*D7/100</f>
        <v>98.69335608</v>
      </c>
      <c r="E8" s="0" t="n">
        <f aca="false">E6*E7/100</f>
        <v>109.61542081952</v>
      </c>
      <c r="F8" s="0" t="n">
        <f aca="false">F6*F7/100</f>
        <v>120.480243412514</v>
      </c>
      <c r="G8" s="0" t="n">
        <f aca="false">G6*G7/100</f>
        <v>129.532542782427</v>
      </c>
      <c r="H8" s="0" t="n">
        <f aca="false">H6*H7/100</f>
        <v>135.510967833923</v>
      </c>
      <c r="I8" s="0" t="n">
        <f aca="false">I6*I7/100</f>
        <v>138.221187190602</v>
      </c>
      <c r="J8" s="0" t="n">
        <f aca="false">J6*J7/100</f>
        <v>140.985610934414</v>
      </c>
      <c r="K8" s="0" t="n">
        <f aca="false">K6*K7/100</f>
        <v>143.805323153102</v>
      </c>
      <c r="L8" s="0" t="n">
        <f aca="false">L6*L7/100</f>
        <v>146.681429616164</v>
      </c>
    </row>
    <row r="9" customFormat="false" ht="15" hidden="false" customHeight="false" outlineLevel="0" collapsed="false">
      <c r="A9" s="0" t="s">
        <v>105</v>
      </c>
      <c r="C9" s="4" t="n">
        <f aca="false">Assumptions!C15</f>
        <v>0.8</v>
      </c>
      <c r="D9" s="4" t="n">
        <f aca="false">Assumptions!D15</f>
        <v>0.8</v>
      </c>
      <c r="E9" s="4" t="n">
        <f aca="false">Assumptions!E15</f>
        <v>0.8</v>
      </c>
      <c r="F9" s="4" t="n">
        <f aca="false">Assumptions!F15</f>
        <v>0.8</v>
      </c>
      <c r="G9" s="4" t="n">
        <f aca="false">Assumptions!G15</f>
        <v>0.8</v>
      </c>
      <c r="H9" s="4" t="n">
        <f aca="false">Assumptions!H15</f>
        <v>0.8</v>
      </c>
      <c r="I9" s="4" t="n">
        <f aca="false">Assumptions!I15</f>
        <v>0.8</v>
      </c>
      <c r="J9" s="4" t="n">
        <f aca="false">Assumptions!J15</f>
        <v>0.8</v>
      </c>
      <c r="K9" s="4" t="n">
        <f aca="false">Assumptions!K15</f>
        <v>0.8</v>
      </c>
      <c r="L9" s="4" t="n">
        <f aca="false">Assumptions!L15</f>
        <v>0.8</v>
      </c>
    </row>
    <row r="10" customFormat="false" ht="15" hidden="false" customHeight="false" outlineLevel="0" collapsed="false">
      <c r="A10" s="0" t="s">
        <v>120</v>
      </c>
      <c r="C10" s="0" t="n">
        <f aca="false">-C6*C9/100</f>
        <v>-5.59962304</v>
      </c>
      <c r="D10" s="0" t="n">
        <f aca="false">-D6*D9/100</f>
        <v>-5.2636456576</v>
      </c>
      <c r="E10" s="0" t="n">
        <f aca="false">-E6*E9/100</f>
        <v>-5.158372744448</v>
      </c>
      <c r="F10" s="0" t="n">
        <f aca="false">-F6*F9/100</f>
        <v>-5.20995647189248</v>
      </c>
      <c r="G10" s="0" t="n">
        <f aca="false">-G6*G9/100</f>
        <v>-5.31415560133033</v>
      </c>
      <c r="H10" s="0" t="n">
        <f aca="false">-H6*H9/100</f>
        <v>-5.42043871335694</v>
      </c>
      <c r="I10" s="0" t="n">
        <f aca="false">-I6*I9/100</f>
        <v>-5.52884748762407</v>
      </c>
      <c r="J10" s="0" t="n">
        <f aca="false">-J6*J9/100</f>
        <v>-5.63942443737656</v>
      </c>
      <c r="K10" s="0" t="n">
        <f aca="false">-K6*K9/100</f>
        <v>-5.75221292612409</v>
      </c>
      <c r="L10" s="0" t="n">
        <f aca="false">-L6*L9/100</f>
        <v>-5.86725718464657</v>
      </c>
    </row>
    <row r="11" customFormat="false" ht="15" hidden="false" customHeight="false" outlineLevel="0" collapsed="false">
      <c r="A11" s="0" t="s">
        <v>121</v>
      </c>
      <c r="C11" s="0" t="n">
        <f aca="false">C8+C10+C24</f>
        <v>58.79604192</v>
      </c>
      <c r="D11" s="0" t="n">
        <f aca="false">D8+D10+D24</f>
        <v>69.085349256</v>
      </c>
      <c r="E11" s="0" t="n">
        <f aca="false">E8+E10+E24</f>
        <v>81.244370725056</v>
      </c>
      <c r="F11" s="0" t="n">
        <f aca="false">F8+F10+F24</f>
        <v>92.4767273760915</v>
      </c>
      <c r="G11" s="0" t="n">
        <f aca="false">G8+G10+G24</f>
        <v>100.968956425276</v>
      </c>
      <c r="H11" s="0" t="n">
        <f aca="false">H8+H10+H24</f>
        <v>106.37610974963</v>
      </c>
      <c r="I11" s="0" t="n">
        <f aca="false">I8+I10+I24</f>
        <v>108.503631944622</v>
      </c>
      <c r="J11" s="0" t="n">
        <f aca="false">J8+J10+J24</f>
        <v>110.673704583515</v>
      </c>
      <c r="K11" s="0" t="n">
        <f aca="false">K8+K10+K24</f>
        <v>112.887178675185</v>
      </c>
      <c r="L11" s="0" t="n">
        <f aca="false">L8+L10+L24</f>
        <v>115.144922248689</v>
      </c>
    </row>
    <row r="12" customFormat="false" ht="15" hidden="false" customHeight="false" outlineLevel="0" collapsed="false">
      <c r="A12" s="0" t="s">
        <v>122</v>
      </c>
      <c r="C12" s="4" t="n">
        <f aca="false">-C6*Assumptions!C17/100</f>
        <v>-39.89731416</v>
      </c>
      <c r="D12" s="4" t="n">
        <f aca="false">-D6*Assumptions!D17/100</f>
        <v>-36.187563896</v>
      </c>
      <c r="E12" s="4" t="n">
        <f aca="false">-E6*Assumptions!E17/100</f>
        <v>-34.174219431968</v>
      </c>
      <c r="F12" s="4" t="n">
        <f aca="false">-F6*Assumptions!F17/100</f>
        <v>-32.562227949328</v>
      </c>
      <c r="G12" s="4" t="n">
        <f aca="false">-G6*Assumptions!G17/100</f>
        <v>-31.884933607982</v>
      </c>
      <c r="H12" s="4" t="n">
        <f aca="false">-H6*Assumptions!H17/100</f>
        <v>-31.1675226018024</v>
      </c>
      <c r="I12" s="4" t="n">
        <f aca="false">-I6*Assumptions!I17/100</f>
        <v>-31.0997671178854</v>
      </c>
      <c r="J12" s="4" t="n">
        <f aca="false">-J6*Assumptions!J17/100</f>
        <v>-31.7217624602431</v>
      </c>
      <c r="K12" s="4" t="n">
        <f aca="false">-K6*Assumptions!K17/100</f>
        <v>-32.356197709448</v>
      </c>
      <c r="L12" s="4" t="n">
        <f aca="false">-L6*Assumptions!L17/100</f>
        <v>-33.003321663637</v>
      </c>
    </row>
    <row r="13" customFormat="false" ht="15" hidden="false" customHeight="false" outlineLevel="0" collapsed="false">
      <c r="A13" s="0" t="s">
        <v>123</v>
      </c>
      <c r="C13" s="0" t="n">
        <f aca="false">C11+C12</f>
        <v>18.89872776</v>
      </c>
      <c r="D13" s="0" t="n">
        <f aca="false">D11+D12</f>
        <v>32.89778536</v>
      </c>
      <c r="E13" s="0" t="n">
        <f aca="false">E11+E12</f>
        <v>47.070151293088</v>
      </c>
      <c r="F13" s="0" t="n">
        <f aca="false">F11+F12</f>
        <v>59.9144994267635</v>
      </c>
      <c r="G13" s="0" t="n">
        <f aca="false">G11+G12</f>
        <v>69.0840228172943</v>
      </c>
      <c r="H13" s="0" t="n">
        <f aca="false">H11+H12</f>
        <v>75.2085871478275</v>
      </c>
      <c r="I13" s="0" t="n">
        <f aca="false">I11+I12</f>
        <v>77.4038648267371</v>
      </c>
      <c r="J13" s="0" t="n">
        <f aca="false">J11+J12</f>
        <v>78.9519421232718</v>
      </c>
      <c r="K13" s="0" t="n">
        <f aca="false">K11+K12</f>
        <v>80.5309809657372</v>
      </c>
      <c r="L13" s="0" t="n">
        <f aca="false">L11+L12</f>
        <v>82.141600585052</v>
      </c>
    </row>
    <row r="14" customFormat="false" ht="15" hidden="false" customHeight="false" outlineLevel="0" collapsed="false">
      <c r="A14" s="0" t="s">
        <v>109</v>
      </c>
      <c r="C14" s="4" t="n">
        <f aca="false">Assumptions!C19</f>
        <v>30</v>
      </c>
      <c r="D14" s="4" t="n">
        <f aca="false">Assumptions!D19</f>
        <v>30</v>
      </c>
      <c r="E14" s="4" t="n">
        <f aca="false">Assumptions!E19</f>
        <v>30</v>
      </c>
      <c r="F14" s="4" t="n">
        <f aca="false">Assumptions!F19</f>
        <v>30</v>
      </c>
      <c r="G14" s="4" t="n">
        <f aca="false">Assumptions!G19</f>
        <v>30</v>
      </c>
      <c r="H14" s="4" t="n">
        <f aca="false">Assumptions!H19</f>
        <v>30</v>
      </c>
      <c r="I14" s="4" t="n">
        <f aca="false">Assumptions!I19</f>
        <v>30</v>
      </c>
      <c r="J14" s="4" t="n">
        <f aca="false">Assumptions!J19</f>
        <v>30</v>
      </c>
      <c r="K14" s="4" t="n">
        <f aca="false">Assumptions!K19</f>
        <v>30</v>
      </c>
      <c r="L14" s="4" t="n">
        <f aca="false">Assumptions!L19</f>
        <v>30</v>
      </c>
    </row>
    <row r="15" customFormat="false" ht="15" hidden="false" customHeight="false" outlineLevel="0" collapsed="false">
      <c r="A15" s="0" t="s">
        <v>124</v>
      </c>
      <c r="C15" s="0" t="n">
        <f aca="false">C13-MAX(0,C13)*C14/100</f>
        <v>13.229109432</v>
      </c>
      <c r="D15" s="0" t="n">
        <f aca="false">D13-MAX(0,D13)*D14/100</f>
        <v>23.028449752</v>
      </c>
      <c r="E15" s="0" t="n">
        <f aca="false">E13-MAX(0,E13)*E14/100</f>
        <v>32.9491059051616</v>
      </c>
      <c r="F15" s="0" t="n">
        <f aca="false">F13-MAX(0,F13)*F14/100</f>
        <v>41.9401495987345</v>
      </c>
      <c r="G15" s="0" t="n">
        <f aca="false">G13-MAX(0,G13)*G14/100</f>
        <v>48.358815972106</v>
      </c>
      <c r="H15" s="0" t="n">
        <f aca="false">H13-MAX(0,H13)*H14/100</f>
        <v>52.6460110034792</v>
      </c>
      <c r="I15" s="0" t="n">
        <f aca="false">I13-MAX(0,I13)*I14/100</f>
        <v>54.1827053787159</v>
      </c>
      <c r="J15" s="0" t="n">
        <f aca="false">J13-MAX(0,J13)*J14/100</f>
        <v>55.2663594862902</v>
      </c>
      <c r="K15" s="0" t="n">
        <f aca="false">K13-MAX(0,K13)*K14/100</f>
        <v>56.3716866760161</v>
      </c>
      <c r="L15" s="0" t="n">
        <f aca="false">L13-MAX(0,L13)*L14/100</f>
        <v>57.4991204095364</v>
      </c>
    </row>
    <row r="16" customFormat="false" ht="15" hidden="false" customHeight="false" outlineLevel="0" collapsed="false">
      <c r="A16" s="0" t="s">
        <v>125</v>
      </c>
      <c r="C16" s="0" t="n">
        <f aca="false">-C12</f>
        <v>39.89731416</v>
      </c>
      <c r="D16" s="0" t="n">
        <f aca="false">-D12</f>
        <v>36.187563896</v>
      </c>
      <c r="E16" s="0" t="n">
        <f aca="false">-E12</f>
        <v>34.174219431968</v>
      </c>
      <c r="F16" s="0" t="n">
        <f aca="false">-F12</f>
        <v>32.562227949328</v>
      </c>
      <c r="G16" s="0" t="n">
        <f aca="false">-G12</f>
        <v>31.884933607982</v>
      </c>
      <c r="H16" s="0" t="n">
        <f aca="false">-H12</f>
        <v>31.1675226018024</v>
      </c>
      <c r="I16" s="0" t="n">
        <f aca="false">-I12</f>
        <v>31.0997671178854</v>
      </c>
      <c r="J16" s="0" t="n">
        <f aca="false">-J12</f>
        <v>31.7217624602431</v>
      </c>
      <c r="K16" s="0" t="n">
        <f aca="false">-K12</f>
        <v>32.356197709448</v>
      </c>
      <c r="L16" s="0" t="n">
        <f aca="false">-L12</f>
        <v>33.003321663637</v>
      </c>
    </row>
    <row r="17" customFormat="false" ht="15" hidden="false" customHeight="false" outlineLevel="0" collapsed="false">
      <c r="A17" s="0" t="s">
        <v>126</v>
      </c>
      <c r="C17" s="4" t="n">
        <f aca="false">-C6*Assumptions!C18/100</f>
        <v>-34.997644</v>
      </c>
      <c r="D17" s="4" t="n">
        <f aca="false">-D6*Assumptions!D18/100</f>
        <v>-32.89778536</v>
      </c>
      <c r="E17" s="4" t="n">
        <f aca="false">-E6*Assumptions!E18/100</f>
        <v>-30.950236466688</v>
      </c>
      <c r="F17" s="4" t="n">
        <f aca="false">-F6*Assumptions!F18/100</f>
        <v>-29.9572497133818</v>
      </c>
      <c r="G17" s="4" t="n">
        <f aca="false">-G6*Assumptions!G18/100</f>
        <v>-29.8921252574831</v>
      </c>
      <c r="H17" s="4" t="n">
        <f aca="false">-H6*Assumptions!H18/100</f>
        <v>-30.4899677626328</v>
      </c>
      <c r="I17" s="4" t="n">
        <f aca="false">-I6*Assumptions!I18/100</f>
        <v>-31.0997671178854</v>
      </c>
      <c r="J17" s="4" t="n">
        <f aca="false">-J6*Assumptions!J18/100</f>
        <v>-31.7217624602431</v>
      </c>
      <c r="K17" s="4" t="n">
        <f aca="false">-K6*Assumptions!K18/100</f>
        <v>-32.356197709448</v>
      </c>
      <c r="L17" s="4" t="n">
        <f aca="false">-L6*Assumptions!L18/100</f>
        <v>-33.003321663637</v>
      </c>
    </row>
    <row r="18" customFormat="false" ht="15" hidden="false" customHeight="false" outlineLevel="0" collapsed="false">
      <c r="A18" s="0" t="s">
        <v>127</v>
      </c>
      <c r="C18" s="4" t="n">
        <f aca="false">(C6-B6)*Assumptions!$B$23/100</f>
        <v>2.8634436</v>
      </c>
      <c r="D18" s="4" t="n">
        <f aca="false">(D6-C6)*Assumptions!$B$23/100</f>
        <v>1.259915184</v>
      </c>
      <c r="E18" s="4" t="n">
        <f aca="false">(E6-D6)*Assumptions!$B$23/100</f>
        <v>0.39477342432</v>
      </c>
      <c r="F18" s="4" t="n">
        <f aca="false">(F6-E6)*Assumptions!$B$23/100</f>
        <v>-0.193438977916801</v>
      </c>
      <c r="G18" s="4" t="n">
        <f aca="false">(G6-F6)*Assumptions!$B$23/100</f>
        <v>-0.390746735391936</v>
      </c>
      <c r="H18" s="4" t="n">
        <f aca="false">(H6-G6)*Assumptions!$B$23/100</f>
        <v>-0.398561670099774</v>
      </c>
      <c r="I18" s="4" t="n">
        <f aca="false">(I6-H6)*Assumptions!$B$23/100</f>
        <v>-0.406532903501771</v>
      </c>
      <c r="J18" s="4" t="n">
        <f aca="false">(J6-I6)*Assumptions!$B$23/100</f>
        <v>-0.414663561571806</v>
      </c>
      <c r="K18" s="4" t="n">
        <f aca="false">(K6-J6)*Assumptions!$B$23/100</f>
        <v>-0.422956832803242</v>
      </c>
      <c r="L18" s="4" t="n">
        <f aca="false">(L6-K6)*Assumptions!$B$23/100</f>
        <v>-0.431415969459307</v>
      </c>
    </row>
    <row r="19" customFormat="false" ht="15" hidden="false" customHeight="false" outlineLevel="0" collapsed="false">
      <c r="A19" s="0" t="s">
        <v>128</v>
      </c>
      <c r="C19" s="0" t="n">
        <f aca="false">C15+C16+C17+C18</f>
        <v>20.992223192</v>
      </c>
      <c r="D19" s="0" t="n">
        <f aca="false">D15+D16+D17+D18</f>
        <v>27.578143472</v>
      </c>
      <c r="E19" s="0" t="n">
        <f aca="false">E15+E16+E17+E18</f>
        <v>36.5678622947616</v>
      </c>
      <c r="F19" s="0" t="n">
        <f aca="false">F15+F16+F17+F18</f>
        <v>44.3516888567639</v>
      </c>
      <c r="G19" s="0" t="n">
        <f aca="false">G15+G16+G17+G18</f>
        <v>49.9608775872129</v>
      </c>
      <c r="H19" s="0" t="n">
        <f aca="false">H15+H16+H17+H18</f>
        <v>52.9250041725491</v>
      </c>
      <c r="I19" s="0" t="n">
        <f aca="false">I15+I16+I17+I18</f>
        <v>53.7761724752142</v>
      </c>
      <c r="J19" s="0" t="n">
        <f aca="false">J15+J16+J17+J18</f>
        <v>54.8516959247184</v>
      </c>
      <c r="K19" s="0" t="n">
        <f aca="false">K15+K16+K17+K18</f>
        <v>55.9487298432128</v>
      </c>
      <c r="L19" s="0" t="n">
        <f aca="false">L15+L16+L17+L18</f>
        <v>57.0677044400771</v>
      </c>
    </row>
    <row r="20" customFormat="false" ht="15" hidden="false" customHeight="false" outlineLevel="0" collapsed="false">
      <c r="A20" s="0" t="s">
        <v>129</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130</v>
      </c>
      <c r="C21" s="0" t="n">
        <f aca="false">C19*C20</f>
        <v>19.0838392654545</v>
      </c>
      <c r="D21" s="0" t="n">
        <f aca="false">D19*D20</f>
        <v>22.7918541090909</v>
      </c>
      <c r="E21" s="0" t="n">
        <f aca="false">E19*E20</f>
        <v>27.4739761793851</v>
      </c>
      <c r="F21" s="0" t="n">
        <f aca="false">F19*F20</f>
        <v>30.2928002573348</v>
      </c>
      <c r="G21" s="0" t="n">
        <f aca="false">G19*G20</f>
        <v>31.0217742126487</v>
      </c>
      <c r="H21" s="0" t="n">
        <f aca="false">H19*H20</f>
        <v>29.8747851033913</v>
      </c>
      <c r="I21" s="0" t="n">
        <f aca="false">I19*I20</f>
        <v>27.5956794730308</v>
      </c>
      <c r="J21" s="0" t="n">
        <f aca="false">J19*J20</f>
        <v>25.5887209659013</v>
      </c>
      <c r="K21" s="0" t="n">
        <f aca="false">K19*K20</f>
        <v>23.7277230774721</v>
      </c>
      <c r="L21" s="0" t="n">
        <f aca="false">L19*L20</f>
        <v>22.0020704900196</v>
      </c>
    </row>
    <row r="23" customFormat="false" ht="15" hidden="false" customHeight="false" outlineLevel="0" collapsed="false">
      <c r="A23" s="0" t="s">
        <v>106</v>
      </c>
      <c r="C23" s="4" t="n">
        <f aca="false">Assumptions!C16</f>
        <v>3.8</v>
      </c>
      <c r="D23" s="4" t="n">
        <f aca="false">Assumptions!D16</f>
        <v>3.7</v>
      </c>
      <c r="E23" s="4" t="n">
        <f aca="false">Assumptions!E16</f>
        <v>3.6</v>
      </c>
      <c r="F23" s="4" t="n">
        <f aca="false">Assumptions!F16</f>
        <v>3.5</v>
      </c>
      <c r="G23" s="4" t="n">
        <f aca="false">Assumptions!G16</f>
        <v>3.5</v>
      </c>
      <c r="H23" s="4" t="n">
        <f aca="false">Assumptions!H16</f>
        <v>3.5</v>
      </c>
      <c r="I23" s="4" t="n">
        <f aca="false">Assumptions!I16</f>
        <v>3.5</v>
      </c>
      <c r="J23" s="4" t="n">
        <f aca="false">Assumptions!J16</f>
        <v>3.5</v>
      </c>
      <c r="K23" s="4" t="n">
        <f aca="false">Assumptions!K16</f>
        <v>3.5</v>
      </c>
      <c r="L23" s="4" t="n">
        <f aca="false">Assumptions!L16</f>
        <v>3.5</v>
      </c>
    </row>
    <row r="24" customFormat="false" ht="15" hidden="false" customHeight="false" outlineLevel="0" collapsed="false">
      <c r="A24" s="0" t="s">
        <v>131</v>
      </c>
      <c r="C24" s="0" t="n">
        <f aca="false">-C6*C23/100</f>
        <v>-26.59820944</v>
      </c>
      <c r="D24" s="0" t="n">
        <f aca="false">-D6*D23/100</f>
        <v>-24.3443611664</v>
      </c>
      <c r="E24" s="0" t="n">
        <f aca="false">-E6*E23/100</f>
        <v>-23.212677350016</v>
      </c>
      <c r="F24" s="0" t="n">
        <f aca="false">-F6*F23/100</f>
        <v>-22.7935595645296</v>
      </c>
      <c r="G24" s="0" t="n">
        <f aca="false">-G6*G23/100</f>
        <v>-23.2494307558202</v>
      </c>
      <c r="H24" s="0" t="n">
        <f aca="false">-H6*H23/100</f>
        <v>-23.7144193709366</v>
      </c>
      <c r="I24" s="0" t="n">
        <f aca="false">-I6*I23/100</f>
        <v>-24.1887077583553</v>
      </c>
      <c r="J24" s="0" t="n">
        <f aca="false">-J6*J23/100</f>
        <v>-24.6724819135224</v>
      </c>
      <c r="K24" s="0" t="n">
        <f aca="false">-K6*K23/100</f>
        <v>-25.1659315517929</v>
      </c>
      <c r="L24" s="0" t="n">
        <f aca="false">-L6*L23/100</f>
        <v>-25.6692501828287</v>
      </c>
    </row>
    <row r="26" customFormat="false" ht="15" hidden="false" customHeight="false" outlineLevel="0" collapsed="false">
      <c r="A26" s="2" t="s">
        <v>132</v>
      </c>
    </row>
    <row r="27" customFormat="false" ht="15" hidden="false" customHeight="false" outlineLevel="0" collapsed="false">
      <c r="A27" s="0" t="s">
        <v>110</v>
      </c>
      <c r="B27" s="4" t="n">
        <f aca="false">Assumptions!$B$20</f>
        <v>10</v>
      </c>
    </row>
    <row r="28" customFormat="false" ht="15" hidden="false" customHeight="false" outlineLevel="0" collapsed="false">
      <c r="A28" s="0" t="s">
        <v>111</v>
      </c>
      <c r="B28" s="4" t="n">
        <f aca="false">Assumptions!$B$21</f>
        <v>1.5</v>
      </c>
    </row>
    <row r="29" customFormat="false" ht="15" hidden="false" customHeight="false" outlineLevel="0" collapsed="false">
      <c r="A29" s="0" t="s">
        <v>112</v>
      </c>
      <c r="B29" s="4" t="n">
        <f aca="false">Assumptions!$B$22</f>
        <v>15</v>
      </c>
    </row>
    <row r="30" customFormat="false" ht="15" hidden="false" customHeight="false" outlineLevel="0" collapsed="false">
      <c r="A30" s="0" t="s">
        <v>133</v>
      </c>
      <c r="B30" s="0" t="n">
        <f aca="false">SUM(C21:L21)</f>
        <v>259.453223133729</v>
      </c>
    </row>
    <row r="31" customFormat="false" ht="15" hidden="false" customHeight="false" outlineLevel="0" collapsed="false">
      <c r="A31" s="0" t="s">
        <v>134</v>
      </c>
      <c r="B31" s="0" t="n">
        <f aca="false">L19</f>
        <v>57.0677044400771</v>
      </c>
    </row>
    <row r="32" customFormat="false" ht="15" hidden="false" customHeight="false" outlineLevel="0" collapsed="false">
      <c r="A32" s="0" t="s">
        <v>135</v>
      </c>
      <c r="B32" s="0" t="n">
        <f aca="false">IF(B27&gt;B28,B31*(1+B28/100)/((B27-B28)/100),B31*B29)</f>
        <v>681.455529490332</v>
      </c>
    </row>
    <row r="33" customFormat="false" ht="15" hidden="false" customHeight="false" outlineLevel="0" collapsed="false">
      <c r="A33" s="0" t="s">
        <v>136</v>
      </c>
      <c r="B33" s="0" t="n">
        <f aca="false">B31*B29</f>
        <v>856.015566601156</v>
      </c>
    </row>
    <row r="34" customFormat="false" ht="15" hidden="false" customHeight="false" outlineLevel="0" collapsed="false">
      <c r="A34" s="0" t="s">
        <v>137</v>
      </c>
      <c r="B34" s="0" t="n">
        <f aca="false">MAX(0,MIN(B32,B33))</f>
        <v>681.455529490332</v>
      </c>
    </row>
    <row r="35" customFormat="false" ht="15" hidden="false" customHeight="false" outlineLevel="0" collapsed="false">
      <c r="A35" s="0" t="s">
        <v>138</v>
      </c>
      <c r="B35" s="0" t="n">
        <f aca="false">B34/(1+B27/100)^L4</f>
        <v>262.730606439646</v>
      </c>
    </row>
    <row r="36" customFormat="false" ht="15" hidden="false" customHeight="false" outlineLevel="0" collapsed="false">
      <c r="A36" s="0" t="s">
        <v>139</v>
      </c>
      <c r="B36" s="0" t="n">
        <f aca="false">B30+B35</f>
        <v>522.183829573375</v>
      </c>
    </row>
    <row r="37" customFormat="false" ht="15" hidden="false" customHeight="false" outlineLevel="0" collapsed="false">
      <c r="A37" s="0" t="s">
        <v>140</v>
      </c>
      <c r="B37" s="0" t="n">
        <f aca="false">B36+Assumptions!$B$5-Assumptions!$B$4</f>
        <v>402.168829573375</v>
      </c>
    </row>
    <row r="38" customFormat="false" ht="15" hidden="false" customHeight="false" outlineLevel="0" collapsed="false">
      <c r="A38" s="0" t="s">
        <v>141</v>
      </c>
      <c r="B38" s="0" t="n">
        <f aca="false">B37/Assumptions!$B$3*Assumptions!$B$10</f>
        <v>1.43410462990449</v>
      </c>
    </row>
    <row r="39" customFormat="false" ht="15" hidden="false" customHeight="false" outlineLevel="0" collapsed="false">
      <c r="A39" s="0" t="s">
        <v>142</v>
      </c>
      <c r="B39" s="4" t="n">
        <f aca="false">B38/Assumptions!$B$2-1</f>
        <v>-0.272028106647469</v>
      </c>
    </row>
    <row r="41" customFormat="false" ht="15" hidden="false" customHeight="false" outlineLevel="0" collapsed="false">
      <c r="A41" s="0" t="s">
        <v>143</v>
      </c>
      <c r="B41" s="0" t="n">
        <f aca="false">SUMPRODUCT(-C10:L10/(1+$B$27/100)^C4:L4)</f>
        <v>33.4036753420296</v>
      </c>
    </row>
    <row r="42" customFormat="false" ht="15" hidden="false" customHeight="false" outlineLevel="0" collapsed="false">
      <c r="A42" s="0" t="s">
        <v>144</v>
      </c>
      <c r="B42" s="0" t="n">
        <f aca="false">IF(B27&gt;B28,-L10*(1+B28/100)/((B27-B28)/100),-L10*20)/(1+B27/100)^L4</f>
        <v>27.0119159931901</v>
      </c>
    </row>
    <row r="43" customFormat="false" ht="15" hidden="false" customHeight="false" outlineLevel="0" collapsed="false">
      <c r="A43" s="0" t="s">
        <v>145</v>
      </c>
      <c r="B43" s="0" t="n">
        <f aca="false">(B37+B41+B42)/Assumptions!$B$3*Assumptions!$B$10</f>
        <v>1.64954220955025</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429.064592642061</v>
      </c>
    </row>
    <row r="47" customFormat="false" ht="15" hidden="false" customHeight="false" outlineLevel="0" collapsed="false">
      <c r="A47" s="0" t="s">
        <v>147</v>
      </c>
      <c r="B47" s="0" t="n">
        <f aca="false">(SUMPRODUCT(C19:L19/(1+B45/100)^C4:L4)+B46/(1+B45/100)^L4+Assumptions!$B$5-Assumptions!$B$4)/Assumptions!$B$3*Assumptions!$B$10</f>
        <v>0.679062369028983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-7</v>
      </c>
      <c r="D5" s="4" t="n">
        <f aca="false">Assumptions!D27</f>
        <v>2</v>
      </c>
      <c r="E5" s="4" t="n">
        <f aca="false">Assumptions!E27</f>
        <v>6</v>
      </c>
      <c r="F5" s="4" t="n">
        <f aca="false">Assumptions!F27</f>
        <v>6</v>
      </c>
      <c r="G5" s="4" t="n">
        <f aca="false">Assumptions!G27</f>
        <v>5</v>
      </c>
      <c r="H5" s="4" t="n">
        <f aca="false">Assumptions!H27</f>
        <v>4</v>
      </c>
      <c r="I5" s="4" t="n">
        <f aca="false">Assumptions!I27</f>
        <v>3.5</v>
      </c>
      <c r="J5" s="4" t="n">
        <f aca="false">Assumptions!J27</f>
        <v>3</v>
      </c>
      <c r="K5" s="4" t="n">
        <f aca="false">Assumptions!K27</f>
        <v>3</v>
      </c>
      <c r="L5" s="4" t="n">
        <f aca="false">Assumptions!L27</f>
        <v>3</v>
      </c>
    </row>
    <row r="6" customFormat="false" ht="15" hidden="false" customHeight="false" outlineLevel="0" collapsed="false">
      <c r="A6" s="0" t="s">
        <v>37</v>
      </c>
      <c r="B6" s="3" t="n">
        <v>795.401</v>
      </c>
      <c r="C6" s="0" t="n">
        <f aca="false">B6*(1+C5/100)</f>
        <v>739.72293</v>
      </c>
      <c r="D6" s="0" t="n">
        <f aca="false">C6*(1+D5/100)</f>
        <v>754.5173886</v>
      </c>
      <c r="E6" s="0" t="n">
        <f aca="false">D6*(1+E5/100)</f>
        <v>799.788431916</v>
      </c>
      <c r="F6" s="0" t="n">
        <f aca="false">E6*(1+F5/100)</f>
        <v>847.77573783096</v>
      </c>
      <c r="G6" s="0" t="n">
        <f aca="false">F6*(1+G5/100)</f>
        <v>890.164524722508</v>
      </c>
      <c r="H6" s="0" t="n">
        <f aca="false">G6*(1+H5/100)</f>
        <v>925.771105711408</v>
      </c>
      <c r="I6" s="0" t="n">
        <f aca="false">H6*(1+I5/100)</f>
        <v>958.173094411308</v>
      </c>
      <c r="J6" s="0" t="n">
        <f aca="false">I6*(1+J5/100)</f>
        <v>986.918287243647</v>
      </c>
      <c r="K6" s="0" t="n">
        <f aca="false">J6*(1+K5/100)</f>
        <v>1016.52583586096</v>
      </c>
      <c r="L6" s="0" t="n">
        <f aca="false">K6*(1+L5/100)</f>
        <v>1047.02161093679</v>
      </c>
    </row>
    <row r="7" customFormat="false" ht="15" hidden="false" customHeight="false" outlineLevel="0" collapsed="false">
      <c r="A7" s="0" t="s">
        <v>104</v>
      </c>
      <c r="C7" s="4" t="n">
        <f aca="false">Assumptions!C28</f>
        <v>16</v>
      </c>
      <c r="D7" s="4" t="n">
        <f aca="false">Assumptions!D28</f>
        <v>20</v>
      </c>
      <c r="E7" s="4" t="n">
        <f aca="false">Assumptions!E28</f>
        <v>22</v>
      </c>
      <c r="F7" s="4" t="n">
        <f aca="false">Assumptions!F28</f>
        <v>22.5</v>
      </c>
      <c r="G7" s="4" t="n">
        <f aca="false">Assumptions!G28</f>
        <v>23</v>
      </c>
      <c r="H7" s="4" t="n">
        <f aca="false">Assumptions!H28</f>
        <v>23</v>
      </c>
      <c r="I7" s="4" t="n">
        <f aca="false">Assumptions!I28</f>
        <v>23</v>
      </c>
      <c r="J7" s="4" t="n">
        <f aca="false">Assumptions!J28</f>
        <v>23</v>
      </c>
      <c r="K7" s="4" t="n">
        <f aca="false">Assumptions!K28</f>
        <v>23</v>
      </c>
      <c r="L7" s="4" t="n">
        <f aca="false">Assumptions!L28</f>
        <v>23</v>
      </c>
    </row>
    <row r="8" customFormat="false" ht="15" hidden="false" customHeight="false" outlineLevel="0" collapsed="false">
      <c r="A8" s="0" t="s">
        <v>43</v>
      </c>
      <c r="C8" s="0" t="n">
        <f aca="false">C6*C7/100</f>
        <v>118.3556688</v>
      </c>
      <c r="D8" s="0" t="n">
        <f aca="false">D6*D7/100</f>
        <v>150.90347772</v>
      </c>
      <c r="E8" s="0" t="n">
        <f aca="false">E6*E7/100</f>
        <v>175.95345502152</v>
      </c>
      <c r="F8" s="0" t="n">
        <f aca="false">F6*F7/100</f>
        <v>190.749541011966</v>
      </c>
      <c r="G8" s="0" t="n">
        <f aca="false">G6*G7/100</f>
        <v>204.737840686177</v>
      </c>
      <c r="H8" s="0" t="n">
        <f aca="false">H6*H7/100</f>
        <v>212.927354313624</v>
      </c>
      <c r="I8" s="0" t="n">
        <f aca="false">I6*I7/100</f>
        <v>220.379811714601</v>
      </c>
      <c r="J8" s="0" t="n">
        <f aca="false">J6*J7/100</f>
        <v>226.991206066039</v>
      </c>
      <c r="K8" s="0" t="n">
        <f aca="false">K6*K7/100</f>
        <v>233.80094224802</v>
      </c>
      <c r="L8" s="0" t="n">
        <f aca="false">L6*L7/100</f>
        <v>240.814970515461</v>
      </c>
    </row>
    <row r="9" customFormat="false" ht="15" hidden="false" customHeight="false" outlineLevel="0" collapsed="false">
      <c r="A9" s="0" t="s">
        <v>105</v>
      </c>
      <c r="C9" s="4" t="n">
        <f aca="false">Assumptions!C29</f>
        <v>0.8</v>
      </c>
      <c r="D9" s="4" t="n">
        <f aca="false">Assumptions!D29</f>
        <v>0.8</v>
      </c>
      <c r="E9" s="4" t="n">
        <f aca="false">Assumptions!E29</f>
        <v>0.8</v>
      </c>
      <c r="F9" s="4" t="n">
        <f aca="false">Assumptions!F29</f>
        <v>0.8</v>
      </c>
      <c r="G9" s="4" t="n">
        <f aca="false">Assumptions!G29</f>
        <v>0.8</v>
      </c>
      <c r="H9" s="4" t="n">
        <f aca="false">Assumptions!H29</f>
        <v>0.8</v>
      </c>
      <c r="I9" s="4" t="n">
        <f aca="false">Assumptions!I29</f>
        <v>0.8</v>
      </c>
      <c r="J9" s="4" t="n">
        <f aca="false">Assumptions!J29</f>
        <v>0.8</v>
      </c>
      <c r="K9" s="4" t="n">
        <f aca="false">Assumptions!K29</f>
        <v>0.8</v>
      </c>
      <c r="L9" s="4" t="n">
        <f aca="false">Assumptions!L29</f>
        <v>0.8</v>
      </c>
    </row>
    <row r="10" customFormat="false" ht="15" hidden="false" customHeight="false" outlineLevel="0" collapsed="false">
      <c r="A10" s="0" t="s">
        <v>120</v>
      </c>
      <c r="C10" s="0" t="n">
        <f aca="false">-C6*C9/100</f>
        <v>-5.91778344</v>
      </c>
      <c r="D10" s="0" t="n">
        <f aca="false">-D6*D9/100</f>
        <v>-6.0361391088</v>
      </c>
      <c r="E10" s="0" t="n">
        <f aca="false">-E6*E9/100</f>
        <v>-6.398307455328</v>
      </c>
      <c r="F10" s="0" t="n">
        <f aca="false">-F6*F9/100</f>
        <v>-6.78220590264768</v>
      </c>
      <c r="G10" s="0" t="n">
        <f aca="false">-G6*G9/100</f>
        <v>-7.12131619778007</v>
      </c>
      <c r="H10" s="0" t="n">
        <f aca="false">-H6*H9/100</f>
        <v>-7.40616884569127</v>
      </c>
      <c r="I10" s="0" t="n">
        <f aca="false">-I6*I9/100</f>
        <v>-7.66538475529046</v>
      </c>
      <c r="J10" s="0" t="n">
        <f aca="false">-J6*J9/100</f>
        <v>-7.89534629794918</v>
      </c>
      <c r="K10" s="0" t="n">
        <f aca="false">-K6*K9/100</f>
        <v>-8.13220668688765</v>
      </c>
      <c r="L10" s="0" t="n">
        <f aca="false">-L6*L9/100</f>
        <v>-8.37617288749428</v>
      </c>
    </row>
    <row r="11" customFormat="false" ht="15" hidden="false" customHeight="false" outlineLevel="0" collapsed="false">
      <c r="A11" s="0" t="s">
        <v>121</v>
      </c>
      <c r="C11" s="0" t="n">
        <f aca="false">C8+C10+C24</f>
        <v>86.54758281</v>
      </c>
      <c r="D11" s="0" t="n">
        <f aca="false">D8+D10+D24</f>
        <v>119.2137473988</v>
      </c>
      <c r="E11" s="0" t="n">
        <f aca="false">E8+E10+E24</f>
        <v>143.162129312964</v>
      </c>
      <c r="F11" s="0" t="n">
        <f aca="false">F8+F10+F24</f>
        <v>156.838511498728</v>
      </c>
      <c r="G11" s="0" t="n">
        <f aca="false">G8+G10+G24</f>
        <v>169.131259697277</v>
      </c>
      <c r="H11" s="0" t="n">
        <f aca="false">H8+H10+H24</f>
        <v>175.896510085168</v>
      </c>
      <c r="I11" s="0" t="n">
        <f aca="false">I8+I10+I24</f>
        <v>182.052887938148</v>
      </c>
      <c r="J11" s="0" t="n">
        <f aca="false">J8+J10+J24</f>
        <v>187.514474576293</v>
      </c>
      <c r="K11" s="0" t="n">
        <f aca="false">K8+K10+K24</f>
        <v>193.139908813582</v>
      </c>
      <c r="L11" s="0" t="n">
        <f aca="false">L8+L10+L24</f>
        <v>198.934106077989</v>
      </c>
    </row>
    <row r="12" customFormat="false" ht="15" hidden="false" customHeight="false" outlineLevel="0" collapsed="false">
      <c r="A12" s="0" t="s">
        <v>122</v>
      </c>
      <c r="C12" s="4" t="n">
        <f aca="false">-C6*Assumptions!C31/100</f>
        <v>-40.68476115</v>
      </c>
      <c r="D12" s="4" t="n">
        <f aca="false">-D6*Assumptions!D31/100</f>
        <v>-39.9894215958</v>
      </c>
      <c r="E12" s="4" t="n">
        <f aca="false">-E6*Assumptions!E31/100</f>
        <v>-40.789210027716</v>
      </c>
      <c r="F12" s="4" t="n">
        <f aca="false">-F6*Assumptions!F31/100</f>
        <v>-41.541011153717</v>
      </c>
      <c r="G12" s="4" t="n">
        <f aca="false">-G6*Assumptions!G31/100</f>
        <v>-41.8377326619579</v>
      </c>
      <c r="H12" s="4" t="n">
        <f aca="false">-H6*Assumptions!H31/100</f>
        <v>-42.5854708627248</v>
      </c>
      <c r="I12" s="4" t="n">
        <f aca="false">-I6*Assumptions!I31/100</f>
        <v>-43.1177892485088</v>
      </c>
      <c r="J12" s="4" t="n">
        <f aca="false">-J6*Assumptions!J31/100</f>
        <v>-44.4113229259641</v>
      </c>
      <c r="K12" s="4" t="n">
        <f aca="false">-K6*Assumptions!K31/100</f>
        <v>-45.743662613743</v>
      </c>
      <c r="L12" s="4" t="n">
        <f aca="false">-L6*Assumptions!L31/100</f>
        <v>-47.1159724921553</v>
      </c>
    </row>
    <row r="13" customFormat="false" ht="15" hidden="false" customHeight="false" outlineLevel="0" collapsed="false">
      <c r="A13" s="0" t="s">
        <v>123</v>
      </c>
      <c r="C13" s="0" t="n">
        <f aca="false">C11+C12</f>
        <v>45.86282166</v>
      </c>
      <c r="D13" s="0" t="n">
        <f aca="false">D11+D12</f>
        <v>79.224325803</v>
      </c>
      <c r="E13" s="0" t="n">
        <f aca="false">E11+E12</f>
        <v>102.372919285248</v>
      </c>
      <c r="F13" s="0" t="n">
        <f aca="false">F11+F12</f>
        <v>115.297500345011</v>
      </c>
      <c r="G13" s="0" t="n">
        <f aca="false">G11+G12</f>
        <v>127.293527035319</v>
      </c>
      <c r="H13" s="0" t="n">
        <f aca="false">H11+H12</f>
        <v>133.311039222443</v>
      </c>
      <c r="I13" s="0" t="n">
        <f aca="false">I11+I12</f>
        <v>138.93509868964</v>
      </c>
      <c r="J13" s="0" t="n">
        <f aca="false">J11+J12</f>
        <v>143.103151650329</v>
      </c>
      <c r="K13" s="0" t="n">
        <f aca="false">K11+K12</f>
        <v>147.396246199839</v>
      </c>
      <c r="L13" s="0" t="n">
        <f aca="false">L11+L12</f>
        <v>151.818133585834</v>
      </c>
    </row>
    <row r="14" customFormat="false" ht="15" hidden="false" customHeight="false" outlineLevel="0" collapsed="false">
      <c r="A14" s="0" t="s">
        <v>109</v>
      </c>
      <c r="C14" s="4" t="n">
        <f aca="false">Assumptions!C33</f>
        <v>30</v>
      </c>
      <c r="D14" s="4" t="n">
        <f aca="false">Assumptions!D33</f>
        <v>30</v>
      </c>
      <c r="E14" s="4" t="n">
        <f aca="false">Assumptions!E33</f>
        <v>30</v>
      </c>
      <c r="F14" s="4" t="n">
        <f aca="false">Assumptions!F33</f>
        <v>30</v>
      </c>
      <c r="G14" s="4" t="n">
        <f aca="false">Assumptions!G33</f>
        <v>30</v>
      </c>
      <c r="H14" s="4" t="n">
        <f aca="false">Assumptions!H33</f>
        <v>30</v>
      </c>
      <c r="I14" s="4" t="n">
        <f aca="false">Assumptions!I33</f>
        <v>30</v>
      </c>
      <c r="J14" s="4" t="n">
        <f aca="false">Assumptions!J33</f>
        <v>30</v>
      </c>
      <c r="K14" s="4" t="n">
        <f aca="false">Assumptions!K33</f>
        <v>30</v>
      </c>
      <c r="L14" s="4" t="n">
        <f aca="false">Assumptions!L33</f>
        <v>30</v>
      </c>
    </row>
    <row r="15" customFormat="false" ht="15" hidden="false" customHeight="false" outlineLevel="0" collapsed="false">
      <c r="A15" s="0" t="s">
        <v>124</v>
      </c>
      <c r="C15" s="0" t="n">
        <f aca="false">C13-MAX(0,C13)*C14/100</f>
        <v>32.103975162</v>
      </c>
      <c r="D15" s="0" t="n">
        <f aca="false">D13-MAX(0,D13)*D14/100</f>
        <v>55.4570280621</v>
      </c>
      <c r="E15" s="0" t="n">
        <f aca="false">E13-MAX(0,E13)*E14/100</f>
        <v>71.6610434996736</v>
      </c>
      <c r="F15" s="0" t="n">
        <f aca="false">F13-MAX(0,F13)*F14/100</f>
        <v>80.7082502415074</v>
      </c>
      <c r="G15" s="0" t="n">
        <f aca="false">G13-MAX(0,G13)*G14/100</f>
        <v>89.1054689247231</v>
      </c>
      <c r="H15" s="0" t="n">
        <f aca="false">H13-MAX(0,H13)*H14/100</f>
        <v>93.31772745571</v>
      </c>
      <c r="I15" s="0" t="n">
        <f aca="false">I13-MAX(0,I13)*I14/100</f>
        <v>97.2545690827477</v>
      </c>
      <c r="J15" s="0" t="n">
        <f aca="false">J13-MAX(0,J13)*J14/100</f>
        <v>100.17220615523</v>
      </c>
      <c r="K15" s="0" t="n">
        <f aca="false">K13-MAX(0,K13)*K14/100</f>
        <v>103.177372339887</v>
      </c>
      <c r="L15" s="0" t="n">
        <f aca="false">L13-MAX(0,L13)*L14/100</f>
        <v>106.272693510084</v>
      </c>
    </row>
    <row r="16" customFormat="false" ht="15" hidden="false" customHeight="false" outlineLevel="0" collapsed="false">
      <c r="A16" s="0" t="s">
        <v>125</v>
      </c>
      <c r="C16" s="0" t="n">
        <f aca="false">-C12</f>
        <v>40.68476115</v>
      </c>
      <c r="D16" s="0" t="n">
        <f aca="false">-D12</f>
        <v>39.9894215958</v>
      </c>
      <c r="E16" s="0" t="n">
        <f aca="false">-E12</f>
        <v>40.789210027716</v>
      </c>
      <c r="F16" s="0" t="n">
        <f aca="false">-F12</f>
        <v>41.541011153717</v>
      </c>
      <c r="G16" s="0" t="n">
        <f aca="false">-G12</f>
        <v>41.8377326619579</v>
      </c>
      <c r="H16" s="0" t="n">
        <f aca="false">-H12</f>
        <v>42.5854708627248</v>
      </c>
      <c r="I16" s="0" t="n">
        <f aca="false">-I12</f>
        <v>43.1177892485088</v>
      </c>
      <c r="J16" s="0" t="n">
        <f aca="false">-J12</f>
        <v>44.4113229259641</v>
      </c>
      <c r="K16" s="0" t="n">
        <f aca="false">-K12</f>
        <v>45.743662613743</v>
      </c>
      <c r="L16" s="0" t="n">
        <f aca="false">-L12</f>
        <v>47.1159724921553</v>
      </c>
    </row>
    <row r="17" customFormat="false" ht="15" hidden="false" customHeight="false" outlineLevel="0" collapsed="false">
      <c r="A17" s="0" t="s">
        <v>126</v>
      </c>
      <c r="C17" s="4" t="n">
        <f aca="false">-C6*Assumptions!C32/100</f>
        <v>-36.9861465</v>
      </c>
      <c r="D17" s="4" t="n">
        <f aca="false">-D6*Assumptions!D32/100</f>
        <v>-37.72586943</v>
      </c>
      <c r="E17" s="4" t="n">
        <f aca="false">-E6*Assumptions!E32/100</f>
        <v>-38.389844731968</v>
      </c>
      <c r="F17" s="4" t="n">
        <f aca="false">-F6*Assumptions!F32/100</f>
        <v>-38.9976839402242</v>
      </c>
      <c r="G17" s="4" t="n">
        <f aca="false">-G6*Assumptions!G32/100</f>
        <v>-40.0574036125129</v>
      </c>
      <c r="H17" s="4" t="n">
        <f aca="false">-H6*Assumptions!H32/100</f>
        <v>-41.6596997570134</v>
      </c>
      <c r="I17" s="4" t="n">
        <f aca="false">-I6*Assumptions!I32/100</f>
        <v>-43.1177892485088</v>
      </c>
      <c r="J17" s="4" t="n">
        <f aca="false">-J6*Assumptions!J32/100</f>
        <v>-44.4113229259641</v>
      </c>
      <c r="K17" s="4" t="n">
        <f aca="false">-K6*Assumptions!K32/100</f>
        <v>-45.743662613743</v>
      </c>
      <c r="L17" s="4" t="n">
        <f aca="false">-L6*Assumptions!L32/100</f>
        <v>-47.1159724921553</v>
      </c>
    </row>
    <row r="18" customFormat="false" ht="15" hidden="false" customHeight="false" outlineLevel="0" collapsed="false">
      <c r="A18" s="0" t="s">
        <v>127</v>
      </c>
      <c r="C18" s="4" t="n">
        <f aca="false">(C6-B6)*Assumptions!$B$37/100</f>
        <v>1.6703421</v>
      </c>
      <c r="D18" s="4" t="n">
        <f aca="false">(D6-C6)*Assumptions!$B$37/100</f>
        <v>-0.443833758</v>
      </c>
      <c r="E18" s="4" t="n">
        <f aca="false">(E6-D6)*Assumptions!$B$37/100</f>
        <v>-1.35813129948</v>
      </c>
      <c r="F18" s="4" t="n">
        <f aca="false">(F6-E6)*Assumptions!$B$37/100</f>
        <v>-1.4396191774488</v>
      </c>
      <c r="G18" s="4" t="n">
        <f aca="false">(G6-F6)*Assumptions!$B$37/100</f>
        <v>-1.27166360674644</v>
      </c>
      <c r="H18" s="4" t="n">
        <f aca="false">(H6-G6)*Assumptions!$B$37/100</f>
        <v>-1.06819742966701</v>
      </c>
      <c r="I18" s="4" t="n">
        <f aca="false">(I6-H6)*Assumptions!$B$37/100</f>
        <v>-0.972059660996977</v>
      </c>
      <c r="J18" s="4" t="n">
        <f aca="false">(J6-I6)*Assumptions!$B$37/100</f>
        <v>-0.862355784970179</v>
      </c>
      <c r="K18" s="4" t="n">
        <f aca="false">(K6-J6)*Assumptions!$B$37/100</f>
        <v>-0.888226458519284</v>
      </c>
      <c r="L18" s="4" t="n">
        <f aca="false">(L6-K6)*Assumptions!$B$37/100</f>
        <v>-0.914873252274859</v>
      </c>
    </row>
    <row r="19" customFormat="false" ht="15" hidden="false" customHeight="false" outlineLevel="0" collapsed="false">
      <c r="A19" s="0" t="s">
        <v>128</v>
      </c>
      <c r="C19" s="0" t="n">
        <f aca="false">C15+C16+C17+C18</f>
        <v>37.472931912</v>
      </c>
      <c r="D19" s="0" t="n">
        <f aca="false">D15+D16+D17+D18</f>
        <v>57.2767464699</v>
      </c>
      <c r="E19" s="0" t="n">
        <f aca="false">E15+E16+E17+E18</f>
        <v>72.7022774959416</v>
      </c>
      <c r="F19" s="0" t="n">
        <f aca="false">F15+F16+F17+F18</f>
        <v>81.8119582775514</v>
      </c>
      <c r="G19" s="0" t="n">
        <f aca="false">G15+G16+G17+G18</f>
        <v>89.6141343674216</v>
      </c>
      <c r="H19" s="0" t="n">
        <f aca="false">H15+H16+H17+H18</f>
        <v>93.1753011317544</v>
      </c>
      <c r="I19" s="0" t="n">
        <f aca="false">I15+I16+I17+I18</f>
        <v>96.2825094217508</v>
      </c>
      <c r="J19" s="0" t="n">
        <f aca="false">J15+J16+J17+J18</f>
        <v>99.30985037026</v>
      </c>
      <c r="K19" s="0" t="n">
        <f aca="false">K15+K16+K17+K18</f>
        <v>102.289145881368</v>
      </c>
      <c r="L19" s="0" t="n">
        <f aca="false">L15+L16+L17+L18</f>
        <v>105.357820257809</v>
      </c>
    </row>
    <row r="20" customFormat="false" ht="15" hidden="false" customHeight="false" outlineLevel="0" collapsed="false">
      <c r="A20" s="0" t="s">
        <v>129</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130</v>
      </c>
      <c r="C21" s="0" t="n">
        <f aca="false">C19*C20</f>
        <v>34.0663017381818</v>
      </c>
      <c r="D21" s="0" t="n">
        <f aca="false">D19*D20</f>
        <v>47.3361541073554</v>
      </c>
      <c r="E21" s="0" t="n">
        <f aca="false">E19*E20</f>
        <v>54.6222971419546</v>
      </c>
      <c r="F21" s="0" t="n">
        <f aca="false">F19*F20</f>
        <v>55.8786683133334</v>
      </c>
      <c r="G21" s="0" t="n">
        <f aca="false">G19*G20</f>
        <v>55.6433268762203</v>
      </c>
      <c r="H21" s="0" t="n">
        <f aca="false">H19*H20</f>
        <v>52.5950284137855</v>
      </c>
      <c r="I21" s="0" t="n">
        <f aca="false">I19*I20</f>
        <v>49.4081513533959</v>
      </c>
      <c r="J21" s="0" t="n">
        <f aca="false">J19*J20</f>
        <v>46.3287781252506</v>
      </c>
      <c r="K21" s="0" t="n">
        <f aca="false">K19*K20</f>
        <v>43.3805831536437</v>
      </c>
      <c r="L21" s="0" t="n">
        <f aca="false">L19*L20</f>
        <v>40.6200005893209</v>
      </c>
    </row>
    <row r="23" customFormat="false" ht="15" hidden="false" customHeight="false" outlineLevel="0" collapsed="false">
      <c r="A23" s="0" t="s">
        <v>106</v>
      </c>
      <c r="C23" s="4" t="n">
        <f aca="false">Assumptions!C30</f>
        <v>3.5</v>
      </c>
      <c r="D23" s="4" t="n">
        <f aca="false">Assumptions!D30</f>
        <v>3.4</v>
      </c>
      <c r="E23" s="4" t="n">
        <f aca="false">Assumptions!E30</f>
        <v>3.3</v>
      </c>
      <c r="F23" s="4" t="n">
        <f aca="false">Assumptions!F30</f>
        <v>3.2</v>
      </c>
      <c r="G23" s="4" t="n">
        <f aca="false">Assumptions!G30</f>
        <v>3.2</v>
      </c>
      <c r="H23" s="4" t="n">
        <f aca="false">Assumptions!H30</f>
        <v>3.2</v>
      </c>
      <c r="I23" s="4" t="n">
        <f aca="false">Assumptions!I30</f>
        <v>3.2</v>
      </c>
      <c r="J23" s="4" t="n">
        <f aca="false">Assumptions!J30</f>
        <v>3.2</v>
      </c>
      <c r="K23" s="4" t="n">
        <f aca="false">Assumptions!K30</f>
        <v>3.2</v>
      </c>
      <c r="L23" s="4" t="n">
        <f aca="false">Assumptions!L30</f>
        <v>3.2</v>
      </c>
    </row>
    <row r="24" customFormat="false" ht="15" hidden="false" customHeight="false" outlineLevel="0" collapsed="false">
      <c r="A24" s="0" t="s">
        <v>131</v>
      </c>
      <c r="C24" s="0" t="n">
        <f aca="false">-C6*C23/100</f>
        <v>-25.89030255</v>
      </c>
      <c r="D24" s="0" t="n">
        <f aca="false">-D6*D23/100</f>
        <v>-25.6535912124</v>
      </c>
      <c r="E24" s="0" t="n">
        <f aca="false">-E6*E23/100</f>
        <v>-26.393018253228</v>
      </c>
      <c r="F24" s="0" t="n">
        <f aca="false">-F6*F23/100</f>
        <v>-27.1288236105907</v>
      </c>
      <c r="G24" s="0" t="n">
        <f aca="false">-G6*G23/100</f>
        <v>-28.4852647911203</v>
      </c>
      <c r="H24" s="0" t="n">
        <f aca="false">-H6*H23/100</f>
        <v>-29.6246753827651</v>
      </c>
      <c r="I24" s="0" t="n">
        <f aca="false">-I6*I23/100</f>
        <v>-30.6615390211618</v>
      </c>
      <c r="J24" s="0" t="n">
        <f aca="false">-J6*J23/100</f>
        <v>-31.5813851917967</v>
      </c>
      <c r="K24" s="0" t="n">
        <f aca="false">-K6*K23/100</f>
        <v>-32.5288267475506</v>
      </c>
      <c r="L24" s="0" t="n">
        <f aca="false">-L6*L23/100</f>
        <v>-33.5046915499771</v>
      </c>
    </row>
    <row r="26" customFormat="false" ht="15" hidden="false" customHeight="false" outlineLevel="0" collapsed="false">
      <c r="A26" s="2" t="s">
        <v>132</v>
      </c>
    </row>
    <row r="27" customFormat="false" ht="15" hidden="false" customHeight="false" outlineLevel="0" collapsed="false">
      <c r="A27" s="0" t="s">
        <v>110</v>
      </c>
      <c r="B27" s="4" t="n">
        <f aca="false">Assumptions!$B$34</f>
        <v>10</v>
      </c>
    </row>
    <row r="28" customFormat="false" ht="15" hidden="false" customHeight="false" outlineLevel="0" collapsed="false">
      <c r="A28" s="0" t="s">
        <v>111</v>
      </c>
      <c r="B28" s="4" t="n">
        <f aca="false">Assumptions!$B$35</f>
        <v>2.5</v>
      </c>
    </row>
    <row r="29" customFormat="false" ht="15" hidden="false" customHeight="false" outlineLevel="0" collapsed="false">
      <c r="A29" s="0" t="s">
        <v>112</v>
      </c>
      <c r="B29" s="4" t="n">
        <f aca="false">Assumptions!$B$36</f>
        <v>15</v>
      </c>
    </row>
    <row r="30" customFormat="false" ht="15" hidden="false" customHeight="false" outlineLevel="0" collapsed="false">
      <c r="A30" s="0" t="s">
        <v>133</v>
      </c>
      <c r="B30" s="0" t="n">
        <f aca="false">SUM(C21:L21)</f>
        <v>479.879289812442</v>
      </c>
    </row>
    <row r="31" customFormat="false" ht="15" hidden="false" customHeight="false" outlineLevel="0" collapsed="false">
      <c r="A31" s="0" t="s">
        <v>134</v>
      </c>
      <c r="B31" s="0" t="n">
        <f aca="false">L19</f>
        <v>105.357820257809</v>
      </c>
    </row>
    <row r="32" customFormat="false" ht="15" hidden="false" customHeight="false" outlineLevel="0" collapsed="false">
      <c r="A32" s="0" t="s">
        <v>135</v>
      </c>
      <c r="B32" s="0" t="n">
        <f aca="false">IF(B27&gt;B28,B31*(1+B28/100)/((B27-B28)/100),B31*B29)</f>
        <v>1439.89021019005</v>
      </c>
    </row>
    <row r="33" customFormat="false" ht="15" hidden="false" customHeight="false" outlineLevel="0" collapsed="false">
      <c r="A33" s="0" t="s">
        <v>136</v>
      </c>
      <c r="B33" s="0" t="n">
        <f aca="false">B31*B29</f>
        <v>1580.36730386713</v>
      </c>
    </row>
    <row r="34" customFormat="false" ht="15" hidden="false" customHeight="false" outlineLevel="0" collapsed="false">
      <c r="A34" s="0" t="s">
        <v>137</v>
      </c>
      <c r="B34" s="0" t="n">
        <f aca="false">MAX(0,MIN(B32,B33))</f>
        <v>1439.89021019005</v>
      </c>
    </row>
    <row r="35" customFormat="false" ht="15" hidden="false" customHeight="false" outlineLevel="0" collapsed="false">
      <c r="A35" s="0" t="s">
        <v>138</v>
      </c>
      <c r="B35" s="0" t="n">
        <f aca="false">B34/(1+B27/100)^L4</f>
        <v>555.140008054053</v>
      </c>
    </row>
    <row r="36" customFormat="false" ht="15" hidden="false" customHeight="false" outlineLevel="0" collapsed="false">
      <c r="A36" s="0" t="s">
        <v>139</v>
      </c>
      <c r="B36" s="0" t="n">
        <f aca="false">B30+B35</f>
        <v>1035.0192978665</v>
      </c>
    </row>
    <row r="37" customFormat="false" ht="15" hidden="false" customHeight="false" outlineLevel="0" collapsed="false">
      <c r="A37" s="0" t="s">
        <v>140</v>
      </c>
      <c r="B37" s="0" t="n">
        <f aca="false">B36+Assumptions!$B$5-Assumptions!$B$4</f>
        <v>915.004297866495</v>
      </c>
    </row>
    <row r="38" customFormat="false" ht="15" hidden="false" customHeight="false" outlineLevel="0" collapsed="false">
      <c r="A38" s="0" t="s">
        <v>141</v>
      </c>
      <c r="B38" s="0" t="n">
        <f aca="false">B37/Assumptions!$B$3*Assumptions!$B$10</f>
        <v>3.26283839885068</v>
      </c>
    </row>
    <row r="39" customFormat="false" ht="15" hidden="false" customHeight="false" outlineLevel="0" collapsed="false">
      <c r="A39" s="0" t="s">
        <v>142</v>
      </c>
      <c r="B39" s="4" t="n">
        <f aca="false">B38/Assumptions!$B$2-1</f>
        <v>0.656263146624713</v>
      </c>
    </row>
    <row r="41" customFormat="false" ht="15" hidden="false" customHeight="false" outlineLevel="0" collapsed="false">
      <c r="A41" s="0" t="s">
        <v>143</v>
      </c>
      <c r="B41" s="0" t="n">
        <f aca="false">SUMPRODUCT(-C10:L10/(1+$B$27/100)^C4:L4)</f>
        <v>42.7052136059192</v>
      </c>
    </row>
    <row r="42" customFormat="false" ht="15" hidden="false" customHeight="false" outlineLevel="0" collapsed="false">
      <c r="A42" s="0" t="s">
        <v>144</v>
      </c>
      <c r="B42" s="0" t="n">
        <f aca="false">IF(B27&gt;B28,-L10*(1+B28/100)/((B27-B28)/100),-L10*20)/(1+B27/100)^L4</f>
        <v>44.134822387625</v>
      </c>
    </row>
    <row r="43" customFormat="false" ht="15" hidden="false" customHeight="false" outlineLevel="0" collapsed="false">
      <c r="A43" s="0" t="s">
        <v>145</v>
      </c>
      <c r="B43" s="0" t="n">
        <f aca="false">(B37+B41+B42)/Assumptions!$B$3*Assumptions!$B$10</f>
        <v>3.57250361535074</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863.934126114032</v>
      </c>
    </row>
    <row r="47" customFormat="false" ht="15" hidden="false" customHeight="false" outlineLevel="0" collapsed="false">
      <c r="A47" s="0" t="s">
        <v>147</v>
      </c>
      <c r="B47" s="0" t="n">
        <f aca="false">(SUMPRODUCT(C19:L19/(1+B45/100)^C4:L4)+B46/(1+B45/100)^L4+Assumptions!$B$5-Assumptions!$B$4)/Assumptions!$B$3*Assumptions!$B$10</f>
        <v>1.68535308506017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-4</v>
      </c>
      <c r="D5" s="4" t="n">
        <f aca="false">Assumptions!D41</f>
        <v>5</v>
      </c>
      <c r="E5" s="4" t="n">
        <f aca="false">Assumptions!E41</f>
        <v>9</v>
      </c>
      <c r="F5" s="4" t="n">
        <f aca="false">Assumptions!F41</f>
        <v>8</v>
      </c>
      <c r="G5" s="4" t="n">
        <f aca="false">Assumptions!G41</f>
        <v>6</v>
      </c>
      <c r="H5" s="4" t="n">
        <f aca="false">Assumptions!H41</f>
        <v>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37</v>
      </c>
      <c r="B6" s="3" t="n">
        <v>795.401</v>
      </c>
      <c r="C6" s="0" t="n">
        <f aca="false">B6*(1+C5/100)</f>
        <v>763.58496</v>
      </c>
      <c r="D6" s="0" t="n">
        <f aca="false">C6*(1+D5/100)</f>
        <v>801.764208</v>
      </c>
      <c r="E6" s="0" t="n">
        <f aca="false">D6*(1+E5/100)</f>
        <v>873.92298672</v>
      </c>
      <c r="F6" s="0" t="n">
        <f aca="false">E6*(1+F5/100)</f>
        <v>943.8368256576</v>
      </c>
      <c r="G6" s="0" t="n">
        <f aca="false">F6*(1+G5/100)</f>
        <v>1000.46703519706</v>
      </c>
      <c r="H6" s="0" t="n">
        <f aca="false">G6*(1+H5/100)</f>
        <v>1050.49038695691</v>
      </c>
      <c r="I6" s="0" t="n">
        <f aca="false">H6*(1+I5/100)</f>
        <v>1092.51000243519</v>
      </c>
      <c r="J6" s="0" t="n">
        <f aca="false">I6*(1+J5/100)</f>
        <v>1130.74785252042</v>
      </c>
      <c r="K6" s="0" t="n">
        <f aca="false">J6*(1+K5/100)</f>
        <v>1164.67028809603</v>
      </c>
      <c r="L6" s="0" t="n">
        <f aca="false">K6*(1+L5/100)</f>
        <v>1199.61039673891</v>
      </c>
    </row>
    <row r="7" customFormat="false" ht="15" hidden="false" customHeight="false" outlineLevel="0" collapsed="false">
      <c r="A7" s="0" t="s">
        <v>104</v>
      </c>
      <c r="C7" s="4" t="n">
        <f aca="false">Assumptions!C42</f>
        <v>17</v>
      </c>
      <c r="D7" s="4" t="n">
        <f aca="false">Assumptions!D42</f>
        <v>21</v>
      </c>
      <c r="E7" s="4" t="n">
        <f aca="false">Assumptions!E42</f>
        <v>23.5</v>
      </c>
      <c r="F7" s="4" t="n">
        <f aca="false">Assumptions!F42</f>
        <v>25</v>
      </c>
      <c r="G7" s="4" t="n">
        <f aca="false">Assumptions!G42</f>
        <v>26</v>
      </c>
      <c r="H7" s="4" t="n">
        <f aca="false">Assumptions!H42</f>
        <v>26</v>
      </c>
      <c r="I7" s="4" t="n">
        <f aca="false">Assumptions!I42</f>
        <v>26</v>
      </c>
      <c r="J7" s="4" t="n">
        <f aca="false">Assumptions!J42</f>
        <v>26</v>
      </c>
      <c r="K7" s="4" t="n">
        <f aca="false">Assumptions!K42</f>
        <v>26</v>
      </c>
      <c r="L7" s="4" t="n">
        <f aca="false">Assumptions!L42</f>
        <v>26</v>
      </c>
    </row>
    <row r="8" customFormat="false" ht="15" hidden="false" customHeight="false" outlineLevel="0" collapsed="false">
      <c r="A8" s="0" t="s">
        <v>43</v>
      </c>
      <c r="C8" s="0" t="n">
        <f aca="false">C6*C7/100</f>
        <v>129.8094432</v>
      </c>
      <c r="D8" s="0" t="n">
        <f aca="false">D6*D7/100</f>
        <v>168.37048368</v>
      </c>
      <c r="E8" s="0" t="n">
        <f aca="false">E6*E7/100</f>
        <v>205.3719018792</v>
      </c>
      <c r="F8" s="0" t="n">
        <f aca="false">F6*F7/100</f>
        <v>235.9592064144</v>
      </c>
      <c r="G8" s="0" t="n">
        <f aca="false">G6*G7/100</f>
        <v>260.121429151235</v>
      </c>
      <c r="H8" s="0" t="n">
        <f aca="false">H6*H7/100</f>
        <v>273.127500608796</v>
      </c>
      <c r="I8" s="0" t="n">
        <f aca="false">I6*I7/100</f>
        <v>284.052600633148</v>
      </c>
      <c r="J8" s="0" t="n">
        <f aca="false">J6*J7/100</f>
        <v>293.994441655308</v>
      </c>
      <c r="K8" s="0" t="n">
        <f aca="false">K6*K7/100</f>
        <v>302.814274904968</v>
      </c>
      <c r="L8" s="0" t="n">
        <f aca="false">L6*L7/100</f>
        <v>311.898703152117</v>
      </c>
    </row>
    <row r="9" customFormat="false" ht="15" hidden="false" customHeight="false" outlineLevel="0" collapsed="false">
      <c r="A9" s="0" t="s">
        <v>105</v>
      </c>
      <c r="C9" s="4" t="n">
        <f aca="false">Assumptions!C43</f>
        <v>0.8</v>
      </c>
      <c r="D9" s="4" t="n">
        <f aca="false">Assumptions!D43</f>
        <v>0.8</v>
      </c>
      <c r="E9" s="4" t="n">
        <f aca="false">Assumptions!E43</f>
        <v>0.8</v>
      </c>
      <c r="F9" s="4" t="n">
        <f aca="false">Assumptions!F43</f>
        <v>0.8</v>
      </c>
      <c r="G9" s="4" t="n">
        <f aca="false">Assumptions!G43</f>
        <v>0.8</v>
      </c>
      <c r="H9" s="4" t="n">
        <f aca="false">Assumptions!H43</f>
        <v>0.8</v>
      </c>
      <c r="I9" s="4" t="n">
        <f aca="false">Assumptions!I43</f>
        <v>0.8</v>
      </c>
      <c r="J9" s="4" t="n">
        <f aca="false">Assumptions!J43</f>
        <v>0.8</v>
      </c>
      <c r="K9" s="4" t="n">
        <f aca="false">Assumptions!K43</f>
        <v>0.8</v>
      </c>
      <c r="L9" s="4" t="n">
        <f aca="false">Assumptions!L43</f>
        <v>0.8</v>
      </c>
    </row>
    <row r="10" customFormat="false" ht="15" hidden="false" customHeight="false" outlineLevel="0" collapsed="false">
      <c r="A10" s="0" t="s">
        <v>120</v>
      </c>
      <c r="C10" s="0" t="n">
        <f aca="false">-C6*C9/100</f>
        <v>-6.10867968</v>
      </c>
      <c r="D10" s="0" t="n">
        <f aca="false">-D6*D9/100</f>
        <v>-6.414113664</v>
      </c>
      <c r="E10" s="0" t="n">
        <f aca="false">-E6*E9/100</f>
        <v>-6.99138389376</v>
      </c>
      <c r="F10" s="0" t="n">
        <f aca="false">-F6*F9/100</f>
        <v>-7.5506946052608</v>
      </c>
      <c r="G10" s="0" t="n">
        <f aca="false">-G6*G9/100</f>
        <v>-8.00373628157645</v>
      </c>
      <c r="H10" s="0" t="n">
        <f aca="false">-H6*H9/100</f>
        <v>-8.40392309565527</v>
      </c>
      <c r="I10" s="0" t="n">
        <f aca="false">-I6*I9/100</f>
        <v>-8.74008001948148</v>
      </c>
      <c r="J10" s="0" t="n">
        <f aca="false">-J6*J9/100</f>
        <v>-9.04598282016334</v>
      </c>
      <c r="K10" s="0" t="n">
        <f aca="false">-K6*K9/100</f>
        <v>-9.31736230476824</v>
      </c>
      <c r="L10" s="0" t="n">
        <f aca="false">-L6*L9/100</f>
        <v>-9.59688317391128</v>
      </c>
    </row>
    <row r="11" customFormat="false" ht="15" hidden="false" customHeight="false" outlineLevel="0" collapsed="false">
      <c r="A11" s="0" t="s">
        <v>121</v>
      </c>
      <c r="C11" s="0" t="n">
        <f aca="false">C8+C10+C24</f>
        <v>97.73887488</v>
      </c>
      <c r="D11" s="0" t="n">
        <f aca="false">D8+D10+D24</f>
        <v>136.29991536</v>
      </c>
      <c r="E11" s="0" t="n">
        <f aca="false">E8+E10+E24</f>
        <v>171.28890539712</v>
      </c>
      <c r="F11" s="0" t="n">
        <f aca="false">F8+F10+F24</f>
        <v>200.093407039411</v>
      </c>
      <c r="G11" s="0" t="n">
        <f aca="false">G8+G10+G24</f>
        <v>222.103681813746</v>
      </c>
      <c r="H11" s="0" t="n">
        <f aca="false">H8+H10+H24</f>
        <v>233.208865904434</v>
      </c>
      <c r="I11" s="0" t="n">
        <f aca="false">I8+I10+I24</f>
        <v>242.537220540611</v>
      </c>
      <c r="J11" s="0" t="n">
        <f aca="false">J8+J10+J24</f>
        <v>251.026023259533</v>
      </c>
      <c r="K11" s="0" t="n">
        <f aca="false">K8+K10+K24</f>
        <v>258.556803957319</v>
      </c>
      <c r="L11" s="0" t="n">
        <f aca="false">L8+L10+L24</f>
        <v>266.313508076038</v>
      </c>
    </row>
    <row r="12" customFormat="false" ht="15" hidden="false" customHeight="false" outlineLevel="0" collapsed="false">
      <c r="A12" s="0" t="s">
        <v>122</v>
      </c>
      <c r="C12" s="4" t="n">
        <f aca="false">-C6*Assumptions!C45/100</f>
        <v>-41.9971728</v>
      </c>
      <c r="D12" s="4" t="n">
        <f aca="false">-D6*Assumptions!D45/100</f>
        <v>-42.493503024</v>
      </c>
      <c r="E12" s="4" t="n">
        <f aca="false">-E6*Assumptions!E45/100</f>
        <v>-44.57007232272</v>
      </c>
      <c r="F12" s="4" t="n">
        <f aca="false">-F6*Assumptions!F45/100</f>
        <v>-46.2480044572224</v>
      </c>
      <c r="G12" s="4" t="n">
        <f aca="false">-G6*Assumptions!G45/100</f>
        <v>-47.0219506542616</v>
      </c>
      <c r="H12" s="4" t="n">
        <f aca="false">-H6*Assumptions!H45/100</f>
        <v>-48.3225578000178</v>
      </c>
      <c r="I12" s="4" t="n">
        <f aca="false">-I6*Assumptions!I45/100</f>
        <v>-49.1629501095833</v>
      </c>
      <c r="J12" s="4" t="n">
        <f aca="false">-J6*Assumptions!J45/100</f>
        <v>-50.8836533634188</v>
      </c>
      <c r="K12" s="4" t="n">
        <f aca="false">-K6*Assumptions!K45/100</f>
        <v>-52.4101629643213</v>
      </c>
      <c r="L12" s="4" t="n">
        <f aca="false">-L6*Assumptions!L45/100</f>
        <v>-53.982467853251</v>
      </c>
    </row>
    <row r="13" customFormat="false" ht="15" hidden="false" customHeight="false" outlineLevel="0" collapsed="false">
      <c r="A13" s="0" t="s">
        <v>123</v>
      </c>
      <c r="C13" s="0" t="n">
        <f aca="false">C11+C12</f>
        <v>55.74170208</v>
      </c>
      <c r="D13" s="0" t="n">
        <f aca="false">D11+D12</f>
        <v>93.806412336</v>
      </c>
      <c r="E13" s="0" t="n">
        <f aca="false">E11+E12</f>
        <v>126.7188330744</v>
      </c>
      <c r="F13" s="0" t="n">
        <f aca="false">F11+F12</f>
        <v>153.845402582189</v>
      </c>
      <c r="G13" s="0" t="n">
        <f aca="false">G11+G12</f>
        <v>175.081731159485</v>
      </c>
      <c r="H13" s="0" t="n">
        <f aca="false">H11+H12</f>
        <v>184.886308104416</v>
      </c>
      <c r="I13" s="0" t="n">
        <f aca="false">I11+I12</f>
        <v>193.374270431028</v>
      </c>
      <c r="J13" s="0" t="n">
        <f aca="false">J11+J12</f>
        <v>200.142369896114</v>
      </c>
      <c r="K13" s="0" t="n">
        <f aca="false">K11+K12</f>
        <v>206.146640992997</v>
      </c>
      <c r="L13" s="0" t="n">
        <f aca="false">L11+L12</f>
        <v>212.331040222787</v>
      </c>
    </row>
    <row r="14" customFormat="false" ht="15" hidden="false" customHeight="false" outlineLevel="0" collapsed="false">
      <c r="A14" s="0" t="s">
        <v>109</v>
      </c>
      <c r="C14" s="4" t="n">
        <f aca="false">Assumptions!C47</f>
        <v>30</v>
      </c>
      <c r="D14" s="4" t="n">
        <f aca="false">Assumptions!D47</f>
        <v>30</v>
      </c>
      <c r="E14" s="4" t="n">
        <f aca="false">Assumptions!E47</f>
        <v>30</v>
      </c>
      <c r="F14" s="4" t="n">
        <f aca="false">Assumptions!F47</f>
        <v>30</v>
      </c>
      <c r="G14" s="4" t="n">
        <f aca="false">Assumptions!G47</f>
        <v>30</v>
      </c>
      <c r="H14" s="4" t="n">
        <f aca="false">Assumptions!H47</f>
        <v>30</v>
      </c>
      <c r="I14" s="4" t="n">
        <f aca="false">Assumptions!I47</f>
        <v>30</v>
      </c>
      <c r="J14" s="4" t="n">
        <f aca="false">Assumptions!J47</f>
        <v>30</v>
      </c>
      <c r="K14" s="4" t="n">
        <f aca="false">Assumptions!K47</f>
        <v>30</v>
      </c>
      <c r="L14" s="4" t="n">
        <f aca="false">Assumptions!L47</f>
        <v>30</v>
      </c>
    </row>
    <row r="15" customFormat="false" ht="15" hidden="false" customHeight="false" outlineLevel="0" collapsed="false">
      <c r="A15" s="0" t="s">
        <v>124</v>
      </c>
      <c r="C15" s="0" t="n">
        <f aca="false">C13-MAX(0,C13)*C14/100</f>
        <v>39.019191456</v>
      </c>
      <c r="D15" s="0" t="n">
        <f aca="false">D13-MAX(0,D13)*D14/100</f>
        <v>65.6644886352</v>
      </c>
      <c r="E15" s="0" t="n">
        <f aca="false">E13-MAX(0,E13)*E14/100</f>
        <v>88.70318315208</v>
      </c>
      <c r="F15" s="0" t="n">
        <f aca="false">F13-MAX(0,F13)*F14/100</f>
        <v>107.691781807532</v>
      </c>
      <c r="G15" s="0" t="n">
        <f aca="false">G13-MAX(0,G13)*G14/100</f>
        <v>122.557211811639</v>
      </c>
      <c r="H15" s="0" t="n">
        <f aca="false">H13-MAX(0,H13)*H14/100</f>
        <v>129.420415673091</v>
      </c>
      <c r="I15" s="0" t="n">
        <f aca="false">I13-MAX(0,I13)*I14/100</f>
        <v>135.361989301719</v>
      </c>
      <c r="J15" s="0" t="n">
        <f aca="false">J13-MAX(0,J13)*J14/100</f>
        <v>140.09965892728</v>
      </c>
      <c r="K15" s="0" t="n">
        <f aca="false">K13-MAX(0,K13)*K14/100</f>
        <v>144.302648695098</v>
      </c>
      <c r="L15" s="0" t="n">
        <f aca="false">L13-MAX(0,L13)*L14/100</f>
        <v>148.631728155951</v>
      </c>
    </row>
    <row r="16" customFormat="false" ht="15" hidden="false" customHeight="false" outlineLevel="0" collapsed="false">
      <c r="A16" s="0" t="s">
        <v>125</v>
      </c>
      <c r="C16" s="0" t="n">
        <f aca="false">-C12</f>
        <v>41.9971728</v>
      </c>
      <c r="D16" s="0" t="n">
        <f aca="false">-D12</f>
        <v>42.493503024</v>
      </c>
      <c r="E16" s="0" t="n">
        <f aca="false">-E12</f>
        <v>44.57007232272</v>
      </c>
      <c r="F16" s="0" t="n">
        <f aca="false">-F12</f>
        <v>46.2480044572224</v>
      </c>
      <c r="G16" s="0" t="n">
        <f aca="false">-G12</f>
        <v>47.0219506542616</v>
      </c>
      <c r="H16" s="0" t="n">
        <f aca="false">-H12</f>
        <v>48.3225578000178</v>
      </c>
      <c r="I16" s="0" t="n">
        <f aca="false">-I12</f>
        <v>49.1629501095833</v>
      </c>
      <c r="J16" s="0" t="n">
        <f aca="false">-J12</f>
        <v>50.8836533634188</v>
      </c>
      <c r="K16" s="0" t="n">
        <f aca="false">-K12</f>
        <v>52.4101629643213</v>
      </c>
      <c r="L16" s="0" t="n">
        <f aca="false">-L12</f>
        <v>53.982467853251</v>
      </c>
    </row>
    <row r="17" customFormat="false" ht="15" hidden="false" customHeight="false" outlineLevel="0" collapsed="false">
      <c r="A17" s="0" t="s">
        <v>126</v>
      </c>
      <c r="C17" s="4" t="n">
        <f aca="false">-C6*Assumptions!C46/100</f>
        <v>-38.179248</v>
      </c>
      <c r="D17" s="4" t="n">
        <f aca="false">-D6*Assumptions!D46/100</f>
        <v>-40.0882104</v>
      </c>
      <c r="E17" s="4" t="n">
        <f aca="false">-E6*Assumptions!E46/100</f>
        <v>-41.94830336256</v>
      </c>
      <c r="F17" s="4" t="n">
        <f aca="false">-F6*Assumptions!F46/100</f>
        <v>-43.4164939802496</v>
      </c>
      <c r="G17" s="4" t="n">
        <f aca="false">-G6*Assumptions!G46/100</f>
        <v>-45.0210165838675</v>
      </c>
      <c r="H17" s="4" t="n">
        <f aca="false">-H6*Assumptions!H46/100</f>
        <v>-47.2720674130609</v>
      </c>
      <c r="I17" s="4" t="n">
        <f aca="false">-I6*Assumptions!I46/100</f>
        <v>-49.1629501095833</v>
      </c>
      <c r="J17" s="4" t="n">
        <f aca="false">-J6*Assumptions!J46/100</f>
        <v>-50.8836533634188</v>
      </c>
      <c r="K17" s="4" t="n">
        <f aca="false">-K6*Assumptions!K46/100</f>
        <v>-52.4101629643213</v>
      </c>
      <c r="L17" s="4" t="n">
        <f aca="false">-L6*Assumptions!L46/100</f>
        <v>-53.982467853251</v>
      </c>
    </row>
    <row r="18" customFormat="false" ht="15" hidden="false" customHeight="false" outlineLevel="0" collapsed="false">
      <c r="A18" s="0" t="s">
        <v>127</v>
      </c>
      <c r="C18" s="4" t="n">
        <f aca="false">(C6-B6)*Assumptions!$B$51/100</f>
        <v>0.954481200000001</v>
      </c>
      <c r="D18" s="4" t="n">
        <f aca="false">(D6-C6)*Assumptions!$B$51/100</f>
        <v>-1.14537744</v>
      </c>
      <c r="E18" s="4" t="n">
        <f aca="false">(E6-D6)*Assumptions!$B$51/100</f>
        <v>-2.1647633616</v>
      </c>
      <c r="F18" s="4" t="n">
        <f aca="false">(F6-E6)*Assumptions!$B$51/100</f>
        <v>-2.097415168128</v>
      </c>
      <c r="G18" s="4" t="n">
        <f aca="false">(G6-F6)*Assumptions!$B$51/100</f>
        <v>-1.69890628618368</v>
      </c>
      <c r="H18" s="4" t="n">
        <f aca="false">(H6-G6)*Assumptions!$B$51/100</f>
        <v>-1.50070055279558</v>
      </c>
      <c r="I18" s="4" t="n">
        <f aca="false">(I6-H6)*Assumptions!$B$51/100</f>
        <v>-1.26058846434829</v>
      </c>
      <c r="J18" s="4" t="n">
        <f aca="false">(J6-I6)*Assumptions!$B$51/100</f>
        <v>-1.14713550255694</v>
      </c>
      <c r="K18" s="4" t="n">
        <f aca="false">(K6-J6)*Assumptions!$B$51/100</f>
        <v>-1.01767306726838</v>
      </c>
      <c r="L18" s="4" t="n">
        <f aca="false">(L6-K6)*Assumptions!$B$51/100</f>
        <v>-1.04820325928643</v>
      </c>
    </row>
    <row r="19" customFormat="false" ht="15" hidden="false" customHeight="false" outlineLevel="0" collapsed="false">
      <c r="A19" s="0" t="s">
        <v>128</v>
      </c>
      <c r="C19" s="0" t="n">
        <f aca="false">C15+C16+C17+C18</f>
        <v>43.791597456</v>
      </c>
      <c r="D19" s="0" t="n">
        <f aca="false">D15+D16+D17+D18</f>
        <v>66.9244038192</v>
      </c>
      <c r="E19" s="0" t="n">
        <f aca="false">E15+E16+E17+E18</f>
        <v>89.16018875064</v>
      </c>
      <c r="F19" s="0" t="n">
        <f aca="false">F15+F16+F17+F18</f>
        <v>108.425877116377</v>
      </c>
      <c r="G19" s="0" t="n">
        <f aca="false">G15+G16+G17+G18</f>
        <v>122.85923959585</v>
      </c>
      <c r="H19" s="0" t="n">
        <f aca="false">H15+H16+H17+H18</f>
        <v>128.970205507252</v>
      </c>
      <c r="I19" s="0" t="n">
        <f aca="false">I15+I16+I17+I18</f>
        <v>134.101400837371</v>
      </c>
      <c r="J19" s="0" t="n">
        <f aca="false">J15+J16+J17+J18</f>
        <v>138.952523424723</v>
      </c>
      <c r="K19" s="0" t="n">
        <f aca="false">K15+K16+K17+K18</f>
        <v>143.28497562783</v>
      </c>
      <c r="L19" s="0" t="n">
        <f aca="false">L15+L16+L17+L18</f>
        <v>147.583524896665</v>
      </c>
    </row>
    <row r="20" customFormat="false" ht="15" hidden="false" customHeight="false" outlineLevel="0" collapsed="false">
      <c r="A20" s="0" t="s">
        <v>129</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130</v>
      </c>
      <c r="C21" s="0" t="n">
        <f aca="false">C19*C20</f>
        <v>39.8105431418182</v>
      </c>
      <c r="D21" s="0" t="n">
        <f aca="false">D19*D20</f>
        <v>55.3094246439669</v>
      </c>
      <c r="E21" s="0" t="n">
        <f aca="false">E19*E20</f>
        <v>66.9873694595342</v>
      </c>
      <c r="F21" s="0" t="n">
        <f aca="false">F19*F20</f>
        <v>74.0563329802452</v>
      </c>
      <c r="G21" s="0" t="n">
        <f aca="false">G19*G20</f>
        <v>76.2859215998968</v>
      </c>
      <c r="H21" s="0" t="n">
        <f aca="false">H19*H20</f>
        <v>72.8003187625221</v>
      </c>
      <c r="I21" s="0" t="n">
        <f aca="false">I19*I20</f>
        <v>68.8152225058071</v>
      </c>
      <c r="J21" s="0" t="n">
        <f aca="false">J19*J20</f>
        <v>64.8223776763989</v>
      </c>
      <c r="K21" s="0" t="n">
        <f aca="false">K19*K20</f>
        <v>60.766816912322</v>
      </c>
      <c r="L21" s="0" t="n">
        <f aca="false">L19*L20</f>
        <v>56.8998376542652</v>
      </c>
    </row>
    <row r="23" customFormat="false" ht="15" hidden="false" customHeight="false" outlineLevel="0" collapsed="false">
      <c r="A23" s="0" t="s">
        <v>106</v>
      </c>
      <c r="C23" s="4" t="n">
        <f aca="false">Assumptions!C44</f>
        <v>3.4</v>
      </c>
      <c r="D23" s="4" t="n">
        <f aca="false">Assumptions!D44</f>
        <v>3.2</v>
      </c>
      <c r="E23" s="4" t="n">
        <f aca="false">Assumptions!E44</f>
        <v>3.1</v>
      </c>
      <c r="F23" s="4" t="n">
        <f aca="false">Assumptions!F44</f>
        <v>3</v>
      </c>
      <c r="G23" s="4" t="n">
        <f aca="false">Assumptions!G44</f>
        <v>3</v>
      </c>
      <c r="H23" s="4" t="n">
        <f aca="false">Assumptions!H44</f>
        <v>3</v>
      </c>
      <c r="I23" s="4" t="n">
        <f aca="false">Assumptions!I44</f>
        <v>3</v>
      </c>
      <c r="J23" s="4" t="n">
        <f aca="false">Assumptions!J44</f>
        <v>3</v>
      </c>
      <c r="K23" s="4" t="n">
        <f aca="false">Assumptions!K44</f>
        <v>3</v>
      </c>
      <c r="L23" s="4" t="n">
        <f aca="false">Assumptions!L44</f>
        <v>3</v>
      </c>
    </row>
    <row r="24" customFormat="false" ht="15" hidden="false" customHeight="false" outlineLevel="0" collapsed="false">
      <c r="A24" s="0" t="s">
        <v>131</v>
      </c>
      <c r="C24" s="0" t="n">
        <f aca="false">-C6*C23/100</f>
        <v>-25.96188864</v>
      </c>
      <c r="D24" s="0" t="n">
        <f aca="false">-D6*D23/100</f>
        <v>-25.656454656</v>
      </c>
      <c r="E24" s="0" t="n">
        <f aca="false">-E6*E23/100</f>
        <v>-27.09161258832</v>
      </c>
      <c r="F24" s="0" t="n">
        <f aca="false">-F6*F23/100</f>
        <v>-28.315104769728</v>
      </c>
      <c r="G24" s="0" t="n">
        <f aca="false">-G6*G23/100</f>
        <v>-30.0140110559117</v>
      </c>
      <c r="H24" s="0" t="n">
        <f aca="false">-H6*H23/100</f>
        <v>-31.5147116087073</v>
      </c>
      <c r="I24" s="0" t="n">
        <f aca="false">-I6*I23/100</f>
        <v>-32.7753000730556</v>
      </c>
      <c r="J24" s="0" t="n">
        <f aca="false">-J6*J23/100</f>
        <v>-33.9224355756125</v>
      </c>
      <c r="K24" s="0" t="n">
        <f aca="false">-K6*K23/100</f>
        <v>-34.9401086428809</v>
      </c>
      <c r="L24" s="0" t="n">
        <f aca="false">-L6*L23/100</f>
        <v>-35.9883119021673</v>
      </c>
    </row>
    <row r="26" customFormat="false" ht="15" hidden="false" customHeight="false" outlineLevel="0" collapsed="false">
      <c r="A26" s="2" t="s">
        <v>132</v>
      </c>
    </row>
    <row r="27" customFormat="false" ht="15" hidden="false" customHeight="false" outlineLevel="0" collapsed="false">
      <c r="A27" s="0" t="s">
        <v>110</v>
      </c>
      <c r="B27" s="4" t="n">
        <f aca="false">Assumptions!$B$48</f>
        <v>10</v>
      </c>
    </row>
    <row r="28" customFormat="false" ht="15" hidden="false" customHeight="false" outlineLevel="0" collapsed="false">
      <c r="A28" s="0" t="s">
        <v>111</v>
      </c>
      <c r="B28" s="4" t="n">
        <f aca="false">Assumptions!$B$49</f>
        <v>3</v>
      </c>
    </row>
    <row r="29" customFormat="false" ht="15" hidden="false" customHeight="false" outlineLevel="0" collapsed="false">
      <c r="A29" s="0" t="s">
        <v>112</v>
      </c>
      <c r="B29" s="4" t="n">
        <f aca="false">Assumptions!$B$50</f>
        <v>15</v>
      </c>
    </row>
    <row r="30" customFormat="false" ht="15" hidden="false" customHeight="false" outlineLevel="0" collapsed="false">
      <c r="A30" s="0" t="s">
        <v>133</v>
      </c>
      <c r="B30" s="0" t="n">
        <f aca="false">SUM(C21:L21)</f>
        <v>636.554165336777</v>
      </c>
    </row>
    <row r="31" customFormat="false" ht="15" hidden="false" customHeight="false" outlineLevel="0" collapsed="false">
      <c r="A31" s="0" t="s">
        <v>134</v>
      </c>
      <c r="B31" s="0" t="n">
        <f aca="false">L19</f>
        <v>147.583524896665</v>
      </c>
    </row>
    <row r="32" customFormat="false" ht="15" hidden="false" customHeight="false" outlineLevel="0" collapsed="false">
      <c r="A32" s="0" t="s">
        <v>135</v>
      </c>
      <c r="B32" s="0" t="n">
        <f aca="false">IF(B27&gt;B28,B31*(1+B28/100)/((B27-B28)/100),B31*B29)</f>
        <v>2171.58615205092</v>
      </c>
    </row>
    <row r="33" customFormat="false" ht="15" hidden="false" customHeight="false" outlineLevel="0" collapsed="false">
      <c r="A33" s="0" t="s">
        <v>136</v>
      </c>
      <c r="B33" s="0" t="n">
        <f aca="false">B31*B29</f>
        <v>2213.75287344997</v>
      </c>
    </row>
    <row r="34" customFormat="false" ht="15" hidden="false" customHeight="false" outlineLevel="0" collapsed="false">
      <c r="A34" s="0" t="s">
        <v>137</v>
      </c>
      <c r="B34" s="0" t="n">
        <f aca="false">MAX(0,MIN(B32,B33))</f>
        <v>2171.58615205092</v>
      </c>
    </row>
    <row r="35" customFormat="false" ht="15" hidden="false" customHeight="false" outlineLevel="0" collapsed="false">
      <c r="A35" s="0" t="s">
        <v>138</v>
      </c>
      <c r="B35" s="0" t="n">
        <f aca="false">B34/(1+B27/100)^L4</f>
        <v>837.240468341331</v>
      </c>
    </row>
    <row r="36" customFormat="false" ht="15" hidden="false" customHeight="false" outlineLevel="0" collapsed="false">
      <c r="A36" s="0" t="s">
        <v>139</v>
      </c>
      <c r="B36" s="0" t="n">
        <f aca="false">B30+B35</f>
        <v>1473.79463367811</v>
      </c>
    </row>
    <row r="37" customFormat="false" ht="15" hidden="false" customHeight="false" outlineLevel="0" collapsed="false">
      <c r="A37" s="0" t="s">
        <v>140</v>
      </c>
      <c r="B37" s="0" t="n">
        <f aca="false">B36+Assumptions!$B$5-Assumptions!$B$4</f>
        <v>1353.77963367811</v>
      </c>
    </row>
    <row r="38" customFormat="false" ht="15" hidden="false" customHeight="false" outlineLevel="0" collapsed="false">
      <c r="A38" s="0" t="s">
        <v>141</v>
      </c>
      <c r="B38" s="0" t="n">
        <f aca="false">B37/Assumptions!$B$3*Assumptions!$B$10</f>
        <v>4.82747915244376</v>
      </c>
    </row>
    <row r="39" customFormat="false" ht="15" hidden="false" customHeight="false" outlineLevel="0" collapsed="false">
      <c r="A39" s="0" t="s">
        <v>142</v>
      </c>
      <c r="B39" s="4" t="n">
        <f aca="false">B38/Assumptions!$B$2-1</f>
        <v>1.45049703169734</v>
      </c>
    </row>
    <row r="41" customFormat="false" ht="15" hidden="false" customHeight="false" outlineLevel="0" collapsed="false">
      <c r="A41" s="0" t="s">
        <v>143</v>
      </c>
      <c r="B41" s="0" t="n">
        <f aca="false">SUMPRODUCT(-C10:L10/(1+$B$27/100)^C4:L4)</f>
        <v>47.3342536100131</v>
      </c>
    </row>
    <row r="42" customFormat="false" ht="15" hidden="false" customHeight="false" outlineLevel="0" collapsed="false">
      <c r="A42" s="0" t="s">
        <v>144</v>
      </c>
      <c r="B42" s="0" t="n">
        <f aca="false">IF(B27&gt;B28,-L10*(1+B28/100)/((B27-B28)/100),-L10*20)/(1+B27/100)^L4</f>
        <v>54.4430617764985</v>
      </c>
    </row>
    <row r="43" customFormat="false" ht="15" hidden="false" customHeight="false" outlineLevel="0" collapsed="false">
      <c r="A43" s="0" t="s">
        <v>145</v>
      </c>
      <c r="B43" s="0" t="n">
        <f aca="false">(B37+B41+B42)/Assumptions!$B$3*Assumptions!$B$10</f>
        <v>5.19040961468242</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1266.75858869637</v>
      </c>
    </row>
    <row r="47" customFormat="false" ht="15" hidden="false" customHeight="false" outlineLevel="0" collapsed="false">
      <c r="A47" s="0" t="s">
        <v>147</v>
      </c>
      <c r="B47" s="0" t="n">
        <f aca="false">(SUMPRODUCT(C19:L19/(1+B45/100)^C4:L4)+B46/(1+B45/100)^L4+Assumptions!$B$5-Assumptions!$B$4)/Assumptions!$B$3*Assumptions!$B$10</f>
        <v>2.46868456425568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1.43410462990449</v>
      </c>
      <c r="C4" s="0" t="n">
        <f aca="false">B4/Assumptions!$B$2-1</f>
        <v>-0.272028106647469</v>
      </c>
      <c r="D4" s="4" t="n">
        <f aca="false">Assumptions!$B$24</f>
        <v>0.3</v>
      </c>
      <c r="E4" s="4" t="n">
        <f aca="false">DCF_Bear!$B$43</f>
        <v>1.64954220955025</v>
      </c>
      <c r="F4" s="4" t="n">
        <f aca="false">DCF_Bear!$B$47</f>
        <v>0.679062369028983</v>
      </c>
    </row>
    <row r="5" customFormat="false" ht="15" hidden="false" customHeight="false" outlineLevel="0" collapsed="false">
      <c r="A5" s="0" t="s">
        <v>156</v>
      </c>
      <c r="B5" s="4" t="n">
        <f aca="false">DCF_Base!$B$38</f>
        <v>3.26283839885068</v>
      </c>
      <c r="C5" s="0" t="n">
        <f aca="false">B5/Assumptions!$B$2-1</f>
        <v>0.656263146624713</v>
      </c>
      <c r="D5" s="4" t="n">
        <f aca="false">Assumptions!$B$38</f>
        <v>0.5</v>
      </c>
      <c r="E5" s="4" t="n">
        <f aca="false">DCF_Base!$B$43</f>
        <v>3.57250361535074</v>
      </c>
      <c r="F5" s="4" t="n">
        <f aca="false">DCF_Base!$B$47</f>
        <v>1.68535308506017</v>
      </c>
    </row>
    <row r="6" customFormat="false" ht="15" hidden="false" customHeight="false" outlineLevel="0" collapsed="false">
      <c r="A6" s="0" t="s">
        <v>157</v>
      </c>
      <c r="B6" s="4" t="n">
        <f aca="false">DCF_Bull!$B$38</f>
        <v>4.82747915244376</v>
      </c>
      <c r="C6" s="0" t="n">
        <f aca="false">B6/Assumptions!$B$2-1</f>
        <v>1.45049703169734</v>
      </c>
      <c r="D6" s="4" t="n">
        <f aca="false">Assumptions!$B$52</f>
        <v>0.2</v>
      </c>
      <c r="E6" s="4" t="n">
        <f aca="false">DCF_Bull!$B$43</f>
        <v>5.19040961468242</v>
      </c>
      <c r="F6" s="4" t="n">
        <f aca="false">DCF_Bull!$B$47</f>
        <v>2.46868456425568</v>
      </c>
    </row>
    <row r="8" customFormat="false" ht="15" hidden="false" customHeight="false" outlineLevel="0" collapsed="false">
      <c r="A8" s="0" t="s">
        <v>158</v>
      </c>
      <c r="B8" s="0" t="n">
        <f aca="false">SUMPRODUCT(B4:B6,D4:D6)</f>
        <v>3.02714641888544</v>
      </c>
    </row>
    <row r="9" customFormat="false" ht="15" hidden="false" customHeight="false" outlineLevel="0" collapsed="false">
      <c r="A9" s="0" t="s">
        <v>159</v>
      </c>
      <c r="B9" s="0" t="n">
        <f aca="false">SUMPRODUCT(E4:E6,D4:D6)</f>
        <v>3.31919639347693</v>
      </c>
    </row>
    <row r="10" customFormat="false" ht="15" hidden="false" customHeight="false" outlineLevel="0" collapsed="false">
      <c r="A10" s="0" t="s">
        <v>160</v>
      </c>
      <c r="B10" s="0" t="n">
        <f aca="false">1-Assumptions!$B$2/B8</f>
        <v>0.349222096523058</v>
      </c>
    </row>
    <row r="11" customFormat="false" ht="15" hidden="false" customHeight="false" outlineLevel="0" collapsed="false">
      <c r="A11" s="0" t="s">
        <v>161</v>
      </c>
      <c r="B11" s="0" t="n">
        <f aca="false">IF(ABS(B9-B8)&gt;0.01*ABS(B8),(Assumptions!$B$2-B8)/(B9-B8)*100,"n/a")</f>
        <v>-361.974494387184</v>
      </c>
    </row>
    <row r="12" customFormat="false" ht="15" hidden="false" customHeight="false" outlineLevel="0" collapsed="false">
      <c r="A12" s="0" t="s">
        <v>162</v>
      </c>
      <c r="B12" s="0" t="n">
        <f aca="false">SUMPRODUCT(F4:F6,D4:D6)</f>
        <v>1.54013216608991</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3.75187380591246</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3.26283839885068</v>
      </c>
      <c r="C16" s="3" t="n">
        <v>10</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2.79671482594401</v>
      </c>
      <c r="C17" s="3" t="n">
        <v>11</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2.42973790079407</v>
      </c>
      <c r="C18" s="3" t="n">
        <v>12</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1.68535308506017</v>
      </c>
      <c r="C19" s="3" t="n">
        <v>15</v>
      </c>
    </row>
    <row r="21" customFormat="false" ht="15" hidden="false" customHeight="false" outlineLevel="0" collapsed="false">
      <c r="A21" s="2" t="s">
        <v>170</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4.0764334351821</v>
      </c>
      <c r="C23" s="0" t="n">
        <f aca="false">(SUMPRODUCT(DCF_Base!$C$19:$L$19/(1+$A$23/100)^DCF_Base!$C$4:$L$4)+MAX(0,MIN(IF($A$23&gt;$C$22,DCF_Base!$L$19*(1+$C$22/100)/(($A$23-$C$22)/100),DCF_Base!$L$19*DCF_Base!$B$29),DCF_Base!$L$19*DCF_Base!$B$29))/(1+$A$23/100)^DCF_Base!$L$4+Assumptions!$B$5-Assumptions!$B$4)/Assumptions!$B$3*Assumptions!$B$10</f>
        <v>4.0764334351821</v>
      </c>
      <c r="D23" s="0" t="n">
        <f aca="false">(SUMPRODUCT(DCF_Base!$C$19:$L$19/(1+$A$23/100)^DCF_Base!$C$4:$L$4)+MAX(0,MIN(IF($A$23&gt;$D$22,DCF_Base!$L$19*(1+$D$22/100)/(($A$23-$D$22)/100),DCF_Base!$L$19*DCF_Base!$B$29),DCF_Base!$L$19*DCF_Base!$B$29))/(1+$A$23/100)^DCF_Base!$L$4+Assumptions!$B$5-Assumptions!$B$4)/Assumptions!$B$3*Assumptions!$B$10</f>
        <v>4.0764334351821</v>
      </c>
      <c r="E23" s="0" t="n">
        <f aca="false">(SUMPRODUCT(DCF_Base!$C$19:$L$19/(1+$A$23/100)^DCF_Base!$C$4:$L$4)+MAX(0,MIN(IF($A$23&gt;$E$22,DCF_Base!$L$19*(1+$E$22/100)/(($A$23-$E$22)/100),DCF_Base!$L$19*DCF_Base!$B$29),DCF_Base!$L$19*DCF_Base!$B$29))/(1+$A$23/100)^DCF_Base!$L$4+Assumptions!$B$5-Assumptions!$B$4)/Assumptions!$B$3*Assumptions!$B$10</f>
        <v>4.0764334351821</v>
      </c>
      <c r="F23" s="0" t="n">
        <f aca="false">(SUMPRODUCT(DCF_Base!$C$19:$L$19/(1+$A$23/100)^DCF_Base!$C$4:$L$4)+MAX(0,MIN(IF($A$23&gt;$F$22,DCF_Base!$L$19*(1+$F$22/100)/(($A$23-$F$22)/100),DCF_Base!$L$19*DCF_Base!$B$29),DCF_Base!$L$19*DCF_Base!$B$29))/(1+$A$23/100)^DCF_Base!$L$4+Assumptions!$B$5-Assumptions!$B$4)/Assumptions!$B$3*Assumptions!$B$10</f>
        <v>4.0764334351821</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3.51911525218269</v>
      </c>
      <c r="C24" s="0" t="n">
        <f aca="false">(SUMPRODUCT(DCF_Base!$C$19:$L$19/(1+$A$24/100)^DCF_Base!$C$4:$L$4)+MAX(0,MIN(IF($A$24&gt;$C$22,DCF_Base!$L$19*(1+$C$22/100)/(($A$24-$C$22)/100),DCF_Base!$L$19*DCF_Base!$B$29),DCF_Base!$L$19*DCF_Base!$B$29))/(1+$A$24/100)^DCF_Base!$L$4+Assumptions!$B$5-Assumptions!$B$4)/Assumptions!$B$3*Assumptions!$B$10</f>
        <v>3.6838599428096</v>
      </c>
      <c r="D24" s="0" t="n">
        <f aca="false">(SUMPRODUCT(DCF_Base!$C$19:$L$19/(1+$A$24/100)^DCF_Base!$C$4:$L$4)+MAX(0,MIN(IF($A$24&gt;$D$22,DCF_Base!$L$19*(1+$D$22/100)/(($A$24-$D$22)/100),DCF_Base!$L$19*DCF_Base!$B$29),DCF_Base!$L$19*DCF_Base!$B$29))/(1+$A$24/100)^DCF_Base!$L$4+Assumptions!$B$5-Assumptions!$B$4)/Assumptions!$B$3*Assumptions!$B$10</f>
        <v>3.75187380591246</v>
      </c>
      <c r="E24" s="0" t="n">
        <f aca="false">(SUMPRODUCT(DCF_Base!$C$19:$L$19/(1+$A$24/100)^DCF_Base!$C$4:$L$4)+MAX(0,MIN(IF($A$24&gt;$E$22,DCF_Base!$L$19*(1+$E$22/100)/(($A$24-$E$22)/100),DCF_Base!$L$19*DCF_Base!$B$29),DCF_Base!$L$19*DCF_Base!$B$29))/(1+$A$24/100)^DCF_Base!$L$4+Assumptions!$B$5-Assumptions!$B$4)/Assumptions!$B$3*Assumptions!$B$10</f>
        <v>3.75187380591246</v>
      </c>
      <c r="F24" s="0" t="n">
        <f aca="false">(SUMPRODUCT(DCF_Base!$C$19:$L$19/(1+$A$24/100)^DCF_Base!$C$4:$L$4)+MAX(0,MIN(IF($A$24&gt;$F$22,DCF_Base!$L$19*(1+$F$22/100)/(($A$24-$F$22)/100),DCF_Base!$L$19*DCF_Base!$B$29),DCF_Base!$L$19*DCF_Base!$B$29))/(1+$A$24/100)^DCF_Base!$L$4+Assumptions!$B$5-Assumptions!$B$4)/Assumptions!$B$3*Assumptions!$B$10</f>
        <v>3.75187380591246</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3.01290467951204</v>
      </c>
      <c r="C25" s="0" t="n">
        <f aca="false">(SUMPRODUCT(DCF_Base!$C$19:$L$19/(1+$A$25/100)^DCF_Base!$C$4:$L$4)+MAX(0,MIN(IF($A$25&gt;$C$22,DCF_Base!$L$19*(1+$C$22/100)/(($A$25-$C$22)/100),DCF_Base!$L$19*DCF_Base!$B$29),DCF_Base!$L$19*DCF_Base!$B$29))/(1+$A$25/100)^DCF_Base!$L$4+Assumptions!$B$5-Assumptions!$B$4)/Assumptions!$B$3*Assumptions!$B$10</f>
        <v>3.13006111045203</v>
      </c>
      <c r="D25" s="0" t="n">
        <f aca="false">(SUMPRODUCT(DCF_Base!$C$19:$L$19/(1+$A$25/100)^DCF_Base!$C$4:$L$4)+MAX(0,MIN(IF($A$25&gt;$D$22,DCF_Base!$L$19*(1+$D$22/100)/(($A$25-$D$22)/100),DCF_Base!$L$19*DCF_Base!$B$29),DCF_Base!$L$19*DCF_Base!$B$29))/(1+$A$25/100)^DCF_Base!$L$4+Assumptions!$B$5-Assumptions!$B$4)/Assumptions!$B$3*Assumptions!$B$10</f>
        <v>3.26283839885068</v>
      </c>
      <c r="E25" s="0" t="n">
        <f aca="false">(SUMPRODUCT(DCF_Base!$C$19:$L$19/(1+$A$25/100)^DCF_Base!$C$4:$L$4)+MAX(0,MIN(IF($A$25&gt;$E$22,DCF_Base!$L$19*(1+$E$22/100)/(($A$25-$E$22)/100),DCF_Base!$L$19*DCF_Base!$B$29),DCF_Base!$L$19*DCF_Base!$B$29))/(1+$A$25/100)^DCF_Base!$L$4+Assumptions!$B$5-Assumptions!$B$4)/Assumptions!$B$3*Assumptions!$B$10</f>
        <v>3.41458387130629</v>
      </c>
      <c r="F25" s="0" t="n">
        <f aca="false">(SUMPRODUCT(DCF_Base!$C$19:$L$19/(1+$A$25/100)^DCF_Base!$C$4:$L$4)+MAX(0,MIN(IF($A$25&gt;$F$22,DCF_Base!$L$19*(1+$F$22/100)/(($A$25-$F$22)/100),DCF_Base!$L$19*DCF_Base!$B$29),DCF_Base!$L$19*DCF_Base!$B$29))/(1+$A$25/100)^DCF_Base!$L$4+Assumptions!$B$5-Assumptions!$B$4)/Assumptions!$B$3*Assumptions!$B$10</f>
        <v>3.45596900015781</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2.61483276461985</v>
      </c>
      <c r="C26" s="0" t="n">
        <f aca="false">(SUMPRODUCT(DCF_Base!$C$19:$L$19/(1+$A$26/100)^DCF_Base!$C$4:$L$4)+MAX(0,MIN(IF($A$26&gt;$C$22,DCF_Base!$L$19*(1+$C$22/100)/(($A$26-$C$22)/100),DCF_Base!$L$19*DCF_Base!$B$29),DCF_Base!$L$19*DCF_Base!$B$29))/(1+$A$26/100)^DCF_Base!$L$4+Assumptions!$B$5-Assumptions!$B$4)/Assumptions!$B$3*Assumptions!$B$10</f>
        <v>2.7007215158007</v>
      </c>
      <c r="D26" s="0" t="n">
        <f aca="false">(SUMPRODUCT(DCF_Base!$C$19:$L$19/(1+$A$26/100)^DCF_Base!$C$4:$L$4)+MAX(0,MIN(IF($A$26&gt;$D$22,DCF_Base!$L$19*(1+$D$22/100)/(($A$26-$D$22)/100),DCF_Base!$L$19*DCF_Base!$B$29),DCF_Base!$L$19*DCF_Base!$B$29))/(1+$A$26/100)^DCF_Base!$L$4+Assumptions!$B$5-Assumptions!$B$4)/Assumptions!$B$3*Assumptions!$B$10</f>
        <v>2.79671482594401</v>
      </c>
      <c r="E26" s="0" t="n">
        <f aca="false">(SUMPRODUCT(DCF_Base!$C$19:$L$19/(1+$A$26/100)^DCF_Base!$C$4:$L$4)+MAX(0,MIN(IF($A$26&gt;$E$22,DCF_Base!$L$19*(1+$E$22/100)/(($A$26-$E$22)/100),DCF_Base!$L$19*DCF_Base!$B$29),DCF_Base!$L$19*DCF_Base!$B$29))/(1+$A$26/100)^DCF_Base!$L$4+Assumptions!$B$5-Assumptions!$B$4)/Assumptions!$B$3*Assumptions!$B$10</f>
        <v>2.90470729985523</v>
      </c>
      <c r="F26" s="0" t="n">
        <f aca="false">(SUMPRODUCT(DCF_Base!$C$19:$L$19/(1+$A$26/100)^DCF_Base!$C$4:$L$4)+MAX(0,MIN(IF($A$26&gt;$F$22,DCF_Base!$L$19*(1+$F$22/100)/(($A$26-$F$22)/100),DCF_Base!$L$19*DCF_Base!$B$29),DCF_Base!$L$19*DCF_Base!$B$29))/(1+$A$26/100)^DCF_Base!$L$4+Assumptions!$B$5-Assumptions!$B$4)/Assumptions!$B$3*Assumptions!$B$10</f>
        <v>3.02709877028794</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2.29391778410774</v>
      </c>
      <c r="C27" s="0" t="n">
        <f aca="false">(SUMPRODUCT(DCF_Base!$C$19:$L$19/(1+$A$27/100)^DCF_Base!$C$4:$L$4)+MAX(0,MIN(IF($A$27&gt;$C$22,DCF_Base!$L$19*(1+$C$22/100)/(($A$27-$C$22)/100),DCF_Base!$L$19*DCF_Base!$B$29),DCF_Base!$L$19*DCF_Base!$B$29))/(1+$A$27/100)^DCF_Base!$L$4+Assumptions!$B$5-Assumptions!$B$4)/Assumptions!$B$3*Assumptions!$B$10</f>
        <v>2.35843233953375</v>
      </c>
      <c r="D27" s="0" t="n">
        <f aca="false">(SUMPRODUCT(DCF_Base!$C$19:$L$19/(1+$A$27/100)^DCF_Base!$C$4:$L$4)+MAX(0,MIN(IF($A$27&gt;$D$22,DCF_Base!$L$19*(1+$D$22/100)/(($A$27-$D$22)/100),DCF_Base!$L$19*DCF_Base!$B$29),DCF_Base!$L$19*DCF_Base!$B$29))/(1+$A$27/100)^DCF_Base!$L$4+Assumptions!$B$5-Assumptions!$B$4)/Assumptions!$B$3*Assumptions!$B$10</f>
        <v>2.42973790079407</v>
      </c>
      <c r="E27" s="0" t="n">
        <f aca="false">(SUMPRODUCT(DCF_Base!$C$19:$L$19/(1+$A$27/100)^DCF_Base!$C$4:$L$4)+MAX(0,MIN(IF($A$27&gt;$E$22,DCF_Base!$L$19*(1+$E$22/100)/(($A$27-$E$22)/100),DCF_Base!$L$19*DCF_Base!$B$29),DCF_Base!$L$19*DCF_Base!$B$29))/(1+$A$27/100)^DCF_Base!$L$4+Assumptions!$B$5-Assumptions!$B$4)/Assumptions!$B$3*Assumptions!$B$10</f>
        <v>2.50896630219442</v>
      </c>
      <c r="F27" s="0" t="n">
        <f aca="false">(SUMPRODUCT(DCF_Base!$C$19:$L$19/(1+$A$27/100)^DCF_Base!$C$4:$L$4)+MAX(0,MIN(IF($A$27&gt;$F$22,DCF_Base!$L$19*(1+$F$22/100)/(($A$27-$F$22)/100),DCF_Base!$L$19*DCF_Base!$B$29),DCF_Base!$L$19*DCF_Base!$B$29))/(1+$A$27/100)^DCF_Base!$L$4+Assumptions!$B$5-Assumptions!$B$4)/Assumptions!$B$3*Assumptions!$B$10</f>
        <v>2.59751569199482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2026-09-23T02:52:39Z</dcterms:created>
  <dc:creator>openpyxl</dc:creator>
  <dc:description/>
  <dc:language>en-NZ</dc:language>
  <cp:lastModifiedBy/>
  <dcterms:modified xsi:type="dcterms:W3CDTF">2026-09-23T02:52:39Z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