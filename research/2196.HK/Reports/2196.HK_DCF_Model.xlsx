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<sst xmlns="http://schemas.openxmlformats.org/spreadsheetml/2006/main" count="354" uniqueCount="164">
  <si>
    <t xml:space="preserve">Ticker</t>
  </si>
  <si>
    <t xml:space="preserve">2196.HK</t>
  </si>
  <si>
    <t xml:space="preserve">Company</t>
  </si>
  <si>
    <t xml:space="preserve">Shanghai Fosun Pharmaceutical (Group) Co., Ltd.</t>
  </si>
  <si>
    <t xml:space="preserve">Valuation date</t>
  </si>
  <si>
    <t xml:space="preserve">2026-10-18</t>
  </si>
  <si>
    <t xml:space="preserve">Current price</t>
  </si>
  <si>
    <t xml:space="preserve">Price as of</t>
  </si>
  <si>
    <t xml:space="preserve">2026-10-16T08:08:14Z HKEX regular close (Friday); Yahoo Finance chart API; 52-week range 14.90-24.72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</si>
  <si>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</si>
  <si>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</si>
  <si>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</si>
  <si>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</si>
  <si>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</si>
  <si>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</si>
  <si>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</si>
  <si>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</si>
  <si>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</si>
  <si>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</si>
  <si>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</si>
  <si>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</si>
  <si>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</si>
  <si>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2026-10-17T22:31:34Z</t>
  </si>
  <si>
    <t xml:space="preserve">Drivers file</t>
  </si>
  <si>
    <t xml:space="preserve">2196.HK_Drivers.json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</si>
  <si>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</si>
  <si>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</si>
  <si>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</si>
  <si>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This is a strict owner-FCF valuation of the consolidated operating business. It charges all expensed R&amp;D, capitalised development, SBC and lease cash, and gives no credit for other gains, which have been recurring (FY2025 RMB1.99bn, FY2024 RMB1.01bn). The parent's holdings enter the bridge at value: Sinopharm at market look-through, other associates at book, financial assets at fair value. Net debt and NCI at book are deducted. On this basis the group is worth well below the H-share price. FY2025 consolidated owner FCF was ~RMB0.56bn before leases and about zero after them, against a market cap of roughly RMB38bn at the H-share quote. The market is paying for things this model does not count: pipeline optionality and the listed subsidiaries' market values. SOTP cross-check: Fosun's 51.83% of Gland Pharma is ~RMB17bn at GLAND.NS (INR3,043, 2026-10-16), and its majority stake in Henlius (2696.HK, HKD51.35) is worth a further high-teens RMB bn at market. Together with the Sinopharm look-through (~RMB11bn) and other holdings, that covers most of the market cap before net debt and before the wholly-owned generics, devices and hospitals businesses. The gap between this model and that SOTP is the price of believing those subsidiaries' market multiples.
key_risks_to_valuation: Pipeline optionality and licensing milestones are only in the bull flows; a run of large out-licensing deals would make the base case too low; Listed-subsidiary market values (Henlius, Gland) far exceed their DCF-implied share of value; the SOTP and owner-FCF answers diverge sharply; Disposal gains are excluded as non-recurring but have recurred every year; ~RMB1bn/yr of realised gains capitalised would add materially; Sinopharm look-through at ~0.5x book: a re-rating of Sinopharm Group moves the bridge by RMB1bn per 0.05x of book; NCI at book understates the minorities' claim on market value (Gland's NCI alone is ~RMB16bn at market); RMB/HKD rate is static at 1.1724; refresh_price.py does not update fx_rate</t>
  </si>
  <si>
    <t xml:space="preserve">Data sources</t>
  </si>
  <si>
    <t xml:space="preserve">price: Yahoo Finance chart API (2196.HK) at inputs.price_as_of; 52-week range 14.90-24.72. FX from CNYHKD=X; parity against 600196.SS. Cross-check marks: 1099.HK, 2696.HK, GLAND.NS, INRCNY=X, all 2026-10-16.
financials: 2196.HK_Metrics.csv / core_metrics (RMB millions); FY2025 annual report statements (2196.HK_Annual_FY2025.txt lines 7380-7840, note 42 NCI, Sinopharm Industrial associate note ~11680-11710); H1 2026 interim balance sheet, income statement and segment note (2196.HK_HalfYear_H1-2026.txt 3478-3682, 4089-4111, 4443-4445).
qualitative: 2196.HK_Analysis.json (2026-10-18)</t>
  </si>
  <si>
    <t xml:space="preserve">Scenario narrative: bear</t>
  </si>
  <si>
    <t xml:space="preserve">VBP and NRDL renegotiation cut generics and older biosimilars faster than innovation grows, PD-1 and biosimilar competition from Hengrui, Innovent, Junshi and multinationals caps pricing, and US-China tension slows licensing and FDA access. Revenue grows 1-2.5% a year, margin slips to 16.5%, capex stays at 10% to defend the pipeline, cash tax stays at 32% because the loss-making R&amp;D entities never reach taxable profit, and the terminal multiple is 12x.</t>
  </si>
  <si>
    <t xml:space="preserve">Scenario narrative: base</t>
  </si>
  <si>
    <t xml:space="preserve">Innovative drugs keep compounding at low-to-mid teens and overseas revenue at mid-teens, but VBP renewals keep shrinking the generics base and healthcare services keep contracting, so group revenue grows 3.5-5.5% before fading to 3%. Mix shift and steady out-licensing income lift adj. EBITDA margin from 17.3% to 19.5%. Capitalised development and capex ease from 11.5% to 9% of revenue as the Henlius and Gland capacity build-out completes. Cash tax normalises from 33% to 28%. Associates (Sinopharm) and NCI are valued at today's marks.</t>
  </si>
  <si>
    <t xml:space="preserve">Scenario narrative: bull</t>
  </si>
  <si>
    <t xml:space="preserve">The innovation-and-internationalisation pivot works: serplulimab's EU indications, US/EU biosimilar launches (denosumab, pertuzumab), CAR-T label expansion and a recurring stream of out-licensing upfronts and milestones (Pfizer YP05002 up to US$2.1bn, Sitala, Expedition, Sandoz) push growth to 8-9% in FY2027-29. Innovative drugs become the majority of pharma revenue, EBITDA margin reaches 22.5%, capex falls to 8.5% and the tax rate drops to 26% as profits concentrate in high-tech-rate entities.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</si>
  <si>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</si>
  <si>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</si>
  <si>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</si>
  <si>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</si>
  <si>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</si>
  <si>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</si>
  <si>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</si>
  <si>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</si>
  <si>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</si>
  <si>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</si>
  <si>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</si>
  <si>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</si>
  <si>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</si>
  <si>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</si>
  <si>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</si>
  <si>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</si>
  <si>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</si>
  <si>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</si>
  <si>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</si>
  <si>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</si>
  <si>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</si>
  <si>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</si>
  <si>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</si>
  <si>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</si>
  <si>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</si>
  <si>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</si>
  <si>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</si>
  <si>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</si>
  <si>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</si>
  <si>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</si>
  <si>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</si>
  <si>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</si>
  <si>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</si>
  <si>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</si>
  <si>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</si>
  <si>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</si>
  <si>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</si>
  <si>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</si>
  <si>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</si>
  <si>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</si>
  <si>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</si>
  <si>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</si>
  <si>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</si>
  <si>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</si>
  <si>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</si>
  <si>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</si>
  <si>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</si>
  <si>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</si>
  <si>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</si>
  <si>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</si>
  <si>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</si>
  <si>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</si>
  <si>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</si>
  <si>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</si>
  <si>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</si>
  <si>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</si>
  <si>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</si>
  <si>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</si>
  <si>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</si>
  <si>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</si>
  <si>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</si>
  <si>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</si>
  <si>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</si>
  <si>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</si>
  <si>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</si>
  <si>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</si>
  <si>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</si>
  <si>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</si>
  <si>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</si>
  <si>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</si>
  <si>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</si>
  <si>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</si>
  <si>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2196.HK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</si>
  <si>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</si>
  <si>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</si>
  <si>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</si>
  <si>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</si>
  <si>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</si>
  <si>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</si>
  <si>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</si>
  <si>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</si>
  <si>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</si>
  <si>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</si>
  <si>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</si>
  <si>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</si>
  <si>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</si>
  <si>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</si>
  <si>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</si>
  <si>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</si>
  <si>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</si>
  <si>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</si>
  <si>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</si>
  <si>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</si>
  <si>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</si>
  <si>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</si>
  <si>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</si>
  <si>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</si>
  <si>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</si>
  <si>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</si>
  <si>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</si>
  <si>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</si>
  <si>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</si>
  <si>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</si>
  <si>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2196.HK owner-FCF component DCF: base case (millions, CNY)</t>
  </si>
  <si>
    <t xml:space="preserve">2196.HK owner-FCF component DCF: bull case (millions, CNY)</t>
  </si>
  <si>
    <t xml:space="preserve">2196.HK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</si>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</sst>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17.11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24713.875</v>
      </c>
      <c r="C2" s="0" t="n">
        <v>10365.309</v>
      </c>
      <c r="D2" s="0" t="n">
        <v>14348.566</v>
      </c>
      <c r="E2" s="0" t="n">
        <v>58.1</v>
      </c>
      <c r="F2" s="0" t="n">
        <v>2344.358</v>
      </c>
      <c r="G2" s="0" t="n">
        <v>9.5</v>
      </c>
      <c r="H2" s="0" t="n">
        <v>5856.167</v>
      </c>
      <c r="I2" s="0" t="n">
        <v>2707.923</v>
      </c>
      <c r="J2" s="0" t="n">
        <v>11</v>
      </c>
      <c r="K2" s="0" t="n">
        <v>1.07</v>
      </c>
      <c r="L2" s="0" t="n">
        <v>2950.105</v>
      </c>
      <c r="M2" s="0" t="n">
        <v>3174.911</v>
      </c>
      <c r="N2" s="0" t="n">
        <v>-224.806</v>
      </c>
      <c r="O2" s="0" t="n">
        <v>27920.85</v>
      </c>
      <c r="P2" s="0" t="n">
        <v>70494.474</v>
      </c>
      <c r="Q2" s="0" t="n">
        <v>36958.647</v>
      </c>
      <c r="R2" s="0" t="n">
        <v>23203.14</v>
      </c>
      <c r="S2" s="0" t="n">
        <v>8546.522</v>
      </c>
      <c r="T2" s="0" t="n">
        <v>2522.58</v>
      </c>
      <c r="U2" s="0" t="n">
        <v>72.328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28389.277</v>
      </c>
      <c r="C3" s="0" t="n">
        <v>11543.421</v>
      </c>
      <c r="D3" s="0" t="n">
        <v>16845.856</v>
      </c>
      <c r="E3" s="0" t="n">
        <v>59.3</v>
      </c>
      <c r="F3" s="0" t="n">
        <v>2542.497</v>
      </c>
      <c r="G3" s="0" t="n">
        <v>9</v>
      </c>
      <c r="H3" s="0" t="n">
        <v>7120.922</v>
      </c>
      <c r="I3" s="0" t="n">
        <v>3321.618</v>
      </c>
      <c r="J3" s="0" t="n">
        <v>11.7</v>
      </c>
      <c r="K3" s="0" t="n">
        <v>1.3</v>
      </c>
      <c r="L3" s="0" t="n">
        <v>3222.413</v>
      </c>
      <c r="M3" s="0" t="n">
        <v>3962.059</v>
      </c>
      <c r="N3" s="0" t="n">
        <v>-739.646</v>
      </c>
      <c r="O3" s="0" t="n">
        <v>31831.179</v>
      </c>
      <c r="P3" s="0" t="n">
        <v>76062.759</v>
      </c>
      <c r="Q3" s="0" t="n">
        <v>36915.433</v>
      </c>
      <c r="R3" s="0" t="n">
        <v>21691.083</v>
      </c>
      <c r="S3" s="0" t="n">
        <v>9533.268</v>
      </c>
      <c r="T3" s="0" t="n">
        <v>2562.9</v>
      </c>
      <c r="U3" s="0" t="n">
        <v>109.066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30163.26</v>
      </c>
      <c r="C4" s="0" t="n">
        <v>13431.178</v>
      </c>
      <c r="D4" s="0" t="n">
        <v>16732.082</v>
      </c>
      <c r="E4" s="0" t="n">
        <v>55.5</v>
      </c>
      <c r="F4" s="0" t="n">
        <v>2752.464</v>
      </c>
      <c r="G4" s="0" t="n">
        <v>9.1</v>
      </c>
      <c r="H4" s="0" t="n">
        <v>7286.935</v>
      </c>
      <c r="I4" s="0" t="n">
        <v>3662.813</v>
      </c>
      <c r="J4" s="0" t="n">
        <v>12.1</v>
      </c>
      <c r="K4" s="0" t="n">
        <v>1.43</v>
      </c>
      <c r="L4" s="0" t="n">
        <v>2579.774</v>
      </c>
      <c r="M4" s="0" t="n">
        <v>4437.119</v>
      </c>
      <c r="N4" s="0" t="n">
        <v>-1857.345</v>
      </c>
      <c r="O4" s="0" t="n">
        <v>36938.647</v>
      </c>
      <c r="P4" s="0" t="n">
        <v>83629.123</v>
      </c>
      <c r="Q4" s="0" t="n">
        <v>37701.727</v>
      </c>
      <c r="R4" s="0" t="n">
        <v>22964.631</v>
      </c>
      <c r="S4" s="0" t="n">
        <v>9961.802</v>
      </c>
      <c r="T4" s="0" t="n">
        <v>2562.9</v>
      </c>
      <c r="U4" s="0" t="n">
        <v>55.22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38858.085</v>
      </c>
      <c r="C5" s="0" t="n">
        <v>20228.269</v>
      </c>
      <c r="D5" s="0" t="n">
        <v>18629.816</v>
      </c>
      <c r="E5" s="0" t="n">
        <v>47.9</v>
      </c>
      <c r="F5" s="0" t="n">
        <v>2694.869</v>
      </c>
      <c r="G5" s="0" t="n">
        <v>6.9</v>
      </c>
      <c r="H5" s="0" t="n">
        <v>8824.812</v>
      </c>
      <c r="I5" s="0" t="n">
        <v>4735.27</v>
      </c>
      <c r="J5" s="0" t="n">
        <v>12.2</v>
      </c>
      <c r="K5" s="0" t="n">
        <v>1.85</v>
      </c>
      <c r="L5" s="0" t="n">
        <v>3948.747</v>
      </c>
      <c r="M5" s="0" t="n">
        <v>4972.587</v>
      </c>
      <c r="N5" s="0" t="n">
        <v>-1023.84</v>
      </c>
      <c r="O5" s="0" t="n">
        <v>39135.062</v>
      </c>
      <c r="P5" s="0" t="n">
        <v>93236.902</v>
      </c>
      <c r="Q5" s="0" t="n">
        <v>44918.224</v>
      </c>
      <c r="R5" s="0" t="n">
        <v>24509.312</v>
      </c>
      <c r="S5" s="0" t="n">
        <v>10308.157</v>
      </c>
      <c r="T5" s="0" t="n">
        <v>2562.9</v>
      </c>
      <c r="U5" s="0" t="n">
        <v>64.286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43811.385</v>
      </c>
      <c r="C6" s="0" t="n">
        <v>23169.69</v>
      </c>
      <c r="D6" s="0" t="n">
        <v>20641.695</v>
      </c>
      <c r="E6" s="0" t="n">
        <v>47.1</v>
      </c>
      <c r="F6" s="0" t="n">
        <v>3634.643</v>
      </c>
      <c r="G6" s="0" t="n">
        <v>8.3</v>
      </c>
      <c r="H6" s="0" t="n">
        <v>7991.964</v>
      </c>
      <c r="I6" s="0" t="n">
        <v>3736.975</v>
      </c>
      <c r="J6" s="0" t="n">
        <v>8.5</v>
      </c>
      <c r="K6" s="0" t="n">
        <v>1.43</v>
      </c>
      <c r="L6" s="0" t="n">
        <v>4217.571</v>
      </c>
      <c r="M6" s="0" t="n">
        <v>5888.839</v>
      </c>
      <c r="N6" s="0" t="n">
        <v>-1671.268</v>
      </c>
      <c r="O6" s="0" t="n">
        <v>44531.741</v>
      </c>
      <c r="P6" s="0" t="n">
        <v>107113.19</v>
      </c>
      <c r="Q6" s="0" t="n">
        <v>53054.997</v>
      </c>
      <c r="R6" s="0" t="n">
        <v>29116.228</v>
      </c>
      <c r="S6" s="0" t="n">
        <v>16241.313</v>
      </c>
      <c r="T6" s="0" t="n">
        <v>2607.385</v>
      </c>
      <c r="U6" s="0" t="n">
        <v>54.483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41248.505</v>
      </c>
      <c r="C7" s="0" t="n">
        <v>21595.309</v>
      </c>
      <c r="D7" s="0" t="n">
        <v>19653.196</v>
      </c>
      <c r="E7" s="0" t="n">
        <v>47.6</v>
      </c>
      <c r="F7" s="0" t="n">
        <v>1492.839</v>
      </c>
      <c r="G7" s="0" t="n">
        <v>3.6</v>
      </c>
      <c r="H7" s="0" t="n">
        <v>7720.417</v>
      </c>
      <c r="I7" s="0" t="n">
        <v>2398.606</v>
      </c>
      <c r="J7" s="0" t="n">
        <v>5.8</v>
      </c>
      <c r="K7" s="0" t="n">
        <v>0.9</v>
      </c>
      <c r="L7" s="0" t="n">
        <v>3414.217</v>
      </c>
      <c r="M7" s="0" t="n">
        <v>5336.705</v>
      </c>
      <c r="N7" s="0" t="n">
        <v>-1922.488</v>
      </c>
      <c r="O7" s="0" t="n">
        <v>45646.386</v>
      </c>
      <c r="P7" s="0" t="n">
        <v>113431.227</v>
      </c>
      <c r="Q7" s="0" t="n">
        <v>56853.342</v>
      </c>
      <c r="R7" s="0" t="n">
        <v>32573.741</v>
      </c>
      <c r="S7" s="0" t="n">
        <v>13693.591</v>
      </c>
      <c r="T7" s="0" t="n">
        <v>2669.908</v>
      </c>
      <c r="U7" s="0" t="n">
        <v>35.898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40909.878</v>
      </c>
      <c r="C8" s="0" t="n">
        <v>21365.574</v>
      </c>
      <c r="D8" s="0" t="n">
        <v>19544.304</v>
      </c>
      <c r="E8" s="0" t="n">
        <v>47.8</v>
      </c>
      <c r="F8" s="0" t="n">
        <v>3140.952</v>
      </c>
      <c r="G8" s="0" t="n">
        <v>7.7</v>
      </c>
      <c r="H8" s="0" t="n">
        <v>8772.175</v>
      </c>
      <c r="I8" s="0" t="n">
        <v>2769.886</v>
      </c>
      <c r="J8" s="0" t="n">
        <v>6.8</v>
      </c>
      <c r="K8" s="0" t="n">
        <v>1.04</v>
      </c>
      <c r="L8" s="0" t="n">
        <v>4476.981</v>
      </c>
      <c r="M8" s="0" t="n">
        <v>4410.191</v>
      </c>
      <c r="N8" s="0" t="n">
        <v>66.79</v>
      </c>
      <c r="O8" s="0" t="n">
        <v>47222.73</v>
      </c>
      <c r="P8" s="0" t="n">
        <v>117422.19</v>
      </c>
      <c r="Q8" s="0" t="n">
        <v>57526.838</v>
      </c>
      <c r="R8" s="0" t="n">
        <v>33063.64</v>
      </c>
      <c r="S8" s="0" t="n">
        <v>13523.933</v>
      </c>
      <c r="T8" s="0" t="n">
        <v>2670.408</v>
      </c>
      <c r="U8" s="0" t="n">
        <v>21.069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41498.325</v>
      </c>
      <c r="C9" s="0" t="n">
        <v>20800.103</v>
      </c>
      <c r="D9" s="0" t="n">
        <v>20698.222</v>
      </c>
      <c r="E9" s="0" t="n">
        <v>49.9</v>
      </c>
      <c r="F9" s="0" t="n">
        <v>3078.848</v>
      </c>
      <c r="G9" s="0" t="n">
        <v>7.4</v>
      </c>
      <c r="H9" s="0" t="n">
        <v>10101.775</v>
      </c>
      <c r="I9" s="0" t="n">
        <v>3370.562</v>
      </c>
      <c r="J9" s="0" t="n">
        <v>8.1</v>
      </c>
      <c r="K9" s="0" t="n">
        <v>1.27</v>
      </c>
      <c r="L9" s="0" t="n">
        <v>5213.227</v>
      </c>
      <c r="M9" s="0" t="n">
        <v>4448.452</v>
      </c>
      <c r="N9" s="0" t="n">
        <v>764.775</v>
      </c>
      <c r="O9" s="0" t="n">
        <v>48703.132</v>
      </c>
      <c r="P9" s="0" t="n">
        <v>120015.592</v>
      </c>
      <c r="Q9" s="0" t="n">
        <v>58213.618</v>
      </c>
      <c r="R9" s="0" t="n">
        <v>32954.312</v>
      </c>
      <c r="S9" s="0" t="n">
        <v>13104.229</v>
      </c>
      <c r="T9" s="0" t="n">
        <v>2646.294</v>
      </c>
      <c r="U9" s="0" t="n">
        <v>207.245</v>
      </c>
      <c r="AA9" s="0" t="s">
        <v>18</v>
      </c>
      <c r="AB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72</v>
      </c>
      <c r="B1" s="2" t="s">
        <v>73</v>
      </c>
    </row>
    <row r="2" customFormat="false" ht="15" hidden="false" customHeight="false" outlineLevel="0" collapsed="false">
      <c r="A2" s="0" t="s">
        <v>74</v>
      </c>
      <c r="B2" s="3" t="n">
        <v>17.11</v>
      </c>
    </row>
    <row r="3" customFormat="false" ht="15" hidden="false" customHeight="false" outlineLevel="0" collapsed="false">
      <c r="A3" s="0" t="s">
        <v>75</v>
      </c>
      <c r="B3" s="3" t="n">
        <v>2639.554</v>
      </c>
    </row>
    <row r="4" customFormat="false" ht="15" hidden="false" customHeight="false" outlineLevel="0" collapsed="false">
      <c r="A4" s="0" t="s">
        <v>76</v>
      </c>
      <c r="B4" s="3" t="n">
        <v>22174.93</v>
      </c>
    </row>
    <row r="5" customFormat="false" ht="15" hidden="false" customHeight="false" outlineLevel="0" collapsed="false">
      <c r="A5" s="0" t="s">
        <v>77</v>
      </c>
      <c r="B5" s="3" t="n">
        <v>6214.3</v>
      </c>
    </row>
    <row r="6" customFormat="false" ht="15" hidden="false" customHeight="false" outlineLevel="0" collapsed="false">
      <c r="A6" s="0" t="s">
        <v>78</v>
      </c>
      <c r="B6" s="3" t="n">
        <v>15</v>
      </c>
    </row>
    <row r="7" customFormat="false" ht="15" hidden="false" customHeight="false" outlineLevel="0" collapsed="false">
      <c r="A7" s="0" t="s">
        <v>79</v>
      </c>
      <c r="B7" s="3" t="n">
        <v>41498.325</v>
      </c>
    </row>
    <row r="8" customFormat="false" ht="15" hidden="false" customHeight="false" outlineLevel="0" collapsed="false">
      <c r="A8" s="0" t="s">
        <v>80</v>
      </c>
      <c r="B8" s="3" t="s">
        <v>71</v>
      </c>
    </row>
    <row r="9" customFormat="false" ht="15" hidden="false" customHeight="false" outlineLevel="0" collapsed="false">
      <c r="A9" s="0" t="s">
        <v>81</v>
      </c>
      <c r="B9" s="3" t="s">
        <v>82</v>
      </c>
    </row>
    <row r="10" customFormat="false" ht="15" hidden="false" customHeight="false" outlineLevel="0" collapsed="false">
      <c r="A10" s="0" t="s">
        <v>83</v>
      </c>
      <c r="B10" s="3" t="n">
        <v>1.1724</v>
      </c>
    </row>
    <row r="12" customFormat="false" ht="15" hidden="false" customHeight="false" outlineLevel="0" collapsed="false">
      <c r="A12" s="2" t="s">
        <v>84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89</v>
      </c>
      <c r="H12" s="2" t="s">
        <v>90</v>
      </c>
      <c r="I12" s="2" t="s">
        <v>91</v>
      </c>
      <c r="J12" s="2" t="s">
        <v>92</v>
      </c>
      <c r="K12" s="2" t="s">
        <v>93</v>
      </c>
      <c r="L12" s="2" t="s">
        <v>94</v>
      </c>
    </row>
    <row r="13" customFormat="false" ht="15" hidden="false" customHeight="false" outlineLevel="0" collapsed="false">
      <c r="A13" s="0" t="s">
        <v>95</v>
      </c>
      <c r="C13" s="3" t="n">
        <v>1</v>
      </c>
      <c r="D13" s="3" t="n">
        <v>1</v>
      </c>
      <c r="E13" s="3" t="n">
        <v>2</v>
      </c>
      <c r="F13" s="3" t="n">
        <v>2</v>
      </c>
      <c r="G13" s="3" t="n">
        <v>2.5</v>
      </c>
      <c r="H13" s="3" t="n">
        <v>2.5</v>
      </c>
      <c r="I13" s="3" t="n">
        <v>2.5</v>
      </c>
      <c r="J13" s="3" t="n">
        <v>2.5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96</v>
      </c>
      <c r="C14" s="3" t="n">
        <v>16.8</v>
      </c>
      <c r="D14" s="3" t="n">
        <v>16.5</v>
      </c>
      <c r="E14" s="3" t="n">
        <v>16.5</v>
      </c>
      <c r="F14" s="3" t="n">
        <v>16.5</v>
      </c>
      <c r="G14" s="3" t="n">
        <v>16.5</v>
      </c>
      <c r="H14" s="3" t="n">
        <v>16.5</v>
      </c>
      <c r="I14" s="3" t="n">
        <v>16.5</v>
      </c>
      <c r="J14" s="3" t="n">
        <v>16.5</v>
      </c>
      <c r="K14" s="3" t="n">
        <v>16.5</v>
      </c>
      <c r="L14" s="3" t="n">
        <v>16.5</v>
      </c>
    </row>
    <row r="15" customFormat="false" ht="15" hidden="false" customHeight="false" outlineLevel="0" collapsed="false">
      <c r="A15" s="0" t="s">
        <v>97</v>
      </c>
      <c r="C15" s="3" t="n">
        <v>1.4</v>
      </c>
      <c r="D15" s="3" t="n">
        <v>1.3</v>
      </c>
      <c r="E15" s="3" t="n">
        <v>1.2</v>
      </c>
      <c r="F15" s="3" t="n">
        <v>1.1</v>
      </c>
      <c r="G15" s="3" t="n">
        <v>1</v>
      </c>
      <c r="H15" s="3" t="n">
        <v>1</v>
      </c>
      <c r="I15" s="3" t="n">
        <v>1</v>
      </c>
      <c r="J15" s="3" t="n">
        <v>1</v>
      </c>
      <c r="K15" s="3" t="n">
        <v>1</v>
      </c>
      <c r="L15" s="3" t="n">
        <v>1</v>
      </c>
    </row>
    <row r="16" customFormat="false" ht="15" hidden="false" customHeight="false" outlineLevel="0" collapsed="false">
      <c r="A16" s="0" t="s">
        <v>98</v>
      </c>
      <c r="C16" s="3" t="n">
        <v>1.4</v>
      </c>
      <c r="D16" s="3" t="n">
        <v>1.4</v>
      </c>
      <c r="E16" s="3" t="n">
        <v>1.4</v>
      </c>
      <c r="F16" s="3" t="n">
        <v>1.4</v>
      </c>
      <c r="G16" s="3" t="n">
        <v>1.4</v>
      </c>
      <c r="H16" s="3" t="n">
        <v>1.4</v>
      </c>
      <c r="I16" s="3" t="n">
        <v>1.4</v>
      </c>
      <c r="J16" s="3" t="n">
        <v>1.4</v>
      </c>
      <c r="K16" s="3" t="n">
        <v>1.4</v>
      </c>
      <c r="L16" s="3" t="n">
        <v>1.4</v>
      </c>
    </row>
    <row r="17" customFormat="false" ht="15" hidden="false" customHeight="false" outlineLevel="0" collapsed="false">
      <c r="A17" s="0" t="s">
        <v>99</v>
      </c>
      <c r="C17" s="3" t="n">
        <v>7.9</v>
      </c>
      <c r="D17" s="3" t="n">
        <v>8</v>
      </c>
      <c r="E17" s="3" t="n">
        <v>8.1</v>
      </c>
      <c r="F17" s="3" t="n">
        <v>8.2</v>
      </c>
      <c r="G17" s="3" t="n">
        <v>8.2</v>
      </c>
      <c r="H17" s="3" t="n">
        <v>8.2</v>
      </c>
      <c r="I17" s="3" t="n">
        <v>8.2</v>
      </c>
      <c r="J17" s="3" t="n">
        <v>8.2</v>
      </c>
      <c r="K17" s="3" t="n">
        <v>8.2</v>
      </c>
      <c r="L17" s="3" t="n">
        <v>8.2</v>
      </c>
    </row>
    <row r="18" customFormat="false" ht="15" hidden="false" customHeight="false" outlineLevel="0" collapsed="false">
      <c r="A18" s="0" t="s">
        <v>100</v>
      </c>
      <c r="C18" s="3" t="n">
        <v>11.5</v>
      </c>
      <c r="D18" s="3" t="n">
        <v>11</v>
      </c>
      <c r="E18" s="3" t="n">
        <v>10.5</v>
      </c>
      <c r="F18" s="3" t="n">
        <v>10</v>
      </c>
      <c r="G18" s="3" t="n">
        <v>9.5</v>
      </c>
      <c r="H18" s="3" t="n">
        <v>9.5</v>
      </c>
      <c r="I18" s="3" t="n">
        <v>9.5</v>
      </c>
      <c r="J18" s="3" t="n">
        <v>9.5</v>
      </c>
      <c r="K18" s="3" t="n">
        <v>9.5</v>
      </c>
      <c r="L18" s="3" t="n">
        <v>9.5</v>
      </c>
    </row>
    <row r="19" customFormat="false" ht="15" hidden="false" customHeight="false" outlineLevel="0" collapsed="false">
      <c r="A19" s="0" t="s">
        <v>101</v>
      </c>
      <c r="C19" s="3" t="n">
        <v>33</v>
      </c>
      <c r="D19" s="3" t="n">
        <v>33</v>
      </c>
      <c r="E19" s="3" t="n">
        <v>32</v>
      </c>
      <c r="F19" s="3" t="n">
        <v>32</v>
      </c>
      <c r="G19" s="3" t="n">
        <v>32</v>
      </c>
      <c r="H19" s="3" t="n">
        <v>32</v>
      </c>
      <c r="I19" s="3" t="n">
        <v>32</v>
      </c>
      <c r="J19" s="3" t="n">
        <v>32</v>
      </c>
      <c r="K19" s="3" t="n">
        <v>32</v>
      </c>
      <c r="L19" s="3" t="n">
        <v>32</v>
      </c>
    </row>
    <row r="20" customFormat="false" ht="15" hidden="false" customHeight="false" outlineLevel="0" collapsed="false">
      <c r="A20" s="0" t="s">
        <v>102</v>
      </c>
      <c r="B20" s="3" t="n">
        <v>7.5</v>
      </c>
    </row>
    <row r="21" customFormat="false" ht="15" hidden="false" customHeight="false" outlineLevel="0" collapsed="false">
      <c r="A21" s="0" t="s">
        <v>103</v>
      </c>
      <c r="B21" s="3" t="n">
        <v>2</v>
      </c>
    </row>
    <row r="22" customFormat="false" ht="15" hidden="false" customHeight="false" outlineLevel="0" collapsed="false">
      <c r="A22" s="0" t="s">
        <v>104</v>
      </c>
      <c r="B22" s="3" t="n">
        <v>12</v>
      </c>
    </row>
    <row r="23" customFormat="false" ht="15" hidden="false" customHeight="false" outlineLevel="0" collapsed="false">
      <c r="A23" s="0" t="s">
        <v>105</v>
      </c>
      <c r="B23" s="3" t="n">
        <v>-20</v>
      </c>
    </row>
    <row r="24" customFormat="false" ht="15" hidden="false" customHeight="false" outlineLevel="0" collapsed="false">
      <c r="A24" s="0" t="s">
        <v>106</v>
      </c>
      <c r="B24" s="3" t="n">
        <v>0.25</v>
      </c>
    </row>
    <row r="26" customFormat="false" ht="15" hidden="false" customHeight="false" outlineLevel="0" collapsed="false">
      <c r="A26" s="2" t="s">
        <v>107</v>
      </c>
      <c r="C26" s="2" t="s">
        <v>85</v>
      </c>
      <c r="D26" s="2" t="s">
        <v>86</v>
      </c>
      <c r="E26" s="2" t="s">
        <v>87</v>
      </c>
      <c r="F26" s="2" t="s">
        <v>88</v>
      </c>
      <c r="G26" s="2" t="s">
        <v>89</v>
      </c>
      <c r="H26" s="2" t="s">
        <v>90</v>
      </c>
      <c r="I26" s="2" t="s">
        <v>91</v>
      </c>
      <c r="J26" s="2" t="s">
        <v>92</v>
      </c>
      <c r="K26" s="2" t="s">
        <v>93</v>
      </c>
      <c r="L26" s="2" t="s">
        <v>94</v>
      </c>
    </row>
    <row r="27" customFormat="false" ht="15" hidden="false" customHeight="false" outlineLevel="0" collapsed="false">
      <c r="A27" s="0" t="s">
        <v>95</v>
      </c>
      <c r="C27" s="3" t="n">
        <v>3.5</v>
      </c>
      <c r="D27" s="3" t="n">
        <v>5</v>
      </c>
      <c r="E27" s="3" t="n">
        <v>5.5</v>
      </c>
      <c r="F27" s="3" t="n">
        <v>5.5</v>
      </c>
      <c r="G27" s="3" t="n">
        <v>5</v>
      </c>
      <c r="H27" s="3" t="n">
        <v>4.5</v>
      </c>
      <c r="I27" s="3" t="n">
        <v>4</v>
      </c>
      <c r="J27" s="3" t="n">
        <v>3.5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96</v>
      </c>
      <c r="C28" s="3" t="n">
        <v>17.3</v>
      </c>
      <c r="D28" s="3" t="n">
        <v>17.8</v>
      </c>
      <c r="E28" s="3" t="n">
        <v>18.3</v>
      </c>
      <c r="F28" s="3" t="n">
        <v>18.8</v>
      </c>
      <c r="G28" s="3" t="n">
        <v>19.2</v>
      </c>
      <c r="H28" s="3" t="n">
        <v>19.5</v>
      </c>
      <c r="I28" s="3" t="n">
        <v>19.5</v>
      </c>
      <c r="J28" s="3" t="n">
        <v>19.5</v>
      </c>
      <c r="K28" s="3" t="n">
        <v>19.5</v>
      </c>
      <c r="L28" s="3" t="n">
        <v>19.5</v>
      </c>
    </row>
    <row r="29" customFormat="false" ht="15" hidden="false" customHeight="false" outlineLevel="0" collapsed="false">
      <c r="A29" s="0" t="s">
        <v>97</v>
      </c>
      <c r="C29" s="3" t="n">
        <v>1.4</v>
      </c>
      <c r="D29" s="3" t="n">
        <v>1.3</v>
      </c>
      <c r="E29" s="3" t="n">
        <v>1.2</v>
      </c>
      <c r="F29" s="3" t="n">
        <v>1.1</v>
      </c>
      <c r="G29" s="3" t="n">
        <v>1</v>
      </c>
      <c r="H29" s="3" t="n">
        <v>0.9</v>
      </c>
      <c r="I29" s="3" t="n">
        <v>0.8</v>
      </c>
      <c r="J29" s="3" t="n">
        <v>0.8</v>
      </c>
      <c r="K29" s="3" t="n">
        <v>0.8</v>
      </c>
      <c r="L29" s="3" t="n">
        <v>0.8</v>
      </c>
    </row>
    <row r="30" customFormat="false" ht="15" hidden="false" customHeight="false" outlineLevel="0" collapsed="false">
      <c r="A30" s="0" t="s">
        <v>98</v>
      </c>
      <c r="C30" s="3" t="n">
        <v>1.4</v>
      </c>
      <c r="D30" s="3" t="n">
        <v>1.4</v>
      </c>
      <c r="E30" s="3" t="n">
        <v>1.4</v>
      </c>
      <c r="F30" s="3" t="n">
        <v>1.4</v>
      </c>
      <c r="G30" s="3" t="n">
        <v>1.4</v>
      </c>
      <c r="H30" s="3" t="n">
        <v>1.4</v>
      </c>
      <c r="I30" s="3" t="n">
        <v>1.4</v>
      </c>
      <c r="J30" s="3" t="n">
        <v>1.4</v>
      </c>
      <c r="K30" s="3" t="n">
        <v>1.4</v>
      </c>
      <c r="L30" s="3" t="n">
        <v>1.4</v>
      </c>
    </row>
    <row r="31" customFormat="false" ht="15" hidden="false" customHeight="false" outlineLevel="0" collapsed="false">
      <c r="A31" s="0" t="s">
        <v>99</v>
      </c>
      <c r="C31" s="3" t="n">
        <v>7.9</v>
      </c>
      <c r="D31" s="3" t="n">
        <v>8</v>
      </c>
      <c r="E31" s="3" t="n">
        <v>8.1</v>
      </c>
      <c r="F31" s="3" t="n">
        <v>8.2</v>
      </c>
      <c r="G31" s="3" t="n">
        <v>8.2</v>
      </c>
      <c r="H31" s="3" t="n">
        <v>8.2</v>
      </c>
      <c r="I31" s="3" t="n">
        <v>8.2</v>
      </c>
      <c r="J31" s="3" t="n">
        <v>8.2</v>
      </c>
      <c r="K31" s="3" t="n">
        <v>8.2</v>
      </c>
      <c r="L31" s="3" t="n">
        <v>8.2</v>
      </c>
    </row>
    <row r="32" customFormat="false" ht="15" hidden="false" customHeight="false" outlineLevel="0" collapsed="false">
      <c r="A32" s="0" t="s">
        <v>100</v>
      </c>
      <c r="C32" s="3" t="n">
        <v>11.5</v>
      </c>
      <c r="D32" s="3" t="n">
        <v>11</v>
      </c>
      <c r="E32" s="3" t="n">
        <v>10.5</v>
      </c>
      <c r="F32" s="3" t="n">
        <v>10</v>
      </c>
      <c r="G32" s="3" t="n">
        <v>9.5</v>
      </c>
      <c r="H32" s="3" t="n">
        <v>9</v>
      </c>
      <c r="I32" s="3" t="n">
        <v>9</v>
      </c>
      <c r="J32" s="3" t="n">
        <v>9</v>
      </c>
      <c r="K32" s="3" t="n">
        <v>9</v>
      </c>
      <c r="L32" s="3" t="n">
        <v>9</v>
      </c>
    </row>
    <row r="33" customFormat="false" ht="15" hidden="false" customHeight="false" outlineLevel="0" collapsed="false">
      <c r="A33" s="0" t="s">
        <v>101</v>
      </c>
      <c r="C33" s="3" t="n">
        <v>33</v>
      </c>
      <c r="D33" s="3" t="n">
        <v>32</v>
      </c>
      <c r="E33" s="3" t="n">
        <v>31</v>
      </c>
      <c r="F33" s="3" t="n">
        <v>30</v>
      </c>
      <c r="G33" s="3" t="n">
        <v>29</v>
      </c>
      <c r="H33" s="3" t="n">
        <v>28</v>
      </c>
      <c r="I33" s="3" t="n">
        <v>28</v>
      </c>
      <c r="J33" s="3" t="n">
        <v>28</v>
      </c>
      <c r="K33" s="3" t="n">
        <v>28</v>
      </c>
      <c r="L33" s="3" t="n">
        <v>28</v>
      </c>
    </row>
    <row r="34" customFormat="false" ht="15" hidden="false" customHeight="false" outlineLevel="0" collapsed="false">
      <c r="A34" s="0" t="s">
        <v>102</v>
      </c>
      <c r="B34" s="3" t="n">
        <v>7.5</v>
      </c>
    </row>
    <row r="35" customFormat="false" ht="15" hidden="false" customHeight="false" outlineLevel="0" collapsed="false">
      <c r="A35" s="0" t="s">
        <v>103</v>
      </c>
      <c r="B35" s="3" t="n">
        <v>2.5</v>
      </c>
    </row>
    <row r="36" customFormat="false" ht="15" hidden="false" customHeight="false" outlineLevel="0" collapsed="false">
      <c r="A36" s="0" t="s">
        <v>104</v>
      </c>
      <c r="B36" s="3" t="n">
        <v>15</v>
      </c>
    </row>
    <row r="37" customFormat="false" ht="15" hidden="false" customHeight="false" outlineLevel="0" collapsed="false">
      <c r="A37" s="0" t="s">
        <v>105</v>
      </c>
      <c r="B37" s="3" t="n">
        <v>-20</v>
      </c>
    </row>
    <row r="38" customFormat="false" ht="15" hidden="false" customHeight="false" outlineLevel="0" collapsed="false">
      <c r="A38" s="0" t="s">
        <v>106</v>
      </c>
      <c r="B38" s="3" t="n">
        <v>0.5</v>
      </c>
    </row>
    <row r="40" customFormat="false" ht="15" hidden="false" customHeight="false" outlineLevel="0" collapsed="false">
      <c r="A40" s="2" t="s">
        <v>108</v>
      </c>
      <c r="C40" s="2" t="s">
        <v>85</v>
      </c>
      <c r="D40" s="2" t="s">
        <v>86</v>
      </c>
      <c r="E40" s="2" t="s">
        <v>87</v>
      </c>
      <c r="F40" s="2" t="s">
        <v>88</v>
      </c>
      <c r="G40" s="2" t="s">
        <v>89</v>
      </c>
      <c r="H40" s="2" t="s">
        <v>90</v>
      </c>
      <c r="I40" s="2" t="s">
        <v>91</v>
      </c>
      <c r="J40" s="2" t="s">
        <v>92</v>
      </c>
      <c r="K40" s="2" t="s">
        <v>93</v>
      </c>
      <c r="L40" s="2" t="s">
        <v>94</v>
      </c>
    </row>
    <row r="41" customFormat="false" ht="15" hidden="false" customHeight="false" outlineLevel="0" collapsed="false">
      <c r="A41" s="0" t="s">
        <v>95</v>
      </c>
      <c r="C41" s="3" t="n">
        <v>5</v>
      </c>
      <c r="D41" s="3" t="n">
        <v>8</v>
      </c>
      <c r="E41" s="3" t="n">
        <v>9</v>
      </c>
      <c r="F41" s="3" t="n">
        <v>9</v>
      </c>
      <c r="G41" s="3" t="n">
        <v>8</v>
      </c>
      <c r="H41" s="3" t="n">
        <v>7</v>
      </c>
      <c r="I41" s="3" t="n">
        <v>6</v>
      </c>
      <c r="J41" s="3" t="n">
        <v>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96</v>
      </c>
      <c r="C42" s="3" t="n">
        <v>17.5</v>
      </c>
      <c r="D42" s="3" t="n">
        <v>18.5</v>
      </c>
      <c r="E42" s="3" t="n">
        <v>19.5</v>
      </c>
      <c r="F42" s="3" t="n">
        <v>20.5</v>
      </c>
      <c r="G42" s="3" t="n">
        <v>21.5</v>
      </c>
      <c r="H42" s="3" t="n">
        <v>22</v>
      </c>
      <c r="I42" s="3" t="n">
        <v>22.5</v>
      </c>
      <c r="J42" s="3" t="n">
        <v>22.5</v>
      </c>
      <c r="K42" s="3" t="n">
        <v>22.5</v>
      </c>
      <c r="L42" s="3" t="n">
        <v>22.5</v>
      </c>
    </row>
    <row r="43" customFormat="false" ht="15" hidden="false" customHeight="false" outlineLevel="0" collapsed="false">
      <c r="A43" s="0" t="s">
        <v>97</v>
      </c>
      <c r="C43" s="3" t="n">
        <v>1.4</v>
      </c>
      <c r="D43" s="3" t="n">
        <v>1.3</v>
      </c>
      <c r="E43" s="3" t="n">
        <v>1.2</v>
      </c>
      <c r="F43" s="3" t="n">
        <v>1.1</v>
      </c>
      <c r="G43" s="3" t="n">
        <v>1</v>
      </c>
      <c r="H43" s="3" t="n">
        <v>0.9</v>
      </c>
      <c r="I43" s="3" t="n">
        <v>0.8</v>
      </c>
      <c r="J43" s="3" t="n">
        <v>0.8</v>
      </c>
      <c r="K43" s="3" t="n">
        <v>0.8</v>
      </c>
      <c r="L43" s="3" t="n">
        <v>0.8</v>
      </c>
    </row>
    <row r="44" customFormat="false" ht="15" hidden="false" customHeight="false" outlineLevel="0" collapsed="false">
      <c r="A44" s="0" t="s">
        <v>98</v>
      </c>
      <c r="C44" s="3" t="n">
        <v>1.4</v>
      </c>
      <c r="D44" s="3" t="n">
        <v>1.4</v>
      </c>
      <c r="E44" s="3" t="n">
        <v>1.4</v>
      </c>
      <c r="F44" s="3" t="n">
        <v>1.4</v>
      </c>
      <c r="G44" s="3" t="n">
        <v>1.4</v>
      </c>
      <c r="H44" s="3" t="n">
        <v>1.4</v>
      </c>
      <c r="I44" s="3" t="n">
        <v>1.4</v>
      </c>
      <c r="J44" s="3" t="n">
        <v>1.4</v>
      </c>
      <c r="K44" s="3" t="n">
        <v>1.4</v>
      </c>
      <c r="L44" s="3" t="n">
        <v>1.4</v>
      </c>
    </row>
    <row r="45" customFormat="false" ht="15" hidden="false" customHeight="false" outlineLevel="0" collapsed="false">
      <c r="A45" s="0" t="s">
        <v>99</v>
      </c>
      <c r="C45" s="3" t="n">
        <v>7.9</v>
      </c>
      <c r="D45" s="3" t="n">
        <v>8</v>
      </c>
      <c r="E45" s="3" t="n">
        <v>8.1</v>
      </c>
      <c r="F45" s="3" t="n">
        <v>8.2</v>
      </c>
      <c r="G45" s="3" t="n">
        <v>8.2</v>
      </c>
      <c r="H45" s="3" t="n">
        <v>8.2</v>
      </c>
      <c r="I45" s="3" t="n">
        <v>8.2</v>
      </c>
      <c r="J45" s="3" t="n">
        <v>8.2</v>
      </c>
      <c r="K45" s="3" t="n">
        <v>8.2</v>
      </c>
      <c r="L45" s="3" t="n">
        <v>8.2</v>
      </c>
    </row>
    <row r="46" customFormat="false" ht="15" hidden="false" customHeight="false" outlineLevel="0" collapsed="false">
      <c r="A46" s="0" t="s">
        <v>100</v>
      </c>
      <c r="C46" s="3" t="n">
        <v>11.5</v>
      </c>
      <c r="D46" s="3" t="n">
        <v>10.5</v>
      </c>
      <c r="E46" s="3" t="n">
        <v>10</v>
      </c>
      <c r="F46" s="3" t="n">
        <v>9.5</v>
      </c>
      <c r="G46" s="3" t="n">
        <v>9</v>
      </c>
      <c r="H46" s="3" t="n">
        <v>8.5</v>
      </c>
      <c r="I46" s="3" t="n">
        <v>8.5</v>
      </c>
      <c r="J46" s="3" t="n">
        <v>8.5</v>
      </c>
      <c r="K46" s="3" t="n">
        <v>8.5</v>
      </c>
      <c r="L46" s="3" t="n">
        <v>8.5</v>
      </c>
    </row>
    <row r="47" customFormat="false" ht="15" hidden="false" customHeight="false" outlineLevel="0" collapsed="false">
      <c r="A47" s="0" t="s">
        <v>101</v>
      </c>
      <c r="C47" s="3" t="n">
        <v>33</v>
      </c>
      <c r="D47" s="3" t="n">
        <v>31</v>
      </c>
      <c r="E47" s="3" t="n">
        <v>30</v>
      </c>
      <c r="F47" s="3" t="n">
        <v>29</v>
      </c>
      <c r="G47" s="3" t="n">
        <v>28</v>
      </c>
      <c r="H47" s="3" t="n">
        <v>27</v>
      </c>
      <c r="I47" s="3" t="n">
        <v>26</v>
      </c>
      <c r="J47" s="3" t="n">
        <v>26</v>
      </c>
      <c r="K47" s="3" t="n">
        <v>26</v>
      </c>
      <c r="L47" s="3" t="n">
        <v>26</v>
      </c>
    </row>
    <row r="48" customFormat="false" ht="15" hidden="false" customHeight="false" outlineLevel="0" collapsed="false">
      <c r="A48" s="0" t="s">
        <v>102</v>
      </c>
      <c r="B48" s="3" t="n">
        <v>7.5</v>
      </c>
    </row>
    <row r="49" customFormat="false" ht="15" hidden="false" customHeight="false" outlineLevel="0" collapsed="false">
      <c r="A49" s="0" t="s">
        <v>103</v>
      </c>
      <c r="B49" s="3" t="n">
        <v>3</v>
      </c>
    </row>
    <row r="50" customFormat="false" ht="15" hidden="false" customHeight="false" outlineLevel="0" collapsed="false">
      <c r="A50" s="0" t="s">
        <v>104</v>
      </c>
      <c r="B50" s="3" t="n">
        <v>15</v>
      </c>
    </row>
    <row r="51" customFormat="false" ht="15" hidden="false" customHeight="false" outlineLevel="0" collapsed="false">
      <c r="A51" s="0" t="s">
        <v>105</v>
      </c>
      <c r="B51" s="3" t="n">
        <v>-20</v>
      </c>
    </row>
    <row r="52" customFormat="false" ht="15" hidden="false" customHeight="false" outlineLevel="0" collapsed="false">
      <c r="A52" s="0" t="s">
        <v>106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109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Assumptions!C13</f>
        <v>1</v>
      </c>
      <c r="D5" s="4" t="n">
        <f aca="false">Assumptions!D13</f>
        <v>1</v>
      </c>
      <c r="E5" s="4" t="n">
        <f aca="false">Assumptions!E13</f>
        <v>2</v>
      </c>
      <c r="F5" s="4" t="n">
        <f aca="false">Assumptions!F13</f>
        <v>2</v>
      </c>
      <c r="G5" s="4" t="n">
        <f aca="false">Assumptions!G13</f>
        <v>2.5</v>
      </c>
      <c r="H5" s="4" t="n">
        <f aca="false">Assumptions!H13</f>
        <v>2.5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41498.325</v>
      </c>
      <c r="C6" s="0" t="n">
        <f aca="false">B6*(1+C5/100)</f>
        <v>41913.30825</v>
      </c>
      <c r="D6" s="0" t="n">
        <f aca="false">C6*(1+D5/100)</f>
        <v>42332.4413325</v>
      </c>
      <c r="E6" s="0" t="n">
        <f aca="false">D6*(1+E5/100)</f>
        <v>43179.09015915</v>
      </c>
      <c r="F6" s="0" t="n">
        <f aca="false">E6*(1+F5/100)</f>
        <v>44042.671962333</v>
      </c>
      <c r="G6" s="0" t="n">
        <f aca="false">F6*(1+G5/100)</f>
        <v>45143.7387613913</v>
      </c>
      <c r="H6" s="0" t="n">
        <f aca="false">G6*(1+H5/100)</f>
        <v>46272.3322304261</v>
      </c>
      <c r="I6" s="0" t="n">
        <f aca="false">H6*(1+I5/100)</f>
        <v>47429.1405361867</v>
      </c>
      <c r="J6" s="0" t="n">
        <f aca="false">I6*(1+J5/100)</f>
        <v>48614.8690495914</v>
      </c>
      <c r="K6" s="0" t="n">
        <f aca="false">J6*(1+K5/100)</f>
        <v>49587.1664305832</v>
      </c>
      <c r="L6" s="0" t="n">
        <f aca="false">K6*(1+L5/100)</f>
        <v>50578.9097591949</v>
      </c>
    </row>
    <row r="7" customFormat="false" ht="15" hidden="false" customHeight="false" outlineLevel="0" collapsed="false">
      <c r="A7" s="0" t="s">
        <v>96</v>
      </c>
      <c r="C7" s="4" t="n">
        <f aca="false">Assumptions!C14</f>
        <v>16.8</v>
      </c>
      <c r="D7" s="4" t="n">
        <f aca="false">Assumptions!D14</f>
        <v>16.5</v>
      </c>
      <c r="E7" s="4" t="n">
        <f aca="false">Assumptions!E14</f>
        <v>16.5</v>
      </c>
      <c r="F7" s="4" t="n">
        <f aca="false">Assumptions!F14</f>
        <v>16.5</v>
      </c>
      <c r="G7" s="4" t="n">
        <f aca="false">Assumptions!G14</f>
        <v>16.5</v>
      </c>
      <c r="H7" s="4" t="n">
        <f aca="false">Assumptions!H14</f>
        <v>16.5</v>
      </c>
      <c r="I7" s="4" t="n">
        <f aca="false">Assumptions!I14</f>
        <v>16.5</v>
      </c>
      <c r="J7" s="4" t="n">
        <f aca="false">Assumptions!J14</f>
        <v>16.5</v>
      </c>
      <c r="K7" s="4" t="n">
        <f aca="false">Assumptions!K14</f>
        <v>16.5</v>
      </c>
      <c r="L7" s="4" t="n">
        <f aca="false">Assumptions!L14</f>
        <v>16.5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7041.435786</v>
      </c>
      <c r="D8" s="0" t="n">
        <f aca="false">D6*D7/100</f>
        <v>6984.8528198625</v>
      </c>
      <c r="E8" s="0" t="n">
        <f aca="false">E6*E7/100</f>
        <v>7124.54987625975</v>
      </c>
      <c r="F8" s="0" t="n">
        <f aca="false">F6*F7/100</f>
        <v>7267.04087378494</v>
      </c>
      <c r="G8" s="0" t="n">
        <f aca="false">G6*G7/100</f>
        <v>7448.71689562957</v>
      </c>
      <c r="H8" s="0" t="n">
        <f aca="false">H6*H7/100</f>
        <v>7634.93481802031</v>
      </c>
      <c r="I8" s="0" t="n">
        <f aca="false">I6*I7/100</f>
        <v>7825.80818847081</v>
      </c>
      <c r="J8" s="0" t="n">
        <f aca="false">J6*J7/100</f>
        <v>8021.45339318258</v>
      </c>
      <c r="K8" s="0" t="n">
        <f aca="false">K6*K7/100</f>
        <v>8181.88246104623</v>
      </c>
      <c r="L8" s="0" t="n">
        <f aca="false">L6*L7/100</f>
        <v>8345.52011026716</v>
      </c>
    </row>
    <row r="9" customFormat="false" ht="15" hidden="false" customHeight="false" outlineLevel="0" collapsed="false">
      <c r="A9" s="0" t="s">
        <v>97</v>
      </c>
      <c r="C9" s="4" t="n">
        <f aca="false">Assumptions!C15</f>
        <v>1.4</v>
      </c>
      <c r="D9" s="4" t="n">
        <f aca="false">Assumptions!D15</f>
        <v>1.3</v>
      </c>
      <c r="E9" s="4" t="n">
        <f aca="false">Assumptions!E15</f>
        <v>1.2</v>
      </c>
      <c r="F9" s="4" t="n">
        <f aca="false">Assumptions!F15</f>
        <v>1.1</v>
      </c>
      <c r="G9" s="4" t="n">
        <f aca="false">Assumptions!G15</f>
        <v>1</v>
      </c>
      <c r="H9" s="4" t="n">
        <f aca="false">Assumptions!H15</f>
        <v>1</v>
      </c>
      <c r="I9" s="4" t="n">
        <f aca="false">Assumptions!I15</f>
        <v>1</v>
      </c>
      <c r="J9" s="4" t="n">
        <f aca="false">Assumptions!J15</f>
        <v>1</v>
      </c>
      <c r="K9" s="4" t="n">
        <f aca="false">Assumptions!K15</f>
        <v>1</v>
      </c>
      <c r="L9" s="4" t="n">
        <f aca="false">Assumptions!L15</f>
        <v>1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-586.7863155</v>
      </c>
      <c r="D10" s="0" t="n">
        <f aca="false">-D6*D9/100</f>
        <v>-550.3217373225</v>
      </c>
      <c r="E10" s="0" t="n">
        <f aca="false">-E6*E9/100</f>
        <v>-518.1490819098</v>
      </c>
      <c r="F10" s="0" t="n">
        <f aca="false">-F6*F9/100</f>
        <v>-484.469391585663</v>
      </c>
      <c r="G10" s="0" t="n">
        <f aca="false">-G6*G9/100</f>
        <v>-451.437387613913</v>
      </c>
      <c r="H10" s="0" t="n">
        <f aca="false">-H6*H9/100</f>
        <v>-462.723322304261</v>
      </c>
      <c r="I10" s="0" t="n">
        <f aca="false">-I6*I9/100</f>
        <v>-474.291405361867</v>
      </c>
      <c r="J10" s="0" t="n">
        <f aca="false">-J6*J9/100</f>
        <v>-486.148690495914</v>
      </c>
      <c r="K10" s="0" t="n">
        <f aca="false">-K6*K9/100</f>
        <v>-495.871664305832</v>
      </c>
      <c r="L10" s="0" t="n">
        <f aca="false">-L6*L9/100</f>
        <v>-505.789097591949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5867.863155</v>
      </c>
      <c r="D11" s="0" t="n">
        <f aca="false">D8+D10+D24</f>
        <v>5841.876903885</v>
      </c>
      <c r="E11" s="0" t="n">
        <f aca="false">E8+E10+E24</f>
        <v>6001.89353212185</v>
      </c>
      <c r="F11" s="0" t="n">
        <f aca="false">F8+F10+F24</f>
        <v>6165.97407472662</v>
      </c>
      <c r="G11" s="0" t="n">
        <f aca="false">G8+G10+G24</f>
        <v>6365.26716535618</v>
      </c>
      <c r="H11" s="0" t="n">
        <f aca="false">H8+H10+H24</f>
        <v>6524.39884449008</v>
      </c>
      <c r="I11" s="0" t="n">
        <f aca="false">I8+I10+I24</f>
        <v>6687.50881560233</v>
      </c>
      <c r="J11" s="0" t="n">
        <f aca="false">J8+J10+J24</f>
        <v>6854.69653599239</v>
      </c>
      <c r="K11" s="0" t="n">
        <f aca="false">K8+K10+K24</f>
        <v>6991.79046671224</v>
      </c>
      <c r="L11" s="0" t="n">
        <f aca="false">L8+L10+L24</f>
        <v>7131.62627604648</v>
      </c>
    </row>
    <row r="12" customFormat="false" ht="15" hidden="false" customHeight="false" outlineLevel="0" collapsed="false">
      <c r="A12" s="0" t="s">
        <v>114</v>
      </c>
      <c r="C12" s="4" t="n">
        <f aca="false">-C6*Assumptions!C17/100</f>
        <v>-3311.15135175</v>
      </c>
      <c r="D12" s="4" t="n">
        <f aca="false">-D6*Assumptions!D17/100</f>
        <v>-3386.5953066</v>
      </c>
      <c r="E12" s="4" t="n">
        <f aca="false">-E6*Assumptions!E17/100</f>
        <v>-3497.50630289115</v>
      </c>
      <c r="F12" s="4" t="n">
        <f aca="false">-F6*Assumptions!F17/100</f>
        <v>-3611.49910091131</v>
      </c>
      <c r="G12" s="4" t="n">
        <f aca="false">-G6*Assumptions!G17/100</f>
        <v>-3701.78657843409</v>
      </c>
      <c r="H12" s="4" t="n">
        <f aca="false">-H6*Assumptions!H17/100</f>
        <v>-3794.33124289494</v>
      </c>
      <c r="I12" s="4" t="n">
        <f aca="false">-I6*Assumptions!I17/100</f>
        <v>-3889.18952396731</v>
      </c>
      <c r="J12" s="4" t="n">
        <f aca="false">-J6*Assumptions!J17/100</f>
        <v>-3986.4192620665</v>
      </c>
      <c r="K12" s="4" t="n">
        <f aca="false">-K6*Assumptions!K17/100</f>
        <v>-4066.14764730782</v>
      </c>
      <c r="L12" s="4" t="n">
        <f aca="false">-L6*Assumptions!L17/100</f>
        <v>-4147.47060025398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2556.71180325</v>
      </c>
      <c r="D13" s="0" t="n">
        <f aca="false">D11+D12</f>
        <v>2455.281597285</v>
      </c>
      <c r="E13" s="0" t="n">
        <f aca="false">E11+E12</f>
        <v>2504.3872292307</v>
      </c>
      <c r="F13" s="0" t="n">
        <f aca="false">F11+F12</f>
        <v>2554.47497381531</v>
      </c>
      <c r="G13" s="0" t="n">
        <f aca="false">G11+G12</f>
        <v>2663.48058692209</v>
      </c>
      <c r="H13" s="0" t="n">
        <f aca="false">H11+H12</f>
        <v>2730.06760159514</v>
      </c>
      <c r="I13" s="0" t="n">
        <f aca="false">I11+I12</f>
        <v>2798.31929163502</v>
      </c>
      <c r="J13" s="0" t="n">
        <f aca="false">J11+J12</f>
        <v>2868.27727392589</v>
      </c>
      <c r="K13" s="0" t="n">
        <f aca="false">K11+K12</f>
        <v>2925.64281940441</v>
      </c>
      <c r="L13" s="0" t="n">
        <f aca="false">L11+L12</f>
        <v>2984.1556757925</v>
      </c>
    </row>
    <row r="14" customFormat="false" ht="15" hidden="false" customHeight="false" outlineLevel="0" collapsed="false">
      <c r="A14" s="0" t="s">
        <v>101</v>
      </c>
      <c r="C14" s="4" t="n">
        <f aca="false">Assumptions!C19</f>
        <v>33</v>
      </c>
      <c r="D14" s="4" t="n">
        <f aca="false">Assumptions!D19</f>
        <v>33</v>
      </c>
      <c r="E14" s="4" t="n">
        <f aca="false">Assumptions!E19</f>
        <v>32</v>
      </c>
      <c r="F14" s="4" t="n">
        <f aca="false">Assumptions!F19</f>
        <v>32</v>
      </c>
      <c r="G14" s="4" t="n">
        <f aca="false">Assumptions!G19</f>
        <v>32</v>
      </c>
      <c r="H14" s="4" t="n">
        <f aca="false">Assumptions!H19</f>
        <v>32</v>
      </c>
      <c r="I14" s="4" t="n">
        <f aca="false">Assumptions!I19</f>
        <v>32</v>
      </c>
      <c r="J14" s="4" t="n">
        <f aca="false">Assumptions!J19</f>
        <v>32</v>
      </c>
      <c r="K14" s="4" t="n">
        <f aca="false">Assumptions!K19</f>
        <v>32</v>
      </c>
      <c r="L14" s="4" t="n">
        <f aca="false">Assumptions!L19</f>
        <v>32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1712.9969081775</v>
      </c>
      <c r="D15" s="0" t="n">
        <f aca="false">D13-MAX(0,D13)*D14/100</f>
        <v>1645.03867018095</v>
      </c>
      <c r="E15" s="0" t="n">
        <f aca="false">E13-MAX(0,E13)*E14/100</f>
        <v>1702.98331587688</v>
      </c>
      <c r="F15" s="0" t="n">
        <f aca="false">F13-MAX(0,F13)*F14/100</f>
        <v>1737.04298219441</v>
      </c>
      <c r="G15" s="0" t="n">
        <f aca="false">G13-MAX(0,G13)*G14/100</f>
        <v>1811.16679910702</v>
      </c>
      <c r="H15" s="0" t="n">
        <f aca="false">H13-MAX(0,H13)*H14/100</f>
        <v>1856.4459690847</v>
      </c>
      <c r="I15" s="0" t="n">
        <f aca="false">I13-MAX(0,I13)*I14/100</f>
        <v>1902.85711831181</v>
      </c>
      <c r="J15" s="0" t="n">
        <f aca="false">J13-MAX(0,J13)*J14/100</f>
        <v>1950.42854626961</v>
      </c>
      <c r="K15" s="0" t="n">
        <f aca="false">K13-MAX(0,K13)*K14/100</f>
        <v>1989.437117195</v>
      </c>
      <c r="L15" s="0" t="n">
        <f aca="false">L13-MAX(0,L13)*L14/100</f>
        <v>2029.2258595389</v>
      </c>
    </row>
    <row r="16" customFormat="false" ht="15" hidden="false" customHeight="false" outlineLevel="0" collapsed="false">
      <c r="A16" s="0" t="s">
        <v>117</v>
      </c>
      <c r="C16" s="0" t="n">
        <f aca="false">-C12</f>
        <v>3311.15135175</v>
      </c>
      <c r="D16" s="0" t="n">
        <f aca="false">-D12</f>
        <v>3386.5953066</v>
      </c>
      <c r="E16" s="0" t="n">
        <f aca="false">-E12</f>
        <v>3497.50630289115</v>
      </c>
      <c r="F16" s="0" t="n">
        <f aca="false">-F12</f>
        <v>3611.49910091131</v>
      </c>
      <c r="G16" s="0" t="n">
        <f aca="false">-G12</f>
        <v>3701.78657843409</v>
      </c>
      <c r="H16" s="0" t="n">
        <f aca="false">-H12</f>
        <v>3794.33124289494</v>
      </c>
      <c r="I16" s="0" t="n">
        <f aca="false">-I12</f>
        <v>3889.18952396731</v>
      </c>
      <c r="J16" s="0" t="n">
        <f aca="false">-J12</f>
        <v>3986.4192620665</v>
      </c>
      <c r="K16" s="0" t="n">
        <f aca="false">-K12</f>
        <v>4066.14764730782</v>
      </c>
      <c r="L16" s="0" t="n">
        <f aca="false">-L12</f>
        <v>4147.47060025398</v>
      </c>
    </row>
    <row r="17" customFormat="false" ht="15" hidden="false" customHeight="false" outlineLevel="0" collapsed="false">
      <c r="A17" s="0" t="s">
        <v>118</v>
      </c>
      <c r="C17" s="4" t="n">
        <f aca="false">-C6*Assumptions!C18/100</f>
        <v>-4820.03044875</v>
      </c>
      <c r="D17" s="4" t="n">
        <f aca="false">-D6*Assumptions!D18/100</f>
        <v>-4656.568546575</v>
      </c>
      <c r="E17" s="4" t="n">
        <f aca="false">-E6*Assumptions!E18/100</f>
        <v>-4533.80446671075</v>
      </c>
      <c r="F17" s="4" t="n">
        <f aca="false">-F6*Assumptions!F18/100</f>
        <v>-4404.2671962333</v>
      </c>
      <c r="G17" s="4" t="n">
        <f aca="false">-G6*Assumptions!G18/100</f>
        <v>-4288.65518233218</v>
      </c>
      <c r="H17" s="4" t="n">
        <f aca="false">-H6*Assumptions!H18/100</f>
        <v>-4395.87156189048</v>
      </c>
      <c r="I17" s="4" t="n">
        <f aca="false">-I6*Assumptions!I18/100</f>
        <v>-4505.76835093774</v>
      </c>
      <c r="J17" s="4" t="n">
        <f aca="false">-J6*Assumptions!J18/100</f>
        <v>-4618.41255971118</v>
      </c>
      <c r="K17" s="4" t="n">
        <f aca="false">-K6*Assumptions!K18/100</f>
        <v>-4710.78081090541</v>
      </c>
      <c r="L17" s="4" t="n">
        <f aca="false">-L6*Assumptions!L18/100</f>
        <v>-4804.99642712352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(C6-B6)*Assumptions!$B$23/100</f>
        <v>-82.9966499999995</v>
      </c>
      <c r="D18" s="4" t="n">
        <f aca="false">(D6-C6)*Assumptions!$B$23/100</f>
        <v>-83.8266164999994</v>
      </c>
      <c r="E18" s="4" t="n">
        <f aca="false">(E6-D6)*Assumptions!$B$23/100</f>
        <v>-169.32976533</v>
      </c>
      <c r="F18" s="4" t="n">
        <f aca="false">(F6-E6)*Assumptions!$B$23/100</f>
        <v>-172.7163606366</v>
      </c>
      <c r="G18" s="4" t="n">
        <f aca="false">(G6-F6)*Assumptions!$B$23/100</f>
        <v>-220.213359811665</v>
      </c>
      <c r="H18" s="4" t="n">
        <f aca="false">(H6-G6)*Assumptions!$B$23/100</f>
        <v>-225.718693806956</v>
      </c>
      <c r="I18" s="4" t="n">
        <f aca="false">(I6-H6)*Assumptions!$B$23/100</f>
        <v>-231.36166115213</v>
      </c>
      <c r="J18" s="4" t="n">
        <f aca="false">(J6-I6)*Assumptions!$B$23/100</f>
        <v>-237.145702680932</v>
      </c>
      <c r="K18" s="4" t="n">
        <f aca="false">(K6-J6)*Assumptions!$B$23/100</f>
        <v>-194.459476198365</v>
      </c>
      <c r="L18" s="4" t="n">
        <f aca="false">(L6-K6)*Assumptions!$B$23/100</f>
        <v>-198.348665722333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121.1211611775</v>
      </c>
      <c r="D19" s="0" t="n">
        <f aca="false">D15+D16+D17+D18</f>
        <v>291.238813705951</v>
      </c>
      <c r="E19" s="0" t="n">
        <f aca="false">E15+E16+E17+E18</f>
        <v>497.355386727276</v>
      </c>
      <c r="F19" s="0" t="n">
        <f aca="false">F15+F16+F17+F18</f>
        <v>771.558526235819</v>
      </c>
      <c r="G19" s="0" t="n">
        <f aca="false">G15+G16+G17+G18</f>
        <v>1004.08483539727</v>
      </c>
      <c r="H19" s="0" t="n">
        <f aca="false">H15+H16+H17+H18</f>
        <v>1029.1869562822</v>
      </c>
      <c r="I19" s="0" t="n">
        <f aca="false">I15+I16+I17+I18</f>
        <v>1054.91663018925</v>
      </c>
      <c r="J19" s="0" t="n">
        <f aca="false">J15+J16+J17+J18</f>
        <v>1081.28954594399</v>
      </c>
      <c r="K19" s="0" t="n">
        <f aca="false">K15+K16+K17+K18</f>
        <v>1150.34447739905</v>
      </c>
      <c r="L19" s="0" t="n">
        <f aca="false">L15+L16+L17+L18</f>
        <v>1173.35136694703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112.670847606977</v>
      </c>
      <c r="D21" s="0" t="n">
        <f aca="false">D19*D20</f>
        <v>252.018443444847</v>
      </c>
      <c r="E21" s="0" t="n">
        <f aca="false">E19*E20</f>
        <v>400.351475348657</v>
      </c>
      <c r="F21" s="0" t="n">
        <f aca="false">F19*F20</f>
        <v>577.74343319886</v>
      </c>
      <c r="G21" s="0" t="n">
        <f aca="false">G19*G20</f>
        <v>699.403959707812</v>
      </c>
      <c r="H21" s="0" t="n">
        <f aca="false">H19*H20</f>
        <v>666.873542977217</v>
      </c>
      <c r="I21" s="0" t="n">
        <f aca="false">I19*I20</f>
        <v>635.856168885253</v>
      </c>
      <c r="J21" s="0" t="n">
        <f aca="false">J19*J20</f>
        <v>606.281463355707</v>
      </c>
      <c r="K21" s="0" t="n">
        <f aca="false">K19*K20</f>
        <v>600.000667580827</v>
      </c>
      <c r="L21" s="0" t="n">
        <f aca="false">L19*L20</f>
        <v>569.302959006924</v>
      </c>
    </row>
    <row r="23" customFormat="false" ht="15" hidden="false" customHeight="false" outlineLevel="0" collapsed="false">
      <c r="A23" s="0" t="s">
        <v>98</v>
      </c>
      <c r="C23" s="4" t="n">
        <f aca="false">Assumptions!C16</f>
        <v>1.4</v>
      </c>
      <c r="D23" s="4" t="n">
        <f aca="false">Assumptions!D16</f>
        <v>1.4</v>
      </c>
      <c r="E23" s="4" t="n">
        <f aca="false">Assumptions!E16</f>
        <v>1.4</v>
      </c>
      <c r="F23" s="4" t="n">
        <f aca="false">Assumptions!F16</f>
        <v>1.4</v>
      </c>
      <c r="G23" s="4" t="n">
        <f aca="false">Assumptions!G16</f>
        <v>1.4</v>
      </c>
      <c r="H23" s="4" t="n">
        <f aca="false">Assumptions!H16</f>
        <v>1.4</v>
      </c>
      <c r="I23" s="4" t="n">
        <f aca="false">Assumptions!I16</f>
        <v>1.4</v>
      </c>
      <c r="J23" s="4" t="n">
        <f aca="false">Assumptions!J16</f>
        <v>1.4</v>
      </c>
      <c r="K23" s="4" t="n">
        <f aca="false">Assumptions!K16</f>
        <v>1.4</v>
      </c>
      <c r="L23" s="4" t="n">
        <f aca="false">Assumptions!L16</f>
        <v>1.4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-586.7863155</v>
      </c>
      <c r="D24" s="0" t="n">
        <f aca="false">-D6*D23/100</f>
        <v>-592.654178655</v>
      </c>
      <c r="E24" s="0" t="n">
        <f aca="false">-E6*E23/100</f>
        <v>-604.5072622281</v>
      </c>
      <c r="F24" s="0" t="n">
        <f aca="false">-F6*F23/100</f>
        <v>-616.597407472662</v>
      </c>
      <c r="G24" s="0" t="n">
        <f aca="false">-G6*G23/100</f>
        <v>-632.012342659478</v>
      </c>
      <c r="H24" s="0" t="n">
        <f aca="false">-H6*H23/100</f>
        <v>-647.812651225965</v>
      </c>
      <c r="I24" s="0" t="n">
        <f aca="false">-I6*I23/100</f>
        <v>-664.007967506614</v>
      </c>
      <c r="J24" s="0" t="n">
        <f aca="false">-J6*J23/100</f>
        <v>-680.60816669428</v>
      </c>
      <c r="K24" s="0" t="n">
        <f aca="false">-K6*K23/100</f>
        <v>-694.220330028165</v>
      </c>
      <c r="L24" s="0" t="n">
        <f aca="false">-L6*L23/100</f>
        <v>-708.104736628729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Assumptions!$B$20</f>
        <v>7.5</v>
      </c>
    </row>
    <row r="28" customFormat="false" ht="15" hidden="false" customHeight="false" outlineLevel="0" collapsed="false">
      <c r="A28" s="0" t="s">
        <v>103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104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5120.50296111308</v>
      </c>
    </row>
    <row r="31" customFormat="false" ht="15" hidden="false" customHeight="false" outlineLevel="0" collapsed="false">
      <c r="A31" s="0" t="s">
        <v>126</v>
      </c>
      <c r="B31" s="0" t="n">
        <f aca="false">L19</f>
        <v>1173.35136694703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21760.3344415631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14080.2164033644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14080.2164033644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6831.63550808308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11952.1384691962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-4008.49153080384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-1.780435433681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-1.10405817847347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3478.70950437539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4551.16209337717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1.78616008253314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9206.29534066133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-4.56603821677715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Assumptions!C27</f>
        <v>3.5</v>
      </c>
      <c r="D5" s="4" t="n">
        <f aca="false">Assumptions!D27</f>
        <v>5</v>
      </c>
      <c r="E5" s="4" t="n">
        <f aca="false">Assumptions!E27</f>
        <v>5.5</v>
      </c>
      <c r="F5" s="4" t="n">
        <f aca="false">Assumptions!F27</f>
        <v>5.5</v>
      </c>
      <c r="G5" s="4" t="n">
        <f aca="false">Assumptions!G27</f>
        <v>5</v>
      </c>
      <c r="H5" s="4" t="n">
        <f aca="false">Assumptions!H27</f>
        <v>4.5</v>
      </c>
      <c r="I5" s="4" t="n">
        <f aca="false">Assumptions!I27</f>
        <v>4</v>
      </c>
      <c r="J5" s="4" t="n">
        <f aca="false">Assumptions!J27</f>
        <v>3.5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41498.325</v>
      </c>
      <c r="C6" s="0" t="n">
        <f aca="false">B6*(1+C5/100)</f>
        <v>42950.766375</v>
      </c>
      <c r="D6" s="0" t="n">
        <f aca="false">C6*(1+D5/100)</f>
        <v>45098.30469375</v>
      </c>
      <c r="E6" s="0" t="n">
        <f aca="false">D6*(1+E5/100)</f>
        <v>47578.7114519062</v>
      </c>
      <c r="F6" s="0" t="n">
        <f aca="false">E6*(1+F5/100)</f>
        <v>50195.5405817611</v>
      </c>
      <c r="G6" s="0" t="n">
        <f aca="false">F6*(1+G5/100)</f>
        <v>52705.3176108491</v>
      </c>
      <c r="H6" s="0" t="n">
        <f aca="false">G6*(1+H5/100)</f>
        <v>55077.0569033374</v>
      </c>
      <c r="I6" s="0" t="n">
        <f aca="false">H6*(1+I5/100)</f>
        <v>57280.1391794709</v>
      </c>
      <c r="J6" s="0" t="n">
        <f aca="false">I6*(1+J5/100)</f>
        <v>59284.9440507523</v>
      </c>
      <c r="K6" s="0" t="n">
        <f aca="false">J6*(1+K5/100)</f>
        <v>61063.4923722749</v>
      </c>
      <c r="L6" s="0" t="n">
        <f aca="false">K6*(1+L5/100)</f>
        <v>62895.3971434431</v>
      </c>
    </row>
    <row r="7" customFormat="false" ht="15" hidden="false" customHeight="false" outlineLevel="0" collapsed="false">
      <c r="A7" s="0" t="s">
        <v>96</v>
      </c>
      <c r="C7" s="4" t="n">
        <f aca="false">Assumptions!C28</f>
        <v>17.3</v>
      </c>
      <c r="D7" s="4" t="n">
        <f aca="false">Assumptions!D28</f>
        <v>17.8</v>
      </c>
      <c r="E7" s="4" t="n">
        <f aca="false">Assumptions!E28</f>
        <v>18.3</v>
      </c>
      <c r="F7" s="4" t="n">
        <f aca="false">Assumptions!F28</f>
        <v>18.8</v>
      </c>
      <c r="G7" s="4" t="n">
        <f aca="false">Assumptions!G28</f>
        <v>19.2</v>
      </c>
      <c r="H7" s="4" t="n">
        <f aca="false">Assumptions!H28</f>
        <v>19.5</v>
      </c>
      <c r="I7" s="4" t="n">
        <f aca="false">Assumptions!I28</f>
        <v>19.5</v>
      </c>
      <c r="J7" s="4" t="n">
        <f aca="false">Assumptions!J28</f>
        <v>19.5</v>
      </c>
      <c r="K7" s="4" t="n">
        <f aca="false">Assumptions!K28</f>
        <v>19.5</v>
      </c>
      <c r="L7" s="4" t="n">
        <f aca="false">Assumptions!L28</f>
        <v>19.5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7430.482582875</v>
      </c>
      <c r="D8" s="0" t="n">
        <f aca="false">D6*D7/100</f>
        <v>8027.4982354875</v>
      </c>
      <c r="E8" s="0" t="n">
        <f aca="false">E6*E7/100</f>
        <v>8706.90419569884</v>
      </c>
      <c r="F8" s="0" t="n">
        <f aca="false">F6*F7/100</f>
        <v>9436.76162937109</v>
      </c>
      <c r="G8" s="0" t="n">
        <f aca="false">G6*G7/100</f>
        <v>10119.420981283</v>
      </c>
      <c r="H8" s="0" t="n">
        <f aca="false">H6*H7/100</f>
        <v>10740.0260961508</v>
      </c>
      <c r="I8" s="0" t="n">
        <f aca="false">I6*I7/100</f>
        <v>11169.6271399968</v>
      </c>
      <c r="J8" s="0" t="n">
        <f aca="false">J6*J7/100</f>
        <v>11560.5640898967</v>
      </c>
      <c r="K8" s="0" t="n">
        <f aca="false">K6*K7/100</f>
        <v>11907.3810125936</v>
      </c>
      <c r="L8" s="0" t="n">
        <f aca="false">L6*L7/100</f>
        <v>12264.6024429714</v>
      </c>
    </row>
    <row r="9" customFormat="false" ht="15" hidden="false" customHeight="false" outlineLevel="0" collapsed="false">
      <c r="A9" s="0" t="s">
        <v>97</v>
      </c>
      <c r="C9" s="4" t="n">
        <f aca="false">Assumptions!C29</f>
        <v>1.4</v>
      </c>
      <c r="D9" s="4" t="n">
        <f aca="false">Assumptions!D29</f>
        <v>1.3</v>
      </c>
      <c r="E9" s="4" t="n">
        <f aca="false">Assumptions!E29</f>
        <v>1.2</v>
      </c>
      <c r="F9" s="4" t="n">
        <f aca="false">Assumptions!F29</f>
        <v>1.1</v>
      </c>
      <c r="G9" s="4" t="n">
        <f aca="false">Assumptions!G29</f>
        <v>1</v>
      </c>
      <c r="H9" s="4" t="n">
        <f aca="false">Assumptions!H29</f>
        <v>0.9</v>
      </c>
      <c r="I9" s="4" t="n">
        <f aca="false">Assumptions!I29</f>
        <v>0.8</v>
      </c>
      <c r="J9" s="4" t="n">
        <f aca="false">Assumptions!J29</f>
        <v>0.8</v>
      </c>
      <c r="K9" s="4" t="n">
        <f aca="false">Assumptions!K29</f>
        <v>0.8</v>
      </c>
      <c r="L9" s="4" t="n">
        <f aca="false">Assumptions!L29</f>
        <v>0.8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-601.31072925</v>
      </c>
      <c r="D10" s="0" t="n">
        <f aca="false">-D6*D9/100</f>
        <v>-586.27796101875</v>
      </c>
      <c r="E10" s="0" t="n">
        <f aca="false">-E6*E9/100</f>
        <v>-570.944537422875</v>
      </c>
      <c r="F10" s="0" t="n">
        <f aca="false">-F6*F9/100</f>
        <v>-552.150946399372</v>
      </c>
      <c r="G10" s="0" t="n">
        <f aca="false">-G6*G9/100</f>
        <v>-527.053176108492</v>
      </c>
      <c r="H10" s="0" t="n">
        <f aca="false">-H6*H9/100</f>
        <v>-495.693512130036</v>
      </c>
      <c r="I10" s="0" t="n">
        <f aca="false">-I6*I9/100</f>
        <v>-458.241113435767</v>
      </c>
      <c r="J10" s="0" t="n">
        <f aca="false">-J6*J9/100</f>
        <v>-474.279552406019</v>
      </c>
      <c r="K10" s="0" t="n">
        <f aca="false">-K6*K9/100</f>
        <v>-488.507938978199</v>
      </c>
      <c r="L10" s="0" t="n">
        <f aca="false">-L6*L9/100</f>
        <v>-503.163177147545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6227.861124375</v>
      </c>
      <c r="D11" s="0" t="n">
        <f aca="false">D8+D10+D24</f>
        <v>6809.84400875625</v>
      </c>
      <c r="E11" s="0" t="n">
        <f aca="false">E8+E10+E24</f>
        <v>7469.85769794928</v>
      </c>
      <c r="F11" s="0" t="n">
        <f aca="false">F8+F10+F24</f>
        <v>8181.87311482706</v>
      </c>
      <c r="G11" s="0" t="n">
        <f aca="false">G8+G10+G24</f>
        <v>8854.49335862266</v>
      </c>
      <c r="H11" s="0" t="n">
        <f aca="false">H8+H10+H24</f>
        <v>9473.25378737403</v>
      </c>
      <c r="I11" s="0" t="n">
        <f aca="false">I8+I10+I24</f>
        <v>9909.46407804846</v>
      </c>
      <c r="J11" s="0" t="n">
        <f aca="false">J8+J10+J24</f>
        <v>10256.2953207802</v>
      </c>
      <c r="K11" s="0" t="n">
        <f aca="false">K8+K10+K24</f>
        <v>10563.9841804036</v>
      </c>
      <c r="L11" s="0" t="n">
        <f aca="false">L8+L10+L24</f>
        <v>10880.9037058157</v>
      </c>
    </row>
    <row r="12" customFormat="false" ht="15" hidden="false" customHeight="false" outlineLevel="0" collapsed="false">
      <c r="A12" s="0" t="s">
        <v>114</v>
      </c>
      <c r="C12" s="4" t="n">
        <f aca="false">-C6*Assumptions!C31/100</f>
        <v>-3393.110543625</v>
      </c>
      <c r="D12" s="4" t="n">
        <f aca="false">-D6*Assumptions!D31/100</f>
        <v>-3607.8643755</v>
      </c>
      <c r="E12" s="4" t="n">
        <f aca="false">-E6*Assumptions!E31/100</f>
        <v>-3853.87562760441</v>
      </c>
      <c r="F12" s="4" t="n">
        <f aca="false">-F6*Assumptions!F31/100</f>
        <v>-4116.03432770441</v>
      </c>
      <c r="G12" s="4" t="n">
        <f aca="false">-G6*Assumptions!G31/100</f>
        <v>-4321.83604408963</v>
      </c>
      <c r="H12" s="4" t="n">
        <f aca="false">-H6*Assumptions!H31/100</f>
        <v>-4516.31866607366</v>
      </c>
      <c r="I12" s="4" t="n">
        <f aca="false">-I6*Assumptions!I31/100</f>
        <v>-4696.97141271661</v>
      </c>
      <c r="J12" s="4" t="n">
        <f aca="false">-J6*Assumptions!J31/100</f>
        <v>-4861.36541216169</v>
      </c>
      <c r="K12" s="4" t="n">
        <f aca="false">-K6*Assumptions!K31/100</f>
        <v>-5007.20637452654</v>
      </c>
      <c r="L12" s="4" t="n">
        <f aca="false">-L6*Assumptions!L31/100</f>
        <v>-5157.42256576234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2834.75058075</v>
      </c>
      <c r="D13" s="0" t="n">
        <f aca="false">D11+D12</f>
        <v>3201.97963325625</v>
      </c>
      <c r="E13" s="0" t="n">
        <f aca="false">E11+E12</f>
        <v>3615.98207034488</v>
      </c>
      <c r="F13" s="0" t="n">
        <f aca="false">F11+F12</f>
        <v>4065.83878712265</v>
      </c>
      <c r="G13" s="0" t="n">
        <f aca="false">G11+G12</f>
        <v>4532.65731453303</v>
      </c>
      <c r="H13" s="0" t="n">
        <f aca="false">H11+H12</f>
        <v>4956.93512130036</v>
      </c>
      <c r="I13" s="0" t="n">
        <f aca="false">I11+I12</f>
        <v>5212.49266533185</v>
      </c>
      <c r="J13" s="0" t="n">
        <f aca="false">J11+J12</f>
        <v>5394.92990861846</v>
      </c>
      <c r="K13" s="0" t="n">
        <f aca="false">K11+K12</f>
        <v>5556.77780587702</v>
      </c>
      <c r="L13" s="0" t="n">
        <f aca="false">L11+L12</f>
        <v>5723.48114005333</v>
      </c>
    </row>
    <row r="14" customFormat="false" ht="15" hidden="false" customHeight="false" outlineLevel="0" collapsed="false">
      <c r="A14" s="0" t="s">
        <v>101</v>
      </c>
      <c r="C14" s="4" t="n">
        <f aca="false">Assumptions!C33</f>
        <v>33</v>
      </c>
      <c r="D14" s="4" t="n">
        <f aca="false">Assumptions!D33</f>
        <v>32</v>
      </c>
      <c r="E14" s="4" t="n">
        <f aca="false">Assumptions!E33</f>
        <v>31</v>
      </c>
      <c r="F14" s="4" t="n">
        <f aca="false">Assumptions!F33</f>
        <v>30</v>
      </c>
      <c r="G14" s="4" t="n">
        <f aca="false">Assumptions!G33</f>
        <v>29</v>
      </c>
      <c r="H14" s="4" t="n">
        <f aca="false">Assumptions!H33</f>
        <v>28</v>
      </c>
      <c r="I14" s="4" t="n">
        <f aca="false">Assumptions!I33</f>
        <v>28</v>
      </c>
      <c r="J14" s="4" t="n">
        <f aca="false">Assumptions!J33</f>
        <v>28</v>
      </c>
      <c r="K14" s="4" t="n">
        <f aca="false">Assumptions!K33</f>
        <v>28</v>
      </c>
      <c r="L14" s="4" t="n">
        <f aca="false">Assumptions!L33</f>
        <v>28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1899.2828891025</v>
      </c>
      <c r="D15" s="0" t="n">
        <f aca="false">D13-MAX(0,D13)*D14/100</f>
        <v>2177.34615061425</v>
      </c>
      <c r="E15" s="0" t="n">
        <f aca="false">E13-MAX(0,E13)*E14/100</f>
        <v>2495.02762853796</v>
      </c>
      <c r="F15" s="0" t="n">
        <f aca="false">F13-MAX(0,F13)*F14/100</f>
        <v>2846.08715098586</v>
      </c>
      <c r="G15" s="0" t="n">
        <f aca="false">G13-MAX(0,G13)*G14/100</f>
        <v>3218.18669331845</v>
      </c>
      <c r="H15" s="0" t="n">
        <f aca="false">H13-MAX(0,H13)*H14/100</f>
        <v>3568.99328733626</v>
      </c>
      <c r="I15" s="0" t="n">
        <f aca="false">I13-MAX(0,I13)*I14/100</f>
        <v>3752.99471903893</v>
      </c>
      <c r="J15" s="0" t="n">
        <f aca="false">J13-MAX(0,J13)*J14/100</f>
        <v>3884.34953420529</v>
      </c>
      <c r="K15" s="0" t="n">
        <f aca="false">K13-MAX(0,K13)*K14/100</f>
        <v>4000.88002023145</v>
      </c>
      <c r="L15" s="0" t="n">
        <f aca="false">L13-MAX(0,L13)*L14/100</f>
        <v>4120.90642083839</v>
      </c>
    </row>
    <row r="16" customFormat="false" ht="15" hidden="false" customHeight="false" outlineLevel="0" collapsed="false">
      <c r="A16" s="0" t="s">
        <v>117</v>
      </c>
      <c r="C16" s="0" t="n">
        <f aca="false">-C12</f>
        <v>3393.110543625</v>
      </c>
      <c r="D16" s="0" t="n">
        <f aca="false">-D12</f>
        <v>3607.8643755</v>
      </c>
      <c r="E16" s="0" t="n">
        <f aca="false">-E12</f>
        <v>3853.87562760441</v>
      </c>
      <c r="F16" s="0" t="n">
        <f aca="false">-F12</f>
        <v>4116.03432770441</v>
      </c>
      <c r="G16" s="0" t="n">
        <f aca="false">-G12</f>
        <v>4321.83604408963</v>
      </c>
      <c r="H16" s="0" t="n">
        <f aca="false">-H12</f>
        <v>4516.31866607366</v>
      </c>
      <c r="I16" s="0" t="n">
        <f aca="false">-I12</f>
        <v>4696.97141271661</v>
      </c>
      <c r="J16" s="0" t="n">
        <f aca="false">-J12</f>
        <v>4861.36541216169</v>
      </c>
      <c r="K16" s="0" t="n">
        <f aca="false">-K12</f>
        <v>5007.20637452654</v>
      </c>
      <c r="L16" s="0" t="n">
        <f aca="false">-L12</f>
        <v>5157.42256576234</v>
      </c>
    </row>
    <row r="17" customFormat="false" ht="15" hidden="false" customHeight="false" outlineLevel="0" collapsed="false">
      <c r="A17" s="0" t="s">
        <v>118</v>
      </c>
      <c r="C17" s="4" t="n">
        <f aca="false">-C6*Assumptions!C32/100</f>
        <v>-4939.338133125</v>
      </c>
      <c r="D17" s="4" t="n">
        <f aca="false">-D6*Assumptions!D32/100</f>
        <v>-4960.8135163125</v>
      </c>
      <c r="E17" s="4" t="n">
        <f aca="false">-E6*Assumptions!E32/100</f>
        <v>-4995.76470245016</v>
      </c>
      <c r="F17" s="4" t="n">
        <f aca="false">-F6*Assumptions!F32/100</f>
        <v>-5019.55405817611</v>
      </c>
      <c r="G17" s="4" t="n">
        <f aca="false">-G6*Assumptions!G32/100</f>
        <v>-5007.00517303067</v>
      </c>
      <c r="H17" s="4" t="n">
        <f aca="false">-H6*Assumptions!H32/100</f>
        <v>-4956.93512130036</v>
      </c>
      <c r="I17" s="4" t="n">
        <f aca="false">-I6*Assumptions!I32/100</f>
        <v>-5155.21252615238</v>
      </c>
      <c r="J17" s="4" t="n">
        <f aca="false">-J6*Assumptions!J32/100</f>
        <v>-5335.64496456771</v>
      </c>
      <c r="K17" s="4" t="n">
        <f aca="false">-K6*Assumptions!K32/100</f>
        <v>-5495.71431350474</v>
      </c>
      <c r="L17" s="4" t="n">
        <f aca="false">-L6*Assumptions!L32/100</f>
        <v>-5660.58574290988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(C6-B6)*Assumptions!$B$37/100</f>
        <v>-290.488274999999</v>
      </c>
      <c r="D18" s="4" t="n">
        <f aca="false">(D6-C6)*Assumptions!$B$37/100</f>
        <v>-429.507663750001</v>
      </c>
      <c r="E18" s="4" t="n">
        <f aca="false">(E6-D6)*Assumptions!$B$37/100</f>
        <v>-496.08135163125</v>
      </c>
      <c r="F18" s="4" t="n">
        <f aca="false">(F6-E6)*Assumptions!$B$37/100</f>
        <v>-523.365825970969</v>
      </c>
      <c r="G18" s="4" t="n">
        <f aca="false">(G6-F6)*Assumptions!$B$37/100</f>
        <v>-501.955405817612</v>
      </c>
      <c r="H18" s="4" t="n">
        <f aca="false">(H6-G6)*Assumptions!$B$37/100</f>
        <v>-474.347858497642</v>
      </c>
      <c r="I18" s="4" t="n">
        <f aca="false">(I6-H6)*Assumptions!$B$37/100</f>
        <v>-440.616455226699</v>
      </c>
      <c r="J18" s="4" t="n">
        <f aca="false">(J6-I6)*Assumptions!$B$37/100</f>
        <v>-400.960974256296</v>
      </c>
      <c r="K18" s="4" t="n">
        <f aca="false">(K6-J6)*Assumptions!$B$37/100</f>
        <v>-355.709664304514</v>
      </c>
      <c r="L18" s="4" t="n">
        <f aca="false">(L6-K6)*Assumptions!$B$37/100</f>
        <v>-366.38095423365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62.5670246025009</v>
      </c>
      <c r="D19" s="0" t="n">
        <f aca="false">D15+D16+D17+D18</f>
        <v>394.889346051749</v>
      </c>
      <c r="E19" s="0" t="n">
        <f aca="false">E15+E16+E17+E18</f>
        <v>857.057202060965</v>
      </c>
      <c r="F19" s="0" t="n">
        <f aca="false">F15+F16+F17+F18</f>
        <v>1419.20159454319</v>
      </c>
      <c r="G19" s="0" t="n">
        <f aca="false">G15+G16+G17+G18</f>
        <v>2031.0621585598</v>
      </c>
      <c r="H19" s="0" t="n">
        <f aca="false">H15+H16+H17+H18</f>
        <v>2654.02897361192</v>
      </c>
      <c r="I19" s="0" t="n">
        <f aca="false">I15+I16+I17+I18</f>
        <v>2854.13715037646</v>
      </c>
      <c r="J19" s="0" t="n">
        <f aca="false">J15+J16+J17+J18</f>
        <v>3009.10900754298</v>
      </c>
      <c r="K19" s="0" t="n">
        <f aca="false">K15+K16+K17+K18</f>
        <v>3156.66241694874</v>
      </c>
      <c r="L19" s="0" t="n">
        <f aca="false">L15+L16+L17+L18</f>
        <v>3251.3622894572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58.2018833511636</v>
      </c>
      <c r="D21" s="0" t="n">
        <f aca="false">D19*D20</f>
        <v>341.710629357922</v>
      </c>
      <c r="E21" s="0" t="n">
        <f aca="false">E19*E20</f>
        <v>689.897253473301</v>
      </c>
      <c r="F21" s="0" t="n">
        <f aca="false">F19*F20</f>
        <v>1062.69890585341</v>
      </c>
      <c r="G21" s="0" t="n">
        <f aca="false">G19*G20</f>
        <v>1414.75387938449</v>
      </c>
      <c r="H21" s="0" t="n">
        <f aca="false">H19*H20</f>
        <v>1719.70864379228</v>
      </c>
      <c r="I21" s="0" t="n">
        <f aca="false">I19*I20</f>
        <v>1720.34515522413</v>
      </c>
      <c r="J21" s="0" t="n">
        <f aca="false">J19*J20</f>
        <v>1687.21414105348</v>
      </c>
      <c r="K21" s="0" t="n">
        <f aca="false">K19*K20</f>
        <v>1646.46294628103</v>
      </c>
      <c r="L21" s="0" t="n">
        <f aca="false">L19*L20</f>
        <v>1577.54124155298</v>
      </c>
    </row>
    <row r="23" customFormat="false" ht="15" hidden="false" customHeight="false" outlineLevel="0" collapsed="false">
      <c r="A23" s="0" t="s">
        <v>98</v>
      </c>
      <c r="C23" s="4" t="n">
        <f aca="false">Assumptions!C30</f>
        <v>1.4</v>
      </c>
      <c r="D23" s="4" t="n">
        <f aca="false">Assumptions!D30</f>
        <v>1.4</v>
      </c>
      <c r="E23" s="4" t="n">
        <f aca="false">Assumptions!E30</f>
        <v>1.4</v>
      </c>
      <c r="F23" s="4" t="n">
        <f aca="false">Assumptions!F30</f>
        <v>1.4</v>
      </c>
      <c r="G23" s="4" t="n">
        <f aca="false">Assumptions!G30</f>
        <v>1.4</v>
      </c>
      <c r="H23" s="4" t="n">
        <f aca="false">Assumptions!H30</f>
        <v>1.4</v>
      </c>
      <c r="I23" s="4" t="n">
        <f aca="false">Assumptions!I30</f>
        <v>1.4</v>
      </c>
      <c r="J23" s="4" t="n">
        <f aca="false">Assumptions!J30</f>
        <v>1.4</v>
      </c>
      <c r="K23" s="4" t="n">
        <f aca="false">Assumptions!K30</f>
        <v>1.4</v>
      </c>
      <c r="L23" s="4" t="n">
        <f aca="false">Assumptions!L30</f>
        <v>1.4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-601.31072925</v>
      </c>
      <c r="D24" s="0" t="n">
        <f aca="false">-D6*D23/100</f>
        <v>-631.3762657125</v>
      </c>
      <c r="E24" s="0" t="n">
        <f aca="false">-E6*E23/100</f>
        <v>-666.101960326687</v>
      </c>
      <c r="F24" s="0" t="n">
        <f aca="false">-F6*F23/100</f>
        <v>-702.737568144655</v>
      </c>
      <c r="G24" s="0" t="n">
        <f aca="false">-G6*G23/100</f>
        <v>-737.874446551888</v>
      </c>
      <c r="H24" s="0" t="n">
        <f aca="false">-H6*H23/100</f>
        <v>-771.078796646723</v>
      </c>
      <c r="I24" s="0" t="n">
        <f aca="false">-I6*I23/100</f>
        <v>-801.921948512592</v>
      </c>
      <c r="J24" s="0" t="n">
        <f aca="false">-J6*J23/100</f>
        <v>-829.989216710532</v>
      </c>
      <c r="K24" s="0" t="n">
        <f aca="false">-K6*K23/100</f>
        <v>-854.888893211848</v>
      </c>
      <c r="L24" s="0" t="n">
        <f aca="false">-L6*L23/100</f>
        <v>-880.535560008204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Assumptions!$B$34</f>
        <v>7.5</v>
      </c>
    </row>
    <row r="28" customFormat="false" ht="15" hidden="false" customHeight="false" outlineLevel="0" collapsed="false">
      <c r="A28" s="0" t="s">
        <v>103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104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11918.5346793242</v>
      </c>
    </row>
    <row r="31" customFormat="false" ht="15" hidden="false" customHeight="false" outlineLevel="0" collapsed="false">
      <c r="A31" s="0" t="s">
        <v>126</v>
      </c>
      <c r="B31" s="0" t="n">
        <f aca="false">L19</f>
        <v>3251.3622894572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66652.9269338726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48770.434341858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48770.434341858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23663.1186232947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35581.6533026189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19621.0233026189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8.71499038094709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-0.490649305613846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3669.10284598902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5004.70022918569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12.5675983311291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26661.170773549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-0.767324096197082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Assumptions!C41</f>
        <v>5</v>
      </c>
      <c r="D5" s="4" t="n">
        <f aca="false">Assumptions!D41</f>
        <v>8</v>
      </c>
      <c r="E5" s="4" t="n">
        <f aca="false">Assumptions!E41</f>
        <v>9</v>
      </c>
      <c r="F5" s="4" t="n">
        <f aca="false">Assumptions!F41</f>
        <v>9</v>
      </c>
      <c r="G5" s="4" t="n">
        <f aca="false">Assumptions!G41</f>
        <v>8</v>
      </c>
      <c r="H5" s="4" t="n">
        <f aca="false">Assumptions!H41</f>
        <v>7</v>
      </c>
      <c r="I5" s="4" t="n">
        <f aca="false">Assumptions!I41</f>
        <v>6</v>
      </c>
      <c r="J5" s="4" t="n">
        <f aca="false">Assumptions!J41</f>
        <v>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38</v>
      </c>
      <c r="B6" s="3" t="n">
        <v>41498.325</v>
      </c>
      <c r="C6" s="0" t="n">
        <f aca="false">B6*(1+C5/100)</f>
        <v>43573.24125</v>
      </c>
      <c r="D6" s="0" t="n">
        <f aca="false">C6*(1+D5/100)</f>
        <v>47059.10055</v>
      </c>
      <c r="E6" s="0" t="n">
        <f aca="false">D6*(1+E5/100)</f>
        <v>51294.4195995</v>
      </c>
      <c r="F6" s="0" t="n">
        <f aca="false">E6*(1+F5/100)</f>
        <v>55910.917363455</v>
      </c>
      <c r="G6" s="0" t="n">
        <f aca="false">F6*(1+G5/100)</f>
        <v>60383.7907525314</v>
      </c>
      <c r="H6" s="0" t="n">
        <f aca="false">G6*(1+H5/100)</f>
        <v>64610.6561052086</v>
      </c>
      <c r="I6" s="0" t="n">
        <f aca="false">H6*(1+I5/100)</f>
        <v>68487.2954715211</v>
      </c>
      <c r="J6" s="0" t="n">
        <f aca="false">I6*(1+J5/100)</f>
        <v>71911.6602450972</v>
      </c>
      <c r="K6" s="0" t="n">
        <f aca="false">J6*(1+K5/100)</f>
        <v>74788.1266549011</v>
      </c>
      <c r="L6" s="0" t="n">
        <f aca="false">K6*(1+L5/100)</f>
        <v>77405.7110878226</v>
      </c>
    </row>
    <row r="7" customFormat="false" ht="15" hidden="false" customHeight="false" outlineLevel="0" collapsed="false">
      <c r="A7" s="0" t="s">
        <v>96</v>
      </c>
      <c r="C7" s="4" t="n">
        <f aca="false">Assumptions!C42</f>
        <v>17.5</v>
      </c>
      <c r="D7" s="4" t="n">
        <f aca="false">Assumptions!D42</f>
        <v>18.5</v>
      </c>
      <c r="E7" s="4" t="n">
        <f aca="false">Assumptions!E42</f>
        <v>19.5</v>
      </c>
      <c r="F7" s="4" t="n">
        <f aca="false">Assumptions!F42</f>
        <v>20.5</v>
      </c>
      <c r="G7" s="4" t="n">
        <f aca="false">Assumptions!G42</f>
        <v>21.5</v>
      </c>
      <c r="H7" s="4" t="n">
        <f aca="false">Assumptions!H42</f>
        <v>22</v>
      </c>
      <c r="I7" s="4" t="n">
        <f aca="false">Assumptions!I42</f>
        <v>22.5</v>
      </c>
      <c r="J7" s="4" t="n">
        <f aca="false">Assumptions!J42</f>
        <v>22.5</v>
      </c>
      <c r="K7" s="4" t="n">
        <f aca="false">Assumptions!K42</f>
        <v>22.5</v>
      </c>
      <c r="L7" s="4" t="n">
        <f aca="false">Assumptions!L42</f>
        <v>22.5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7625.31721875</v>
      </c>
      <c r="D8" s="0" t="n">
        <f aca="false">D6*D7/100</f>
        <v>8705.93360175</v>
      </c>
      <c r="E8" s="0" t="n">
        <f aca="false">E6*E7/100</f>
        <v>10002.4118219025</v>
      </c>
      <c r="F8" s="0" t="n">
        <f aca="false">F6*F7/100</f>
        <v>11461.7380595083</v>
      </c>
      <c r="G8" s="0" t="n">
        <f aca="false">G6*G7/100</f>
        <v>12982.5150117943</v>
      </c>
      <c r="H8" s="0" t="n">
        <f aca="false">H6*H7/100</f>
        <v>14214.3443431459</v>
      </c>
      <c r="I8" s="0" t="n">
        <f aca="false">I6*I7/100</f>
        <v>15409.6414810923</v>
      </c>
      <c r="J8" s="0" t="n">
        <f aca="false">J6*J7/100</f>
        <v>16180.1235551469</v>
      </c>
      <c r="K8" s="0" t="n">
        <f aca="false">K6*K7/100</f>
        <v>16827.3284973527</v>
      </c>
      <c r="L8" s="0" t="n">
        <f aca="false">L6*L7/100</f>
        <v>17416.2849947601</v>
      </c>
    </row>
    <row r="9" customFormat="false" ht="15" hidden="false" customHeight="false" outlineLevel="0" collapsed="false">
      <c r="A9" s="0" t="s">
        <v>97</v>
      </c>
      <c r="C9" s="4" t="n">
        <f aca="false">Assumptions!C43</f>
        <v>1.4</v>
      </c>
      <c r="D9" s="4" t="n">
        <f aca="false">Assumptions!D43</f>
        <v>1.3</v>
      </c>
      <c r="E9" s="4" t="n">
        <f aca="false">Assumptions!E43</f>
        <v>1.2</v>
      </c>
      <c r="F9" s="4" t="n">
        <f aca="false">Assumptions!F43</f>
        <v>1.1</v>
      </c>
      <c r="G9" s="4" t="n">
        <f aca="false">Assumptions!G43</f>
        <v>1</v>
      </c>
      <c r="H9" s="4" t="n">
        <f aca="false">Assumptions!H43</f>
        <v>0.9</v>
      </c>
      <c r="I9" s="4" t="n">
        <f aca="false">Assumptions!I43</f>
        <v>0.8</v>
      </c>
      <c r="J9" s="4" t="n">
        <f aca="false">Assumptions!J43</f>
        <v>0.8</v>
      </c>
      <c r="K9" s="4" t="n">
        <f aca="false">Assumptions!K43</f>
        <v>0.8</v>
      </c>
      <c r="L9" s="4" t="n">
        <f aca="false">Assumptions!L43</f>
        <v>0.8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-610.0253775</v>
      </c>
      <c r="D10" s="0" t="n">
        <f aca="false">-D6*D9/100</f>
        <v>-611.76830715</v>
      </c>
      <c r="E10" s="0" t="n">
        <f aca="false">-E6*E9/100</f>
        <v>-615.533035194</v>
      </c>
      <c r="F10" s="0" t="n">
        <f aca="false">-F6*F9/100</f>
        <v>-615.020090998005</v>
      </c>
      <c r="G10" s="0" t="n">
        <f aca="false">-G6*G9/100</f>
        <v>-603.837907525314</v>
      </c>
      <c r="H10" s="0" t="n">
        <f aca="false">-H6*H9/100</f>
        <v>-581.495904946878</v>
      </c>
      <c r="I10" s="0" t="n">
        <f aca="false">-I6*I9/100</f>
        <v>-547.898363772169</v>
      </c>
      <c r="J10" s="0" t="n">
        <f aca="false">-J6*J9/100</f>
        <v>-575.293281960778</v>
      </c>
      <c r="K10" s="0" t="n">
        <f aca="false">-K6*K9/100</f>
        <v>-598.305013239209</v>
      </c>
      <c r="L10" s="0" t="n">
        <f aca="false">-L6*L9/100</f>
        <v>-619.245688702581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6405.26646375</v>
      </c>
      <c r="D11" s="0" t="n">
        <f aca="false">D8+D10+D24</f>
        <v>7435.3378869</v>
      </c>
      <c r="E11" s="0" t="n">
        <f aca="false">E8+E10+E24</f>
        <v>8668.7569123155</v>
      </c>
      <c r="F11" s="0" t="n">
        <f aca="false">F8+F10+F24</f>
        <v>10063.9651254219</v>
      </c>
      <c r="G11" s="0" t="n">
        <f aca="false">G8+G10+G24</f>
        <v>11533.3040337335</v>
      </c>
      <c r="H11" s="0" t="n">
        <f aca="false">H8+H10+H24</f>
        <v>12728.2992527261</v>
      </c>
      <c r="I11" s="0" t="n">
        <f aca="false">I8+I10+I24</f>
        <v>13902.9209807188</v>
      </c>
      <c r="J11" s="0" t="n">
        <f aca="false">J8+J10+J24</f>
        <v>14598.0670297547</v>
      </c>
      <c r="K11" s="0" t="n">
        <f aca="false">K8+K10+K24</f>
        <v>15181.9897109449</v>
      </c>
      <c r="L11" s="0" t="n">
        <f aca="false">L8+L10+L24</f>
        <v>15713.359350828</v>
      </c>
    </row>
    <row r="12" customFormat="false" ht="15" hidden="false" customHeight="false" outlineLevel="0" collapsed="false">
      <c r="A12" s="0" t="s">
        <v>114</v>
      </c>
      <c r="C12" s="4" t="n">
        <f aca="false">-C6*Assumptions!C45/100</f>
        <v>-3442.28605875</v>
      </c>
      <c r="D12" s="4" t="n">
        <f aca="false">-D6*Assumptions!D45/100</f>
        <v>-3764.728044</v>
      </c>
      <c r="E12" s="4" t="n">
        <f aca="false">-E6*Assumptions!E45/100</f>
        <v>-4154.8479875595</v>
      </c>
      <c r="F12" s="4" t="n">
        <f aca="false">-F6*Assumptions!F45/100</f>
        <v>-4584.69522380331</v>
      </c>
      <c r="G12" s="4" t="n">
        <f aca="false">-G6*Assumptions!G45/100</f>
        <v>-4951.47084170758</v>
      </c>
      <c r="H12" s="4" t="n">
        <f aca="false">-H6*Assumptions!H45/100</f>
        <v>-5298.07380062711</v>
      </c>
      <c r="I12" s="4" t="n">
        <f aca="false">-I6*Assumptions!I45/100</f>
        <v>-5615.95822866473</v>
      </c>
      <c r="J12" s="4" t="n">
        <f aca="false">-J6*Assumptions!J45/100</f>
        <v>-5896.75614009797</v>
      </c>
      <c r="K12" s="4" t="n">
        <f aca="false">-K6*Assumptions!K45/100</f>
        <v>-6132.62638570189</v>
      </c>
      <c r="L12" s="4" t="n">
        <f aca="false">-L6*Assumptions!L45/100</f>
        <v>-6347.26830920146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2962.980405</v>
      </c>
      <c r="D13" s="0" t="n">
        <f aca="false">D11+D12</f>
        <v>3670.6098429</v>
      </c>
      <c r="E13" s="0" t="n">
        <f aca="false">E11+E12</f>
        <v>4513.908924756</v>
      </c>
      <c r="F13" s="0" t="n">
        <f aca="false">F11+F12</f>
        <v>5479.26990161859</v>
      </c>
      <c r="G13" s="0" t="n">
        <f aca="false">G11+G12</f>
        <v>6581.83319202593</v>
      </c>
      <c r="H13" s="0" t="n">
        <f aca="false">H11+H12</f>
        <v>7430.22545209899</v>
      </c>
      <c r="I13" s="0" t="n">
        <f aca="false">I11+I12</f>
        <v>8286.96275205406</v>
      </c>
      <c r="J13" s="0" t="n">
        <f aca="false">J11+J12</f>
        <v>8701.31088965676</v>
      </c>
      <c r="K13" s="0" t="n">
        <f aca="false">K11+K12</f>
        <v>9049.36332524303</v>
      </c>
      <c r="L13" s="0" t="n">
        <f aca="false">L11+L12</f>
        <v>9366.09104162654</v>
      </c>
    </row>
    <row r="14" customFormat="false" ht="15" hidden="false" customHeight="false" outlineLevel="0" collapsed="false">
      <c r="A14" s="0" t="s">
        <v>101</v>
      </c>
      <c r="C14" s="4" t="n">
        <f aca="false">Assumptions!C47</f>
        <v>33</v>
      </c>
      <c r="D14" s="4" t="n">
        <f aca="false">Assumptions!D47</f>
        <v>31</v>
      </c>
      <c r="E14" s="4" t="n">
        <f aca="false">Assumptions!E47</f>
        <v>30</v>
      </c>
      <c r="F14" s="4" t="n">
        <f aca="false">Assumptions!F47</f>
        <v>29</v>
      </c>
      <c r="G14" s="4" t="n">
        <f aca="false">Assumptions!G47</f>
        <v>28</v>
      </c>
      <c r="H14" s="4" t="n">
        <f aca="false">Assumptions!H47</f>
        <v>27</v>
      </c>
      <c r="I14" s="4" t="n">
        <f aca="false">Assumptions!I47</f>
        <v>26</v>
      </c>
      <c r="J14" s="4" t="n">
        <f aca="false">Assumptions!J47</f>
        <v>26</v>
      </c>
      <c r="K14" s="4" t="n">
        <f aca="false">Assumptions!K47</f>
        <v>26</v>
      </c>
      <c r="L14" s="4" t="n">
        <f aca="false">Assumptions!L47</f>
        <v>26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1985.19687135</v>
      </c>
      <c r="D15" s="0" t="n">
        <f aca="false">D13-MAX(0,D13)*D14/100</f>
        <v>2532.720791601</v>
      </c>
      <c r="E15" s="0" t="n">
        <f aca="false">E13-MAX(0,E13)*E14/100</f>
        <v>3159.7362473292</v>
      </c>
      <c r="F15" s="0" t="n">
        <f aca="false">F13-MAX(0,F13)*F14/100</f>
        <v>3890.2816301492</v>
      </c>
      <c r="G15" s="0" t="n">
        <f aca="false">G13-MAX(0,G13)*G14/100</f>
        <v>4738.91989825867</v>
      </c>
      <c r="H15" s="0" t="n">
        <f aca="false">H13-MAX(0,H13)*H14/100</f>
        <v>5424.06458003226</v>
      </c>
      <c r="I15" s="0" t="n">
        <f aca="false">I13-MAX(0,I13)*I14/100</f>
        <v>6132.35243652001</v>
      </c>
      <c r="J15" s="0" t="n">
        <f aca="false">J13-MAX(0,J13)*J14/100</f>
        <v>6438.970058346</v>
      </c>
      <c r="K15" s="0" t="n">
        <f aca="false">K13-MAX(0,K13)*K14/100</f>
        <v>6696.52886067984</v>
      </c>
      <c r="L15" s="0" t="n">
        <f aca="false">L13-MAX(0,L13)*L14/100</f>
        <v>6930.90737080364</v>
      </c>
    </row>
    <row r="16" customFormat="false" ht="15" hidden="false" customHeight="false" outlineLevel="0" collapsed="false">
      <c r="A16" s="0" t="s">
        <v>117</v>
      </c>
      <c r="C16" s="0" t="n">
        <f aca="false">-C12</f>
        <v>3442.28605875</v>
      </c>
      <c r="D16" s="0" t="n">
        <f aca="false">-D12</f>
        <v>3764.728044</v>
      </c>
      <c r="E16" s="0" t="n">
        <f aca="false">-E12</f>
        <v>4154.8479875595</v>
      </c>
      <c r="F16" s="0" t="n">
        <f aca="false">-F12</f>
        <v>4584.69522380331</v>
      </c>
      <c r="G16" s="0" t="n">
        <f aca="false">-G12</f>
        <v>4951.47084170758</v>
      </c>
      <c r="H16" s="0" t="n">
        <f aca="false">-H12</f>
        <v>5298.07380062711</v>
      </c>
      <c r="I16" s="0" t="n">
        <f aca="false">-I12</f>
        <v>5615.95822866473</v>
      </c>
      <c r="J16" s="0" t="n">
        <f aca="false">-J12</f>
        <v>5896.75614009797</v>
      </c>
      <c r="K16" s="0" t="n">
        <f aca="false">-K12</f>
        <v>6132.62638570189</v>
      </c>
      <c r="L16" s="0" t="n">
        <f aca="false">-L12</f>
        <v>6347.26830920146</v>
      </c>
    </row>
    <row r="17" customFormat="false" ht="15" hidden="false" customHeight="false" outlineLevel="0" collapsed="false">
      <c r="A17" s="0" t="s">
        <v>118</v>
      </c>
      <c r="C17" s="4" t="n">
        <f aca="false">-C6*Assumptions!C46/100</f>
        <v>-5010.92274375</v>
      </c>
      <c r="D17" s="4" t="n">
        <f aca="false">-D6*Assumptions!D46/100</f>
        <v>-4941.20555775</v>
      </c>
      <c r="E17" s="4" t="n">
        <f aca="false">-E6*Assumptions!E46/100</f>
        <v>-5129.44195995</v>
      </c>
      <c r="F17" s="4" t="n">
        <f aca="false">-F6*Assumptions!F46/100</f>
        <v>-5311.53714952823</v>
      </c>
      <c r="G17" s="4" t="n">
        <f aca="false">-G6*Assumptions!G46/100</f>
        <v>-5434.54116772783</v>
      </c>
      <c r="H17" s="4" t="n">
        <f aca="false">-H6*Assumptions!H46/100</f>
        <v>-5491.90576894273</v>
      </c>
      <c r="I17" s="4" t="n">
        <f aca="false">-I6*Assumptions!I46/100</f>
        <v>-5821.4201150793</v>
      </c>
      <c r="J17" s="4" t="n">
        <f aca="false">-J6*Assumptions!J46/100</f>
        <v>-6112.49112083326</v>
      </c>
      <c r="K17" s="4" t="n">
        <f aca="false">-K6*Assumptions!K46/100</f>
        <v>-6356.99076566659</v>
      </c>
      <c r="L17" s="4" t="n">
        <f aca="false">-L6*Assumptions!L46/100</f>
        <v>-6579.48544246492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(C6-B6)*Assumptions!$B$51/100</f>
        <v>-414.98325</v>
      </c>
      <c r="D18" s="4" t="n">
        <f aca="false">(D6-C6)*Assumptions!$B$51/100</f>
        <v>-697.171860000001</v>
      </c>
      <c r="E18" s="4" t="n">
        <f aca="false">(E6-D6)*Assumptions!$B$51/100</f>
        <v>-847.0638099</v>
      </c>
      <c r="F18" s="4" t="n">
        <f aca="false">(F6-E6)*Assumptions!$B$51/100</f>
        <v>-923.299552791001</v>
      </c>
      <c r="G18" s="4" t="n">
        <f aca="false">(G6-F6)*Assumptions!$B$51/100</f>
        <v>-894.574677815281</v>
      </c>
      <c r="H18" s="4" t="n">
        <f aca="false">(H6-G6)*Assumptions!$B$51/100</f>
        <v>-845.373070535441</v>
      </c>
      <c r="I18" s="4" t="n">
        <f aca="false">(I6-H6)*Assumptions!$B$51/100</f>
        <v>-775.327873262504</v>
      </c>
      <c r="J18" s="4" t="n">
        <f aca="false">(J6-I6)*Assumptions!$B$51/100</f>
        <v>-684.872954715212</v>
      </c>
      <c r="K18" s="4" t="n">
        <f aca="false">(K6-J6)*Assumptions!$B$51/100</f>
        <v>-575.293281960778</v>
      </c>
      <c r="L18" s="4" t="n">
        <f aca="false">(L6-K6)*Assumptions!$B$51/100</f>
        <v>-523.516886584307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1.57693634999924</v>
      </c>
      <c r="D19" s="0" t="n">
        <f aca="false">D15+D16+D17+D18</f>
        <v>659.071417850999</v>
      </c>
      <c r="E19" s="0" t="n">
        <f aca="false">E15+E16+E17+E18</f>
        <v>1338.0784650387</v>
      </c>
      <c r="F19" s="0" t="n">
        <f aca="false">F15+F16+F17+F18</f>
        <v>2240.14015163328</v>
      </c>
      <c r="G19" s="0" t="n">
        <f aca="false">G15+G16+G17+G18</f>
        <v>3361.27489442313</v>
      </c>
      <c r="H19" s="0" t="n">
        <f aca="false">H15+H16+H17+H18</f>
        <v>4384.8595411812</v>
      </c>
      <c r="I19" s="0" t="n">
        <f aca="false">I15+I16+I17+I18</f>
        <v>5151.56267684294</v>
      </c>
      <c r="J19" s="0" t="n">
        <f aca="false">J15+J16+J17+J18</f>
        <v>5538.3621228955</v>
      </c>
      <c r="K19" s="0" t="n">
        <f aca="false">K15+K16+K17+K18</f>
        <v>5896.87119875436</v>
      </c>
      <c r="L19" s="0" t="n">
        <f aca="false">L15+L16+L17+L18</f>
        <v>6175.17335095586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1.46691753488302</v>
      </c>
      <c r="D21" s="0" t="n">
        <f aca="false">D19*D20</f>
        <v>570.315991650405</v>
      </c>
      <c r="E21" s="0" t="n">
        <f aca="false">E19*E20</f>
        <v>1077.10040326609</v>
      </c>
      <c r="F21" s="0" t="n">
        <f aca="false">F19*F20</f>
        <v>1677.41813231633</v>
      </c>
      <c r="G21" s="0" t="n">
        <f aca="false">G19*G20</f>
        <v>2341.32504341216</v>
      </c>
      <c r="H21" s="0" t="n">
        <f aca="false">H19*H20</f>
        <v>2841.2202465605</v>
      </c>
      <c r="I21" s="0" t="n">
        <f aca="false">I19*I20</f>
        <v>3105.1296507497</v>
      </c>
      <c r="J21" s="0" t="n">
        <f aca="false">J19*J20</f>
        <v>3105.37201164881</v>
      </c>
      <c r="K21" s="0" t="n">
        <f aca="false">K19*K20</f>
        <v>3075.71055923225</v>
      </c>
      <c r="L21" s="0" t="n">
        <f aca="false">L19*L20</f>
        <v>2996.15661609279</v>
      </c>
    </row>
    <row r="23" customFormat="false" ht="15" hidden="false" customHeight="false" outlineLevel="0" collapsed="false">
      <c r="A23" s="0" t="s">
        <v>98</v>
      </c>
      <c r="C23" s="4" t="n">
        <f aca="false">Assumptions!C44</f>
        <v>1.4</v>
      </c>
      <c r="D23" s="4" t="n">
        <f aca="false">Assumptions!D44</f>
        <v>1.4</v>
      </c>
      <c r="E23" s="4" t="n">
        <f aca="false">Assumptions!E44</f>
        <v>1.4</v>
      </c>
      <c r="F23" s="4" t="n">
        <f aca="false">Assumptions!F44</f>
        <v>1.4</v>
      </c>
      <c r="G23" s="4" t="n">
        <f aca="false">Assumptions!G44</f>
        <v>1.4</v>
      </c>
      <c r="H23" s="4" t="n">
        <f aca="false">Assumptions!H44</f>
        <v>1.4</v>
      </c>
      <c r="I23" s="4" t="n">
        <f aca="false">Assumptions!I44</f>
        <v>1.4</v>
      </c>
      <c r="J23" s="4" t="n">
        <f aca="false">Assumptions!J44</f>
        <v>1.4</v>
      </c>
      <c r="K23" s="4" t="n">
        <f aca="false">Assumptions!K44</f>
        <v>1.4</v>
      </c>
      <c r="L23" s="4" t="n">
        <f aca="false">Assumptions!L44</f>
        <v>1.4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-610.0253775</v>
      </c>
      <c r="D24" s="0" t="n">
        <f aca="false">-D6*D23/100</f>
        <v>-658.8274077</v>
      </c>
      <c r="E24" s="0" t="n">
        <f aca="false">-E6*E23/100</f>
        <v>-718.121874393</v>
      </c>
      <c r="F24" s="0" t="n">
        <f aca="false">-F6*F23/100</f>
        <v>-782.75284308837</v>
      </c>
      <c r="G24" s="0" t="n">
        <f aca="false">-G6*G23/100</f>
        <v>-845.37307053544</v>
      </c>
      <c r="H24" s="0" t="n">
        <f aca="false">-H6*H23/100</f>
        <v>-904.549185472921</v>
      </c>
      <c r="I24" s="0" t="n">
        <f aca="false">-I6*I23/100</f>
        <v>-958.822136601296</v>
      </c>
      <c r="J24" s="0" t="n">
        <f aca="false">-J6*J23/100</f>
        <v>-1006.76324343136</v>
      </c>
      <c r="K24" s="0" t="n">
        <f aca="false">-K6*K23/100</f>
        <v>-1047.03377316862</v>
      </c>
      <c r="L24" s="0" t="n">
        <f aca="false">-L6*L23/100</f>
        <v>-1083.67995522952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Assumptions!$B$48</f>
        <v>7.5</v>
      </c>
    </row>
    <row r="28" customFormat="false" ht="15" hidden="false" customHeight="false" outlineLevel="0" collapsed="false">
      <c r="A28" s="0" t="s">
        <v>103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104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20791.2155724639</v>
      </c>
    </row>
    <row r="31" customFormat="false" ht="15" hidden="false" customHeight="false" outlineLevel="0" collapsed="false">
      <c r="A31" s="0" t="s">
        <v>126</v>
      </c>
      <c r="B31" s="0" t="n">
        <f aca="false">L19</f>
        <v>6175.17335095586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141342.856699656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92627.600264338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92627.600264338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44942.3492413919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65733.5648138558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49772.9348138558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22.107442687577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0.292077304943131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4115.5881108127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6877.06390519804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26.990004371699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53003.5712623712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4.58292917553742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2" t="s">
        <v>143</v>
      </c>
      <c r="B3" s="2" t="s">
        <v>144</v>
      </c>
      <c r="C3" s="2" t="s">
        <v>134</v>
      </c>
      <c r="D3" s="2" t="s">
        <v>145</v>
      </c>
      <c r="E3" s="2" t="s">
        <v>137</v>
      </c>
      <c r="F3" s="2" t="s">
        <v>146</v>
      </c>
    </row>
    <row r="4" customFormat="false" ht="15" hidden="false" customHeight="false" outlineLevel="0" collapsed="false">
      <c r="A4" s="0" t="s">
        <v>147</v>
      </c>
      <c r="B4" s="4" t="n">
        <f aca="false">DCF_Bear!$B$38</f>
        <v>-1.780435433681</v>
      </c>
      <c r="C4" s="0" t="n">
        <f aca="false">B4/Assumptions!$B$2-1</f>
        <v>-1.10405817847347</v>
      </c>
      <c r="D4" s="4" t="n">
        <f aca="false">Assumptions!$B$24</f>
        <v>0.25</v>
      </c>
      <c r="E4" s="4" t="n">
        <f aca="false">DCF_Bear!$B$43</f>
        <v>1.78616008253314</v>
      </c>
      <c r="F4" s="4" t="n">
        <f aca="false">DCF_Bear!$B$47</f>
        <v>-4.56603821677715</v>
      </c>
    </row>
    <row r="5" customFormat="false" ht="15" hidden="false" customHeight="false" outlineLevel="0" collapsed="false">
      <c r="A5" s="0" t="s">
        <v>148</v>
      </c>
      <c r="B5" s="4" t="n">
        <f aca="false">DCF_Base!$B$38</f>
        <v>8.71499038094709</v>
      </c>
      <c r="C5" s="0" t="n">
        <f aca="false">B5/Assumptions!$B$2-1</f>
        <v>-0.490649305613846</v>
      </c>
      <c r="D5" s="4" t="n">
        <f aca="false">Assumptions!$B$38</f>
        <v>0.5</v>
      </c>
      <c r="E5" s="4" t="n">
        <f aca="false">DCF_Base!$B$43</f>
        <v>12.5675983311291</v>
      </c>
      <c r="F5" s="4" t="n">
        <f aca="false">DCF_Base!$B$47</f>
        <v>-0.767324096197082</v>
      </c>
    </row>
    <row r="6" customFormat="false" ht="15" hidden="false" customHeight="false" outlineLevel="0" collapsed="false">
      <c r="A6" s="0" t="s">
        <v>149</v>
      </c>
      <c r="B6" s="4" t="n">
        <f aca="false">DCF_Bull!$B$38</f>
        <v>22.107442687577</v>
      </c>
      <c r="C6" s="0" t="n">
        <f aca="false">B6/Assumptions!$B$2-1</f>
        <v>0.292077304943131</v>
      </c>
      <c r="D6" s="4" t="n">
        <f aca="false">Assumptions!$B$52</f>
        <v>0.25</v>
      </c>
      <c r="E6" s="4" t="n">
        <f aca="false">DCF_Bull!$B$43</f>
        <v>26.990004371699</v>
      </c>
      <c r="F6" s="4" t="n">
        <f aca="false">DCF_Bull!$B$47</f>
        <v>4.58292917553742</v>
      </c>
    </row>
    <row r="8" customFormat="false" ht="15" hidden="false" customHeight="false" outlineLevel="0" collapsed="false">
      <c r="A8" s="0" t="s">
        <v>150</v>
      </c>
      <c r="B8" s="0" t="n">
        <f aca="false">SUMPRODUCT(B4:B6,D4:D6)</f>
        <v>9.43924700394754</v>
      </c>
    </row>
    <row r="9" customFormat="false" ht="15" hidden="false" customHeight="false" outlineLevel="0" collapsed="false">
      <c r="A9" s="0" t="s">
        <v>151</v>
      </c>
      <c r="B9" s="0" t="n">
        <f aca="false">SUMPRODUCT(E4:E6,D4:D6)</f>
        <v>13.4778402791226</v>
      </c>
    </row>
    <row r="10" customFormat="false" ht="15" hidden="false" customHeight="false" outlineLevel="0" collapsed="false">
      <c r="A10" s="0" t="s">
        <v>152</v>
      </c>
      <c r="B10" s="0" t="n">
        <f aca="false">1-Assumptions!$B$2/B8</f>
        <v>-0.812644588370716</v>
      </c>
    </row>
    <row r="11" customFormat="false" ht="15" hidden="false" customHeight="false" outlineLevel="0" collapsed="false">
      <c r="A11" s="0" t="s">
        <v>153</v>
      </c>
      <c r="B11" s="0" t="n">
        <f aca="false">IF(ABS(B9-B8)&gt;0.01*ABS(B8),(Assumptions!$B$2-B8)/(B9-B8)*100,"n/a")</f>
        <v>189.936259320888</v>
      </c>
    </row>
    <row r="12" customFormat="false" ht="15" hidden="false" customHeight="false" outlineLevel="0" collapsed="false">
      <c r="A12" s="0" t="s">
        <v>154</v>
      </c>
      <c r="B12" s="0" t="n">
        <f aca="false">SUMPRODUCT(F4:F6,D4:D6)</f>
        <v>-0.379439308408472</v>
      </c>
    </row>
    <row r="14" customFormat="false" ht="15" hidden="false" customHeight="false" outlineLevel="0" collapsed="false">
      <c r="A14" s="2" t="s">
        <v>155</v>
      </c>
      <c r="C14" s="0" t="s">
        <v>156</v>
      </c>
    </row>
    <row r="15" customFormat="false" ht="15" hidden="false" customHeight="false" outlineLevel="0" collapsed="false">
      <c r="A15" s="0" t="s">
        <v>157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8.71499038094709</v>
      </c>
      <c r="C15" s="3" t="n">
        <v>7.5</v>
      </c>
    </row>
    <row r="16" customFormat="false" ht="15" hidden="false" customHeight="false" outlineLevel="0" collapsed="false">
      <c r="A16" s="0" t="s">
        <v>158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6.88384909622596</v>
      </c>
      <c r="C16" s="3" t="n">
        <v>9</v>
      </c>
    </row>
    <row r="17" customFormat="false" ht="15" hidden="false" customHeight="false" outlineLevel="0" collapsed="false">
      <c r="A17" s="0" t="s">
        <v>159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5.05794521718798</v>
      </c>
      <c r="C17" s="3" t="n">
        <v>10</v>
      </c>
    </row>
    <row r="18" customFormat="false" ht="15" hidden="false" customHeight="false" outlineLevel="0" collapsed="false">
      <c r="A18" s="0" t="s">
        <v>160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3.31788817144609</v>
      </c>
      <c r="C18" s="3" t="n">
        <v>11</v>
      </c>
    </row>
    <row r="19" customFormat="false" ht="15" hidden="false" customHeight="false" outlineLevel="0" collapsed="false">
      <c r="A19" s="0" t="s">
        <v>161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1.9568368851769</v>
      </c>
      <c r="C19" s="3" t="n">
        <v>12</v>
      </c>
    </row>
    <row r="20" customFormat="false" ht="15" hidden="false" customHeight="false" outlineLevel="0" collapsed="false">
      <c r="A20" s="0" t="s">
        <v>162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-0.767324096197082</v>
      </c>
      <c r="C20" s="3" t="n">
        <v>15</v>
      </c>
    </row>
    <row r="22" customFormat="false" ht="15" hidden="false" customHeight="false" outlineLevel="0" collapsed="false">
      <c r="A22" s="2" t="s">
        <v>163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5.5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11.6084444147222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11.6084444147222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11.6084444147222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11.6084444147222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11.6084444147222</v>
      </c>
    </row>
    <row r="25" customFormat="false" ht="15" hidden="false" customHeight="false" outlineLevel="0" collapsed="false">
      <c r="A25" s="3" t="n">
        <v>6.5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10.0912099972728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10.0912099972728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10.0912099972728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10.0912099972728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10.0912099972728</v>
      </c>
    </row>
    <row r="26" customFormat="false" ht="15" hidden="false" customHeight="false" outlineLevel="0" collapsed="false">
      <c r="A26" s="3" t="n">
        <v>7.5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8.71499038094709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8.71499038094709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8.71499038094709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8.71499038094709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8.71499038094709</v>
      </c>
    </row>
    <row r="27" customFormat="false" ht="15" hidden="false" customHeight="false" outlineLevel="0" collapsed="false">
      <c r="A27" s="3" t="n">
        <v>8.5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7.14594993437849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7.46531193876479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7.46531193876479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7.46531193876479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7.46531193876479</v>
      </c>
    </row>
    <row r="28" customFormat="false" ht="15" hidden="false" customHeight="false" outlineLevel="0" collapsed="false">
      <c r="A28" s="3" t="n">
        <v>9.5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4.98174430957947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5.51348794965183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6.12119496687739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6.32931380839299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6.32931380839299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2026-10-17T22:31:34Z</dcterms:created>
  <dc:creator>openpyxl</dc:creator>
  <dc:description/>
  <dc:language>en-NZ</dc:language>
  <cp:lastModifiedBy/>
  <dcterms:modified xsi:type="dcterms:W3CDTF">2026-10-17T22:31:34Z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