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<sst xmlns="http://schemas.openxmlformats.org/spreadsheetml/2006/main" count="363" uniqueCount="169">
  <si>
    <t xml:space="preserve">Ticker</t>
  </si>
  <si>
    <t xml:space="preserve">GSK</t>
  </si>
  <si>
    <t xml:space="preserve">Company</t>
  </si>
  <si>
    <t xml:space="preserve">GSK plc</t>
  </si>
  <si>
    <t xml:space="preserve">Valuation date</t>
  </si>
  <si>
    <t xml:space="preserve">2026-10-04</t>
  </si>
  <si>
    <t xml:space="preserve">Current price</t>
  </si>
  <si>
    <t xml:space="preserve">Price as of</t>
  </si>
  <si>
    <t xml:space="preserve">2026-10-02T20:00:02Z regular close (NYSE)</t>
  </si>
  <si>
    <t xml:space="preserve">Balance sheet date</t>
  </si>
  <si>
    <t xml:space="preserve">2026-06-30</t>
  </si>
  <si>
    <t xml:space="preserve">Model</t>
  </si>
  <si>
    <t xml:space="preserve">owner_fcf_dcf_component</t>
  </si>
  <si>
    <t xml:space="preserve">Currency (model)</t>
  </si>
  <si>
    <t xml:space="preserve">GBP</t>
  </si>
  <si>
    <t xml:space="preserve">Currency (quote)</t>
  </si>
  <si>
    <t xml:space="preserve">USD</t>
  </si>
  <si>
    <t xml:space="preserve">Units</t>
  </si>
  <si>
    <t xml:space="preserve">millions</t>
  </si>
  <si>
    <t xml:space="preserve">Engine</t>
  </si>
  <si>
    <t xml:space="preserve">dcf_engine v1</t>
  </si>
  <si>
    <t xml:space="preserve">Built at</t>
  </si>
  <si>
    <t xml:space="preserve">2026-10-03T22:30:57Z</t>
  </si>
  <si>
    <t xml:space="preserve">Drivers file</t>
  </si>
  <si>
    <t xml:space="preserve">GSK_Drivers.json</t>
  </si>
  <si>
    <t xml:space="preserve">Convention</t>
  </si>
  <si>
    <t xml:space="preserve">Percents stored as percents; formulas divide by 100. Blue = input, green = link, black = formula.</t>
  </si>
  <si>
    <t xml:space="preserve">Methodology</t>
  </si>
  <si>
    <t xml:space="preserve">summary: GSK is valued as an unlevered GBP owner-FCF stream on the Core earnings basis, with every cost Core excludes charged exactly once somewhere: SBC and recurring restructuring in the flows, the Shionogi/ViiV contingent consideration and the 2026-27 Accelerate Growth cash in the bridge, ViiV's minority leakage in the tax path, Nuvalent at its cash cost in net debt, and ongoing pipeline business development in capex. The headline question is whether the post-2028 HIV cliff is already in the price; the scenarios are built around that axis rather than around generic growth.
key_risks_to_valuation: Dolutegravir loss of exclusivity (US 2028, EU 2029): the pace of generic erosion vs long-acting conversion is the single largest swing factor; US drug pricing: MFN commitments, IRA Part D redesign and the end of Section 232 tariff relief in January 2029; M&amp;A execution: Nuvalent (GBP8.0bn) and RAPT (GBP1.7bn) must deliver; neladalkib is still under FDA review; Contingent consideration liability to Shionogi is re-measured with ViiV sales forecasts and FX; a stronger HIV outcome raises the liability as well as the flows; Sterling strength: ~-2% to turnover and ~-4% to Core OP at AER on current rates, plus the GBP/USD rate used to translate the value per ADS; Residual Zantac federal MDL litigation not provided for in this bridge; Leverage: pro forma net debt ~GBP22bn plus GBP6.8bn CCL, ~2.5x Core EBITDA including CCL</t>
  </si>
  <si>
    <t xml:space="preserve">Data sources</t>
  </si>
  <si>
    <t xml:space="preserve">price: Yahoo Finance chart API for the NYSE ADS at inputs.price_as_of; 52-week range 42.85-61.70. Parity checked against GSK.L and GBPUSD=X (see inputs.fx_note).
financials: GSK_Metrics.csv (core_metrics) and kpis; FY2025 Annual Report on Form 20-F (core reconciliation, free cash flow reconciliation, D&amp;A note, contingent consideration note 32); Q2 2026 results 6-K (net debt analysis, diluted share count, CCL fair value, Nuvalent post-balance-sheet note, FY2026 guidance).
qualitative: GSK_Analysis.json (2026 analysis: business model, growth drivers, risks, bull/bear cases, guidance as of Q2 2026 results).</t>
  </si>
  <si>
    <t xml:space="preserve">Scenario narrative: bear</t>
  </si>
  <si>
    <t xml:space="preserve">The patent cliff bites harder than replacements ramp: dolutegravir generics erode Tivicay/Triumeq/Dovato faster in the US than long-acting injectables can switch patients, Trelegy declines high-single-digit under Part D and channel pricing, US MFN pricing spreads beyond Medicaid after the tariff relief lapses in January 2029, and Arexvy/Shingrix demand weakens under US vaccine-policy shifts. Group sales fall ~5% across 2028-30 and recover only to ~GBP36bn by 2031, well short of GBP40bn; EBITDA margin compresses ~2.5pp as the high-margin HIV pool shrinks while R&amp;D stays elevated. The Nuvalent/RAPT M&amp;A spree under a new CEO needs further bolt-ons (capex 10.8%) to refill the pipeline, and residual Zantac federal MDL exposure stays an overhang.</t>
  </si>
  <si>
    <t xml:space="preserve">Scenario narrative: base</t>
  </si>
  <si>
    <t xml:space="preserve">GSK lands its FY2026 guidance (turnover upper half of +3-5% CER, Core OP upper half of +7-9%) with ~2pp of sterling drag at AER. Specialty Medicines grows low-double-digit on long-acting HIV (Cabenuva, Apretude), Nucala/depemokimab and oncology (Jemperli, Blenrep on its narrow label, Nuvalent's zidesamtinib and neladalkib), Vaccines is broadly flat (Shingrix ex-US penetration offsets Arexvy and US vaccine-policy softness) and General Medicines declines mid-single-digit as Trelegy absorbs Part D redesign. The dolutegravir LoE (US 2028, EU 2029) slows group growth to 1.5-3% for three years and costs ~0.8pp of margin, which Accelerate Growth savings recover. 2031 sales land around GBP39bn against the &gt;GBP40bn outlook. The Shionogi royalty stream, the 2026-27 restructuring cash and the Nuvalent debt are all charged in the bridge.</t>
  </si>
  <si>
    <t xml:space="preserve">Scenario narrative: bull</t>
  </si>
  <si>
    <t xml:space="preserve">The pipeline does what management says: 15 scale opportunities launch before 2031, ultra-long-acting twice-yearly HIV regimens convert enough of the dolutegravir base before generics bite that HIV barely dips, neladalkib wins ALK first-line share, bepirovirsen (hepatitis B) and depemokimab become multi-billion franchises, and Shingrix ex-US immunisation rates climb from ~12% toward US levels. Sales pass GBP43bn in 2031, Specialty mix and the GBP1.9bn savings lift EBITDA margin toward 38.5%, and MFN/tariff arrangements stay contained to Medicaid. Less BD spending is needed because the internal pipeline fills the gap.</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</si>
  <si>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</si>
  <si>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</si>
  <si>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</si>
  <si>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</si>
  <si>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</si>
  <si>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</si>
  <si>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</si>
  <si>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</si>
  <si>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</si>
  <si>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</si>
  <si>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</si>
  <si>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</si>
  <si>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</si>
  <si>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</si>
  <si>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</si>
  <si>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</si>
  <si>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</si>
  <si>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</si>
  <si>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</si>
  <si>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</si>
  <si>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</si>
  <si>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</si>
  <si>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</si>
  <si>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</si>
  <si>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</si>
  <si>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</si>
  <si>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</si>
  <si>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CapexIntangibles</t>
  </si>
  <si>
    <t xml:space="preserve">CapexPPE</t>
  </si>
  <si>
    <t xml:space="preserve">TotalEquityInclNCI</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</si>
  <si>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</si>
  <si>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</si>
  <si>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</si>
  <si>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</si>
  <si>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</si>
  <si>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</si>
  <si>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</si>
  <si>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</si>
  <si>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</si>
  <si>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</si>
  <si>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</si>
  <si>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</si>
  <si>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</si>
  <si>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</si>
  <si>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</si>
  <si>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</si>
  <si>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</si>
  <si>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</si>
  <si>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</si>
  <si>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</si>
  <si>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GBP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</si>
  <si>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</si>
  <si>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</si>
  <si>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</si>
  <si>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</si>
  <si>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</si>
  <si>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</si>
  <si>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</si>
  <si>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</si>
  <si>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</si>
  <si>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</si>
  <si>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</si>
  <si>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</si>
  <si>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</si>
  <si>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</si>
  <si>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</si>
  <si>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</si>
  <si>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</si>
  <si>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</si>
  <si>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</si>
  <si>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</si>
  <si>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</si>
  <si>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</si>
  <si>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</si>
  <si>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</si>
  <si>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</si>
  <si>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</si>
  <si>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GSK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</si>
  <si>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</si>
  <si>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</si>
  <si>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</si>
  <si>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</si>
  <si>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</si>
  <si>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</si>
  <si>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</si>
  <si>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</si>
  <si>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</si>
  <si>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</si>
  <si>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</si>
  <si>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</si>
  <si>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</si>
  <si>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</si>
  <si>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</si>
  <si>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</si>
  <si>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</si>
  <si>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</si>
  <si>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</si>
  <si>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</si>
  <si>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</si>
  <si>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</si>
  <si>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</si>
  <si>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</si>
  <si>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</si>
  <si>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</si>
  <si>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</si>
  <si>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</si>
  <si>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</si>
  <si>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</si>
  <si>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GSK owner-FCF component DCF: base case (millions, GBP)</t>
  </si>
  <si>
    <t xml:space="preserve">GSK owner-FCF component DCF: bull case (millions, GBP)</t>
  </si>
  <si>
    <t xml:space="preserve">GSK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</si>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</sst>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47.03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27889</v>
      </c>
      <c r="C2" s="0" t="n">
        <v>9290</v>
      </c>
      <c r="D2" s="0" t="n">
        <v>18599</v>
      </c>
      <c r="E2" s="0" t="n">
        <v>66.7</v>
      </c>
      <c r="F2" s="0" t="n">
        <v>2598</v>
      </c>
      <c r="G2" s="0" t="n">
        <v>9.3</v>
      </c>
      <c r="H2" s="0" t="n">
        <v>4372</v>
      </c>
      <c r="I2" s="0" t="n">
        <v>912</v>
      </c>
      <c r="J2" s="0" t="n">
        <v>3.3</v>
      </c>
      <c r="K2" s="0" t="n">
        <v>0.186</v>
      </c>
      <c r="L2" s="0" t="n">
        <v>6497</v>
      </c>
      <c r="M2" s="0" t="n">
        <v>2352</v>
      </c>
      <c r="N2" s="0" t="n">
        <v>4145</v>
      </c>
      <c r="O2" s="0" t="n">
        <v>1124</v>
      </c>
      <c r="P2" s="0" t="n">
        <v>59081</v>
      </c>
      <c r="Q2" s="0" t="n">
        <v>54118</v>
      </c>
      <c r="R2" s="0" t="n">
        <v>18790</v>
      </c>
      <c r="S2" s="0" t="n">
        <v>4897</v>
      </c>
      <c r="T2" s="0" t="n">
        <v>4909</v>
      </c>
      <c r="U2" s="0" t="n">
        <v>319</v>
      </c>
      <c r="V2" s="0" t="n">
        <v>0.8</v>
      </c>
      <c r="AA2" s="0" t="s">
        <v>18</v>
      </c>
      <c r="AB2" s="0" t="s">
        <v>14</v>
      </c>
      <c r="AC2" s="0" t="n">
        <v>809</v>
      </c>
      <c r="AD2" s="0" t="n">
        <v>1543</v>
      </c>
      <c r="AE2" s="0" t="n">
        <v>4963</v>
      </c>
    </row>
    <row r="3" customFormat="false" ht="15" hidden="false" customHeight="false" outlineLevel="0" collapsed="false">
      <c r="A3" s="0" t="s">
        <v>68</v>
      </c>
      <c r="B3" s="0" t="n">
        <v>30186</v>
      </c>
      <c r="C3" s="0" t="n">
        <v>10342</v>
      </c>
      <c r="D3" s="0" t="n">
        <v>19844</v>
      </c>
      <c r="E3" s="0" t="n">
        <v>65.7</v>
      </c>
      <c r="F3" s="0" t="n">
        <v>4087</v>
      </c>
      <c r="G3" s="0" t="n">
        <v>13.5</v>
      </c>
      <c r="H3" s="0" t="n">
        <v>6009</v>
      </c>
      <c r="I3" s="0" t="n">
        <v>1532</v>
      </c>
      <c r="J3" s="0" t="n">
        <v>5.1</v>
      </c>
      <c r="K3" s="0" t="n">
        <v>0.31</v>
      </c>
      <c r="L3" s="0" t="n">
        <v>6918</v>
      </c>
      <c r="M3" s="0" t="n">
        <v>2202</v>
      </c>
      <c r="N3" s="0" t="n">
        <v>4716</v>
      </c>
      <c r="O3" s="0" t="n">
        <v>-68</v>
      </c>
      <c r="P3" s="0" t="n">
        <v>56381</v>
      </c>
      <c r="Q3" s="0" t="n">
        <v>52892</v>
      </c>
      <c r="R3" s="0" t="n">
        <v>17089</v>
      </c>
      <c r="S3" s="0" t="n">
        <v>3833</v>
      </c>
      <c r="T3" s="0" t="n">
        <v>4941</v>
      </c>
      <c r="U3" s="0" t="n">
        <v>333</v>
      </c>
      <c r="V3" s="0" t="n">
        <v>0.8</v>
      </c>
      <c r="AA3" s="0" t="s">
        <v>18</v>
      </c>
      <c r="AB3" s="0" t="s">
        <v>14</v>
      </c>
      <c r="AC3" s="0" t="n">
        <v>657</v>
      </c>
      <c r="AD3" s="0" t="n">
        <v>1545</v>
      </c>
      <c r="AE3" s="0" t="n">
        <v>3489</v>
      </c>
    </row>
    <row r="4" customFormat="false" ht="15" hidden="false" customHeight="false" outlineLevel="0" collapsed="false">
      <c r="A4" s="0" t="s">
        <v>69</v>
      </c>
      <c r="B4" s="0" t="n">
        <v>30821</v>
      </c>
      <c r="C4" s="0" t="n">
        <v>10241</v>
      </c>
      <c r="D4" s="0" t="n">
        <v>20580</v>
      </c>
      <c r="E4" s="0" t="n">
        <v>66.8</v>
      </c>
      <c r="F4" s="0" t="n">
        <v>5483</v>
      </c>
      <c r="G4" s="0" t="n">
        <v>17.8</v>
      </c>
      <c r="H4" s="0" t="n">
        <v>7339</v>
      </c>
      <c r="I4" s="0" t="n">
        <v>3623</v>
      </c>
      <c r="J4" s="0" t="n">
        <v>11.8</v>
      </c>
      <c r="K4" s="0" t="n">
        <v>0.729</v>
      </c>
      <c r="L4" s="0" t="n">
        <v>8421</v>
      </c>
      <c r="M4" s="0" t="n">
        <v>1796</v>
      </c>
      <c r="N4" s="0" t="n">
        <v>6625</v>
      </c>
      <c r="O4" s="0" t="n">
        <v>4360</v>
      </c>
      <c r="P4" s="0" t="n">
        <v>58066</v>
      </c>
      <c r="Q4" s="0" t="n">
        <v>54394</v>
      </c>
      <c r="R4" s="0" t="n">
        <v>26064</v>
      </c>
      <c r="S4" s="0" t="n">
        <v>3874</v>
      </c>
      <c r="T4" s="0" t="n">
        <v>4971</v>
      </c>
      <c r="U4" s="0" t="n">
        <v>360</v>
      </c>
      <c r="V4" s="0" t="n">
        <v>0.8</v>
      </c>
      <c r="AA4" s="0" t="s">
        <v>18</v>
      </c>
      <c r="AB4" s="0" t="s">
        <v>14</v>
      </c>
      <c r="AC4" s="0" t="n">
        <v>452</v>
      </c>
      <c r="AD4" s="0" t="n">
        <v>1344</v>
      </c>
      <c r="AE4" s="0" t="n">
        <v>3672</v>
      </c>
    </row>
    <row r="5" customFormat="false" ht="15" hidden="false" customHeight="false" outlineLevel="0" collapsed="false">
      <c r="A5" s="0" t="s">
        <v>70</v>
      </c>
      <c r="B5" s="0" t="n">
        <v>33754</v>
      </c>
      <c r="C5" s="0" t="n">
        <v>11863</v>
      </c>
      <c r="D5" s="0" t="n">
        <v>21891</v>
      </c>
      <c r="E5" s="0" t="n">
        <v>64.9</v>
      </c>
      <c r="F5" s="0" t="n">
        <v>6961</v>
      </c>
      <c r="G5" s="0" t="n">
        <v>20.6</v>
      </c>
      <c r="H5" s="0" t="n">
        <v>9295</v>
      </c>
      <c r="I5" s="0" t="n">
        <v>4645</v>
      </c>
      <c r="J5" s="0" t="n">
        <v>13.8</v>
      </c>
      <c r="K5" s="0" t="n">
        <v>0.926</v>
      </c>
      <c r="L5" s="0" t="n">
        <v>8020</v>
      </c>
      <c r="M5" s="0" t="n">
        <v>2163</v>
      </c>
      <c r="N5" s="0" t="n">
        <v>5857</v>
      </c>
      <c r="O5" s="0" t="n">
        <v>11405</v>
      </c>
      <c r="P5" s="0" t="n">
        <v>79692</v>
      </c>
      <c r="Q5" s="0" t="n">
        <v>61335</v>
      </c>
      <c r="R5" s="0" t="n">
        <v>30508</v>
      </c>
      <c r="S5" s="0" t="n">
        <v>4707</v>
      </c>
      <c r="T5" s="0" t="n">
        <v>5016</v>
      </c>
      <c r="U5" s="0" t="n">
        <v>365</v>
      </c>
      <c r="V5" s="0" t="n">
        <v>0.8</v>
      </c>
      <c r="AA5" s="0" t="s">
        <v>18</v>
      </c>
      <c r="AB5" s="0" t="s">
        <v>14</v>
      </c>
      <c r="AC5" s="0" t="n">
        <v>898</v>
      </c>
      <c r="AD5" s="0" t="n">
        <v>1265</v>
      </c>
      <c r="AE5" s="0" t="n">
        <v>18357</v>
      </c>
    </row>
    <row r="6" customFormat="false" ht="15" hidden="false" customHeight="false" outlineLevel="0" collapsed="false">
      <c r="A6" s="0" t="s">
        <v>71</v>
      </c>
      <c r="B6" s="0" t="n">
        <v>34099</v>
      </c>
      <c r="C6" s="0" t="n">
        <v>11704</v>
      </c>
      <c r="D6" s="0" t="n">
        <v>22395</v>
      </c>
      <c r="E6" s="0" t="n">
        <v>65.7</v>
      </c>
      <c r="F6" s="0" t="n">
        <v>7783</v>
      </c>
      <c r="G6" s="0" t="n">
        <v>22.8</v>
      </c>
      <c r="H6" s="0" t="n">
        <v>10134</v>
      </c>
      <c r="I6" s="0" t="n">
        <v>5749</v>
      </c>
      <c r="J6" s="0" t="n">
        <v>16.9</v>
      </c>
      <c r="K6" s="0" t="n">
        <v>1.141</v>
      </c>
      <c r="L6" s="0" t="n">
        <v>8441</v>
      </c>
      <c r="M6" s="0" t="n">
        <v>2239</v>
      </c>
      <c r="N6" s="0" t="n">
        <v>6202</v>
      </c>
      <c r="O6" s="0" t="n">
        <v>14587</v>
      </c>
      <c r="P6" s="0" t="n">
        <v>80431</v>
      </c>
      <c r="Q6" s="0" t="n">
        <v>59623</v>
      </c>
      <c r="R6" s="0" t="n">
        <v>27150</v>
      </c>
      <c r="S6" s="0" t="n">
        <v>6292</v>
      </c>
      <c r="T6" s="0" t="n">
        <v>5038</v>
      </c>
      <c r="U6" s="0" t="n">
        <v>381</v>
      </c>
      <c r="V6" s="0" t="n">
        <v>0.8</v>
      </c>
      <c r="X6" s="0" t="n">
        <v>24354</v>
      </c>
      <c r="AA6" s="0" t="s">
        <v>18</v>
      </c>
      <c r="AB6" s="0" t="s">
        <v>14</v>
      </c>
      <c r="AC6" s="0" t="n">
        <v>1013</v>
      </c>
      <c r="AD6" s="0" t="n">
        <v>1226</v>
      </c>
      <c r="AE6" s="0" t="n">
        <v>20808</v>
      </c>
    </row>
    <row r="7" customFormat="false" ht="15" hidden="false" customHeight="false" outlineLevel="0" collapsed="false">
      <c r="A7" s="0" t="s">
        <v>72</v>
      </c>
      <c r="B7" s="0" t="n">
        <v>34114</v>
      </c>
      <c r="C7" s="0" t="n">
        <v>11603</v>
      </c>
      <c r="D7" s="0" t="n">
        <v>22511</v>
      </c>
      <c r="E7" s="0" t="n">
        <v>66</v>
      </c>
      <c r="F7" s="0" t="n">
        <v>6201</v>
      </c>
      <c r="G7" s="0" t="n">
        <v>18.2</v>
      </c>
      <c r="H7" s="0" t="n">
        <v>8577</v>
      </c>
      <c r="I7" s="0" t="n">
        <v>4385</v>
      </c>
      <c r="J7" s="0" t="n">
        <v>12.9</v>
      </c>
      <c r="K7" s="0" t="n">
        <v>0.866</v>
      </c>
      <c r="L7" s="0" t="n">
        <v>7952</v>
      </c>
      <c r="M7" s="0" t="n">
        <v>2931</v>
      </c>
      <c r="N7" s="0" t="n">
        <v>5021</v>
      </c>
      <c r="O7" s="0" t="n">
        <v>15055</v>
      </c>
      <c r="P7" s="0" t="n">
        <v>79103</v>
      </c>
      <c r="Q7" s="0" t="n">
        <v>57761</v>
      </c>
      <c r="R7" s="0" t="n">
        <v>24173</v>
      </c>
      <c r="S7" s="0" t="n">
        <v>4274</v>
      </c>
      <c r="T7" s="0" t="n">
        <v>5065</v>
      </c>
      <c r="U7" s="0" t="n">
        <v>367</v>
      </c>
      <c r="V7" s="0" t="n">
        <v>0.8</v>
      </c>
      <c r="X7" s="0" t="n">
        <v>24696</v>
      </c>
      <c r="AA7" s="0" t="s">
        <v>18</v>
      </c>
      <c r="AB7" s="0" t="s">
        <v>14</v>
      </c>
      <c r="AC7" s="0" t="n">
        <v>1759</v>
      </c>
      <c r="AD7" s="0" t="n">
        <v>1172</v>
      </c>
      <c r="AE7" s="0" t="n">
        <v>21342</v>
      </c>
    </row>
    <row r="8" customFormat="false" ht="15" hidden="false" customHeight="false" outlineLevel="0" collapsed="false">
      <c r="A8" s="0" t="s">
        <v>73</v>
      </c>
      <c r="B8" s="0" t="n">
        <v>29324</v>
      </c>
      <c r="C8" s="0" t="n">
        <v>9554</v>
      </c>
      <c r="D8" s="0" t="n">
        <v>19770</v>
      </c>
      <c r="E8" s="0" t="n">
        <v>67.4</v>
      </c>
      <c r="F8" s="0" t="n">
        <v>6433</v>
      </c>
      <c r="G8" s="0" t="n">
        <v>21.9</v>
      </c>
      <c r="H8" s="0" t="n">
        <v>8580</v>
      </c>
      <c r="I8" s="0" t="n">
        <v>14956</v>
      </c>
      <c r="J8" s="0" t="n">
        <v>51</v>
      </c>
      <c r="K8" s="0" t="n">
        <v>3.662</v>
      </c>
      <c r="L8" s="0" t="n">
        <v>7403</v>
      </c>
      <c r="M8" s="0" t="n">
        <v>2258</v>
      </c>
      <c r="N8" s="0" t="n">
        <v>5145</v>
      </c>
      <c r="O8" s="0" t="n">
        <v>10598</v>
      </c>
      <c r="P8" s="0" t="n">
        <v>60146</v>
      </c>
      <c r="Q8" s="0" t="n">
        <v>50050</v>
      </c>
      <c r="R8" s="0" t="n">
        <v>20987</v>
      </c>
      <c r="S8" s="0" t="n">
        <v>3723</v>
      </c>
      <c r="T8" s="0" t="n">
        <v>4084</v>
      </c>
      <c r="U8" s="0" t="n">
        <v>346</v>
      </c>
      <c r="V8" s="0" t="n">
        <v>0.6125</v>
      </c>
      <c r="X8" s="0" t="n">
        <v>29324</v>
      </c>
      <c r="AA8" s="0" t="s">
        <v>18</v>
      </c>
      <c r="AB8" s="0" t="s">
        <v>14</v>
      </c>
      <c r="AC8" s="0" t="n">
        <v>1115</v>
      </c>
      <c r="AD8" s="0" t="n">
        <v>1143</v>
      </c>
      <c r="AE8" s="0" t="n">
        <v>10096</v>
      </c>
    </row>
    <row r="9" customFormat="false" ht="15" hidden="false" customHeight="false" outlineLevel="0" collapsed="false">
      <c r="A9" s="0" t="s">
        <v>74</v>
      </c>
      <c r="B9" s="0" t="n">
        <v>30328</v>
      </c>
      <c r="C9" s="0" t="n">
        <v>8565</v>
      </c>
      <c r="D9" s="0" t="n">
        <v>21763</v>
      </c>
      <c r="E9" s="0" t="n">
        <v>71.8</v>
      </c>
      <c r="F9" s="0" t="n">
        <v>6745</v>
      </c>
      <c r="G9" s="0" t="n">
        <v>22.2</v>
      </c>
      <c r="H9" s="0" t="n">
        <v>9039</v>
      </c>
      <c r="I9" s="0" t="n">
        <v>4928</v>
      </c>
      <c r="J9" s="0" t="n">
        <v>16.2</v>
      </c>
      <c r="K9" s="0" t="n">
        <v>1.199</v>
      </c>
      <c r="L9" s="0" t="n">
        <v>6768</v>
      </c>
      <c r="M9" s="0" t="n">
        <v>2344</v>
      </c>
      <c r="N9" s="0" t="n">
        <v>4424</v>
      </c>
      <c r="O9" s="0" t="n">
        <v>13347</v>
      </c>
      <c r="P9" s="0" t="n">
        <v>59005</v>
      </c>
      <c r="Q9" s="0" t="n">
        <v>46210</v>
      </c>
      <c r="R9" s="0" t="n">
        <v>18018</v>
      </c>
      <c r="S9" s="0" t="n">
        <v>2936</v>
      </c>
      <c r="T9" s="0" t="n">
        <v>4111</v>
      </c>
      <c r="U9" s="0" t="n">
        <v>307</v>
      </c>
      <c r="V9" s="0" t="n">
        <v>0.58</v>
      </c>
      <c r="X9" s="0" t="n">
        <v>30328</v>
      </c>
      <c r="AA9" s="0" t="s">
        <v>18</v>
      </c>
      <c r="AB9" s="0" t="s">
        <v>14</v>
      </c>
      <c r="AC9" s="0" t="n">
        <v>1030</v>
      </c>
      <c r="AD9" s="0" t="n">
        <v>1314</v>
      </c>
      <c r="AE9" s="0" t="n">
        <v>12795</v>
      </c>
    </row>
    <row r="10" customFormat="false" ht="15" hidden="false" customHeight="false" outlineLevel="0" collapsed="false">
      <c r="A10" s="0" t="s">
        <v>75</v>
      </c>
      <c r="B10" s="0" t="n">
        <v>31376</v>
      </c>
      <c r="C10" s="0" t="n">
        <v>9048</v>
      </c>
      <c r="D10" s="0" t="n">
        <v>22328</v>
      </c>
      <c r="E10" s="0" t="n">
        <v>71.2</v>
      </c>
      <c r="F10" s="0" t="n">
        <v>4021</v>
      </c>
      <c r="G10" s="0" t="n">
        <v>12.8</v>
      </c>
      <c r="H10" s="0" t="n">
        <v>6572</v>
      </c>
      <c r="I10" s="0" t="n">
        <v>2575</v>
      </c>
      <c r="J10" s="0" t="n">
        <v>8.2</v>
      </c>
      <c r="K10" s="0" t="n">
        <v>0.622</v>
      </c>
      <c r="L10" s="0" t="n">
        <v>6554</v>
      </c>
      <c r="M10" s="0" t="n">
        <v>2982</v>
      </c>
      <c r="N10" s="0" t="n">
        <v>3572</v>
      </c>
      <c r="O10" s="0" t="n">
        <v>13671</v>
      </c>
      <c r="P10" s="0" t="n">
        <v>59463</v>
      </c>
      <c r="Q10" s="0" t="n">
        <v>46377</v>
      </c>
      <c r="R10" s="0" t="n">
        <v>16986</v>
      </c>
      <c r="S10" s="0" t="n">
        <v>3870</v>
      </c>
      <c r="T10" s="0" t="n">
        <v>4142</v>
      </c>
      <c r="U10" s="0" t="n">
        <v>344</v>
      </c>
      <c r="V10" s="0" t="n">
        <v>0.61</v>
      </c>
      <c r="X10" s="0" t="n">
        <v>31376</v>
      </c>
      <c r="AA10" s="0" t="s">
        <v>18</v>
      </c>
      <c r="AB10" s="0" t="s">
        <v>14</v>
      </c>
      <c r="AC10" s="0" t="n">
        <v>1583</v>
      </c>
      <c r="AD10" s="0" t="n">
        <v>1399</v>
      </c>
      <c r="AE10" s="0" t="n">
        <v>13086</v>
      </c>
    </row>
    <row r="11" customFormat="false" ht="15" hidden="false" customHeight="false" outlineLevel="0" collapsed="false">
      <c r="A11" s="0" t="s">
        <v>76</v>
      </c>
      <c r="B11" s="0" t="n">
        <v>32667</v>
      </c>
      <c r="C11" s="0" t="n">
        <v>9017</v>
      </c>
      <c r="D11" s="0" t="n">
        <v>23650</v>
      </c>
      <c r="E11" s="0" t="n">
        <v>72.4</v>
      </c>
      <c r="F11" s="0" t="n">
        <v>7932</v>
      </c>
      <c r="G11" s="0" t="n">
        <v>24.3</v>
      </c>
      <c r="H11" s="0" t="n">
        <v>10246</v>
      </c>
      <c r="I11" s="0" t="n">
        <v>5716</v>
      </c>
      <c r="J11" s="0" t="n">
        <v>17.5</v>
      </c>
      <c r="K11" s="0" t="n">
        <v>1.388</v>
      </c>
      <c r="L11" s="0" t="n">
        <v>7741</v>
      </c>
      <c r="M11" s="0" t="n">
        <v>2985</v>
      </c>
      <c r="N11" s="0" t="n">
        <v>4756</v>
      </c>
      <c r="O11" s="0" t="n">
        <v>16377</v>
      </c>
      <c r="P11" s="0" t="n">
        <v>61118</v>
      </c>
      <c r="Q11" s="0" t="n">
        <v>45162</v>
      </c>
      <c r="R11" s="0" t="n">
        <v>17720</v>
      </c>
      <c r="S11" s="0" t="n">
        <v>3397</v>
      </c>
      <c r="T11" s="0" t="n">
        <v>4117</v>
      </c>
      <c r="U11" s="0" t="n">
        <v>374</v>
      </c>
      <c r="V11" s="0" t="n">
        <v>0.66</v>
      </c>
      <c r="X11" s="0" t="n">
        <v>32667</v>
      </c>
      <c r="AA11" s="0" t="s">
        <v>18</v>
      </c>
      <c r="AB11" s="0" t="s">
        <v>14</v>
      </c>
      <c r="AC11" s="0" t="n">
        <v>1637</v>
      </c>
      <c r="AD11" s="0" t="n">
        <v>1348</v>
      </c>
      <c r="AE11" s="0" t="n">
        <v>15956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47.03</v>
      </c>
    </row>
    <row r="3" customFormat="false" ht="15" hidden="false" customHeight="false" outlineLevel="0" collapsed="false">
      <c r="A3" s="0" t="s">
        <v>80</v>
      </c>
      <c r="B3" s="3" t="n">
        <v>2031</v>
      </c>
    </row>
    <row r="4" customFormat="false" ht="15" hidden="false" customHeight="false" outlineLevel="0" collapsed="false">
      <c r="A4" s="0" t="s">
        <v>81</v>
      </c>
      <c r="B4" s="3" t="n">
        <v>22232</v>
      </c>
    </row>
    <row r="5" customFormat="false" ht="15" hidden="false" customHeight="false" outlineLevel="0" collapsed="false">
      <c r="A5" s="0" t="s">
        <v>82</v>
      </c>
      <c r="B5" s="3" t="n">
        <v>-7993</v>
      </c>
    </row>
    <row r="6" customFormat="false" ht="15" hidden="false" customHeight="false" outlineLevel="0" collapsed="false">
      <c r="A6" s="0" t="s">
        <v>83</v>
      </c>
      <c r="B6" s="3" t="n">
        <v>15</v>
      </c>
    </row>
    <row r="7" customFormat="false" ht="15" hidden="false" customHeight="false" outlineLevel="0" collapsed="false">
      <c r="A7" s="0" t="s">
        <v>84</v>
      </c>
      <c r="B7" s="3" t="n">
        <v>32667</v>
      </c>
    </row>
    <row r="8" customFormat="false" ht="15" hidden="false" customHeight="false" outlineLevel="0" collapsed="false">
      <c r="A8" s="0" t="s">
        <v>85</v>
      </c>
      <c r="B8" s="3" t="s">
        <v>76</v>
      </c>
    </row>
    <row r="9" customFormat="false" ht="15" hidden="false" customHeight="false" outlineLevel="0" collapsed="false">
      <c r="A9" s="0" t="s">
        <v>86</v>
      </c>
      <c r="B9" s="3" t="s">
        <v>87</v>
      </c>
    </row>
    <row r="10" customFormat="false" ht="15" hidden="false" customHeight="false" outlineLevel="0" collapsed="false">
      <c r="A10" s="0" t="s">
        <v>88</v>
      </c>
      <c r="B10" s="3" t="n">
        <v>1.324</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3</v>
      </c>
      <c r="D13" s="3" t="n">
        <v>3</v>
      </c>
      <c r="E13" s="3" t="n">
        <v>-1</v>
      </c>
      <c r="F13" s="3" t="n">
        <v>-3</v>
      </c>
      <c r="G13" s="3" t="n">
        <v>-1</v>
      </c>
      <c r="H13" s="3" t="n">
        <v>2</v>
      </c>
      <c r="I13" s="3" t="n">
        <v>2.5</v>
      </c>
      <c r="J13" s="3" t="n">
        <v>2.5</v>
      </c>
      <c r="K13" s="3" t="n">
        <v>2</v>
      </c>
      <c r="L13" s="3" t="n">
        <v>2</v>
      </c>
    </row>
    <row r="14" customFormat="false" ht="15" hidden="false" customHeight="false" outlineLevel="0" collapsed="false">
      <c r="A14" s="0" t="s">
        <v>101</v>
      </c>
      <c r="C14" s="3" t="n">
        <v>35</v>
      </c>
      <c r="D14" s="3" t="n">
        <v>35</v>
      </c>
      <c r="E14" s="3" t="n">
        <v>33.5</v>
      </c>
      <c r="F14" s="3" t="n">
        <v>32</v>
      </c>
      <c r="G14" s="3" t="n">
        <v>32</v>
      </c>
      <c r="H14" s="3" t="n">
        <v>32.5</v>
      </c>
      <c r="I14" s="3" t="n">
        <v>33</v>
      </c>
      <c r="J14" s="3" t="n">
        <v>33</v>
      </c>
      <c r="K14" s="3" t="n">
        <v>33</v>
      </c>
      <c r="L14" s="3" t="n">
        <v>33</v>
      </c>
    </row>
    <row r="15" customFormat="false" ht="15" hidden="false" customHeight="false" outlineLevel="0" collapsed="false">
      <c r="A15" s="0" t="s">
        <v>102</v>
      </c>
      <c r="C15" s="3" t="n">
        <v>1.15</v>
      </c>
      <c r="D15" s="3" t="n">
        <v>1.15</v>
      </c>
      <c r="E15" s="3" t="n">
        <v>1.15</v>
      </c>
      <c r="F15" s="3" t="n">
        <v>1.15</v>
      </c>
      <c r="G15" s="3" t="n">
        <v>1.15</v>
      </c>
      <c r="H15" s="3" t="n">
        <v>1.15</v>
      </c>
      <c r="I15" s="3" t="n">
        <v>1.15</v>
      </c>
      <c r="J15" s="3" t="n">
        <v>1.15</v>
      </c>
      <c r="K15" s="3" t="n">
        <v>1.15</v>
      </c>
      <c r="L15" s="3" t="n">
        <v>1.15</v>
      </c>
    </row>
    <row r="16" customFormat="false" ht="15" hidden="false" customHeight="false" outlineLevel="0" collapsed="false">
      <c r="A16" s="0" t="s">
        <v>103</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104</v>
      </c>
      <c r="C17" s="3" t="n">
        <v>4.6</v>
      </c>
      <c r="D17" s="3" t="n">
        <v>4.6</v>
      </c>
      <c r="E17" s="3" t="n">
        <v>4.6</v>
      </c>
      <c r="F17" s="3" t="n">
        <v>4.6</v>
      </c>
      <c r="G17" s="3" t="n">
        <v>4.6</v>
      </c>
      <c r="H17" s="3" t="n">
        <v>4.6</v>
      </c>
      <c r="I17" s="3" t="n">
        <v>4.6</v>
      </c>
      <c r="J17" s="3" t="n">
        <v>4.6</v>
      </c>
      <c r="K17" s="3" t="n">
        <v>4.6</v>
      </c>
      <c r="L17" s="3" t="n">
        <v>4.6</v>
      </c>
    </row>
    <row r="18" customFormat="false" ht="15" hidden="false" customHeight="false" outlineLevel="0" collapsed="false">
      <c r="A18" s="0" t="s">
        <v>105</v>
      </c>
      <c r="C18" s="3" t="n">
        <v>10.8</v>
      </c>
      <c r="D18" s="3" t="n">
        <v>10.8</v>
      </c>
      <c r="E18" s="3" t="n">
        <v>10.8</v>
      </c>
      <c r="F18" s="3" t="n">
        <v>10.8</v>
      </c>
      <c r="G18" s="3" t="n">
        <v>10.8</v>
      </c>
      <c r="H18" s="3" t="n">
        <v>10.8</v>
      </c>
      <c r="I18" s="3" t="n">
        <v>10.8</v>
      </c>
      <c r="J18" s="3" t="n">
        <v>10.8</v>
      </c>
      <c r="K18" s="3" t="n">
        <v>10.8</v>
      </c>
      <c r="L18" s="3" t="n">
        <v>10.8</v>
      </c>
    </row>
    <row r="19" customFormat="false" ht="15" hidden="false" customHeight="false" outlineLevel="0" collapsed="false">
      <c r="A19" s="0" t="s">
        <v>106</v>
      </c>
      <c r="C19" s="3" t="n">
        <v>22</v>
      </c>
      <c r="D19" s="3" t="n">
        <v>22</v>
      </c>
      <c r="E19" s="3" t="n">
        <v>22</v>
      </c>
      <c r="F19" s="3" t="n">
        <v>22</v>
      </c>
      <c r="G19" s="3" t="n">
        <v>21.5</v>
      </c>
      <c r="H19" s="3" t="n">
        <v>21.5</v>
      </c>
      <c r="I19" s="3" t="n">
        <v>21.5</v>
      </c>
      <c r="J19" s="3" t="n">
        <v>21.5</v>
      </c>
      <c r="K19" s="3" t="n">
        <v>21.5</v>
      </c>
      <c r="L19" s="3" t="n">
        <v>21.5</v>
      </c>
    </row>
    <row r="20" customFormat="false" ht="15" hidden="false" customHeight="false" outlineLevel="0" collapsed="false">
      <c r="A20" s="0" t="s">
        <v>107</v>
      </c>
      <c r="B20" s="3" t="n">
        <v>7</v>
      </c>
    </row>
    <row r="21" customFormat="false" ht="15" hidden="false" customHeight="false" outlineLevel="0" collapsed="false">
      <c r="A21" s="0" t="s">
        <v>108</v>
      </c>
      <c r="B21" s="3" t="n">
        <v>1.5</v>
      </c>
    </row>
    <row r="22" customFormat="false" ht="15" hidden="false" customHeight="false" outlineLevel="0" collapsed="false">
      <c r="A22" s="0" t="s">
        <v>109</v>
      </c>
      <c r="B22" s="3" t="n">
        <v>13</v>
      </c>
    </row>
    <row r="23" customFormat="false" ht="15" hidden="false" customHeight="false" outlineLevel="0" collapsed="false">
      <c r="A23" s="0" t="s">
        <v>110</v>
      </c>
      <c r="B23" s="3" t="n">
        <v>-15</v>
      </c>
    </row>
    <row r="24" customFormat="false" ht="15" hidden="false" customHeight="false" outlineLevel="0" collapsed="false">
      <c r="A24" s="0" t="s">
        <v>111</v>
      </c>
      <c r="B24" s="3" t="n">
        <v>0.25</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3.5</v>
      </c>
      <c r="D27" s="3" t="n">
        <v>5</v>
      </c>
      <c r="E27" s="3" t="n">
        <v>3</v>
      </c>
      <c r="F27" s="3" t="n">
        <v>1.5</v>
      </c>
      <c r="G27" s="3" t="n">
        <v>2</v>
      </c>
      <c r="H27" s="3" t="n">
        <v>4</v>
      </c>
      <c r="I27" s="3" t="n">
        <v>4.5</v>
      </c>
      <c r="J27" s="3" t="n">
        <v>4</v>
      </c>
      <c r="K27" s="3" t="n">
        <v>3.5</v>
      </c>
      <c r="L27" s="3" t="n">
        <v>3</v>
      </c>
    </row>
    <row r="28" customFormat="false" ht="15" hidden="false" customHeight="false" outlineLevel="0" collapsed="false">
      <c r="A28" s="0" t="s">
        <v>101</v>
      </c>
      <c r="C28" s="3" t="n">
        <v>35.5</v>
      </c>
      <c r="D28" s="3" t="n">
        <v>36</v>
      </c>
      <c r="E28" s="3" t="n">
        <v>35.7</v>
      </c>
      <c r="F28" s="3" t="n">
        <v>35.2</v>
      </c>
      <c r="G28" s="3" t="n">
        <v>35.2</v>
      </c>
      <c r="H28" s="3" t="n">
        <v>35.7</v>
      </c>
      <c r="I28" s="3" t="n">
        <v>36</v>
      </c>
      <c r="J28" s="3" t="n">
        <v>36</v>
      </c>
      <c r="K28" s="3" t="n">
        <v>36</v>
      </c>
      <c r="L28" s="3" t="n">
        <v>36</v>
      </c>
    </row>
    <row r="29" customFormat="false" ht="15" hidden="false" customHeight="false" outlineLevel="0" collapsed="false">
      <c r="A29" s="0" t="s">
        <v>102</v>
      </c>
      <c r="C29" s="3" t="n">
        <v>1.15</v>
      </c>
      <c r="D29" s="3" t="n">
        <v>1.15</v>
      </c>
      <c r="E29" s="3" t="n">
        <v>1.15</v>
      </c>
      <c r="F29" s="3" t="n">
        <v>1.15</v>
      </c>
      <c r="G29" s="3" t="n">
        <v>1.15</v>
      </c>
      <c r="H29" s="3" t="n">
        <v>1.15</v>
      </c>
      <c r="I29" s="3" t="n">
        <v>1.15</v>
      </c>
      <c r="J29" s="3" t="n">
        <v>1.15</v>
      </c>
      <c r="K29" s="3" t="n">
        <v>1.15</v>
      </c>
      <c r="L29" s="3" t="n">
        <v>1.15</v>
      </c>
    </row>
    <row r="30" customFormat="false" ht="15" hidden="false" customHeight="false" outlineLevel="0" collapsed="false">
      <c r="A30" s="0" t="s">
        <v>103</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104</v>
      </c>
      <c r="C31" s="3" t="n">
        <v>4.6</v>
      </c>
      <c r="D31" s="3" t="n">
        <v>4.6</v>
      </c>
      <c r="E31" s="3" t="n">
        <v>4.6</v>
      </c>
      <c r="F31" s="3" t="n">
        <v>4.6</v>
      </c>
      <c r="G31" s="3" t="n">
        <v>4.6</v>
      </c>
      <c r="H31" s="3" t="n">
        <v>4.6</v>
      </c>
      <c r="I31" s="3" t="n">
        <v>4.6</v>
      </c>
      <c r="J31" s="3" t="n">
        <v>4.6</v>
      </c>
      <c r="K31" s="3" t="n">
        <v>4.6</v>
      </c>
      <c r="L31" s="3" t="n">
        <v>4.6</v>
      </c>
    </row>
    <row r="32" customFormat="false" ht="15" hidden="false" customHeight="false" outlineLevel="0" collapsed="false">
      <c r="A32" s="0" t="s">
        <v>105</v>
      </c>
      <c r="C32" s="3" t="n">
        <v>10.3</v>
      </c>
      <c r="D32" s="3" t="n">
        <v>10.3</v>
      </c>
      <c r="E32" s="3" t="n">
        <v>10.3</v>
      </c>
      <c r="F32" s="3" t="n">
        <v>10.3</v>
      </c>
      <c r="G32" s="3" t="n">
        <v>10.3</v>
      </c>
      <c r="H32" s="3" t="n">
        <v>10.3</v>
      </c>
      <c r="I32" s="3" t="n">
        <v>10.3</v>
      </c>
      <c r="J32" s="3" t="n">
        <v>10.3</v>
      </c>
      <c r="K32" s="3" t="n">
        <v>10.3</v>
      </c>
      <c r="L32" s="3" t="n">
        <v>10.3</v>
      </c>
    </row>
    <row r="33" customFormat="false" ht="15" hidden="false" customHeight="false" outlineLevel="0" collapsed="false">
      <c r="A33" s="0" t="s">
        <v>106</v>
      </c>
      <c r="C33" s="3" t="n">
        <v>22</v>
      </c>
      <c r="D33" s="3" t="n">
        <v>22</v>
      </c>
      <c r="E33" s="3" t="n">
        <v>22</v>
      </c>
      <c r="F33" s="3" t="n">
        <v>21.5</v>
      </c>
      <c r="G33" s="3" t="n">
        <v>21</v>
      </c>
      <c r="H33" s="3" t="n">
        <v>21</v>
      </c>
      <c r="I33" s="3" t="n">
        <v>21</v>
      </c>
      <c r="J33" s="3" t="n">
        <v>21</v>
      </c>
      <c r="K33" s="3" t="n">
        <v>21</v>
      </c>
      <c r="L33" s="3" t="n">
        <v>21</v>
      </c>
    </row>
    <row r="34" customFormat="false" ht="15" hidden="false" customHeight="false" outlineLevel="0" collapsed="false">
      <c r="A34" s="0" t="s">
        <v>107</v>
      </c>
      <c r="B34" s="3" t="n">
        <v>7</v>
      </c>
    </row>
    <row r="35" customFormat="false" ht="15" hidden="false" customHeight="false" outlineLevel="0" collapsed="false">
      <c r="A35" s="0" t="s">
        <v>108</v>
      </c>
      <c r="B35" s="3" t="n">
        <v>2</v>
      </c>
    </row>
    <row r="36" customFormat="false" ht="15" hidden="false" customHeight="false" outlineLevel="0" collapsed="false">
      <c r="A36" s="0" t="s">
        <v>109</v>
      </c>
      <c r="B36" s="3" t="n">
        <v>15</v>
      </c>
    </row>
    <row r="37" customFormat="false" ht="15" hidden="false" customHeight="false" outlineLevel="0" collapsed="false">
      <c r="A37" s="0" t="s">
        <v>110</v>
      </c>
      <c r="B37" s="3" t="n">
        <v>-15</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4</v>
      </c>
      <c r="D41" s="3" t="n">
        <v>6.5</v>
      </c>
      <c r="E41" s="3" t="n">
        <v>5</v>
      </c>
      <c r="F41" s="3" t="n">
        <v>3</v>
      </c>
      <c r="G41" s="3" t="n">
        <v>4</v>
      </c>
      <c r="H41" s="3" t="n">
        <v>6</v>
      </c>
      <c r="I41" s="3" t="n">
        <v>6</v>
      </c>
      <c r="J41" s="3" t="n">
        <v>5</v>
      </c>
      <c r="K41" s="3" t="n">
        <v>4</v>
      </c>
      <c r="L41" s="3" t="n">
        <v>3.5</v>
      </c>
    </row>
    <row r="42" customFormat="false" ht="15" hidden="false" customHeight="false" outlineLevel="0" collapsed="false">
      <c r="A42" s="0" t="s">
        <v>101</v>
      </c>
      <c r="C42" s="3" t="n">
        <v>36</v>
      </c>
      <c r="D42" s="3" t="n">
        <v>36.8</v>
      </c>
      <c r="E42" s="3" t="n">
        <v>37</v>
      </c>
      <c r="F42" s="3" t="n">
        <v>37</v>
      </c>
      <c r="G42" s="3" t="n">
        <v>37.3</v>
      </c>
      <c r="H42" s="3" t="n">
        <v>37.8</v>
      </c>
      <c r="I42" s="3" t="n">
        <v>38.2</v>
      </c>
      <c r="J42" s="3" t="n">
        <v>38.5</v>
      </c>
      <c r="K42" s="3" t="n">
        <v>38.5</v>
      </c>
      <c r="L42" s="3" t="n">
        <v>38.5</v>
      </c>
    </row>
    <row r="43" customFormat="false" ht="15" hidden="false" customHeight="false" outlineLevel="0" collapsed="false">
      <c r="A43" s="0" t="s">
        <v>102</v>
      </c>
      <c r="C43" s="3" t="n">
        <v>1.15</v>
      </c>
      <c r="D43" s="3" t="n">
        <v>1.15</v>
      </c>
      <c r="E43" s="3" t="n">
        <v>1.15</v>
      </c>
      <c r="F43" s="3" t="n">
        <v>1.15</v>
      </c>
      <c r="G43" s="3" t="n">
        <v>1.15</v>
      </c>
      <c r="H43" s="3" t="n">
        <v>1.15</v>
      </c>
      <c r="I43" s="3" t="n">
        <v>1.15</v>
      </c>
      <c r="J43" s="3" t="n">
        <v>1.15</v>
      </c>
      <c r="K43" s="3" t="n">
        <v>1.15</v>
      </c>
      <c r="L43" s="3" t="n">
        <v>1.15</v>
      </c>
    </row>
    <row r="44" customFormat="false" ht="15" hidden="false" customHeight="false" outlineLevel="0" collapsed="false">
      <c r="A44" s="0" t="s">
        <v>103</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104</v>
      </c>
      <c r="C45" s="3" t="n">
        <v>4.6</v>
      </c>
      <c r="D45" s="3" t="n">
        <v>4.6</v>
      </c>
      <c r="E45" s="3" t="n">
        <v>4.6</v>
      </c>
      <c r="F45" s="3" t="n">
        <v>4.6</v>
      </c>
      <c r="G45" s="3" t="n">
        <v>4.6</v>
      </c>
      <c r="H45" s="3" t="n">
        <v>4.6</v>
      </c>
      <c r="I45" s="3" t="n">
        <v>4.6</v>
      </c>
      <c r="J45" s="3" t="n">
        <v>4.6</v>
      </c>
      <c r="K45" s="3" t="n">
        <v>4.6</v>
      </c>
      <c r="L45" s="3" t="n">
        <v>4.6</v>
      </c>
    </row>
    <row r="46" customFormat="false" ht="15" hidden="false" customHeight="false" outlineLevel="0" collapsed="false">
      <c r="A46" s="0" t="s">
        <v>105</v>
      </c>
      <c r="C46" s="3" t="n">
        <v>10</v>
      </c>
      <c r="D46" s="3" t="n">
        <v>10</v>
      </c>
      <c r="E46" s="3" t="n">
        <v>10</v>
      </c>
      <c r="F46" s="3" t="n">
        <v>10</v>
      </c>
      <c r="G46" s="3" t="n">
        <v>10</v>
      </c>
      <c r="H46" s="3" t="n">
        <v>10</v>
      </c>
      <c r="I46" s="3" t="n">
        <v>10</v>
      </c>
      <c r="J46" s="3" t="n">
        <v>10</v>
      </c>
      <c r="K46" s="3" t="n">
        <v>10</v>
      </c>
      <c r="L46" s="3" t="n">
        <v>10</v>
      </c>
    </row>
    <row r="47" customFormat="false" ht="15" hidden="false" customHeight="false" outlineLevel="0" collapsed="false">
      <c r="A47" s="0" t="s">
        <v>106</v>
      </c>
      <c r="C47" s="3" t="n">
        <v>21.5</v>
      </c>
      <c r="D47" s="3" t="n">
        <v>21.5</v>
      </c>
      <c r="E47" s="3" t="n">
        <v>21.5</v>
      </c>
      <c r="F47" s="3" t="n">
        <v>21</v>
      </c>
      <c r="G47" s="3" t="n">
        <v>20.5</v>
      </c>
      <c r="H47" s="3" t="n">
        <v>20.5</v>
      </c>
      <c r="I47" s="3" t="n">
        <v>20.5</v>
      </c>
      <c r="J47" s="3" t="n">
        <v>20.5</v>
      </c>
      <c r="K47" s="3" t="n">
        <v>20.5</v>
      </c>
      <c r="L47" s="3" t="n">
        <v>20.5</v>
      </c>
    </row>
    <row r="48" customFormat="false" ht="15" hidden="false" customHeight="false" outlineLevel="0" collapsed="false">
      <c r="A48" s="0" t="s">
        <v>107</v>
      </c>
      <c r="B48" s="3" t="n">
        <v>7</v>
      </c>
    </row>
    <row r="49" customFormat="false" ht="15" hidden="false" customHeight="false" outlineLevel="0" collapsed="false">
      <c r="A49" s="0" t="s">
        <v>108</v>
      </c>
      <c r="B49" s="3" t="n">
        <v>2.5</v>
      </c>
    </row>
    <row r="50" customFormat="false" ht="15" hidden="false" customHeight="false" outlineLevel="0" collapsed="false">
      <c r="A50" s="0" t="s">
        <v>109</v>
      </c>
      <c r="B50" s="3" t="n">
        <v>16</v>
      </c>
    </row>
    <row r="51" customFormat="false" ht="15" hidden="false" customHeight="false" outlineLevel="0" collapsed="false">
      <c r="A51" s="0" t="s">
        <v>110</v>
      </c>
      <c r="B51" s="3" t="n">
        <v>-15</v>
      </c>
    </row>
    <row r="52" customFormat="false" ht="15" hidden="false" customHeight="false" outlineLevel="0" collapsed="false">
      <c r="A52" s="0" t="s">
        <v>111</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3</v>
      </c>
      <c r="D5" s="4" t="n">
        <f aca="false">Assumptions!D13</f>
        <v>3</v>
      </c>
      <c r="E5" s="4" t="n">
        <f aca="false">Assumptions!E13</f>
        <v>-1</v>
      </c>
      <c r="F5" s="4" t="n">
        <f aca="false">Assumptions!F13</f>
        <v>-3</v>
      </c>
      <c r="G5" s="4" t="n">
        <f aca="false">Assumptions!G13</f>
        <v>-1</v>
      </c>
      <c r="H5" s="4" t="n">
        <f aca="false">Assumptions!H13</f>
        <v>2</v>
      </c>
      <c r="I5" s="4" t="n">
        <f aca="false">Assumptions!I13</f>
        <v>2.5</v>
      </c>
      <c r="J5" s="4" t="n">
        <f aca="false">Assumptions!J13</f>
        <v>2.5</v>
      </c>
      <c r="K5" s="4" t="n">
        <f aca="false">Assumptions!K13</f>
        <v>2</v>
      </c>
      <c r="L5" s="4" t="n">
        <f aca="false">Assumptions!L13</f>
        <v>2</v>
      </c>
    </row>
    <row r="6" customFormat="false" ht="15" hidden="false" customHeight="false" outlineLevel="0" collapsed="false">
      <c r="A6" s="0" t="s">
        <v>38</v>
      </c>
      <c r="B6" s="3" t="n">
        <v>32667</v>
      </c>
      <c r="C6" s="0" t="n">
        <f aca="false">B6*(1+C5/100)</f>
        <v>33647.01</v>
      </c>
      <c r="D6" s="0" t="n">
        <f aca="false">C6*(1+D5/100)</f>
        <v>34656.4203</v>
      </c>
      <c r="E6" s="0" t="n">
        <f aca="false">D6*(1+E5/100)</f>
        <v>34309.856097</v>
      </c>
      <c r="F6" s="0" t="n">
        <f aca="false">E6*(1+F5/100)</f>
        <v>33280.56041409</v>
      </c>
      <c r="G6" s="0" t="n">
        <f aca="false">F6*(1+G5/100)</f>
        <v>32947.7548099491</v>
      </c>
      <c r="H6" s="0" t="n">
        <f aca="false">G6*(1+H5/100)</f>
        <v>33606.7099061481</v>
      </c>
      <c r="I6" s="0" t="n">
        <f aca="false">H6*(1+I5/100)</f>
        <v>34446.8776538018</v>
      </c>
      <c r="J6" s="0" t="n">
        <f aca="false">I6*(1+J5/100)</f>
        <v>35308.0495951468</v>
      </c>
      <c r="K6" s="0" t="n">
        <f aca="false">J6*(1+K5/100)</f>
        <v>36014.2105870498</v>
      </c>
      <c r="L6" s="0" t="n">
        <f aca="false">K6*(1+L5/100)</f>
        <v>36734.4947987908</v>
      </c>
    </row>
    <row r="7" customFormat="false" ht="15" hidden="false" customHeight="false" outlineLevel="0" collapsed="false">
      <c r="A7" s="0" t="s">
        <v>101</v>
      </c>
      <c r="C7" s="4" t="n">
        <f aca="false">Assumptions!C14</f>
        <v>35</v>
      </c>
      <c r="D7" s="4" t="n">
        <f aca="false">Assumptions!D14</f>
        <v>35</v>
      </c>
      <c r="E7" s="4" t="n">
        <f aca="false">Assumptions!E14</f>
        <v>33.5</v>
      </c>
      <c r="F7" s="4" t="n">
        <f aca="false">Assumptions!F14</f>
        <v>32</v>
      </c>
      <c r="G7" s="4" t="n">
        <f aca="false">Assumptions!G14</f>
        <v>32</v>
      </c>
      <c r="H7" s="4" t="n">
        <f aca="false">Assumptions!H14</f>
        <v>32.5</v>
      </c>
      <c r="I7" s="4" t="n">
        <f aca="false">Assumptions!I14</f>
        <v>33</v>
      </c>
      <c r="J7" s="4" t="n">
        <f aca="false">Assumptions!J14</f>
        <v>33</v>
      </c>
      <c r="K7" s="4" t="n">
        <f aca="false">Assumptions!K14</f>
        <v>33</v>
      </c>
      <c r="L7" s="4" t="n">
        <f aca="false">Assumptions!L14</f>
        <v>33</v>
      </c>
    </row>
    <row r="8" customFormat="false" ht="15" hidden="false" customHeight="false" outlineLevel="0" collapsed="false">
      <c r="A8" s="0" t="s">
        <v>44</v>
      </c>
      <c r="C8" s="0" t="n">
        <f aca="false">C6*C7/100</f>
        <v>11776.4535</v>
      </c>
      <c r="D8" s="0" t="n">
        <f aca="false">D6*D7/100</f>
        <v>12129.747105</v>
      </c>
      <c r="E8" s="0" t="n">
        <f aca="false">E6*E7/100</f>
        <v>11493.801792495</v>
      </c>
      <c r="F8" s="0" t="n">
        <f aca="false">F6*F7/100</f>
        <v>10649.7793325088</v>
      </c>
      <c r="G8" s="0" t="n">
        <f aca="false">G6*G7/100</f>
        <v>10543.2815391837</v>
      </c>
      <c r="H8" s="0" t="n">
        <f aca="false">H6*H7/100</f>
        <v>10922.1807194981</v>
      </c>
      <c r="I8" s="0" t="n">
        <f aca="false">I6*I7/100</f>
        <v>11367.4696257546</v>
      </c>
      <c r="J8" s="0" t="n">
        <f aca="false">J6*J7/100</f>
        <v>11651.6563663985</v>
      </c>
      <c r="K8" s="0" t="n">
        <f aca="false">K6*K7/100</f>
        <v>11884.6894937264</v>
      </c>
      <c r="L8" s="0" t="n">
        <f aca="false">L6*L7/100</f>
        <v>12122.383283601</v>
      </c>
    </row>
    <row r="9" customFormat="false" ht="15" hidden="false" customHeight="false" outlineLevel="0" collapsed="false">
      <c r="A9" s="0" t="s">
        <v>102</v>
      </c>
      <c r="C9" s="4" t="n">
        <f aca="false">Assumptions!C15</f>
        <v>1.15</v>
      </c>
      <c r="D9" s="4" t="n">
        <f aca="false">Assumptions!D15</f>
        <v>1.15</v>
      </c>
      <c r="E9" s="4" t="n">
        <f aca="false">Assumptions!E15</f>
        <v>1.15</v>
      </c>
      <c r="F9" s="4" t="n">
        <f aca="false">Assumptions!F15</f>
        <v>1.15</v>
      </c>
      <c r="G9" s="4" t="n">
        <f aca="false">Assumptions!G15</f>
        <v>1.15</v>
      </c>
      <c r="H9" s="4" t="n">
        <f aca="false">Assumptions!H15</f>
        <v>1.15</v>
      </c>
      <c r="I9" s="4" t="n">
        <f aca="false">Assumptions!I15</f>
        <v>1.15</v>
      </c>
      <c r="J9" s="4" t="n">
        <f aca="false">Assumptions!J15</f>
        <v>1.15</v>
      </c>
      <c r="K9" s="4" t="n">
        <f aca="false">Assumptions!K15</f>
        <v>1.15</v>
      </c>
      <c r="L9" s="4" t="n">
        <f aca="false">Assumptions!L15</f>
        <v>1.15</v>
      </c>
    </row>
    <row r="10" customFormat="false" ht="15" hidden="false" customHeight="false" outlineLevel="0" collapsed="false">
      <c r="A10" s="0" t="s">
        <v>117</v>
      </c>
      <c r="C10" s="0" t="n">
        <f aca="false">-C6*C9/100</f>
        <v>-386.940615</v>
      </c>
      <c r="D10" s="0" t="n">
        <f aca="false">-D6*D9/100</f>
        <v>-398.54883345</v>
      </c>
      <c r="E10" s="0" t="n">
        <f aca="false">-E6*E9/100</f>
        <v>-394.5633451155</v>
      </c>
      <c r="F10" s="0" t="n">
        <f aca="false">-F6*F9/100</f>
        <v>-382.726444762035</v>
      </c>
      <c r="G10" s="0" t="n">
        <f aca="false">-G6*G9/100</f>
        <v>-378.899180314415</v>
      </c>
      <c r="H10" s="0" t="n">
        <f aca="false">-H6*H9/100</f>
        <v>-386.477163920703</v>
      </c>
      <c r="I10" s="0" t="n">
        <f aca="false">-I6*I9/100</f>
        <v>-396.139093018721</v>
      </c>
      <c r="J10" s="0" t="n">
        <f aca="false">-J6*J9/100</f>
        <v>-406.042570344189</v>
      </c>
      <c r="K10" s="0" t="n">
        <f aca="false">-K6*K9/100</f>
        <v>-414.163421751072</v>
      </c>
      <c r="L10" s="0" t="n">
        <f aca="false">-L6*L9/100</f>
        <v>-422.446690186094</v>
      </c>
    </row>
    <row r="11" customFormat="false" ht="15" hidden="false" customHeight="false" outlineLevel="0" collapsed="false">
      <c r="A11" s="0" t="s">
        <v>118</v>
      </c>
      <c r="C11" s="0" t="n">
        <f aca="false">C8+C10+C24</f>
        <v>11389.512885</v>
      </c>
      <c r="D11" s="0" t="n">
        <f aca="false">D8+D10+D24</f>
        <v>11731.19827155</v>
      </c>
      <c r="E11" s="0" t="n">
        <f aca="false">E8+E10+E24</f>
        <v>11099.2384473795</v>
      </c>
      <c r="F11" s="0" t="n">
        <f aca="false">F8+F10+F24</f>
        <v>10267.0528877468</v>
      </c>
      <c r="G11" s="0" t="n">
        <f aca="false">G8+G10+G24</f>
        <v>10164.3823588693</v>
      </c>
      <c r="H11" s="0" t="n">
        <f aca="false">H8+H10+H24</f>
        <v>10535.7035555774</v>
      </c>
      <c r="I11" s="0" t="n">
        <f aca="false">I8+I10+I24</f>
        <v>10971.3305327359</v>
      </c>
      <c r="J11" s="0" t="n">
        <f aca="false">J8+J10+J24</f>
        <v>11245.6137960543</v>
      </c>
      <c r="K11" s="0" t="n">
        <f aca="false">K8+K10+K24</f>
        <v>11470.5260719754</v>
      </c>
      <c r="L11" s="0" t="n">
        <f aca="false">L8+L10+L24</f>
        <v>11699.9365934149</v>
      </c>
    </row>
    <row r="12" customFormat="false" ht="15" hidden="false" customHeight="false" outlineLevel="0" collapsed="false">
      <c r="A12" s="0" t="s">
        <v>119</v>
      </c>
      <c r="C12" s="4" t="n">
        <f aca="false">-C6*Assumptions!C17/100</f>
        <v>-1547.76246</v>
      </c>
      <c r="D12" s="4" t="n">
        <f aca="false">-D6*Assumptions!D17/100</f>
        <v>-1594.1953338</v>
      </c>
      <c r="E12" s="4" t="n">
        <f aca="false">-E6*Assumptions!E17/100</f>
        <v>-1578.253380462</v>
      </c>
      <c r="F12" s="4" t="n">
        <f aca="false">-F6*Assumptions!F17/100</f>
        <v>-1530.90577904814</v>
      </c>
      <c r="G12" s="4" t="n">
        <f aca="false">-G6*Assumptions!G17/100</f>
        <v>-1515.59672125766</v>
      </c>
      <c r="H12" s="4" t="n">
        <f aca="false">-H6*Assumptions!H17/100</f>
        <v>-1545.90865568281</v>
      </c>
      <c r="I12" s="4" t="n">
        <f aca="false">-I6*Assumptions!I17/100</f>
        <v>-1584.55637207488</v>
      </c>
      <c r="J12" s="4" t="n">
        <f aca="false">-J6*Assumptions!J17/100</f>
        <v>-1624.17028137675</v>
      </c>
      <c r="K12" s="4" t="n">
        <f aca="false">-K6*Assumptions!K17/100</f>
        <v>-1656.65368700429</v>
      </c>
      <c r="L12" s="4" t="n">
        <f aca="false">-L6*Assumptions!L17/100</f>
        <v>-1689.78676074437</v>
      </c>
    </row>
    <row r="13" customFormat="false" ht="15" hidden="false" customHeight="false" outlineLevel="0" collapsed="false">
      <c r="A13" s="0" t="s">
        <v>120</v>
      </c>
      <c r="C13" s="0" t="n">
        <f aca="false">C11+C12</f>
        <v>9841.750425</v>
      </c>
      <c r="D13" s="0" t="n">
        <f aca="false">D11+D12</f>
        <v>10137.00293775</v>
      </c>
      <c r="E13" s="0" t="n">
        <f aca="false">E11+E12</f>
        <v>9520.9850669175</v>
      </c>
      <c r="F13" s="0" t="n">
        <f aca="false">F11+F12</f>
        <v>8736.14710869863</v>
      </c>
      <c r="G13" s="0" t="n">
        <f aca="false">G11+G12</f>
        <v>8648.78563761164</v>
      </c>
      <c r="H13" s="0" t="n">
        <f aca="false">H11+H12</f>
        <v>8989.79489989461</v>
      </c>
      <c r="I13" s="0" t="n">
        <f aca="false">I11+I12</f>
        <v>9386.77416066099</v>
      </c>
      <c r="J13" s="0" t="n">
        <f aca="false">J11+J12</f>
        <v>9621.44351467751</v>
      </c>
      <c r="K13" s="0" t="n">
        <f aca="false">K11+K12</f>
        <v>9813.87238497106</v>
      </c>
      <c r="L13" s="0" t="n">
        <f aca="false">L11+L12</f>
        <v>10010.1498326705</v>
      </c>
    </row>
    <row r="14" customFormat="false" ht="15" hidden="false" customHeight="false" outlineLevel="0" collapsed="false">
      <c r="A14" s="0" t="s">
        <v>106</v>
      </c>
      <c r="C14" s="4" t="n">
        <f aca="false">Assumptions!C19</f>
        <v>22</v>
      </c>
      <c r="D14" s="4" t="n">
        <f aca="false">Assumptions!D19</f>
        <v>22</v>
      </c>
      <c r="E14" s="4" t="n">
        <f aca="false">Assumptions!E19</f>
        <v>22</v>
      </c>
      <c r="F14" s="4" t="n">
        <f aca="false">Assumptions!F19</f>
        <v>22</v>
      </c>
      <c r="G14" s="4" t="n">
        <f aca="false">Assumptions!G19</f>
        <v>21.5</v>
      </c>
      <c r="H14" s="4" t="n">
        <f aca="false">Assumptions!H19</f>
        <v>21.5</v>
      </c>
      <c r="I14" s="4" t="n">
        <f aca="false">Assumptions!I19</f>
        <v>21.5</v>
      </c>
      <c r="J14" s="4" t="n">
        <f aca="false">Assumptions!J19</f>
        <v>21.5</v>
      </c>
      <c r="K14" s="4" t="n">
        <f aca="false">Assumptions!K19</f>
        <v>21.5</v>
      </c>
      <c r="L14" s="4" t="n">
        <f aca="false">Assumptions!L19</f>
        <v>21.5</v>
      </c>
    </row>
    <row r="15" customFormat="false" ht="15" hidden="false" customHeight="false" outlineLevel="0" collapsed="false">
      <c r="A15" s="0" t="s">
        <v>121</v>
      </c>
      <c r="C15" s="0" t="n">
        <f aca="false">C13-MAX(0,C13)*C14/100</f>
        <v>7676.5653315</v>
      </c>
      <c r="D15" s="0" t="n">
        <f aca="false">D13-MAX(0,D13)*D14/100</f>
        <v>7906.862291445</v>
      </c>
      <c r="E15" s="0" t="n">
        <f aca="false">E13-MAX(0,E13)*E14/100</f>
        <v>7426.36835219565</v>
      </c>
      <c r="F15" s="0" t="n">
        <f aca="false">F13-MAX(0,F13)*F14/100</f>
        <v>6814.19474478493</v>
      </c>
      <c r="G15" s="0" t="n">
        <f aca="false">G13-MAX(0,G13)*G14/100</f>
        <v>6789.29672552514</v>
      </c>
      <c r="H15" s="0" t="n">
        <f aca="false">H13-MAX(0,H13)*H14/100</f>
        <v>7056.98899641727</v>
      </c>
      <c r="I15" s="0" t="n">
        <f aca="false">I13-MAX(0,I13)*I14/100</f>
        <v>7368.61771611888</v>
      </c>
      <c r="J15" s="0" t="n">
        <f aca="false">J13-MAX(0,J13)*J14/100</f>
        <v>7552.83315902185</v>
      </c>
      <c r="K15" s="0" t="n">
        <f aca="false">K13-MAX(0,K13)*K14/100</f>
        <v>7703.88982220228</v>
      </c>
      <c r="L15" s="0" t="n">
        <f aca="false">L13-MAX(0,L13)*L14/100</f>
        <v>7857.96761864633</v>
      </c>
    </row>
    <row r="16" customFormat="false" ht="15" hidden="false" customHeight="false" outlineLevel="0" collapsed="false">
      <c r="A16" s="0" t="s">
        <v>122</v>
      </c>
      <c r="C16" s="0" t="n">
        <f aca="false">-C12</f>
        <v>1547.76246</v>
      </c>
      <c r="D16" s="0" t="n">
        <f aca="false">-D12</f>
        <v>1594.1953338</v>
      </c>
      <c r="E16" s="0" t="n">
        <f aca="false">-E12</f>
        <v>1578.253380462</v>
      </c>
      <c r="F16" s="0" t="n">
        <f aca="false">-F12</f>
        <v>1530.90577904814</v>
      </c>
      <c r="G16" s="0" t="n">
        <f aca="false">-G12</f>
        <v>1515.59672125766</v>
      </c>
      <c r="H16" s="0" t="n">
        <f aca="false">-H12</f>
        <v>1545.90865568281</v>
      </c>
      <c r="I16" s="0" t="n">
        <f aca="false">-I12</f>
        <v>1584.55637207488</v>
      </c>
      <c r="J16" s="0" t="n">
        <f aca="false">-J12</f>
        <v>1624.17028137675</v>
      </c>
      <c r="K16" s="0" t="n">
        <f aca="false">-K12</f>
        <v>1656.65368700429</v>
      </c>
      <c r="L16" s="0" t="n">
        <f aca="false">-L12</f>
        <v>1689.78676074437</v>
      </c>
    </row>
    <row r="17" customFormat="false" ht="15" hidden="false" customHeight="false" outlineLevel="0" collapsed="false">
      <c r="A17" s="0" t="s">
        <v>123</v>
      </c>
      <c r="C17" s="4" t="n">
        <f aca="false">-C6*Assumptions!C18/100</f>
        <v>-3633.87708</v>
      </c>
      <c r="D17" s="4" t="n">
        <f aca="false">-D6*Assumptions!D18/100</f>
        <v>-3742.8933924</v>
      </c>
      <c r="E17" s="4" t="n">
        <f aca="false">-E6*Assumptions!E18/100</f>
        <v>-3705.464458476</v>
      </c>
      <c r="F17" s="4" t="n">
        <f aca="false">-F6*Assumptions!F18/100</f>
        <v>-3594.30052472172</v>
      </c>
      <c r="G17" s="4" t="n">
        <f aca="false">-G6*Assumptions!G18/100</f>
        <v>-3558.3575194745</v>
      </c>
      <c r="H17" s="4" t="n">
        <f aca="false">-H6*Assumptions!H18/100</f>
        <v>-3629.52466986399</v>
      </c>
      <c r="I17" s="4" t="n">
        <f aca="false">-I6*Assumptions!I18/100</f>
        <v>-3720.26278661059</v>
      </c>
      <c r="J17" s="4" t="n">
        <f aca="false">-J6*Assumptions!J18/100</f>
        <v>-3813.26935627586</v>
      </c>
      <c r="K17" s="4" t="n">
        <f aca="false">-K6*Assumptions!K18/100</f>
        <v>-3889.53474340137</v>
      </c>
      <c r="L17" s="4" t="n">
        <f aca="false">-L6*Assumptions!L18/100</f>
        <v>-3967.3254382694</v>
      </c>
    </row>
    <row r="18" customFormat="false" ht="15" hidden="false" customHeight="false" outlineLevel="0" collapsed="false">
      <c r="A18" s="0" t="s">
        <v>124</v>
      </c>
      <c r="C18" s="4" t="n">
        <f aca="false">(C6-B6)*Assumptions!$B$23/100</f>
        <v>-147.0015</v>
      </c>
      <c r="D18" s="4" t="n">
        <f aca="false">(D6-C6)*Assumptions!$B$23/100</f>
        <v>-151.411545</v>
      </c>
      <c r="E18" s="4" t="n">
        <f aca="false">(E6-D6)*Assumptions!$B$23/100</f>
        <v>51.9846304500003</v>
      </c>
      <c r="F18" s="4" t="n">
        <f aca="false">(F6-E6)*Assumptions!$B$23/100</f>
        <v>154.3943524365</v>
      </c>
      <c r="G18" s="4" t="n">
        <f aca="false">(G6-F6)*Assumptions!$B$23/100</f>
        <v>49.920840621135</v>
      </c>
      <c r="H18" s="4" t="n">
        <f aca="false">(H6-G6)*Assumptions!$B$23/100</f>
        <v>-98.8432644298471</v>
      </c>
      <c r="I18" s="4" t="n">
        <f aca="false">(I6-H6)*Assumptions!$B$23/100</f>
        <v>-126.025162148055</v>
      </c>
      <c r="J18" s="4" t="n">
        <f aca="false">(J6-I6)*Assumptions!$B$23/100</f>
        <v>-129.175791201756</v>
      </c>
      <c r="K18" s="4" t="n">
        <f aca="false">(K6-J6)*Assumptions!$B$23/100</f>
        <v>-105.92414878544</v>
      </c>
      <c r="L18" s="4" t="n">
        <f aca="false">(L6-K6)*Assumptions!$B$23/100</f>
        <v>-108.042631761149</v>
      </c>
    </row>
    <row r="19" customFormat="false" ht="15" hidden="false" customHeight="false" outlineLevel="0" collapsed="false">
      <c r="A19" s="0" t="s">
        <v>125</v>
      </c>
      <c r="C19" s="0" t="n">
        <f aca="false">C15+C16+C17+C18</f>
        <v>5443.4492115</v>
      </c>
      <c r="D19" s="0" t="n">
        <f aca="false">D15+D16+D17+D18</f>
        <v>5606.752687845</v>
      </c>
      <c r="E19" s="0" t="n">
        <f aca="false">E15+E16+E17+E18</f>
        <v>5351.14190463165</v>
      </c>
      <c r="F19" s="0" t="n">
        <f aca="false">F15+F16+F17+F18</f>
        <v>4905.19435154785</v>
      </c>
      <c r="G19" s="0" t="n">
        <f aca="false">G15+G16+G17+G18</f>
        <v>4796.45676792943</v>
      </c>
      <c r="H19" s="0" t="n">
        <f aca="false">H15+H16+H17+H18</f>
        <v>4874.52971780624</v>
      </c>
      <c r="I19" s="0" t="n">
        <f aca="false">I15+I16+I17+I18</f>
        <v>5106.88613943511</v>
      </c>
      <c r="J19" s="0" t="n">
        <f aca="false">J15+J16+J17+J18</f>
        <v>5234.55829292099</v>
      </c>
      <c r="K19" s="0" t="n">
        <f aca="false">K15+K16+K17+K18</f>
        <v>5365.08461701976</v>
      </c>
      <c r="L19" s="0" t="n">
        <f aca="false">L15+L16+L17+L18</f>
        <v>5472.38630936015</v>
      </c>
    </row>
    <row r="20" customFormat="false" ht="15" hidden="false" customHeight="false" outlineLevel="0" collapsed="false">
      <c r="A20" s="0" t="s">
        <v>126</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127</v>
      </c>
      <c r="C21" s="0" t="n">
        <f aca="false">C19*C20</f>
        <v>5087.33571168224</v>
      </c>
      <c r="D21" s="0" t="n">
        <f aca="false">D19*D20</f>
        <v>4897.15493741375</v>
      </c>
      <c r="E21" s="0" t="n">
        <f aca="false">E19*E20</f>
        <v>4368.12577569249</v>
      </c>
      <c r="F21" s="0" t="n">
        <f aca="false">F19*F20</f>
        <v>3742.14928495842</v>
      </c>
      <c r="G21" s="0" t="n">
        <f aca="false">G19*G20</f>
        <v>3419.80738602459</v>
      </c>
      <c r="H21" s="0" t="n">
        <f aca="false">H19*H20</f>
        <v>3248.10497222269</v>
      </c>
      <c r="I21" s="0" t="n">
        <f aca="false">I19*I20</f>
        <v>3180.31202516721</v>
      </c>
      <c r="J21" s="0" t="n">
        <f aca="false">J19*J20</f>
        <v>3046.56058485644</v>
      </c>
      <c r="K21" s="0" t="n">
        <f aca="false">K19*K20</f>
        <v>2918.2505550162</v>
      </c>
      <c r="L21" s="0" t="n">
        <f aca="false">L19*L20</f>
        <v>2781.88370665095</v>
      </c>
    </row>
    <row r="23" customFormat="false" ht="15" hidden="false" customHeight="false" outlineLevel="0" collapsed="false">
      <c r="A23" s="0" t="s">
        <v>103</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Assumptions!$B$20</f>
        <v>7</v>
      </c>
    </row>
    <row r="28" customFormat="false" ht="15" hidden="false" customHeight="false" outlineLevel="0" collapsed="false">
      <c r="A28" s="0" t="s">
        <v>108</v>
      </c>
      <c r="B28" s="4" t="n">
        <f aca="false">Assumptions!$B$21</f>
        <v>1.5</v>
      </c>
    </row>
    <row r="29" customFormat="false" ht="15" hidden="false" customHeight="false" outlineLevel="0" collapsed="false">
      <c r="A29" s="0" t="s">
        <v>109</v>
      </c>
      <c r="B29" s="4" t="n">
        <f aca="false">Assumptions!$B$22</f>
        <v>13</v>
      </c>
    </row>
    <row r="30" customFormat="false" ht="15" hidden="false" customHeight="false" outlineLevel="0" collapsed="false">
      <c r="A30" s="0" t="s">
        <v>130</v>
      </c>
      <c r="B30" s="0" t="n">
        <f aca="false">SUM(C21:L21)</f>
        <v>36689.684939685</v>
      </c>
    </row>
    <row r="31" customFormat="false" ht="15" hidden="false" customHeight="false" outlineLevel="0" collapsed="false">
      <c r="A31" s="0" t="s">
        <v>131</v>
      </c>
      <c r="B31" s="0" t="n">
        <f aca="false">L19</f>
        <v>5472.38630936015</v>
      </c>
    </row>
    <row r="32" customFormat="false" ht="15" hidden="false" customHeight="false" outlineLevel="0" collapsed="false">
      <c r="A32" s="0" t="s">
        <v>132</v>
      </c>
      <c r="B32" s="0" t="n">
        <f aca="false">IF(B27&gt;B28,B31*(1+B28/100)/((B27-B28)/100),B31*B29)</f>
        <v>100990.401890919</v>
      </c>
    </row>
    <row r="33" customFormat="false" ht="15" hidden="false" customHeight="false" outlineLevel="0" collapsed="false">
      <c r="A33" s="0" t="s">
        <v>133</v>
      </c>
      <c r="B33" s="0" t="n">
        <f aca="false">B31*B29</f>
        <v>71141.022021682</v>
      </c>
    </row>
    <row r="34" customFormat="false" ht="15" hidden="false" customHeight="false" outlineLevel="0" collapsed="false">
      <c r="A34" s="0" t="s">
        <v>134</v>
      </c>
      <c r="B34" s="0" t="n">
        <f aca="false">MAX(0,MIN(B32,B33))</f>
        <v>71141.022021682</v>
      </c>
    </row>
    <row r="35" customFormat="false" ht="15" hidden="false" customHeight="false" outlineLevel="0" collapsed="false">
      <c r="A35" s="0" t="s">
        <v>135</v>
      </c>
      <c r="B35" s="0" t="n">
        <f aca="false">B34/(1+B27/100)^L4</f>
        <v>36164.4881864624</v>
      </c>
    </row>
    <row r="36" customFormat="false" ht="15" hidden="false" customHeight="false" outlineLevel="0" collapsed="false">
      <c r="A36" s="0" t="s">
        <v>136</v>
      </c>
      <c r="B36" s="0" t="n">
        <f aca="false">B30+B35</f>
        <v>72854.1731261474</v>
      </c>
    </row>
    <row r="37" customFormat="false" ht="15" hidden="false" customHeight="false" outlineLevel="0" collapsed="false">
      <c r="A37" s="0" t="s">
        <v>137</v>
      </c>
      <c r="B37" s="0" t="n">
        <f aca="false">B36+Assumptions!$B$5-Assumptions!$B$4</f>
        <v>42629.1731261474</v>
      </c>
    </row>
    <row r="38" customFormat="false" ht="15" hidden="false" customHeight="false" outlineLevel="0" collapsed="false">
      <c r="A38" s="0" t="s">
        <v>138</v>
      </c>
      <c r="B38" s="0" t="n">
        <f aca="false">B37/Assumptions!$B$3*Assumptions!$B$10</f>
        <v>27.7897711565825</v>
      </c>
    </row>
    <row r="39" customFormat="false" ht="15" hidden="false" customHeight="false" outlineLevel="0" collapsed="false">
      <c r="A39" s="0" t="s">
        <v>139</v>
      </c>
      <c r="B39" s="4" t="n">
        <f aca="false">B38/Assumptions!$B$2-1</f>
        <v>-0.409105440004624</v>
      </c>
    </row>
    <row r="41" customFormat="false" ht="15" hidden="false" customHeight="false" outlineLevel="0" collapsed="false">
      <c r="A41" s="0" t="s">
        <v>140</v>
      </c>
      <c r="B41" s="0" t="n">
        <f aca="false">SUMPRODUCT(-C10:L10/(1+$B$27/100)^C4:L4)</f>
        <v>2774.51598089113</v>
      </c>
    </row>
    <row r="42" customFormat="false" ht="15" hidden="false" customHeight="false" outlineLevel="0" collapsed="false">
      <c r="A42" s="0" t="s">
        <v>141</v>
      </c>
      <c r="B42" s="0" t="n">
        <f aca="false">IF(B27&gt;B28,-L10*(1+B28/100)/((B27-B28)/100),-L10*20)/(1+B27/100)^L4</f>
        <v>3963.12241926484</v>
      </c>
    </row>
    <row r="43" customFormat="false" ht="15" hidden="false" customHeight="false" outlineLevel="0" collapsed="false">
      <c r="A43" s="0" t="s">
        <v>142</v>
      </c>
      <c r="B43" s="0" t="n">
        <f aca="false">(B37+B41+B42)/Assumptions!$B$3*Assumptions!$B$10</f>
        <v>32.1820081047886</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41144.2378074115</v>
      </c>
    </row>
    <row r="47" customFormat="false" ht="15" hidden="false" customHeight="false" outlineLevel="0" collapsed="false">
      <c r="A47" s="0" t="s">
        <v>144</v>
      </c>
      <c r="B47" s="0" t="n">
        <f aca="false">(SUMPRODUCT(C19:L19/(1+B45/100)^C4:L4)+B46/(1+B45/100)^L4+Assumptions!$B$5-Assumptions!$B$4)/Assumptions!$B$3*Assumptions!$B$10</f>
        <v>4.06920480652121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3.5</v>
      </c>
      <c r="D5" s="4" t="n">
        <f aca="false">Assumptions!D27</f>
        <v>5</v>
      </c>
      <c r="E5" s="4" t="n">
        <f aca="false">Assumptions!E27</f>
        <v>3</v>
      </c>
      <c r="F5" s="4" t="n">
        <f aca="false">Assumptions!F27</f>
        <v>1.5</v>
      </c>
      <c r="G5" s="4" t="n">
        <f aca="false">Assumptions!G27</f>
        <v>2</v>
      </c>
      <c r="H5" s="4" t="n">
        <f aca="false">Assumptions!H27</f>
        <v>4</v>
      </c>
      <c r="I5" s="4" t="n">
        <f aca="false">Assumptions!I27</f>
        <v>4.5</v>
      </c>
      <c r="J5" s="4" t="n">
        <f aca="false">Assumptions!J27</f>
        <v>4</v>
      </c>
      <c r="K5" s="4" t="n">
        <f aca="false">Assumptions!K27</f>
        <v>3.5</v>
      </c>
      <c r="L5" s="4" t="n">
        <f aca="false">Assumptions!L27</f>
        <v>3</v>
      </c>
    </row>
    <row r="6" customFormat="false" ht="15" hidden="false" customHeight="false" outlineLevel="0" collapsed="false">
      <c r="A6" s="0" t="s">
        <v>38</v>
      </c>
      <c r="B6" s="3" t="n">
        <v>32667</v>
      </c>
      <c r="C6" s="0" t="n">
        <f aca="false">B6*(1+C5/100)</f>
        <v>33810.345</v>
      </c>
      <c r="D6" s="0" t="n">
        <f aca="false">C6*(1+D5/100)</f>
        <v>35500.86225</v>
      </c>
      <c r="E6" s="0" t="n">
        <f aca="false">D6*(1+E5/100)</f>
        <v>36565.8881175</v>
      </c>
      <c r="F6" s="0" t="n">
        <f aca="false">E6*(1+F5/100)</f>
        <v>37114.3764392625</v>
      </c>
      <c r="G6" s="0" t="n">
        <f aca="false">F6*(1+G5/100)</f>
        <v>37856.6639680477</v>
      </c>
      <c r="H6" s="0" t="n">
        <f aca="false">G6*(1+H5/100)</f>
        <v>39370.9305267697</v>
      </c>
      <c r="I6" s="0" t="n">
        <f aca="false">H6*(1+I5/100)</f>
        <v>41142.6224004743</v>
      </c>
      <c r="J6" s="0" t="n">
        <f aca="false">I6*(1+J5/100)</f>
        <v>42788.3272964933</v>
      </c>
      <c r="K6" s="0" t="n">
        <f aca="false">J6*(1+K5/100)</f>
        <v>44285.9187518705</v>
      </c>
      <c r="L6" s="0" t="n">
        <f aca="false">K6*(1+L5/100)</f>
        <v>45614.4963144266</v>
      </c>
    </row>
    <row r="7" customFormat="false" ht="15" hidden="false" customHeight="false" outlineLevel="0" collapsed="false">
      <c r="A7" s="0" t="s">
        <v>101</v>
      </c>
      <c r="C7" s="4" t="n">
        <f aca="false">Assumptions!C28</f>
        <v>35.5</v>
      </c>
      <c r="D7" s="4" t="n">
        <f aca="false">Assumptions!D28</f>
        <v>36</v>
      </c>
      <c r="E7" s="4" t="n">
        <f aca="false">Assumptions!E28</f>
        <v>35.7</v>
      </c>
      <c r="F7" s="4" t="n">
        <f aca="false">Assumptions!F28</f>
        <v>35.2</v>
      </c>
      <c r="G7" s="4" t="n">
        <f aca="false">Assumptions!G28</f>
        <v>35.2</v>
      </c>
      <c r="H7" s="4" t="n">
        <f aca="false">Assumptions!H28</f>
        <v>35.7</v>
      </c>
      <c r="I7" s="4" t="n">
        <f aca="false">Assumptions!I28</f>
        <v>36</v>
      </c>
      <c r="J7" s="4" t="n">
        <f aca="false">Assumptions!J28</f>
        <v>36</v>
      </c>
      <c r="K7" s="4" t="n">
        <f aca="false">Assumptions!K28</f>
        <v>36</v>
      </c>
      <c r="L7" s="4" t="n">
        <f aca="false">Assumptions!L28</f>
        <v>36</v>
      </c>
    </row>
    <row r="8" customFormat="false" ht="15" hidden="false" customHeight="false" outlineLevel="0" collapsed="false">
      <c r="A8" s="0" t="s">
        <v>44</v>
      </c>
      <c r="C8" s="0" t="n">
        <f aca="false">C6*C7/100</f>
        <v>12002.672475</v>
      </c>
      <c r="D8" s="0" t="n">
        <f aca="false">D6*D7/100</f>
        <v>12780.31041</v>
      </c>
      <c r="E8" s="0" t="n">
        <f aca="false">E6*E7/100</f>
        <v>13054.0220579475</v>
      </c>
      <c r="F8" s="0" t="n">
        <f aca="false">F6*F7/100</f>
        <v>13064.2605066204</v>
      </c>
      <c r="G8" s="0" t="n">
        <f aca="false">G6*G7/100</f>
        <v>13325.5457167528</v>
      </c>
      <c r="H8" s="0" t="n">
        <f aca="false">H6*H7/100</f>
        <v>14055.4221980568</v>
      </c>
      <c r="I8" s="0" t="n">
        <f aca="false">I6*I7/100</f>
        <v>14811.3440641707</v>
      </c>
      <c r="J8" s="0" t="n">
        <f aca="false">J6*J7/100</f>
        <v>15403.7978267376</v>
      </c>
      <c r="K8" s="0" t="n">
        <f aca="false">K6*K7/100</f>
        <v>15942.9307506734</v>
      </c>
      <c r="L8" s="0" t="n">
        <f aca="false">L6*L7/100</f>
        <v>16421.2186731936</v>
      </c>
    </row>
    <row r="9" customFormat="false" ht="15" hidden="false" customHeight="false" outlineLevel="0" collapsed="false">
      <c r="A9" s="0" t="s">
        <v>102</v>
      </c>
      <c r="C9" s="4" t="n">
        <f aca="false">Assumptions!C29</f>
        <v>1.15</v>
      </c>
      <c r="D9" s="4" t="n">
        <f aca="false">Assumptions!D29</f>
        <v>1.15</v>
      </c>
      <c r="E9" s="4" t="n">
        <f aca="false">Assumptions!E29</f>
        <v>1.15</v>
      </c>
      <c r="F9" s="4" t="n">
        <f aca="false">Assumptions!F29</f>
        <v>1.15</v>
      </c>
      <c r="G9" s="4" t="n">
        <f aca="false">Assumptions!G29</f>
        <v>1.15</v>
      </c>
      <c r="H9" s="4" t="n">
        <f aca="false">Assumptions!H29</f>
        <v>1.15</v>
      </c>
      <c r="I9" s="4" t="n">
        <f aca="false">Assumptions!I29</f>
        <v>1.15</v>
      </c>
      <c r="J9" s="4" t="n">
        <f aca="false">Assumptions!J29</f>
        <v>1.15</v>
      </c>
      <c r="K9" s="4" t="n">
        <f aca="false">Assumptions!K29</f>
        <v>1.15</v>
      </c>
      <c r="L9" s="4" t="n">
        <f aca="false">Assumptions!L29</f>
        <v>1.15</v>
      </c>
    </row>
    <row r="10" customFormat="false" ht="15" hidden="false" customHeight="false" outlineLevel="0" collapsed="false">
      <c r="A10" s="0" t="s">
        <v>117</v>
      </c>
      <c r="C10" s="0" t="n">
        <f aca="false">-C6*C9/100</f>
        <v>-388.8189675</v>
      </c>
      <c r="D10" s="0" t="n">
        <f aca="false">-D6*D9/100</f>
        <v>-408.259915875</v>
      </c>
      <c r="E10" s="0" t="n">
        <f aca="false">-E6*E9/100</f>
        <v>-420.50771335125</v>
      </c>
      <c r="F10" s="0" t="n">
        <f aca="false">-F6*F9/100</f>
        <v>-426.815329051519</v>
      </c>
      <c r="G10" s="0" t="n">
        <f aca="false">-G6*G9/100</f>
        <v>-435.351635632549</v>
      </c>
      <c r="H10" s="0" t="n">
        <f aca="false">-H6*H9/100</f>
        <v>-452.765701057851</v>
      </c>
      <c r="I10" s="0" t="n">
        <f aca="false">-I6*I9/100</f>
        <v>-473.140157605454</v>
      </c>
      <c r="J10" s="0" t="n">
        <f aca="false">-J6*J9/100</f>
        <v>-492.065763909672</v>
      </c>
      <c r="K10" s="0" t="n">
        <f aca="false">-K6*K9/100</f>
        <v>-509.288065646511</v>
      </c>
      <c r="L10" s="0" t="n">
        <f aca="false">-L6*L9/100</f>
        <v>-524.566707615906</v>
      </c>
    </row>
    <row r="11" customFormat="false" ht="15" hidden="false" customHeight="false" outlineLevel="0" collapsed="false">
      <c r="A11" s="0" t="s">
        <v>118</v>
      </c>
      <c r="C11" s="0" t="n">
        <f aca="false">C8+C10+C24</f>
        <v>11613.8535075</v>
      </c>
      <c r="D11" s="0" t="n">
        <f aca="false">D8+D10+D24</f>
        <v>12372.050494125</v>
      </c>
      <c r="E11" s="0" t="n">
        <f aca="false">E8+E10+E24</f>
        <v>12633.5143445963</v>
      </c>
      <c r="F11" s="0" t="n">
        <f aca="false">F8+F10+F24</f>
        <v>12637.4451775689</v>
      </c>
      <c r="G11" s="0" t="n">
        <f aca="false">G8+G10+G24</f>
        <v>12890.1940811203</v>
      </c>
      <c r="H11" s="0" t="n">
        <f aca="false">H8+H10+H24</f>
        <v>13602.6564969989</v>
      </c>
      <c r="I11" s="0" t="n">
        <f aca="false">I8+I10+I24</f>
        <v>14338.2039065653</v>
      </c>
      <c r="J11" s="0" t="n">
        <f aca="false">J8+J10+J24</f>
        <v>14911.7320628279</v>
      </c>
      <c r="K11" s="0" t="n">
        <f aca="false">K8+K10+K24</f>
        <v>15433.6426850269</v>
      </c>
      <c r="L11" s="0" t="n">
        <f aca="false">L8+L10+L24</f>
        <v>15896.6519655777</v>
      </c>
    </row>
    <row r="12" customFormat="false" ht="15" hidden="false" customHeight="false" outlineLevel="0" collapsed="false">
      <c r="A12" s="0" t="s">
        <v>119</v>
      </c>
      <c r="C12" s="4" t="n">
        <f aca="false">-C6*Assumptions!C31/100</f>
        <v>-1555.27587</v>
      </c>
      <c r="D12" s="4" t="n">
        <f aca="false">-D6*Assumptions!D31/100</f>
        <v>-1633.0396635</v>
      </c>
      <c r="E12" s="4" t="n">
        <f aca="false">-E6*Assumptions!E31/100</f>
        <v>-1682.030853405</v>
      </c>
      <c r="F12" s="4" t="n">
        <f aca="false">-F6*Assumptions!F31/100</f>
        <v>-1707.26131620607</v>
      </c>
      <c r="G12" s="4" t="n">
        <f aca="false">-G6*Assumptions!G31/100</f>
        <v>-1741.4065425302</v>
      </c>
      <c r="H12" s="4" t="n">
        <f aca="false">-H6*Assumptions!H31/100</f>
        <v>-1811.0628042314</v>
      </c>
      <c r="I12" s="4" t="n">
        <f aca="false">-I6*Assumptions!I31/100</f>
        <v>-1892.56063042182</v>
      </c>
      <c r="J12" s="4" t="n">
        <f aca="false">-J6*Assumptions!J31/100</f>
        <v>-1968.26305563869</v>
      </c>
      <c r="K12" s="4" t="n">
        <f aca="false">-K6*Assumptions!K31/100</f>
        <v>-2037.15226258604</v>
      </c>
      <c r="L12" s="4" t="n">
        <f aca="false">-L6*Assumptions!L31/100</f>
        <v>-2098.26683046363</v>
      </c>
    </row>
    <row r="13" customFormat="false" ht="15" hidden="false" customHeight="false" outlineLevel="0" collapsed="false">
      <c r="A13" s="0" t="s">
        <v>120</v>
      </c>
      <c r="C13" s="0" t="n">
        <f aca="false">C11+C12</f>
        <v>10058.5776375</v>
      </c>
      <c r="D13" s="0" t="n">
        <f aca="false">D11+D12</f>
        <v>10739.010830625</v>
      </c>
      <c r="E13" s="0" t="n">
        <f aca="false">E11+E12</f>
        <v>10951.4834911913</v>
      </c>
      <c r="F13" s="0" t="n">
        <f aca="false">F11+F12</f>
        <v>10930.1838613628</v>
      </c>
      <c r="G13" s="0" t="n">
        <f aca="false">G11+G12</f>
        <v>11148.7875385901</v>
      </c>
      <c r="H13" s="0" t="n">
        <f aca="false">H11+H12</f>
        <v>11791.5936927675</v>
      </c>
      <c r="I13" s="0" t="n">
        <f aca="false">I11+I12</f>
        <v>12445.6432761435</v>
      </c>
      <c r="J13" s="0" t="n">
        <f aca="false">J11+J12</f>
        <v>12943.4690071892</v>
      </c>
      <c r="K13" s="0" t="n">
        <f aca="false">K11+K12</f>
        <v>13396.4904224408</v>
      </c>
      <c r="L13" s="0" t="n">
        <f aca="false">L11+L12</f>
        <v>13798.3851351141</v>
      </c>
    </row>
    <row r="14" customFormat="false" ht="15" hidden="false" customHeight="false" outlineLevel="0" collapsed="false">
      <c r="A14" s="0" t="s">
        <v>106</v>
      </c>
      <c r="C14" s="4" t="n">
        <f aca="false">Assumptions!C33</f>
        <v>22</v>
      </c>
      <c r="D14" s="4" t="n">
        <f aca="false">Assumptions!D33</f>
        <v>22</v>
      </c>
      <c r="E14" s="4" t="n">
        <f aca="false">Assumptions!E33</f>
        <v>22</v>
      </c>
      <c r="F14" s="4" t="n">
        <f aca="false">Assumptions!F33</f>
        <v>21.5</v>
      </c>
      <c r="G14" s="4" t="n">
        <f aca="false">Assumptions!G33</f>
        <v>21</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121</v>
      </c>
      <c r="C15" s="0" t="n">
        <f aca="false">C13-MAX(0,C13)*C14/100</f>
        <v>7845.69055725</v>
      </c>
      <c r="D15" s="0" t="n">
        <f aca="false">D13-MAX(0,D13)*D14/100</f>
        <v>8376.4284478875</v>
      </c>
      <c r="E15" s="0" t="n">
        <f aca="false">E13-MAX(0,E13)*E14/100</f>
        <v>8542.15712312918</v>
      </c>
      <c r="F15" s="0" t="n">
        <f aca="false">F13-MAX(0,F13)*F14/100</f>
        <v>8580.1943311698</v>
      </c>
      <c r="G15" s="0" t="n">
        <f aca="false">G13-MAX(0,G13)*G14/100</f>
        <v>8807.54215548615</v>
      </c>
      <c r="H15" s="0" t="n">
        <f aca="false">H13-MAX(0,H13)*H14/100</f>
        <v>9315.35901728634</v>
      </c>
      <c r="I15" s="0" t="n">
        <f aca="false">I13-MAX(0,I13)*I14/100</f>
        <v>9832.05818815334</v>
      </c>
      <c r="J15" s="0" t="n">
        <f aca="false">J13-MAX(0,J13)*J14/100</f>
        <v>10225.3405156795</v>
      </c>
      <c r="K15" s="0" t="n">
        <f aca="false">K13-MAX(0,K13)*K14/100</f>
        <v>10583.2274337283</v>
      </c>
      <c r="L15" s="0" t="n">
        <f aca="false">L13-MAX(0,L13)*L14/100</f>
        <v>10900.7242567401</v>
      </c>
    </row>
    <row r="16" customFormat="false" ht="15" hidden="false" customHeight="false" outlineLevel="0" collapsed="false">
      <c r="A16" s="0" t="s">
        <v>122</v>
      </c>
      <c r="C16" s="0" t="n">
        <f aca="false">-C12</f>
        <v>1555.27587</v>
      </c>
      <c r="D16" s="0" t="n">
        <f aca="false">-D12</f>
        <v>1633.0396635</v>
      </c>
      <c r="E16" s="0" t="n">
        <f aca="false">-E12</f>
        <v>1682.030853405</v>
      </c>
      <c r="F16" s="0" t="n">
        <f aca="false">-F12</f>
        <v>1707.26131620607</v>
      </c>
      <c r="G16" s="0" t="n">
        <f aca="false">-G12</f>
        <v>1741.4065425302</v>
      </c>
      <c r="H16" s="0" t="n">
        <f aca="false">-H12</f>
        <v>1811.0628042314</v>
      </c>
      <c r="I16" s="0" t="n">
        <f aca="false">-I12</f>
        <v>1892.56063042182</v>
      </c>
      <c r="J16" s="0" t="n">
        <f aca="false">-J12</f>
        <v>1968.26305563869</v>
      </c>
      <c r="K16" s="0" t="n">
        <f aca="false">-K12</f>
        <v>2037.15226258604</v>
      </c>
      <c r="L16" s="0" t="n">
        <f aca="false">-L12</f>
        <v>2098.26683046363</v>
      </c>
    </row>
    <row r="17" customFormat="false" ht="15" hidden="false" customHeight="false" outlineLevel="0" collapsed="false">
      <c r="A17" s="0" t="s">
        <v>123</v>
      </c>
      <c r="C17" s="4" t="n">
        <f aca="false">-C6*Assumptions!C32/100</f>
        <v>-3482.465535</v>
      </c>
      <c r="D17" s="4" t="n">
        <f aca="false">-D6*Assumptions!D32/100</f>
        <v>-3656.58881175</v>
      </c>
      <c r="E17" s="4" t="n">
        <f aca="false">-E6*Assumptions!E32/100</f>
        <v>-3766.2864761025</v>
      </c>
      <c r="F17" s="4" t="n">
        <f aca="false">-F6*Assumptions!F32/100</f>
        <v>-3822.78077324404</v>
      </c>
      <c r="G17" s="4" t="n">
        <f aca="false">-G6*Assumptions!G32/100</f>
        <v>-3899.23638870892</v>
      </c>
      <c r="H17" s="4" t="n">
        <f aca="false">-H6*Assumptions!H32/100</f>
        <v>-4055.20584425727</v>
      </c>
      <c r="I17" s="4" t="n">
        <f aca="false">-I6*Assumptions!I32/100</f>
        <v>-4237.69010724885</v>
      </c>
      <c r="J17" s="4" t="n">
        <f aca="false">-J6*Assumptions!J32/100</f>
        <v>-4407.19771153881</v>
      </c>
      <c r="K17" s="4" t="n">
        <f aca="false">-K6*Assumptions!K32/100</f>
        <v>-4561.44963144266</v>
      </c>
      <c r="L17" s="4" t="n">
        <f aca="false">-L6*Assumptions!L32/100</f>
        <v>-4698.29312038594</v>
      </c>
    </row>
    <row r="18" customFormat="false" ht="15" hidden="false" customHeight="false" outlineLevel="0" collapsed="false">
      <c r="A18" s="0" t="s">
        <v>124</v>
      </c>
      <c r="C18" s="4" t="n">
        <f aca="false">(C6-B6)*Assumptions!$B$37/100</f>
        <v>-171.501749999999</v>
      </c>
      <c r="D18" s="4" t="n">
        <f aca="false">(D6-C6)*Assumptions!$B$37/100</f>
        <v>-253.577587500001</v>
      </c>
      <c r="E18" s="4" t="n">
        <f aca="false">(E6-D6)*Assumptions!$B$37/100</f>
        <v>-159.753880125</v>
      </c>
      <c r="F18" s="4" t="n">
        <f aca="false">(F6-E6)*Assumptions!$B$37/100</f>
        <v>-82.2732482643744</v>
      </c>
      <c r="G18" s="4" t="n">
        <f aca="false">(G6-F6)*Assumptions!$B$37/100</f>
        <v>-111.343129317788</v>
      </c>
      <c r="H18" s="4" t="n">
        <f aca="false">(H6-G6)*Assumptions!$B$37/100</f>
        <v>-227.139983808286</v>
      </c>
      <c r="I18" s="4" t="n">
        <f aca="false">(I6-H6)*Assumptions!$B$37/100</f>
        <v>-265.753781055694</v>
      </c>
      <c r="J18" s="4" t="n">
        <f aca="false">(J6-I6)*Assumptions!$B$37/100</f>
        <v>-246.855734402846</v>
      </c>
      <c r="K18" s="4" t="n">
        <f aca="false">(K6-J6)*Assumptions!$B$37/100</f>
        <v>-224.638718306589</v>
      </c>
      <c r="L18" s="4" t="n">
        <f aca="false">(L6-K6)*Assumptions!$B$37/100</f>
        <v>-199.286634383417</v>
      </c>
    </row>
    <row r="19" customFormat="false" ht="15" hidden="false" customHeight="false" outlineLevel="0" collapsed="false">
      <c r="A19" s="0" t="s">
        <v>125</v>
      </c>
      <c r="C19" s="0" t="n">
        <f aca="false">C15+C16+C17+C18</f>
        <v>5746.99914225</v>
      </c>
      <c r="D19" s="0" t="n">
        <f aca="false">D15+D16+D17+D18</f>
        <v>6099.3017121375</v>
      </c>
      <c r="E19" s="0" t="n">
        <f aca="false">E15+E16+E17+E18</f>
        <v>6298.14762030668</v>
      </c>
      <c r="F19" s="0" t="n">
        <f aca="false">F15+F16+F17+F18</f>
        <v>6382.40162586747</v>
      </c>
      <c r="G19" s="0" t="n">
        <f aca="false">G15+G16+G17+G18</f>
        <v>6538.36917998964</v>
      </c>
      <c r="H19" s="0" t="n">
        <f aca="false">H15+H16+H17+H18</f>
        <v>6844.07599345218</v>
      </c>
      <c r="I19" s="0" t="n">
        <f aca="false">I15+I16+I17+I18</f>
        <v>7221.17493027061</v>
      </c>
      <c r="J19" s="0" t="n">
        <f aca="false">J15+J16+J17+J18</f>
        <v>7539.55012537652</v>
      </c>
      <c r="K19" s="0" t="n">
        <f aca="false">K15+K16+K17+K18</f>
        <v>7834.29134656505</v>
      </c>
      <c r="L19" s="0" t="n">
        <f aca="false">L15+L16+L17+L18</f>
        <v>8101.41133243437</v>
      </c>
    </row>
    <row r="20" customFormat="false" ht="15" hidden="false" customHeight="false" outlineLevel="0" collapsed="false">
      <c r="A20" s="0" t="s">
        <v>126</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127</v>
      </c>
      <c r="C21" s="0" t="n">
        <f aca="false">C19*C20</f>
        <v>5371.02723574766</v>
      </c>
      <c r="D21" s="0" t="n">
        <f aca="false">D19*D20</f>
        <v>5327.366330804</v>
      </c>
      <c r="E21" s="0" t="n">
        <f aca="false">E19*E20</f>
        <v>5141.16453080151</v>
      </c>
      <c r="F21" s="0" t="n">
        <f aca="false">F19*F20</f>
        <v>4869.10364173863</v>
      </c>
      <c r="G21" s="0" t="n">
        <f aca="false">G19*G20</f>
        <v>4661.76686169458</v>
      </c>
      <c r="H21" s="0" t="n">
        <f aca="false">H19*H20</f>
        <v>4560.49681744613</v>
      </c>
      <c r="I21" s="0" t="n">
        <f aca="false">I19*I20</f>
        <v>4496.9848239295</v>
      </c>
      <c r="J21" s="0" t="n">
        <f aca="false">J19*J20</f>
        <v>4388.08681729361</v>
      </c>
      <c r="K21" s="0" t="n">
        <f aca="false">K19*K20</f>
        <v>4261.33541263173</v>
      </c>
      <c r="L21" s="0" t="n">
        <f aca="false">L19*L20</f>
        <v>4118.34671613519</v>
      </c>
    </row>
    <row r="23" customFormat="false" ht="15" hidden="false" customHeight="false" outlineLevel="0" collapsed="false">
      <c r="A23" s="0" t="s">
        <v>103</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Assumptions!$B$34</f>
        <v>7</v>
      </c>
    </row>
    <row r="28" customFormat="false" ht="15" hidden="false" customHeight="false" outlineLevel="0" collapsed="false">
      <c r="A28" s="0" t="s">
        <v>108</v>
      </c>
      <c r="B28" s="4" t="n">
        <f aca="false">Assumptions!$B$35</f>
        <v>2</v>
      </c>
    </row>
    <row r="29" customFormat="false" ht="15" hidden="false" customHeight="false" outlineLevel="0" collapsed="false">
      <c r="A29" s="0" t="s">
        <v>109</v>
      </c>
      <c r="B29" s="4" t="n">
        <f aca="false">Assumptions!$B$36</f>
        <v>15</v>
      </c>
    </row>
    <row r="30" customFormat="false" ht="15" hidden="false" customHeight="false" outlineLevel="0" collapsed="false">
      <c r="A30" s="0" t="s">
        <v>130</v>
      </c>
      <c r="B30" s="0" t="n">
        <f aca="false">SUM(C21:L21)</f>
        <v>47195.6791882225</v>
      </c>
    </row>
    <row r="31" customFormat="false" ht="15" hidden="false" customHeight="false" outlineLevel="0" collapsed="false">
      <c r="A31" s="0" t="s">
        <v>131</v>
      </c>
      <c r="B31" s="0" t="n">
        <f aca="false">L19</f>
        <v>8101.41133243437</v>
      </c>
    </row>
    <row r="32" customFormat="false" ht="15" hidden="false" customHeight="false" outlineLevel="0" collapsed="false">
      <c r="A32" s="0" t="s">
        <v>132</v>
      </c>
      <c r="B32" s="0" t="n">
        <f aca="false">IF(B27&gt;B28,B31*(1+B28/100)/((B27-B28)/100),B31*B29)</f>
        <v>165268.791181661</v>
      </c>
    </row>
    <row r="33" customFormat="false" ht="15" hidden="false" customHeight="false" outlineLevel="0" collapsed="false">
      <c r="A33" s="0" t="s">
        <v>133</v>
      </c>
      <c r="B33" s="0" t="n">
        <f aca="false">B31*B29</f>
        <v>121521.169986516</v>
      </c>
    </row>
    <row r="34" customFormat="false" ht="15" hidden="false" customHeight="false" outlineLevel="0" collapsed="false">
      <c r="A34" s="0" t="s">
        <v>134</v>
      </c>
      <c r="B34" s="0" t="n">
        <f aca="false">MAX(0,MIN(B32,B33))</f>
        <v>121521.169986516</v>
      </c>
    </row>
    <row r="35" customFormat="false" ht="15" hidden="false" customHeight="false" outlineLevel="0" collapsed="false">
      <c r="A35" s="0" t="s">
        <v>135</v>
      </c>
      <c r="B35" s="0" t="n">
        <f aca="false">B34/(1+B27/100)^L4</f>
        <v>61775.2007420278</v>
      </c>
    </row>
    <row r="36" customFormat="false" ht="15" hidden="false" customHeight="false" outlineLevel="0" collapsed="false">
      <c r="A36" s="0" t="s">
        <v>136</v>
      </c>
      <c r="B36" s="0" t="n">
        <f aca="false">B30+B35</f>
        <v>108970.87993025</v>
      </c>
    </row>
    <row r="37" customFormat="false" ht="15" hidden="false" customHeight="false" outlineLevel="0" collapsed="false">
      <c r="A37" s="0" t="s">
        <v>137</v>
      </c>
      <c r="B37" s="0" t="n">
        <f aca="false">B36+Assumptions!$B$5-Assumptions!$B$4</f>
        <v>78745.8799302504</v>
      </c>
    </row>
    <row r="38" customFormat="false" ht="15" hidden="false" customHeight="false" outlineLevel="0" collapsed="false">
      <c r="A38" s="0" t="s">
        <v>138</v>
      </c>
      <c r="B38" s="0" t="n">
        <f aca="false">B37/Assumptions!$B$3*Assumptions!$B$10</f>
        <v>51.3340940559584</v>
      </c>
    </row>
    <row r="39" customFormat="false" ht="15" hidden="false" customHeight="false" outlineLevel="0" collapsed="false">
      <c r="A39" s="0" t="s">
        <v>139</v>
      </c>
      <c r="B39" s="4" t="n">
        <f aca="false">B38/Assumptions!$B$2-1</f>
        <v>0.0915180534968829</v>
      </c>
    </row>
    <row r="41" customFormat="false" ht="15" hidden="false" customHeight="false" outlineLevel="0" collapsed="false">
      <c r="A41" s="0" t="s">
        <v>140</v>
      </c>
      <c r="B41" s="0" t="n">
        <f aca="false">SUMPRODUCT(-C10:L10/(1+$B$27/100)^C4:L4)</f>
        <v>3125.66050622145</v>
      </c>
    </row>
    <row r="42" customFormat="false" ht="15" hidden="false" customHeight="false" outlineLevel="0" collapsed="false">
      <c r="A42" s="0" t="s">
        <v>141</v>
      </c>
      <c r="B42" s="0" t="n">
        <f aca="false">IF(B27&gt;B28,-L10*(1+B28/100)/((B27-B28)/100),-L10*20)/(1+B27/100)^L4</f>
        <v>5439.9275356773</v>
      </c>
    </row>
    <row r="43" customFormat="false" ht="15" hidden="false" customHeight="false" outlineLevel="0" collapsed="false">
      <c r="A43" s="0" t="s">
        <v>142</v>
      </c>
      <c r="B43" s="0" t="n">
        <f aca="false">(B37+B41+B42)/Assumptions!$B$3*Assumptions!$B$10</f>
        <v>56.9179633653991</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63564.9196852543</v>
      </c>
    </row>
    <row r="47" customFormat="false" ht="15" hidden="false" customHeight="false" outlineLevel="0" collapsed="false">
      <c r="A47" s="0" t="s">
        <v>144</v>
      </c>
      <c r="B47" s="0" t="n">
        <f aca="false">(SUMPRODUCT(C19:L19/(1+B45/100)^C4:L4)+B46/(1+B45/100)^L4+Assumptions!$B$5-Assumptions!$B$4)/Assumptions!$B$3*Assumptions!$B$10</f>
        <v>12.0636250154834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4</v>
      </c>
      <c r="D5" s="4" t="n">
        <f aca="false">Assumptions!D41</f>
        <v>6.5</v>
      </c>
      <c r="E5" s="4" t="n">
        <f aca="false">Assumptions!E41</f>
        <v>5</v>
      </c>
      <c r="F5" s="4" t="n">
        <f aca="false">Assumptions!F41</f>
        <v>3</v>
      </c>
      <c r="G5" s="4" t="n">
        <f aca="false">Assumptions!G41</f>
        <v>4</v>
      </c>
      <c r="H5" s="4" t="n">
        <f aca="false">Assumptions!H41</f>
        <v>6</v>
      </c>
      <c r="I5" s="4" t="n">
        <f aca="false">Assumptions!I41</f>
        <v>6</v>
      </c>
      <c r="J5" s="4" t="n">
        <f aca="false">Assumptions!J41</f>
        <v>5</v>
      </c>
      <c r="K5" s="4" t="n">
        <f aca="false">Assumptions!K41</f>
        <v>4</v>
      </c>
      <c r="L5" s="4" t="n">
        <f aca="false">Assumptions!L41</f>
        <v>3.5</v>
      </c>
    </row>
    <row r="6" customFormat="false" ht="15" hidden="false" customHeight="false" outlineLevel="0" collapsed="false">
      <c r="A6" s="0" t="s">
        <v>38</v>
      </c>
      <c r="B6" s="3" t="n">
        <v>32667</v>
      </c>
      <c r="C6" s="0" t="n">
        <f aca="false">B6*(1+C5/100)</f>
        <v>33973.68</v>
      </c>
      <c r="D6" s="0" t="n">
        <f aca="false">C6*(1+D5/100)</f>
        <v>36181.9692</v>
      </c>
      <c r="E6" s="0" t="n">
        <f aca="false">D6*(1+E5/100)</f>
        <v>37991.06766</v>
      </c>
      <c r="F6" s="0" t="n">
        <f aca="false">E6*(1+F5/100)</f>
        <v>39130.7996898</v>
      </c>
      <c r="G6" s="0" t="n">
        <f aca="false">F6*(1+G5/100)</f>
        <v>40696.031677392</v>
      </c>
      <c r="H6" s="0" t="n">
        <f aca="false">G6*(1+H5/100)</f>
        <v>43137.7935780355</v>
      </c>
      <c r="I6" s="0" t="n">
        <f aca="false">H6*(1+I5/100)</f>
        <v>45726.0611927177</v>
      </c>
      <c r="J6" s="0" t="n">
        <f aca="false">I6*(1+J5/100)</f>
        <v>48012.3642523535</v>
      </c>
      <c r="K6" s="0" t="n">
        <f aca="false">J6*(1+K5/100)</f>
        <v>49932.8588224477</v>
      </c>
      <c r="L6" s="0" t="n">
        <f aca="false">K6*(1+L5/100)</f>
        <v>51680.5088812334</v>
      </c>
    </row>
    <row r="7" customFormat="false" ht="15" hidden="false" customHeight="false" outlineLevel="0" collapsed="false">
      <c r="A7" s="0" t="s">
        <v>101</v>
      </c>
      <c r="C7" s="4" t="n">
        <f aca="false">Assumptions!C42</f>
        <v>36</v>
      </c>
      <c r="D7" s="4" t="n">
        <f aca="false">Assumptions!D42</f>
        <v>36.8</v>
      </c>
      <c r="E7" s="4" t="n">
        <f aca="false">Assumptions!E42</f>
        <v>37</v>
      </c>
      <c r="F7" s="4" t="n">
        <f aca="false">Assumptions!F42</f>
        <v>37</v>
      </c>
      <c r="G7" s="4" t="n">
        <f aca="false">Assumptions!G42</f>
        <v>37.3</v>
      </c>
      <c r="H7" s="4" t="n">
        <f aca="false">Assumptions!H42</f>
        <v>37.8</v>
      </c>
      <c r="I7" s="4" t="n">
        <f aca="false">Assumptions!I42</f>
        <v>38.2</v>
      </c>
      <c r="J7" s="4" t="n">
        <f aca="false">Assumptions!J42</f>
        <v>38.5</v>
      </c>
      <c r="K7" s="4" t="n">
        <f aca="false">Assumptions!K42</f>
        <v>38.5</v>
      </c>
      <c r="L7" s="4" t="n">
        <f aca="false">Assumptions!L42</f>
        <v>38.5</v>
      </c>
    </row>
    <row r="8" customFormat="false" ht="15" hidden="false" customHeight="false" outlineLevel="0" collapsed="false">
      <c r="A8" s="0" t="s">
        <v>44</v>
      </c>
      <c r="C8" s="0" t="n">
        <f aca="false">C6*C7/100</f>
        <v>12230.5248</v>
      </c>
      <c r="D8" s="0" t="n">
        <f aca="false">D6*D7/100</f>
        <v>13314.9646656</v>
      </c>
      <c r="E8" s="0" t="n">
        <f aca="false">E6*E7/100</f>
        <v>14056.6950342</v>
      </c>
      <c r="F8" s="0" t="n">
        <f aca="false">F6*F7/100</f>
        <v>14478.395885226</v>
      </c>
      <c r="G8" s="0" t="n">
        <f aca="false">G6*G7/100</f>
        <v>15179.6198156672</v>
      </c>
      <c r="H8" s="0" t="n">
        <f aca="false">H6*H7/100</f>
        <v>16306.0859724974</v>
      </c>
      <c r="I8" s="0" t="n">
        <f aca="false">I6*I7/100</f>
        <v>17467.3553756181</v>
      </c>
      <c r="J8" s="0" t="n">
        <f aca="false">J6*J7/100</f>
        <v>18484.7602371561</v>
      </c>
      <c r="K8" s="0" t="n">
        <f aca="false">K6*K7/100</f>
        <v>19224.1506466424</v>
      </c>
      <c r="L8" s="0" t="n">
        <f aca="false">L6*L7/100</f>
        <v>19896.9959192748</v>
      </c>
    </row>
    <row r="9" customFormat="false" ht="15" hidden="false" customHeight="false" outlineLevel="0" collapsed="false">
      <c r="A9" s="0" t="s">
        <v>102</v>
      </c>
      <c r="C9" s="4" t="n">
        <f aca="false">Assumptions!C43</f>
        <v>1.15</v>
      </c>
      <c r="D9" s="4" t="n">
        <f aca="false">Assumptions!D43</f>
        <v>1.15</v>
      </c>
      <c r="E9" s="4" t="n">
        <f aca="false">Assumptions!E43</f>
        <v>1.15</v>
      </c>
      <c r="F9" s="4" t="n">
        <f aca="false">Assumptions!F43</f>
        <v>1.15</v>
      </c>
      <c r="G9" s="4" t="n">
        <f aca="false">Assumptions!G43</f>
        <v>1.15</v>
      </c>
      <c r="H9" s="4" t="n">
        <f aca="false">Assumptions!H43</f>
        <v>1.15</v>
      </c>
      <c r="I9" s="4" t="n">
        <f aca="false">Assumptions!I43</f>
        <v>1.15</v>
      </c>
      <c r="J9" s="4" t="n">
        <f aca="false">Assumptions!J43</f>
        <v>1.15</v>
      </c>
      <c r="K9" s="4" t="n">
        <f aca="false">Assumptions!K43</f>
        <v>1.15</v>
      </c>
      <c r="L9" s="4" t="n">
        <f aca="false">Assumptions!L43</f>
        <v>1.15</v>
      </c>
    </row>
    <row r="10" customFormat="false" ht="15" hidden="false" customHeight="false" outlineLevel="0" collapsed="false">
      <c r="A10" s="0" t="s">
        <v>117</v>
      </c>
      <c r="C10" s="0" t="n">
        <f aca="false">-C6*C9/100</f>
        <v>-390.69732</v>
      </c>
      <c r="D10" s="0" t="n">
        <f aca="false">-D6*D9/100</f>
        <v>-416.0926458</v>
      </c>
      <c r="E10" s="0" t="n">
        <f aca="false">-E6*E9/100</f>
        <v>-436.89727809</v>
      </c>
      <c r="F10" s="0" t="n">
        <f aca="false">-F6*F9/100</f>
        <v>-450.0041964327</v>
      </c>
      <c r="G10" s="0" t="n">
        <f aca="false">-G6*G9/100</f>
        <v>-468.004364290008</v>
      </c>
      <c r="H10" s="0" t="n">
        <f aca="false">-H6*H9/100</f>
        <v>-496.084626147408</v>
      </c>
      <c r="I10" s="0" t="n">
        <f aca="false">-I6*I9/100</f>
        <v>-525.849703716253</v>
      </c>
      <c r="J10" s="0" t="n">
        <f aca="false">-J6*J9/100</f>
        <v>-552.142188902066</v>
      </c>
      <c r="K10" s="0" t="n">
        <f aca="false">-K6*K9/100</f>
        <v>-574.227876458148</v>
      </c>
      <c r="L10" s="0" t="n">
        <f aca="false">-L6*L9/100</f>
        <v>-594.325852134184</v>
      </c>
    </row>
    <row r="11" customFormat="false" ht="15" hidden="false" customHeight="false" outlineLevel="0" collapsed="false">
      <c r="A11" s="0" t="s">
        <v>118</v>
      </c>
      <c r="C11" s="0" t="n">
        <f aca="false">C8+C10+C24</f>
        <v>11839.82748</v>
      </c>
      <c r="D11" s="0" t="n">
        <f aca="false">D8+D10+D24</f>
        <v>12898.8720198</v>
      </c>
      <c r="E11" s="0" t="n">
        <f aca="false">E8+E10+E24</f>
        <v>13619.79775611</v>
      </c>
      <c r="F11" s="0" t="n">
        <f aca="false">F8+F10+F24</f>
        <v>14028.3916887933</v>
      </c>
      <c r="G11" s="0" t="n">
        <f aca="false">G8+G10+G24</f>
        <v>14711.6154513772</v>
      </c>
      <c r="H11" s="0" t="n">
        <f aca="false">H8+H10+H24</f>
        <v>15810.00134635</v>
      </c>
      <c r="I11" s="0" t="n">
        <f aca="false">I8+I10+I24</f>
        <v>16941.5056719019</v>
      </c>
      <c r="J11" s="0" t="n">
        <f aca="false">J8+J10+J24</f>
        <v>17932.618048254</v>
      </c>
      <c r="K11" s="0" t="n">
        <f aca="false">K8+K10+K24</f>
        <v>18649.9227701842</v>
      </c>
      <c r="L11" s="0" t="n">
        <f aca="false">L8+L10+L24</f>
        <v>19302.6700671407</v>
      </c>
    </row>
    <row r="12" customFormat="false" ht="15" hidden="false" customHeight="false" outlineLevel="0" collapsed="false">
      <c r="A12" s="0" t="s">
        <v>119</v>
      </c>
      <c r="C12" s="4" t="n">
        <f aca="false">-C6*Assumptions!C45/100</f>
        <v>-1562.78928</v>
      </c>
      <c r="D12" s="4" t="n">
        <f aca="false">-D6*Assumptions!D45/100</f>
        <v>-1664.3705832</v>
      </c>
      <c r="E12" s="4" t="n">
        <f aca="false">-E6*Assumptions!E45/100</f>
        <v>-1747.58911236</v>
      </c>
      <c r="F12" s="4" t="n">
        <f aca="false">-F6*Assumptions!F45/100</f>
        <v>-1800.0167857308</v>
      </c>
      <c r="G12" s="4" t="n">
        <f aca="false">-G6*Assumptions!G45/100</f>
        <v>-1872.01745716003</v>
      </c>
      <c r="H12" s="4" t="n">
        <f aca="false">-H6*Assumptions!H45/100</f>
        <v>-1984.33850458963</v>
      </c>
      <c r="I12" s="4" t="n">
        <f aca="false">-I6*Assumptions!I45/100</f>
        <v>-2103.39881486501</v>
      </c>
      <c r="J12" s="4" t="n">
        <f aca="false">-J6*Assumptions!J45/100</f>
        <v>-2208.56875560826</v>
      </c>
      <c r="K12" s="4" t="n">
        <f aca="false">-K6*Assumptions!K45/100</f>
        <v>-2296.91150583259</v>
      </c>
      <c r="L12" s="4" t="n">
        <f aca="false">-L6*Assumptions!L45/100</f>
        <v>-2377.30340853673</v>
      </c>
    </row>
    <row r="13" customFormat="false" ht="15" hidden="false" customHeight="false" outlineLevel="0" collapsed="false">
      <c r="A13" s="0" t="s">
        <v>120</v>
      </c>
      <c r="C13" s="0" t="n">
        <f aca="false">C11+C12</f>
        <v>10277.0382</v>
      </c>
      <c r="D13" s="0" t="n">
        <f aca="false">D11+D12</f>
        <v>11234.5014366</v>
      </c>
      <c r="E13" s="0" t="n">
        <f aca="false">E11+E12</f>
        <v>11872.20864375</v>
      </c>
      <c r="F13" s="0" t="n">
        <f aca="false">F11+F12</f>
        <v>12228.3749030625</v>
      </c>
      <c r="G13" s="0" t="n">
        <f aca="false">G11+G12</f>
        <v>12839.5979942172</v>
      </c>
      <c r="H13" s="0" t="n">
        <f aca="false">H11+H12</f>
        <v>13825.6628417604</v>
      </c>
      <c r="I13" s="0" t="n">
        <f aca="false">I11+I12</f>
        <v>14838.1068570369</v>
      </c>
      <c r="J13" s="0" t="n">
        <f aca="false">J11+J12</f>
        <v>15724.0492926458</v>
      </c>
      <c r="K13" s="0" t="n">
        <f aca="false">K11+K12</f>
        <v>16353.0112643516</v>
      </c>
      <c r="L13" s="0" t="n">
        <f aca="false">L11+L12</f>
        <v>16925.3666586039</v>
      </c>
    </row>
    <row r="14" customFormat="false" ht="15" hidden="false" customHeight="false" outlineLevel="0" collapsed="false">
      <c r="A14" s="0" t="s">
        <v>106</v>
      </c>
      <c r="C14" s="4" t="n">
        <f aca="false">Assumptions!C47</f>
        <v>21.5</v>
      </c>
      <c r="D14" s="4" t="n">
        <f aca="false">Assumptions!D47</f>
        <v>21.5</v>
      </c>
      <c r="E14" s="4" t="n">
        <f aca="false">Assumptions!E47</f>
        <v>21.5</v>
      </c>
      <c r="F14" s="4" t="n">
        <f aca="false">Assumptions!F47</f>
        <v>21</v>
      </c>
      <c r="G14" s="4" t="n">
        <f aca="false">Assumptions!G47</f>
        <v>20.5</v>
      </c>
      <c r="H14" s="4" t="n">
        <f aca="false">Assumptions!H47</f>
        <v>20.5</v>
      </c>
      <c r="I14" s="4" t="n">
        <f aca="false">Assumptions!I47</f>
        <v>20.5</v>
      </c>
      <c r="J14" s="4" t="n">
        <f aca="false">Assumptions!J47</f>
        <v>20.5</v>
      </c>
      <c r="K14" s="4" t="n">
        <f aca="false">Assumptions!K47</f>
        <v>20.5</v>
      </c>
      <c r="L14" s="4" t="n">
        <f aca="false">Assumptions!L47</f>
        <v>20.5</v>
      </c>
    </row>
    <row r="15" customFormat="false" ht="15" hidden="false" customHeight="false" outlineLevel="0" collapsed="false">
      <c r="A15" s="0" t="s">
        <v>121</v>
      </c>
      <c r="C15" s="0" t="n">
        <f aca="false">C13-MAX(0,C13)*C14/100</f>
        <v>8067.474987</v>
      </c>
      <c r="D15" s="0" t="n">
        <f aca="false">D13-MAX(0,D13)*D14/100</f>
        <v>8819.083627731</v>
      </c>
      <c r="E15" s="0" t="n">
        <f aca="false">E13-MAX(0,E13)*E14/100</f>
        <v>9319.68378534375</v>
      </c>
      <c r="F15" s="0" t="n">
        <f aca="false">F13-MAX(0,F13)*F14/100</f>
        <v>9660.41617341938</v>
      </c>
      <c r="G15" s="0" t="n">
        <f aca="false">G13-MAX(0,G13)*G14/100</f>
        <v>10207.4804054027</v>
      </c>
      <c r="H15" s="0" t="n">
        <f aca="false">H13-MAX(0,H13)*H14/100</f>
        <v>10991.4019591995</v>
      </c>
      <c r="I15" s="0" t="n">
        <f aca="false">I13-MAX(0,I13)*I14/100</f>
        <v>11796.2949513443</v>
      </c>
      <c r="J15" s="0" t="n">
        <f aca="false">J13-MAX(0,J13)*J14/100</f>
        <v>12500.6191876534</v>
      </c>
      <c r="K15" s="0" t="n">
        <f aca="false">K13-MAX(0,K13)*K14/100</f>
        <v>13000.6439551595</v>
      </c>
      <c r="L15" s="0" t="n">
        <f aca="false">L13-MAX(0,L13)*L14/100</f>
        <v>13455.6664935901</v>
      </c>
    </row>
    <row r="16" customFormat="false" ht="15" hidden="false" customHeight="false" outlineLevel="0" collapsed="false">
      <c r="A16" s="0" t="s">
        <v>122</v>
      </c>
      <c r="C16" s="0" t="n">
        <f aca="false">-C12</f>
        <v>1562.78928</v>
      </c>
      <c r="D16" s="0" t="n">
        <f aca="false">-D12</f>
        <v>1664.3705832</v>
      </c>
      <c r="E16" s="0" t="n">
        <f aca="false">-E12</f>
        <v>1747.58911236</v>
      </c>
      <c r="F16" s="0" t="n">
        <f aca="false">-F12</f>
        <v>1800.0167857308</v>
      </c>
      <c r="G16" s="0" t="n">
        <f aca="false">-G12</f>
        <v>1872.01745716003</v>
      </c>
      <c r="H16" s="0" t="n">
        <f aca="false">-H12</f>
        <v>1984.33850458963</v>
      </c>
      <c r="I16" s="0" t="n">
        <f aca="false">-I12</f>
        <v>2103.39881486501</v>
      </c>
      <c r="J16" s="0" t="n">
        <f aca="false">-J12</f>
        <v>2208.56875560826</v>
      </c>
      <c r="K16" s="0" t="n">
        <f aca="false">-K12</f>
        <v>2296.91150583259</v>
      </c>
      <c r="L16" s="0" t="n">
        <f aca="false">-L12</f>
        <v>2377.30340853673</v>
      </c>
    </row>
    <row r="17" customFormat="false" ht="15" hidden="false" customHeight="false" outlineLevel="0" collapsed="false">
      <c r="A17" s="0" t="s">
        <v>123</v>
      </c>
      <c r="C17" s="4" t="n">
        <f aca="false">-C6*Assumptions!C46/100</f>
        <v>-3397.368</v>
      </c>
      <c r="D17" s="4" t="n">
        <f aca="false">-D6*Assumptions!D46/100</f>
        <v>-3618.19692</v>
      </c>
      <c r="E17" s="4" t="n">
        <f aca="false">-E6*Assumptions!E46/100</f>
        <v>-3799.106766</v>
      </c>
      <c r="F17" s="4" t="n">
        <f aca="false">-F6*Assumptions!F46/100</f>
        <v>-3913.07996898</v>
      </c>
      <c r="G17" s="4" t="n">
        <f aca="false">-G6*Assumptions!G46/100</f>
        <v>-4069.6031677392</v>
      </c>
      <c r="H17" s="4" t="n">
        <f aca="false">-H6*Assumptions!H46/100</f>
        <v>-4313.77935780355</v>
      </c>
      <c r="I17" s="4" t="n">
        <f aca="false">-I6*Assumptions!I46/100</f>
        <v>-4572.60611927176</v>
      </c>
      <c r="J17" s="4" t="n">
        <f aca="false">-J6*Assumptions!J46/100</f>
        <v>-4801.23642523536</v>
      </c>
      <c r="K17" s="4" t="n">
        <f aca="false">-K6*Assumptions!K46/100</f>
        <v>-4993.28588224477</v>
      </c>
      <c r="L17" s="4" t="n">
        <f aca="false">-L6*Assumptions!L46/100</f>
        <v>-5168.05088812333</v>
      </c>
    </row>
    <row r="18" customFormat="false" ht="15" hidden="false" customHeight="false" outlineLevel="0" collapsed="false">
      <c r="A18" s="0" t="s">
        <v>124</v>
      </c>
      <c r="C18" s="4" t="n">
        <f aca="false">(C6-B6)*Assumptions!$B$51/100</f>
        <v>-196.002</v>
      </c>
      <c r="D18" s="4" t="n">
        <f aca="false">(D6-C6)*Assumptions!$B$51/100</f>
        <v>-331.24338</v>
      </c>
      <c r="E18" s="4" t="n">
        <f aca="false">(E6-D6)*Assumptions!$B$51/100</f>
        <v>-271.364769</v>
      </c>
      <c r="F18" s="4" t="n">
        <f aca="false">(F6-E6)*Assumptions!$B$51/100</f>
        <v>-170.95980447</v>
      </c>
      <c r="G18" s="4" t="n">
        <f aca="false">(G6-F6)*Assumptions!$B$51/100</f>
        <v>-234.7847981388</v>
      </c>
      <c r="H18" s="4" t="n">
        <f aca="false">(H6-G6)*Assumptions!$B$51/100</f>
        <v>-366.264285096528</v>
      </c>
      <c r="I18" s="4" t="n">
        <f aca="false">(I6-H6)*Assumptions!$B$51/100</f>
        <v>-388.24014220232</v>
      </c>
      <c r="J18" s="4" t="n">
        <f aca="false">(J6-I6)*Assumptions!$B$51/100</f>
        <v>-342.945458945383</v>
      </c>
      <c r="K18" s="4" t="n">
        <f aca="false">(K6-J6)*Assumptions!$B$51/100</f>
        <v>-288.074185514122</v>
      </c>
      <c r="L18" s="4" t="n">
        <f aca="false">(L6-K6)*Assumptions!$B$51/100</f>
        <v>-262.14750881785</v>
      </c>
    </row>
    <row r="19" customFormat="false" ht="15" hidden="false" customHeight="false" outlineLevel="0" collapsed="false">
      <c r="A19" s="0" t="s">
        <v>125</v>
      </c>
      <c r="C19" s="0" t="n">
        <f aca="false">C15+C16+C17+C18</f>
        <v>6036.894267</v>
      </c>
      <c r="D19" s="0" t="n">
        <f aca="false">D15+D16+D17+D18</f>
        <v>6534.013910931</v>
      </c>
      <c r="E19" s="0" t="n">
        <f aca="false">E15+E16+E17+E18</f>
        <v>6996.80136270375</v>
      </c>
      <c r="F19" s="0" t="n">
        <f aca="false">F15+F16+F17+F18</f>
        <v>7376.39318570018</v>
      </c>
      <c r="G19" s="0" t="n">
        <f aca="false">G15+G16+G17+G18</f>
        <v>7775.10989668468</v>
      </c>
      <c r="H19" s="0" t="n">
        <f aca="false">H15+H16+H17+H18</f>
        <v>8295.69682088906</v>
      </c>
      <c r="I19" s="0" t="n">
        <f aca="false">I15+I16+I17+I18</f>
        <v>8938.84750473525</v>
      </c>
      <c r="J19" s="0" t="n">
        <f aca="false">J15+J16+J17+J18</f>
        <v>9565.00605908092</v>
      </c>
      <c r="K19" s="0" t="n">
        <f aca="false">K15+K16+K17+K18</f>
        <v>10016.1953932332</v>
      </c>
      <c r="L19" s="0" t="n">
        <f aca="false">L15+L16+L17+L18</f>
        <v>10402.7715051857</v>
      </c>
    </row>
    <row r="20" customFormat="false" ht="15" hidden="false" customHeight="false" outlineLevel="0" collapsed="false">
      <c r="A20" s="0" t="s">
        <v>126</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127</v>
      </c>
      <c r="C21" s="0" t="n">
        <f aca="false">C19*C20</f>
        <v>5641.9572588785</v>
      </c>
      <c r="D21" s="0" t="n">
        <f aca="false">D19*D20</f>
        <v>5707.06080088305</v>
      </c>
      <c r="E21" s="0" t="n">
        <f aca="false">E19*E20</f>
        <v>5711.47409740209</v>
      </c>
      <c r="F21" s="0" t="n">
        <f aca="false">F19*F20</f>
        <v>5627.41504355065</v>
      </c>
      <c r="G21" s="0" t="n">
        <f aca="false">G19*G20</f>
        <v>5543.54590030287</v>
      </c>
      <c r="H21" s="0" t="n">
        <f aca="false">H19*H20</f>
        <v>5527.77306773879</v>
      </c>
      <c r="I21" s="0" t="n">
        <f aca="false">I19*I20</f>
        <v>5566.6649763196</v>
      </c>
      <c r="J21" s="0" t="n">
        <f aca="false">J19*J20</f>
        <v>5566.92061160485</v>
      </c>
      <c r="K21" s="0" t="n">
        <f aca="false">K19*K20</f>
        <v>5448.14664669546</v>
      </c>
      <c r="L21" s="0" t="n">
        <f aca="false">L19*L20</f>
        <v>5288.24153090034</v>
      </c>
    </row>
    <row r="23" customFormat="false" ht="15" hidden="false" customHeight="false" outlineLevel="0" collapsed="false">
      <c r="A23" s="0" t="s">
        <v>103</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Assumptions!$B$48</f>
        <v>7</v>
      </c>
    </row>
    <row r="28" customFormat="false" ht="15" hidden="false" customHeight="false" outlineLevel="0" collapsed="false">
      <c r="A28" s="0" t="s">
        <v>108</v>
      </c>
      <c r="B28" s="4" t="n">
        <f aca="false">Assumptions!$B$49</f>
        <v>2.5</v>
      </c>
    </row>
    <row r="29" customFormat="false" ht="15" hidden="false" customHeight="false" outlineLevel="0" collapsed="false">
      <c r="A29" s="0" t="s">
        <v>109</v>
      </c>
      <c r="B29" s="4" t="n">
        <f aca="false">Assumptions!$B$50</f>
        <v>16</v>
      </c>
    </row>
    <row r="30" customFormat="false" ht="15" hidden="false" customHeight="false" outlineLevel="0" collapsed="false">
      <c r="A30" s="0" t="s">
        <v>130</v>
      </c>
      <c r="B30" s="0" t="n">
        <f aca="false">SUM(C21:L21)</f>
        <v>55629.1999342762</v>
      </c>
    </row>
    <row r="31" customFormat="false" ht="15" hidden="false" customHeight="false" outlineLevel="0" collapsed="false">
      <c r="A31" s="0" t="s">
        <v>131</v>
      </c>
      <c r="B31" s="0" t="n">
        <f aca="false">L19</f>
        <v>10402.7715051857</v>
      </c>
    </row>
    <row r="32" customFormat="false" ht="15" hidden="false" customHeight="false" outlineLevel="0" collapsed="false">
      <c r="A32" s="0" t="s">
        <v>132</v>
      </c>
      <c r="B32" s="0" t="n">
        <f aca="false">IF(B27&gt;B28,B31*(1+B28/100)/((B27-B28)/100),B31*B29)</f>
        <v>236952.017618118</v>
      </c>
    </row>
    <row r="33" customFormat="false" ht="15" hidden="false" customHeight="false" outlineLevel="0" collapsed="false">
      <c r="A33" s="0" t="s">
        <v>133</v>
      </c>
      <c r="B33" s="0" t="n">
        <f aca="false">B31*B29</f>
        <v>166444.344082971</v>
      </c>
    </row>
    <row r="34" customFormat="false" ht="15" hidden="false" customHeight="false" outlineLevel="0" collapsed="false">
      <c r="A34" s="0" t="s">
        <v>134</v>
      </c>
      <c r="B34" s="0" t="n">
        <f aca="false">MAX(0,MIN(B32,B33))</f>
        <v>166444.344082971</v>
      </c>
    </row>
    <row r="35" customFormat="false" ht="15" hidden="false" customHeight="false" outlineLevel="0" collapsed="false">
      <c r="A35" s="0" t="s">
        <v>135</v>
      </c>
      <c r="B35" s="0" t="n">
        <f aca="false">B34/(1+B27/100)^L4</f>
        <v>84611.8644944055</v>
      </c>
    </row>
    <row r="36" customFormat="false" ht="15" hidden="false" customHeight="false" outlineLevel="0" collapsed="false">
      <c r="A36" s="0" t="s">
        <v>136</v>
      </c>
      <c r="B36" s="0" t="n">
        <f aca="false">B30+B35</f>
        <v>140241.064428682</v>
      </c>
    </row>
    <row r="37" customFormat="false" ht="15" hidden="false" customHeight="false" outlineLevel="0" collapsed="false">
      <c r="A37" s="0" t="s">
        <v>137</v>
      </c>
      <c r="B37" s="0" t="n">
        <f aca="false">B36+Assumptions!$B$5-Assumptions!$B$4</f>
        <v>110016.064428682</v>
      </c>
    </row>
    <row r="38" customFormat="false" ht="15" hidden="false" customHeight="false" outlineLevel="0" collapsed="false">
      <c r="A38" s="0" t="s">
        <v>138</v>
      </c>
      <c r="B38" s="0" t="n">
        <f aca="false">B37/Assumptions!$B$3*Assumptions!$B$10</f>
        <v>71.7189903021047</v>
      </c>
    </row>
    <row r="39" customFormat="false" ht="15" hidden="false" customHeight="false" outlineLevel="0" collapsed="false">
      <c r="A39" s="0" t="s">
        <v>139</v>
      </c>
      <c r="B39" s="4" t="n">
        <f aca="false">B38/Assumptions!$B$2-1</f>
        <v>0.524962583502119</v>
      </c>
    </row>
    <row r="41" customFormat="false" ht="15" hidden="false" customHeight="false" outlineLevel="0" collapsed="false">
      <c r="A41" s="0" t="s">
        <v>140</v>
      </c>
      <c r="B41" s="0" t="n">
        <f aca="false">SUMPRODUCT(-C10:L10/(1+$B$27/100)^C4:L4)</f>
        <v>3356.04785006616</v>
      </c>
    </row>
    <row r="42" customFormat="false" ht="15" hidden="false" customHeight="false" outlineLevel="0" collapsed="false">
      <c r="A42" s="0" t="s">
        <v>141</v>
      </c>
      <c r="B42" s="0" t="n">
        <f aca="false">IF(B27&gt;B28,-L10*(1+B28/100)/((B27-B28)/100),-L10*20)/(1+B27/100)^L4</f>
        <v>6881.73898634487</v>
      </c>
    </row>
    <row r="43" customFormat="false" ht="15" hidden="false" customHeight="false" outlineLevel="0" collapsed="false">
      <c r="A43" s="0" t="s">
        <v>142</v>
      </c>
      <c r="B43" s="0" t="n">
        <f aca="false">(B37+B41+B42)/Assumptions!$B$3*Assumptions!$B$10</f>
        <v>78.3929586779827</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85302.7263425225</v>
      </c>
    </row>
    <row r="47" customFormat="false" ht="15" hidden="false" customHeight="false" outlineLevel="0" collapsed="false">
      <c r="A47" s="0" t="s">
        <v>144</v>
      </c>
      <c r="B47" s="0" t="n">
        <f aca="false">(SUMPRODUCT(C19:L19/(1+B45/100)^C4:L4)+B46/(1+B45/100)^L4+Assumptions!$B$5-Assumptions!$B$4)/Assumptions!$B$3*Assumptions!$B$10</f>
        <v>19.0526929170339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27.7897711565825</v>
      </c>
      <c r="C4" s="0" t="n">
        <f aca="false">B4/Assumptions!$B$2-1</f>
        <v>-0.409105440004624</v>
      </c>
      <c r="D4" s="4" t="n">
        <f aca="false">Assumptions!$B$24</f>
        <v>0.25</v>
      </c>
      <c r="E4" s="4" t="n">
        <f aca="false">DCF_Bear!$B$43</f>
        <v>32.1820081047886</v>
      </c>
      <c r="F4" s="4" t="n">
        <f aca="false">DCF_Bear!$B$47</f>
        <v>4.06920480652121</v>
      </c>
    </row>
    <row r="5" customFormat="false" ht="15" hidden="false" customHeight="false" outlineLevel="0" collapsed="false">
      <c r="A5" s="0" t="s">
        <v>153</v>
      </c>
      <c r="B5" s="4" t="n">
        <f aca="false">DCF_Base!$B$38</f>
        <v>51.3340940559584</v>
      </c>
      <c r="C5" s="0" t="n">
        <f aca="false">B5/Assumptions!$B$2-1</f>
        <v>0.0915180534968829</v>
      </c>
      <c r="D5" s="4" t="n">
        <f aca="false">Assumptions!$B$38</f>
        <v>0.5</v>
      </c>
      <c r="E5" s="4" t="n">
        <f aca="false">DCF_Base!$B$43</f>
        <v>56.9179633653991</v>
      </c>
      <c r="F5" s="4" t="n">
        <f aca="false">DCF_Base!$B$47</f>
        <v>12.0636250154834</v>
      </c>
    </row>
    <row r="6" customFormat="false" ht="15" hidden="false" customHeight="false" outlineLevel="0" collapsed="false">
      <c r="A6" s="0" t="s">
        <v>154</v>
      </c>
      <c r="B6" s="4" t="n">
        <f aca="false">DCF_Bull!$B$38</f>
        <v>71.7189903021047</v>
      </c>
      <c r="C6" s="0" t="n">
        <f aca="false">B6/Assumptions!$B$2-1</f>
        <v>0.524962583502119</v>
      </c>
      <c r="D6" s="4" t="n">
        <f aca="false">Assumptions!$B$52</f>
        <v>0.25</v>
      </c>
      <c r="E6" s="4" t="n">
        <f aca="false">DCF_Bull!$B$43</f>
        <v>78.3929586779827</v>
      </c>
      <c r="F6" s="4" t="n">
        <f aca="false">DCF_Bull!$B$47</f>
        <v>19.0526929170339</v>
      </c>
    </row>
    <row r="8" customFormat="false" ht="15" hidden="false" customHeight="false" outlineLevel="0" collapsed="false">
      <c r="A8" s="0" t="s">
        <v>155</v>
      </c>
      <c r="B8" s="0" t="n">
        <f aca="false">SUMPRODUCT(B4:B6,D4:D6)</f>
        <v>50.544237392651</v>
      </c>
    </row>
    <row r="9" customFormat="false" ht="15" hidden="false" customHeight="false" outlineLevel="0" collapsed="false">
      <c r="A9" s="0" t="s">
        <v>156</v>
      </c>
      <c r="B9" s="0" t="n">
        <f aca="false">SUMPRODUCT(E4:E6,D4:D6)</f>
        <v>56.1027233783923</v>
      </c>
    </row>
    <row r="10" customFormat="false" ht="15" hidden="false" customHeight="false" outlineLevel="0" collapsed="false">
      <c r="A10" s="0" t="s">
        <v>157</v>
      </c>
      <c r="B10" s="0" t="n">
        <f aca="false">1-Assumptions!$B$2/B8</f>
        <v>0.0695279536092468</v>
      </c>
    </row>
    <row r="11" customFormat="false" ht="15" hidden="false" customHeight="false" outlineLevel="0" collapsed="false">
      <c r="A11" s="0" t="s">
        <v>158</v>
      </c>
      <c r="B11" s="0" t="n">
        <f aca="false">IF(ABS(B9-B8)&gt;0.01*ABS(B8),(Assumptions!$B$2-B8)/(B9-B8)*100,"n/a")</f>
        <v>-63.2229244018199</v>
      </c>
    </row>
    <row r="12" customFormat="false" ht="15" hidden="false" customHeight="false" outlineLevel="0" collapsed="false">
      <c r="A12" s="0" t="s">
        <v>159</v>
      </c>
      <c r="B12" s="0" t="n">
        <f aca="false">SUMPRODUCT(F4:F6,D4:D6)</f>
        <v>11.8122869386305</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51.3340940559584</v>
      </c>
      <c r="C15" s="3" t="n">
        <v>7</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40.7596839080486</v>
      </c>
      <c r="C16" s="3" t="n">
        <v>9</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32.9515589231013</v>
      </c>
      <c r="C17" s="3" t="n">
        <v>10</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26.8928445528835</v>
      </c>
      <c r="C18" s="3" t="n">
        <v>11</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22.0577279718441</v>
      </c>
      <c r="C19" s="3" t="n">
        <v>12</v>
      </c>
    </row>
    <row r="20" customFormat="false" ht="15" hidden="false" customHeight="false" outlineLevel="0" collapsed="false">
      <c r="A20" s="0" t="s">
        <v>167</v>
      </c>
      <c r="B20" s="0" t="n">
        <f aca="false">(SUMPRODUCT(DCF_Base!$C$19:$L$19/(1+$C$20/100)^DCF_Base!$C$4:$L$4)+MAX(0,MIN(IF($C$20&gt;DCF_Base!$B$28,DCF_Base!$L$19*(1+DCF_Base!$B$28/100)/(($C$20-DCF_Base!$B$28)/100),DCF_Base!$L$19*DCF_Base!$B$29),DCF_Base!$L$19*DCF_Base!$B$29))/(1+$C$20/100)^DCF_Base!$L$4+Assumptions!$B$5-Assumptions!$B$4)/Assumptions!$B$3*Assumptions!$B$10</f>
        <v>12.0636250154834</v>
      </c>
      <c r="C20" s="3" t="n">
        <v>15</v>
      </c>
    </row>
    <row r="22" customFormat="false" ht="15" hidden="false" customHeight="false" outlineLevel="0" collapsed="false">
      <c r="A22" s="2" t="s">
        <v>168</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62.9497818931852</v>
      </c>
      <c r="C24" s="0" t="n">
        <f aca="false">(SUMPRODUCT(DCF_Base!$C$19:$L$19/(1+$A$24/100)^DCF_Base!$C$4:$L$4)+MAX(0,MIN(IF($A$24&gt;$C$23,DCF_Base!$L$19*(1+$C$23/100)/(($A$24-$C$23)/100),DCF_Base!$L$19*DCF_Base!$B$29),DCF_Base!$L$19*DCF_Base!$B$29))/(1+$A$24/100)^DCF_Base!$L$4+Assumptions!$B$5-Assumptions!$B$4)/Assumptions!$B$3*Assumptions!$B$10</f>
        <v>62.9497818931852</v>
      </c>
      <c r="D24" s="0" t="n">
        <f aca="false">(SUMPRODUCT(DCF_Base!$C$19:$L$19/(1+$A$24/100)^DCF_Base!$C$4:$L$4)+MAX(0,MIN(IF($A$24&gt;$D$23,DCF_Base!$L$19*(1+$D$23/100)/(($A$24-$D$23)/100),DCF_Base!$L$19*DCF_Base!$B$29),DCF_Base!$L$19*DCF_Base!$B$29))/(1+$A$24/100)^DCF_Base!$L$4+Assumptions!$B$5-Assumptions!$B$4)/Assumptions!$B$3*Assumptions!$B$10</f>
        <v>62.9497818931852</v>
      </c>
      <c r="E24" s="0" t="n">
        <f aca="false">(SUMPRODUCT(DCF_Base!$C$19:$L$19/(1+$A$24/100)^DCF_Base!$C$4:$L$4)+MAX(0,MIN(IF($A$24&gt;$E$23,DCF_Base!$L$19*(1+$E$23/100)/(($A$24-$E$23)/100),DCF_Base!$L$19*DCF_Base!$B$29),DCF_Base!$L$19*DCF_Base!$B$29))/(1+$A$24/100)^DCF_Base!$L$4+Assumptions!$B$5-Assumptions!$B$4)/Assumptions!$B$3*Assumptions!$B$10</f>
        <v>62.9497818931852</v>
      </c>
      <c r="F24" s="0" t="n">
        <f aca="false">(SUMPRODUCT(DCF_Base!$C$19:$L$19/(1+$A$24/100)^DCF_Base!$C$4:$L$4)+MAX(0,MIN(IF($A$24&gt;$F$23,DCF_Base!$L$19*(1+$F$23/100)/(($A$24-$F$23)/100),DCF_Base!$L$19*DCF_Base!$B$29),DCF_Base!$L$19*DCF_Base!$B$29))/(1+$A$24/100)^DCF_Base!$L$4+Assumptions!$B$5-Assumptions!$B$4)/Assumptions!$B$3*Assumptions!$B$10</f>
        <v>62.9497818931852</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56.8647189450174</v>
      </c>
      <c r="C25" s="0" t="n">
        <f aca="false">(SUMPRODUCT(DCF_Base!$C$19:$L$19/(1+$A$25/100)^DCF_Base!$C$4:$L$4)+MAX(0,MIN(IF($A$25&gt;$C$23,DCF_Base!$L$19*(1+$C$23/100)/(($A$25-$C$23)/100),DCF_Base!$L$19*DCF_Base!$B$29),DCF_Base!$L$19*DCF_Base!$B$29))/(1+$A$25/100)^DCF_Base!$L$4+Assumptions!$B$5-Assumptions!$B$4)/Assumptions!$B$3*Assumptions!$B$10</f>
        <v>56.8647189450174</v>
      </c>
      <c r="D25" s="0" t="n">
        <f aca="false">(SUMPRODUCT(DCF_Base!$C$19:$L$19/(1+$A$25/100)^DCF_Base!$C$4:$L$4)+MAX(0,MIN(IF($A$25&gt;$D$23,DCF_Base!$L$19*(1+$D$23/100)/(($A$25-$D$23)/100),DCF_Base!$L$19*DCF_Base!$B$29),DCF_Base!$L$19*DCF_Base!$B$29))/(1+$A$25/100)^DCF_Base!$L$4+Assumptions!$B$5-Assumptions!$B$4)/Assumptions!$B$3*Assumptions!$B$10</f>
        <v>56.8647189450174</v>
      </c>
      <c r="E25" s="0" t="n">
        <f aca="false">(SUMPRODUCT(DCF_Base!$C$19:$L$19/(1+$A$25/100)^DCF_Base!$C$4:$L$4)+MAX(0,MIN(IF($A$25&gt;$E$23,DCF_Base!$L$19*(1+$E$23/100)/(($A$25-$E$23)/100),DCF_Base!$L$19*DCF_Base!$B$29),DCF_Base!$L$19*DCF_Base!$B$29))/(1+$A$25/100)^DCF_Base!$L$4+Assumptions!$B$5-Assumptions!$B$4)/Assumptions!$B$3*Assumptions!$B$10</f>
        <v>56.8647189450174</v>
      </c>
      <c r="F25" s="0" t="n">
        <f aca="false">(SUMPRODUCT(DCF_Base!$C$19:$L$19/(1+$A$25/100)^DCF_Base!$C$4:$L$4)+MAX(0,MIN(IF($A$25&gt;$F$23,DCF_Base!$L$19*(1+$F$23/100)/(($A$25-$F$23)/100),DCF_Base!$L$19*DCF_Base!$B$29),DCF_Base!$L$19*DCF_Base!$B$29))/(1+$A$25/100)^DCF_Base!$L$4+Assumptions!$B$5-Assumptions!$B$4)/Assumptions!$B$3*Assumptions!$B$10</f>
        <v>56.8647189450174</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51.3340940559584</v>
      </c>
      <c r="C26" s="0" t="n">
        <f aca="false">(SUMPRODUCT(DCF_Base!$C$19:$L$19/(1+$A$26/100)^DCF_Base!$C$4:$L$4)+MAX(0,MIN(IF($A$26&gt;$C$23,DCF_Base!$L$19*(1+$C$23/100)/(($A$26-$C$23)/100),DCF_Base!$L$19*DCF_Base!$B$29),DCF_Base!$L$19*DCF_Base!$B$29))/(1+$A$26/100)^DCF_Base!$L$4+Assumptions!$B$5-Assumptions!$B$4)/Assumptions!$B$3*Assumptions!$B$10</f>
        <v>51.3340940559584</v>
      </c>
      <c r="D26" s="0" t="n">
        <f aca="false">(SUMPRODUCT(DCF_Base!$C$19:$L$19/(1+$A$26/100)^DCF_Base!$C$4:$L$4)+MAX(0,MIN(IF($A$26&gt;$D$23,DCF_Base!$L$19*(1+$D$23/100)/(($A$26-$D$23)/100),DCF_Base!$L$19*DCF_Base!$B$29),DCF_Base!$L$19*DCF_Base!$B$29))/(1+$A$26/100)^DCF_Base!$L$4+Assumptions!$B$5-Assumptions!$B$4)/Assumptions!$B$3*Assumptions!$B$10</f>
        <v>51.3340940559584</v>
      </c>
      <c r="E26" s="0" t="n">
        <f aca="false">(SUMPRODUCT(DCF_Base!$C$19:$L$19/(1+$A$26/100)^DCF_Base!$C$4:$L$4)+MAX(0,MIN(IF($A$26&gt;$E$23,DCF_Base!$L$19*(1+$E$23/100)/(($A$26-$E$23)/100),DCF_Base!$L$19*DCF_Base!$B$29),DCF_Base!$L$19*DCF_Base!$B$29))/(1+$A$26/100)^DCF_Base!$L$4+Assumptions!$B$5-Assumptions!$B$4)/Assumptions!$B$3*Assumptions!$B$10</f>
        <v>51.3340940559584</v>
      </c>
      <c r="F26" s="0" t="n">
        <f aca="false">(SUMPRODUCT(DCF_Base!$C$19:$L$19/(1+$A$26/100)^DCF_Base!$C$4:$L$4)+MAX(0,MIN(IF($A$26&gt;$F$23,DCF_Base!$L$19*(1+$F$23/100)/(($A$26-$F$23)/100),DCF_Base!$L$19*DCF_Base!$B$29),DCF_Base!$L$19*DCF_Base!$B$29))/(1+$A$26/100)^DCF_Base!$L$4+Assumptions!$B$5-Assumptions!$B$4)/Assumptions!$B$3*Assumptions!$B$10</f>
        <v>51.3340940559584</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44.9033717333382</v>
      </c>
      <c r="C27" s="0" t="n">
        <f aca="false">(SUMPRODUCT(DCF_Base!$C$19:$L$19/(1+$A$27/100)^DCF_Base!$C$4:$L$4)+MAX(0,MIN(IF($A$27&gt;$C$23,DCF_Base!$L$19*(1+$C$23/100)/(($A$27-$C$23)/100),DCF_Base!$L$19*DCF_Base!$B$29),DCF_Base!$L$19*DCF_Base!$B$29))/(1+$A$27/100)^DCF_Base!$L$4+Assumptions!$B$5-Assumptions!$B$4)/Assumptions!$B$3*Assumptions!$B$10</f>
        <v>46.3012300069223</v>
      </c>
      <c r="D27" s="0" t="n">
        <f aca="false">(SUMPRODUCT(DCF_Base!$C$19:$L$19/(1+$A$27/100)^DCF_Base!$C$4:$L$4)+MAX(0,MIN(IF($A$27&gt;$D$23,DCF_Base!$L$19*(1+$D$23/100)/(($A$27-$D$23)/100),DCF_Base!$L$19*DCF_Base!$B$29),DCF_Base!$L$19*DCF_Base!$B$29))/(1+$A$27/100)^DCF_Base!$L$4+Assumptions!$B$5-Assumptions!$B$4)/Assumptions!$B$3*Assumptions!$B$10</f>
        <v>46.3012300069223</v>
      </c>
      <c r="E27" s="0" t="n">
        <f aca="false">(SUMPRODUCT(DCF_Base!$C$19:$L$19/(1+$A$27/100)^DCF_Base!$C$4:$L$4)+MAX(0,MIN(IF($A$27&gt;$E$23,DCF_Base!$L$19*(1+$E$23/100)/(($A$27-$E$23)/100),DCF_Base!$L$19*DCF_Base!$B$29),DCF_Base!$L$19*DCF_Base!$B$29))/(1+$A$27/100)^DCF_Base!$L$4+Assumptions!$B$5-Assumptions!$B$4)/Assumptions!$B$3*Assumptions!$B$10</f>
        <v>46.3012300069223</v>
      </c>
      <c r="F27" s="0" t="n">
        <f aca="false">(SUMPRODUCT(DCF_Base!$C$19:$L$19/(1+$A$27/100)^DCF_Base!$C$4:$L$4)+MAX(0,MIN(IF($A$27&gt;$F$23,DCF_Base!$L$19*(1+$F$23/100)/(($A$27-$F$23)/100),DCF_Base!$L$19*DCF_Base!$B$29),DCF_Base!$L$19*DCF_Base!$B$29))/(1+$A$27/100)^DCF_Base!$L$4+Assumptions!$B$5-Assumptions!$B$4)/Assumptions!$B$3*Assumptions!$B$10</f>
        <v>46.3012300069223</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36.4174597785724</v>
      </c>
      <c r="C28" s="0" t="n">
        <f aca="false">(SUMPRODUCT(DCF_Base!$C$19:$L$19/(1+$A$28/100)^DCF_Base!$C$4:$L$4)+MAX(0,MIN(IF($A$28&gt;$C$23,DCF_Base!$L$19*(1+$C$23/100)/(($A$28-$C$23)/100),DCF_Base!$L$19*DCF_Base!$B$29),DCF_Base!$L$19*DCF_Base!$B$29))/(1+$A$28/100)^DCF_Base!$L$4+Assumptions!$B$5-Assumptions!$B$4)/Assumptions!$B$3*Assumptions!$B$10</f>
        <v>38.4438310389946</v>
      </c>
      <c r="D28" s="0" t="n">
        <f aca="false">(SUMPRODUCT(DCF_Base!$C$19:$L$19/(1+$A$28/100)^DCF_Base!$C$4:$L$4)+MAX(0,MIN(IF($A$28&gt;$D$23,DCF_Base!$L$19*(1+$D$23/100)/(($A$28-$D$23)/100),DCF_Base!$L$19*DCF_Base!$B$29),DCF_Base!$L$19*DCF_Base!$B$29))/(1+$A$28/100)^DCF_Base!$L$4+Assumptions!$B$5-Assumptions!$B$4)/Assumptions!$B$3*Assumptions!$B$10</f>
        <v>40.7596839080486</v>
      </c>
      <c r="E28" s="0" t="n">
        <f aca="false">(SUMPRODUCT(DCF_Base!$C$19:$L$19/(1+$A$28/100)^DCF_Base!$C$4:$L$4)+MAX(0,MIN(IF($A$28&gt;$E$23,DCF_Base!$L$19*(1+$E$23/100)/(($A$28-$E$23)/100),DCF_Base!$L$19*DCF_Base!$B$29),DCF_Base!$L$19*DCF_Base!$B$29))/(1+$A$28/100)^DCF_Base!$L$4+Assumptions!$B$5-Assumptions!$B$4)/Assumptions!$B$3*Assumptions!$B$10</f>
        <v>41.7157699549057</v>
      </c>
      <c r="F28" s="0" t="n">
        <f aca="false">(SUMPRODUCT(DCF_Base!$C$19:$L$19/(1+$A$28/100)^DCF_Base!$C$4:$L$4)+MAX(0,MIN(IF($A$28&gt;$F$23,DCF_Base!$L$19*(1+$F$23/100)/(($A$28-$F$23)/100),DCF_Base!$L$19*DCF_Base!$B$29),DCF_Base!$L$19*DCF_Base!$B$29))/(1+$A$28/100)^DCF_Base!$L$4+Assumptions!$B$5-Assumptions!$B$4)/Assumptions!$B$3*Assumptions!$B$10</f>
        <v>41.7157699549057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2026-10-03T22:30:57Z</dcterms:created>
  <dc:creator>openpyxl</dc:creator>
  <dc:description/>
  <dc:language>en-NZ</dc:language>
  <cp:lastModifiedBy/>
  <dcterms:modified xsi:type="dcterms:W3CDTF">2026-10-03T22:30:57Z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