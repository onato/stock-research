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<sst xmlns="http://schemas.openxmlformats.org/spreadsheetml/2006/main" count="359" uniqueCount="166">
  <si>
    <t xml:space="preserve">Ticker</t>
  </si>
  <si>
    <t xml:space="preserve">CNR.TO</t>
  </si>
  <si>
    <t xml:space="preserve">Company</t>
  </si>
  <si>
    <t xml:space="preserve">Canadian National Railway Company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</si>
  <si>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</si>
  <si>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</si>
  <si>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</si>
  <si>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</si>
  <si>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(TSX)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</si>
  <si>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</si>
  <si>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</si>
  <si>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</si>
  <si>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</si>
  <si>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</si>
  <si>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</si>
  <si>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</si>
  <si>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</si>
  <si>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</si>
  <si>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</si>
  <si>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</si>
  <si>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</si>
  <si>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2026-10-10T08:17:26Z</t>
  </si>
  <si>
    <t xml:space="preserve">Drivers file</t>
  </si>
  <si>
    <t xml:space="preserve">CNR.TO_Drivers.json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</si>
  <si>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</si>
  <si>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</si>
  <si>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</si>
  <si>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An irreplaceable, regulated-duopoly network asset with ~50% EBITDA margins and a 30-year dividend record, valued on fully-SBC-expensed unlevered owner FCF at a CAD-built 7.5% WACC with the terminal value capped at 20x FCF. CN trades at ~37x trailing FCF and ~14.5x EV/EBITDA, i.e. the market discounts it at something closer to 6-6.5%; the house model does not grant that rate, so the stock screens as a quality asset at a full price rather than a mispricing. The required-return table is the honest read: at today's price the implied return is well below the 15% hurdle.
key_risks_to_valuation: Discount rate: value is terminal-heavy and long-duration; each 0.5pp on WACC moves base value ~10%. The 20x cap binds at 7.5%/2.5% so terminal growth sensitivity is muted but WACC sensitivity is not.; Capex normalisation: the base assumes 18% of revenue long-run vs 15.4% guided for 2026 and ~21% averaged over 2017-25; each 1pp of revenue in perpetual capex is ~C$9-10/share.; Cash tax: ramped to 24% vs 14-20% actual; if accelerated depreciation remains a structural shelter the base understates value by ~C$8-10/share.; Pension surplus (~C$5.4B asset, ~C$6/share after tax) deliberately excluded from the bridge; an upside if ever accessible.; Tariff/trade policy, TCRC contract expiry Dec-2026, and the UP-NS merger are the bear-case triggers; the grain MRE caps pricing on ~22% of revenue.; Half-year vintage: year-1 is the full FY2026 against a 30-Jun-2026 balance sheet; corrected via the -C$2,050M equity_bridge item. At the FY2026 annual update, drop that item and roll FY0 to FY2026.</t>
  </si>
  <si>
    <t xml:space="preserve">Data sources</t>
  </si>
  <si>
    <t xml:space="preserve">price: Yahoo Finance chart API (CNR.TO, TSX, CAD) at inputs.price_as_of; 52-week range 128.05-185.25
financials: CNR.TO_Metrics.csv (FY2017-FY2025 annual, Q1 2017-Q2 2026 quarterly, CAD millions, US GAAP); CNR.TO_Annual_FY2025.txt (Note 19 SBC, Note 7 income taxes paid, pension asset); CNR.TO_Quarterly_Q2-2026.txt (balance sheet 30-Jun-2026, Note 7 diluted shares, adjusted-debt reconciliation, 2026 outlook)
qualitative: CNR.TO_Analysis.json (2026-10-10) incl. data_quality_notes on FY2017/FY2021/FY2023 one-offs; Q2 2026 MD&amp;A 2026 key assumptions (low-single-digit RTM growth, CAD 0.71, WTI US$80-110, capex ~C$2.8B)</t>
  </si>
  <si>
    <t xml:space="preserve">Scenario narrative: bear</t>
  </si>
  <si>
    <t xml:space="preserve">Tariff recession in 2027 plus a labour stoppage at the TCRC contract expiry and grain mean-reversion push revenue down ~1% in 2027 and the OR to 64-65%; the UP-NS merger weakens CN's US interline position; capex stays elevated at 19%; growth resets to 2%.</t>
  </si>
  <si>
    <t xml:space="preserve">Scenario narrative: base</t>
  </si>
  <si>
    <t xml:space="preserve">CN compounds revenue at 3-4% (low-single-digit volumes, ~3% core pricing) with the operating ratio returning to ~61.5% from the FY2026 inflation-hit 62.5%, capex normalising at ~18% of revenue after the guided 2026 trough, and cash taxes converging on the 24% book rate as accelerated depreciation unwinds. Buybacks keep the share count flat and are value-neutral; the dividend (C$3.66/yr) is funded from the modelled flows.</t>
  </si>
  <si>
    <t xml:space="preserve">Scenario narrative: bull</t>
  </si>
  <si>
    <t xml:space="preserve">Transpacific (Prince Rupert) and Gulf Coast energy/petrochemical volumes plus modal share gains from trucking lift RTM growth to mid-single digits; tariff disputes settle; PSR takes the OR back below 60% (EBITDA margin 52%); capex settles at 17% with the capacity programs complete.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</si>
  <si>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</si>
  <si>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</si>
  <si>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</si>
  <si>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</si>
  <si>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</si>
  <si>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</si>
  <si>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</si>
  <si>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</si>
  <si>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</si>
  <si>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</si>
  <si>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</si>
  <si>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</si>
  <si>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</si>
  <si>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</si>
  <si>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</si>
  <si>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</si>
  <si>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</si>
  <si>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</si>
  <si>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</si>
  <si>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</si>
  <si>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</si>
  <si>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</si>
  <si>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</si>
  <si>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</si>
  <si>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</si>
  <si>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</si>
  <si>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</si>
  <si>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AdjustedEPS</t>
  </si>
  <si>
    <t xml:space="preserve">InterestPaid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</si>
  <si>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</si>
  <si>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</si>
  <si>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</si>
  <si>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</si>
  <si>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</si>
  <si>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</si>
  <si>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</si>
  <si>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</si>
  <si>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</si>
  <si>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</si>
  <si>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</si>
  <si>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</si>
  <si>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</si>
  <si>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</si>
  <si>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</si>
  <si>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</si>
  <si>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</si>
  <si>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</si>
  <si>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</si>
  <si>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</si>
  <si>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</si>
  <si>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</si>
  <si>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</si>
  <si>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</si>
  <si>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</si>
  <si>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</si>
  <si>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</si>
  <si>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</si>
  <si>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</si>
  <si>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</si>
  <si>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</si>
  <si>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</si>
  <si>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</si>
  <si>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</si>
  <si>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</si>
  <si>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</si>
  <si>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</si>
  <si>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</si>
  <si>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</si>
  <si>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</si>
  <si>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</si>
  <si>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</si>
  <si>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</si>
  <si>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</si>
  <si>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</si>
  <si>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</si>
  <si>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CNR.TO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</si>
  <si>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</si>
  <si>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</si>
  <si>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</si>
  <si>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</si>
  <si>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</si>
  <si>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</si>
  <si>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</si>
  <si>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</si>
  <si>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</si>
  <si>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</si>
  <si>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</si>
  <si>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</si>
  <si>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</si>
  <si>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</si>
  <si>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</si>
  <si>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</si>
  <si>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</si>
  <si>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</si>
  <si>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</si>
  <si>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</si>
  <si>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</si>
  <si>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</si>
  <si>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</si>
  <si>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</si>
  <si>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</si>
  <si>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</si>
  <si>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</si>
  <si>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</si>
  <si>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</si>
  <si>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</si>
  <si>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CNR.TO owner-FCF component DCF: base case (millions, CAD)</t>
  </si>
  <si>
    <t xml:space="preserve">CNR.TO owner-FCF component DCF: bull case (millions, CAD)</t>
  </si>
  <si>
    <t xml:space="preserve">CNR.TO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</si>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</sst>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168.06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13041</v>
      </c>
      <c r="F2" s="0" t="n">
        <v>5558</v>
      </c>
      <c r="G2" s="0" t="n">
        <v>42.6194</v>
      </c>
      <c r="H2" s="0" t="n">
        <v>6839</v>
      </c>
      <c r="I2" s="0" t="n">
        <v>5484</v>
      </c>
      <c r="J2" s="0" t="n">
        <v>42.052</v>
      </c>
      <c r="K2" s="0" t="n">
        <v>7.24</v>
      </c>
      <c r="L2" s="0" t="n">
        <v>5516</v>
      </c>
      <c r="M2" s="0" t="n">
        <v>2673</v>
      </c>
      <c r="N2" s="0" t="n">
        <v>2843</v>
      </c>
      <c r="O2" s="0" t="n">
        <v>16656</v>
      </c>
      <c r="P2" s="0" t="n">
        <v>37629</v>
      </c>
      <c r="Q2" s="0" t="n">
        <v>20973</v>
      </c>
      <c r="R2" s="0" t="n">
        <v>10828</v>
      </c>
      <c r="S2" s="0" t="n">
        <v>70</v>
      </c>
      <c r="T2" s="0" t="n">
        <v>757.3</v>
      </c>
      <c r="U2" s="0" t="n">
        <v>75</v>
      </c>
      <c r="AA2" s="0" t="s">
        <v>17</v>
      </c>
      <c r="AB2" s="0" t="s">
        <v>14</v>
      </c>
      <c r="AC2" s="0" t="n">
        <v>4.99</v>
      </c>
      <c r="AD2" s="0" t="n">
        <v>477</v>
      </c>
    </row>
    <row r="3" customFormat="false" ht="15" hidden="false" customHeight="false" outlineLevel="0" collapsed="false">
      <c r="A3" s="0" t="s">
        <v>66</v>
      </c>
      <c r="B3" s="0" t="n">
        <v>14321</v>
      </c>
      <c r="F3" s="0" t="n">
        <v>5493</v>
      </c>
      <c r="G3" s="0" t="n">
        <v>38.3563</v>
      </c>
      <c r="H3" s="0" t="n">
        <v>6822</v>
      </c>
      <c r="I3" s="0" t="n">
        <v>4328</v>
      </c>
      <c r="J3" s="0" t="n">
        <v>30.2214</v>
      </c>
      <c r="K3" s="0" t="n">
        <v>5.87</v>
      </c>
      <c r="L3" s="0" t="n">
        <v>5918</v>
      </c>
      <c r="M3" s="0" t="n">
        <v>3531</v>
      </c>
      <c r="N3" s="0" t="n">
        <v>2387</v>
      </c>
      <c r="O3" s="0" t="n">
        <v>17641</v>
      </c>
      <c r="P3" s="0" t="n">
        <v>41214</v>
      </c>
      <c r="Q3" s="0" t="n">
        <v>23573</v>
      </c>
      <c r="R3" s="0" t="n">
        <v>12569</v>
      </c>
      <c r="S3" s="0" t="n">
        <v>266</v>
      </c>
      <c r="T3" s="0" t="n">
        <v>737.7</v>
      </c>
      <c r="U3" s="0" t="n">
        <v>90</v>
      </c>
      <c r="AA3" s="0" t="s">
        <v>17</v>
      </c>
      <c r="AB3" s="0" t="s">
        <v>14</v>
      </c>
      <c r="AC3" s="0" t="n">
        <v>5.5</v>
      </c>
      <c r="AD3" s="0" t="n">
        <v>488</v>
      </c>
    </row>
    <row r="4" customFormat="false" ht="15" hidden="false" customHeight="false" outlineLevel="0" collapsed="false">
      <c r="A4" s="0" t="s">
        <v>67</v>
      </c>
      <c r="B4" s="0" t="n">
        <v>14917</v>
      </c>
      <c r="F4" s="0" t="n">
        <v>5593</v>
      </c>
      <c r="G4" s="0" t="n">
        <v>37.4941</v>
      </c>
      <c r="H4" s="0" t="n">
        <v>7155</v>
      </c>
      <c r="I4" s="0" t="n">
        <v>4216</v>
      </c>
      <c r="J4" s="0" t="n">
        <v>28.2631</v>
      </c>
      <c r="K4" s="0" t="n">
        <v>5.83</v>
      </c>
      <c r="L4" s="0" t="n">
        <v>5923</v>
      </c>
      <c r="M4" s="0" t="n">
        <v>3865</v>
      </c>
      <c r="N4" s="0" t="n">
        <v>2058</v>
      </c>
      <c r="O4" s="0" t="n">
        <v>18041</v>
      </c>
      <c r="P4" s="0" t="n">
        <v>43784</v>
      </c>
      <c r="Q4" s="0" t="n">
        <v>25743</v>
      </c>
      <c r="R4" s="0" t="n">
        <v>13796</v>
      </c>
      <c r="S4" s="0" t="n">
        <v>64</v>
      </c>
      <c r="T4" s="0" t="n">
        <v>722.6</v>
      </c>
      <c r="U4" s="0" t="n">
        <v>57</v>
      </c>
      <c r="AA4" s="0" t="s">
        <v>17</v>
      </c>
      <c r="AB4" s="0" t="s">
        <v>14</v>
      </c>
      <c r="AC4" s="0" t="n">
        <v>5.8</v>
      </c>
      <c r="AD4" s="0" t="n">
        <v>521</v>
      </c>
    </row>
    <row r="5" customFormat="false" ht="15" hidden="false" customHeight="false" outlineLevel="0" collapsed="false">
      <c r="A5" s="0" t="s">
        <v>68</v>
      </c>
      <c r="B5" s="0" t="n">
        <v>13819</v>
      </c>
      <c r="F5" s="0" t="n">
        <v>4777</v>
      </c>
      <c r="G5" s="0" t="n">
        <v>34.5683</v>
      </c>
      <c r="H5" s="0" t="n">
        <v>6366</v>
      </c>
      <c r="I5" s="0" t="n">
        <v>3562</v>
      </c>
      <c r="J5" s="0" t="n">
        <v>25.7761</v>
      </c>
      <c r="K5" s="0" t="n">
        <v>5</v>
      </c>
      <c r="L5" s="0" t="n">
        <v>6165</v>
      </c>
      <c r="M5" s="0" t="n">
        <v>2863</v>
      </c>
      <c r="N5" s="0" t="n">
        <v>3302</v>
      </c>
      <c r="O5" s="0" t="n">
        <v>19651</v>
      </c>
      <c r="P5" s="0" t="n">
        <v>44804</v>
      </c>
      <c r="Q5" s="0" t="n">
        <v>25153</v>
      </c>
      <c r="R5" s="0" t="n">
        <v>12906</v>
      </c>
      <c r="S5" s="0" t="n">
        <v>569</v>
      </c>
      <c r="T5" s="0" t="n">
        <v>713</v>
      </c>
      <c r="U5" s="0" t="n">
        <v>64</v>
      </c>
      <c r="AA5" s="0" t="s">
        <v>17</v>
      </c>
      <c r="AB5" s="0" t="s">
        <v>14</v>
      </c>
      <c r="AC5" s="0" t="n">
        <v>5.31</v>
      </c>
      <c r="AD5" s="0" t="n">
        <v>551</v>
      </c>
    </row>
    <row r="6" customFormat="false" ht="15" hidden="false" customHeight="false" outlineLevel="0" collapsed="false">
      <c r="A6" s="0" t="s">
        <v>69</v>
      </c>
      <c r="B6" s="0" t="n">
        <v>14477</v>
      </c>
      <c r="F6" s="0" t="n">
        <v>5616</v>
      </c>
      <c r="G6" s="0" t="n">
        <v>38.7926</v>
      </c>
      <c r="H6" s="0" t="n">
        <v>7214</v>
      </c>
      <c r="I6" s="0" t="n">
        <v>4892</v>
      </c>
      <c r="J6" s="0" t="n">
        <v>33.7915</v>
      </c>
      <c r="K6" s="0" t="n">
        <v>6.89</v>
      </c>
      <c r="L6" s="0" t="n">
        <v>6971</v>
      </c>
      <c r="M6" s="0" t="n">
        <v>2891</v>
      </c>
      <c r="N6" s="0" t="n">
        <v>4080</v>
      </c>
      <c r="O6" s="0" t="n">
        <v>22744</v>
      </c>
      <c r="P6" s="0" t="n">
        <v>48538</v>
      </c>
      <c r="Q6" s="0" t="n">
        <v>25794</v>
      </c>
      <c r="R6" s="0" t="n">
        <v>12485</v>
      </c>
      <c r="S6" s="0" t="n">
        <v>838</v>
      </c>
      <c r="T6" s="0" t="n">
        <v>710.3</v>
      </c>
      <c r="U6" s="0" t="n">
        <v>81</v>
      </c>
      <c r="AA6" s="0" t="s">
        <v>17</v>
      </c>
      <c r="AB6" s="0" t="s">
        <v>14</v>
      </c>
      <c r="AC6" s="0" t="n">
        <v>5.94</v>
      </c>
      <c r="AD6" s="0" t="n">
        <v>512</v>
      </c>
    </row>
    <row r="7" customFormat="false" ht="15" hidden="false" customHeight="false" outlineLevel="0" collapsed="false">
      <c r="A7" s="0" t="s">
        <v>70</v>
      </c>
      <c r="B7" s="0" t="n">
        <v>17107</v>
      </c>
      <c r="F7" s="0" t="n">
        <v>6840</v>
      </c>
      <c r="G7" s="0" t="n">
        <v>39.9836</v>
      </c>
      <c r="H7" s="0" t="n">
        <v>8569</v>
      </c>
      <c r="I7" s="0" t="n">
        <v>5118</v>
      </c>
      <c r="J7" s="0" t="n">
        <v>29.9176</v>
      </c>
      <c r="K7" s="0" t="n">
        <v>7.44</v>
      </c>
      <c r="L7" s="0" t="n">
        <v>6667</v>
      </c>
      <c r="M7" s="0" t="n">
        <v>2750</v>
      </c>
      <c r="N7" s="0" t="n">
        <v>3917</v>
      </c>
      <c r="O7" s="0" t="n">
        <v>21384</v>
      </c>
      <c r="P7" s="0" t="n">
        <v>50662</v>
      </c>
      <c r="Q7" s="0" t="n">
        <v>29278</v>
      </c>
      <c r="R7" s="0" t="n">
        <v>15429</v>
      </c>
      <c r="S7" s="0" t="n">
        <v>328</v>
      </c>
      <c r="T7" s="0" t="n">
        <v>688.3</v>
      </c>
      <c r="U7" s="0" t="n">
        <v>63</v>
      </c>
      <c r="AA7" s="0" t="s">
        <v>17</v>
      </c>
      <c r="AB7" s="0" t="s">
        <v>14</v>
      </c>
      <c r="AC7" s="0" t="n">
        <v>7.46</v>
      </c>
      <c r="AD7" s="0" t="n">
        <v>542</v>
      </c>
    </row>
    <row r="8" customFormat="false" ht="15" hidden="false" customHeight="false" outlineLevel="0" collapsed="false">
      <c r="A8" s="0" t="s">
        <v>71</v>
      </c>
      <c r="B8" s="0" t="n">
        <v>16828</v>
      </c>
      <c r="F8" s="0" t="n">
        <v>6597</v>
      </c>
      <c r="G8" s="0" t="n">
        <v>39.2025</v>
      </c>
      <c r="H8" s="0" t="n">
        <v>8414</v>
      </c>
      <c r="I8" s="0" t="n">
        <v>5625</v>
      </c>
      <c r="J8" s="0" t="n">
        <v>33.4264</v>
      </c>
      <c r="K8" s="0" t="n">
        <v>8.53</v>
      </c>
      <c r="L8" s="0" t="n">
        <v>6965</v>
      </c>
      <c r="M8" s="0" t="n">
        <v>3187</v>
      </c>
      <c r="N8" s="0" t="n">
        <v>3778</v>
      </c>
      <c r="O8" s="0" t="n">
        <v>20117</v>
      </c>
      <c r="P8" s="0" t="n">
        <v>52666</v>
      </c>
      <c r="Q8" s="0" t="n">
        <v>32549</v>
      </c>
      <c r="R8" s="0" t="n">
        <v>18473</v>
      </c>
      <c r="S8" s="0" t="n">
        <v>475</v>
      </c>
      <c r="T8" s="0" t="n">
        <v>659.1</v>
      </c>
      <c r="U8" s="0" t="n">
        <v>64</v>
      </c>
      <c r="AA8" s="0" t="s">
        <v>17</v>
      </c>
      <c r="AB8" s="0" t="s">
        <v>14</v>
      </c>
      <c r="AC8" s="0" t="n">
        <v>7.28</v>
      </c>
      <c r="AD8" s="0" t="n">
        <v>776</v>
      </c>
    </row>
    <row r="9" customFormat="false" ht="15" hidden="false" customHeight="false" outlineLevel="0" collapsed="false">
      <c r="A9" s="0" t="s">
        <v>72</v>
      </c>
      <c r="B9" s="0" t="n">
        <v>17046</v>
      </c>
      <c r="F9" s="0" t="n">
        <v>6247</v>
      </c>
      <c r="G9" s="0" t="n">
        <v>36.6479</v>
      </c>
      <c r="H9" s="0" t="n">
        <v>8139</v>
      </c>
      <c r="I9" s="0" t="n">
        <v>4448</v>
      </c>
      <c r="J9" s="0" t="n">
        <v>26.0941</v>
      </c>
      <c r="K9" s="0" t="n">
        <v>7.01</v>
      </c>
      <c r="L9" s="0" t="n">
        <v>6699</v>
      </c>
      <c r="M9" s="0" t="n">
        <v>3549</v>
      </c>
      <c r="N9" s="0" t="n">
        <v>3150</v>
      </c>
      <c r="O9" s="0" t="n">
        <v>21051</v>
      </c>
      <c r="P9" s="0" t="n">
        <v>57067</v>
      </c>
      <c r="Q9" s="0" t="n">
        <v>36016</v>
      </c>
      <c r="R9" s="0" t="n">
        <v>20894</v>
      </c>
      <c r="S9" s="0" t="n">
        <v>389</v>
      </c>
      <c r="T9" s="0" t="n">
        <v>634.5</v>
      </c>
      <c r="U9" s="0" t="n">
        <v>74</v>
      </c>
      <c r="AA9" s="0" t="s">
        <v>17</v>
      </c>
      <c r="AB9" s="0" t="s">
        <v>14</v>
      </c>
      <c r="AC9" s="0" t="n">
        <v>7.1</v>
      </c>
      <c r="AD9" s="0" t="n">
        <v>926</v>
      </c>
    </row>
    <row r="10" customFormat="false" ht="15" hidden="false" customHeight="false" outlineLevel="0" collapsed="false">
      <c r="A10" s="0" t="s">
        <v>73</v>
      </c>
      <c r="B10" s="0" t="n">
        <v>17304</v>
      </c>
      <c r="F10" s="0" t="n">
        <v>6587</v>
      </c>
      <c r="G10" s="0" t="n">
        <v>38.0663</v>
      </c>
      <c r="H10" s="0" t="n">
        <v>8525</v>
      </c>
      <c r="I10" s="0" t="n">
        <v>4720</v>
      </c>
      <c r="J10" s="0" t="n">
        <v>27.2769</v>
      </c>
      <c r="K10" s="0" t="n">
        <v>7.57</v>
      </c>
      <c r="L10" s="0" t="n">
        <v>7049</v>
      </c>
      <c r="M10" s="0" t="n">
        <v>3658</v>
      </c>
      <c r="N10" s="0" t="n">
        <v>3391</v>
      </c>
      <c r="O10" s="0" t="n">
        <v>21568</v>
      </c>
      <c r="P10" s="0" t="n">
        <v>58555</v>
      </c>
      <c r="Q10" s="0" t="n">
        <v>36987</v>
      </c>
      <c r="R10" s="0" t="n">
        <v>21206</v>
      </c>
      <c r="S10" s="0" t="n">
        <v>350</v>
      </c>
      <c r="T10" s="0" t="n">
        <v>623.7</v>
      </c>
      <c r="U10" s="0" t="n">
        <v>106</v>
      </c>
      <c r="AA10" s="0" t="s">
        <v>17</v>
      </c>
      <c r="AB10" s="0" t="s">
        <v>14</v>
      </c>
      <c r="AC10" s="0" t="n">
        <v>7.63</v>
      </c>
      <c r="AD10" s="0" t="n">
        <v>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168.06</v>
      </c>
    </row>
    <row r="3" customFormat="false" ht="15" hidden="false" customHeight="false" outlineLevel="0" collapsed="false">
      <c r="A3" s="0" t="s">
        <v>77</v>
      </c>
      <c r="B3" s="3" t="n">
        <v>605.9</v>
      </c>
    </row>
    <row r="4" customFormat="false" ht="15" hidden="false" customHeight="false" outlineLevel="0" collapsed="false">
      <c r="A4" s="0" t="s">
        <v>78</v>
      </c>
      <c r="B4" s="3" t="n">
        <v>21974</v>
      </c>
    </row>
    <row r="5" customFormat="false" ht="15" hidden="false" customHeight="false" outlineLevel="0" collapsed="false">
      <c r="A5" s="0" t="s">
        <v>79</v>
      </c>
      <c r="B5" s="3" t="n">
        <v>-2050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17304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4</v>
      </c>
      <c r="D13" s="3" t="n">
        <v>-1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48</v>
      </c>
      <c r="D14" s="3" t="n">
        <v>46.5</v>
      </c>
      <c r="E14" s="3" t="n">
        <v>46.5</v>
      </c>
      <c r="F14" s="3" t="n">
        <v>47</v>
      </c>
      <c r="G14" s="3" t="n">
        <v>47.5</v>
      </c>
      <c r="H14" s="3" t="n">
        <v>47.5</v>
      </c>
      <c r="I14" s="3" t="n">
        <v>47.5</v>
      </c>
      <c r="J14" s="3" t="n">
        <v>47.5</v>
      </c>
      <c r="K14" s="3" t="n">
        <v>47.5</v>
      </c>
      <c r="L14" s="3" t="n">
        <v>47.5</v>
      </c>
    </row>
    <row r="15" customFormat="false" ht="15" hidden="false" customHeight="false" outlineLevel="0" collapsed="false">
      <c r="A15" s="0" t="s">
        <v>99</v>
      </c>
      <c r="C15" s="3" t="n">
        <v>0.6</v>
      </c>
      <c r="D15" s="3" t="n">
        <v>0.6</v>
      </c>
      <c r="E15" s="3" t="n">
        <v>0.6</v>
      </c>
      <c r="F15" s="3" t="n">
        <v>0.6</v>
      </c>
      <c r="G15" s="3" t="n">
        <v>0.6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11.2</v>
      </c>
      <c r="D17" s="3" t="n">
        <v>11.5</v>
      </c>
      <c r="E17" s="3" t="n">
        <v>11.7</v>
      </c>
      <c r="F17" s="3" t="n">
        <v>11.8</v>
      </c>
      <c r="G17" s="3" t="n">
        <v>11.8</v>
      </c>
      <c r="H17" s="3" t="n">
        <v>11.8</v>
      </c>
      <c r="I17" s="3" t="n">
        <v>11.8</v>
      </c>
      <c r="J17" s="3" t="n">
        <v>11.8</v>
      </c>
      <c r="K17" s="3" t="n">
        <v>11.8</v>
      </c>
      <c r="L17" s="3" t="n">
        <v>11.8</v>
      </c>
    </row>
    <row r="18" customFormat="false" ht="15" hidden="false" customHeight="false" outlineLevel="0" collapsed="false">
      <c r="A18" s="0" t="s">
        <v>102</v>
      </c>
      <c r="C18" s="3" t="n">
        <v>16</v>
      </c>
      <c r="D18" s="3" t="n">
        <v>17.5</v>
      </c>
      <c r="E18" s="3" t="n">
        <v>18.5</v>
      </c>
      <c r="F18" s="3" t="n">
        <v>19</v>
      </c>
      <c r="G18" s="3" t="n">
        <v>19</v>
      </c>
      <c r="H18" s="3" t="n">
        <v>19</v>
      </c>
      <c r="I18" s="3" t="n">
        <v>19</v>
      </c>
      <c r="J18" s="3" t="n">
        <v>19</v>
      </c>
      <c r="K18" s="3" t="n">
        <v>19</v>
      </c>
      <c r="L18" s="3" t="n">
        <v>19</v>
      </c>
    </row>
    <row r="19" customFormat="false" ht="15" hidden="false" customHeight="false" outlineLevel="0" collapsed="false">
      <c r="A19" s="0" t="s">
        <v>103</v>
      </c>
      <c r="C19" s="3" t="n">
        <v>20</v>
      </c>
      <c r="D19" s="3" t="n">
        <v>21</v>
      </c>
      <c r="E19" s="3" t="n">
        <v>22</v>
      </c>
      <c r="F19" s="3" t="n">
        <v>23</v>
      </c>
      <c r="G19" s="3" t="n">
        <v>24</v>
      </c>
      <c r="H19" s="3" t="n">
        <v>24.5</v>
      </c>
      <c r="I19" s="3" t="n">
        <v>24.5</v>
      </c>
      <c r="J19" s="3" t="n">
        <v>24.5</v>
      </c>
      <c r="K19" s="3" t="n">
        <v>24.5</v>
      </c>
      <c r="L19" s="3" t="n">
        <v>24.5</v>
      </c>
    </row>
    <row r="20" customFormat="false" ht="15" hidden="false" customHeight="false" outlineLevel="0" collapsed="false">
      <c r="A20" s="0" t="s">
        <v>104</v>
      </c>
      <c r="B20" s="3" t="n">
        <v>7.5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20</v>
      </c>
    </row>
    <row r="23" customFormat="false" ht="15" hidden="false" customHeight="false" outlineLevel="0" collapsed="false">
      <c r="A23" s="0" t="s">
        <v>107</v>
      </c>
      <c r="B23" s="3" t="n">
        <v>-3</v>
      </c>
    </row>
    <row r="24" customFormat="false" ht="15" hidden="false" customHeight="false" outlineLevel="0" collapsed="false">
      <c r="A24" s="0" t="s">
        <v>108</v>
      </c>
      <c r="B24" s="3" t="n">
        <v>0.2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5.5</v>
      </c>
      <c r="D27" s="3" t="n">
        <v>4</v>
      </c>
      <c r="E27" s="3" t="n">
        <v>4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48.5</v>
      </c>
      <c r="D28" s="3" t="n">
        <v>49</v>
      </c>
      <c r="E28" s="3" t="n">
        <v>49.3</v>
      </c>
      <c r="F28" s="3" t="n">
        <v>49.6</v>
      </c>
      <c r="G28" s="3" t="n">
        <v>49.8</v>
      </c>
      <c r="H28" s="3" t="n">
        <v>50</v>
      </c>
      <c r="I28" s="3" t="n">
        <v>50</v>
      </c>
      <c r="J28" s="3" t="n">
        <v>50</v>
      </c>
      <c r="K28" s="3" t="n">
        <v>50</v>
      </c>
      <c r="L28" s="3" t="n">
        <v>50</v>
      </c>
    </row>
    <row r="29" customFormat="false" ht="15" hidden="false" customHeight="false" outlineLevel="0" collapsed="false">
      <c r="A29" s="0" t="s">
        <v>99</v>
      </c>
      <c r="C29" s="3" t="n">
        <v>0.6</v>
      </c>
      <c r="D29" s="3" t="n">
        <v>0.6</v>
      </c>
      <c r="E29" s="3" t="n">
        <v>0.6</v>
      </c>
      <c r="F29" s="3" t="n">
        <v>0.6</v>
      </c>
      <c r="G29" s="3" t="n">
        <v>0.6</v>
      </c>
      <c r="H29" s="3" t="n">
        <v>0.6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11.2</v>
      </c>
      <c r="D31" s="3" t="n">
        <v>11.3</v>
      </c>
      <c r="E31" s="3" t="n">
        <v>11.3</v>
      </c>
      <c r="F31" s="3" t="n">
        <v>11.4</v>
      </c>
      <c r="G31" s="3" t="n">
        <v>11.4</v>
      </c>
      <c r="H31" s="3" t="n">
        <v>11.5</v>
      </c>
      <c r="I31" s="3" t="n">
        <v>11.5</v>
      </c>
      <c r="J31" s="3" t="n">
        <v>11.5</v>
      </c>
      <c r="K31" s="3" t="n">
        <v>11.5</v>
      </c>
      <c r="L31" s="3" t="n">
        <v>11.5</v>
      </c>
    </row>
    <row r="32" customFormat="false" ht="15" hidden="false" customHeight="false" outlineLevel="0" collapsed="false">
      <c r="A32" s="0" t="s">
        <v>102</v>
      </c>
      <c r="C32" s="3" t="n">
        <v>15.5</v>
      </c>
      <c r="D32" s="3" t="n">
        <v>16.5</v>
      </c>
      <c r="E32" s="3" t="n">
        <v>17</v>
      </c>
      <c r="F32" s="3" t="n">
        <v>17.5</v>
      </c>
      <c r="G32" s="3" t="n">
        <v>18</v>
      </c>
      <c r="H32" s="3" t="n">
        <v>18</v>
      </c>
      <c r="I32" s="3" t="n">
        <v>18</v>
      </c>
      <c r="J32" s="3" t="n">
        <v>18</v>
      </c>
      <c r="K32" s="3" t="n">
        <v>18</v>
      </c>
      <c r="L32" s="3" t="n">
        <v>18</v>
      </c>
    </row>
    <row r="33" customFormat="false" ht="15" hidden="false" customHeight="false" outlineLevel="0" collapsed="false">
      <c r="A33" s="0" t="s">
        <v>103</v>
      </c>
      <c r="C33" s="3" t="n">
        <v>19</v>
      </c>
      <c r="D33" s="3" t="n">
        <v>20</v>
      </c>
      <c r="E33" s="3" t="n">
        <v>21</v>
      </c>
      <c r="F33" s="3" t="n">
        <v>22</v>
      </c>
      <c r="G33" s="3" t="n">
        <v>23</v>
      </c>
      <c r="H33" s="3" t="n">
        <v>23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104</v>
      </c>
      <c r="B34" s="3" t="n">
        <v>7.5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20</v>
      </c>
    </row>
    <row r="37" customFormat="false" ht="15" hidden="false" customHeight="false" outlineLevel="0" collapsed="false">
      <c r="A37" s="0" t="s">
        <v>107</v>
      </c>
      <c r="B37" s="3" t="n">
        <v>-3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6.5</v>
      </c>
      <c r="D41" s="3" t="n">
        <v>5.5</v>
      </c>
      <c r="E41" s="3" t="n">
        <v>5</v>
      </c>
      <c r="F41" s="3" t="n">
        <v>4.5</v>
      </c>
      <c r="G41" s="3" t="n">
        <v>4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48.8</v>
      </c>
      <c r="D42" s="3" t="n">
        <v>49.8</v>
      </c>
      <c r="E42" s="3" t="n">
        <v>50.5</v>
      </c>
      <c r="F42" s="3" t="n">
        <v>51</v>
      </c>
      <c r="G42" s="3" t="n">
        <v>51.5</v>
      </c>
      <c r="H42" s="3" t="n">
        <v>52</v>
      </c>
      <c r="I42" s="3" t="n">
        <v>52</v>
      </c>
      <c r="J42" s="3" t="n">
        <v>52</v>
      </c>
      <c r="K42" s="3" t="n">
        <v>52</v>
      </c>
      <c r="L42" s="3" t="n">
        <v>52</v>
      </c>
    </row>
    <row r="43" customFormat="false" ht="15" hidden="false" customHeight="false" outlineLevel="0" collapsed="false">
      <c r="A43" s="0" t="s">
        <v>99</v>
      </c>
      <c r="C43" s="3" t="n">
        <v>0.6</v>
      </c>
      <c r="D43" s="3" t="n">
        <v>0.6</v>
      </c>
      <c r="E43" s="3" t="n">
        <v>0.6</v>
      </c>
      <c r="F43" s="3" t="n">
        <v>0.6</v>
      </c>
      <c r="G43" s="3" t="n">
        <v>0.6</v>
      </c>
      <c r="H43" s="3" t="n">
        <v>0.6</v>
      </c>
      <c r="I43" s="3" t="n">
        <v>0.6</v>
      </c>
      <c r="J43" s="3" t="n">
        <v>0.6</v>
      </c>
      <c r="K43" s="3" t="n">
        <v>0.6</v>
      </c>
      <c r="L43" s="3" t="n">
        <v>0.6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11.2</v>
      </c>
      <c r="D45" s="3" t="n">
        <v>11.2</v>
      </c>
      <c r="E45" s="3" t="n">
        <v>11.2</v>
      </c>
      <c r="F45" s="3" t="n">
        <v>11.2</v>
      </c>
      <c r="G45" s="3" t="n">
        <v>11.2</v>
      </c>
      <c r="H45" s="3" t="n">
        <v>11.2</v>
      </c>
      <c r="I45" s="3" t="n">
        <v>11.2</v>
      </c>
      <c r="J45" s="3" t="n">
        <v>11.2</v>
      </c>
      <c r="K45" s="3" t="n">
        <v>11.2</v>
      </c>
      <c r="L45" s="3" t="n">
        <v>11.2</v>
      </c>
    </row>
    <row r="46" customFormat="false" ht="15" hidden="false" customHeight="false" outlineLevel="0" collapsed="false">
      <c r="A46" s="0" t="s">
        <v>102</v>
      </c>
      <c r="C46" s="3" t="n">
        <v>15.5</v>
      </c>
      <c r="D46" s="3" t="n">
        <v>16</v>
      </c>
      <c r="E46" s="3" t="n">
        <v>16.5</v>
      </c>
      <c r="F46" s="3" t="n">
        <v>17</v>
      </c>
      <c r="G46" s="3" t="n">
        <v>17</v>
      </c>
      <c r="H46" s="3" t="n">
        <v>17</v>
      </c>
      <c r="I46" s="3" t="n">
        <v>17</v>
      </c>
      <c r="J46" s="3" t="n">
        <v>17</v>
      </c>
      <c r="K46" s="3" t="n">
        <v>17</v>
      </c>
      <c r="L46" s="3" t="n">
        <v>17</v>
      </c>
    </row>
    <row r="47" customFormat="false" ht="15" hidden="false" customHeight="false" outlineLevel="0" collapsed="false">
      <c r="A47" s="0" t="s">
        <v>103</v>
      </c>
      <c r="C47" s="3" t="n">
        <v>18</v>
      </c>
      <c r="D47" s="3" t="n">
        <v>19</v>
      </c>
      <c r="E47" s="3" t="n">
        <v>20</v>
      </c>
      <c r="F47" s="3" t="n">
        <v>21</v>
      </c>
      <c r="G47" s="3" t="n">
        <v>22</v>
      </c>
      <c r="H47" s="3" t="n">
        <v>22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104</v>
      </c>
      <c r="B48" s="3" t="n">
        <v>7.5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20</v>
      </c>
    </row>
    <row r="51" customFormat="false" ht="15" hidden="false" customHeight="false" outlineLevel="0" collapsed="false">
      <c r="A51" s="0" t="s">
        <v>107</v>
      </c>
      <c r="B51" s="3" t="n">
        <v>-3</v>
      </c>
    </row>
    <row r="52" customFormat="false" ht="15" hidden="false" customHeight="false" outlineLevel="0" collapsed="false">
      <c r="A52" s="0" t="s">
        <v>108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4</v>
      </c>
      <c r="D5" s="4" t="n">
        <f aca="false">Assumptions!D13</f>
        <v>-1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17304</v>
      </c>
      <c r="C6" s="0" t="n">
        <f aca="false">B6*(1+C5/100)</f>
        <v>17996.16</v>
      </c>
      <c r="D6" s="0" t="n">
        <f aca="false">C6*(1+D5/100)</f>
        <v>17816.1984</v>
      </c>
      <c r="E6" s="0" t="n">
        <f aca="false">D6*(1+E5/100)</f>
        <v>17994.360384</v>
      </c>
      <c r="F6" s="0" t="n">
        <f aca="false">E6*(1+F5/100)</f>
        <v>18354.24759168</v>
      </c>
      <c r="G6" s="0" t="n">
        <f aca="false">F6*(1+G5/100)</f>
        <v>18721.3325435136</v>
      </c>
      <c r="H6" s="0" t="n">
        <f aca="false">G6*(1+H5/100)</f>
        <v>19095.7591943839</v>
      </c>
      <c r="I6" s="0" t="n">
        <f aca="false">H6*(1+I5/100)</f>
        <v>19477.6743782716</v>
      </c>
      <c r="J6" s="0" t="n">
        <f aca="false">I6*(1+J5/100)</f>
        <v>19867.227865837</v>
      </c>
      <c r="K6" s="0" t="n">
        <f aca="false">J6*(1+K5/100)</f>
        <v>20264.5724231537</v>
      </c>
      <c r="L6" s="0" t="n">
        <f aca="false">K6*(1+L5/100)</f>
        <v>20669.8638716168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48</v>
      </c>
      <c r="D7" s="4" t="n">
        <f aca="false">Assumptions!D14</f>
        <v>46.5</v>
      </c>
      <c r="E7" s="4" t="n">
        <f aca="false">Assumptions!E14</f>
        <v>46.5</v>
      </c>
      <c r="F7" s="4" t="n">
        <f aca="false">Assumptions!F14</f>
        <v>47</v>
      </c>
      <c r="G7" s="4" t="n">
        <f aca="false">Assumptions!G14</f>
        <v>47.5</v>
      </c>
      <c r="H7" s="4" t="n">
        <f aca="false">Assumptions!H14</f>
        <v>47.5</v>
      </c>
      <c r="I7" s="4" t="n">
        <f aca="false">Assumptions!I14</f>
        <v>47.5</v>
      </c>
      <c r="J7" s="4" t="n">
        <f aca="false">Assumptions!J14</f>
        <v>47.5</v>
      </c>
      <c r="K7" s="4" t="n">
        <f aca="false">Assumptions!K14</f>
        <v>47.5</v>
      </c>
      <c r="L7" s="4" t="n">
        <f aca="false">Assumptions!L14</f>
        <v>47.5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8638.1568</v>
      </c>
      <c r="D8" s="0" t="n">
        <f aca="false">D6*D7/100</f>
        <v>8284.532256</v>
      </c>
      <c r="E8" s="0" t="n">
        <f aca="false">E6*E7/100</f>
        <v>8367.37757856</v>
      </c>
      <c r="F8" s="0" t="n">
        <f aca="false">F6*F7/100</f>
        <v>8626.4963680896</v>
      </c>
      <c r="G8" s="0" t="n">
        <f aca="false">G6*G7/100</f>
        <v>8892.63295816896</v>
      </c>
      <c r="H8" s="0" t="n">
        <f aca="false">H6*H7/100</f>
        <v>9070.48561733234</v>
      </c>
      <c r="I8" s="0" t="n">
        <f aca="false">I6*I7/100</f>
        <v>9251.89532967899</v>
      </c>
      <c r="J8" s="0" t="n">
        <f aca="false">J6*J7/100</f>
        <v>9436.93323627257</v>
      </c>
      <c r="K8" s="0" t="n">
        <f aca="false">K6*K7/100</f>
        <v>9625.67190099802</v>
      </c>
      <c r="L8" s="0" t="n">
        <f aca="false">L6*L7/100</f>
        <v>9818.18533901798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0.6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-107.97696</v>
      </c>
      <c r="D10" s="0" t="n">
        <f aca="false">-D6*D9/100</f>
        <v>-106.8971904</v>
      </c>
      <c r="E10" s="0" t="n">
        <f aca="false">-E6*E9/100</f>
        <v>-107.966162304</v>
      </c>
      <c r="F10" s="0" t="n">
        <f aca="false">-F6*F9/100</f>
        <v>-110.12548555008</v>
      </c>
      <c r="G10" s="0" t="n">
        <f aca="false">-G6*G9/100</f>
        <v>-112.327995261082</v>
      </c>
      <c r="H10" s="0" t="n">
        <f aca="false">-H6*H9/100</f>
        <v>-114.574555166303</v>
      </c>
      <c r="I10" s="0" t="n">
        <f aca="false">-I6*I9/100</f>
        <v>-116.866046269629</v>
      </c>
      <c r="J10" s="0" t="n">
        <f aca="false">-J6*J9/100</f>
        <v>-119.203367195022</v>
      </c>
      <c r="K10" s="0" t="n">
        <f aca="false">-K6*K9/100</f>
        <v>-121.587434538922</v>
      </c>
      <c r="L10" s="0" t="n">
        <f aca="false">-L6*L9/100</f>
        <v>-124.019183229701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8530.17984</v>
      </c>
      <c r="D11" s="0" t="n">
        <f aca="false">D8+D10+D24</f>
        <v>8177.6350656</v>
      </c>
      <c r="E11" s="0" t="n">
        <f aca="false">E8+E10+E24</f>
        <v>8259.411416256</v>
      </c>
      <c r="F11" s="0" t="n">
        <f aca="false">F8+F10+F24</f>
        <v>8516.37088253952</v>
      </c>
      <c r="G11" s="0" t="n">
        <f aca="false">G8+G10+G24</f>
        <v>8780.30496290788</v>
      </c>
      <c r="H11" s="0" t="n">
        <f aca="false">H8+H10+H24</f>
        <v>8955.91106216604</v>
      </c>
      <c r="I11" s="0" t="n">
        <f aca="false">I8+I10+I24</f>
        <v>9135.02928340936</v>
      </c>
      <c r="J11" s="0" t="n">
        <f aca="false">J8+J10+J24</f>
        <v>9317.72986907754</v>
      </c>
      <c r="K11" s="0" t="n">
        <f aca="false">K8+K10+K24</f>
        <v>9504.0844664591</v>
      </c>
      <c r="L11" s="0" t="n">
        <f aca="false">L8+L10+L24</f>
        <v>9694.16615578828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-2015.56992</v>
      </c>
      <c r="D12" s="4" t="n">
        <f aca="false">-D6*Assumptions!D17/100</f>
        <v>-2048.862816</v>
      </c>
      <c r="E12" s="4" t="n">
        <f aca="false">-E6*Assumptions!E17/100</f>
        <v>-2105.340164928</v>
      </c>
      <c r="F12" s="4" t="n">
        <f aca="false">-F6*Assumptions!F17/100</f>
        <v>-2165.80121581824</v>
      </c>
      <c r="G12" s="4" t="n">
        <f aca="false">-G6*Assumptions!G17/100</f>
        <v>-2209.11724013461</v>
      </c>
      <c r="H12" s="4" t="n">
        <f aca="false">-H6*Assumptions!H17/100</f>
        <v>-2253.2995849373</v>
      </c>
      <c r="I12" s="4" t="n">
        <f aca="false">-I6*Assumptions!I17/100</f>
        <v>-2298.36557663604</v>
      </c>
      <c r="J12" s="4" t="n">
        <f aca="false">-J6*Assumptions!J17/100</f>
        <v>-2344.33288816876</v>
      </c>
      <c r="K12" s="4" t="n">
        <f aca="false">-K6*Assumptions!K17/100</f>
        <v>-2391.21954593214</v>
      </c>
      <c r="L12" s="4" t="n">
        <f aca="false">-L6*Assumptions!L17/100</f>
        <v>-2439.04393685078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6514.60992</v>
      </c>
      <c r="D13" s="0" t="n">
        <f aca="false">D11+D12</f>
        <v>6128.7722496</v>
      </c>
      <c r="E13" s="0" t="n">
        <f aca="false">E11+E12</f>
        <v>6154.071251328</v>
      </c>
      <c r="F13" s="0" t="n">
        <f aca="false">F11+F12</f>
        <v>6350.56966672128</v>
      </c>
      <c r="G13" s="0" t="n">
        <f aca="false">G11+G12</f>
        <v>6571.18772277328</v>
      </c>
      <c r="H13" s="0" t="n">
        <f aca="false">H11+H12</f>
        <v>6702.61147722874</v>
      </c>
      <c r="I13" s="0" t="n">
        <f aca="false">I11+I12</f>
        <v>6836.66370677331</v>
      </c>
      <c r="J13" s="0" t="n">
        <f aca="false">J11+J12</f>
        <v>6973.39698090878</v>
      </c>
      <c r="K13" s="0" t="n">
        <f aca="false">K11+K12</f>
        <v>7112.86492052696</v>
      </c>
      <c r="L13" s="0" t="n">
        <f aca="false">L11+L12</f>
        <v>7255.1222189375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20</v>
      </c>
      <c r="D14" s="4" t="n">
        <f aca="false">Assumptions!D19</f>
        <v>21</v>
      </c>
      <c r="E14" s="4" t="n">
        <f aca="false">Assumptions!E19</f>
        <v>22</v>
      </c>
      <c r="F14" s="4" t="n">
        <f aca="false">Assumptions!F19</f>
        <v>23</v>
      </c>
      <c r="G14" s="4" t="n">
        <f aca="false">Assumptions!G19</f>
        <v>24</v>
      </c>
      <c r="H14" s="4" t="n">
        <f aca="false">Assumptions!H19</f>
        <v>24.5</v>
      </c>
      <c r="I14" s="4" t="n">
        <f aca="false">Assumptions!I19</f>
        <v>24.5</v>
      </c>
      <c r="J14" s="4" t="n">
        <f aca="false">Assumptions!J19</f>
        <v>24.5</v>
      </c>
      <c r="K14" s="4" t="n">
        <f aca="false">Assumptions!K19</f>
        <v>24.5</v>
      </c>
      <c r="L14" s="4" t="n">
        <f aca="false">Assumptions!L19</f>
        <v>24.5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5211.687936</v>
      </c>
      <c r="D15" s="0" t="n">
        <f aca="false">D13-MAX(0,D13)*D14/100</f>
        <v>4841.730077184</v>
      </c>
      <c r="E15" s="0" t="n">
        <f aca="false">E13-MAX(0,E13)*E14/100</f>
        <v>4800.17557603584</v>
      </c>
      <c r="F15" s="0" t="n">
        <f aca="false">F13-MAX(0,F13)*F14/100</f>
        <v>4889.93864337539</v>
      </c>
      <c r="G15" s="0" t="n">
        <f aca="false">G13-MAX(0,G13)*G14/100</f>
        <v>4994.10266930769</v>
      </c>
      <c r="H15" s="0" t="n">
        <f aca="false">H13-MAX(0,H13)*H14/100</f>
        <v>5060.4716653077</v>
      </c>
      <c r="I15" s="0" t="n">
        <f aca="false">I13-MAX(0,I13)*I14/100</f>
        <v>5161.68109861385</v>
      </c>
      <c r="J15" s="0" t="n">
        <f aca="false">J13-MAX(0,J13)*J14/100</f>
        <v>5264.91472058613</v>
      </c>
      <c r="K15" s="0" t="n">
        <f aca="false">K13-MAX(0,K13)*K14/100</f>
        <v>5370.21301499785</v>
      </c>
      <c r="L15" s="0" t="n">
        <f aca="false">L13-MAX(0,L13)*L14/100</f>
        <v>5477.61727529781</v>
      </c>
    </row>
    <row r="16" customFormat="false" ht="15" hidden="false" customHeight="false" outlineLevel="0" collapsed="false">
      <c r="A16" s="0" t="s">
        <v>119</v>
      </c>
      <c r="C16" s="0" t="n">
        <f aca="false">-C12</f>
        <v>2015.56992</v>
      </c>
      <c r="D16" s="0" t="n">
        <f aca="false">-D12</f>
        <v>2048.862816</v>
      </c>
      <c r="E16" s="0" t="n">
        <f aca="false">-E12</f>
        <v>2105.340164928</v>
      </c>
      <c r="F16" s="0" t="n">
        <f aca="false">-F12</f>
        <v>2165.80121581824</v>
      </c>
      <c r="G16" s="0" t="n">
        <f aca="false">-G12</f>
        <v>2209.11724013461</v>
      </c>
      <c r="H16" s="0" t="n">
        <f aca="false">-H12</f>
        <v>2253.2995849373</v>
      </c>
      <c r="I16" s="0" t="n">
        <f aca="false">-I12</f>
        <v>2298.36557663604</v>
      </c>
      <c r="J16" s="0" t="n">
        <f aca="false">-J12</f>
        <v>2344.33288816876</v>
      </c>
      <c r="K16" s="0" t="n">
        <f aca="false">-K12</f>
        <v>2391.21954593214</v>
      </c>
      <c r="L16" s="0" t="n">
        <f aca="false">-L12</f>
        <v>2439.04393685078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-2879.3856</v>
      </c>
      <c r="D17" s="4" t="n">
        <f aca="false">-D6*Assumptions!D18/100</f>
        <v>-3117.83472</v>
      </c>
      <c r="E17" s="4" t="n">
        <f aca="false">-E6*Assumptions!E18/100</f>
        <v>-3328.95667104</v>
      </c>
      <c r="F17" s="4" t="n">
        <f aca="false">-F6*Assumptions!F18/100</f>
        <v>-3487.3070424192</v>
      </c>
      <c r="G17" s="4" t="n">
        <f aca="false">-G6*Assumptions!G18/100</f>
        <v>-3557.05318326758</v>
      </c>
      <c r="H17" s="4" t="n">
        <f aca="false">-H6*Assumptions!H18/100</f>
        <v>-3628.19424693294</v>
      </c>
      <c r="I17" s="4" t="n">
        <f aca="false">-I6*Assumptions!I18/100</f>
        <v>-3700.75813187159</v>
      </c>
      <c r="J17" s="4" t="n">
        <f aca="false">-J6*Assumptions!J18/100</f>
        <v>-3774.77329450903</v>
      </c>
      <c r="K17" s="4" t="n">
        <f aca="false">-K6*Assumptions!K18/100</f>
        <v>-3850.26876039921</v>
      </c>
      <c r="L17" s="4" t="n">
        <f aca="false">-L6*Assumptions!L18/100</f>
        <v>-3927.27413560719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-20.7648</v>
      </c>
      <c r="D18" s="4" t="n">
        <f aca="false">(D6-C6)*Assumptions!$B$23/100</f>
        <v>5.39884799999996</v>
      </c>
      <c r="E18" s="4" t="n">
        <f aca="false">(E6-D6)*Assumptions!$B$23/100</f>
        <v>-5.34485951999996</v>
      </c>
      <c r="F18" s="4" t="n">
        <f aca="false">(F6-E6)*Assumptions!$B$23/100</f>
        <v>-10.7966162304</v>
      </c>
      <c r="G18" s="4" t="n">
        <f aca="false">(G6-F6)*Assumptions!$B$23/100</f>
        <v>-11.012548555008</v>
      </c>
      <c r="H18" s="4" t="n">
        <f aca="false">(H6-G6)*Assumptions!$B$23/100</f>
        <v>-11.2327995261081</v>
      </c>
      <c r="I18" s="4" t="n">
        <f aca="false">(I6-H6)*Assumptions!$B$23/100</f>
        <v>-11.4574555166304</v>
      </c>
      <c r="J18" s="4" t="n">
        <f aca="false">(J6-I6)*Assumptions!$B$23/100</f>
        <v>-11.6866046269629</v>
      </c>
      <c r="K18" s="4" t="n">
        <f aca="false">(K6-J6)*Assumptions!$B$23/100</f>
        <v>-11.9203367195022</v>
      </c>
      <c r="L18" s="4" t="n">
        <f aca="false">(L6-K6)*Assumptions!$B$23/100</f>
        <v>-12.1587434538922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4327.107456</v>
      </c>
      <c r="D19" s="0" t="n">
        <f aca="false">D15+D16+D17+D18</f>
        <v>3778.157021184</v>
      </c>
      <c r="E19" s="0" t="n">
        <f aca="false">E15+E16+E17+E18</f>
        <v>3571.21421040384</v>
      </c>
      <c r="F19" s="0" t="n">
        <f aca="false">F15+F16+F17+F18</f>
        <v>3557.63620054403</v>
      </c>
      <c r="G19" s="0" t="n">
        <f aca="false">G15+G16+G17+G18</f>
        <v>3635.1541776197</v>
      </c>
      <c r="H19" s="0" t="n">
        <f aca="false">H15+H16+H17+H18</f>
        <v>3674.34420378595</v>
      </c>
      <c r="I19" s="0" t="n">
        <f aca="false">I15+I16+I17+I18</f>
        <v>3747.83108786167</v>
      </c>
      <c r="J19" s="0" t="n">
        <f aca="false">J15+J16+J17+J18</f>
        <v>3822.7877096189</v>
      </c>
      <c r="K19" s="0" t="n">
        <f aca="false">K15+K16+K17+K18</f>
        <v>3899.24346381128</v>
      </c>
      <c r="L19" s="0" t="n">
        <f aca="false">L15+L16+L17+L18</f>
        <v>3977.22833308751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4025.21623813953</v>
      </c>
      <c r="D21" s="0" t="n">
        <f aca="false">D19*D20</f>
        <v>3269.36248452915</v>
      </c>
      <c r="E21" s="0" t="n">
        <f aca="false">E19*E20</f>
        <v>2874.68662464746</v>
      </c>
      <c r="F21" s="0" t="n">
        <f aca="false">F19*F20</f>
        <v>2663.95987171898</v>
      </c>
      <c r="G21" s="0" t="n">
        <f aca="false">G19*G20</f>
        <v>2532.09802234459</v>
      </c>
      <c r="H21" s="0" t="n">
        <f aca="false">H19*H20</f>
        <v>2380.83364964904</v>
      </c>
      <c r="I21" s="0" t="n">
        <f aca="false">I19*I20</f>
        <v>2259.02355594607</v>
      </c>
      <c r="J21" s="0" t="n">
        <f aca="false">J19*J20</f>
        <v>2143.44560657208</v>
      </c>
      <c r="K21" s="0" t="n">
        <f aca="false">K19*K20</f>
        <v>2033.78094763119</v>
      </c>
      <c r="L21" s="0" t="n">
        <f aca="false">L19*L20</f>
        <v>1929.72703868261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26112.1340398607</v>
      </c>
    </row>
    <row r="31" customFormat="false" ht="15" hidden="false" customHeight="false" outlineLevel="0" collapsed="false">
      <c r="A31" s="0" t="s">
        <v>128</v>
      </c>
      <c r="B31" s="0" t="n">
        <f aca="false">L19</f>
        <v>3977.22833308751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73759.5072681683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79544.5666617501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73759.5072681683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35787.665081023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61899.7991208837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37875.7991208837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62.5116341325032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-0.628039782622259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775.669299062077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1115.9422143614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65.6336204560277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31205.9453826866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4.68288974591908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5.5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17304</v>
      </c>
      <c r="C6" s="0" t="n">
        <f aca="false">B6*(1+C5/100)</f>
        <v>18255.72</v>
      </c>
      <c r="D6" s="0" t="n">
        <f aca="false">C6*(1+D5/100)</f>
        <v>18985.9488</v>
      </c>
      <c r="E6" s="0" t="n">
        <f aca="false">D6*(1+E5/100)</f>
        <v>19745.386752</v>
      </c>
      <c r="F6" s="0" t="n">
        <f aca="false">E6*(1+F5/100)</f>
        <v>20436.47528832</v>
      </c>
      <c r="G6" s="0" t="n">
        <f aca="false">F6*(1+G5/100)</f>
        <v>21151.7519234112</v>
      </c>
      <c r="H6" s="0" t="n">
        <f aca="false">G6*(1+H5/100)</f>
        <v>21786.3044811135</v>
      </c>
      <c r="I6" s="0" t="n">
        <f aca="false">H6*(1+I5/100)</f>
        <v>22439.8936155469</v>
      </c>
      <c r="J6" s="0" t="n">
        <f aca="false">I6*(1+J5/100)</f>
        <v>23000.8909559356</v>
      </c>
      <c r="K6" s="0" t="n">
        <f aca="false">J6*(1+K5/100)</f>
        <v>23575.913229834</v>
      </c>
      <c r="L6" s="0" t="n">
        <f aca="false">K6*(1+L5/100)</f>
        <v>24165.3110605798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48.5</v>
      </c>
      <c r="D7" s="4" t="n">
        <f aca="false">Assumptions!D28</f>
        <v>49</v>
      </c>
      <c r="E7" s="4" t="n">
        <f aca="false">Assumptions!E28</f>
        <v>49.3</v>
      </c>
      <c r="F7" s="4" t="n">
        <f aca="false">Assumptions!F28</f>
        <v>49.6</v>
      </c>
      <c r="G7" s="4" t="n">
        <f aca="false">Assumptions!G28</f>
        <v>49.8</v>
      </c>
      <c r="H7" s="4" t="n">
        <f aca="false">Assumptions!H28</f>
        <v>50</v>
      </c>
      <c r="I7" s="4" t="n">
        <f aca="false">Assumptions!I28</f>
        <v>50</v>
      </c>
      <c r="J7" s="4" t="n">
        <f aca="false">Assumptions!J28</f>
        <v>50</v>
      </c>
      <c r="K7" s="4" t="n">
        <f aca="false">Assumptions!K28</f>
        <v>50</v>
      </c>
      <c r="L7" s="4" t="n">
        <f aca="false">Assumptions!L28</f>
        <v>50</v>
      </c>
    </row>
    <row r="8" customFormat="false" ht="15" hidden="false" customHeight="false" outlineLevel="0" collapsed="false">
      <c r="A8" s="0" t="s">
        <v>43</v>
      </c>
      <c r="C8" s="0" t="n">
        <f aca="false">C6*C7/100</f>
        <v>8854.0242</v>
      </c>
      <c r="D8" s="0" t="n">
        <f aca="false">D6*D7/100</f>
        <v>9303.114912</v>
      </c>
      <c r="E8" s="0" t="n">
        <f aca="false">E6*E7/100</f>
        <v>9734.475668736</v>
      </c>
      <c r="F8" s="0" t="n">
        <f aca="false">F6*F7/100</f>
        <v>10136.4917430067</v>
      </c>
      <c r="G8" s="0" t="n">
        <f aca="false">G6*G7/100</f>
        <v>10533.5724578588</v>
      </c>
      <c r="H8" s="0" t="n">
        <f aca="false">H6*H7/100</f>
        <v>10893.1522405568</v>
      </c>
      <c r="I8" s="0" t="n">
        <f aca="false">I6*I7/100</f>
        <v>11219.9468077735</v>
      </c>
      <c r="J8" s="0" t="n">
        <f aca="false">J6*J7/100</f>
        <v>11500.4454779678</v>
      </c>
      <c r="K8" s="0" t="n">
        <f aca="false">K6*K7/100</f>
        <v>11787.956614917</v>
      </c>
      <c r="L8" s="0" t="n">
        <f aca="false">L6*L7/100</f>
        <v>12082.6555302899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0.6</v>
      </c>
      <c r="F9" s="4" t="n">
        <f aca="false">Assumptions!F29</f>
        <v>0.6</v>
      </c>
      <c r="G9" s="4" t="n">
        <f aca="false">Assumptions!G29</f>
        <v>0.6</v>
      </c>
      <c r="H9" s="4" t="n">
        <f aca="false">Assumptions!H29</f>
        <v>0.6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-109.53432</v>
      </c>
      <c r="D10" s="0" t="n">
        <f aca="false">-D6*D9/100</f>
        <v>-113.9156928</v>
      </c>
      <c r="E10" s="0" t="n">
        <f aca="false">-E6*E9/100</f>
        <v>-118.472320512</v>
      </c>
      <c r="F10" s="0" t="n">
        <f aca="false">-F6*F9/100</f>
        <v>-122.61885172992</v>
      </c>
      <c r="G10" s="0" t="n">
        <f aca="false">-G6*G9/100</f>
        <v>-126.910511540467</v>
      </c>
      <c r="H10" s="0" t="n">
        <f aca="false">-H6*H9/100</f>
        <v>-130.717826886681</v>
      </c>
      <c r="I10" s="0" t="n">
        <f aca="false">-I6*I9/100</f>
        <v>-134.639361693282</v>
      </c>
      <c r="J10" s="0" t="n">
        <f aca="false">-J6*J9/100</f>
        <v>-138.005345735614</v>
      </c>
      <c r="K10" s="0" t="n">
        <f aca="false">-K6*K9/100</f>
        <v>-141.455479379004</v>
      </c>
      <c r="L10" s="0" t="n">
        <f aca="false">-L6*L9/100</f>
        <v>-144.991866363479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8744.48988</v>
      </c>
      <c r="D11" s="0" t="n">
        <f aca="false">D8+D10+D24</f>
        <v>9189.1992192</v>
      </c>
      <c r="E11" s="0" t="n">
        <f aca="false">E8+E10+E24</f>
        <v>9616.003348224</v>
      </c>
      <c r="F11" s="0" t="n">
        <f aca="false">F8+F10+F24</f>
        <v>10013.8728912768</v>
      </c>
      <c r="G11" s="0" t="n">
        <f aca="false">G8+G10+G24</f>
        <v>10406.6619463183</v>
      </c>
      <c r="H11" s="0" t="n">
        <f aca="false">H8+H10+H24</f>
        <v>10762.4344136701</v>
      </c>
      <c r="I11" s="0" t="n">
        <f aca="false">I8+I10+I24</f>
        <v>11085.3074460802</v>
      </c>
      <c r="J11" s="0" t="n">
        <f aca="false">J8+J10+J24</f>
        <v>11362.4401322322</v>
      </c>
      <c r="K11" s="0" t="n">
        <f aca="false">K8+K10+K24</f>
        <v>11646.501135538</v>
      </c>
      <c r="L11" s="0" t="n">
        <f aca="false">L8+L10+L24</f>
        <v>11937.6636639264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-2044.64064</v>
      </c>
      <c r="D12" s="4" t="n">
        <f aca="false">-D6*Assumptions!D31/100</f>
        <v>-2145.4122144</v>
      </c>
      <c r="E12" s="4" t="n">
        <f aca="false">-E6*Assumptions!E31/100</f>
        <v>-2231.228702976</v>
      </c>
      <c r="F12" s="4" t="n">
        <f aca="false">-F6*Assumptions!F31/100</f>
        <v>-2329.75818286848</v>
      </c>
      <c r="G12" s="4" t="n">
        <f aca="false">-G6*Assumptions!G31/100</f>
        <v>-2411.29971926888</v>
      </c>
      <c r="H12" s="4" t="n">
        <f aca="false">-H6*Assumptions!H31/100</f>
        <v>-2505.42501532806</v>
      </c>
      <c r="I12" s="4" t="n">
        <f aca="false">-I6*Assumptions!I31/100</f>
        <v>-2580.5877657879</v>
      </c>
      <c r="J12" s="4" t="n">
        <f aca="false">-J6*Assumptions!J31/100</f>
        <v>-2645.1024599326</v>
      </c>
      <c r="K12" s="4" t="n">
        <f aca="false">-K6*Assumptions!K31/100</f>
        <v>-2711.23002143091</v>
      </c>
      <c r="L12" s="4" t="n">
        <f aca="false">-L6*Assumptions!L31/100</f>
        <v>-2779.01077196668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6699.84924</v>
      </c>
      <c r="D13" s="0" t="n">
        <f aca="false">D11+D12</f>
        <v>7043.7870048</v>
      </c>
      <c r="E13" s="0" t="n">
        <f aca="false">E11+E12</f>
        <v>7384.774645248</v>
      </c>
      <c r="F13" s="0" t="n">
        <f aca="false">F11+F12</f>
        <v>7684.11470840832</v>
      </c>
      <c r="G13" s="0" t="n">
        <f aca="false">G11+G12</f>
        <v>7995.36222704943</v>
      </c>
      <c r="H13" s="0" t="n">
        <f aca="false">H11+H12</f>
        <v>8257.00939834203</v>
      </c>
      <c r="I13" s="0" t="n">
        <f aca="false">I11+I12</f>
        <v>8504.71968029229</v>
      </c>
      <c r="J13" s="0" t="n">
        <f aca="false">J11+J12</f>
        <v>8717.3376722996</v>
      </c>
      <c r="K13" s="0" t="n">
        <f aca="false">K11+K12</f>
        <v>8935.27111410709</v>
      </c>
      <c r="L13" s="0" t="n">
        <f aca="false">L11+L12</f>
        <v>9158.65289195976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19</v>
      </c>
      <c r="D14" s="4" t="n">
        <f aca="false">Assumptions!D33</f>
        <v>20</v>
      </c>
      <c r="E14" s="4" t="n">
        <f aca="false">Assumptions!E33</f>
        <v>21</v>
      </c>
      <c r="F14" s="4" t="n">
        <f aca="false">Assumptions!F33</f>
        <v>22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5426.8778844</v>
      </c>
      <c r="D15" s="0" t="n">
        <f aca="false">D13-MAX(0,D13)*D14/100</f>
        <v>5635.02960384</v>
      </c>
      <c r="E15" s="0" t="n">
        <f aca="false">E13-MAX(0,E13)*E14/100</f>
        <v>5833.97196974592</v>
      </c>
      <c r="F15" s="0" t="n">
        <f aca="false">F13-MAX(0,F13)*F14/100</f>
        <v>5993.60947255849</v>
      </c>
      <c r="G15" s="0" t="n">
        <f aca="false">G13-MAX(0,G13)*G14/100</f>
        <v>6156.42891482806</v>
      </c>
      <c r="H15" s="0" t="n">
        <f aca="false">H13-MAX(0,H13)*H14/100</f>
        <v>6357.89723672336</v>
      </c>
      <c r="I15" s="0" t="n">
        <f aca="false">I13-MAX(0,I13)*I14/100</f>
        <v>6463.58695702214</v>
      </c>
      <c r="J15" s="0" t="n">
        <f aca="false">J13-MAX(0,J13)*J14/100</f>
        <v>6625.17663094769</v>
      </c>
      <c r="K15" s="0" t="n">
        <f aca="false">K13-MAX(0,K13)*K14/100</f>
        <v>6790.80604672139</v>
      </c>
      <c r="L15" s="0" t="n">
        <f aca="false">L13-MAX(0,L13)*L14/100</f>
        <v>6960.57619788942</v>
      </c>
    </row>
    <row r="16" customFormat="false" ht="15" hidden="false" customHeight="false" outlineLevel="0" collapsed="false">
      <c r="A16" s="0" t="s">
        <v>119</v>
      </c>
      <c r="C16" s="0" t="n">
        <f aca="false">-C12</f>
        <v>2044.64064</v>
      </c>
      <c r="D16" s="0" t="n">
        <f aca="false">-D12</f>
        <v>2145.4122144</v>
      </c>
      <c r="E16" s="0" t="n">
        <f aca="false">-E12</f>
        <v>2231.228702976</v>
      </c>
      <c r="F16" s="0" t="n">
        <f aca="false">-F12</f>
        <v>2329.75818286848</v>
      </c>
      <c r="G16" s="0" t="n">
        <f aca="false">-G12</f>
        <v>2411.29971926888</v>
      </c>
      <c r="H16" s="0" t="n">
        <f aca="false">-H12</f>
        <v>2505.42501532806</v>
      </c>
      <c r="I16" s="0" t="n">
        <f aca="false">-I12</f>
        <v>2580.5877657879</v>
      </c>
      <c r="J16" s="0" t="n">
        <f aca="false">-J12</f>
        <v>2645.1024599326</v>
      </c>
      <c r="K16" s="0" t="n">
        <f aca="false">-K12</f>
        <v>2711.23002143091</v>
      </c>
      <c r="L16" s="0" t="n">
        <f aca="false">-L12</f>
        <v>2779.01077196668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-2829.6366</v>
      </c>
      <c r="D17" s="4" t="n">
        <f aca="false">-D6*Assumptions!D32/100</f>
        <v>-3132.681552</v>
      </c>
      <c r="E17" s="4" t="n">
        <f aca="false">-E6*Assumptions!E32/100</f>
        <v>-3356.71574784</v>
      </c>
      <c r="F17" s="4" t="n">
        <f aca="false">-F6*Assumptions!F32/100</f>
        <v>-3576.383175456</v>
      </c>
      <c r="G17" s="4" t="n">
        <f aca="false">-G6*Assumptions!G32/100</f>
        <v>-3807.31534621402</v>
      </c>
      <c r="H17" s="4" t="n">
        <f aca="false">-H6*Assumptions!H32/100</f>
        <v>-3921.53480660044</v>
      </c>
      <c r="I17" s="4" t="n">
        <f aca="false">-I6*Assumptions!I32/100</f>
        <v>-4039.18085079845</v>
      </c>
      <c r="J17" s="4" t="n">
        <f aca="false">-J6*Assumptions!J32/100</f>
        <v>-4140.16037206841</v>
      </c>
      <c r="K17" s="4" t="n">
        <f aca="false">-K6*Assumptions!K32/100</f>
        <v>-4243.66438137012</v>
      </c>
      <c r="L17" s="4" t="n">
        <f aca="false">-L6*Assumptions!L32/100</f>
        <v>-4349.75599090437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-28.5515999999999</v>
      </c>
      <c r="D18" s="4" t="n">
        <f aca="false">(D6-C6)*Assumptions!$B$37/100</f>
        <v>-21.906864</v>
      </c>
      <c r="E18" s="4" t="n">
        <f aca="false">(E6-D6)*Assumptions!$B$37/100</f>
        <v>-22.78313856</v>
      </c>
      <c r="F18" s="4" t="n">
        <f aca="false">(F6-E6)*Assumptions!$B$37/100</f>
        <v>-20.7326560896</v>
      </c>
      <c r="G18" s="4" t="n">
        <f aca="false">(G6-F6)*Assumptions!$B$37/100</f>
        <v>-21.458299052736</v>
      </c>
      <c r="H18" s="4" t="n">
        <f aca="false">(H6-G6)*Assumptions!$B$37/100</f>
        <v>-19.0365767310701</v>
      </c>
      <c r="I18" s="4" t="n">
        <f aca="false">(I6-H6)*Assumptions!$B$37/100</f>
        <v>-19.6076740330021</v>
      </c>
      <c r="J18" s="4" t="n">
        <f aca="false">(J6-I6)*Assumptions!$B$37/100</f>
        <v>-16.8299202116602</v>
      </c>
      <c r="K18" s="4" t="n">
        <f aca="false">(K6-J6)*Assumptions!$B$37/100</f>
        <v>-17.2506682169516</v>
      </c>
      <c r="L18" s="4" t="n">
        <f aca="false">(L6-K6)*Assumptions!$B$37/100</f>
        <v>-17.6819349223755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4613.3303244</v>
      </c>
      <c r="D19" s="0" t="n">
        <f aca="false">D15+D16+D17+D18</f>
        <v>4625.85340224</v>
      </c>
      <c r="E19" s="0" t="n">
        <f aca="false">E15+E16+E17+E18</f>
        <v>4685.70178632192</v>
      </c>
      <c r="F19" s="0" t="n">
        <f aca="false">F15+F16+F17+F18</f>
        <v>4726.25182388137</v>
      </c>
      <c r="G19" s="0" t="n">
        <f aca="false">G15+G16+G17+G18</f>
        <v>4738.95498883019</v>
      </c>
      <c r="H19" s="0" t="n">
        <f aca="false">H15+H16+H17+H18</f>
        <v>4922.75086871992</v>
      </c>
      <c r="I19" s="0" t="n">
        <f aca="false">I15+I16+I17+I18</f>
        <v>4985.38619797859</v>
      </c>
      <c r="J19" s="0" t="n">
        <f aca="false">J15+J16+J17+J18</f>
        <v>5113.28879860022</v>
      </c>
      <c r="K19" s="0" t="n">
        <f aca="false">K15+K16+K17+K18</f>
        <v>5241.12101856522</v>
      </c>
      <c r="L19" s="0" t="n">
        <f aca="false">L15+L16+L17+L18</f>
        <v>5372.14904402935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4291.4700692093</v>
      </c>
      <c r="D21" s="0" t="n">
        <f aca="false">D19*D20</f>
        <v>4002.90180832017</v>
      </c>
      <c r="E21" s="0" t="n">
        <f aca="false">E19*E20</f>
        <v>3771.80517846986</v>
      </c>
      <c r="F21" s="0" t="n">
        <f aca="false">F19*F20</f>
        <v>3539.01986957893</v>
      </c>
      <c r="G21" s="0" t="n">
        <f aca="false">G19*G20</f>
        <v>3300.96000578832</v>
      </c>
      <c r="H21" s="0" t="n">
        <f aca="false">H19*H20</f>
        <v>3189.75312792176</v>
      </c>
      <c r="I21" s="0" t="n">
        <f aca="false">I19*I20</f>
        <v>3004.96596370026</v>
      </c>
      <c r="J21" s="0" t="n">
        <f aca="false">J19*J20</f>
        <v>2867.03244936049</v>
      </c>
      <c r="K21" s="0" t="n">
        <f aca="false">K19*K20</f>
        <v>2733.68210287861</v>
      </c>
      <c r="L21" s="0" t="n">
        <f aca="false">L19*L20</f>
        <v>2606.53409809356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33308.1246733213</v>
      </c>
    </row>
    <row r="31" customFormat="false" ht="15" hidden="false" customHeight="false" outlineLevel="0" collapsed="false">
      <c r="A31" s="0" t="s">
        <v>128</v>
      </c>
      <c r="B31" s="0" t="n">
        <f aca="false">L19</f>
        <v>5372.14904402935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110129.055402602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107442.980880587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107442.980880587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52130.6819618712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85438.8066351924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61414.8066351924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101.361291690365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-0.396874380040667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863.41515049719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1442.15805085948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105.166495851707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44051.6221610407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18.1635648412584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6.5</v>
      </c>
      <c r="D5" s="4" t="n">
        <f aca="false">Assumptions!D41</f>
        <v>5.5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17304</v>
      </c>
      <c r="C6" s="0" t="n">
        <f aca="false">B6*(1+C5/100)</f>
        <v>18428.76</v>
      </c>
      <c r="D6" s="0" t="n">
        <f aca="false">C6*(1+D5/100)</f>
        <v>19442.3418</v>
      </c>
      <c r="E6" s="0" t="n">
        <f aca="false">D6*(1+E5/100)</f>
        <v>20414.45889</v>
      </c>
      <c r="F6" s="0" t="n">
        <f aca="false">E6*(1+F5/100)</f>
        <v>21333.10954005</v>
      </c>
      <c r="G6" s="0" t="n">
        <f aca="false">F6*(1+G5/100)</f>
        <v>22186.433921652</v>
      </c>
      <c r="H6" s="0" t="n">
        <f aca="false">G6*(1+H5/100)</f>
        <v>23073.8912785181</v>
      </c>
      <c r="I6" s="0" t="n">
        <f aca="false">H6*(1+I5/100)</f>
        <v>23881.4774732662</v>
      </c>
      <c r="J6" s="0" t="n">
        <f aca="false">I6*(1+J5/100)</f>
        <v>24597.9217974642</v>
      </c>
      <c r="K6" s="0" t="n">
        <f aca="false">J6*(1+K5/100)</f>
        <v>25335.8594513881</v>
      </c>
      <c r="L6" s="0" t="n">
        <f aca="false">K6*(1+L5/100)</f>
        <v>26095.9352349298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48.8</v>
      </c>
      <c r="D7" s="4" t="n">
        <f aca="false">Assumptions!D42</f>
        <v>49.8</v>
      </c>
      <c r="E7" s="4" t="n">
        <f aca="false">Assumptions!E42</f>
        <v>50.5</v>
      </c>
      <c r="F7" s="4" t="n">
        <f aca="false">Assumptions!F42</f>
        <v>51</v>
      </c>
      <c r="G7" s="4" t="n">
        <f aca="false">Assumptions!G42</f>
        <v>51.5</v>
      </c>
      <c r="H7" s="4" t="n">
        <f aca="false">Assumptions!H42</f>
        <v>52</v>
      </c>
      <c r="I7" s="4" t="n">
        <f aca="false">Assumptions!I42</f>
        <v>52</v>
      </c>
      <c r="J7" s="4" t="n">
        <f aca="false">Assumptions!J42</f>
        <v>52</v>
      </c>
      <c r="K7" s="4" t="n">
        <f aca="false">Assumptions!K42</f>
        <v>52</v>
      </c>
      <c r="L7" s="4" t="n">
        <f aca="false">Assumptions!L42</f>
        <v>52</v>
      </c>
    </row>
    <row r="8" customFormat="false" ht="15" hidden="false" customHeight="false" outlineLevel="0" collapsed="false">
      <c r="A8" s="0" t="s">
        <v>43</v>
      </c>
      <c r="C8" s="0" t="n">
        <f aca="false">C6*C7/100</f>
        <v>8993.23488</v>
      </c>
      <c r="D8" s="0" t="n">
        <f aca="false">D6*D7/100</f>
        <v>9682.2862164</v>
      </c>
      <c r="E8" s="0" t="n">
        <f aca="false">E6*E7/100</f>
        <v>10309.30173945</v>
      </c>
      <c r="F8" s="0" t="n">
        <f aca="false">F6*F7/100</f>
        <v>10879.8858654255</v>
      </c>
      <c r="G8" s="0" t="n">
        <f aca="false">G6*G7/100</f>
        <v>11426.0134696508</v>
      </c>
      <c r="H8" s="0" t="n">
        <f aca="false">H6*H7/100</f>
        <v>11998.4234648294</v>
      </c>
      <c r="I8" s="0" t="n">
        <f aca="false">I6*I7/100</f>
        <v>12418.3682860984</v>
      </c>
      <c r="J8" s="0" t="n">
        <f aca="false">J6*J7/100</f>
        <v>12790.9193346814</v>
      </c>
      <c r="K8" s="0" t="n">
        <f aca="false">K6*K7/100</f>
        <v>13174.6469147218</v>
      </c>
      <c r="L8" s="0" t="n">
        <f aca="false">L6*L7/100</f>
        <v>13569.8863221635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0.6</v>
      </c>
      <c r="F9" s="4" t="n">
        <f aca="false">Assumptions!F43</f>
        <v>0.6</v>
      </c>
      <c r="G9" s="4" t="n">
        <f aca="false">Assumptions!G43</f>
        <v>0.6</v>
      </c>
      <c r="H9" s="4" t="n">
        <f aca="false">Assumptions!H43</f>
        <v>0.6</v>
      </c>
      <c r="I9" s="4" t="n">
        <f aca="false">Assumptions!I43</f>
        <v>0.6</v>
      </c>
      <c r="J9" s="4" t="n">
        <f aca="false">Assumptions!J43</f>
        <v>0.6</v>
      </c>
      <c r="K9" s="4" t="n">
        <f aca="false">Assumptions!K43</f>
        <v>0.6</v>
      </c>
      <c r="L9" s="4" t="n">
        <f aca="false">Assumptions!L43</f>
        <v>0.6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-110.57256</v>
      </c>
      <c r="D10" s="0" t="n">
        <f aca="false">-D6*D9/100</f>
        <v>-116.6540508</v>
      </c>
      <c r="E10" s="0" t="n">
        <f aca="false">-E6*E9/100</f>
        <v>-122.48675334</v>
      </c>
      <c r="F10" s="0" t="n">
        <f aca="false">-F6*F9/100</f>
        <v>-127.9986572403</v>
      </c>
      <c r="G10" s="0" t="n">
        <f aca="false">-G6*G9/100</f>
        <v>-133.118603529912</v>
      </c>
      <c r="H10" s="0" t="n">
        <f aca="false">-H6*H9/100</f>
        <v>-138.443347671108</v>
      </c>
      <c r="I10" s="0" t="n">
        <f aca="false">-I6*I9/100</f>
        <v>-143.288864839597</v>
      </c>
      <c r="J10" s="0" t="n">
        <f aca="false">-J6*J9/100</f>
        <v>-147.587530784785</v>
      </c>
      <c r="K10" s="0" t="n">
        <f aca="false">-K6*K9/100</f>
        <v>-152.015156708329</v>
      </c>
      <c r="L10" s="0" t="n">
        <f aca="false">-L6*L9/100</f>
        <v>-156.575611409579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8882.66232</v>
      </c>
      <c r="D11" s="0" t="n">
        <f aca="false">D8+D10+D24</f>
        <v>9565.6321656</v>
      </c>
      <c r="E11" s="0" t="n">
        <f aca="false">E8+E10+E24</f>
        <v>10186.81498611</v>
      </c>
      <c r="F11" s="0" t="n">
        <f aca="false">F8+F10+F24</f>
        <v>10751.8872081852</v>
      </c>
      <c r="G11" s="0" t="n">
        <f aca="false">G8+G10+G24</f>
        <v>11292.8948661209</v>
      </c>
      <c r="H11" s="0" t="n">
        <f aca="false">H8+H10+H24</f>
        <v>11859.9801171583</v>
      </c>
      <c r="I11" s="0" t="n">
        <f aca="false">I8+I10+I24</f>
        <v>12275.0794212588</v>
      </c>
      <c r="J11" s="0" t="n">
        <f aca="false">J8+J10+J24</f>
        <v>12643.3318038966</v>
      </c>
      <c r="K11" s="0" t="n">
        <f aca="false">K8+K10+K24</f>
        <v>13022.6317580135</v>
      </c>
      <c r="L11" s="0" t="n">
        <f aca="false">L8+L10+L24</f>
        <v>13413.3107107539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-2064.02112</v>
      </c>
      <c r="D12" s="4" t="n">
        <f aca="false">-D6*Assumptions!D45/100</f>
        <v>-2177.5422816</v>
      </c>
      <c r="E12" s="4" t="n">
        <f aca="false">-E6*Assumptions!E45/100</f>
        <v>-2286.41939568</v>
      </c>
      <c r="F12" s="4" t="n">
        <f aca="false">-F6*Assumptions!F45/100</f>
        <v>-2389.3082684856</v>
      </c>
      <c r="G12" s="4" t="n">
        <f aca="false">-G6*Assumptions!G45/100</f>
        <v>-2484.88059922502</v>
      </c>
      <c r="H12" s="4" t="n">
        <f aca="false">-H6*Assumptions!H45/100</f>
        <v>-2584.27582319402</v>
      </c>
      <c r="I12" s="4" t="n">
        <f aca="false">-I6*Assumptions!I45/100</f>
        <v>-2674.72547700582</v>
      </c>
      <c r="J12" s="4" t="n">
        <f aca="false">-J6*Assumptions!J45/100</f>
        <v>-2754.96724131599</v>
      </c>
      <c r="K12" s="4" t="n">
        <f aca="false">-K6*Assumptions!K45/100</f>
        <v>-2837.61625855547</v>
      </c>
      <c r="L12" s="4" t="n">
        <f aca="false">-L6*Assumptions!L45/100</f>
        <v>-2922.74474631213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6818.6412</v>
      </c>
      <c r="D13" s="0" t="n">
        <f aca="false">D11+D12</f>
        <v>7388.089884</v>
      </c>
      <c r="E13" s="0" t="n">
        <f aca="false">E11+E12</f>
        <v>7900.39559043</v>
      </c>
      <c r="F13" s="0" t="n">
        <f aca="false">F11+F12</f>
        <v>8362.5789396996</v>
      </c>
      <c r="G13" s="0" t="n">
        <f aca="false">G11+G12</f>
        <v>8808.01426689585</v>
      </c>
      <c r="H13" s="0" t="n">
        <f aca="false">H11+H12</f>
        <v>9275.70429396427</v>
      </c>
      <c r="I13" s="0" t="n">
        <f aca="false">I11+I12</f>
        <v>9600.35394425302</v>
      </c>
      <c r="J13" s="0" t="n">
        <f aca="false">J11+J12</f>
        <v>9888.36456258061</v>
      </c>
      <c r="K13" s="0" t="n">
        <f aca="false">K11+K12</f>
        <v>10185.015499458</v>
      </c>
      <c r="L13" s="0" t="n">
        <f aca="false">L11+L12</f>
        <v>10490.5659644418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18</v>
      </c>
      <c r="D14" s="4" t="n">
        <f aca="false">Assumptions!D47</f>
        <v>19</v>
      </c>
      <c r="E14" s="4" t="n">
        <f aca="false">Assumptions!E47</f>
        <v>20</v>
      </c>
      <c r="F14" s="4" t="n">
        <f aca="false">Assumptions!F47</f>
        <v>21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5591.285784</v>
      </c>
      <c r="D15" s="0" t="n">
        <f aca="false">D13-MAX(0,D13)*D14/100</f>
        <v>5984.35280604</v>
      </c>
      <c r="E15" s="0" t="n">
        <f aca="false">E13-MAX(0,E13)*E14/100</f>
        <v>6320.316472344</v>
      </c>
      <c r="F15" s="0" t="n">
        <f aca="false">F13-MAX(0,F13)*F14/100</f>
        <v>6606.43736236268</v>
      </c>
      <c r="G15" s="0" t="n">
        <f aca="false">G13-MAX(0,G13)*G14/100</f>
        <v>6870.25112817876</v>
      </c>
      <c r="H15" s="0" t="n">
        <f aca="false">H13-MAX(0,H13)*H14/100</f>
        <v>7235.04934929213</v>
      </c>
      <c r="I15" s="0" t="n">
        <f aca="false">I13-MAX(0,I13)*I14/100</f>
        <v>7392.27253707482</v>
      </c>
      <c r="J15" s="0" t="n">
        <f aca="false">J13-MAX(0,J13)*J14/100</f>
        <v>7614.04071318707</v>
      </c>
      <c r="K15" s="0" t="n">
        <f aca="false">K13-MAX(0,K13)*K14/100</f>
        <v>7842.46193458268</v>
      </c>
      <c r="L15" s="0" t="n">
        <f aca="false">L13-MAX(0,L13)*L14/100</f>
        <v>8077.73579262016</v>
      </c>
    </row>
    <row r="16" customFormat="false" ht="15" hidden="false" customHeight="false" outlineLevel="0" collapsed="false">
      <c r="A16" s="0" t="s">
        <v>119</v>
      </c>
      <c r="C16" s="0" t="n">
        <f aca="false">-C12</f>
        <v>2064.02112</v>
      </c>
      <c r="D16" s="0" t="n">
        <f aca="false">-D12</f>
        <v>2177.5422816</v>
      </c>
      <c r="E16" s="0" t="n">
        <f aca="false">-E12</f>
        <v>2286.41939568</v>
      </c>
      <c r="F16" s="0" t="n">
        <f aca="false">-F12</f>
        <v>2389.3082684856</v>
      </c>
      <c r="G16" s="0" t="n">
        <f aca="false">-G12</f>
        <v>2484.88059922502</v>
      </c>
      <c r="H16" s="0" t="n">
        <f aca="false">-H12</f>
        <v>2584.27582319402</v>
      </c>
      <c r="I16" s="0" t="n">
        <f aca="false">-I12</f>
        <v>2674.72547700582</v>
      </c>
      <c r="J16" s="0" t="n">
        <f aca="false">-J12</f>
        <v>2754.96724131599</v>
      </c>
      <c r="K16" s="0" t="n">
        <f aca="false">-K12</f>
        <v>2837.61625855547</v>
      </c>
      <c r="L16" s="0" t="n">
        <f aca="false">-L12</f>
        <v>2922.74474631213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-2856.4578</v>
      </c>
      <c r="D17" s="4" t="n">
        <f aca="false">-D6*Assumptions!D46/100</f>
        <v>-3110.774688</v>
      </c>
      <c r="E17" s="4" t="n">
        <f aca="false">-E6*Assumptions!E46/100</f>
        <v>-3368.38571685</v>
      </c>
      <c r="F17" s="4" t="n">
        <f aca="false">-F6*Assumptions!F46/100</f>
        <v>-3626.6286218085</v>
      </c>
      <c r="G17" s="4" t="n">
        <f aca="false">-G6*Assumptions!G46/100</f>
        <v>-3771.69376668084</v>
      </c>
      <c r="H17" s="4" t="n">
        <f aca="false">-H6*Assumptions!H46/100</f>
        <v>-3922.56151734807</v>
      </c>
      <c r="I17" s="4" t="n">
        <f aca="false">-I6*Assumptions!I46/100</f>
        <v>-4059.85117045526</v>
      </c>
      <c r="J17" s="4" t="n">
        <f aca="false">-J6*Assumptions!J46/100</f>
        <v>-4181.64670556891</v>
      </c>
      <c r="K17" s="4" t="n">
        <f aca="false">-K6*Assumptions!K46/100</f>
        <v>-4307.09610673598</v>
      </c>
      <c r="L17" s="4" t="n">
        <f aca="false">-L6*Assumptions!L46/100</f>
        <v>-4436.30898993806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-33.7428</v>
      </c>
      <c r="D18" s="4" t="n">
        <f aca="false">(D6-C6)*Assumptions!$B$51/100</f>
        <v>-30.407454</v>
      </c>
      <c r="E18" s="4" t="n">
        <f aca="false">(E6-D6)*Assumptions!$B$51/100</f>
        <v>-29.1635127</v>
      </c>
      <c r="F18" s="4" t="n">
        <f aca="false">(F6-E6)*Assumptions!$B$51/100</f>
        <v>-27.5595195015</v>
      </c>
      <c r="G18" s="4" t="n">
        <f aca="false">(G6-F6)*Assumptions!$B$51/100</f>
        <v>-25.59973144806</v>
      </c>
      <c r="H18" s="4" t="n">
        <f aca="false">(H6-G6)*Assumptions!$B$51/100</f>
        <v>-26.6237207059825</v>
      </c>
      <c r="I18" s="4" t="n">
        <f aca="false">(I6-H6)*Assumptions!$B$51/100</f>
        <v>-24.227585842444</v>
      </c>
      <c r="J18" s="4" t="n">
        <f aca="false">(J6-I6)*Assumptions!$B$51/100</f>
        <v>-21.4933297259396</v>
      </c>
      <c r="K18" s="4" t="n">
        <f aca="false">(K6-J6)*Assumptions!$B$51/100</f>
        <v>-22.1381296177178</v>
      </c>
      <c r="L18" s="4" t="n">
        <f aca="false">(L6-K6)*Assumptions!$B$51/100</f>
        <v>-22.8022735062493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4765.106304</v>
      </c>
      <c r="D19" s="0" t="n">
        <f aca="false">D15+D16+D17+D18</f>
        <v>5020.71294564</v>
      </c>
      <c r="E19" s="0" t="n">
        <f aca="false">E15+E16+E17+E18</f>
        <v>5209.186638474</v>
      </c>
      <c r="F19" s="0" t="n">
        <f aca="false">F15+F16+F17+F18</f>
        <v>5341.55748953828</v>
      </c>
      <c r="G19" s="0" t="n">
        <f aca="false">G15+G16+G17+G18</f>
        <v>5557.83822927488</v>
      </c>
      <c r="H19" s="0" t="n">
        <f aca="false">H15+H16+H17+H18</f>
        <v>5870.1399344321</v>
      </c>
      <c r="I19" s="0" t="n">
        <f aca="false">I15+I16+I17+I18</f>
        <v>5982.91925778294</v>
      </c>
      <c r="J19" s="0" t="n">
        <f aca="false">J15+J16+J17+J18</f>
        <v>6165.86791920821</v>
      </c>
      <c r="K19" s="0" t="n">
        <f aca="false">K15+K16+K17+K18</f>
        <v>6350.84395678445</v>
      </c>
      <c r="L19" s="0" t="n">
        <f aca="false">L15+L16+L17+L18</f>
        <v>6541.36927548799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4432.65702697674</v>
      </c>
      <c r="D21" s="0" t="n">
        <f aca="false">D19*D20</f>
        <v>4344.58664847161</v>
      </c>
      <c r="E21" s="0" t="n">
        <f aca="false">E19*E20</f>
        <v>4193.18984318785</v>
      </c>
      <c r="F21" s="0" t="n">
        <f aca="false">F19*F20</f>
        <v>3999.76107799723</v>
      </c>
      <c r="G21" s="0" t="n">
        <f aca="false">G19*G20</f>
        <v>3871.36019580691</v>
      </c>
      <c r="H21" s="0" t="n">
        <f aca="false">H19*H20</f>
        <v>3803.62478551798</v>
      </c>
      <c r="I21" s="0" t="n">
        <f aca="false">I19*I20</f>
        <v>3606.23390430499</v>
      </c>
      <c r="J21" s="0" t="n">
        <f aca="false">J19*J20</f>
        <v>3457.21591310863</v>
      </c>
      <c r="K21" s="0" t="n">
        <f aca="false">K19*K20</f>
        <v>3312.4952469785</v>
      </c>
      <c r="L21" s="0" t="n">
        <f aca="false">L19*L20</f>
        <v>3173.83265524452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38194.957297595</v>
      </c>
    </row>
    <row r="31" customFormat="false" ht="15" hidden="false" customHeight="false" outlineLevel="0" collapsed="false">
      <c r="A31" s="0" t="s">
        <v>128</v>
      </c>
      <c r="B31" s="0" t="n">
        <f aca="false">L19</f>
        <v>6541.36927548799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149724.674527836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130827.38550976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130827.38550976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63476.6531048904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101671.610402485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77647.6104024854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128.15251758126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-0.237459731159944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905.054946132908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1738.8582678955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132.516130741894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56146.7529479385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28.4896275960073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62.5116341325032</v>
      </c>
      <c r="C4" s="0" t="n">
        <f aca="false">B4/Assumptions!$B$2-1</f>
        <v>-0.628039782622259</v>
      </c>
      <c r="D4" s="4" t="n">
        <f aca="false">Assumptions!$B$24</f>
        <v>0.2</v>
      </c>
      <c r="E4" s="4" t="n">
        <f aca="false">DCF_Bear!$B$43</f>
        <v>65.6336204560277</v>
      </c>
      <c r="F4" s="4" t="n">
        <f aca="false">DCF_Bear!$B$47</f>
        <v>4.68288974591908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101.361291690365</v>
      </c>
      <c r="C5" s="0" t="n">
        <f aca="false">B5/Assumptions!$B$2-1</f>
        <v>-0.396874380040667</v>
      </c>
      <c r="D5" s="4" t="n">
        <f aca="false">Assumptions!$B$38</f>
        <v>0.5</v>
      </c>
      <c r="E5" s="4" t="n">
        <f aca="false">DCF_Base!$B$43</f>
        <v>105.166495851707</v>
      </c>
      <c r="F5" s="4" t="n">
        <f aca="false">DCF_Base!$B$47</f>
        <v>18.1635648412584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128.15251758126</v>
      </c>
      <c r="C6" s="0" t="n">
        <f aca="false">B6/Assumptions!$B$2-1</f>
        <v>-0.237459731159944</v>
      </c>
      <c r="D6" s="4" t="n">
        <f aca="false">Assumptions!$B$52</f>
        <v>0.3</v>
      </c>
      <c r="E6" s="4" t="n">
        <f aca="false">DCF_Bull!$B$43</f>
        <v>132.516130741894</v>
      </c>
      <c r="F6" s="4" t="n">
        <f aca="false">DCF_Bull!$B$47</f>
        <v>28.4896275960073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101.628727946061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105.464811239627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-0.653666275240566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1731.74738320625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18.5652486486152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101.361291690365</v>
      </c>
      <c r="C15" s="3" t="n">
        <v>7.5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70.7109303759452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56.1259882197266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44.9684363586734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36.156141468707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18.1635648412584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124.687309743521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124.687309743521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124.687309743521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124.687309743521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124.687309743521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112.464980630831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112.464980630831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112.464980630831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112.464980630831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112.464980630831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88.0970344381426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95.1039516598328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101.361291690365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101.361291690365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101.361291690365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69.6936141313704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74.3692218260228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79.8240974697838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86.2707686851378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91.2617399486377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55.902534855023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59.1672010486142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62.8982481270042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67.2033024482235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72.2258658229792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2026-10-10T08:17:26Z</dcterms:created>
  <dc:creator>openpyxl</dc:creator>
  <dc:description/>
  <dc:language>en-NZ</dc:language>
  <cp:lastModifiedBy/>
  <dcterms:modified xsi:type="dcterms:W3CDTF">2026-10-10T08:17:26Z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