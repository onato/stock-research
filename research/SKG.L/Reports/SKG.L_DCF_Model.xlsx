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<sst xmlns="http://schemas.openxmlformats.org/spreadsheetml/2006/main" count="360" uniqueCount="166">
  <si>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</si>
  <si>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SKG.L</t>
  </si>
  <si>
    <t xml:space="preserve">Company</t>
  </si>
  <si>
    <t xml:space="preserve">Smurfit Westrock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</si>
  <si>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</si>
  <si>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</si>
  <si>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</si>
  <si>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</si>
  <si>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2026-10-09T20:00:02Z regular close, NYSE: SW (Yahoo chart API);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</si>
  <si>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</si>
  <si>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</si>
  <si>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</si>
  <si>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</si>
  <si>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</si>
  <si>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</si>
  <si>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</si>
  <si>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</si>
  <si>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</si>
  <si>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</si>
  <si>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</si>
  <si>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</si>
  <si>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2026-10-10T01:43:43Z</t>
  </si>
  <si>
    <t xml:space="preserve">Drivers file</t>
  </si>
  <si>
    <t xml:space="preserve">SKG.L_Drivers.json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</si>
  <si>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</si>
  <si>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</si>
  <si>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</si>
  <si>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Smurfit Westrock as a levered, capital-intensive, mid-cycle industrial: unlevered owner FCF built from an Adjusted EBITDA margin that is haircut for recurring restructuring cash and fully charged for stock compensation, discounted at a single USD WACC, with the exit capped at 15x FCF (~5.6x EBITDA, below today's 6.9x). The central question is where the mid-cycle margin sits between the FY2026 trough (~15.7% Adjusted) and management's 2030 plan (~19.5%); the house base answers 17.5%. Leverage does the rest: at $13.5bn of net debt, a 2pp swing in mature margin moves the equity by roughly a third.
key_risks_to_valuation: Containerboard pricing: the model assumes the 2026 rounds stick in base; if they reverse (bear) the equity loses ~half its base value because net debt is fixed while EBITDA is not; Leverage: $14.2bn gross debt, ~$0.7bn cash interest; a 100bp refinancing shock is ~$140m of interest, and the equity bridge deducts net debt at face regardless of scenario; Capex intensity: the ~$13bn 2026-30 envelope (~7.5-7.8% of revenue) is modelled as spent in full; any slippage toward D&amp;A (7.2%) adds value, any mill rebuild overrun removes it; Terminal cap: 15x FCF is ~5.6x EBITDA, well below peers' 7-9x; the valuation is deliberately not relying on a re-rating, and the gap to Gordon (17x FCF at 8%/2%) is shown in the sensitivity grid; Entity and currency break: historical CAGRs are legacy Smurfit Kappa in EUR and cannot be used to compound the USD base; FY2025 is the only clean full year of the combined entity; Quote source: the LSE line (SWR) is inactive since 2026-06-19; the price is the NYSE SW quote in USD, and any price refresh must use the SW symbol</t>
  </si>
  <si>
    <t xml:space="preserve">Data sources</t>
  </si>
  <si>
    <t xml:space="preserve">price: Yahoo Finance chart API, NYSE symbol SW (the LSE line SWR/SKG.L is inactive, last trade 2026-06-19), at inputs.price_as_of; 52-week range 32.73-52.65 USD. GBp memo translation at GBPUSD 1.3233 (Yahoo GBPUSD=X, 2026-10-09).
financials: FY2025 Form 10-K (filed 2026-02-27): consolidated statements, Note 20 EPS, Note on leases and pensions, Adjusted EBITDA reconciliation; Q2-2026 Form 10-Q (filed 2026-07-31) via SEC XBRL companyfacts (CIK 0002005951) for the 30 Jun 2026 balance sheet, H1 cash flow and 24 Jul 2026 share count; Q2-2026 results presentation (29 Jul 2026) for FY2026 guidance and the medium-term plan; SKG.L_Metrics.csv for the FY2016-FY2023 legacy Smurfit Kappa EUR history.
qualitative: SKG.L_Analysis.json (2026-10-10): business model, synergy delivery, capacity rationalisation, pricing rounds, medium-term plan, risk register.</t>
  </si>
  <si>
    <t xml:space="preserve">Scenario narrative: bear</t>
  </si>
  <si>
    <t xml:space="preserve">The 2026 pricing recovery proves to be a supply-side pause, not a regime change. Chinese and other Asian exporters redirect excess board into Europe and the Americas, idled US capacity restarts into a soft box market (NA corrugated volumes were -7.4% and -4.8% in Q1/Q2 2026), and the $240/ton of 2026 increases erode through 2027-28. Freight and energy inflation (~$520m in FY2026) is not recovered. Adjusted EBITDA stalls at ~$4.7-5.0bn, margins settle near 15.5% -- WestRock's standalone level -- and with $13.5bn of net debt the equity absorbs the full swing: every 1pp of margin is ~$320m of EBITDA and roughly $3/share of value. Integration (works councils, IT, closures) drags on and restructuring charges keep recurring. Dividend growth stops but no covenant event occurs.</t>
  </si>
  <si>
    <t xml:space="preserve">Scenario narrative: base</t>
  </si>
  <si>
    <t xml:space="preserve">Smurfit Westrock earns its synergies but not its aspiration. The ~10% of US containerboard capacity removed since Feb-2025 keeps the North American mill system sold out and the 2026 price rounds stick, lifting Adjusted EBITDA from the ~$5.0bn FY2026 guidance midpoint to ~$6.3bn by 2030 (17.5% margin) rather than the ~$7bn plan. Volumes recover only to market growth (~1.6-2%). Capex runs ~$2.5-2.7bn a year, so the ~$13bn 2026-30 envelope is spent in full and the dividend (~$0.95bn/yr) absorbs most of the levered FCF until 2028, keeping buybacks modest. Leverage drifts down toward 2x on EBITDA growth rather than debt paydown. Value is ~55% terminal: this is a mature, capital-intensive mid-cycle compounder, not a growth story.</t>
  </si>
  <si>
    <t xml:space="preserve">Scenario narrative: bull</t>
  </si>
  <si>
    <t xml:space="preserve">Industry consolidation (IP/DS Smith, SW itself, PCA's pricing lead) has changed containerboard's cycle: capacity discipline holds, a second full pricing round lands in 2027, and box demand turns positive on e-commerce and plastic substitution. Synergies already past $400m plus footprint rationalisation (nine closures, ~500kt) take the Adjusted EBITDA margin to ~19.5% by 2030 -- the medium-term plan's ~$7bn delivered on ~$37.6bn of revenue. Discretionary FCF compounds at the guided ~17% CAGR, buybacks begin in 2027 and the group re-rates toward mature packaging multiples (7-9x EBITDA).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</si>
  <si>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</si>
  <si>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</si>
  <si>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</si>
  <si>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</si>
  <si>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</si>
  <si>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</si>
  <si>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</si>
  <si>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</si>
  <si>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</si>
  <si>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</si>
  <si>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</si>
  <si>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</si>
  <si>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</si>
  <si>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</si>
  <si>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</si>
  <si>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</si>
  <si>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</si>
  <si>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</si>
  <si>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</si>
  <si>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</si>
  <si>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</si>
  <si>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</si>
  <si>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</si>
  <si>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</si>
  <si>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</si>
  <si>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</si>
  <si>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</si>
  <si>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</si>
  <si>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EUR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</si>
  <si>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</si>
  <si>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</si>
  <si>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</si>
  <si>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</si>
  <si>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</si>
  <si>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</si>
  <si>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</si>
  <si>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</si>
  <si>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</si>
  <si>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</si>
  <si>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</si>
  <si>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</si>
  <si>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</si>
  <si>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</si>
  <si>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</si>
  <si>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</si>
  <si>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</si>
  <si>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</si>
  <si>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</si>
  <si>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</si>
  <si>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</si>
  <si>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</si>
  <si>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</si>
  <si>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</si>
  <si>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</si>
  <si>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</si>
  <si>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</si>
  <si>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</si>
  <si>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</si>
  <si>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</si>
  <si>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</si>
  <si>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</si>
  <si>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</si>
  <si>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</si>
  <si>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</si>
  <si>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</si>
  <si>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</si>
  <si>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</si>
  <si>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</si>
  <si>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</si>
  <si>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</si>
  <si>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</si>
  <si>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</si>
  <si>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</si>
  <si>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</si>
  <si>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</si>
  <si>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SKG.L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</si>
  <si>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</si>
  <si>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</si>
  <si>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</si>
  <si>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</si>
  <si>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</si>
  <si>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</si>
  <si>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</si>
  <si>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</si>
  <si>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</si>
  <si>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</si>
  <si>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</si>
  <si>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</si>
  <si>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</si>
  <si>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</si>
  <si>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</si>
  <si>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</si>
  <si>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</si>
  <si>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</si>
  <si>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</si>
  <si>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</si>
  <si>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</si>
  <si>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</si>
  <si>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</si>
  <si>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</si>
  <si>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</si>
  <si>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</si>
  <si>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</si>
  <si>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</si>
  <si>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</si>
  <si>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</si>
  <si>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SKG.L owner-FCF component DCF: base case (millions, USD)</t>
  </si>
  <si>
    <t xml:space="preserve">SKG.L owner-FCF component DCF: bull case (millions, USD)</t>
  </si>
  <si>
    <t xml:space="preserve">SKG.L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</si>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</sst>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41.29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8159</v>
      </c>
      <c r="C2" s="0" t="n">
        <v>5690</v>
      </c>
      <c r="D2" s="0" t="n">
        <v>2469</v>
      </c>
      <c r="E2" s="0" t="n">
        <v>30.3</v>
      </c>
      <c r="F2" s="0" t="n">
        <v>815</v>
      </c>
      <c r="G2" s="0" t="n">
        <v>10</v>
      </c>
      <c r="H2" s="0" t="n">
        <v>1236</v>
      </c>
      <c r="I2" s="0" t="n">
        <v>444</v>
      </c>
      <c r="J2" s="0" t="n">
        <v>5.4</v>
      </c>
      <c r="K2" s="0" t="n">
        <v>1.875</v>
      </c>
      <c r="L2" s="0" t="n">
        <v>734</v>
      </c>
      <c r="M2" s="0" t="n">
        <v>427</v>
      </c>
      <c r="N2" s="0" t="n">
        <v>307</v>
      </c>
      <c r="O2" s="0" t="n">
        <v>2329</v>
      </c>
      <c r="P2" s="0" t="n">
        <v>8864</v>
      </c>
      <c r="Q2" s="0" t="n">
        <v>6361</v>
      </c>
      <c r="R2" s="0" t="n">
        <v>3384</v>
      </c>
      <c r="S2" s="0" t="n">
        <v>436</v>
      </c>
      <c r="T2" s="0" t="n">
        <v>236.8</v>
      </c>
      <c r="U2" s="0" t="n">
        <v>12</v>
      </c>
      <c r="AA2" s="0" t="s">
        <v>17</v>
      </c>
      <c r="AB2" s="0" t="s">
        <v>64</v>
      </c>
    </row>
    <row r="3" customFormat="false" ht="15" hidden="false" customHeight="false" outlineLevel="0" collapsed="false">
      <c r="A3" s="0" t="s">
        <v>65</v>
      </c>
      <c r="B3" s="0" t="n">
        <v>8562</v>
      </c>
      <c r="C3" s="0" t="n">
        <v>6008</v>
      </c>
      <c r="D3" s="0" t="n">
        <v>2554</v>
      </c>
      <c r="E3" s="0" t="n">
        <v>29.8</v>
      </c>
      <c r="F3" s="0" t="n">
        <v>797</v>
      </c>
      <c r="G3" s="0" t="n">
        <v>9.3</v>
      </c>
      <c r="H3" s="0" t="n">
        <v>1240</v>
      </c>
      <c r="I3" s="0" t="n">
        <v>417</v>
      </c>
      <c r="J3" s="0" t="n">
        <v>4.9</v>
      </c>
      <c r="K3" s="0" t="n">
        <v>1.758</v>
      </c>
      <c r="L3" s="0" t="n">
        <v>743</v>
      </c>
      <c r="M3" s="0" t="n">
        <v>442</v>
      </c>
      <c r="N3" s="0" t="n">
        <v>301</v>
      </c>
      <c r="O3" s="0" t="n">
        <v>2508</v>
      </c>
      <c r="P3" s="0" t="n">
        <v>9005</v>
      </c>
      <c r="Q3" s="0" t="n">
        <v>6346</v>
      </c>
      <c r="R3" s="0" t="n">
        <v>3344</v>
      </c>
      <c r="S3" s="0" t="n">
        <v>530</v>
      </c>
      <c r="T3" s="0" t="n">
        <v>237.2</v>
      </c>
      <c r="U3" s="0" t="n">
        <v>23</v>
      </c>
      <c r="AA3" s="0" t="s">
        <v>17</v>
      </c>
      <c r="AB3" s="0" t="s">
        <v>64</v>
      </c>
    </row>
    <row r="4" customFormat="false" ht="15" hidden="false" customHeight="false" outlineLevel="0" collapsed="false">
      <c r="A4" s="0" t="s">
        <v>66</v>
      </c>
      <c r="B4" s="0" t="n">
        <v>8946</v>
      </c>
      <c r="C4" s="0" t="n">
        <v>5989</v>
      </c>
      <c r="D4" s="0" t="n">
        <v>2957</v>
      </c>
      <c r="E4" s="0" t="n">
        <v>33.1</v>
      </c>
      <c r="F4" s="0" t="n">
        <v>1039</v>
      </c>
      <c r="G4" s="0" t="n">
        <v>11.6</v>
      </c>
      <c r="H4" s="0" t="n">
        <v>1545</v>
      </c>
      <c r="I4" s="0" t="n">
        <v>-646</v>
      </c>
      <c r="J4" s="0" t="n">
        <v>-7.2</v>
      </c>
      <c r="K4" s="0" t="n">
        <v>-2.737</v>
      </c>
      <c r="L4" s="0" t="n">
        <v>1033</v>
      </c>
      <c r="M4" s="0" t="n">
        <v>528</v>
      </c>
      <c r="N4" s="0" t="n">
        <v>505</v>
      </c>
      <c r="O4" s="0" t="n">
        <v>2759</v>
      </c>
      <c r="P4" s="0" t="n">
        <v>9493</v>
      </c>
      <c r="Q4" s="0" t="n">
        <v>6603</v>
      </c>
      <c r="R4" s="0" t="n">
        <v>3539</v>
      </c>
      <c r="S4" s="0" t="n">
        <v>407</v>
      </c>
      <c r="T4" s="0" t="n">
        <v>236</v>
      </c>
      <c r="U4" s="0" t="n">
        <v>22</v>
      </c>
      <c r="AA4" s="0" t="s">
        <v>17</v>
      </c>
      <c r="AB4" s="0" t="s">
        <v>64</v>
      </c>
    </row>
    <row r="5" customFormat="false" ht="15" hidden="false" customHeight="false" outlineLevel="0" collapsed="false">
      <c r="A5" s="0" t="s">
        <v>67</v>
      </c>
      <c r="B5" s="0" t="n">
        <v>9048</v>
      </c>
      <c r="C5" s="0" t="n">
        <v>6051</v>
      </c>
      <c r="D5" s="0" t="n">
        <v>2997</v>
      </c>
      <c r="E5" s="0" t="n">
        <v>33.1</v>
      </c>
      <c r="F5" s="0" t="n">
        <v>884</v>
      </c>
      <c r="G5" s="0" t="n">
        <v>9.8</v>
      </c>
      <c r="H5" s="0" t="n">
        <v>1650</v>
      </c>
      <c r="I5" s="0" t="n">
        <v>476</v>
      </c>
      <c r="J5" s="0" t="n">
        <v>5.3</v>
      </c>
      <c r="K5" s="0" t="n">
        <v>2</v>
      </c>
      <c r="L5" s="0" t="n">
        <v>1163</v>
      </c>
      <c r="M5" s="0" t="n">
        <v>612</v>
      </c>
      <c r="N5" s="0" t="n">
        <v>551</v>
      </c>
      <c r="O5" s="0" t="n">
        <v>2952</v>
      </c>
      <c r="P5" s="0" t="n">
        <v>9925</v>
      </c>
      <c r="Q5" s="0" t="n">
        <v>6932</v>
      </c>
      <c r="R5" s="0" t="n">
        <v>3686</v>
      </c>
      <c r="S5" s="0" t="n">
        <v>189</v>
      </c>
      <c r="T5" s="0" t="n">
        <v>238</v>
      </c>
      <c r="U5" s="0" t="n">
        <v>39</v>
      </c>
      <c r="AA5" s="0" t="s">
        <v>17</v>
      </c>
      <c r="AB5" s="0" t="s">
        <v>64</v>
      </c>
    </row>
    <row r="6" customFormat="false" ht="15" hidden="false" customHeight="false" outlineLevel="0" collapsed="false">
      <c r="A6" s="0" t="s">
        <v>68</v>
      </c>
      <c r="B6" s="0" t="n">
        <v>8530</v>
      </c>
      <c r="C6" s="0" t="n">
        <v>5656</v>
      </c>
      <c r="D6" s="0" t="n">
        <v>2874</v>
      </c>
      <c r="E6" s="0" t="n">
        <v>33.7</v>
      </c>
      <c r="F6" s="0" t="n">
        <v>891</v>
      </c>
      <c r="G6" s="0" t="n">
        <v>10.4</v>
      </c>
      <c r="H6" s="0" t="n">
        <v>1510</v>
      </c>
      <c r="I6" s="0" t="n">
        <v>545</v>
      </c>
      <c r="J6" s="0" t="n">
        <v>6.4</v>
      </c>
      <c r="K6" s="0" t="n">
        <v>2.257</v>
      </c>
      <c r="L6" s="0" t="n">
        <v>1247</v>
      </c>
      <c r="M6" s="0" t="n">
        <v>493</v>
      </c>
      <c r="N6" s="0" t="n">
        <v>754</v>
      </c>
      <c r="O6" s="0" t="n">
        <v>3770</v>
      </c>
      <c r="P6" s="0" t="n">
        <v>10290</v>
      </c>
      <c r="Q6" s="0" t="n">
        <v>6507</v>
      </c>
      <c r="R6" s="0" t="n">
        <v>3276</v>
      </c>
      <c r="S6" s="0" t="n">
        <v>891</v>
      </c>
      <c r="T6" s="0" t="n">
        <v>241.5</v>
      </c>
      <c r="U6" s="0" t="n">
        <v>35</v>
      </c>
      <c r="AA6" s="0" t="s">
        <v>17</v>
      </c>
      <c r="AB6" s="0" t="s">
        <v>64</v>
      </c>
    </row>
    <row r="7" customFormat="false" ht="15" hidden="false" customHeight="false" outlineLevel="0" collapsed="false">
      <c r="A7" s="0" t="s">
        <v>69</v>
      </c>
      <c r="B7" s="0" t="n">
        <v>10107</v>
      </c>
      <c r="C7" s="0" t="n">
        <v>7015</v>
      </c>
      <c r="D7" s="0" t="n">
        <v>3092</v>
      </c>
      <c r="E7" s="0" t="n">
        <v>30.6</v>
      </c>
      <c r="F7" s="0" t="n">
        <v>1073</v>
      </c>
      <c r="G7" s="0" t="n">
        <v>10.6</v>
      </c>
      <c r="H7" s="0" t="n">
        <v>1702</v>
      </c>
      <c r="I7" s="0" t="n">
        <v>679</v>
      </c>
      <c r="J7" s="0" t="n">
        <v>6.7</v>
      </c>
      <c r="K7" s="0" t="n">
        <v>2.611</v>
      </c>
      <c r="L7" s="0" t="n">
        <v>986</v>
      </c>
      <c r="M7" s="0" t="n">
        <v>594</v>
      </c>
      <c r="N7" s="0" t="n">
        <v>392</v>
      </c>
      <c r="O7" s="0" t="n">
        <v>4379</v>
      </c>
      <c r="P7" s="0" t="n">
        <v>11707</v>
      </c>
      <c r="Q7" s="0" t="n">
        <v>7315</v>
      </c>
      <c r="R7" s="0" t="n">
        <v>3754</v>
      </c>
      <c r="S7" s="0" t="n">
        <v>855</v>
      </c>
      <c r="T7" s="0" t="n">
        <v>260.1</v>
      </c>
      <c r="U7" s="0" t="n">
        <v>69</v>
      </c>
      <c r="AA7" s="0" t="s">
        <v>17</v>
      </c>
      <c r="AB7" s="0" t="s">
        <v>64</v>
      </c>
    </row>
    <row r="8" customFormat="false" ht="15" hidden="false" customHeight="false" outlineLevel="0" collapsed="false">
      <c r="A8" s="0" t="s">
        <v>70</v>
      </c>
      <c r="B8" s="0" t="n">
        <v>12815</v>
      </c>
      <c r="C8" s="0" t="n">
        <v>8752</v>
      </c>
      <c r="D8" s="0" t="n">
        <v>4063</v>
      </c>
      <c r="E8" s="0" t="n">
        <v>31.7</v>
      </c>
      <c r="F8" s="0" t="n">
        <v>1439</v>
      </c>
      <c r="G8" s="0" t="n">
        <v>11.2</v>
      </c>
      <c r="H8" s="0" t="n">
        <v>2355</v>
      </c>
      <c r="I8" s="0" t="n">
        <v>944</v>
      </c>
      <c r="J8" s="0" t="n">
        <v>7.4</v>
      </c>
      <c r="K8" s="0" t="n">
        <v>3.618</v>
      </c>
      <c r="L8" s="0" t="n">
        <v>1452</v>
      </c>
      <c r="M8" s="0" t="n">
        <v>873</v>
      </c>
      <c r="N8" s="0" t="n">
        <v>579</v>
      </c>
      <c r="O8" s="0" t="n">
        <v>5025</v>
      </c>
      <c r="P8" s="0" t="n">
        <v>12482</v>
      </c>
      <c r="Q8" s="0" t="n">
        <v>7444</v>
      </c>
      <c r="R8" s="0" t="n">
        <v>3780</v>
      </c>
      <c r="S8" s="0" t="n">
        <v>777</v>
      </c>
      <c r="T8" s="0" t="n">
        <v>260.9</v>
      </c>
      <c r="U8" s="0" t="n">
        <v>65</v>
      </c>
      <c r="AA8" s="0" t="s">
        <v>17</v>
      </c>
      <c r="AB8" s="0" t="s">
        <v>64</v>
      </c>
    </row>
    <row r="9" customFormat="false" ht="15" hidden="false" customHeight="false" outlineLevel="0" collapsed="false">
      <c r="A9" s="0" t="s">
        <v>71</v>
      </c>
      <c r="B9" s="0" t="n">
        <v>11272</v>
      </c>
      <c r="C9" s="0" t="n">
        <v>7485</v>
      </c>
      <c r="D9" s="0" t="n">
        <v>3787</v>
      </c>
      <c r="E9" s="0" t="n">
        <v>33.6</v>
      </c>
      <c r="F9" s="0" t="n">
        <v>1251</v>
      </c>
      <c r="G9" s="0" t="n">
        <v>11.1</v>
      </c>
      <c r="H9" s="0" t="n">
        <v>2080</v>
      </c>
      <c r="I9" s="0" t="n">
        <v>758</v>
      </c>
      <c r="J9" s="0" t="n">
        <v>6.7</v>
      </c>
      <c r="K9" s="0" t="n">
        <v>2.912</v>
      </c>
      <c r="L9" s="0" t="n">
        <v>1517</v>
      </c>
      <c r="M9" s="0" t="n">
        <v>841</v>
      </c>
      <c r="N9" s="0" t="n">
        <v>676</v>
      </c>
      <c r="O9" s="0" t="n">
        <v>5560</v>
      </c>
      <c r="P9" s="0" t="n">
        <v>12628</v>
      </c>
      <c r="Q9" s="0" t="n">
        <v>7054</v>
      </c>
      <c r="R9" s="0" t="n">
        <v>3745</v>
      </c>
      <c r="S9" s="0" t="n">
        <v>905</v>
      </c>
      <c r="T9" s="0" t="n">
        <v>260.3</v>
      </c>
      <c r="U9" s="0" t="n">
        <v>61</v>
      </c>
      <c r="AA9" s="0" t="s">
        <v>17</v>
      </c>
      <c r="AB9" s="0" t="s">
        <v>64</v>
      </c>
    </row>
    <row r="10" customFormat="false" ht="15" hidden="false" customHeight="false" outlineLevel="0" collapsed="false">
      <c r="A10" s="0" t="s">
        <v>72</v>
      </c>
      <c r="B10" s="0" t="n">
        <v>21109</v>
      </c>
      <c r="C10" s="0" t="n">
        <v>16914</v>
      </c>
      <c r="D10" s="0" t="n">
        <v>4195</v>
      </c>
      <c r="E10" s="0" t="n">
        <v>19.9</v>
      </c>
      <c r="F10" s="0" t="n">
        <v>1007</v>
      </c>
      <c r="G10" s="0" t="n">
        <v>4.8</v>
      </c>
      <c r="I10" s="0" t="n">
        <v>319</v>
      </c>
      <c r="J10" s="0" t="n">
        <v>1.5</v>
      </c>
      <c r="K10" s="0" t="n">
        <v>0.82</v>
      </c>
      <c r="L10" s="0" t="n">
        <v>1483</v>
      </c>
      <c r="M10" s="0" t="n">
        <v>1466</v>
      </c>
      <c r="N10" s="0" t="n">
        <v>17</v>
      </c>
      <c r="O10" s="0" t="n">
        <v>17360</v>
      </c>
      <c r="P10" s="0" t="n">
        <v>43759</v>
      </c>
      <c r="Q10" s="0" t="n">
        <v>26372</v>
      </c>
      <c r="R10" s="0" t="n">
        <v>13595</v>
      </c>
      <c r="S10" s="0" t="n">
        <v>855</v>
      </c>
      <c r="T10" s="0" t="n">
        <v>520.444</v>
      </c>
      <c r="U10" s="0" t="n">
        <v>206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31179</v>
      </c>
      <c r="C11" s="0" t="n">
        <v>25136</v>
      </c>
      <c r="D11" s="0" t="n">
        <v>6043</v>
      </c>
      <c r="E11" s="0" t="n">
        <v>19.4</v>
      </c>
      <c r="F11" s="0" t="n">
        <v>1719</v>
      </c>
      <c r="G11" s="0" t="n">
        <v>5.5</v>
      </c>
      <c r="I11" s="0" t="n">
        <v>699</v>
      </c>
      <c r="J11" s="0" t="n">
        <v>2.2</v>
      </c>
      <c r="K11" s="0" t="n">
        <v>1.33</v>
      </c>
      <c r="L11" s="0" t="n">
        <v>3392</v>
      </c>
      <c r="M11" s="0" t="n">
        <v>2192</v>
      </c>
      <c r="N11" s="0" t="n">
        <v>1200</v>
      </c>
      <c r="O11" s="0" t="n">
        <v>18327</v>
      </c>
      <c r="P11" s="0" t="n">
        <v>45157</v>
      </c>
      <c r="Q11" s="0" t="n">
        <v>26803</v>
      </c>
      <c r="R11" s="0" t="n">
        <v>13773</v>
      </c>
      <c r="S11" s="0" t="n">
        <v>892</v>
      </c>
      <c r="T11" s="0" t="n">
        <v>522.31</v>
      </c>
      <c r="U11" s="0" t="n">
        <v>139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41.29</v>
      </c>
    </row>
    <row r="3" customFormat="false" ht="15" hidden="false" customHeight="false" outlineLevel="0" collapsed="false">
      <c r="A3" s="0" t="s">
        <v>77</v>
      </c>
      <c r="B3" s="3" t="n">
        <v>528.5</v>
      </c>
    </row>
    <row r="4" customFormat="false" ht="15" hidden="false" customHeight="false" outlineLevel="0" collapsed="false">
      <c r="A4" s="0" t="s">
        <v>78</v>
      </c>
      <c r="B4" s="3" t="n">
        <v>13487</v>
      </c>
    </row>
    <row r="5" customFormat="false" ht="15" hidden="false" customHeight="false" outlineLevel="0" collapsed="false">
      <c r="A5" s="0" t="s">
        <v>79</v>
      </c>
      <c r="B5" s="3" t="n">
        <v>-24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31179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1.5</v>
      </c>
      <c r="D13" s="3" t="n">
        <v>0</v>
      </c>
      <c r="E13" s="3" t="n">
        <v>1</v>
      </c>
      <c r="F13" s="3" t="n">
        <v>1.5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14.9</v>
      </c>
      <c r="D14" s="3" t="n">
        <v>14.5</v>
      </c>
      <c r="E14" s="3" t="n">
        <v>14.3</v>
      </c>
      <c r="F14" s="3" t="n">
        <v>14.5</v>
      </c>
      <c r="G14" s="3" t="n">
        <v>14.7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99</v>
      </c>
      <c r="C15" s="3" t="n">
        <v>0.7</v>
      </c>
      <c r="D15" s="3" t="n">
        <v>0.65</v>
      </c>
      <c r="E15" s="3" t="n">
        <v>0.6</v>
      </c>
      <c r="F15" s="3" t="n">
        <v>0.6</v>
      </c>
      <c r="G15" s="3" t="n">
        <v>0.55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8.2</v>
      </c>
      <c r="D17" s="3" t="n">
        <v>8</v>
      </c>
      <c r="E17" s="3" t="n">
        <v>7.8</v>
      </c>
      <c r="F17" s="3" t="n">
        <v>7.6</v>
      </c>
      <c r="G17" s="3" t="n">
        <v>7.4</v>
      </c>
      <c r="H17" s="3" t="n">
        <v>7.3</v>
      </c>
      <c r="I17" s="3" t="n">
        <v>7.2</v>
      </c>
      <c r="J17" s="3" t="n">
        <v>7.2</v>
      </c>
      <c r="K17" s="3" t="n">
        <v>7.2</v>
      </c>
      <c r="L17" s="3" t="n">
        <v>7.2</v>
      </c>
    </row>
    <row r="18" customFormat="false" ht="15" hidden="false" customHeight="false" outlineLevel="0" collapsed="false">
      <c r="A18" s="0" t="s">
        <v>102</v>
      </c>
      <c r="C18" s="3" t="n">
        <v>7.7</v>
      </c>
      <c r="D18" s="3" t="n">
        <v>7.5</v>
      </c>
      <c r="E18" s="3" t="n">
        <v>7.3</v>
      </c>
      <c r="F18" s="3" t="n">
        <v>7.2</v>
      </c>
      <c r="G18" s="3" t="n">
        <v>7.2</v>
      </c>
      <c r="H18" s="3" t="n">
        <v>7.2</v>
      </c>
      <c r="I18" s="3" t="n">
        <v>7.2</v>
      </c>
      <c r="J18" s="3" t="n">
        <v>7.2</v>
      </c>
      <c r="K18" s="3" t="n">
        <v>7.2</v>
      </c>
      <c r="L18" s="3" t="n">
        <v>7.2</v>
      </c>
    </row>
    <row r="19" customFormat="false" ht="15" hidden="false" customHeight="false" outlineLevel="0" collapsed="false">
      <c r="A19" s="0" t="s">
        <v>103</v>
      </c>
      <c r="C19" s="3" t="n">
        <v>32</v>
      </c>
      <c r="D19" s="3" t="n">
        <v>32</v>
      </c>
      <c r="E19" s="3" t="n">
        <v>31</v>
      </c>
      <c r="F19" s="3" t="n">
        <v>30</v>
      </c>
      <c r="G19" s="3" t="n">
        <v>30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104</v>
      </c>
      <c r="B20" s="3" t="n">
        <v>8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</v>
      </c>
      <c r="D27" s="3" t="n">
        <v>4</v>
      </c>
      <c r="E27" s="3" t="n">
        <v>3</v>
      </c>
      <c r="F27" s="3" t="n">
        <v>2.5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15.2</v>
      </c>
      <c r="D28" s="3" t="n">
        <v>16</v>
      </c>
      <c r="E28" s="3" t="n">
        <v>16.5</v>
      </c>
      <c r="F28" s="3" t="n">
        <v>16.8</v>
      </c>
      <c r="G28" s="3" t="n">
        <v>17</v>
      </c>
      <c r="H28" s="3" t="n">
        <v>17</v>
      </c>
      <c r="I28" s="3" t="n">
        <v>17</v>
      </c>
      <c r="J28" s="3" t="n">
        <v>17</v>
      </c>
      <c r="K28" s="3" t="n">
        <v>17</v>
      </c>
      <c r="L28" s="3" t="n">
        <v>17</v>
      </c>
    </row>
    <row r="29" customFormat="false" ht="15" hidden="false" customHeight="false" outlineLevel="0" collapsed="false">
      <c r="A29" s="0" t="s">
        <v>99</v>
      </c>
      <c r="C29" s="3" t="n">
        <v>0.7</v>
      </c>
      <c r="D29" s="3" t="n">
        <v>0.65</v>
      </c>
      <c r="E29" s="3" t="n">
        <v>0.6</v>
      </c>
      <c r="F29" s="3" t="n">
        <v>0.6</v>
      </c>
      <c r="G29" s="3" t="n">
        <v>0.55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8.2</v>
      </c>
      <c r="D31" s="3" t="n">
        <v>8</v>
      </c>
      <c r="E31" s="3" t="n">
        <v>7.8</v>
      </c>
      <c r="F31" s="3" t="n">
        <v>7.6</v>
      </c>
      <c r="G31" s="3" t="n">
        <v>7.4</v>
      </c>
      <c r="H31" s="3" t="n">
        <v>7.3</v>
      </c>
      <c r="I31" s="3" t="n">
        <v>7.2</v>
      </c>
      <c r="J31" s="3" t="n">
        <v>7.2</v>
      </c>
      <c r="K31" s="3" t="n">
        <v>7.2</v>
      </c>
      <c r="L31" s="3" t="n">
        <v>7.2</v>
      </c>
    </row>
    <row r="32" customFormat="false" ht="15" hidden="false" customHeight="false" outlineLevel="0" collapsed="false">
      <c r="A32" s="0" t="s">
        <v>102</v>
      </c>
      <c r="C32" s="3" t="n">
        <v>7.7</v>
      </c>
      <c r="D32" s="3" t="n">
        <v>7.8</v>
      </c>
      <c r="E32" s="3" t="n">
        <v>7.7</v>
      </c>
      <c r="F32" s="3" t="n">
        <v>7.6</v>
      </c>
      <c r="G32" s="3" t="n">
        <v>7.5</v>
      </c>
      <c r="H32" s="3" t="n">
        <v>7.4</v>
      </c>
      <c r="I32" s="3" t="n">
        <v>7.3</v>
      </c>
      <c r="J32" s="3" t="n">
        <v>7.3</v>
      </c>
      <c r="K32" s="3" t="n">
        <v>7.3</v>
      </c>
      <c r="L32" s="3" t="n">
        <v>7.3</v>
      </c>
    </row>
    <row r="33" customFormat="false" ht="15" hidden="false" customHeight="false" outlineLevel="0" collapsed="false">
      <c r="A33" s="0" t="s">
        <v>103</v>
      </c>
      <c r="C33" s="3" t="n">
        <v>32</v>
      </c>
      <c r="D33" s="3" t="n">
        <v>32</v>
      </c>
      <c r="E33" s="3" t="n">
        <v>31</v>
      </c>
      <c r="F33" s="3" t="n">
        <v>30</v>
      </c>
      <c r="G33" s="3" t="n">
        <v>30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104</v>
      </c>
      <c r="B34" s="3" t="n">
        <v>8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2.5</v>
      </c>
      <c r="D41" s="3" t="n">
        <v>5.5</v>
      </c>
      <c r="E41" s="3" t="n">
        <v>4</v>
      </c>
      <c r="F41" s="3" t="n">
        <v>3.5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15.5</v>
      </c>
      <c r="D42" s="3" t="n">
        <v>16.8</v>
      </c>
      <c r="E42" s="3" t="n">
        <v>17.8</v>
      </c>
      <c r="F42" s="3" t="n">
        <v>18.5</v>
      </c>
      <c r="G42" s="3" t="n">
        <v>19</v>
      </c>
      <c r="H42" s="3" t="n">
        <v>19</v>
      </c>
      <c r="I42" s="3" t="n">
        <v>19</v>
      </c>
      <c r="J42" s="3" t="n">
        <v>19</v>
      </c>
      <c r="K42" s="3" t="n">
        <v>19</v>
      </c>
      <c r="L42" s="3" t="n">
        <v>19</v>
      </c>
    </row>
    <row r="43" customFormat="false" ht="15" hidden="false" customHeight="false" outlineLevel="0" collapsed="false">
      <c r="A43" s="0" t="s">
        <v>99</v>
      </c>
      <c r="C43" s="3" t="n">
        <v>0.7</v>
      </c>
      <c r="D43" s="3" t="n">
        <v>0.65</v>
      </c>
      <c r="E43" s="3" t="n">
        <v>0.6</v>
      </c>
      <c r="F43" s="3" t="n">
        <v>0.6</v>
      </c>
      <c r="G43" s="3" t="n">
        <v>0.55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8.2</v>
      </c>
      <c r="D45" s="3" t="n">
        <v>8</v>
      </c>
      <c r="E45" s="3" t="n">
        <v>7.8</v>
      </c>
      <c r="F45" s="3" t="n">
        <v>7.6</v>
      </c>
      <c r="G45" s="3" t="n">
        <v>7.4</v>
      </c>
      <c r="H45" s="3" t="n">
        <v>7.3</v>
      </c>
      <c r="I45" s="3" t="n">
        <v>7.2</v>
      </c>
      <c r="J45" s="3" t="n">
        <v>7.2</v>
      </c>
      <c r="K45" s="3" t="n">
        <v>7.2</v>
      </c>
      <c r="L45" s="3" t="n">
        <v>7.2</v>
      </c>
    </row>
    <row r="46" customFormat="false" ht="15" hidden="false" customHeight="false" outlineLevel="0" collapsed="false">
      <c r="A46" s="0" t="s">
        <v>102</v>
      </c>
      <c r="C46" s="3" t="n">
        <v>7.7</v>
      </c>
      <c r="D46" s="3" t="n">
        <v>7.8</v>
      </c>
      <c r="E46" s="3" t="n">
        <v>7.7</v>
      </c>
      <c r="F46" s="3" t="n">
        <v>7.6</v>
      </c>
      <c r="G46" s="3" t="n">
        <v>7.5</v>
      </c>
      <c r="H46" s="3" t="n">
        <v>7.4</v>
      </c>
      <c r="I46" s="3" t="n">
        <v>7.3</v>
      </c>
      <c r="J46" s="3" t="n">
        <v>7.3</v>
      </c>
      <c r="K46" s="3" t="n">
        <v>7.3</v>
      </c>
      <c r="L46" s="3" t="n">
        <v>7.3</v>
      </c>
    </row>
    <row r="47" customFormat="false" ht="15" hidden="false" customHeight="false" outlineLevel="0" collapsed="false">
      <c r="A47" s="0" t="s">
        <v>103</v>
      </c>
      <c r="C47" s="3" t="n">
        <v>32</v>
      </c>
      <c r="D47" s="3" t="n">
        <v>32</v>
      </c>
      <c r="E47" s="3" t="n">
        <v>31</v>
      </c>
      <c r="F47" s="3" t="n">
        <v>30</v>
      </c>
      <c r="G47" s="3" t="n">
        <v>30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104</v>
      </c>
      <c r="B48" s="3" t="n">
        <v>8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1.5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31179</v>
      </c>
      <c r="C6" s="0" t="n">
        <f aca="false">B6*(1+C5/100)</f>
        <v>31646.685</v>
      </c>
      <c r="D6" s="0" t="n">
        <f aca="false">C6*(1+D5/100)</f>
        <v>31646.685</v>
      </c>
      <c r="E6" s="0" t="n">
        <f aca="false">D6*(1+E5/100)</f>
        <v>31963.15185</v>
      </c>
      <c r="F6" s="0" t="n">
        <f aca="false">E6*(1+F5/100)</f>
        <v>32442.59912775</v>
      </c>
      <c r="G6" s="0" t="n">
        <f aca="false">F6*(1+G5/100)</f>
        <v>32929.2381146662</v>
      </c>
      <c r="H6" s="0" t="n">
        <f aca="false">G6*(1+H5/100)</f>
        <v>33587.8228769596</v>
      </c>
      <c r="I6" s="0" t="n">
        <f aca="false">H6*(1+I5/100)</f>
        <v>34259.5793344988</v>
      </c>
      <c r="J6" s="0" t="n">
        <f aca="false">I6*(1+J5/100)</f>
        <v>34944.7709211887</v>
      </c>
      <c r="K6" s="0" t="n">
        <f aca="false">J6*(1+K5/100)</f>
        <v>35643.6663396125</v>
      </c>
      <c r="L6" s="0" t="n">
        <f aca="false">K6*(1+L5/100)</f>
        <v>36356.5396664048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14.9</v>
      </c>
      <c r="D7" s="4" t="n">
        <f aca="false">Assumptions!D14</f>
        <v>14.5</v>
      </c>
      <c r="E7" s="4" t="n">
        <f aca="false">Assumptions!E14</f>
        <v>14.3</v>
      </c>
      <c r="F7" s="4" t="n">
        <f aca="false">Assumptions!F14</f>
        <v>14.5</v>
      </c>
      <c r="G7" s="4" t="n">
        <f aca="false">Assumptions!G14</f>
        <v>14.7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4715.356065</v>
      </c>
      <c r="D8" s="0" t="n">
        <f aca="false">D6*D7/100</f>
        <v>4588.769325</v>
      </c>
      <c r="E8" s="0" t="n">
        <f aca="false">E6*E7/100</f>
        <v>4570.73071455</v>
      </c>
      <c r="F8" s="0" t="n">
        <f aca="false">F6*F7/100</f>
        <v>4704.17687352375</v>
      </c>
      <c r="G8" s="0" t="n">
        <f aca="false">G6*G7/100</f>
        <v>4840.59800285594</v>
      </c>
      <c r="H8" s="0" t="n">
        <f aca="false">H6*H7/100</f>
        <v>5038.17343154394</v>
      </c>
      <c r="I8" s="0" t="n">
        <f aca="false">I6*I7/100</f>
        <v>5138.93690017482</v>
      </c>
      <c r="J8" s="0" t="n">
        <f aca="false">J6*J7/100</f>
        <v>5241.71563817831</v>
      </c>
      <c r="K8" s="0" t="n">
        <f aca="false">K6*K7/100</f>
        <v>5346.54995094188</v>
      </c>
      <c r="L8" s="0" t="n">
        <f aca="false">L6*L7/100</f>
        <v>5453.48094996072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0.7</v>
      </c>
      <c r="D9" s="4" t="n">
        <f aca="false">Assumptions!D15</f>
        <v>0.65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0.55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-221.526795</v>
      </c>
      <c r="D10" s="0" t="n">
        <f aca="false">-D6*D9/100</f>
        <v>-205.7034525</v>
      </c>
      <c r="E10" s="0" t="n">
        <f aca="false">-E6*E9/100</f>
        <v>-191.7789111</v>
      </c>
      <c r="F10" s="0" t="n">
        <f aca="false">-F6*F9/100</f>
        <v>-194.6555947665</v>
      </c>
      <c r="G10" s="0" t="n">
        <f aca="false">-G6*G9/100</f>
        <v>-181.110809630664</v>
      </c>
      <c r="H10" s="0" t="n">
        <f aca="false">-H6*H9/100</f>
        <v>-167.939114384798</v>
      </c>
      <c r="I10" s="0" t="n">
        <f aca="false">-I6*I9/100</f>
        <v>-171.297896672494</v>
      </c>
      <c r="J10" s="0" t="n">
        <f aca="false">-J6*J9/100</f>
        <v>-174.723854605944</v>
      </c>
      <c r="K10" s="0" t="n">
        <f aca="false">-K6*K9/100</f>
        <v>-178.218331698063</v>
      </c>
      <c r="L10" s="0" t="n">
        <f aca="false">-L6*L9/100</f>
        <v>-181.782698332024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4493.82927</v>
      </c>
      <c r="D11" s="0" t="n">
        <f aca="false">D8+D10+D24</f>
        <v>4383.0658725</v>
      </c>
      <c r="E11" s="0" t="n">
        <f aca="false">E8+E10+E24</f>
        <v>4378.95180345</v>
      </c>
      <c r="F11" s="0" t="n">
        <f aca="false">F8+F10+F24</f>
        <v>4509.52127875725</v>
      </c>
      <c r="G11" s="0" t="n">
        <f aca="false">G8+G10+G24</f>
        <v>4659.48719322527</v>
      </c>
      <c r="H11" s="0" t="n">
        <f aca="false">H8+H10+H24</f>
        <v>4870.23431715914</v>
      </c>
      <c r="I11" s="0" t="n">
        <f aca="false">I8+I10+I24</f>
        <v>4967.63900350232</v>
      </c>
      <c r="J11" s="0" t="n">
        <f aca="false">J8+J10+J24</f>
        <v>5066.99178357237</v>
      </c>
      <c r="K11" s="0" t="n">
        <f aca="false">K8+K10+K24</f>
        <v>5168.33161924381</v>
      </c>
      <c r="L11" s="0" t="n">
        <f aca="false">L8+L10+L24</f>
        <v>5271.69825162869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-2595.02817</v>
      </c>
      <c r="D12" s="4" t="n">
        <f aca="false">-D6*Assumptions!D17/100</f>
        <v>-2531.7348</v>
      </c>
      <c r="E12" s="4" t="n">
        <f aca="false">-E6*Assumptions!E17/100</f>
        <v>-2493.1258443</v>
      </c>
      <c r="F12" s="4" t="n">
        <f aca="false">-F6*Assumptions!F17/100</f>
        <v>-2465.637533709</v>
      </c>
      <c r="G12" s="4" t="n">
        <f aca="false">-G6*Assumptions!G17/100</f>
        <v>-2436.7636204853</v>
      </c>
      <c r="H12" s="4" t="n">
        <f aca="false">-H6*Assumptions!H17/100</f>
        <v>-2451.91107001805</v>
      </c>
      <c r="I12" s="4" t="n">
        <f aca="false">-I6*Assumptions!I17/100</f>
        <v>-2466.68971208391</v>
      </c>
      <c r="J12" s="4" t="n">
        <f aca="false">-J6*Assumptions!J17/100</f>
        <v>-2516.02350632559</v>
      </c>
      <c r="K12" s="4" t="n">
        <f aca="false">-K6*Assumptions!K17/100</f>
        <v>-2566.3439764521</v>
      </c>
      <c r="L12" s="4" t="n">
        <f aca="false">-L6*Assumptions!L17/100</f>
        <v>-2617.67085598114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1898.8011</v>
      </c>
      <c r="D13" s="0" t="n">
        <f aca="false">D11+D12</f>
        <v>1851.3310725</v>
      </c>
      <c r="E13" s="0" t="n">
        <f aca="false">E11+E12</f>
        <v>1885.82595915</v>
      </c>
      <c r="F13" s="0" t="n">
        <f aca="false">F11+F12</f>
        <v>2043.88374504825</v>
      </c>
      <c r="G13" s="0" t="n">
        <f aca="false">G11+G12</f>
        <v>2222.72357273997</v>
      </c>
      <c r="H13" s="0" t="n">
        <f aca="false">H11+H12</f>
        <v>2418.32324714109</v>
      </c>
      <c r="I13" s="0" t="n">
        <f aca="false">I11+I12</f>
        <v>2500.94929141841</v>
      </c>
      <c r="J13" s="0" t="n">
        <f aca="false">J11+J12</f>
        <v>2550.96827724678</v>
      </c>
      <c r="K13" s="0" t="n">
        <f aca="false">K11+K12</f>
        <v>2601.98764279171</v>
      </c>
      <c r="L13" s="0" t="n">
        <f aca="false">L11+L12</f>
        <v>2654.02739564755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32</v>
      </c>
      <c r="D14" s="4" t="n">
        <f aca="false">Assumptions!D19</f>
        <v>32</v>
      </c>
      <c r="E14" s="4" t="n">
        <f aca="false">Assumptions!E19</f>
        <v>31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1291.184748</v>
      </c>
      <c r="D15" s="0" t="n">
        <f aca="false">D13-MAX(0,D13)*D14/100</f>
        <v>1258.9051293</v>
      </c>
      <c r="E15" s="0" t="n">
        <f aca="false">E13-MAX(0,E13)*E14/100</f>
        <v>1301.2199118135</v>
      </c>
      <c r="F15" s="0" t="n">
        <f aca="false">F13-MAX(0,F13)*F14/100</f>
        <v>1430.71862153377</v>
      </c>
      <c r="G15" s="0" t="n">
        <f aca="false">G13-MAX(0,G13)*G14/100</f>
        <v>1555.90650091798</v>
      </c>
      <c r="H15" s="0" t="n">
        <f aca="false">H13-MAX(0,H13)*H14/100</f>
        <v>1717.00950547017</v>
      </c>
      <c r="I15" s="0" t="n">
        <f aca="false">I13-MAX(0,I13)*I14/100</f>
        <v>1775.67399690707</v>
      </c>
      <c r="J15" s="0" t="n">
        <f aca="false">J13-MAX(0,J13)*J14/100</f>
        <v>1811.18747684521</v>
      </c>
      <c r="K15" s="0" t="n">
        <f aca="false">K13-MAX(0,K13)*K14/100</f>
        <v>1847.41122638212</v>
      </c>
      <c r="L15" s="0" t="n">
        <f aca="false">L13-MAX(0,L13)*L14/100</f>
        <v>1884.35945090976</v>
      </c>
    </row>
    <row r="16" customFormat="false" ht="15" hidden="false" customHeight="false" outlineLevel="0" collapsed="false">
      <c r="A16" s="0" t="s">
        <v>119</v>
      </c>
      <c r="C16" s="0" t="n">
        <f aca="false">-C12</f>
        <v>2595.02817</v>
      </c>
      <c r="D16" s="0" t="n">
        <f aca="false">-D12</f>
        <v>2531.7348</v>
      </c>
      <c r="E16" s="0" t="n">
        <f aca="false">-E12</f>
        <v>2493.1258443</v>
      </c>
      <c r="F16" s="0" t="n">
        <f aca="false">-F12</f>
        <v>2465.637533709</v>
      </c>
      <c r="G16" s="0" t="n">
        <f aca="false">-G12</f>
        <v>2436.7636204853</v>
      </c>
      <c r="H16" s="0" t="n">
        <f aca="false">-H12</f>
        <v>2451.91107001805</v>
      </c>
      <c r="I16" s="0" t="n">
        <f aca="false">-I12</f>
        <v>2466.68971208391</v>
      </c>
      <c r="J16" s="0" t="n">
        <f aca="false">-J12</f>
        <v>2516.02350632559</v>
      </c>
      <c r="K16" s="0" t="n">
        <f aca="false">-K12</f>
        <v>2566.3439764521</v>
      </c>
      <c r="L16" s="0" t="n">
        <f aca="false">-L12</f>
        <v>2617.67085598114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-2436.794745</v>
      </c>
      <c r="D17" s="4" t="n">
        <f aca="false">-D6*Assumptions!D18/100</f>
        <v>-2373.501375</v>
      </c>
      <c r="E17" s="4" t="n">
        <f aca="false">-E6*Assumptions!E18/100</f>
        <v>-2333.31008505</v>
      </c>
      <c r="F17" s="4" t="n">
        <f aca="false">-F6*Assumptions!F18/100</f>
        <v>-2335.867137198</v>
      </c>
      <c r="G17" s="4" t="n">
        <f aca="false">-G6*Assumptions!G18/100</f>
        <v>-2370.90514425597</v>
      </c>
      <c r="H17" s="4" t="n">
        <f aca="false">-H6*Assumptions!H18/100</f>
        <v>-2418.32324714109</v>
      </c>
      <c r="I17" s="4" t="n">
        <f aca="false">-I6*Assumptions!I18/100</f>
        <v>-2466.68971208391</v>
      </c>
      <c r="J17" s="4" t="n">
        <f aca="false">-J6*Assumptions!J18/100</f>
        <v>-2516.02350632559</v>
      </c>
      <c r="K17" s="4" t="n">
        <f aca="false">-K6*Assumptions!K18/100</f>
        <v>-2566.3439764521</v>
      </c>
      <c r="L17" s="4" t="n">
        <f aca="false">-L6*Assumptions!L18/100</f>
        <v>-2617.67085598114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-46.7684999999998</v>
      </c>
      <c r="D18" s="4" t="n">
        <f aca="false">(D6-C6)*Assumptions!$B$23/100</f>
        <v>-0</v>
      </c>
      <c r="E18" s="4" t="n">
        <f aca="false">(E6-D6)*Assumptions!$B$23/100</f>
        <v>-31.6466850000001</v>
      </c>
      <c r="F18" s="4" t="n">
        <f aca="false">(F6-E6)*Assumptions!$B$23/100</f>
        <v>-47.9447277749998</v>
      </c>
      <c r="G18" s="4" t="n">
        <f aca="false">(G6-F6)*Assumptions!$B$23/100</f>
        <v>-48.6638986916249</v>
      </c>
      <c r="H18" s="4" t="n">
        <f aca="false">(H6-G6)*Assumptions!$B$23/100</f>
        <v>-65.8584762293329</v>
      </c>
      <c r="I18" s="4" t="n">
        <f aca="false">(I6-H6)*Assumptions!$B$23/100</f>
        <v>-67.1756457539195</v>
      </c>
      <c r="J18" s="4" t="n">
        <f aca="false">(J6-I6)*Assumptions!$B$23/100</f>
        <v>-68.5191586689973</v>
      </c>
      <c r="K18" s="4" t="n">
        <f aca="false">(K6-J6)*Assumptions!$B$23/100</f>
        <v>-69.8895418423774</v>
      </c>
      <c r="L18" s="4" t="n">
        <f aca="false">(L6-K6)*Assumptions!$B$23/100</f>
        <v>-71.2873326792251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1402.649673</v>
      </c>
      <c r="D19" s="0" t="n">
        <f aca="false">D15+D16+D17+D18</f>
        <v>1417.1385543</v>
      </c>
      <c r="E19" s="0" t="n">
        <f aca="false">E15+E16+E17+E18</f>
        <v>1429.3889860635</v>
      </c>
      <c r="F19" s="0" t="n">
        <f aca="false">F15+F16+F17+F18</f>
        <v>1512.54429026977</v>
      </c>
      <c r="G19" s="0" t="n">
        <f aca="false">G15+G16+G17+G18</f>
        <v>1573.10107845569</v>
      </c>
      <c r="H19" s="0" t="n">
        <f aca="false">H15+H16+H17+H18</f>
        <v>1684.7388521178</v>
      </c>
      <c r="I19" s="0" t="n">
        <f aca="false">I15+I16+I17+I18</f>
        <v>1708.49835115315</v>
      </c>
      <c r="J19" s="0" t="n">
        <f aca="false">J15+J16+J17+J18</f>
        <v>1742.66831817622</v>
      </c>
      <c r="K19" s="0" t="n">
        <f aca="false">K15+K16+K17+K18</f>
        <v>1777.52168453974</v>
      </c>
      <c r="L19" s="0" t="n">
        <f aca="false">L15+L16+L17+L18</f>
        <v>1813.07211823053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1298.74969722222</v>
      </c>
      <c r="D21" s="0" t="n">
        <f aca="false">D19*D20</f>
        <v>1214.96789634774</v>
      </c>
      <c r="E21" s="0" t="n">
        <f aca="false">E19*E20</f>
        <v>1134.69506209634</v>
      </c>
      <c r="F21" s="0" t="n">
        <f aca="false">F19*F20</f>
        <v>1111.76520702511</v>
      </c>
      <c r="G21" s="0" t="n">
        <f aca="false">G19*G20</f>
        <v>1070.62616123262</v>
      </c>
      <c r="H21" s="0" t="n">
        <f aca="false">H19*H20</f>
        <v>1061.67125383454</v>
      </c>
      <c r="I21" s="0" t="n">
        <f aca="false">I19*I20</f>
        <v>996.892378219056</v>
      </c>
      <c r="J21" s="0" t="n">
        <f aca="false">J19*J20</f>
        <v>941.509468317998</v>
      </c>
      <c r="K21" s="0" t="n">
        <f aca="false">K19*K20</f>
        <v>889.203386744776</v>
      </c>
      <c r="L21" s="0" t="n">
        <f aca="false">L19*L20</f>
        <v>839.803198592288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10559.8837096327</v>
      </c>
    </row>
    <row r="31" customFormat="false" ht="15" hidden="false" customHeight="false" outlineLevel="0" collapsed="false">
      <c r="A31" s="0" t="s">
        <v>128</v>
      </c>
      <c r="B31" s="0" t="n">
        <f aca="false">L19</f>
        <v>1813.07211823053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30822.2260099191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27196.081773458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27196.081773458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12597.0479788843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23156.931688517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9645.93168851701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18.2515263737313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-0.557967392256447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1273.58665483958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1431.40955593555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23.3697784281781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14225.6427738088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-4.20596132203509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</v>
      </c>
      <c r="D5" s="4" t="n">
        <f aca="false">Assumptions!D27</f>
        <v>4</v>
      </c>
      <c r="E5" s="4" t="n">
        <f aca="false">Assumptions!E27</f>
        <v>3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31179</v>
      </c>
      <c r="C6" s="0" t="n">
        <f aca="false">B6*(1+C5/100)</f>
        <v>31802.58</v>
      </c>
      <c r="D6" s="0" t="n">
        <f aca="false">C6*(1+D5/100)</f>
        <v>33074.6832</v>
      </c>
      <c r="E6" s="0" t="n">
        <f aca="false">D6*(1+E5/100)</f>
        <v>34066.923696</v>
      </c>
      <c r="F6" s="0" t="n">
        <f aca="false">E6*(1+F5/100)</f>
        <v>34918.5967884</v>
      </c>
      <c r="G6" s="0" t="n">
        <f aca="false">F6*(1+G5/100)</f>
        <v>35791.56170811</v>
      </c>
      <c r="H6" s="0" t="n">
        <f aca="false">G6*(1+H5/100)</f>
        <v>36686.3507508127</v>
      </c>
      <c r="I6" s="0" t="n">
        <f aca="false">H6*(1+I5/100)</f>
        <v>37420.077765829</v>
      </c>
      <c r="J6" s="0" t="n">
        <f aca="false">I6*(1+J5/100)</f>
        <v>38168.4793211456</v>
      </c>
      <c r="K6" s="0" t="n">
        <f aca="false">J6*(1+K5/100)</f>
        <v>38931.8489075685</v>
      </c>
      <c r="L6" s="0" t="n">
        <f aca="false">K6*(1+L5/100)</f>
        <v>39710.4858857199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15.2</v>
      </c>
      <c r="D7" s="4" t="n">
        <f aca="false">Assumptions!D28</f>
        <v>16</v>
      </c>
      <c r="E7" s="4" t="n">
        <f aca="false">Assumptions!E28</f>
        <v>16.5</v>
      </c>
      <c r="F7" s="4" t="n">
        <f aca="false">Assumptions!F28</f>
        <v>16.8</v>
      </c>
      <c r="G7" s="4" t="n">
        <f aca="false">Assumptions!G28</f>
        <v>17</v>
      </c>
      <c r="H7" s="4" t="n">
        <f aca="false">Assumptions!H28</f>
        <v>17</v>
      </c>
      <c r="I7" s="4" t="n">
        <f aca="false">Assumptions!I28</f>
        <v>17</v>
      </c>
      <c r="J7" s="4" t="n">
        <f aca="false">Assumptions!J28</f>
        <v>17</v>
      </c>
      <c r="K7" s="4" t="n">
        <f aca="false">Assumptions!K28</f>
        <v>17</v>
      </c>
      <c r="L7" s="4" t="n">
        <f aca="false">Assumptions!L28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4833.99216</v>
      </c>
      <c r="D8" s="0" t="n">
        <f aca="false">D6*D7/100</f>
        <v>5291.949312</v>
      </c>
      <c r="E8" s="0" t="n">
        <f aca="false">E6*E7/100</f>
        <v>5621.04240984</v>
      </c>
      <c r="F8" s="0" t="n">
        <f aca="false">F6*F7/100</f>
        <v>5866.3242604512</v>
      </c>
      <c r="G8" s="0" t="n">
        <f aca="false">G6*G7/100</f>
        <v>6084.5654903787</v>
      </c>
      <c r="H8" s="0" t="n">
        <f aca="false">H6*H7/100</f>
        <v>6236.67962763817</v>
      </c>
      <c r="I8" s="0" t="n">
        <f aca="false">I6*I7/100</f>
        <v>6361.41322019093</v>
      </c>
      <c r="J8" s="0" t="n">
        <f aca="false">J6*J7/100</f>
        <v>6488.64148459475</v>
      </c>
      <c r="K8" s="0" t="n">
        <f aca="false">K6*K7/100</f>
        <v>6618.41431428664</v>
      </c>
      <c r="L8" s="0" t="n">
        <f aca="false">L6*L7/100</f>
        <v>6750.78260057238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0.7</v>
      </c>
      <c r="D9" s="4" t="n">
        <f aca="false">Assumptions!D29</f>
        <v>0.65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0.55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-222.61806</v>
      </c>
      <c r="D10" s="0" t="n">
        <f aca="false">-D6*D9/100</f>
        <v>-214.9854408</v>
      </c>
      <c r="E10" s="0" t="n">
        <f aca="false">-E6*E9/100</f>
        <v>-204.401542176</v>
      </c>
      <c r="F10" s="0" t="n">
        <f aca="false">-F6*F9/100</f>
        <v>-209.5115807304</v>
      </c>
      <c r="G10" s="0" t="n">
        <f aca="false">-G6*G9/100</f>
        <v>-196.853589394605</v>
      </c>
      <c r="H10" s="0" t="n">
        <f aca="false">-H6*H9/100</f>
        <v>-183.431753754064</v>
      </c>
      <c r="I10" s="0" t="n">
        <f aca="false">-I6*I9/100</f>
        <v>-187.100388829145</v>
      </c>
      <c r="J10" s="0" t="n">
        <f aca="false">-J6*J9/100</f>
        <v>-190.842396605728</v>
      </c>
      <c r="K10" s="0" t="n">
        <f aca="false">-K6*K9/100</f>
        <v>-194.659244537842</v>
      </c>
      <c r="L10" s="0" t="n">
        <f aca="false">-L6*L9/100</f>
        <v>-198.552429428599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4611.3741</v>
      </c>
      <c r="D11" s="0" t="n">
        <f aca="false">D8+D10+D24</f>
        <v>5076.9638712</v>
      </c>
      <c r="E11" s="0" t="n">
        <f aca="false">E8+E10+E24</f>
        <v>5416.640867664</v>
      </c>
      <c r="F11" s="0" t="n">
        <f aca="false">F8+F10+F24</f>
        <v>5656.8126797208</v>
      </c>
      <c r="G11" s="0" t="n">
        <f aca="false">G8+G10+G24</f>
        <v>5887.71190098409</v>
      </c>
      <c r="H11" s="0" t="n">
        <f aca="false">H8+H10+H24</f>
        <v>6053.2478738841</v>
      </c>
      <c r="I11" s="0" t="n">
        <f aca="false">I8+I10+I24</f>
        <v>6174.31283136178</v>
      </c>
      <c r="J11" s="0" t="n">
        <f aca="false">J8+J10+J24</f>
        <v>6297.79908798902</v>
      </c>
      <c r="K11" s="0" t="n">
        <f aca="false">K8+K10+K24</f>
        <v>6423.7550697488</v>
      </c>
      <c r="L11" s="0" t="n">
        <f aca="false">L8+L10+L24</f>
        <v>6552.23017114378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-2607.81156</v>
      </c>
      <c r="D12" s="4" t="n">
        <f aca="false">-D6*Assumptions!D31/100</f>
        <v>-2645.974656</v>
      </c>
      <c r="E12" s="4" t="n">
        <f aca="false">-E6*Assumptions!E31/100</f>
        <v>-2657.220048288</v>
      </c>
      <c r="F12" s="4" t="n">
        <f aca="false">-F6*Assumptions!F31/100</f>
        <v>-2653.8133559184</v>
      </c>
      <c r="G12" s="4" t="n">
        <f aca="false">-G6*Assumptions!G31/100</f>
        <v>-2648.57556640014</v>
      </c>
      <c r="H12" s="4" t="n">
        <f aca="false">-H6*Assumptions!H31/100</f>
        <v>-2678.10360480933</v>
      </c>
      <c r="I12" s="4" t="n">
        <f aca="false">-I6*Assumptions!I31/100</f>
        <v>-2694.24559913969</v>
      </c>
      <c r="J12" s="4" t="n">
        <f aca="false">-J6*Assumptions!J31/100</f>
        <v>-2748.13051112248</v>
      </c>
      <c r="K12" s="4" t="n">
        <f aca="false">-K6*Assumptions!K31/100</f>
        <v>-2803.09312134493</v>
      </c>
      <c r="L12" s="4" t="n">
        <f aca="false">-L6*Assumptions!L31/100</f>
        <v>-2859.15498377183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2003.56254</v>
      </c>
      <c r="D13" s="0" t="n">
        <f aca="false">D11+D12</f>
        <v>2430.9892152</v>
      </c>
      <c r="E13" s="0" t="n">
        <f aca="false">E11+E12</f>
        <v>2759.420819376</v>
      </c>
      <c r="F13" s="0" t="n">
        <f aca="false">F11+F12</f>
        <v>3002.9993238024</v>
      </c>
      <c r="G13" s="0" t="n">
        <f aca="false">G11+G12</f>
        <v>3239.13633458396</v>
      </c>
      <c r="H13" s="0" t="n">
        <f aca="false">H11+H12</f>
        <v>3375.14426907477</v>
      </c>
      <c r="I13" s="0" t="n">
        <f aca="false">I11+I12</f>
        <v>3480.0672322221</v>
      </c>
      <c r="J13" s="0" t="n">
        <f aca="false">J11+J12</f>
        <v>3549.66857686654</v>
      </c>
      <c r="K13" s="0" t="n">
        <f aca="false">K11+K12</f>
        <v>3620.66194840387</v>
      </c>
      <c r="L13" s="0" t="n">
        <f aca="false">L11+L12</f>
        <v>3693.07518737195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32</v>
      </c>
      <c r="D14" s="4" t="n">
        <f aca="false">Assumptions!D33</f>
        <v>32</v>
      </c>
      <c r="E14" s="4" t="n">
        <f aca="false">Assumptions!E33</f>
        <v>31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1362.4225272</v>
      </c>
      <c r="D15" s="0" t="n">
        <f aca="false">D13-MAX(0,D13)*D14/100</f>
        <v>1653.072666336</v>
      </c>
      <c r="E15" s="0" t="n">
        <f aca="false">E13-MAX(0,E13)*E14/100</f>
        <v>1904.00036536944</v>
      </c>
      <c r="F15" s="0" t="n">
        <f aca="false">F13-MAX(0,F13)*F14/100</f>
        <v>2102.09952666168</v>
      </c>
      <c r="G15" s="0" t="n">
        <f aca="false">G13-MAX(0,G13)*G14/100</f>
        <v>2267.39543420877</v>
      </c>
      <c r="H15" s="0" t="n">
        <f aca="false">H13-MAX(0,H13)*H14/100</f>
        <v>2396.35243104309</v>
      </c>
      <c r="I15" s="0" t="n">
        <f aca="false">I13-MAX(0,I13)*I14/100</f>
        <v>2470.84773487769</v>
      </c>
      <c r="J15" s="0" t="n">
        <f aca="false">J13-MAX(0,J13)*J14/100</f>
        <v>2520.26468957524</v>
      </c>
      <c r="K15" s="0" t="n">
        <f aca="false">K13-MAX(0,K13)*K14/100</f>
        <v>2570.66998336675</v>
      </c>
      <c r="L15" s="0" t="n">
        <f aca="false">L13-MAX(0,L13)*L14/100</f>
        <v>2622.08338303408</v>
      </c>
    </row>
    <row r="16" customFormat="false" ht="15" hidden="false" customHeight="false" outlineLevel="0" collapsed="false">
      <c r="A16" s="0" t="s">
        <v>119</v>
      </c>
      <c r="C16" s="0" t="n">
        <f aca="false">-C12</f>
        <v>2607.81156</v>
      </c>
      <c r="D16" s="0" t="n">
        <f aca="false">-D12</f>
        <v>2645.974656</v>
      </c>
      <c r="E16" s="0" t="n">
        <f aca="false">-E12</f>
        <v>2657.220048288</v>
      </c>
      <c r="F16" s="0" t="n">
        <f aca="false">-F12</f>
        <v>2653.8133559184</v>
      </c>
      <c r="G16" s="0" t="n">
        <f aca="false">-G12</f>
        <v>2648.57556640014</v>
      </c>
      <c r="H16" s="0" t="n">
        <f aca="false">-H12</f>
        <v>2678.10360480933</v>
      </c>
      <c r="I16" s="0" t="n">
        <f aca="false">-I12</f>
        <v>2694.24559913969</v>
      </c>
      <c r="J16" s="0" t="n">
        <f aca="false">-J12</f>
        <v>2748.13051112248</v>
      </c>
      <c r="K16" s="0" t="n">
        <f aca="false">-K12</f>
        <v>2803.09312134493</v>
      </c>
      <c r="L16" s="0" t="n">
        <f aca="false">-L12</f>
        <v>2859.15498377183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-2448.79866</v>
      </c>
      <c r="D17" s="4" t="n">
        <f aca="false">-D6*Assumptions!D32/100</f>
        <v>-2579.8252896</v>
      </c>
      <c r="E17" s="4" t="n">
        <f aca="false">-E6*Assumptions!E32/100</f>
        <v>-2623.153124592</v>
      </c>
      <c r="F17" s="4" t="n">
        <f aca="false">-F6*Assumptions!F32/100</f>
        <v>-2653.8133559184</v>
      </c>
      <c r="G17" s="4" t="n">
        <f aca="false">-G6*Assumptions!G32/100</f>
        <v>-2684.36712810825</v>
      </c>
      <c r="H17" s="4" t="n">
        <f aca="false">-H6*Assumptions!H32/100</f>
        <v>-2714.78995556014</v>
      </c>
      <c r="I17" s="4" t="n">
        <f aca="false">-I6*Assumptions!I32/100</f>
        <v>-2731.66567690552</v>
      </c>
      <c r="J17" s="4" t="n">
        <f aca="false">-J6*Assumptions!J32/100</f>
        <v>-2786.29899044363</v>
      </c>
      <c r="K17" s="4" t="n">
        <f aca="false">-K6*Assumptions!K32/100</f>
        <v>-2842.0249702525</v>
      </c>
      <c r="L17" s="4" t="n">
        <f aca="false">-L6*Assumptions!L32/100</f>
        <v>-2898.86546965755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-62.3580000000002</v>
      </c>
      <c r="D18" s="4" t="n">
        <f aca="false">(D6-C6)*Assumptions!$B$37/100</f>
        <v>-127.21032</v>
      </c>
      <c r="E18" s="4" t="n">
        <f aca="false">(E6-D6)*Assumptions!$B$37/100</f>
        <v>-99.2240495999999</v>
      </c>
      <c r="F18" s="4" t="n">
        <f aca="false">(F6-E6)*Assumptions!$B$37/100</f>
        <v>-85.16730924</v>
      </c>
      <c r="G18" s="4" t="n">
        <f aca="false">(G6-F6)*Assumptions!$B$37/100</f>
        <v>-87.2964919709993</v>
      </c>
      <c r="H18" s="4" t="n">
        <f aca="false">(H6-G6)*Assumptions!$B$37/100</f>
        <v>-89.4789042702745</v>
      </c>
      <c r="I18" s="4" t="n">
        <f aca="false">(I6-H6)*Assumptions!$B$37/100</f>
        <v>-73.3727015016259</v>
      </c>
      <c r="J18" s="4" t="n">
        <f aca="false">(J6-I6)*Assumptions!$B$37/100</f>
        <v>-74.8401555316581</v>
      </c>
      <c r="K18" s="4" t="n">
        <f aca="false">(K6-J6)*Assumptions!$B$37/100</f>
        <v>-76.3369586422916</v>
      </c>
      <c r="L18" s="4" t="n">
        <f aca="false">(L6-K6)*Assumptions!$B$37/100</f>
        <v>-77.8636978151371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1459.0774272</v>
      </c>
      <c r="D19" s="0" t="n">
        <f aca="false">D15+D16+D17+D18</f>
        <v>1592.011712736</v>
      </c>
      <c r="E19" s="0" t="n">
        <f aca="false">E15+E16+E17+E18</f>
        <v>1838.84323946544</v>
      </c>
      <c r="F19" s="0" t="n">
        <f aca="false">F15+F16+F17+F18</f>
        <v>2016.93221742168</v>
      </c>
      <c r="G19" s="0" t="n">
        <f aca="false">G15+G16+G17+G18</f>
        <v>2144.30738052966</v>
      </c>
      <c r="H19" s="0" t="n">
        <f aca="false">H15+H16+H17+H18</f>
        <v>2270.187176022</v>
      </c>
      <c r="I19" s="0" t="n">
        <f aca="false">I15+I16+I17+I18</f>
        <v>2360.05495561023</v>
      </c>
      <c r="J19" s="0" t="n">
        <f aca="false">J15+J16+J17+J18</f>
        <v>2407.25605472244</v>
      </c>
      <c r="K19" s="0" t="n">
        <f aca="false">K15+K16+K17+K18</f>
        <v>2455.40117581689</v>
      </c>
      <c r="L19" s="0" t="n">
        <f aca="false">L15+L16+L17+L18</f>
        <v>2504.50919933323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1350.99761777778</v>
      </c>
      <c r="D21" s="0" t="n">
        <f aca="false">D19*D20</f>
        <v>1364.8934437037</v>
      </c>
      <c r="E21" s="0" t="n">
        <f aca="false">E19*E20</f>
        <v>1459.73304966964</v>
      </c>
      <c r="F21" s="0" t="n">
        <f aca="false">F19*F20</f>
        <v>1482.50539087188</v>
      </c>
      <c r="G21" s="0" t="n">
        <f aca="false">G19*G20</f>
        <v>1459.37957246395</v>
      </c>
      <c r="H21" s="0" t="n">
        <f aca="false">H19*H20</f>
        <v>1430.60300566859</v>
      </c>
      <c r="I21" s="0" t="n">
        <f aca="false">I19*I20</f>
        <v>1377.06939888937</v>
      </c>
      <c r="J21" s="0" t="n">
        <f aca="false">J19*J20</f>
        <v>1300.56554339552</v>
      </c>
      <c r="K21" s="0" t="n">
        <f aca="false">K19*K20</f>
        <v>1228.31190209577</v>
      </c>
      <c r="L21" s="0" t="n">
        <f aca="false">L19*L20</f>
        <v>1160.07235197934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13614.1312765155</v>
      </c>
    </row>
    <row r="31" customFormat="false" ht="15" hidden="false" customHeight="false" outlineLevel="0" collapsed="false">
      <c r="A31" s="0" t="s">
        <v>128</v>
      </c>
      <c r="B31" s="0" t="n">
        <f aca="false">L19</f>
        <v>2504.50919933323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42576.6563886648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37567.6379899984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37567.6379899984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17401.08527969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31015.2165562056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17504.2165562056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33.120561128109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-0.197855143421919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1357.89313014614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1563.45927003026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38.6481910243746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19650.7644870761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2.30835403363035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2.5</v>
      </c>
      <c r="D5" s="4" t="n">
        <f aca="false">Assumptions!D41</f>
        <v>5.5</v>
      </c>
      <c r="E5" s="4" t="n">
        <f aca="false">Assumptions!E41</f>
        <v>4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31179</v>
      </c>
      <c r="C6" s="0" t="n">
        <f aca="false">B6*(1+C5/100)</f>
        <v>31958.475</v>
      </c>
      <c r="D6" s="0" t="n">
        <f aca="false">C6*(1+D5/100)</f>
        <v>33716.191125</v>
      </c>
      <c r="E6" s="0" t="n">
        <f aca="false">D6*(1+E5/100)</f>
        <v>35064.83877</v>
      </c>
      <c r="F6" s="0" t="n">
        <f aca="false">E6*(1+F5/100)</f>
        <v>36292.10812695</v>
      </c>
      <c r="G6" s="0" t="n">
        <f aca="false">F6*(1+G5/100)</f>
        <v>37380.8713707585</v>
      </c>
      <c r="H6" s="0" t="n">
        <f aca="false">G6*(1+H5/100)</f>
        <v>38502.2975118813</v>
      </c>
      <c r="I6" s="0" t="n">
        <f aca="false">H6*(1+I5/100)</f>
        <v>39464.8549496783</v>
      </c>
      <c r="J6" s="0" t="n">
        <f aca="false">I6*(1+J5/100)</f>
        <v>40451.4763234202</v>
      </c>
      <c r="K6" s="0" t="n">
        <f aca="false">J6*(1+K5/100)</f>
        <v>41462.7632315057</v>
      </c>
      <c r="L6" s="0" t="n">
        <f aca="false">K6*(1+L5/100)</f>
        <v>42499.3323122934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15.5</v>
      </c>
      <c r="D7" s="4" t="n">
        <f aca="false">Assumptions!D42</f>
        <v>16.8</v>
      </c>
      <c r="E7" s="4" t="n">
        <f aca="false">Assumptions!E42</f>
        <v>17.8</v>
      </c>
      <c r="F7" s="4" t="n">
        <f aca="false">Assumptions!F42</f>
        <v>18.5</v>
      </c>
      <c r="G7" s="4" t="n">
        <f aca="false">Assumptions!G42</f>
        <v>19</v>
      </c>
      <c r="H7" s="4" t="n">
        <f aca="false">Assumptions!H42</f>
        <v>19</v>
      </c>
      <c r="I7" s="4" t="n">
        <f aca="false">Assumptions!I42</f>
        <v>19</v>
      </c>
      <c r="J7" s="4" t="n">
        <f aca="false">Assumptions!J42</f>
        <v>19</v>
      </c>
      <c r="K7" s="4" t="n">
        <f aca="false">Assumptions!K42</f>
        <v>19</v>
      </c>
      <c r="L7" s="4" t="n">
        <f aca="false">Assumptions!L42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4953.563625</v>
      </c>
      <c r="D8" s="0" t="n">
        <f aca="false">D6*D7/100</f>
        <v>5664.320109</v>
      </c>
      <c r="E8" s="0" t="n">
        <f aca="false">E6*E7/100</f>
        <v>6241.54130106</v>
      </c>
      <c r="F8" s="0" t="n">
        <f aca="false">F6*F7/100</f>
        <v>6714.04000348575</v>
      </c>
      <c r="G8" s="0" t="n">
        <f aca="false">G6*G7/100</f>
        <v>7102.36556044412</v>
      </c>
      <c r="H8" s="0" t="n">
        <f aca="false">H6*H7/100</f>
        <v>7315.43652725744</v>
      </c>
      <c r="I8" s="0" t="n">
        <f aca="false">I6*I7/100</f>
        <v>7498.32244043887</v>
      </c>
      <c r="J8" s="0" t="n">
        <f aca="false">J6*J7/100</f>
        <v>7685.78050144984</v>
      </c>
      <c r="K8" s="0" t="n">
        <f aca="false">K6*K7/100</f>
        <v>7877.92501398609</v>
      </c>
      <c r="L8" s="0" t="n">
        <f aca="false">L6*L7/100</f>
        <v>8074.87313933574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0.7</v>
      </c>
      <c r="D9" s="4" t="n">
        <f aca="false">Assumptions!D43</f>
        <v>0.65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0.55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-223.709325</v>
      </c>
      <c r="D10" s="0" t="n">
        <f aca="false">-D6*D9/100</f>
        <v>-219.1552423125</v>
      </c>
      <c r="E10" s="0" t="n">
        <f aca="false">-E6*E9/100</f>
        <v>-210.38903262</v>
      </c>
      <c r="F10" s="0" t="n">
        <f aca="false">-F6*F9/100</f>
        <v>-217.7526487617</v>
      </c>
      <c r="G10" s="0" t="n">
        <f aca="false">-G6*G9/100</f>
        <v>-205.594792539172</v>
      </c>
      <c r="H10" s="0" t="n">
        <f aca="false">-H6*H9/100</f>
        <v>-192.511487559406</v>
      </c>
      <c r="I10" s="0" t="n">
        <f aca="false">-I6*I9/100</f>
        <v>-197.324274748391</v>
      </c>
      <c r="J10" s="0" t="n">
        <f aca="false">-J6*J9/100</f>
        <v>-202.257381617101</v>
      </c>
      <c r="K10" s="0" t="n">
        <f aca="false">-K6*K9/100</f>
        <v>-207.313816157529</v>
      </c>
      <c r="L10" s="0" t="n">
        <f aca="false">-L6*L9/100</f>
        <v>-212.496661561467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4729.8543</v>
      </c>
      <c r="D11" s="0" t="n">
        <f aca="false">D8+D10+D24</f>
        <v>5445.1648666875</v>
      </c>
      <c r="E11" s="0" t="n">
        <f aca="false">E8+E10+E24</f>
        <v>6031.15226844</v>
      </c>
      <c r="F11" s="0" t="n">
        <f aca="false">F8+F10+F24</f>
        <v>6496.28735472405</v>
      </c>
      <c r="G11" s="0" t="n">
        <f aca="false">G8+G10+G24</f>
        <v>6896.77076790494</v>
      </c>
      <c r="H11" s="0" t="n">
        <f aca="false">H8+H10+H24</f>
        <v>7122.92503969803</v>
      </c>
      <c r="I11" s="0" t="n">
        <f aca="false">I8+I10+I24</f>
        <v>7300.99816569048</v>
      </c>
      <c r="J11" s="0" t="n">
        <f aca="false">J8+J10+J24</f>
        <v>7483.52311983274</v>
      </c>
      <c r="K11" s="0" t="n">
        <f aca="false">K8+K10+K24</f>
        <v>7670.61119782856</v>
      </c>
      <c r="L11" s="0" t="n">
        <f aca="false">L8+L10+L24</f>
        <v>7862.37647777427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-2620.59495</v>
      </c>
      <c r="D12" s="4" t="n">
        <f aca="false">-D6*Assumptions!D45/100</f>
        <v>-2697.29529</v>
      </c>
      <c r="E12" s="4" t="n">
        <f aca="false">-E6*Assumptions!E45/100</f>
        <v>-2735.05742406</v>
      </c>
      <c r="F12" s="4" t="n">
        <f aca="false">-F6*Assumptions!F45/100</f>
        <v>-2758.2002176482</v>
      </c>
      <c r="G12" s="4" t="n">
        <f aca="false">-G6*Assumptions!G45/100</f>
        <v>-2766.18448143613</v>
      </c>
      <c r="H12" s="4" t="n">
        <f aca="false">-H6*Assumptions!H45/100</f>
        <v>-2810.66771836733</v>
      </c>
      <c r="I12" s="4" t="n">
        <f aca="false">-I6*Assumptions!I45/100</f>
        <v>-2841.46955637684</v>
      </c>
      <c r="J12" s="4" t="n">
        <f aca="false">-J6*Assumptions!J45/100</f>
        <v>-2912.50629528626</v>
      </c>
      <c r="K12" s="4" t="n">
        <f aca="false">-K6*Assumptions!K45/100</f>
        <v>-2985.31895266841</v>
      </c>
      <c r="L12" s="4" t="n">
        <f aca="false">-L6*Assumptions!L45/100</f>
        <v>-3059.95192648512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2109.25935</v>
      </c>
      <c r="D13" s="0" t="n">
        <f aca="false">D11+D12</f>
        <v>2747.8695766875</v>
      </c>
      <c r="E13" s="0" t="n">
        <f aca="false">E11+E12</f>
        <v>3296.09484438</v>
      </c>
      <c r="F13" s="0" t="n">
        <f aca="false">F11+F12</f>
        <v>3738.08713707585</v>
      </c>
      <c r="G13" s="0" t="n">
        <f aca="false">G11+G12</f>
        <v>4130.58628646881</v>
      </c>
      <c r="H13" s="0" t="n">
        <f aca="false">H11+H12</f>
        <v>4312.2573213307</v>
      </c>
      <c r="I13" s="0" t="n">
        <f aca="false">I11+I12</f>
        <v>4459.52860931365</v>
      </c>
      <c r="J13" s="0" t="n">
        <f aca="false">J11+J12</f>
        <v>4571.01682454649</v>
      </c>
      <c r="K13" s="0" t="n">
        <f aca="false">K11+K12</f>
        <v>4685.29224516015</v>
      </c>
      <c r="L13" s="0" t="n">
        <f aca="false">L11+L12</f>
        <v>4802.42455128915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32</v>
      </c>
      <c r="D14" s="4" t="n">
        <f aca="false">Assumptions!D47</f>
        <v>32</v>
      </c>
      <c r="E14" s="4" t="n">
        <f aca="false">Assumptions!E47</f>
        <v>31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1434.296358</v>
      </c>
      <c r="D15" s="0" t="n">
        <f aca="false">D13-MAX(0,D13)*D14/100</f>
        <v>1868.5513121475</v>
      </c>
      <c r="E15" s="0" t="n">
        <f aca="false">E13-MAX(0,E13)*E14/100</f>
        <v>2274.3054426222</v>
      </c>
      <c r="F15" s="0" t="n">
        <f aca="false">F13-MAX(0,F13)*F14/100</f>
        <v>2616.6609959531</v>
      </c>
      <c r="G15" s="0" t="n">
        <f aca="false">G13-MAX(0,G13)*G14/100</f>
        <v>2891.41040052817</v>
      </c>
      <c r="H15" s="0" t="n">
        <f aca="false">H13-MAX(0,H13)*H14/100</f>
        <v>3061.7026981448</v>
      </c>
      <c r="I15" s="0" t="n">
        <f aca="false">I13-MAX(0,I13)*I14/100</f>
        <v>3166.26531261269</v>
      </c>
      <c r="J15" s="0" t="n">
        <f aca="false">J13-MAX(0,J13)*J14/100</f>
        <v>3245.421945428</v>
      </c>
      <c r="K15" s="0" t="n">
        <f aca="false">K13-MAX(0,K13)*K14/100</f>
        <v>3326.5574940637</v>
      </c>
      <c r="L15" s="0" t="n">
        <f aca="false">L13-MAX(0,L13)*L14/100</f>
        <v>3409.7214314153</v>
      </c>
    </row>
    <row r="16" customFormat="false" ht="15" hidden="false" customHeight="false" outlineLevel="0" collapsed="false">
      <c r="A16" s="0" t="s">
        <v>119</v>
      </c>
      <c r="C16" s="0" t="n">
        <f aca="false">-C12</f>
        <v>2620.59495</v>
      </c>
      <c r="D16" s="0" t="n">
        <f aca="false">-D12</f>
        <v>2697.29529</v>
      </c>
      <c r="E16" s="0" t="n">
        <f aca="false">-E12</f>
        <v>2735.05742406</v>
      </c>
      <c r="F16" s="0" t="n">
        <f aca="false">-F12</f>
        <v>2758.2002176482</v>
      </c>
      <c r="G16" s="0" t="n">
        <f aca="false">-G12</f>
        <v>2766.18448143613</v>
      </c>
      <c r="H16" s="0" t="n">
        <f aca="false">-H12</f>
        <v>2810.66771836733</v>
      </c>
      <c r="I16" s="0" t="n">
        <f aca="false">-I12</f>
        <v>2841.46955637684</v>
      </c>
      <c r="J16" s="0" t="n">
        <f aca="false">-J12</f>
        <v>2912.50629528626</v>
      </c>
      <c r="K16" s="0" t="n">
        <f aca="false">-K12</f>
        <v>2985.31895266841</v>
      </c>
      <c r="L16" s="0" t="n">
        <f aca="false">-L12</f>
        <v>3059.95192648512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-2460.802575</v>
      </c>
      <c r="D17" s="4" t="n">
        <f aca="false">-D6*Assumptions!D46/100</f>
        <v>-2629.86290775</v>
      </c>
      <c r="E17" s="4" t="n">
        <f aca="false">-E6*Assumptions!E46/100</f>
        <v>-2699.99258529</v>
      </c>
      <c r="F17" s="4" t="n">
        <f aca="false">-F6*Assumptions!F46/100</f>
        <v>-2758.2002176482</v>
      </c>
      <c r="G17" s="4" t="n">
        <f aca="false">-G6*Assumptions!G46/100</f>
        <v>-2803.56535280689</v>
      </c>
      <c r="H17" s="4" t="n">
        <f aca="false">-H6*Assumptions!H46/100</f>
        <v>-2849.17001587921</v>
      </c>
      <c r="I17" s="4" t="n">
        <f aca="false">-I6*Assumptions!I46/100</f>
        <v>-2880.93441132651</v>
      </c>
      <c r="J17" s="4" t="n">
        <f aca="false">-J6*Assumptions!J46/100</f>
        <v>-2952.95777160968</v>
      </c>
      <c r="K17" s="4" t="n">
        <f aca="false">-K6*Assumptions!K46/100</f>
        <v>-3026.78171589992</v>
      </c>
      <c r="L17" s="4" t="n">
        <f aca="false">-L6*Assumptions!L46/100</f>
        <v>-3102.45125879742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-77.9474999999999</v>
      </c>
      <c r="D18" s="4" t="n">
        <f aca="false">(D6-C6)*Assumptions!$B$51/100</f>
        <v>-175.7716125</v>
      </c>
      <c r="E18" s="4" t="n">
        <f aca="false">(E6-D6)*Assumptions!$B$51/100</f>
        <v>-134.8647645</v>
      </c>
      <c r="F18" s="4" t="n">
        <f aca="false">(F6-E6)*Assumptions!$B$51/100</f>
        <v>-122.726935695</v>
      </c>
      <c r="G18" s="4" t="n">
        <f aca="false">(G6-F6)*Assumptions!$B$51/100</f>
        <v>-108.87632438085</v>
      </c>
      <c r="H18" s="4" t="n">
        <f aca="false">(H6-G6)*Assumptions!$B$51/100</f>
        <v>-112.142614112276</v>
      </c>
      <c r="I18" s="4" t="n">
        <f aca="false">(I6-H6)*Assumptions!$B$51/100</f>
        <v>-96.2557437797026</v>
      </c>
      <c r="J18" s="4" t="n">
        <f aca="false">(J6-I6)*Assumptions!$B$51/100</f>
        <v>-98.6621373741953</v>
      </c>
      <c r="K18" s="4" t="n">
        <f aca="false">(K6-J6)*Assumptions!$B$51/100</f>
        <v>-101.12869080855</v>
      </c>
      <c r="L18" s="4" t="n">
        <f aca="false">(L6-K6)*Assumptions!$B$51/100</f>
        <v>-103.656908078764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1516.141233</v>
      </c>
      <c r="D19" s="0" t="n">
        <f aca="false">D15+D16+D17+D18</f>
        <v>1760.2120818975</v>
      </c>
      <c r="E19" s="0" t="n">
        <f aca="false">E15+E16+E17+E18</f>
        <v>2174.5055168922</v>
      </c>
      <c r="F19" s="0" t="n">
        <f aca="false">F15+F16+F17+F18</f>
        <v>2493.9340602581</v>
      </c>
      <c r="G19" s="0" t="n">
        <f aca="false">G15+G16+G17+G18</f>
        <v>2745.15320477656</v>
      </c>
      <c r="H19" s="0" t="n">
        <f aca="false">H15+H16+H17+H18</f>
        <v>2911.05778652064</v>
      </c>
      <c r="I19" s="0" t="n">
        <f aca="false">I15+I16+I17+I18</f>
        <v>3030.54471388331</v>
      </c>
      <c r="J19" s="0" t="n">
        <f aca="false">J15+J16+J17+J18</f>
        <v>3106.30833173039</v>
      </c>
      <c r="K19" s="0" t="n">
        <f aca="false">K15+K16+K17+K18</f>
        <v>3183.96604002365</v>
      </c>
      <c r="L19" s="0" t="n">
        <f aca="false">L15+L16+L17+L18</f>
        <v>3263.56519102424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1403.834475</v>
      </c>
      <c r="D21" s="0" t="n">
        <f aca="false">D19*D20</f>
        <v>1509.09814977495</v>
      </c>
      <c r="E21" s="0" t="n">
        <f aca="false">E19*E20</f>
        <v>1726.19258758526</v>
      </c>
      <c r="F21" s="0" t="n">
        <f aca="false">F19*F20</f>
        <v>1833.11598519557</v>
      </c>
      <c r="G21" s="0" t="n">
        <f aca="false">G19*G20</f>
        <v>1868.30514445428</v>
      </c>
      <c r="H21" s="0" t="n">
        <f aca="false">H19*H20</f>
        <v>1834.46019916687</v>
      </c>
      <c r="I21" s="0" t="n">
        <f aca="false">I19*I20</f>
        <v>1768.29373296334</v>
      </c>
      <c r="J21" s="0" t="n">
        <f aca="false">J19*J20</f>
        <v>1678.24173730317</v>
      </c>
      <c r="K21" s="0" t="n">
        <f aca="false">K19*K20</f>
        <v>1592.77572290347</v>
      </c>
      <c r="L21" s="0" t="n">
        <f aca="false">L19*L20</f>
        <v>1511.66214442228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16725.9798787692</v>
      </c>
    </row>
    <row r="31" customFormat="false" ht="15" hidden="false" customHeight="false" outlineLevel="0" collapsed="false">
      <c r="A31" s="0" t="s">
        <v>128</v>
      </c>
      <c r="B31" s="0" t="n">
        <f aca="false">L19</f>
        <v>3263.56519102424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55480.6082474121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48953.4778653636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48953.4778653636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22674.9321663341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39400.9120451033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25889.9120451033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48.9875346170356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0.186426122960418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1409.88189019422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1673.26018787511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54.8212944620107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25606.4345757287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9.10777176496715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18.2515263737313</v>
      </c>
      <c r="C4" s="0" t="n">
        <f aca="false">B4/Assumptions!$B$2-1</f>
        <v>-0.557967392256447</v>
      </c>
      <c r="D4" s="4" t="n">
        <f aca="false">Assumptions!$B$24</f>
        <v>0.25</v>
      </c>
      <c r="E4" s="4" t="n">
        <f aca="false">DCF_Bear!$B$43</f>
        <v>23.3697784281781</v>
      </c>
      <c r="F4" s="4" t="n">
        <f aca="false">DCF_Bear!$B$47</f>
        <v>-4.20596132203509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33.120561128109</v>
      </c>
      <c r="C5" s="0" t="n">
        <f aca="false">B5/Assumptions!$B$2-1</f>
        <v>-0.197855143421919</v>
      </c>
      <c r="D5" s="4" t="n">
        <f aca="false">Assumptions!$B$38</f>
        <v>0.5</v>
      </c>
      <c r="E5" s="4" t="n">
        <f aca="false">DCF_Base!$B$43</f>
        <v>38.6481910243746</v>
      </c>
      <c r="F5" s="4" t="n">
        <f aca="false">DCF_Base!$B$47</f>
        <v>2.30835403363035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48.9875346170356</v>
      </c>
      <c r="C6" s="0" t="n">
        <f aca="false">B6/Assumptions!$B$2-1</f>
        <v>0.186426122960418</v>
      </c>
      <c r="D6" s="4" t="n">
        <f aca="false">Assumptions!$B$52</f>
        <v>0.25</v>
      </c>
      <c r="E6" s="4" t="n">
        <f aca="false">DCF_Bull!$B$43</f>
        <v>54.8212944620107</v>
      </c>
      <c r="F6" s="4" t="n">
        <f aca="false">DCF_Bull!$B$47</f>
        <v>9.10777176496715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33.3700458117462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38.8718637347345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-0.237337228511265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143.951586532185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2.37962962754819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33.120561128109</v>
      </c>
      <c r="C15" s="3" t="n">
        <v>8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28.1302247894483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21.1079744968648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15.657204821537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11.3059542628434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2.30835403363035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42.6414066233482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42.6414066233482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42.6414066233482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42.6414066233482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42.6414066233482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37.656528053312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37.656528053312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37.656528053312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37.656528053312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37.656528053312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31.8662593554593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33.120561128109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33.120561128109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33.120561128109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33.120561128109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24.233936069935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26.0522041390412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28.1302247894483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28.9881232231025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28.9881232231025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18.3166458239194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19.6302122582466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21.1079744968648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22.7827717006321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24.6968256477947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2026-10-10T01:43:43Z</dcterms:created>
  <dc:creator>openpyxl</dc:creator>
  <dc:description/>
  <dc:language>en-NZ</dc:language>
  <cp:lastModifiedBy/>
  <dcterms:modified xsi:type="dcterms:W3CDTF">2026-10-10T01:43:43Z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