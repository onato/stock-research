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Bull &amp; Bear Cases" sheetId="2" r:id="rId2"/>
    <sheet name="Sensitivity" sheetId="3" r:id="rId3"/>
    <sheet name="Historical &amp; Assumptions" sheetId="4" r:id="rId4"/>
  </sheets>
  <calcPr calcId="124519" fullCalcOnLoad="1"/>
</workbook>
</file>

<file path=xl/sharedStrings.xml><?xml version="1.0" encoding="utf-8"?>
<sst xmlns="http://schemas.openxmlformats.org/spreadsheetml/2006/main" count="196" uniqueCount="150">
  <si>
    <t>AFT Pharmaceuticals (AFT.NZ) - DCF Valuation Model</t>
  </si>
  <si>
    <t>Gray cells are INPUTS - adjust to see valuation update automatically. All figures in NZD millions unless marked per share.</t>
  </si>
  <si>
    <t>Valuation date: 2026-06-25  |  Live price: NZ$3.67  |  Currency: NZD</t>
  </si>
  <si>
    <t>KEY INPUTS</t>
  </si>
  <si>
    <t>Current Stock Price (NZD)</t>
  </si>
  <si>
    <t>Shares Outstanding (millions)</t>
  </si>
  <si>
    <t>Cash &amp; Equivalents (NZ$m)</t>
  </si>
  <si>
    <t>Total Debt (NZ$m)</t>
  </si>
  <si>
    <t>Net Debt (NZ$m)</t>
  </si>
  <si>
    <t>Base Year Normalized FCF (NZ$m)</t>
  </si>
  <si>
    <t>Base Year Revenue (NZ$m)</t>
  </si>
  <si>
    <t>WACC (Base Case)</t>
  </si>
  <si>
    <t>Terminal Growth Rate (Base Case)</t>
  </si>
  <si>
    <t>BASE CASE GROWTH ASSUMPTIONS (adjust Y1-Y5 growth rates &amp; FCF margins below)</t>
  </si>
  <si>
    <t>Revenue Growth Rate</t>
  </si>
  <si>
    <t>FCF Margin %</t>
  </si>
  <si>
    <t>Year 1</t>
  </si>
  <si>
    <t>Year 2</t>
  </si>
  <si>
    <t>Year 3</t>
  </si>
  <si>
    <t>Year 4</t>
  </si>
  <si>
    <t>Year 5</t>
  </si>
  <si>
    <t>PROJECTIONS</t>
  </si>
  <si>
    <t>PROJECTIONS (BASE CASE)</t>
  </si>
  <si>
    <t>Revenue (NZ$m)</t>
  </si>
  <si>
    <t>Free Cash Flow (NZ$m)</t>
  </si>
  <si>
    <t>Discount Factor</t>
  </si>
  <si>
    <t>PV of FCF (NZ$m)</t>
  </si>
  <si>
    <t>VALUATION (BASE CASE)</t>
  </si>
  <si>
    <t>Sum of PV of FCF (NZ$m)</t>
  </si>
  <si>
    <t>Terminal FCF (Year 5 FCF x (1+g))</t>
  </si>
  <si>
    <t>Terminal Value (NZ$m)</t>
  </si>
  <si>
    <t>PV of Terminal Value (NZ$m)</t>
  </si>
  <si>
    <t>Enterprise Value (NZ$m)</t>
  </si>
  <si>
    <t>Less: Net Debt (NZ$m)</t>
  </si>
  <si>
    <t>Equity Value (NZ$m)</t>
  </si>
  <si>
    <t>INTRINSIC VALUE / SHARE (NZD)</t>
  </si>
  <si>
    <t>Upside / (Downside) to IV</t>
  </si>
  <si>
    <t>ENTRY PRICE (15% CAGR Target)</t>
  </si>
  <si>
    <t>Terminal Value per Share (NZD)</t>
  </si>
  <si>
    <t>Entry Price to Earn 15% CAGR (NZD)</t>
  </si>
  <si>
    <t>Premium / (Discount) of Current Price to Entry</t>
  </si>
  <si>
    <t>SCENARIO SUMMARY</t>
  </si>
  <si>
    <t>Scenario</t>
  </si>
  <si>
    <t>Intrinsic Value / Share</t>
  </si>
  <si>
    <t>Base Case (WACC 12%, TG 3.0%)</t>
  </si>
  <si>
    <t>Bull Case (WACC 10%, TG 3.5%)</t>
  </si>
  <si>
    <t>Bear Case (WACC 14%, TG 2.0%)</t>
  </si>
  <si>
    <t>Probability-Weighted (25/50/25)</t>
  </si>
  <si>
    <t>Live Market Price</t>
  </si>
  <si>
    <t>Analyst Consensus Target</t>
  </si>
  <si>
    <t>Historical Growth Rates</t>
  </si>
  <si>
    <t>Revenue 3yr CAGR</t>
  </si>
  <si>
    <t>Revenue 5yr CAGR</t>
  </si>
  <si>
    <t>Equity 3yr CAGR</t>
  </si>
  <si>
    <t>Equity 5yr CAGR</t>
  </si>
  <si>
    <t>EPS 3yr CAGR</t>
  </si>
  <si>
    <t>EPS 5yr CAGR</t>
  </si>
  <si>
    <t>FCF 3yr CAGR (excl FY2026)</t>
  </si>
  <si>
    <t>FCF 5yr CAGR (excl FY2026)</t>
  </si>
  <si>
    <t>FY2026 Sanity-Check Multiples (at live price)</t>
  </si>
  <si>
    <t>EV/EBITDA (FY2026)</t>
  </si>
  <si>
    <t>14.7x  [range: 12-25x]</t>
  </si>
  <si>
    <t>P/E (FY2026)</t>
  </si>
  <si>
    <t>27.3x  [range: 20-40x]</t>
  </si>
  <si>
    <t>P/S (FY2026)</t>
  </si>
  <si>
    <t>1.51x  [&lt; 2x OK for investment phase]</t>
  </si>
  <si>
    <t>Sanity Check Result</t>
  </si>
  <si>
    <t>PASSED - No assumptions modified</t>
  </si>
  <si>
    <t>Notes:</t>
  </si>
  <si>
    <t>FY2026 reported FCF was -NZ$19.3m due to deliberate inventory/receivables build for international expansion (non-recurring). Normalized base FCF of NZ$20.0m reflects underlying earning power.</t>
  </si>
  <si>
    <t>Net debt NZ$38.7m at 31 March 2026 (cash NZ$10.2m, debt NZ$48.9m). Banking facility increased to NZ$50m (Dec 2025). Leverage within 1x EBITDA target.</t>
  </si>
  <si>
    <t>DCF does not assign value to R&amp;D pipeline optionality (IV iron Phase III US$7.4B market, Stablepharma US$6B+ market, antibiotic eyedrop). Pipeline represents additional upside not in model.</t>
  </si>
  <si>
    <t>AFT Pharmaceuticals - Bull &amp; Bear Case Projections</t>
  </si>
  <si>
    <t>BULL CASE</t>
  </si>
  <si>
    <t>FCF (NZ$m)</t>
  </si>
  <si>
    <t>Valuation Summary</t>
  </si>
  <si>
    <t>Sum PV of FCF</t>
  </si>
  <si>
    <t>Terminal Value</t>
  </si>
  <si>
    <t>PV of Terminal Value</t>
  </si>
  <si>
    <t>Enterprise Value</t>
  </si>
  <si>
    <t>Less: Net Debt</t>
  </si>
  <si>
    <t>Equity Value</t>
  </si>
  <si>
    <t>BULL CASE INTRINSIC VALUE / SHARE</t>
  </si>
  <si>
    <t>Upside vs Live Price</t>
  </si>
  <si>
    <t>Entry Price (15% CAGR)</t>
  </si>
  <si>
    <t>Bull Case Narrative:</t>
  </si>
  <si>
    <t>Bull case assumes AFT meaningfully exceeds the NZ$300m FY2027 revenue target through stronger-than-expected Maxigesic IV US hospital channel traction (J-code driving Hikma formulary wins), rapid international hub scaling (European injectable portfolio, UK profitability, South Africa above plan), and recovery of licensing income toward NZ$6-8m from pipeline milestones (IV iron Grand Life Sciences, Stablepharma). FCF margins expand more rapidly as operating leverage takes hold earlier and R&amp;D eventually yields licensing milestone receipts. By Year 5, revenue reaches ~NZ$538m with 15.5% FCF margin.</t>
  </si>
  <si>
    <t>BEAR CASE</t>
  </si>
  <si>
    <t>BEAR CASE INTRINSIC VALUE / SHARE</t>
  </si>
  <si>
    <t>Bear Case Narrative:</t>
  </si>
  <si>
    <t>Bear case assumes the NZ$300m FY2027 revenue target is missed. International hub breakeven is delayed beyond FY2027 under new CFO leadership during a complex investment phase. Licensing income remains at trough levels (no major milestones). Chemist Warehouse / Sigma merger creates pricing pressure on Australian margins. R&amp;D spend remains elevated at NZ$25m+ but pipeline advances slowly. FY2026 negative FCF persists into FY2027 before gradually recovering as the working capital investment is absorbed. By Year 5, revenue reaches only ~NZ$363m with a 9.5% FCF margin.</t>
  </si>
  <si>
    <t>Sensitivity Analysis - Base Case Intrinsic Value per Share (NZD)</t>
  </si>
  <si>
    <t>Rows = WACC, Columns = Terminal Growth Rate. Base case: WACC=12%, TG=3.0%</t>
  </si>
  <si>
    <t>WACC \ Term Growth</t>
  </si>
  <si>
    <t>2.0%</t>
  </si>
  <si>
    <t>2.5%</t>
  </si>
  <si>
    <t>3.0%</t>
  </si>
  <si>
    <t>3.5%</t>
  </si>
  <si>
    <t>4.0%</t>
  </si>
  <si>
    <t>10%</t>
  </si>
  <si>
    <t>11%</t>
  </si>
  <si>
    <t>12%</t>
  </si>
  <si>
    <t>13%</t>
  </si>
  <si>
    <t>14%</t>
  </si>
  <si>
    <t>Legend:</t>
  </si>
  <si>
    <t>Green: IV &gt; 15% above live price (NZ$3.67)</t>
  </si>
  <si>
    <t>Yellow: IV between live price and +15%</t>
  </si>
  <si>
    <t>Red: IV below live price (downside scenario)</t>
  </si>
  <si>
    <t>Live price: NZ$3.67   |   Base IV: NZ$4.7   |   Probability-weighted IV: NZ$5.16</t>
  </si>
  <si>
    <t>NOTE: Sensitivity uses base-case FCF projections only. Bull/Bear cases use different WACC and FCF margins - see Bull &amp; Bear Cases sheet.</t>
  </si>
  <si>
    <t>AFT Pharmaceuticals - Historical Data &amp; Growth Rates</t>
  </si>
  <si>
    <t>HISTORICAL REVENUE (NZ$m)</t>
  </si>
  <si>
    <t>FY2016</t>
  </si>
  <si>
    <t>FY2017</t>
  </si>
  <si>
    <t>FY2018</t>
  </si>
  <si>
    <t>FY2019</t>
  </si>
  <si>
    <t>FY2020</t>
  </si>
  <si>
    <t>FY2021</t>
  </si>
  <si>
    <t>FY2022</t>
  </si>
  <si>
    <t>FY2023</t>
  </si>
  <si>
    <t>FY2024</t>
  </si>
  <si>
    <t>FY2025</t>
  </si>
  <si>
    <t>FY2026</t>
  </si>
  <si>
    <t>HISTORICAL FREE CASH FLOW (NZ$m)</t>
  </si>
  <si>
    <t>Note: FY2026 FCF -NZ$19.3m is anomalous (working capital build); excluded from CAGR calculations. FY2024 FCF elevated by NZ$8.5m licensing receipts.</t>
  </si>
  <si>
    <t>HISTORICAL GROWTH RATES</t>
  </si>
  <si>
    <t>Metric</t>
  </si>
  <si>
    <t>CAGR</t>
  </si>
  <si>
    <t>Notes</t>
  </si>
  <si>
    <t>Revenue 3yr CAGR (FY2023-FY2026)</t>
  </si>
  <si>
    <t>Primary growth anchor</t>
  </si>
  <si>
    <t>Revenue 5yr CAGR (FY2021-FY2026)</t>
  </si>
  <si>
    <t>Consistent with 3yr</t>
  </si>
  <si>
    <t>EPS 3yr CAGR (FY2023-FY2026)</t>
  </si>
  <si>
    <t>Distorted by lumpy licensing</t>
  </si>
  <si>
    <t>EPS 5yr CAGR (FY2021-FY2026)</t>
  </si>
  <si>
    <t>Equity 3yr CAGR (FY2023-FY2026)</t>
  </si>
  <si>
    <t>Reliable indicator</t>
  </si>
  <si>
    <t>Equity 5yr CAGR (FY2021-FY2026)</t>
  </si>
  <si>
    <t>Elevated vs 3yr (base period recovery)</t>
  </si>
  <si>
    <t>FCF 3yr CAGR (FY2022-FY2025)</t>
  </si>
  <si>
    <t>NOT USED - suppressed by investment phase</t>
  </si>
  <si>
    <t>FCF 5yr CAGR (FY2020-FY2025)</t>
  </si>
  <si>
    <t>Selected growth rate: Revenue 3yr CAGR (17.60%) - consistent with FY2027 guidance of NZ$300m+ (~18% growth from NZ$254.7m).</t>
  </si>
  <si>
    <t>WACC RATIONALE</t>
  </si>
  <si>
    <t>12% WACC reflects: (1) small-cap NZ listing with limited liquidity (market cap ~NZ$385m), (2) investment-phase business with multiple international markets still pre-profitability, (3) NZD risk-free rate ~4.5%, (4) equity risk premium ~6-7%, (5) size and illiquidity premium ~1-2%. Bull case uses 10% as execution risk reduces when hubs become profitable. Bear case uses 14% to reflect extended investment period and execution risk materialising.</t>
  </si>
  <si>
    <t>TERMINAL GROWTH RATE RATIONALE</t>
  </si>
  <si>
    <t>Base 3.0% reflects long-run nominal GDP growth of NZ/AU (~2.5-3%) plus a modest pharmaceutical sector premium. Bull 3.5% reflects global expansion and a growing recurring royalty stream. Bear 2.0% reflects mature/slower growth if international targets are missed and the portfolio matures without strong new pipeline contributions.</t>
  </si>
  <si>
    <t>VALUATION PHILOSOPHY</t>
  </si>
  <si>
    <t>AFT Pharmaceuticals is valued primarily on a 5-year discounted free cash flow model using revenue-based FCF margin expansion, not direct FCF CAGR. This choice is deliberate: AFT is in a strategic investment phase where reported FCF is heavily suppressed by (1) R&amp;D spend running at 7-8% of revenue for pipeline programmes with asymmetric upside (IV iron Phase III, Stablepharma thermostable injectables, antibiotic eyedrop), (2) operating losses in pre-profitability international hubs, and (3) episodic working capital swings (FY2026 FCF -NZ$19.3m due to inventory and receivables build). The revenue-based FCF approach anchors growth to the most reliable and consistent metric (revenue CAGR ~17.6% over both 3 and 5 years) and models margin expansion toward steady-state levels as investment phase costs moderate. This is consistent with how specialty pharma companies in investment mode are typically valued by fundamental investors. The DCF does NOT assign option value to the R&amp;D pipeline (IV iron, Pascomer, Stablepharma injectables) or future licensing milestones; these represent meaningful additional upside not captured in the base valuation. A 12% WACC appropriately discounts the small-cap NZ liquidity premium and execution risk inherent in multi-geography scaling.</t>
  </si>
</sst>
</file>

<file path=xl/styles.xml><?xml version="1.0" encoding="utf-8"?>
<styleSheet xmlns="http://schemas.openxmlformats.org/spreadsheetml/2006/main">
  <numFmts count="4">
    <numFmt numFmtId="164" formatCode="#,##0.00"/>
    <numFmt numFmtId="165" formatCode="&quot;NZ$&quot;#,##0.00"/>
    <numFmt numFmtId="166" formatCode="0.0%"/>
    <numFmt numFmtId="167" formatCode="#,##0.0"/>
  </numFmts>
  <fonts count="8">
    <font>
      <sz val="11"/>
      <color theme="1"/>
      <name val="Calibri"/>
      <family val="2"/>
      <scheme val="minor"/>
    </font>
    <font>
      <b/>
      <sz val="16"/>
      <color rgb="FF2D3436"/>
      <name val="Calibri"/>
      <family val="2"/>
      <scheme val="minor"/>
    </font>
    <font>
      <i/>
      <sz val="10"/>
      <color rgb="FF636E72"/>
      <name val="Calibri"/>
      <family val="2"/>
      <scheme val="minor"/>
    </font>
    <font>
      <b/>
      <sz val="12"/>
      <color rgb="FF2D3436"/>
      <name val="Calibri"/>
      <family val="2"/>
      <scheme val="minor"/>
    </font>
    <font>
      <b/>
      <sz val="11"/>
      <color rgb="FFFFFFFF"/>
      <name val="Calibri"/>
      <family val="2"/>
      <scheme val="minor"/>
    </font>
    <font>
      <b/>
      <sz val="11"/>
      <color theme="1"/>
      <name val="Calibri"/>
      <family val="2"/>
      <scheme val="minor"/>
    </font>
    <font>
      <b/>
      <sz val="11"/>
      <color rgb="FF2D3436"/>
      <name val="Calibri"/>
      <family val="2"/>
      <scheme val="minor"/>
    </font>
    <font>
      <i/>
      <sz val="9"/>
      <color rgb="FF636E72"/>
      <name val="Calibri"/>
      <family val="2"/>
      <scheme val="minor"/>
    </font>
  </fonts>
  <fills count="12">
    <fill>
      <patternFill patternType="none"/>
    </fill>
    <fill>
      <patternFill patternType="gray125"/>
    </fill>
    <fill>
      <patternFill patternType="solid">
        <fgColor rgb="FFDFE6E9"/>
        <bgColor indexed="64"/>
      </patternFill>
    </fill>
    <fill>
      <patternFill patternType="solid">
        <fgColor rgb="FF2D3436"/>
        <bgColor indexed="64"/>
      </patternFill>
    </fill>
    <fill>
      <patternFill patternType="solid">
        <fgColor rgb="FFD4EDDA"/>
        <bgColor indexed="64"/>
      </patternFill>
    </fill>
    <fill>
      <patternFill patternType="solid">
        <fgColor rgb="FFF8D7DA"/>
        <bgColor indexed="64"/>
      </patternFill>
    </fill>
    <fill>
      <patternFill patternType="solid">
        <fgColor rgb="FF00B894"/>
        <bgColor indexed="64"/>
      </patternFill>
    </fill>
    <fill>
      <patternFill patternType="solid">
        <fgColor rgb="FFFDCB6E"/>
        <bgColor indexed="64"/>
      </patternFill>
    </fill>
    <fill>
      <patternFill patternType="solid">
        <fgColor rgb="FF27AE60"/>
        <bgColor indexed="64"/>
      </patternFill>
    </fill>
    <fill>
      <patternFill patternType="solid">
        <fgColor rgb="FFC0392B"/>
        <bgColor indexed="64"/>
      </patternFill>
    </fill>
    <fill>
      <patternFill patternType="solid">
        <fgColor rgb="FFFFEAA7"/>
        <bgColor indexed="64"/>
      </patternFill>
    </fill>
    <fill>
      <patternFill patternType="solid">
        <fgColor rgb="FFFAB1A0"/>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1" xfId="0" applyFont="1" applyBorder="1"/>
    <xf numFmtId="164" fontId="0" fillId="2" borderId="2" xfId="0" applyNumberFormat="1" applyFill="1" applyBorder="1"/>
    <xf numFmtId="0" fontId="4" fillId="3" borderId="2" xfId="0" applyFont="1" applyFill="1" applyBorder="1" applyAlignment="1">
      <alignment horizontal="center"/>
    </xf>
    <xf numFmtId="164" fontId="0" fillId="0" borderId="2" xfId="0" applyNumberFormat="1" applyBorder="1"/>
    <xf numFmtId="165" fontId="0" fillId="4" borderId="2" xfId="0" applyNumberFormat="1" applyFill="1" applyBorder="1"/>
    <xf numFmtId="165" fontId="0" fillId="5" borderId="2" xfId="0" applyNumberFormat="1" applyFill="1" applyBorder="1"/>
    <xf numFmtId="165" fontId="4" fillId="6" borderId="2" xfId="0" applyNumberFormat="1" applyFont="1" applyFill="1" applyBorder="1"/>
    <xf numFmtId="166" fontId="0" fillId="2" borderId="2" xfId="0" applyNumberFormat="1" applyFill="1" applyBorder="1"/>
    <xf numFmtId="166" fontId="0" fillId="0" borderId="2" xfId="0" applyNumberFormat="1" applyBorder="1"/>
    <xf numFmtId="167" fontId="0" fillId="0" borderId="2" xfId="0" applyNumberFormat="1" applyBorder="1"/>
    <xf numFmtId="0" fontId="5" fillId="0" borderId="0" xfId="0" applyFont="1"/>
    <xf numFmtId="166" fontId="4" fillId="6" borderId="2" xfId="0" applyNumberFormat="1" applyFont="1" applyFill="1" applyBorder="1"/>
    <xf numFmtId="165" fontId="0" fillId="0" borderId="2" xfId="0" applyNumberFormat="1" applyBorder="1"/>
    <xf numFmtId="165" fontId="6" fillId="7" borderId="2" xfId="0" applyNumberFormat="1" applyFont="1" applyFill="1" applyBorder="1"/>
    <xf numFmtId="0" fontId="7" fillId="0" borderId="0" xfId="0" applyFont="1" applyAlignment="1">
      <alignment wrapText="1"/>
    </xf>
    <xf numFmtId="0" fontId="4" fillId="8" borderId="2" xfId="0" applyFont="1" applyFill="1" applyBorder="1" applyAlignment="1">
      <alignment horizontal="center"/>
    </xf>
    <xf numFmtId="0" fontId="4" fillId="9" borderId="2" xfId="0" applyFont="1" applyFill="1" applyBorder="1" applyAlignment="1">
      <alignment horizontal="center"/>
    </xf>
    <xf numFmtId="166" fontId="0" fillId="4" borderId="2" xfId="0" applyNumberFormat="1" applyFill="1" applyBorder="1"/>
    <xf numFmtId="166" fontId="0" fillId="5" borderId="2" xfId="0" applyNumberFormat="1" applyFill="1" applyBorder="1"/>
    <xf numFmtId="164" fontId="0" fillId="4" borderId="2" xfId="0" applyNumberFormat="1" applyFill="1" applyBorder="1"/>
    <xf numFmtId="164" fontId="0" fillId="5" borderId="2" xfId="0" applyNumberFormat="1" applyFill="1" applyBorder="1"/>
    <xf numFmtId="165" fontId="4" fillId="8" borderId="2" xfId="0" applyNumberFormat="1" applyFont="1" applyFill="1" applyBorder="1"/>
    <xf numFmtId="165" fontId="4" fillId="9" borderId="2" xfId="0" applyNumberFormat="1" applyFont="1" applyFill="1" applyBorder="1"/>
    <xf numFmtId="0" fontId="4" fillId="3" borderId="2" xfId="0" applyFont="1" applyFill="1" applyBorder="1"/>
    <xf numFmtId="165" fontId="0" fillId="10" borderId="2" xfId="0" applyNumberFormat="1" applyFill="1" applyBorder="1"/>
    <xf numFmtId="165" fontId="0" fillId="11" borderId="2" xfId="0" applyNumberFormat="1" applyFill="1" applyBorder="1"/>
    <xf numFmtId="0" fontId="0" fillId="4" borderId="0" xfId="0" applyFill="1"/>
    <xf numFmtId="0" fontId="0" fillId="10" borderId="0" xfId="0" applyFill="1"/>
    <xf numFmtId="0" fontId="0" fillId="11"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7"/>
  <sheetViews>
    <sheetView tabSelected="1" workbookViewId="0"/>
  </sheetViews>
  <sheetFormatPr defaultRowHeight="15"/>
  <cols>
    <col min="1" max="1" width="28.7109375" customWidth="1"/>
    <col min="2" max="2" width="16.7109375" customWidth="1"/>
    <col min="3" max="7" width="13.7109375" customWidth="1"/>
    <col min="8" max="8" width="2.7109375" customWidth="1"/>
    <col min="9" max="9" width="28.7109375" customWidth="1"/>
    <col min="10" max="10" width="16.7109375" customWidth="1"/>
  </cols>
  <sheetData>
    <row r="1" spans="1:10">
      <c r="A1" s="1" t="s">
        <v>0</v>
      </c>
    </row>
    <row r="2" spans="1:10">
      <c r="A2" s="2" t="s">
        <v>1</v>
      </c>
    </row>
    <row r="3" spans="1:10">
      <c r="A3" s="2" t="s">
        <v>2</v>
      </c>
    </row>
    <row r="5" spans="1:10">
      <c r="A5" s="3" t="s">
        <v>3</v>
      </c>
      <c r="I5" s="3" t="s">
        <v>41</v>
      </c>
    </row>
    <row r="6" spans="1:10">
      <c r="A6" t="s">
        <v>4</v>
      </c>
      <c r="B6" s="4">
        <v>3.67</v>
      </c>
      <c r="I6" s="5" t="s">
        <v>42</v>
      </c>
      <c r="J6" s="5" t="s">
        <v>43</v>
      </c>
    </row>
    <row r="7" spans="1:10">
      <c r="A7" t="s">
        <v>5</v>
      </c>
      <c r="B7" s="4">
        <v>104.866</v>
      </c>
      <c r="I7" t="s">
        <v>44</v>
      </c>
      <c r="J7" s="6">
        <v>4.7</v>
      </c>
    </row>
    <row r="8" spans="1:10">
      <c r="A8" t="s">
        <v>6</v>
      </c>
      <c r="B8" s="4">
        <v>10.2</v>
      </c>
      <c r="I8" t="s">
        <v>45</v>
      </c>
      <c r="J8" s="7">
        <v>9.390000000000001</v>
      </c>
    </row>
    <row r="9" spans="1:10">
      <c r="A9" t="s">
        <v>7</v>
      </c>
      <c r="B9" s="4">
        <v>48.9</v>
      </c>
      <c r="I9" t="s">
        <v>46</v>
      </c>
      <c r="J9" s="8">
        <v>1.86</v>
      </c>
    </row>
    <row r="10" spans="1:10">
      <c r="A10" t="s">
        <v>8</v>
      </c>
      <c r="B10" s="6">
        <f>B9-B8</f>
        <v>0</v>
      </c>
      <c r="I10" t="s">
        <v>47</v>
      </c>
      <c r="J10" s="9">
        <v>5.16</v>
      </c>
    </row>
    <row r="11" spans="1:10">
      <c r="A11" t="s">
        <v>9</v>
      </c>
      <c r="B11" s="4">
        <v>20</v>
      </c>
      <c r="I11" t="s">
        <v>48</v>
      </c>
      <c r="J11" s="4">
        <v>3.67</v>
      </c>
    </row>
    <row r="12" spans="1:10">
      <c r="A12" t="s">
        <v>10</v>
      </c>
      <c r="B12" s="4">
        <v>254.7</v>
      </c>
      <c r="I12" t="s">
        <v>49</v>
      </c>
      <c r="J12" s="4">
        <v>4.65</v>
      </c>
    </row>
    <row r="14" spans="1:10">
      <c r="A14" t="s">
        <v>11</v>
      </c>
      <c r="B14" s="10">
        <v>0.12</v>
      </c>
      <c r="I14" s="3" t="s">
        <v>50</v>
      </c>
    </row>
    <row r="15" spans="1:10">
      <c r="A15" t="s">
        <v>12</v>
      </c>
      <c r="B15" s="10">
        <v>0.03</v>
      </c>
      <c r="I15" t="s">
        <v>51</v>
      </c>
      <c r="J15" s="11">
        <v>0.176</v>
      </c>
    </row>
    <row r="16" spans="1:10">
      <c r="I16" t="s">
        <v>52</v>
      </c>
      <c r="J16" s="11">
        <v>0.1763</v>
      </c>
    </row>
    <row r="17" spans="1:10">
      <c r="A17" s="3" t="s">
        <v>13</v>
      </c>
      <c r="C17" s="5" t="s">
        <v>16</v>
      </c>
      <c r="D17" s="5" t="s">
        <v>17</v>
      </c>
      <c r="E17" s="5" t="s">
        <v>18</v>
      </c>
      <c r="F17" s="5" t="s">
        <v>19</v>
      </c>
      <c r="G17" s="5" t="s">
        <v>20</v>
      </c>
      <c r="I17" t="s">
        <v>53</v>
      </c>
      <c r="J17" s="11">
        <v>0.1459</v>
      </c>
    </row>
    <row r="18" spans="1:10">
      <c r="A18" t="s">
        <v>14</v>
      </c>
      <c r="C18" s="10">
        <v>0.18</v>
      </c>
      <c r="D18" s="10">
        <v>0.16</v>
      </c>
      <c r="E18" s="10">
        <v>0.13</v>
      </c>
      <c r="F18" s="10">
        <v>0.11</v>
      </c>
      <c r="G18" s="10">
        <v>0.09</v>
      </c>
      <c r="I18" t="s">
        <v>54</v>
      </c>
      <c r="J18" s="11">
        <v>0.2469</v>
      </c>
    </row>
    <row r="19" spans="1:10">
      <c r="A19" t="s">
        <v>15</v>
      </c>
      <c r="C19" s="10">
        <v>0.08500000000000001</v>
      </c>
      <c r="D19" s="10">
        <v>0.095</v>
      </c>
      <c r="E19" s="10">
        <v>0.105</v>
      </c>
      <c r="F19" s="10">
        <v>0.115</v>
      </c>
      <c r="G19" s="10">
        <v>0.125</v>
      </c>
      <c r="I19" t="s">
        <v>55</v>
      </c>
      <c r="J19" s="11">
        <v>0.1187</v>
      </c>
    </row>
    <row r="20" spans="1:10">
      <c r="I20" t="s">
        <v>56</v>
      </c>
      <c r="J20" s="11">
        <v>0.1487</v>
      </c>
    </row>
    <row r="21" spans="1:10">
      <c r="A21" s="3" t="s">
        <v>22</v>
      </c>
      <c r="I21" t="s">
        <v>57</v>
      </c>
      <c r="J21" s="11">
        <v>-0.0222</v>
      </c>
    </row>
    <row r="22" spans="1:10">
      <c r="A22" s="5"/>
      <c r="C22" s="5" t="s">
        <v>16</v>
      </c>
      <c r="D22" s="5" t="s">
        <v>17</v>
      </c>
      <c r="E22" s="5" t="s">
        <v>18</v>
      </c>
      <c r="F22" s="5" t="s">
        <v>19</v>
      </c>
      <c r="G22" s="5" t="s">
        <v>20</v>
      </c>
      <c r="I22" t="s">
        <v>58</v>
      </c>
      <c r="J22" s="11">
        <v>-0.0271</v>
      </c>
    </row>
    <row r="23" spans="1:10">
      <c r="A23" t="s">
        <v>23</v>
      </c>
      <c r="C23" s="12">
        <f>$B$12*(1+C18)</f>
        <v>0</v>
      </c>
      <c r="D23" s="12">
        <f>C23*(1+D18)</f>
        <v>0</v>
      </c>
      <c r="E23" s="12">
        <f>D23*(1+E18)</f>
        <v>0</v>
      </c>
      <c r="F23" s="12">
        <f>E23*(1+F18)</f>
        <v>0</v>
      </c>
      <c r="G23" s="12">
        <f>F23*(1+G18)</f>
        <v>0</v>
      </c>
      <c r="I23" s="3" t="s">
        <v>59</v>
      </c>
    </row>
    <row r="24" spans="1:10">
      <c r="A24" t="s">
        <v>24</v>
      </c>
      <c r="C24" s="6">
        <f>C23*C19</f>
        <v>0</v>
      </c>
      <c r="D24" s="6">
        <f>D23*D19</f>
        <v>0</v>
      </c>
      <c r="E24" s="6">
        <f>E23*E19</f>
        <v>0</v>
      </c>
      <c r="F24" s="6">
        <f>F23*F19</f>
        <v>0</v>
      </c>
      <c r="G24" s="6">
        <f>G23*G19</f>
        <v>0</v>
      </c>
      <c r="I24" t="s">
        <v>60</v>
      </c>
      <c r="J24" t="s">
        <v>61</v>
      </c>
    </row>
    <row r="25" spans="1:10">
      <c r="A25" t="s">
        <v>25</v>
      </c>
      <c r="C25" s="6">
        <f>1/(1+$B$14)^1</f>
        <v>0</v>
      </c>
      <c r="D25" s="6">
        <f>1/(1+$B$14)^2</f>
        <v>0</v>
      </c>
      <c r="E25" s="6">
        <f>1/(1+$B$14)^3</f>
        <v>0</v>
      </c>
      <c r="F25" s="6">
        <f>1/(1+$B$14)^4</f>
        <v>0</v>
      </c>
      <c r="G25" s="6">
        <f>1/(1+$B$14)^5</f>
        <v>0</v>
      </c>
      <c r="I25" t="s">
        <v>62</v>
      </c>
      <c r="J25" t="s">
        <v>63</v>
      </c>
    </row>
    <row r="26" spans="1:10">
      <c r="A26" t="s">
        <v>26</v>
      </c>
      <c r="C26" s="6">
        <f>C24*C25</f>
        <v>0</v>
      </c>
      <c r="D26" s="6">
        <f>D24*D25</f>
        <v>0</v>
      </c>
      <c r="E26" s="6">
        <f>E24*E25</f>
        <v>0</v>
      </c>
      <c r="F26" s="6">
        <f>F24*F25</f>
        <v>0</v>
      </c>
      <c r="G26" s="6">
        <f>G24*G25</f>
        <v>0</v>
      </c>
      <c r="I26" t="s">
        <v>64</v>
      </c>
      <c r="J26" t="s">
        <v>65</v>
      </c>
    </row>
    <row r="27" spans="1:10">
      <c r="I27" t="s">
        <v>66</v>
      </c>
      <c r="J27" t="s">
        <v>67</v>
      </c>
    </row>
    <row r="28" spans="1:10">
      <c r="A28" s="3" t="s">
        <v>27</v>
      </c>
    </row>
    <row r="29" spans="1:10">
      <c r="A29" t="s">
        <v>28</v>
      </c>
      <c r="B29" s="6">
        <f>SUM(C26:G26)</f>
        <v>0</v>
      </c>
    </row>
    <row r="30" spans="1:10">
      <c r="A30" t="s">
        <v>29</v>
      </c>
      <c r="B30" s="6">
        <f>G24*(1+$B$15)</f>
        <v>0</v>
      </c>
    </row>
    <row r="31" spans="1:10">
      <c r="A31" t="s">
        <v>30</v>
      </c>
      <c r="B31" s="12">
        <f>B30/($B$14-$B$15)</f>
        <v>0</v>
      </c>
    </row>
    <row r="32" spans="1:10">
      <c r="A32" t="s">
        <v>31</v>
      </c>
      <c r="B32" s="12">
        <f>B31*G25</f>
        <v>0</v>
      </c>
    </row>
    <row r="33" spans="1:2">
      <c r="A33" t="s">
        <v>32</v>
      </c>
      <c r="B33" s="12">
        <f>B29+B32</f>
        <v>0</v>
      </c>
    </row>
    <row r="34" spans="1:2">
      <c r="A34" t="s">
        <v>33</v>
      </c>
      <c r="B34" s="6">
        <f>B10</f>
        <v>0</v>
      </c>
    </row>
    <row r="35" spans="1:2">
      <c r="A35" t="s">
        <v>34</v>
      </c>
      <c r="B35" s="12">
        <f>B33-B34</f>
        <v>0</v>
      </c>
    </row>
    <row r="36" spans="1:2">
      <c r="A36" s="13" t="s">
        <v>35</v>
      </c>
      <c r="B36" s="9">
        <f>B35/$B$7</f>
        <v>0</v>
      </c>
    </row>
    <row r="37" spans="1:2">
      <c r="A37" t="s">
        <v>36</v>
      </c>
      <c r="B37" s="14">
        <f>(B36-B6)/B6</f>
        <v>0</v>
      </c>
    </row>
    <row r="39" spans="1:2">
      <c r="A39" s="3" t="s">
        <v>37</v>
      </c>
    </row>
    <row r="40" spans="1:2">
      <c r="A40" t="s">
        <v>38</v>
      </c>
      <c r="B40" s="15">
        <f>B31/$B$7</f>
        <v>0</v>
      </c>
    </row>
    <row r="41" spans="1:2">
      <c r="A41" t="s">
        <v>39</v>
      </c>
      <c r="B41" s="16">
        <f>B40/(1.15^5)</f>
        <v>0</v>
      </c>
    </row>
    <row r="42" spans="1:2">
      <c r="A42" t="s">
        <v>40</v>
      </c>
      <c r="B42" s="11">
        <f>(B6-B41)/B6</f>
        <v>0</v>
      </c>
    </row>
    <row r="44" spans="1:2">
      <c r="A44" s="13" t="s">
        <v>68</v>
      </c>
    </row>
    <row r="45" spans="1:2">
      <c r="A45" s="17" t="s">
        <v>69</v>
      </c>
    </row>
    <row r="46" spans="1:2">
      <c r="A46" s="17" t="s">
        <v>70</v>
      </c>
    </row>
    <row r="47" spans="1:2">
      <c r="A47" s="17"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
  <sheetViews>
    <sheetView workbookViewId="0"/>
  </sheetViews>
  <sheetFormatPr defaultRowHeight="15"/>
  <cols>
    <col min="1" max="1" width="28.7109375" customWidth="1"/>
    <col min="2" max="7" width="13.7109375" customWidth="1"/>
    <col min="8" max="8" width="2.7109375" customWidth="1"/>
    <col min="9" max="9" width="28.7109375" customWidth="1"/>
    <col min="10" max="14" width="13.7109375" customWidth="1"/>
  </cols>
  <sheetData>
    <row r="1" spans="1:14">
      <c r="A1" s="1" t="s">
        <v>72</v>
      </c>
    </row>
    <row r="3" spans="1:14">
      <c r="A3" s="18" t="s">
        <v>73</v>
      </c>
      <c r="I3" s="19" t="s">
        <v>87</v>
      </c>
    </row>
    <row r="4" spans="1:14">
      <c r="C4" s="18" t="s">
        <v>16</v>
      </c>
      <c r="D4" s="18" t="s">
        <v>17</v>
      </c>
      <c r="E4" s="18" t="s">
        <v>18</v>
      </c>
      <c r="F4" s="18" t="s">
        <v>19</v>
      </c>
      <c r="G4" s="18" t="s">
        <v>20</v>
      </c>
      <c r="J4" s="19" t="s">
        <v>16</v>
      </c>
      <c r="K4" s="19" t="s">
        <v>17</v>
      </c>
      <c r="L4" s="19" t="s">
        <v>18</v>
      </c>
      <c r="M4" s="19" t="s">
        <v>19</v>
      </c>
      <c r="N4" s="19" t="s">
        <v>20</v>
      </c>
    </row>
    <row r="5" spans="1:14">
      <c r="A5" t="s">
        <v>14</v>
      </c>
      <c r="C5" s="20">
        <v>0.22</v>
      </c>
      <c r="D5" s="20">
        <v>0.19</v>
      </c>
      <c r="E5" s="20">
        <v>0.16</v>
      </c>
      <c r="F5" s="20">
        <v>0.13</v>
      </c>
      <c r="G5" s="20">
        <v>0.11</v>
      </c>
      <c r="I5" t="s">
        <v>14</v>
      </c>
      <c r="J5" s="21">
        <v>0.12</v>
      </c>
      <c r="K5" s="21">
        <v>0.09</v>
      </c>
      <c r="L5" s="21">
        <v>0.07000000000000001</v>
      </c>
      <c r="M5" s="21">
        <v>0.05</v>
      </c>
      <c r="N5" s="21">
        <v>0.04</v>
      </c>
    </row>
    <row r="6" spans="1:14">
      <c r="A6" t="s">
        <v>15</v>
      </c>
      <c r="C6" s="20">
        <v>0.095</v>
      </c>
      <c r="D6" s="20">
        <v>0.11</v>
      </c>
      <c r="E6" s="20">
        <v>0.125</v>
      </c>
      <c r="F6" s="20">
        <v>0.14</v>
      </c>
      <c r="G6" s="20">
        <v>0.155</v>
      </c>
      <c r="I6" t="s">
        <v>15</v>
      </c>
      <c r="J6" s="21">
        <v>0.055</v>
      </c>
      <c r="K6" s="21">
        <v>0.065</v>
      </c>
      <c r="L6" s="21">
        <v>0.075</v>
      </c>
      <c r="M6" s="21">
        <v>0.08500000000000001</v>
      </c>
      <c r="N6" s="21">
        <v>0.095</v>
      </c>
    </row>
    <row r="8" spans="1:14">
      <c r="A8" t="s">
        <v>23</v>
      </c>
      <c r="C8" s="22">
        <v>310.73</v>
      </c>
      <c r="D8" s="22">
        <v>369.77</v>
      </c>
      <c r="E8" s="22">
        <v>428.94</v>
      </c>
      <c r="F8" s="22">
        <v>484.7</v>
      </c>
      <c r="G8" s="22">
        <v>538.02</v>
      </c>
      <c r="I8" t="s">
        <v>23</v>
      </c>
      <c r="J8" s="23">
        <v>285.26</v>
      </c>
      <c r="K8" s="23">
        <v>310.94</v>
      </c>
      <c r="L8" s="23">
        <v>332.7</v>
      </c>
      <c r="M8" s="23">
        <v>349.34</v>
      </c>
      <c r="N8" s="23">
        <v>363.31</v>
      </c>
    </row>
    <row r="9" spans="1:14">
      <c r="A9" t="s">
        <v>74</v>
      </c>
      <c r="C9" s="22">
        <v>29.52</v>
      </c>
      <c r="D9" s="22">
        <v>40.68</v>
      </c>
      <c r="E9" s="22">
        <v>53.62</v>
      </c>
      <c r="F9" s="22">
        <v>67.86</v>
      </c>
      <c r="G9" s="22">
        <v>83.39</v>
      </c>
      <c r="I9" t="s">
        <v>74</v>
      </c>
      <c r="J9" s="23">
        <v>15.69</v>
      </c>
      <c r="K9" s="23">
        <v>20.21</v>
      </c>
      <c r="L9" s="23">
        <v>24.95</v>
      </c>
      <c r="M9" s="23">
        <v>29.69</v>
      </c>
      <c r="N9" s="23">
        <v>34.51</v>
      </c>
    </row>
    <row r="10" spans="1:14">
      <c r="A10" t="s">
        <v>25</v>
      </c>
      <c r="C10" s="22">
        <v>0.9091</v>
      </c>
      <c r="D10" s="22">
        <v>0.8264</v>
      </c>
      <c r="E10" s="22">
        <v>0.7513</v>
      </c>
      <c r="F10" s="22">
        <v>0.6830000000000001</v>
      </c>
      <c r="G10" s="22">
        <v>0.6209</v>
      </c>
      <c r="I10" t="s">
        <v>25</v>
      </c>
      <c r="J10" s="23">
        <v>0.8772</v>
      </c>
      <c r="K10" s="23">
        <v>0.7695</v>
      </c>
      <c r="L10" s="23">
        <v>0.675</v>
      </c>
      <c r="M10" s="23">
        <v>0.5921</v>
      </c>
      <c r="N10" s="23">
        <v>0.5194</v>
      </c>
    </row>
    <row r="11" spans="1:14">
      <c r="A11" t="s">
        <v>26</v>
      </c>
      <c r="C11" s="22">
        <v>26.84</v>
      </c>
      <c r="D11" s="22">
        <v>33.62</v>
      </c>
      <c r="E11" s="22">
        <v>40.28</v>
      </c>
      <c r="F11" s="22">
        <v>46.35</v>
      </c>
      <c r="G11" s="22">
        <v>51.78</v>
      </c>
      <c r="I11" t="s">
        <v>26</v>
      </c>
      <c r="J11" s="23">
        <v>13.76</v>
      </c>
      <c r="K11" s="23">
        <v>15.55</v>
      </c>
      <c r="L11" s="23">
        <v>16.84</v>
      </c>
      <c r="M11" s="23">
        <v>17.58</v>
      </c>
      <c r="N11" s="23">
        <v>17.93</v>
      </c>
    </row>
    <row r="12" spans="1:14">
      <c r="A12" s="18" t="s">
        <v>75</v>
      </c>
      <c r="I12" s="19" t="s">
        <v>75</v>
      </c>
    </row>
    <row r="13" spans="1:14">
      <c r="A13" t="s">
        <v>76</v>
      </c>
      <c r="C13" s="22">
        <v>198.87</v>
      </c>
      <c r="I13" t="s">
        <v>76</v>
      </c>
      <c r="J13" s="23">
        <v>81.66</v>
      </c>
    </row>
    <row r="14" spans="1:14">
      <c r="A14" t="s">
        <v>77</v>
      </c>
      <c r="C14" s="22">
        <v>1327.85</v>
      </c>
      <c r="I14" t="s">
        <v>77</v>
      </c>
      <c r="J14" s="23">
        <v>293.33</v>
      </c>
    </row>
    <row r="15" spans="1:14">
      <c r="A15" t="s">
        <v>78</v>
      </c>
      <c r="C15" s="22">
        <v>824.46</v>
      </c>
      <c r="I15" t="s">
        <v>78</v>
      </c>
      <c r="J15" s="23">
        <v>152.36</v>
      </c>
    </row>
    <row r="16" spans="1:14">
      <c r="A16" t="s">
        <v>79</v>
      </c>
      <c r="C16" s="22">
        <v>1023.33</v>
      </c>
      <c r="I16" t="s">
        <v>79</v>
      </c>
      <c r="J16" s="23">
        <v>234.02</v>
      </c>
    </row>
    <row r="17" spans="1:10">
      <c r="A17" t="s">
        <v>80</v>
      </c>
      <c r="C17" s="22">
        <v>38.7</v>
      </c>
      <c r="I17" t="s">
        <v>80</v>
      </c>
      <c r="J17" s="23">
        <v>38.7</v>
      </c>
    </row>
    <row r="18" spans="1:10">
      <c r="A18" t="s">
        <v>81</v>
      </c>
      <c r="C18" s="22">
        <v>984.63</v>
      </c>
      <c r="I18" t="s">
        <v>81</v>
      </c>
      <c r="J18" s="23">
        <v>195.32</v>
      </c>
    </row>
    <row r="19" spans="1:10">
      <c r="A19" t="s">
        <v>82</v>
      </c>
      <c r="C19" s="24">
        <v>9.390000000000001</v>
      </c>
      <c r="I19" t="s">
        <v>88</v>
      </c>
      <c r="J19" s="25">
        <v>1.86</v>
      </c>
    </row>
    <row r="20" spans="1:10">
      <c r="A20" t="s">
        <v>83</v>
      </c>
      <c r="C20" s="20">
        <v>1.559</v>
      </c>
      <c r="I20" t="s">
        <v>83</v>
      </c>
      <c r="J20" s="21">
        <v>-0.493</v>
      </c>
    </row>
    <row r="21" spans="1:10">
      <c r="A21" t="s">
        <v>84</v>
      </c>
      <c r="C21" s="22">
        <v>6.29</v>
      </c>
      <c r="I21" t="s">
        <v>84</v>
      </c>
      <c r="J21" s="23">
        <v>1.39</v>
      </c>
    </row>
    <row r="23" spans="1:10">
      <c r="A23" s="13" t="s">
        <v>85</v>
      </c>
      <c r="I23" s="13" t="s">
        <v>89</v>
      </c>
    </row>
    <row r="24" spans="1:10" ht="60" customHeight="1">
      <c r="A24" s="17" t="s">
        <v>86</v>
      </c>
      <c r="I24" s="17"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7"/>
  <sheetViews>
    <sheetView workbookViewId="0"/>
  </sheetViews>
  <sheetFormatPr defaultRowHeight="15"/>
  <cols>
    <col min="1" max="1" width="20.7109375" customWidth="1"/>
    <col min="2" max="6" width="14.7109375" customWidth="1"/>
  </cols>
  <sheetData>
    <row r="1" spans="1:6">
      <c r="A1" s="1" t="s">
        <v>91</v>
      </c>
    </row>
    <row r="2" spans="1:6">
      <c r="A2" s="2" t="s">
        <v>92</v>
      </c>
    </row>
    <row r="4" spans="1:6">
      <c r="A4" s="5" t="s">
        <v>93</v>
      </c>
      <c r="B4" s="5" t="s">
        <v>94</v>
      </c>
      <c r="C4" s="5" t="s">
        <v>95</v>
      </c>
      <c r="D4" s="5" t="s">
        <v>96</v>
      </c>
      <c r="E4" s="5" t="s">
        <v>97</v>
      </c>
      <c r="F4" s="5" t="s">
        <v>98</v>
      </c>
    </row>
    <row r="5" spans="1:6">
      <c r="A5" s="26" t="s">
        <v>99</v>
      </c>
      <c r="B5" s="7">
        <v>5.59</v>
      </c>
      <c r="C5" s="7">
        <v>5.91</v>
      </c>
      <c r="D5" s="7">
        <v>6.28</v>
      </c>
      <c r="E5" s="7">
        <v>6.71</v>
      </c>
      <c r="F5" s="7">
        <v>7.21</v>
      </c>
    </row>
    <row r="6" spans="1:6">
      <c r="A6" s="26" t="s">
        <v>100</v>
      </c>
      <c r="B6" s="7">
        <v>4.87</v>
      </c>
      <c r="C6" s="7">
        <v>5.11</v>
      </c>
      <c r="D6" s="7">
        <v>5.39</v>
      </c>
      <c r="E6" s="7">
        <v>5.7</v>
      </c>
      <c r="F6" s="7">
        <v>6.06</v>
      </c>
    </row>
    <row r="7" spans="1:6">
      <c r="A7" s="26" t="s">
        <v>101</v>
      </c>
      <c r="B7" s="7">
        <v>4.3</v>
      </c>
      <c r="C7" s="7">
        <v>4.49</v>
      </c>
      <c r="D7" s="7">
        <v>4.7</v>
      </c>
      <c r="E7" s="7">
        <v>4.93</v>
      </c>
      <c r="F7" s="7">
        <v>5.2</v>
      </c>
    </row>
    <row r="8" spans="1:6">
      <c r="A8" s="26" t="s">
        <v>102</v>
      </c>
      <c r="B8" s="27">
        <v>3.83</v>
      </c>
      <c r="C8" s="27">
        <v>3.98</v>
      </c>
      <c r="D8" s="27">
        <v>4.15</v>
      </c>
      <c r="E8" s="7">
        <v>4.33</v>
      </c>
      <c r="F8" s="7">
        <v>4.53</v>
      </c>
    </row>
    <row r="9" spans="1:6">
      <c r="A9" s="26" t="s">
        <v>103</v>
      </c>
      <c r="B9" s="28">
        <v>3.44</v>
      </c>
      <c r="C9" s="28">
        <v>3.56</v>
      </c>
      <c r="D9" s="27">
        <v>3.7</v>
      </c>
      <c r="E9" s="27">
        <v>3.84</v>
      </c>
      <c r="F9" s="27">
        <v>4</v>
      </c>
    </row>
    <row r="10" spans="1:6">
      <c r="A10" s="13" t="s">
        <v>104</v>
      </c>
    </row>
    <row r="11" spans="1:6">
      <c r="A11" s="29" t="s">
        <v>105</v>
      </c>
    </row>
    <row r="12" spans="1:6">
      <c r="A12" s="30" t="s">
        <v>106</v>
      </c>
    </row>
    <row r="13" spans="1:6">
      <c r="A13" s="31" t="s">
        <v>107</v>
      </c>
    </row>
    <row r="15" spans="1:6">
      <c r="A15" s="13" t="s">
        <v>108</v>
      </c>
    </row>
    <row r="17" spans="1:1">
      <c r="A17" s="17" t="s">
        <v>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28"/>
  <sheetViews>
    <sheetView workbookViewId="0"/>
  </sheetViews>
  <sheetFormatPr defaultRowHeight="15"/>
  <cols>
    <col min="1" max="1" width="30.7109375" customWidth="1"/>
    <col min="2" max="2" width="12.7109375" customWidth="1"/>
    <col min="3" max="3" width="45.7109375" customWidth="1"/>
    <col min="4" max="12" width="12.7109375" customWidth="1"/>
  </cols>
  <sheetData>
    <row r="1" spans="1:12">
      <c r="A1" s="1" t="s">
        <v>110</v>
      </c>
    </row>
    <row r="3" spans="1:12">
      <c r="A3" s="3" t="s">
        <v>111</v>
      </c>
    </row>
    <row r="4" spans="1:12">
      <c r="A4" t="s">
        <v>23</v>
      </c>
      <c r="B4" s="5" t="s">
        <v>112</v>
      </c>
      <c r="C4" s="5" t="s">
        <v>113</v>
      </c>
      <c r="D4" s="5" t="s">
        <v>114</v>
      </c>
      <c r="E4" s="5" t="s">
        <v>115</v>
      </c>
      <c r="F4" s="5" t="s">
        <v>116</v>
      </c>
      <c r="G4" s="5" t="s">
        <v>117</v>
      </c>
      <c r="H4" s="5" t="s">
        <v>118</v>
      </c>
      <c r="I4" s="5" t="s">
        <v>119</v>
      </c>
      <c r="J4" s="5" t="s">
        <v>120</v>
      </c>
      <c r="K4" s="5" t="s">
        <v>121</v>
      </c>
      <c r="L4" s="5" t="s">
        <v>122</v>
      </c>
    </row>
    <row r="5" spans="1:12">
      <c r="B5" s="12">
        <v>64</v>
      </c>
      <c r="C5" s="12">
        <v>69.2</v>
      </c>
      <c r="D5" s="12">
        <v>80.09999999999999</v>
      </c>
      <c r="E5" s="12">
        <v>85.09999999999999</v>
      </c>
      <c r="F5" s="12">
        <v>105.6</v>
      </c>
      <c r="G5" s="12">
        <v>113.1</v>
      </c>
      <c r="H5" s="12">
        <v>130.3</v>
      </c>
      <c r="I5" s="12">
        <v>156.6</v>
      </c>
      <c r="J5" s="12">
        <v>195.4</v>
      </c>
      <c r="K5" s="12">
        <v>208</v>
      </c>
      <c r="L5" s="12">
        <v>254.7</v>
      </c>
    </row>
    <row r="6" spans="1:12">
      <c r="A6" s="3" t="s">
        <v>123</v>
      </c>
    </row>
    <row r="7" spans="1:12">
      <c r="A7" t="s">
        <v>74</v>
      </c>
      <c r="B7" s="5" t="s">
        <v>116</v>
      </c>
      <c r="C7" s="5" t="s">
        <v>117</v>
      </c>
      <c r="D7" s="5" t="s">
        <v>118</v>
      </c>
      <c r="E7" s="5" t="s">
        <v>119</v>
      </c>
      <c r="F7" s="5" t="s">
        <v>120</v>
      </c>
      <c r="G7" s="5" t="s">
        <v>121</v>
      </c>
      <c r="H7" s="5" t="s">
        <v>122</v>
      </c>
    </row>
    <row r="8" spans="1:12">
      <c r="A8" s="17" t="s">
        <v>124</v>
      </c>
      <c r="B8" s="6">
        <v>14.8</v>
      </c>
      <c r="C8" s="6">
        <v>0.7</v>
      </c>
      <c r="D8" s="6">
        <v>13.8</v>
      </c>
      <c r="E8" s="6">
        <v>11.4</v>
      </c>
      <c r="F8" s="6">
        <v>28.7</v>
      </c>
      <c r="G8" s="6">
        <v>12.9</v>
      </c>
      <c r="H8" s="6">
        <v>-19.3</v>
      </c>
    </row>
    <row r="10" spans="1:12">
      <c r="A10" s="3" t="s">
        <v>125</v>
      </c>
    </row>
    <row r="11" spans="1:12">
      <c r="A11" s="5" t="s">
        <v>126</v>
      </c>
      <c r="B11" s="5" t="s">
        <v>127</v>
      </c>
      <c r="C11" s="5" t="s">
        <v>128</v>
      </c>
    </row>
    <row r="12" spans="1:12">
      <c r="A12" t="s">
        <v>129</v>
      </c>
      <c r="B12" s="11">
        <v>0.176</v>
      </c>
      <c r="C12" s="17" t="s">
        <v>130</v>
      </c>
    </row>
    <row r="13" spans="1:12">
      <c r="A13" t="s">
        <v>131</v>
      </c>
      <c r="B13" s="11">
        <v>0.1763</v>
      </c>
      <c r="C13" s="17" t="s">
        <v>132</v>
      </c>
    </row>
    <row r="14" spans="1:12">
      <c r="A14" t="s">
        <v>133</v>
      </c>
      <c r="B14" s="11">
        <v>0.1187</v>
      </c>
      <c r="C14" s="17" t="s">
        <v>134</v>
      </c>
    </row>
    <row r="15" spans="1:12">
      <c r="A15" t="s">
        <v>135</v>
      </c>
      <c r="B15" s="11">
        <v>0.1487</v>
      </c>
      <c r="C15" s="17" t="s">
        <v>134</v>
      </c>
    </row>
    <row r="16" spans="1:12">
      <c r="A16" t="s">
        <v>136</v>
      </c>
      <c r="B16" s="11">
        <v>0.1459</v>
      </c>
      <c r="C16" s="17" t="s">
        <v>137</v>
      </c>
    </row>
    <row r="17" spans="1:3">
      <c r="A17" t="s">
        <v>138</v>
      </c>
      <c r="B17" s="11">
        <v>0.2469</v>
      </c>
      <c r="C17" s="17" t="s">
        <v>139</v>
      </c>
    </row>
    <row r="18" spans="1:3">
      <c r="A18" t="s">
        <v>140</v>
      </c>
      <c r="B18" s="11">
        <v>-0.0222</v>
      </c>
      <c r="C18" s="17" t="s">
        <v>141</v>
      </c>
    </row>
    <row r="19" spans="1:3">
      <c r="A19" t="s">
        <v>142</v>
      </c>
      <c r="B19" s="11">
        <v>-0.0271</v>
      </c>
      <c r="C19" s="17" t="s">
        <v>141</v>
      </c>
    </row>
    <row r="20" spans="1:3">
      <c r="A20" s="13" t="s">
        <v>143</v>
      </c>
    </row>
    <row r="22" spans="1:3">
      <c r="A22" s="3" t="s">
        <v>144</v>
      </c>
    </row>
    <row r="23" spans="1:3" ht="45" customHeight="1">
      <c r="A23" s="17" t="s">
        <v>145</v>
      </c>
    </row>
    <row r="24" spans="1:3">
      <c r="A24" s="3" t="s">
        <v>146</v>
      </c>
    </row>
    <row r="25" spans="1:3">
      <c r="A25" s="17" t="s">
        <v>147</v>
      </c>
    </row>
    <row r="27" spans="1:3">
      <c r="A27" s="3" t="s">
        <v>148</v>
      </c>
    </row>
    <row r="28" spans="1:3" ht="90" customHeight="1">
      <c r="A28" s="17"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DCF Model</vt:lpstr>
      <vt:lpstr>Bull &amp; Bear Cases</vt:lpstr>
      <vt:lpstr>Sensitivity</vt:lpstr>
      <vt:lpstr>Historical &amp; 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2026-06-25T06:24:27Z</dcterms:created>
  <dcterms:modified xsi:type="dcterms:W3CDTF">2026-06-25T06:24:27Z</dcterms:modified>
</cp:coreProperties>
</file>