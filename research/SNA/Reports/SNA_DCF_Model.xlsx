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Model_Info" sheetId="1" state="visible" r:id="rId3"/>
    <sheet name="Actuals" sheetId="2" state="visible" r:id="rId4"/>
    <sheet name="Assumptions" sheetId="3" state="visible" r:id="rId5"/>
    <sheet name="DCF_Bear" sheetId="4" state="visible" r:id="rId6"/>
    <sheet name="DCF_Base" sheetId="5" state="visible" r:id="rId7"/>
    <sheet name="DCF_Bull" sheetId="6" state="visible" r:id="rId8"/>
    <sheet name="Valuation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<sst xmlns="http://schemas.openxmlformats.org/spreadsheetml/2006/main" count="387" uniqueCount="174">
  <si>
    <t xml:space="preserve">Ticker</t>
  </si>
  <si>
    <t xml:space="preserve">SNA</t>
  </si>
  <si>
    <t xml:space="preserve">Company</t>
  </si>
  <si>
    <t xml:space="preserve">Snap-on Incorporated</t>
  </si>
  <si>
    <t xml:space="preserve">Valuation date</t>
  </si>
  <si>
    <t xml:space="preserve">2026-10-02</t>
  </si>
  <si>
    <t xml:space="preserve">Current price</t>
  </si>
  <si>
    <t xml:space="preserve">Price as of</t>
  </si>
  <si>
    <t xml:space="preserve">2026-10-01T20:00:02Z regular close (Yahoo chart API)</t>
  </si>
  <si>
    <t xml:space="preserve">Balance sheet date</t>
  </si>
  <si>
    <t xml:space="preserve">2026-07-04</t>
  </si>
  <si>
    <t xml:space="preserve">Model</t>
  </si>
  <si>
    <t xml:space="preserve">owner_fcf_dcf_component</t>
  </si>
  <si>
    <t xml:space="preserve">Currency (model)</t>
  </si>
  <si>
    <t xml:space="preserve">USD</t>
  </si>
  <si>
    <t xml:space="preserve">Currency (quote)</t>
  </si>
  <si>
    <t xml:space="preserve">Units</t>
  </si>
  <si>
    <t xml:space="preserve">millions</t>
  </si>
  <si>
    <t xml:space="preserve">Engine</t>
  </si>
  <si>
    <t xml:space="preserve">dcf_engine v1</t>
  </si>
  <si>
    <t xml:space="preserve">Built at</t>
  </si>
  <si>
    <t xml:space="preserve">2026-10-02T08:45:05Z</t>
  </si>
  <si>
    <t xml:space="preserve">Drivers file</t>
  </si>
  <si>
    <t xml:space="preserve">SNA_Drivers.json</t>
  </si>
  <si>
    <t xml:space="preserve">Convention</t>
  </si>
  <si>
    <t xml:space="preserve">Percents stored as percents; formulas divide by 100. Blue = input, green = link, black = formula.</t>
  </si>
  <si>
    <t xml:space="preserve">Methodology</t>
  </si>
  <si>
    <t xml:space="preserve">summary: Snap-on is valued as a mature, moderately cyclical owner-FCF compounder whose captive finance arm is treated as part of the operating business: finance income in the flows, its funding debt in the bridge, receivable growth charged as working capital. SBC is small (~0.6% of revenue) so the house/street band is narrow. Cyclicality is charged in the bear flows and a 20% bear weight, not in the discount rate; terminal values are capped at 14-18x owner FCF, at or below today's ~20x.
key_risks_to_valuation: Tariff-driven technician deferral of big-ticket tool storage and diagnostics purchases persisting into a broader downturn; Credit losses at Snap-on Credit in a labour-market recession (receivables ~$2B vs equity ~$6B); Trade-down to lower-priced tool-truck and power-tool competitors eroding the price premium; Terminal multiple: the market pays ~20x owner FCF today; the 16x base cap assumes no multiple expansion and part of the gap to price is this choice; Acquisition cadence: bolt-on M&amp;A cash is not in the flows; growth from acquisitions beyond FY2026 is not modelled</t>
  </si>
  <si>
    <t xml:space="preserve">Data sources</t>
  </si>
  <si>
    <t xml:space="preserve">price: Yahoo Finance chart API at inputs.price_as_of; 52-week range 320.80-423.02
financials: SNA_Metrics.csv (SEC XBRL API) for revenue, earnings, SBC, interest income, taxes, buybacks; capex, finance receivable additions/collections, debt, cash and diluted shares read from the FY2022, FY2024 and FY2025 10-Ks and the Q2 FY2026 10-Q on SEC EDGAR (CIK 91440)
qualitative: SNA_Analysis.json (Q2 FY2026 results, guidance, bull/bear cases)</t>
  </si>
  <si>
    <t xml:space="preserve">Scenario narrative: bear</t>
  </si>
  <si>
    <t xml:space="preserve">A technician recession: tariffs and a softer labour market push technicians to defer big-ticket purchases and trade down to Matco/Milwaukee, franchisee economics weaken, and Snap-on Credit takes higher losses as delinquencies rise. FY2027 revenue falls 4% (FY2020 fell 3.2% from FY2019; FY2009 fell 15%), stays flat in FY2028, and the margin drops to 26% before recovering only to ~27.3% as premium pricing erodes. Receivable run-off releases some cash in the downturn. Exit at 14x, a mature low-growth industrial multiple.</t>
  </si>
  <si>
    <t xml:space="preserve">Scenario narrative: base</t>
  </si>
  <si>
    <t xml:space="preserve">Snap-on keeps compounding as a mid-single-digit grower: the Tools Group van channel stays roughly flat-to-low-growth as technicians favour short-payback items over big-ticket boxes and diagnostics, while Repair Systems &amp; Information and Commercial &amp; Industrial (record 16.8% margin in Q2 FY2026, critical-industries demand, Hi-Force and Diesel Laptops bolt-ons) carry growth of ~3.5% fading to 2.5%. RCI savings and pricing offset tariffs, holding the EBITDA margin at ~28.5%, its FY2023-25 band. Snap-on Credit delinquency stays benign (~1.9% 60+ day). The exit is capped at 16x owner FCF, below the ~20x the market pays today.</t>
  </si>
  <si>
    <t xml:space="preserve">Scenario narrative: bull</t>
  </si>
  <si>
    <t xml:space="preserve">Rising vehicle age and repair complexity (EV, ADAS) re-accelerate the Tools Group once tariff uncertainty clears, technicians return to big-ticket financed purchases, and C&amp;I keeps double-digit growth with aerospace/defence/power-gen demand and bolt-on M&amp;A into heavy-duty diagnostics. Growth runs 5-5.5% for five years and mix plus RCI lift the EBITDA margin to ~30%. The franchise moat earns an 18x exit, near today's multiple.</t>
  </si>
  <si>
    <t xml:space="preserve">Period</t>
  </si>
  <si>
    <t xml:space="preserve">Revenue</t>
  </si>
  <si>
    <t xml:space="preserve">CostOfRevenue</t>
  </si>
  <si>
    <t xml:space="preserve">GrossProfit</t>
  </si>
  <si>
    <t xml:space="preserve">GrossMargin</t>
  </si>
  <si>
    <t xml:space="preserve">OperatingIncome</t>
  </si>
  <si>
    <t xml:space="preserve">OperatingMargin</t>
  </si>
  <si>
    <t xml:space="preserve">EBITDA</t>
  </si>
  <si>
    <t xml:space="preserve">NetIncome</t>
  </si>
  <si>
    <t xml:space="preserve">NetMargin</t>
  </si>
  <si>
    <t xml:space="preserve">EPS</t>
  </si>
  <si>
    <t xml:space="preserve">OperatingCashFlow</t>
  </si>
  <si>
    <t xml:space="preserve">CapEx</t>
  </si>
  <si>
    <t xml:space="preserve">FreeCashFlow</t>
  </si>
  <si>
    <t xml:space="preserve">ShareholdersEquity</t>
  </si>
  <si>
    <t xml:space="preserve">TotalAssets</t>
  </si>
  <si>
    <t xml:space="preserve">TotalLiabilities</t>
  </si>
  <si>
    <t xml:space="preserve">TotalDebt</t>
  </si>
  <si>
    <t xml:space="preserve">CashAndEquivalents</t>
  </si>
  <si>
    <t xml:space="preserve">SharesOutstanding</t>
  </si>
  <si>
    <t xml:space="preserve">StockBasedComp</t>
  </si>
  <si>
    <t xml:space="preserve">DividendPerShare</t>
  </si>
  <si>
    <t xml:space="preserve">EBITDABeforeSignificant</t>
  </si>
  <si>
    <t xml:space="preserve">RevenueContinuing</t>
  </si>
  <si>
    <t xml:space="preserve">EBITDAContinuingBeforeSignificant</t>
  </si>
  <si>
    <t xml:space="preserve">EBITContinuingBeforeSignificant</t>
  </si>
  <si>
    <t xml:space="preserve">Currency</t>
  </si>
  <si>
    <t xml:space="preserve">FY2007</t>
  </si>
  <si>
    <t xml:space="preserve">FY2008</t>
  </si>
  <si>
    <t xml:space="preserve">FY2009</t>
  </si>
  <si>
    <t xml:space="preserve">FY2010</t>
  </si>
  <si>
    <t xml:space="preserve">FY2011</t>
  </si>
  <si>
    <t xml:space="preserve">FY2012</t>
  </si>
  <si>
    <t xml:space="preserve">FY2013</t>
  </si>
  <si>
    <t xml:space="preserve">FY2014</t>
  </si>
  <si>
    <t xml:space="preserve">FY2015</t>
  </si>
  <si>
    <t xml:space="preserve">FY2016</t>
  </si>
  <si>
    <t xml:space="preserve">FY2017</t>
  </si>
  <si>
    <t xml:space="preserve">FY2018</t>
  </si>
  <si>
    <t xml:space="preserve">FY2019</t>
  </si>
  <si>
    <t xml:space="preserve">FY2020</t>
  </si>
  <si>
    <t xml:space="preserve">FY2021</t>
  </si>
  <si>
    <t xml:space="preserve">FY2022</t>
  </si>
  <si>
    <t xml:space="preserve">FY2023</t>
  </si>
  <si>
    <t xml:space="preserve">FY2024</t>
  </si>
  <si>
    <t xml:space="preserve">FY2025</t>
  </si>
  <si>
    <t xml:space="preserve">Input</t>
  </si>
  <si>
    <t xml:space="preserve">Value</t>
  </si>
  <si>
    <t xml:space="preserve">Current price (quote currency)</t>
  </si>
  <si>
    <t xml:space="preserve">Shares, final projected (m)</t>
  </si>
  <si>
    <t xml:space="preserve">Net debt (m, model currency)</t>
  </si>
  <si>
    <t xml:space="preserve">Equity bridge total (m, + adds)</t>
  </si>
  <si>
    <t xml:space="preserve">Hurdle rate (%)</t>
  </si>
  <si>
    <t xml:space="preserve">Base revenue FY0 (m)</t>
  </si>
  <si>
    <t xml:space="preserve">FY0</t>
  </si>
  <si>
    <t xml:space="preserve">Currency / units</t>
  </si>
  <si>
    <t xml:space="preserve">USD millions</t>
  </si>
  <si>
    <t xml:space="preserve">FX rate (model -&gt; quote)</t>
  </si>
  <si>
    <t xml:space="preserve">BEAR</t>
  </si>
  <si>
    <t xml:space="preserve">FY2026</t>
  </si>
  <si>
    <t xml:space="preserve">FY2027</t>
  </si>
  <si>
    <t xml:space="preserve">FY2028</t>
  </si>
  <si>
    <t xml:space="preserve">FY2029</t>
  </si>
  <si>
    <t xml:space="preserve">FY2030</t>
  </si>
  <si>
    <t xml:space="preserve">FY2031</t>
  </si>
  <si>
    <t xml:space="preserve">FY2032</t>
  </si>
  <si>
    <t xml:space="preserve">FY2033</t>
  </si>
  <si>
    <t xml:space="preserve">FY2034</t>
  </si>
  <si>
    <t xml:space="preserve">FY2035</t>
  </si>
  <si>
    <t xml:space="preserve">Revenue growth (%)</t>
  </si>
  <si>
    <t xml:space="preserve">EBITDA margin (%)</t>
  </si>
  <si>
    <t xml:space="preserve">SBC (% of revenue)</t>
  </si>
  <si>
    <t xml:space="preserve">Lease cost (% of revenue)</t>
  </si>
  <si>
    <t xml:space="preserve">D&amp;A (% of revenue)</t>
  </si>
  <si>
    <t xml:space="preserve">Capex (% of revenue)</t>
  </si>
  <si>
    <t xml:space="preserve">Cash tax rate (%)</t>
  </si>
  <si>
    <t xml:space="preserve">WACC (%)</t>
  </si>
  <si>
    <t xml:space="preserve">Terminal growth (%)</t>
  </si>
  <si>
    <t xml:space="preserve">Terminal cap multiple (x FCF)</t>
  </si>
  <si>
    <t xml:space="preserve">Working-capital capture (% of revenue change)</t>
  </si>
  <si>
    <t xml:space="preserve">Scenario weight</t>
  </si>
  <si>
    <t xml:space="preserve">BASE</t>
  </si>
  <si>
    <t xml:space="preserve">BULL</t>
  </si>
  <si>
    <t xml:space="preserve">SNA owner-FCF component DCF: bear case (millions, USD)</t>
  </si>
  <si>
    <t xml:space="preserve">Line</t>
  </si>
  <si>
    <t xml:space="preserve">Year index (discount exponent)</t>
  </si>
  <si>
    <t xml:space="preserve">SBC charge</t>
  </si>
  <si>
    <t xml:space="preserve">Owner EBITDA (after SBC and leases)</t>
  </si>
  <si>
    <t xml:space="preserve">D&amp;A</t>
  </si>
  <si>
    <t xml:space="preserve">EBIT</t>
  </si>
  <si>
    <t xml:space="preserve">NOPAT</t>
  </si>
  <si>
    <t xml:space="preserve">D&amp;A add-back</t>
  </si>
  <si>
    <t xml:space="preserve">Capex</t>
  </si>
  <si>
    <t xml:space="preserve">Working capital</t>
  </si>
  <si>
    <t xml:space="preserve">Unlevered owner FCF</t>
  </si>
  <si>
    <t xml:space="preserve">Discount factor</t>
  </si>
  <si>
    <t xml:space="preserve">PV of FCF</t>
  </si>
  <si>
    <t xml:space="preserve">Lease cost</t>
  </si>
  <si>
    <t xml:space="preserve">Valuation</t>
  </si>
  <si>
    <t xml:space="preserve">Sum of PV of FCF</t>
  </si>
  <si>
    <t xml:space="preserve">Terminal-year FCF</t>
  </si>
  <si>
    <t xml:space="preserve">Gordon terminal value</t>
  </si>
  <si>
    <t xml:space="preserve">Cap terminal value</t>
  </si>
  <si>
    <t xml:space="preserve">Terminal value used: MAX(0,MIN(Gordon,cap))</t>
  </si>
  <si>
    <t xml:space="preserve">PV of terminal value</t>
  </si>
  <si>
    <t xml:space="preserve">Enterprise value</t>
  </si>
  <si>
    <t xml:space="preserve">Equity value (EV + bridge - net debt)</t>
  </si>
  <si>
    <t xml:space="preserve">Value per share (quote currency)</t>
  </si>
  <si>
    <t xml:space="preserve">Upside vs price</t>
  </si>
  <si>
    <t xml:space="preserve">Street memo: PV of explicit-period SBC</t>
  </si>
  <si>
    <t xml:space="preserve">Street memo: PV of terminal SBC (Gordon)</t>
  </si>
  <si>
    <t xml:space="preserve">Street value per share</t>
  </si>
  <si>
    <t xml:space="preserve">Terminal value at hurdle: MAX(0,MIN(Gordon@hurdle,cap))</t>
  </si>
  <si>
    <t xml:space="preserve">Hurdle entry price (quote currency)</t>
  </si>
  <si>
    <t xml:space="preserve">SNA owner-FCF component DCF: base case (millions, USD)</t>
  </si>
  <si>
    <t xml:space="preserve">SNA owner-FCF component DCF: bull case (millions, USD)</t>
  </si>
  <si>
    <t xml:space="preserve">SNA valuation summary</t>
  </si>
  <si>
    <t xml:space="preserve">Scenario</t>
  </si>
  <si>
    <t xml:space="preserve">Value per share</t>
  </si>
  <si>
    <t xml:space="preserve">Weight</t>
  </si>
  <si>
    <t xml:space="preserve">Hurdle entry price</t>
  </si>
  <si>
    <t xml:space="preserve">Bear</t>
  </si>
  <si>
    <t xml:space="preserve">Base</t>
  </si>
  <si>
    <t xml:space="preserve">Bull</t>
  </si>
  <si>
    <t xml:space="preserve">Probability-weighted value per share</t>
  </si>
  <si>
    <t xml:space="preserve">Street weighted value per share</t>
  </si>
  <si>
    <t xml:space="preserve">Margin of safety (1 - price/weighted)</t>
  </si>
  <si>
    <t xml:space="preserve">Band position (%; 0 = house, 100 = street)</t>
  </si>
  <si>
    <t xml:space="preserve">Weighted 15% hurdle entry price</t>
  </si>
  <si>
    <t xml:space="preserve">Required-return table (base case; each row rebuilds its own terminal value)</t>
  </si>
  <si>
    <t xml:space="preserve">Rate (%)</t>
  </si>
  <si>
    <t xml:space="preserve">Value per share at 8.5% (WACC)</t>
  </si>
  <si>
    <t xml:space="preserve">Value per share at 9%</t>
  </si>
  <si>
    <t xml:space="preserve">Value per share at 10%</t>
  </si>
  <si>
    <t xml:space="preserve">Value per share at 11%</t>
  </si>
  <si>
    <t xml:space="preserve">Value per share at 12%</t>
  </si>
  <si>
    <t xml:space="preserve">Value per share at 15%</t>
  </si>
  <si>
    <t xml:space="preserve">Sensitivity: value per share, rows WACC (%) x columns terminal growth (%)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</si>
</sst>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color rgb="FF008000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0"/>
  </cols>
  <sheetData>
    <row r="1" customFormat="false" ht="15" hidden="false" customHeight="false" outlineLevel="0" collapsed="false">
      <c r="A1" s="0" t="s">
        <v>0</v>
      </c>
      <c r="B1" s="0" t="s">
        <v>1</v>
      </c>
    </row>
    <row r="2" customFormat="false" ht="15" hidden="false" customHeight="false" outlineLevel="0" collapsed="false">
      <c r="A2" s="0" t="s">
        <v>2</v>
      </c>
      <c r="B2" s="0" t="s">
        <v>3</v>
      </c>
    </row>
    <row r="3" customFormat="false" ht="15" hidden="false" customHeight="false" outlineLevel="0" collapsed="false">
      <c r="A3" s="0" t="s">
        <v>4</v>
      </c>
      <c r="B3" s="0" t="s">
        <v>5</v>
      </c>
    </row>
    <row r="4" customFormat="false" ht="15" hidden="false" customHeight="false" outlineLevel="0" collapsed="false">
      <c r="A4" s="0" t="s">
        <v>6</v>
      </c>
      <c r="B4" s="0" t="n">
        <v>367.72</v>
      </c>
    </row>
    <row r="5" customFormat="false" ht="15" hidden="false" customHeight="false" outlineLevel="0" collapsed="false">
      <c r="A5" s="0" t="s">
        <v>7</v>
      </c>
      <c r="B5" s="0" t="s">
        <v>8</v>
      </c>
    </row>
    <row r="6" customFormat="false" ht="15" hidden="false" customHeight="false" outlineLevel="0" collapsed="false">
      <c r="A6" s="0" t="s">
        <v>9</v>
      </c>
      <c r="B6" s="0" t="s">
        <v>10</v>
      </c>
    </row>
    <row r="7" customFormat="false" ht="15" hidden="false" customHeight="false" outlineLevel="0" collapsed="false">
      <c r="A7" s="0" t="s">
        <v>11</v>
      </c>
      <c r="B7" s="0" t="s">
        <v>12</v>
      </c>
    </row>
    <row r="8" customFormat="false" ht="15" hidden="false" customHeight="false" outlineLevel="0" collapsed="false">
      <c r="A8" s="0" t="s">
        <v>13</v>
      </c>
      <c r="B8" s="0" t="s">
        <v>14</v>
      </c>
    </row>
    <row r="9" customFormat="false" ht="15" hidden="false" customHeight="false" outlineLevel="0" collapsed="false">
      <c r="A9" s="0" t="s">
        <v>15</v>
      </c>
      <c r="B9" s="0" t="s">
        <v>14</v>
      </c>
    </row>
    <row r="10" customFormat="false" ht="15" hidden="false" customHeight="false" outlineLevel="0" collapsed="false">
      <c r="A10" s="0" t="s">
        <v>16</v>
      </c>
      <c r="B10" s="0" t="s">
        <v>17</v>
      </c>
    </row>
    <row r="11" customFormat="false" ht="15" hidden="false" customHeight="false" outlineLevel="0" collapsed="false">
      <c r="A11" s="0" t="s">
        <v>18</v>
      </c>
      <c r="B11" s="0" t="s">
        <v>19</v>
      </c>
    </row>
    <row r="12" customFormat="false" ht="15" hidden="false" customHeight="false" outlineLevel="0" collapsed="false">
      <c r="A12" s="0" t="s">
        <v>20</v>
      </c>
      <c r="B12" s="0" t="s">
        <v>21</v>
      </c>
    </row>
    <row r="13" customFormat="false" ht="15" hidden="false" customHeight="false" outlineLevel="0" collapsed="false">
      <c r="A13" s="0" t="s">
        <v>22</v>
      </c>
      <c r="B13" s="0" t="s">
        <v>23</v>
      </c>
    </row>
    <row r="14" customFormat="false" ht="15" hidden="false" customHeight="false" outlineLevel="0" collapsed="false">
      <c r="A14" s="0" t="s">
        <v>24</v>
      </c>
      <c r="B14" s="0" t="s">
        <v>25</v>
      </c>
    </row>
    <row r="15" customFormat="false" ht="23.85" hidden="false" customHeight="false" outlineLevel="0" collapsed="false">
      <c r="A15" s="0" t="s">
        <v>26</v>
      </c>
      <c r="B15" s="1" t="s">
        <v>27</v>
      </c>
    </row>
    <row r="16" customFormat="false" ht="35.05" hidden="false" customHeight="false" outlineLevel="0" collapsed="false">
      <c r="A16" s="0" t="s">
        <v>28</v>
      </c>
      <c r="B16" s="1" t="s">
        <v>29</v>
      </c>
    </row>
    <row r="17" customFormat="false" ht="15" hidden="false" customHeight="false" outlineLevel="0" collapsed="false">
      <c r="A17" s="0" t="s">
        <v>30</v>
      </c>
      <c r="B17" s="0" t="s">
        <v>31</v>
      </c>
    </row>
    <row r="18" customFormat="false" ht="15" hidden="false" customHeight="false" outlineLevel="0" collapsed="false">
      <c r="A18" s="0" t="s">
        <v>32</v>
      </c>
      <c r="B18" s="0" t="s">
        <v>33</v>
      </c>
    </row>
    <row r="19" customFormat="false" ht="15" hidden="false" customHeight="false" outlineLevel="0" collapsed="false">
      <c r="A19" s="0" t="s">
        <v>34</v>
      </c>
      <c r="B19" s="0" t="s">
        <v>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B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2" t="s">
        <v>36</v>
      </c>
      <c r="B1" s="2" t="s">
        <v>37</v>
      </c>
      <c r="C1" s="2" t="s">
        <v>38</v>
      </c>
      <c r="D1" s="2" t="s">
        <v>39</v>
      </c>
      <c r="E1" s="2" t="s">
        <v>40</v>
      </c>
      <c r="F1" s="2" t="s">
        <v>41</v>
      </c>
      <c r="G1" s="2" t="s">
        <v>42</v>
      </c>
      <c r="H1" s="2" t="s">
        <v>43</v>
      </c>
      <c r="I1" s="2" t="s">
        <v>44</v>
      </c>
      <c r="J1" s="2" t="s">
        <v>45</v>
      </c>
      <c r="K1" s="2" t="s">
        <v>46</v>
      </c>
      <c r="L1" s="2" t="s">
        <v>47</v>
      </c>
      <c r="M1" s="2" t="s">
        <v>48</v>
      </c>
      <c r="N1" s="2" t="s">
        <v>49</v>
      </c>
      <c r="O1" s="2" t="s">
        <v>50</v>
      </c>
      <c r="P1" s="2" t="s">
        <v>51</v>
      </c>
      <c r="Q1" s="2" t="s">
        <v>52</v>
      </c>
      <c r="R1" s="2" t="s">
        <v>53</v>
      </c>
      <c r="S1" s="2" t="s">
        <v>54</v>
      </c>
      <c r="T1" s="2" t="s">
        <v>55</v>
      </c>
      <c r="U1" s="2" t="s">
        <v>56</v>
      </c>
      <c r="V1" s="2" t="s">
        <v>57</v>
      </c>
      <c r="W1" s="2" t="s">
        <v>58</v>
      </c>
      <c r="X1" s="2" t="s">
        <v>59</v>
      </c>
      <c r="Y1" s="2" t="s">
        <v>60</v>
      </c>
      <c r="Z1" s="2" t="s">
        <v>61</v>
      </c>
      <c r="AA1" s="2" t="s">
        <v>16</v>
      </c>
      <c r="AB1" s="2" t="s">
        <v>62</v>
      </c>
    </row>
    <row r="2" customFormat="false" ht="15" hidden="false" customHeight="false" outlineLevel="0" collapsed="false">
      <c r="A2" s="0" t="s">
        <v>63</v>
      </c>
      <c r="O2" s="0" t="n">
        <v>1297.4</v>
      </c>
      <c r="S2" s="0" t="n">
        <v>93</v>
      </c>
      <c r="AA2" s="0" t="s">
        <v>17</v>
      </c>
      <c r="AB2" s="0" t="s">
        <v>14</v>
      </c>
    </row>
    <row r="3" customFormat="false" ht="15" hidden="false" customHeight="false" outlineLevel="0" collapsed="false">
      <c r="A3" s="0" t="s">
        <v>64</v>
      </c>
      <c r="B3" s="0" t="n">
        <v>2853.3</v>
      </c>
      <c r="C3" s="0" t="n">
        <v>1568.7</v>
      </c>
      <c r="D3" s="0" t="n">
        <v>1284.6</v>
      </c>
      <c r="E3" s="0" t="n">
        <v>45.0215539901167</v>
      </c>
      <c r="F3" s="0" t="n">
        <v>388.8</v>
      </c>
      <c r="G3" s="0" t="n">
        <v>13.6263274103669</v>
      </c>
      <c r="I3" s="0" t="n">
        <v>243.6</v>
      </c>
      <c r="J3" s="0" t="n">
        <v>8.53748291452003</v>
      </c>
      <c r="K3" s="0" t="n">
        <v>4.12</v>
      </c>
      <c r="L3" s="0" t="n">
        <v>220.4</v>
      </c>
      <c r="O3" s="0" t="n">
        <v>1204.5</v>
      </c>
      <c r="S3" s="0" t="n">
        <v>115.8</v>
      </c>
      <c r="T3" s="0" t="n">
        <v>58.1</v>
      </c>
      <c r="U3" s="0" t="n">
        <v>13</v>
      </c>
      <c r="AA3" s="0" t="s">
        <v>17</v>
      </c>
      <c r="AB3" s="0" t="s">
        <v>14</v>
      </c>
    </row>
    <row r="4" customFormat="false" ht="15" hidden="false" customHeight="false" outlineLevel="0" collapsed="false">
      <c r="A4" s="0" t="s">
        <v>65</v>
      </c>
      <c r="B4" s="0" t="n">
        <v>2420.8</v>
      </c>
      <c r="C4" s="0" t="n">
        <v>1304.9</v>
      </c>
      <c r="D4" s="0" t="n">
        <v>1057.6</v>
      </c>
      <c r="E4" s="0" t="n">
        <v>43.6880370125578</v>
      </c>
      <c r="F4" s="0" t="n">
        <v>250.7</v>
      </c>
      <c r="G4" s="0" t="n">
        <v>10.356080634501</v>
      </c>
      <c r="H4" s="0" t="n">
        <v>325.3</v>
      </c>
      <c r="I4" s="0" t="n">
        <v>143.7</v>
      </c>
      <c r="J4" s="0" t="n">
        <v>5.93605419695968</v>
      </c>
      <c r="K4" s="0" t="n">
        <v>2.33</v>
      </c>
      <c r="L4" s="0" t="n">
        <v>347.1</v>
      </c>
      <c r="O4" s="0" t="n">
        <v>1305.6</v>
      </c>
      <c r="P4" s="0" t="n">
        <v>3447.4</v>
      </c>
      <c r="Q4" s="0" t="n">
        <v>2141.8</v>
      </c>
      <c r="R4" s="0" t="n">
        <v>902.1</v>
      </c>
      <c r="S4" s="0" t="n">
        <v>699.4</v>
      </c>
      <c r="T4" s="0" t="n">
        <v>57.9</v>
      </c>
      <c r="U4" s="0" t="n">
        <v>-3</v>
      </c>
      <c r="AA4" s="0" t="s">
        <v>17</v>
      </c>
      <c r="AB4" s="0" t="s">
        <v>14</v>
      </c>
    </row>
    <row r="5" customFormat="false" ht="15" hidden="false" customHeight="false" outlineLevel="0" collapsed="false">
      <c r="A5" s="0" t="s">
        <v>66</v>
      </c>
      <c r="B5" s="0" t="n">
        <v>2681.5</v>
      </c>
      <c r="C5" s="0" t="n">
        <v>1408.1</v>
      </c>
      <c r="D5" s="0" t="n">
        <v>1211.1</v>
      </c>
      <c r="E5" s="0" t="n">
        <v>45.1650195785941</v>
      </c>
      <c r="F5" s="0" t="n">
        <v>331.4</v>
      </c>
      <c r="G5" s="0" t="n">
        <v>12.3587544284915</v>
      </c>
      <c r="H5" s="0" t="n">
        <v>404.1</v>
      </c>
      <c r="I5" s="0" t="n">
        <v>193</v>
      </c>
      <c r="J5" s="0" t="n">
        <v>7.19746410591087</v>
      </c>
      <c r="K5" s="0" t="n">
        <v>3.22</v>
      </c>
      <c r="L5" s="0" t="n">
        <v>140.4</v>
      </c>
      <c r="O5" s="0" t="n">
        <v>1404.4</v>
      </c>
      <c r="P5" s="0" t="n">
        <v>3729.4</v>
      </c>
      <c r="Q5" s="0" t="n">
        <v>2325</v>
      </c>
      <c r="R5" s="0" t="n">
        <v>1170.8</v>
      </c>
      <c r="S5" s="0" t="n">
        <v>572.2</v>
      </c>
      <c r="T5" s="0" t="n">
        <v>58.4</v>
      </c>
      <c r="U5" s="0" t="n">
        <v>14.9</v>
      </c>
      <c r="AA5" s="0" t="s">
        <v>17</v>
      </c>
      <c r="AB5" s="0" t="s">
        <v>14</v>
      </c>
    </row>
    <row r="6" customFormat="false" ht="15" hidden="false" customHeight="false" outlineLevel="0" collapsed="false">
      <c r="A6" s="0" t="s">
        <v>67</v>
      </c>
      <c r="B6" s="0" t="n">
        <v>2978.5</v>
      </c>
      <c r="C6" s="0" t="n">
        <v>1516.3</v>
      </c>
      <c r="D6" s="0" t="n">
        <v>1337.9</v>
      </c>
      <c r="E6" s="0" t="n">
        <v>44.9185831794528</v>
      </c>
      <c r="F6" s="0" t="n">
        <v>475.1</v>
      </c>
      <c r="G6" s="0" t="n">
        <v>15.9509820379386</v>
      </c>
      <c r="H6" s="0" t="n">
        <v>549.7</v>
      </c>
      <c r="I6" s="0" t="n">
        <v>283.8</v>
      </c>
      <c r="J6" s="0" t="n">
        <v>9.52828605002518</v>
      </c>
      <c r="K6" s="0" t="n">
        <v>4.75</v>
      </c>
      <c r="L6" s="0" t="n">
        <v>128.5</v>
      </c>
      <c r="O6" s="0" t="n">
        <v>1547.3</v>
      </c>
      <c r="P6" s="0" t="n">
        <v>3672.9</v>
      </c>
      <c r="Q6" s="0" t="n">
        <v>2125.6</v>
      </c>
      <c r="R6" s="0" t="n">
        <v>984.1</v>
      </c>
      <c r="S6" s="0" t="n">
        <v>185.6</v>
      </c>
      <c r="T6" s="0" t="n">
        <v>58.7</v>
      </c>
      <c r="U6" s="0" t="n">
        <v>20.3</v>
      </c>
      <c r="V6" s="0" t="n">
        <v>1.3</v>
      </c>
      <c r="AA6" s="0" t="s">
        <v>17</v>
      </c>
      <c r="AB6" s="0" t="s">
        <v>14</v>
      </c>
    </row>
    <row r="7" customFormat="false" ht="15" hidden="false" customHeight="false" outlineLevel="0" collapsed="false">
      <c r="A7" s="0" t="s">
        <v>68</v>
      </c>
      <c r="B7" s="0" t="n">
        <v>3099.2</v>
      </c>
      <c r="C7" s="0" t="n">
        <v>1547.9</v>
      </c>
      <c r="D7" s="0" t="n">
        <v>1390</v>
      </c>
      <c r="E7" s="0" t="n">
        <v>44.8502839442437</v>
      </c>
      <c r="F7" s="0" t="n">
        <v>516.4</v>
      </c>
      <c r="G7" s="0" t="n">
        <v>16.6623644811564</v>
      </c>
      <c r="H7" s="0" t="n">
        <v>593.1</v>
      </c>
      <c r="I7" s="0" t="n">
        <v>314.6</v>
      </c>
      <c r="J7" s="0" t="n">
        <v>10.1510067114094</v>
      </c>
      <c r="K7" s="0" t="n">
        <v>5.26</v>
      </c>
      <c r="L7" s="0" t="n">
        <v>329.3</v>
      </c>
      <c r="O7" s="0" t="n">
        <v>1819</v>
      </c>
      <c r="P7" s="0" t="n">
        <v>3902.3</v>
      </c>
      <c r="Q7" s="0" t="n">
        <v>2083.3</v>
      </c>
      <c r="R7" s="0" t="n">
        <v>975.6</v>
      </c>
      <c r="S7" s="0" t="n">
        <v>214.5</v>
      </c>
      <c r="T7" s="0" t="n">
        <v>58.9</v>
      </c>
      <c r="U7" s="0" t="n">
        <v>32.1</v>
      </c>
      <c r="V7" s="0" t="n">
        <v>1.4</v>
      </c>
      <c r="AA7" s="0" t="s">
        <v>17</v>
      </c>
      <c r="AB7" s="0" t="s">
        <v>14</v>
      </c>
    </row>
    <row r="8" customFormat="false" ht="15" hidden="false" customHeight="false" outlineLevel="0" collapsed="false">
      <c r="A8" s="0" t="s">
        <v>69</v>
      </c>
      <c r="B8" s="0" t="n">
        <v>3237.5</v>
      </c>
      <c r="C8" s="0" t="n">
        <v>1583.6</v>
      </c>
      <c r="D8" s="0" t="n">
        <v>1472.9</v>
      </c>
      <c r="E8" s="0" t="n">
        <v>45.4949806949807</v>
      </c>
      <c r="F8" s="0" t="n">
        <v>586.2</v>
      </c>
      <c r="G8" s="0" t="n">
        <v>18.1065637065637</v>
      </c>
      <c r="H8" s="0" t="n">
        <v>662.9</v>
      </c>
      <c r="I8" s="0" t="n">
        <v>359.7</v>
      </c>
      <c r="J8" s="0" t="n">
        <v>11.1104247104247</v>
      </c>
      <c r="K8" s="0" t="n">
        <v>6.02</v>
      </c>
      <c r="L8" s="0" t="n">
        <v>392.6</v>
      </c>
      <c r="O8" s="0" t="n">
        <v>2130.4</v>
      </c>
      <c r="P8" s="0" t="n">
        <v>4110</v>
      </c>
      <c r="Q8" s="0" t="n">
        <v>1979.6</v>
      </c>
      <c r="R8" s="0" t="n">
        <v>972</v>
      </c>
      <c r="S8" s="0" t="n">
        <v>217.6</v>
      </c>
      <c r="T8" s="0" t="n">
        <v>59.1</v>
      </c>
      <c r="U8" s="0" t="n">
        <v>38.5</v>
      </c>
      <c r="V8" s="0" t="n">
        <v>1.58</v>
      </c>
      <c r="AA8" s="0" t="s">
        <v>17</v>
      </c>
      <c r="AB8" s="0" t="s">
        <v>14</v>
      </c>
    </row>
    <row r="9" customFormat="false" ht="15" hidden="false" customHeight="false" outlineLevel="0" collapsed="false">
      <c r="A9" s="0" t="s">
        <v>70</v>
      </c>
      <c r="B9" s="0" t="n">
        <v>3492.6</v>
      </c>
      <c r="C9" s="0" t="n">
        <v>1693.4</v>
      </c>
      <c r="D9" s="0" t="n">
        <v>1584.3</v>
      </c>
      <c r="E9" s="0" t="n">
        <v>45.3616217144821</v>
      </c>
      <c r="F9" s="0" t="n">
        <v>684.7</v>
      </c>
      <c r="G9" s="0" t="n">
        <v>19.6043062474947</v>
      </c>
      <c r="H9" s="0" t="n">
        <v>764.2</v>
      </c>
      <c r="I9" s="0" t="n">
        <v>432.1</v>
      </c>
      <c r="J9" s="0" t="n">
        <v>12.3718719578538</v>
      </c>
      <c r="K9" s="0" t="n">
        <v>7.26</v>
      </c>
      <c r="O9" s="0" t="n">
        <v>2225.3</v>
      </c>
      <c r="P9" s="0" t="n">
        <v>4310.1</v>
      </c>
      <c r="Q9" s="0" t="n">
        <v>2084.8</v>
      </c>
      <c r="R9" s="0" t="n">
        <v>919.3</v>
      </c>
      <c r="S9" s="0" t="n">
        <v>132.9</v>
      </c>
      <c r="T9" s="0" t="n">
        <v>59.1</v>
      </c>
      <c r="U9" s="0" t="n">
        <v>38.1</v>
      </c>
      <c r="V9" s="0" t="n">
        <v>1.85</v>
      </c>
      <c r="AA9" s="0" t="s">
        <v>17</v>
      </c>
      <c r="AB9" s="0" t="s">
        <v>14</v>
      </c>
    </row>
    <row r="10" customFormat="false" ht="15" hidden="false" customHeight="false" outlineLevel="0" collapsed="false">
      <c r="A10" s="0" t="s">
        <v>71</v>
      </c>
      <c r="B10" s="0" t="n">
        <v>3593.1</v>
      </c>
      <c r="C10" s="0" t="n">
        <v>1704.5</v>
      </c>
      <c r="D10" s="0" t="n">
        <v>1648.3</v>
      </c>
      <c r="E10" s="0" t="n">
        <v>45.8740363474437</v>
      </c>
      <c r="F10" s="0" t="n">
        <v>764.8</v>
      </c>
      <c r="G10" s="0" t="n">
        <v>21.2852411566614</v>
      </c>
      <c r="H10" s="0" t="n">
        <v>847.3</v>
      </c>
      <c r="I10" s="0" t="n">
        <v>490.6</v>
      </c>
      <c r="J10" s="0" t="n">
        <v>13.6539478444797</v>
      </c>
      <c r="K10" s="0" t="n">
        <v>8.24</v>
      </c>
      <c r="O10" s="0" t="n">
        <v>2430.7</v>
      </c>
      <c r="P10" s="0" t="n">
        <v>4331.1</v>
      </c>
      <c r="Q10" s="0" t="n">
        <v>1900.4</v>
      </c>
      <c r="R10" s="0" t="n">
        <v>861.7</v>
      </c>
      <c r="S10" s="0" t="n">
        <v>92.8</v>
      </c>
      <c r="T10" s="0" t="n">
        <v>59.1</v>
      </c>
      <c r="U10" s="0" t="n">
        <v>39.8</v>
      </c>
      <c r="V10" s="0" t="n">
        <v>2.2</v>
      </c>
      <c r="AA10" s="0" t="s">
        <v>17</v>
      </c>
      <c r="AB10" s="0" t="s">
        <v>14</v>
      </c>
    </row>
    <row r="11" customFormat="false" ht="15" hidden="false" customHeight="false" outlineLevel="0" collapsed="false">
      <c r="A11" s="0" t="s">
        <v>72</v>
      </c>
      <c r="B11" s="0" t="n">
        <v>3711.8</v>
      </c>
      <c r="C11" s="0" t="n">
        <v>1720.8</v>
      </c>
      <c r="D11" s="0" t="n">
        <v>1709.6</v>
      </c>
      <c r="E11" s="0" t="n">
        <v>46.0585160838407</v>
      </c>
      <c r="F11" s="0" t="n">
        <v>861.1</v>
      </c>
      <c r="G11" s="0" t="n">
        <v>23.1989870143866</v>
      </c>
      <c r="H11" s="0" t="n">
        <v>946.7</v>
      </c>
      <c r="I11" s="0" t="n">
        <v>559.6</v>
      </c>
      <c r="J11" s="0" t="n">
        <v>15.0762433320761</v>
      </c>
      <c r="K11" s="0" t="n">
        <v>9.4</v>
      </c>
      <c r="L11" s="0" t="n">
        <v>576.1</v>
      </c>
      <c r="O11" s="0" t="n">
        <v>2635.2</v>
      </c>
      <c r="P11" s="0" t="n">
        <v>4723.2</v>
      </c>
      <c r="Q11" s="0" t="n">
        <v>2088</v>
      </c>
      <c r="R11" s="0" t="n">
        <v>858.8</v>
      </c>
      <c r="S11" s="0" t="n">
        <v>77.6</v>
      </c>
      <c r="T11" s="0" t="n">
        <v>59.4</v>
      </c>
      <c r="U11" s="0" t="n">
        <v>31</v>
      </c>
      <c r="V11" s="0" t="n">
        <v>2.54</v>
      </c>
      <c r="AA11" s="0" t="s">
        <v>17</v>
      </c>
      <c r="AB11" s="0" t="s">
        <v>14</v>
      </c>
    </row>
    <row r="12" customFormat="false" ht="15" hidden="false" customHeight="false" outlineLevel="0" collapsed="false">
      <c r="A12" s="0" t="s">
        <v>73</v>
      </c>
      <c r="B12" s="0" t="n">
        <v>4000.3</v>
      </c>
      <c r="C12" s="0" t="n">
        <v>1862</v>
      </c>
      <c r="D12" s="0" t="n">
        <v>1824.9</v>
      </c>
      <c r="E12" s="0" t="n">
        <v>45.6190785691073</v>
      </c>
      <c r="F12" s="0" t="n">
        <v>882.1</v>
      </c>
      <c r="G12" s="0" t="n">
        <v>22.050846186536</v>
      </c>
      <c r="H12" s="0" t="n">
        <v>975.3</v>
      </c>
      <c r="I12" s="0" t="n">
        <v>572.2</v>
      </c>
      <c r="J12" s="0" t="n">
        <v>14.3039272054596</v>
      </c>
      <c r="K12" s="0" t="n">
        <v>9.72</v>
      </c>
      <c r="L12" s="0" t="n">
        <v>608.5</v>
      </c>
      <c r="O12" s="0" t="n">
        <v>2972.3</v>
      </c>
      <c r="P12" s="0" t="n">
        <v>5249.1</v>
      </c>
      <c r="Q12" s="0" t="n">
        <v>2276.8</v>
      </c>
      <c r="R12" s="0" t="n">
        <v>1003.6</v>
      </c>
      <c r="S12" s="0" t="n">
        <v>92</v>
      </c>
      <c r="T12" s="0" t="n">
        <v>58.6</v>
      </c>
      <c r="U12" s="0" t="n">
        <v>30.3</v>
      </c>
      <c r="V12" s="0" t="n">
        <v>2.95</v>
      </c>
      <c r="AA12" s="0" t="s">
        <v>17</v>
      </c>
      <c r="AB12" s="0" t="s">
        <v>14</v>
      </c>
    </row>
    <row r="13" customFormat="false" ht="15" hidden="false" customHeight="false" outlineLevel="0" collapsed="false">
      <c r="A13" s="0" t="s">
        <v>74</v>
      </c>
      <c r="B13" s="0" t="n">
        <v>4070.4</v>
      </c>
      <c r="F13" s="0" t="n">
        <v>956.1</v>
      </c>
      <c r="G13" s="0" t="n">
        <v>23.4890919811321</v>
      </c>
      <c r="H13" s="0" t="n">
        <v>1050.2</v>
      </c>
      <c r="I13" s="0" t="n">
        <v>696.2</v>
      </c>
      <c r="J13" s="0" t="n">
        <v>17.1039701257862</v>
      </c>
      <c r="K13" s="0" t="n">
        <v>12.08</v>
      </c>
      <c r="L13" s="0" t="n">
        <v>764.5</v>
      </c>
      <c r="O13" s="0" t="n">
        <v>3118.6</v>
      </c>
      <c r="P13" s="0" t="n">
        <v>5373.1</v>
      </c>
      <c r="Q13" s="0" t="n">
        <v>2254.5</v>
      </c>
      <c r="R13" s="0" t="n">
        <v>946</v>
      </c>
      <c r="S13" s="0" t="n">
        <v>140.9</v>
      </c>
      <c r="T13" s="0" t="n">
        <v>57.3</v>
      </c>
      <c r="U13" s="0" t="n">
        <v>27.2</v>
      </c>
      <c r="V13" s="0" t="n">
        <v>3.41</v>
      </c>
      <c r="AA13" s="0" t="s">
        <v>17</v>
      </c>
      <c r="AB13" s="0" t="s">
        <v>14</v>
      </c>
    </row>
    <row r="14" customFormat="false" ht="15" hidden="false" customHeight="false" outlineLevel="0" collapsed="false">
      <c r="A14" s="0" t="s">
        <v>75</v>
      </c>
      <c r="B14" s="0" t="n">
        <v>4067.7</v>
      </c>
      <c r="F14" s="0" t="n">
        <v>962.3</v>
      </c>
      <c r="G14" s="0" t="n">
        <v>23.6571035228753</v>
      </c>
      <c r="H14" s="0" t="n">
        <v>1054.7</v>
      </c>
      <c r="I14" s="0" t="n">
        <v>711.2</v>
      </c>
      <c r="J14" s="0" t="n">
        <v>17.4840819136121</v>
      </c>
      <c r="K14" s="0" t="n">
        <v>12.59</v>
      </c>
      <c r="L14" s="0" t="n">
        <v>674.6</v>
      </c>
      <c r="O14" s="0" t="n">
        <v>3430.8</v>
      </c>
      <c r="P14" s="0" t="n">
        <v>5693.5</v>
      </c>
      <c r="Q14" s="0" t="n">
        <v>2262.7</v>
      </c>
      <c r="R14" s="0" t="n">
        <v>1149.8</v>
      </c>
      <c r="S14" s="0" t="n">
        <v>184.5</v>
      </c>
      <c r="T14" s="0" t="n">
        <v>55.9</v>
      </c>
      <c r="U14" s="0" t="n">
        <v>23.8</v>
      </c>
      <c r="V14" s="0" t="n">
        <v>3.93</v>
      </c>
      <c r="AA14" s="0" t="s">
        <v>17</v>
      </c>
      <c r="AB14" s="0" t="s">
        <v>14</v>
      </c>
    </row>
    <row r="15" customFormat="false" ht="15" hidden="false" customHeight="false" outlineLevel="0" collapsed="false">
      <c r="A15" s="0" t="s">
        <v>76</v>
      </c>
      <c r="B15" s="0" t="n">
        <v>3942.2</v>
      </c>
      <c r="F15" s="0" t="n">
        <v>880.5</v>
      </c>
      <c r="G15" s="0" t="n">
        <v>22.3352442798437</v>
      </c>
      <c r="H15" s="0" t="n">
        <v>977.2</v>
      </c>
      <c r="I15" s="0" t="n">
        <v>646.4</v>
      </c>
      <c r="J15" s="0" t="n">
        <v>16.3969357211709</v>
      </c>
      <c r="K15" s="0" t="n">
        <v>11.55</v>
      </c>
      <c r="L15" s="0" t="n">
        <v>1008.6</v>
      </c>
      <c r="O15" s="0" t="n">
        <v>3846.6</v>
      </c>
      <c r="P15" s="0" t="n">
        <v>6557.3</v>
      </c>
      <c r="Q15" s="0" t="n">
        <v>2710.7</v>
      </c>
      <c r="R15" s="0" t="n">
        <v>1450.6</v>
      </c>
      <c r="S15" s="0" t="n">
        <v>923.4</v>
      </c>
      <c r="T15" s="0" t="n">
        <v>54.8</v>
      </c>
      <c r="U15" s="0" t="n">
        <v>19.5</v>
      </c>
      <c r="V15" s="0" t="n">
        <v>4.47</v>
      </c>
      <c r="AA15" s="0" t="s">
        <v>17</v>
      </c>
      <c r="AB15" s="0" t="s">
        <v>14</v>
      </c>
    </row>
    <row r="16" customFormat="false" ht="15" hidden="false" customHeight="false" outlineLevel="0" collapsed="false">
      <c r="A16" s="0" t="s">
        <v>77</v>
      </c>
      <c r="B16" s="0" t="n">
        <v>4601.7</v>
      </c>
      <c r="F16" s="0" t="n">
        <v>1123.5</v>
      </c>
      <c r="G16" s="0" t="n">
        <v>24.4148901492927</v>
      </c>
      <c r="H16" s="0" t="n">
        <v>1228.3</v>
      </c>
      <c r="I16" s="0" t="n">
        <v>841.4</v>
      </c>
      <c r="J16" s="0" t="n">
        <v>18.2845470152335</v>
      </c>
      <c r="K16" s="0" t="n">
        <v>15.22</v>
      </c>
      <c r="L16" s="0" t="n">
        <v>966.6</v>
      </c>
      <c r="O16" s="0" t="n">
        <v>4203.8</v>
      </c>
      <c r="P16" s="0" t="n">
        <v>6759.7</v>
      </c>
      <c r="Q16" s="0" t="n">
        <v>2555.9</v>
      </c>
      <c r="R16" s="0" t="n">
        <v>1200.3</v>
      </c>
      <c r="S16" s="0" t="n">
        <v>780</v>
      </c>
      <c r="T16" s="0" t="n">
        <v>55</v>
      </c>
      <c r="U16" s="0" t="n">
        <v>41.4</v>
      </c>
      <c r="V16" s="0" t="n">
        <v>5.11</v>
      </c>
      <c r="AA16" s="0" t="s">
        <v>17</v>
      </c>
      <c r="AB16" s="0" t="s">
        <v>14</v>
      </c>
    </row>
    <row r="17" customFormat="false" ht="15" hidden="false" customHeight="false" outlineLevel="0" collapsed="false">
      <c r="A17" s="0" t="s">
        <v>78</v>
      </c>
      <c r="B17" s="0" t="n">
        <v>4842.5</v>
      </c>
      <c r="F17" s="0" t="n">
        <v>1207.2</v>
      </c>
      <c r="G17" s="0" t="n">
        <v>24.9292720702117</v>
      </c>
      <c r="H17" s="0" t="n">
        <v>1307.4</v>
      </c>
      <c r="I17" s="0" t="n">
        <v>933.9</v>
      </c>
      <c r="J17" s="0" t="n">
        <v>19.2854930304595</v>
      </c>
      <c r="K17" s="0" t="n">
        <v>17.14</v>
      </c>
      <c r="L17" s="0" t="n">
        <v>675.2</v>
      </c>
      <c r="O17" s="0" t="n">
        <v>4503.5</v>
      </c>
      <c r="P17" s="0" t="n">
        <v>6972.8</v>
      </c>
      <c r="Q17" s="0" t="n">
        <v>2469.3</v>
      </c>
      <c r="R17" s="0" t="n">
        <v>1183.8</v>
      </c>
      <c r="S17" s="0" t="n">
        <v>757.2</v>
      </c>
      <c r="T17" s="0" t="n">
        <v>54.2</v>
      </c>
      <c r="U17" s="0" t="n">
        <v>34</v>
      </c>
      <c r="V17" s="0" t="n">
        <v>5.88</v>
      </c>
      <c r="AA17" s="0" t="s">
        <v>17</v>
      </c>
      <c r="AB17" s="0" t="s">
        <v>14</v>
      </c>
    </row>
    <row r="18" customFormat="false" ht="15" hidden="false" customHeight="false" outlineLevel="0" collapsed="false">
      <c r="A18" s="0" t="s">
        <v>79</v>
      </c>
      <c r="B18" s="0" t="n">
        <v>5108.3</v>
      </c>
      <c r="F18" s="0" t="n">
        <v>1310.4</v>
      </c>
      <c r="G18" s="0" t="n">
        <v>25.6523696728853</v>
      </c>
      <c r="H18" s="0" t="n">
        <v>1409.7</v>
      </c>
      <c r="I18" s="0" t="n">
        <v>1034.6</v>
      </c>
      <c r="J18" s="0" t="n">
        <v>20.2533132353229</v>
      </c>
      <c r="K18" s="0" t="n">
        <v>19.11</v>
      </c>
      <c r="L18" s="0" t="n">
        <v>1154.2</v>
      </c>
      <c r="O18" s="0" t="n">
        <v>5093.4</v>
      </c>
      <c r="P18" s="0" t="n">
        <v>7544.9</v>
      </c>
      <c r="Q18" s="0" t="n">
        <v>2451.5</v>
      </c>
      <c r="R18" s="0" t="n">
        <v>1184.6</v>
      </c>
      <c r="S18" s="0" t="n">
        <v>1001.5</v>
      </c>
      <c r="T18" s="0" t="n">
        <v>53.9</v>
      </c>
      <c r="U18" s="0" t="n">
        <v>44.7</v>
      </c>
      <c r="V18" s="0" t="n">
        <v>6.72</v>
      </c>
      <c r="AA18" s="0" t="s">
        <v>17</v>
      </c>
      <c r="AB18" s="0" t="s">
        <v>14</v>
      </c>
    </row>
    <row r="19" customFormat="false" ht="15" hidden="false" customHeight="false" outlineLevel="0" collapsed="false">
      <c r="A19" s="0" t="s">
        <v>80</v>
      </c>
      <c r="B19" s="0" t="n">
        <v>5108.4</v>
      </c>
      <c r="F19" s="0" t="n">
        <v>1345.7</v>
      </c>
      <c r="G19" s="0" t="n">
        <v>26.3428862266072</v>
      </c>
      <c r="H19" s="0" t="n">
        <v>1443.7</v>
      </c>
      <c r="I19" s="0" t="n">
        <v>1068.9</v>
      </c>
      <c r="J19" s="0" t="n">
        <v>20.9243598778483</v>
      </c>
      <c r="K19" s="0" t="n">
        <v>19.85</v>
      </c>
      <c r="L19" s="0" t="n">
        <v>1217.5</v>
      </c>
      <c r="O19" s="0" t="n">
        <v>5417</v>
      </c>
      <c r="P19" s="0" t="n">
        <v>7896.8</v>
      </c>
      <c r="Q19" s="0" t="n">
        <v>2479.8</v>
      </c>
      <c r="R19" s="0" t="n">
        <v>1199.2</v>
      </c>
      <c r="S19" s="0" t="n">
        <v>1360.5</v>
      </c>
      <c r="T19" s="0" t="n">
        <v>53.5</v>
      </c>
      <c r="U19" s="0" t="n">
        <v>28.6</v>
      </c>
      <c r="V19" s="0" t="n">
        <v>7.72</v>
      </c>
      <c r="AA19" s="0" t="s">
        <v>17</v>
      </c>
      <c r="AB19" s="0" t="s">
        <v>14</v>
      </c>
    </row>
    <row r="20" customFormat="false" ht="15" hidden="false" customHeight="false" outlineLevel="0" collapsed="false">
      <c r="A20" s="0" t="s">
        <v>81</v>
      </c>
      <c r="B20" s="0" t="n">
        <v>5156.1</v>
      </c>
      <c r="F20" s="0" t="n">
        <v>1327.7</v>
      </c>
      <c r="G20" s="0" t="n">
        <v>25.7500824266403</v>
      </c>
      <c r="H20" s="0" t="n">
        <v>1426.2</v>
      </c>
      <c r="I20" s="0" t="n">
        <v>1042.3</v>
      </c>
      <c r="J20" s="0" t="n">
        <v>20.2148910998623</v>
      </c>
      <c r="K20" s="0" t="n">
        <v>19.52</v>
      </c>
      <c r="L20" s="0" t="n">
        <v>1081.7</v>
      </c>
      <c r="O20" s="0" t="n">
        <v>5956.8</v>
      </c>
      <c r="P20" s="0" t="n">
        <v>8412.3</v>
      </c>
      <c r="Q20" s="0" t="n">
        <v>2455.5</v>
      </c>
      <c r="R20" s="0" t="n">
        <v>1202.6</v>
      </c>
      <c r="S20" s="0" t="n">
        <v>1624.5</v>
      </c>
      <c r="T20" s="0" t="n">
        <v>53</v>
      </c>
      <c r="U20" s="0" t="n">
        <v>28.9</v>
      </c>
      <c r="V20" s="0" t="n">
        <v>8.86</v>
      </c>
      <c r="AA20" s="0" t="s">
        <v>17</v>
      </c>
      <c r="AB20" s="0" t="s">
        <v>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</cols>
  <sheetData>
    <row r="1" customFormat="false" ht="15" hidden="false" customHeight="false" outlineLevel="0" collapsed="false">
      <c r="A1" s="2" t="s">
        <v>82</v>
      </c>
      <c r="B1" s="2" t="s">
        <v>83</v>
      </c>
    </row>
    <row r="2" customFormat="false" ht="15" hidden="false" customHeight="false" outlineLevel="0" collapsed="false">
      <c r="A2" s="0" t="s">
        <v>84</v>
      </c>
      <c r="B2" s="3" t="n">
        <v>367.72</v>
      </c>
    </row>
    <row r="3" customFormat="false" ht="15" hidden="false" customHeight="false" outlineLevel="0" collapsed="false">
      <c r="A3" s="0" t="s">
        <v>85</v>
      </c>
      <c r="B3" s="3" t="n">
        <v>52.5</v>
      </c>
    </row>
    <row r="4" customFormat="false" ht="15" hidden="false" customHeight="false" outlineLevel="0" collapsed="false">
      <c r="A4" s="0" t="s">
        <v>86</v>
      </c>
      <c r="B4" s="3" t="n">
        <v>-440.7</v>
      </c>
    </row>
    <row r="5" customFormat="false" ht="15" hidden="false" customHeight="false" outlineLevel="0" collapsed="false">
      <c r="A5" s="0" t="s">
        <v>87</v>
      </c>
      <c r="B5" s="3" t="n">
        <v>-73.6</v>
      </c>
    </row>
    <row r="6" customFormat="false" ht="15" hidden="false" customHeight="false" outlineLevel="0" collapsed="false">
      <c r="A6" s="0" t="s">
        <v>88</v>
      </c>
      <c r="B6" s="3" t="n">
        <v>15</v>
      </c>
    </row>
    <row r="7" customFormat="false" ht="15" hidden="false" customHeight="false" outlineLevel="0" collapsed="false">
      <c r="A7" s="0" t="s">
        <v>89</v>
      </c>
      <c r="B7" s="3" t="n">
        <v>5156.1</v>
      </c>
    </row>
    <row r="8" customFormat="false" ht="15" hidden="false" customHeight="false" outlineLevel="0" collapsed="false">
      <c r="A8" s="0" t="s">
        <v>90</v>
      </c>
      <c r="B8" s="3" t="s">
        <v>81</v>
      </c>
    </row>
    <row r="9" customFormat="false" ht="15" hidden="false" customHeight="false" outlineLevel="0" collapsed="false">
      <c r="A9" s="0" t="s">
        <v>91</v>
      </c>
      <c r="B9" s="3" t="s">
        <v>92</v>
      </c>
    </row>
    <row r="10" customFormat="false" ht="15" hidden="false" customHeight="false" outlineLevel="0" collapsed="false">
      <c r="A10" s="0" t="s">
        <v>93</v>
      </c>
      <c r="B10" s="3" t="n">
        <v>1</v>
      </c>
    </row>
    <row r="12" customFormat="false" ht="15" hidden="false" customHeight="false" outlineLevel="0" collapsed="false">
      <c r="A12" s="2" t="s">
        <v>94</v>
      </c>
      <c r="C12" s="2" t="s">
        <v>95</v>
      </c>
      <c r="D12" s="2" t="s">
        <v>96</v>
      </c>
      <c r="E12" s="2" t="s">
        <v>97</v>
      </c>
      <c r="F12" s="2" t="s">
        <v>98</v>
      </c>
      <c r="G12" s="2" t="s">
        <v>99</v>
      </c>
      <c r="H12" s="2" t="s">
        <v>100</v>
      </c>
      <c r="I12" s="2" t="s">
        <v>101</v>
      </c>
      <c r="J12" s="2" t="s">
        <v>102</v>
      </c>
      <c r="K12" s="2" t="s">
        <v>103</v>
      </c>
      <c r="L12" s="2" t="s">
        <v>104</v>
      </c>
    </row>
    <row r="13" customFormat="false" ht="15" hidden="false" customHeight="false" outlineLevel="0" collapsed="false">
      <c r="A13" s="0" t="s">
        <v>105</v>
      </c>
      <c r="C13" s="3" t="n">
        <v>3.5</v>
      </c>
      <c r="D13" s="3" t="n">
        <v>-4</v>
      </c>
      <c r="E13" s="3" t="n">
        <v>0</v>
      </c>
      <c r="F13" s="3" t="n">
        <v>3</v>
      </c>
      <c r="G13" s="3" t="n">
        <v>3</v>
      </c>
      <c r="H13" s="3" t="n">
        <v>2.5</v>
      </c>
      <c r="I13" s="3" t="n">
        <v>2.5</v>
      </c>
      <c r="J13" s="3" t="n">
        <v>2</v>
      </c>
      <c r="K13" s="3" t="n">
        <v>2</v>
      </c>
      <c r="L13" s="3" t="n">
        <v>2</v>
      </c>
    </row>
    <row r="14" customFormat="false" ht="15" hidden="false" customHeight="false" outlineLevel="0" collapsed="false">
      <c r="A14" s="0" t="s">
        <v>106</v>
      </c>
      <c r="C14" s="3" t="n">
        <v>28</v>
      </c>
      <c r="D14" s="3" t="n">
        <v>26</v>
      </c>
      <c r="E14" s="3" t="n">
        <v>26.5</v>
      </c>
      <c r="F14" s="3" t="n">
        <v>27</v>
      </c>
      <c r="G14" s="3" t="n">
        <v>27.2</v>
      </c>
      <c r="H14" s="3" t="n">
        <v>27.3</v>
      </c>
      <c r="I14" s="3" t="n">
        <v>27.3</v>
      </c>
      <c r="J14" s="3" t="n">
        <v>27.3</v>
      </c>
      <c r="K14" s="3" t="n">
        <v>27.3</v>
      </c>
      <c r="L14" s="3" t="n">
        <v>27.3</v>
      </c>
    </row>
    <row r="15" customFormat="false" ht="15" hidden="false" customHeight="false" outlineLevel="0" collapsed="false">
      <c r="A15" s="0" t="s">
        <v>107</v>
      </c>
      <c r="C15" s="3" t="n">
        <v>0.6</v>
      </c>
      <c r="D15" s="3" t="n">
        <v>0.6</v>
      </c>
      <c r="E15" s="3" t="n">
        <v>0.6</v>
      </c>
      <c r="F15" s="3" t="n">
        <v>0.6</v>
      </c>
      <c r="G15" s="3" t="n">
        <v>0.6</v>
      </c>
      <c r="H15" s="3" t="n">
        <v>0.6</v>
      </c>
      <c r="I15" s="3" t="n">
        <v>0.6</v>
      </c>
      <c r="J15" s="3" t="n">
        <v>0.6</v>
      </c>
      <c r="K15" s="3" t="n">
        <v>0.6</v>
      </c>
      <c r="L15" s="3" t="n">
        <v>0.6</v>
      </c>
    </row>
    <row r="16" customFormat="false" ht="15" hidden="false" customHeight="false" outlineLevel="0" collapsed="false">
      <c r="A16" s="0" t="s">
        <v>108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</row>
    <row r="17" customFormat="false" ht="15" hidden="false" customHeight="false" outlineLevel="0" collapsed="false">
      <c r="A17" s="0" t="s">
        <v>109</v>
      </c>
      <c r="C17" s="3" t="n">
        <v>1.9</v>
      </c>
      <c r="D17" s="3" t="n">
        <v>1.9</v>
      </c>
      <c r="E17" s="3" t="n">
        <v>1.9</v>
      </c>
      <c r="F17" s="3" t="n">
        <v>1.9</v>
      </c>
      <c r="G17" s="3" t="n">
        <v>1.9</v>
      </c>
      <c r="H17" s="3" t="n">
        <v>1.9</v>
      </c>
      <c r="I17" s="3" t="n">
        <v>1.9</v>
      </c>
      <c r="J17" s="3" t="n">
        <v>1.9</v>
      </c>
      <c r="K17" s="3" t="n">
        <v>1.9</v>
      </c>
      <c r="L17" s="3" t="n">
        <v>1.9</v>
      </c>
    </row>
    <row r="18" customFormat="false" ht="15" hidden="false" customHeight="false" outlineLevel="0" collapsed="false">
      <c r="A18" s="0" t="s">
        <v>110</v>
      </c>
      <c r="C18" s="3" t="n">
        <v>1.9</v>
      </c>
      <c r="D18" s="3" t="n">
        <v>1.9</v>
      </c>
      <c r="E18" s="3" t="n">
        <v>1.85</v>
      </c>
      <c r="F18" s="3" t="n">
        <v>1.8</v>
      </c>
      <c r="G18" s="3" t="n">
        <v>1.8</v>
      </c>
      <c r="H18" s="3" t="n">
        <v>1.8</v>
      </c>
      <c r="I18" s="3" t="n">
        <v>1.8</v>
      </c>
      <c r="J18" s="3" t="n">
        <v>1.8</v>
      </c>
      <c r="K18" s="3" t="n">
        <v>1.8</v>
      </c>
      <c r="L18" s="3" t="n">
        <v>1.8</v>
      </c>
    </row>
    <row r="19" customFormat="false" ht="15" hidden="false" customHeight="false" outlineLevel="0" collapsed="false">
      <c r="A19" s="0" t="s">
        <v>111</v>
      </c>
      <c r="C19" s="3" t="n">
        <v>25</v>
      </c>
      <c r="D19" s="3" t="n">
        <v>25</v>
      </c>
      <c r="E19" s="3" t="n">
        <v>25</v>
      </c>
      <c r="F19" s="3" t="n">
        <v>25</v>
      </c>
      <c r="G19" s="3" t="n">
        <v>25</v>
      </c>
      <c r="H19" s="3" t="n">
        <v>25</v>
      </c>
      <c r="I19" s="3" t="n">
        <v>25</v>
      </c>
      <c r="J19" s="3" t="n">
        <v>25</v>
      </c>
      <c r="K19" s="3" t="n">
        <v>25</v>
      </c>
      <c r="L19" s="3" t="n">
        <v>25</v>
      </c>
    </row>
    <row r="20" customFormat="false" ht="15" hidden="false" customHeight="false" outlineLevel="0" collapsed="false">
      <c r="A20" s="0" t="s">
        <v>112</v>
      </c>
      <c r="B20" s="3" t="n">
        <v>8.5</v>
      </c>
    </row>
    <row r="21" customFormat="false" ht="15" hidden="false" customHeight="false" outlineLevel="0" collapsed="false">
      <c r="A21" s="0" t="s">
        <v>113</v>
      </c>
      <c r="B21" s="3" t="n">
        <v>2</v>
      </c>
    </row>
    <row r="22" customFormat="false" ht="15" hidden="false" customHeight="false" outlineLevel="0" collapsed="false">
      <c r="A22" s="0" t="s">
        <v>114</v>
      </c>
      <c r="B22" s="3" t="n">
        <v>14</v>
      </c>
    </row>
    <row r="23" customFormat="false" ht="15" hidden="false" customHeight="false" outlineLevel="0" collapsed="false">
      <c r="A23" s="0" t="s">
        <v>115</v>
      </c>
      <c r="B23" s="3" t="n">
        <v>-60</v>
      </c>
    </row>
    <row r="24" customFormat="false" ht="15" hidden="false" customHeight="false" outlineLevel="0" collapsed="false">
      <c r="A24" s="0" t="s">
        <v>116</v>
      </c>
      <c r="B24" s="3" t="n">
        <v>0.2</v>
      </c>
    </row>
    <row r="26" customFormat="false" ht="15" hidden="false" customHeight="false" outlineLevel="0" collapsed="false">
      <c r="A26" s="2" t="s">
        <v>117</v>
      </c>
      <c r="C26" s="2" t="s">
        <v>95</v>
      </c>
      <c r="D26" s="2" t="s">
        <v>96</v>
      </c>
      <c r="E26" s="2" t="s">
        <v>97</v>
      </c>
      <c r="F26" s="2" t="s">
        <v>98</v>
      </c>
      <c r="G26" s="2" t="s">
        <v>99</v>
      </c>
      <c r="H26" s="2" t="s">
        <v>100</v>
      </c>
      <c r="I26" s="2" t="s">
        <v>101</v>
      </c>
      <c r="J26" s="2" t="s">
        <v>102</v>
      </c>
      <c r="K26" s="2" t="s">
        <v>103</v>
      </c>
      <c r="L26" s="2" t="s">
        <v>104</v>
      </c>
    </row>
    <row r="27" customFormat="false" ht="15" hidden="false" customHeight="false" outlineLevel="0" collapsed="false">
      <c r="A27" s="0" t="s">
        <v>105</v>
      </c>
      <c r="C27" s="3" t="n">
        <v>4.5</v>
      </c>
      <c r="D27" s="3" t="n">
        <v>3.5</v>
      </c>
      <c r="E27" s="3" t="n">
        <v>3.5</v>
      </c>
      <c r="F27" s="3" t="n">
        <v>3.5</v>
      </c>
      <c r="G27" s="3" t="n">
        <v>3.5</v>
      </c>
      <c r="H27" s="3" t="n">
        <v>3</v>
      </c>
      <c r="I27" s="3" t="n">
        <v>3</v>
      </c>
      <c r="J27" s="3" t="n">
        <v>3</v>
      </c>
      <c r="K27" s="3" t="n">
        <v>2.5</v>
      </c>
      <c r="L27" s="3" t="n">
        <v>2.5</v>
      </c>
    </row>
    <row r="28" customFormat="false" ht="15" hidden="false" customHeight="false" outlineLevel="0" collapsed="false">
      <c r="A28" s="0" t="s">
        <v>106</v>
      </c>
      <c r="C28" s="3" t="n">
        <v>28.4</v>
      </c>
      <c r="D28" s="3" t="n">
        <v>28.5</v>
      </c>
      <c r="E28" s="3" t="n">
        <v>28.6</v>
      </c>
      <c r="F28" s="3" t="n">
        <v>28.6</v>
      </c>
      <c r="G28" s="3" t="n">
        <v>28.6</v>
      </c>
      <c r="H28" s="3" t="n">
        <v>28.6</v>
      </c>
      <c r="I28" s="3" t="n">
        <v>28.6</v>
      </c>
      <c r="J28" s="3" t="n">
        <v>28.6</v>
      </c>
      <c r="K28" s="3" t="n">
        <v>28.6</v>
      </c>
      <c r="L28" s="3" t="n">
        <v>28.6</v>
      </c>
    </row>
    <row r="29" customFormat="false" ht="15" hidden="false" customHeight="false" outlineLevel="0" collapsed="false">
      <c r="A29" s="0" t="s">
        <v>107</v>
      </c>
      <c r="C29" s="3" t="n">
        <v>0.6</v>
      </c>
      <c r="D29" s="3" t="n">
        <v>0.6</v>
      </c>
      <c r="E29" s="3" t="n">
        <v>0.6</v>
      </c>
      <c r="F29" s="3" t="n">
        <v>0.6</v>
      </c>
      <c r="G29" s="3" t="n">
        <v>0.6</v>
      </c>
      <c r="H29" s="3" t="n">
        <v>0.6</v>
      </c>
      <c r="I29" s="3" t="n">
        <v>0.6</v>
      </c>
      <c r="J29" s="3" t="n">
        <v>0.6</v>
      </c>
      <c r="K29" s="3" t="n">
        <v>0.6</v>
      </c>
      <c r="L29" s="3" t="n">
        <v>0.6</v>
      </c>
    </row>
    <row r="30" customFormat="false" ht="15" hidden="false" customHeight="false" outlineLevel="0" collapsed="false">
      <c r="A30" s="0" t="s">
        <v>108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</row>
    <row r="31" customFormat="false" ht="15" hidden="false" customHeight="false" outlineLevel="0" collapsed="false">
      <c r="A31" s="0" t="s">
        <v>109</v>
      </c>
      <c r="C31" s="3" t="n">
        <v>1.9</v>
      </c>
      <c r="D31" s="3" t="n">
        <v>1.9</v>
      </c>
      <c r="E31" s="3" t="n">
        <v>1.9</v>
      </c>
      <c r="F31" s="3" t="n">
        <v>1.9</v>
      </c>
      <c r="G31" s="3" t="n">
        <v>1.9</v>
      </c>
      <c r="H31" s="3" t="n">
        <v>1.9</v>
      </c>
      <c r="I31" s="3" t="n">
        <v>1.9</v>
      </c>
      <c r="J31" s="3" t="n">
        <v>1.9</v>
      </c>
      <c r="K31" s="3" t="n">
        <v>1.9</v>
      </c>
      <c r="L31" s="3" t="n">
        <v>1.9</v>
      </c>
    </row>
    <row r="32" customFormat="false" ht="15" hidden="false" customHeight="false" outlineLevel="0" collapsed="false">
      <c r="A32" s="0" t="s">
        <v>110</v>
      </c>
      <c r="C32" s="3" t="n">
        <v>1.9</v>
      </c>
      <c r="D32" s="3" t="n">
        <v>1.9</v>
      </c>
      <c r="E32" s="3" t="n">
        <v>1.85</v>
      </c>
      <c r="F32" s="3" t="n">
        <v>1.8</v>
      </c>
      <c r="G32" s="3" t="n">
        <v>1.8</v>
      </c>
      <c r="H32" s="3" t="n">
        <v>1.8</v>
      </c>
      <c r="I32" s="3" t="n">
        <v>1.8</v>
      </c>
      <c r="J32" s="3" t="n">
        <v>1.8</v>
      </c>
      <c r="K32" s="3" t="n">
        <v>1.8</v>
      </c>
      <c r="L32" s="3" t="n">
        <v>1.8</v>
      </c>
    </row>
    <row r="33" customFormat="false" ht="15" hidden="false" customHeight="false" outlineLevel="0" collapsed="false">
      <c r="A33" s="0" t="s">
        <v>111</v>
      </c>
      <c r="C33" s="3" t="n">
        <v>25</v>
      </c>
      <c r="D33" s="3" t="n">
        <v>25</v>
      </c>
      <c r="E33" s="3" t="n">
        <v>25</v>
      </c>
      <c r="F33" s="3" t="n">
        <v>25</v>
      </c>
      <c r="G33" s="3" t="n">
        <v>25</v>
      </c>
      <c r="H33" s="3" t="n">
        <v>25</v>
      </c>
      <c r="I33" s="3" t="n">
        <v>25</v>
      </c>
      <c r="J33" s="3" t="n">
        <v>25</v>
      </c>
      <c r="K33" s="3" t="n">
        <v>25</v>
      </c>
      <c r="L33" s="3" t="n">
        <v>25</v>
      </c>
    </row>
    <row r="34" customFormat="false" ht="15" hidden="false" customHeight="false" outlineLevel="0" collapsed="false">
      <c r="A34" s="0" t="s">
        <v>112</v>
      </c>
      <c r="B34" s="3" t="n">
        <v>8.5</v>
      </c>
    </row>
    <row r="35" customFormat="false" ht="15" hidden="false" customHeight="false" outlineLevel="0" collapsed="false">
      <c r="A35" s="0" t="s">
        <v>113</v>
      </c>
      <c r="B35" s="3" t="n">
        <v>2.5</v>
      </c>
    </row>
    <row r="36" customFormat="false" ht="15" hidden="false" customHeight="false" outlineLevel="0" collapsed="false">
      <c r="A36" s="0" t="s">
        <v>114</v>
      </c>
      <c r="B36" s="3" t="n">
        <v>16</v>
      </c>
    </row>
    <row r="37" customFormat="false" ht="15" hidden="false" customHeight="false" outlineLevel="0" collapsed="false">
      <c r="A37" s="0" t="s">
        <v>115</v>
      </c>
      <c r="B37" s="3" t="n">
        <v>-60</v>
      </c>
    </row>
    <row r="38" customFormat="false" ht="15" hidden="false" customHeight="false" outlineLevel="0" collapsed="false">
      <c r="A38" s="0" t="s">
        <v>116</v>
      </c>
      <c r="B38" s="3" t="n">
        <v>0.55</v>
      </c>
    </row>
    <row r="40" customFormat="false" ht="15" hidden="false" customHeight="false" outlineLevel="0" collapsed="false">
      <c r="A40" s="2" t="s">
        <v>118</v>
      </c>
      <c r="C40" s="2" t="s">
        <v>95</v>
      </c>
      <c r="D40" s="2" t="s">
        <v>96</v>
      </c>
      <c r="E40" s="2" t="s">
        <v>97</v>
      </c>
      <c r="F40" s="2" t="s">
        <v>98</v>
      </c>
      <c r="G40" s="2" t="s">
        <v>99</v>
      </c>
      <c r="H40" s="2" t="s">
        <v>100</v>
      </c>
      <c r="I40" s="2" t="s">
        <v>101</v>
      </c>
      <c r="J40" s="2" t="s">
        <v>102</v>
      </c>
      <c r="K40" s="2" t="s">
        <v>103</v>
      </c>
      <c r="L40" s="2" t="s">
        <v>104</v>
      </c>
    </row>
    <row r="41" customFormat="false" ht="15" hidden="false" customHeight="false" outlineLevel="0" collapsed="false">
      <c r="A41" s="0" t="s">
        <v>105</v>
      </c>
      <c r="C41" s="3" t="n">
        <v>5</v>
      </c>
      <c r="D41" s="3" t="n">
        <v>5.5</v>
      </c>
      <c r="E41" s="3" t="n">
        <v>5.5</v>
      </c>
      <c r="F41" s="3" t="n">
        <v>5</v>
      </c>
      <c r="G41" s="3" t="n">
        <v>5</v>
      </c>
      <c r="H41" s="3" t="n">
        <v>4.5</v>
      </c>
      <c r="I41" s="3" t="n">
        <v>4</v>
      </c>
      <c r="J41" s="3" t="n">
        <v>3.5</v>
      </c>
      <c r="K41" s="3" t="n">
        <v>3</v>
      </c>
      <c r="L41" s="3" t="n">
        <v>3</v>
      </c>
    </row>
    <row r="42" customFormat="false" ht="15" hidden="false" customHeight="false" outlineLevel="0" collapsed="false">
      <c r="A42" s="0" t="s">
        <v>106</v>
      </c>
      <c r="C42" s="3" t="n">
        <v>28.6</v>
      </c>
      <c r="D42" s="3" t="n">
        <v>29</v>
      </c>
      <c r="E42" s="3" t="n">
        <v>29.3</v>
      </c>
      <c r="F42" s="3" t="n">
        <v>29.6</v>
      </c>
      <c r="G42" s="3" t="n">
        <v>29.8</v>
      </c>
      <c r="H42" s="3" t="n">
        <v>30</v>
      </c>
      <c r="I42" s="3" t="n">
        <v>30</v>
      </c>
      <c r="J42" s="3" t="n">
        <v>30</v>
      </c>
      <c r="K42" s="3" t="n">
        <v>30</v>
      </c>
      <c r="L42" s="3" t="n">
        <v>30</v>
      </c>
    </row>
    <row r="43" customFormat="false" ht="15" hidden="false" customHeight="false" outlineLevel="0" collapsed="false">
      <c r="A43" s="0" t="s">
        <v>107</v>
      </c>
      <c r="C43" s="3" t="n">
        <v>0.6</v>
      </c>
      <c r="D43" s="3" t="n">
        <v>0.6</v>
      </c>
      <c r="E43" s="3" t="n">
        <v>0.6</v>
      </c>
      <c r="F43" s="3" t="n">
        <v>0.6</v>
      </c>
      <c r="G43" s="3" t="n">
        <v>0.6</v>
      </c>
      <c r="H43" s="3" t="n">
        <v>0.6</v>
      </c>
      <c r="I43" s="3" t="n">
        <v>0.6</v>
      </c>
      <c r="J43" s="3" t="n">
        <v>0.6</v>
      </c>
      <c r="K43" s="3" t="n">
        <v>0.6</v>
      </c>
      <c r="L43" s="3" t="n">
        <v>0.6</v>
      </c>
    </row>
    <row r="44" customFormat="false" ht="15" hidden="false" customHeight="false" outlineLevel="0" collapsed="false">
      <c r="A44" s="0" t="s">
        <v>108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</row>
    <row r="45" customFormat="false" ht="15" hidden="false" customHeight="false" outlineLevel="0" collapsed="false">
      <c r="A45" s="0" t="s">
        <v>109</v>
      </c>
      <c r="C45" s="3" t="n">
        <v>1.9</v>
      </c>
      <c r="D45" s="3" t="n">
        <v>1.9</v>
      </c>
      <c r="E45" s="3" t="n">
        <v>1.9</v>
      </c>
      <c r="F45" s="3" t="n">
        <v>1.9</v>
      </c>
      <c r="G45" s="3" t="n">
        <v>1.9</v>
      </c>
      <c r="H45" s="3" t="n">
        <v>1.9</v>
      </c>
      <c r="I45" s="3" t="n">
        <v>1.9</v>
      </c>
      <c r="J45" s="3" t="n">
        <v>1.9</v>
      </c>
      <c r="K45" s="3" t="n">
        <v>1.9</v>
      </c>
      <c r="L45" s="3" t="n">
        <v>1.9</v>
      </c>
    </row>
    <row r="46" customFormat="false" ht="15" hidden="false" customHeight="false" outlineLevel="0" collapsed="false">
      <c r="A46" s="0" t="s">
        <v>110</v>
      </c>
      <c r="C46" s="3" t="n">
        <v>1.9</v>
      </c>
      <c r="D46" s="3" t="n">
        <v>1.9</v>
      </c>
      <c r="E46" s="3" t="n">
        <v>1.85</v>
      </c>
      <c r="F46" s="3" t="n">
        <v>1.8</v>
      </c>
      <c r="G46" s="3" t="n">
        <v>1.8</v>
      </c>
      <c r="H46" s="3" t="n">
        <v>1.8</v>
      </c>
      <c r="I46" s="3" t="n">
        <v>1.8</v>
      </c>
      <c r="J46" s="3" t="n">
        <v>1.8</v>
      </c>
      <c r="K46" s="3" t="n">
        <v>1.8</v>
      </c>
      <c r="L46" s="3" t="n">
        <v>1.8</v>
      </c>
    </row>
    <row r="47" customFormat="false" ht="15" hidden="false" customHeight="false" outlineLevel="0" collapsed="false">
      <c r="A47" s="0" t="s">
        <v>111</v>
      </c>
      <c r="C47" s="3" t="n">
        <v>25</v>
      </c>
      <c r="D47" s="3" t="n">
        <v>25</v>
      </c>
      <c r="E47" s="3" t="n">
        <v>25</v>
      </c>
      <c r="F47" s="3" t="n">
        <v>25</v>
      </c>
      <c r="G47" s="3" t="n">
        <v>25</v>
      </c>
      <c r="H47" s="3" t="n">
        <v>25</v>
      </c>
      <c r="I47" s="3" t="n">
        <v>25</v>
      </c>
      <c r="J47" s="3" t="n">
        <v>25</v>
      </c>
      <c r="K47" s="3" t="n">
        <v>25</v>
      </c>
      <c r="L47" s="3" t="n">
        <v>25</v>
      </c>
    </row>
    <row r="48" customFormat="false" ht="15" hidden="false" customHeight="false" outlineLevel="0" collapsed="false">
      <c r="A48" s="0" t="s">
        <v>112</v>
      </c>
      <c r="B48" s="3" t="n">
        <v>8.5</v>
      </c>
    </row>
    <row r="49" customFormat="false" ht="15" hidden="false" customHeight="false" outlineLevel="0" collapsed="false">
      <c r="A49" s="0" t="s">
        <v>113</v>
      </c>
      <c r="B49" s="3" t="n">
        <v>3</v>
      </c>
    </row>
    <row r="50" customFormat="false" ht="15" hidden="false" customHeight="false" outlineLevel="0" collapsed="false">
      <c r="A50" s="0" t="s">
        <v>114</v>
      </c>
      <c r="B50" s="3" t="n">
        <v>18</v>
      </c>
    </row>
    <row r="51" customFormat="false" ht="15" hidden="false" customHeight="false" outlineLevel="0" collapsed="false">
      <c r="A51" s="0" t="s">
        <v>115</v>
      </c>
      <c r="B51" s="3" t="n">
        <v>-60</v>
      </c>
    </row>
    <row r="52" customFormat="false" ht="15" hidden="false" customHeight="false" outlineLevel="0" collapsed="false">
      <c r="A52" s="0" t="s">
        <v>116</v>
      </c>
      <c r="B52" s="3" t="n">
        <v>0.25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119</v>
      </c>
    </row>
    <row r="3" customFormat="false" ht="15" hidden="false" customHeight="false" outlineLevel="0" collapsed="false">
      <c r="A3" s="0" t="s">
        <v>120</v>
      </c>
      <c r="B3" s="0" t="s">
        <v>81</v>
      </c>
      <c r="C3" s="2" t="s">
        <v>95</v>
      </c>
      <c r="D3" s="2" t="s">
        <v>96</v>
      </c>
      <c r="E3" s="2" t="s">
        <v>97</v>
      </c>
      <c r="F3" s="2" t="s">
        <v>98</v>
      </c>
      <c r="G3" s="2" t="s">
        <v>99</v>
      </c>
      <c r="H3" s="2" t="s">
        <v>100</v>
      </c>
      <c r="I3" s="2" t="s">
        <v>101</v>
      </c>
      <c r="J3" s="2" t="s">
        <v>102</v>
      </c>
      <c r="K3" s="2" t="s">
        <v>103</v>
      </c>
      <c r="L3" s="2" t="s">
        <v>104</v>
      </c>
    </row>
    <row r="4" customFormat="false" ht="15" hidden="false" customHeight="false" outlineLevel="0" collapsed="false">
      <c r="A4" s="0" t="s">
        <v>121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105</v>
      </c>
      <c r="C5" s="4" t="n">
        <f aca="false">Assumptions!C13</f>
        <v>3.5</v>
      </c>
      <c r="D5" s="4" t="n">
        <f aca="false">Assumptions!D13</f>
        <v>-4</v>
      </c>
      <c r="E5" s="4" t="n">
        <f aca="false">Assumptions!E13</f>
        <v>0</v>
      </c>
      <c r="F5" s="4" t="n">
        <f aca="false">Assumptions!F13</f>
        <v>3</v>
      </c>
      <c r="G5" s="4" t="n">
        <f aca="false">Assumptions!G13</f>
        <v>3</v>
      </c>
      <c r="H5" s="4" t="n">
        <f aca="false">Assumptions!H13</f>
        <v>2.5</v>
      </c>
      <c r="I5" s="4" t="n">
        <f aca="false">Assumptions!I13</f>
        <v>2.5</v>
      </c>
      <c r="J5" s="4" t="n">
        <f aca="false">Assumptions!J13</f>
        <v>2</v>
      </c>
      <c r="K5" s="4" t="n">
        <f aca="false">Assumptions!K13</f>
        <v>2</v>
      </c>
      <c r="L5" s="4" t="n">
        <f aca="false">Assumptions!L13</f>
        <v>2</v>
      </c>
    </row>
    <row r="6" customFormat="false" ht="15" hidden="false" customHeight="false" outlineLevel="0" collapsed="false">
      <c r="A6" s="0" t="s">
        <v>37</v>
      </c>
      <c r="B6" s="3" t="n">
        <v>5156.1</v>
      </c>
      <c r="C6" s="0" t="n">
        <f aca="false">B6*(1+C5/100)</f>
        <v>5336.5635</v>
      </c>
      <c r="D6" s="0" t="n">
        <f aca="false">C6*(1+D5/100)</f>
        <v>5123.10096</v>
      </c>
      <c r="E6" s="0" t="n">
        <f aca="false">D6*(1+E5/100)</f>
        <v>5123.10096</v>
      </c>
      <c r="F6" s="0" t="n">
        <f aca="false">E6*(1+F5/100)</f>
        <v>5276.7939888</v>
      </c>
      <c r="G6" s="0" t="n">
        <f aca="false">F6*(1+G5/100)</f>
        <v>5435.097808464</v>
      </c>
      <c r="H6" s="0" t="n">
        <f aca="false">G6*(1+H5/100)</f>
        <v>5570.9752536756</v>
      </c>
      <c r="I6" s="0" t="n">
        <f aca="false">H6*(1+I5/100)</f>
        <v>5710.24963501749</v>
      </c>
      <c r="J6" s="0" t="n">
        <f aca="false">I6*(1+J5/100)</f>
        <v>5824.45462771784</v>
      </c>
      <c r="K6" s="0" t="n">
        <f aca="false">J6*(1+K5/100)</f>
        <v>5940.9437202722</v>
      </c>
      <c r="L6" s="0" t="n">
        <f aca="false">K6*(1+L5/100)</f>
        <v>6059.76259467764</v>
      </c>
    </row>
    <row r="7" customFormat="false" ht="15" hidden="false" customHeight="false" outlineLevel="0" collapsed="false">
      <c r="A7" s="0" t="s">
        <v>106</v>
      </c>
      <c r="C7" s="4" t="n">
        <f aca="false">Assumptions!C14</f>
        <v>28</v>
      </c>
      <c r="D7" s="4" t="n">
        <f aca="false">Assumptions!D14</f>
        <v>26</v>
      </c>
      <c r="E7" s="4" t="n">
        <f aca="false">Assumptions!E14</f>
        <v>26.5</v>
      </c>
      <c r="F7" s="4" t="n">
        <f aca="false">Assumptions!F14</f>
        <v>27</v>
      </c>
      <c r="G7" s="4" t="n">
        <f aca="false">Assumptions!G14</f>
        <v>27.2</v>
      </c>
      <c r="H7" s="4" t="n">
        <f aca="false">Assumptions!H14</f>
        <v>27.3</v>
      </c>
      <c r="I7" s="4" t="n">
        <f aca="false">Assumptions!I14</f>
        <v>27.3</v>
      </c>
      <c r="J7" s="4" t="n">
        <f aca="false">Assumptions!J14</f>
        <v>27.3</v>
      </c>
      <c r="K7" s="4" t="n">
        <f aca="false">Assumptions!K14</f>
        <v>27.3</v>
      </c>
      <c r="L7" s="4" t="n">
        <f aca="false">Assumptions!L14</f>
        <v>27.3</v>
      </c>
    </row>
    <row r="8" customFormat="false" ht="15" hidden="false" customHeight="false" outlineLevel="0" collapsed="false">
      <c r="A8" s="0" t="s">
        <v>43</v>
      </c>
      <c r="C8" s="0" t="n">
        <f aca="false">C6*C7/100</f>
        <v>1494.23778</v>
      </c>
      <c r="D8" s="0" t="n">
        <f aca="false">D6*D7/100</f>
        <v>1332.0062496</v>
      </c>
      <c r="E8" s="0" t="n">
        <f aca="false">E6*E7/100</f>
        <v>1357.6217544</v>
      </c>
      <c r="F8" s="0" t="n">
        <f aca="false">F6*F7/100</f>
        <v>1424.734376976</v>
      </c>
      <c r="G8" s="0" t="n">
        <f aca="false">G6*G7/100</f>
        <v>1478.34660390221</v>
      </c>
      <c r="H8" s="0" t="n">
        <f aca="false">H6*H7/100</f>
        <v>1520.87624425344</v>
      </c>
      <c r="I8" s="0" t="n">
        <f aca="false">I6*I7/100</f>
        <v>1558.89815035977</v>
      </c>
      <c r="J8" s="0" t="n">
        <f aca="false">J6*J7/100</f>
        <v>1590.07611336697</v>
      </c>
      <c r="K8" s="0" t="n">
        <f aca="false">K6*K7/100</f>
        <v>1621.87763563431</v>
      </c>
      <c r="L8" s="0" t="n">
        <f aca="false">L6*L7/100</f>
        <v>1654.315188347</v>
      </c>
    </row>
    <row r="9" customFormat="false" ht="15" hidden="false" customHeight="false" outlineLevel="0" collapsed="false">
      <c r="A9" s="0" t="s">
        <v>107</v>
      </c>
      <c r="C9" s="4" t="n">
        <f aca="false">Assumptions!C15</f>
        <v>0.6</v>
      </c>
      <c r="D9" s="4" t="n">
        <f aca="false">Assumptions!D15</f>
        <v>0.6</v>
      </c>
      <c r="E9" s="4" t="n">
        <f aca="false">Assumptions!E15</f>
        <v>0.6</v>
      </c>
      <c r="F9" s="4" t="n">
        <f aca="false">Assumptions!F15</f>
        <v>0.6</v>
      </c>
      <c r="G9" s="4" t="n">
        <f aca="false">Assumptions!G15</f>
        <v>0.6</v>
      </c>
      <c r="H9" s="4" t="n">
        <f aca="false">Assumptions!H15</f>
        <v>0.6</v>
      </c>
      <c r="I9" s="4" t="n">
        <f aca="false">Assumptions!I15</f>
        <v>0.6</v>
      </c>
      <c r="J9" s="4" t="n">
        <f aca="false">Assumptions!J15</f>
        <v>0.6</v>
      </c>
      <c r="K9" s="4" t="n">
        <f aca="false">Assumptions!K15</f>
        <v>0.6</v>
      </c>
      <c r="L9" s="4" t="n">
        <f aca="false">Assumptions!L15</f>
        <v>0.6</v>
      </c>
    </row>
    <row r="10" customFormat="false" ht="15" hidden="false" customHeight="false" outlineLevel="0" collapsed="false">
      <c r="A10" s="0" t="s">
        <v>122</v>
      </c>
      <c r="C10" s="0" t="n">
        <f aca="false">-C6*C9/100</f>
        <v>-32.019381</v>
      </c>
      <c r="D10" s="0" t="n">
        <f aca="false">-D6*D9/100</f>
        <v>-30.73860576</v>
      </c>
      <c r="E10" s="0" t="n">
        <f aca="false">-E6*E9/100</f>
        <v>-30.73860576</v>
      </c>
      <c r="F10" s="0" t="n">
        <f aca="false">-F6*F9/100</f>
        <v>-31.6607639328</v>
      </c>
      <c r="G10" s="0" t="n">
        <f aca="false">-G6*G9/100</f>
        <v>-32.610586850784</v>
      </c>
      <c r="H10" s="0" t="n">
        <f aca="false">-H6*H9/100</f>
        <v>-33.4258515220536</v>
      </c>
      <c r="I10" s="0" t="n">
        <f aca="false">-I6*I9/100</f>
        <v>-34.2614978101049</v>
      </c>
      <c r="J10" s="0" t="n">
        <f aca="false">-J6*J9/100</f>
        <v>-34.946727766307</v>
      </c>
      <c r="K10" s="0" t="n">
        <f aca="false">-K6*K9/100</f>
        <v>-35.6456623216332</v>
      </c>
      <c r="L10" s="0" t="n">
        <f aca="false">-L6*L9/100</f>
        <v>-36.3585755680658</v>
      </c>
    </row>
    <row r="11" customFormat="false" ht="15" hidden="false" customHeight="false" outlineLevel="0" collapsed="false">
      <c r="A11" s="0" t="s">
        <v>123</v>
      </c>
      <c r="C11" s="0" t="n">
        <f aca="false">C8+C10+C24</f>
        <v>1462.218399</v>
      </c>
      <c r="D11" s="0" t="n">
        <f aca="false">D8+D10+D24</f>
        <v>1301.26764384</v>
      </c>
      <c r="E11" s="0" t="n">
        <f aca="false">E8+E10+E24</f>
        <v>1326.88314864</v>
      </c>
      <c r="F11" s="0" t="n">
        <f aca="false">F8+F10+F24</f>
        <v>1393.0736130432</v>
      </c>
      <c r="G11" s="0" t="n">
        <f aca="false">G8+G10+G24</f>
        <v>1445.73601705142</v>
      </c>
      <c r="H11" s="0" t="n">
        <f aca="false">H8+H10+H24</f>
        <v>1487.45039273139</v>
      </c>
      <c r="I11" s="0" t="n">
        <f aca="false">I8+I10+I24</f>
        <v>1524.63665254967</v>
      </c>
      <c r="J11" s="0" t="n">
        <f aca="false">J8+J10+J24</f>
        <v>1555.12938560066</v>
      </c>
      <c r="K11" s="0" t="n">
        <f aca="false">K8+K10+K24</f>
        <v>1586.23197331268</v>
      </c>
      <c r="L11" s="0" t="n">
        <f aca="false">L8+L10+L24</f>
        <v>1617.95661277893</v>
      </c>
    </row>
    <row r="12" customFormat="false" ht="15" hidden="false" customHeight="false" outlineLevel="0" collapsed="false">
      <c r="A12" s="0" t="s">
        <v>124</v>
      </c>
      <c r="C12" s="4" t="n">
        <f aca="false">-C6*Assumptions!C17/100</f>
        <v>-101.3947065</v>
      </c>
      <c r="D12" s="4" t="n">
        <f aca="false">-D6*Assumptions!D17/100</f>
        <v>-97.33891824</v>
      </c>
      <c r="E12" s="4" t="n">
        <f aca="false">-E6*Assumptions!E17/100</f>
        <v>-97.33891824</v>
      </c>
      <c r="F12" s="4" t="n">
        <f aca="false">-F6*Assumptions!F17/100</f>
        <v>-100.2590857872</v>
      </c>
      <c r="G12" s="4" t="n">
        <f aca="false">-G6*Assumptions!G17/100</f>
        <v>-103.266858360816</v>
      </c>
      <c r="H12" s="4" t="n">
        <f aca="false">-H6*Assumptions!H17/100</f>
        <v>-105.848529819836</v>
      </c>
      <c r="I12" s="4" t="n">
        <f aca="false">-I6*Assumptions!I17/100</f>
        <v>-108.494743065332</v>
      </c>
      <c r="J12" s="4" t="n">
        <f aca="false">-J6*Assumptions!J17/100</f>
        <v>-110.664637926639</v>
      </c>
      <c r="K12" s="4" t="n">
        <f aca="false">-K6*Assumptions!K17/100</f>
        <v>-112.877930685172</v>
      </c>
      <c r="L12" s="4" t="n">
        <f aca="false">-L6*Assumptions!L17/100</f>
        <v>-115.135489298875</v>
      </c>
    </row>
    <row r="13" customFormat="false" ht="15" hidden="false" customHeight="false" outlineLevel="0" collapsed="false">
      <c r="A13" s="0" t="s">
        <v>125</v>
      </c>
      <c r="C13" s="0" t="n">
        <f aca="false">C11+C12</f>
        <v>1360.8236925</v>
      </c>
      <c r="D13" s="0" t="n">
        <f aca="false">D11+D12</f>
        <v>1203.9287256</v>
      </c>
      <c r="E13" s="0" t="n">
        <f aca="false">E11+E12</f>
        <v>1229.5442304</v>
      </c>
      <c r="F13" s="0" t="n">
        <f aca="false">F11+F12</f>
        <v>1292.814527256</v>
      </c>
      <c r="G13" s="0" t="n">
        <f aca="false">G11+G12</f>
        <v>1342.46915869061</v>
      </c>
      <c r="H13" s="0" t="n">
        <f aca="false">H11+H12</f>
        <v>1381.60186291155</v>
      </c>
      <c r="I13" s="0" t="n">
        <f aca="false">I11+I12</f>
        <v>1416.14190948434</v>
      </c>
      <c r="J13" s="0" t="n">
        <f aca="false">J11+J12</f>
        <v>1444.46474767402</v>
      </c>
      <c r="K13" s="0" t="n">
        <f aca="false">K11+K12</f>
        <v>1473.3540426275</v>
      </c>
      <c r="L13" s="0" t="n">
        <f aca="false">L11+L12</f>
        <v>1502.82112348005</v>
      </c>
    </row>
    <row r="14" customFormat="false" ht="15" hidden="false" customHeight="false" outlineLevel="0" collapsed="false">
      <c r="A14" s="0" t="s">
        <v>111</v>
      </c>
      <c r="C14" s="4" t="n">
        <f aca="false">Assumptions!C19</f>
        <v>25</v>
      </c>
      <c r="D14" s="4" t="n">
        <f aca="false">Assumptions!D19</f>
        <v>25</v>
      </c>
      <c r="E14" s="4" t="n">
        <f aca="false">Assumptions!E19</f>
        <v>25</v>
      </c>
      <c r="F14" s="4" t="n">
        <f aca="false">Assumptions!F19</f>
        <v>25</v>
      </c>
      <c r="G14" s="4" t="n">
        <f aca="false">Assumptions!G19</f>
        <v>25</v>
      </c>
      <c r="H14" s="4" t="n">
        <f aca="false">Assumptions!H19</f>
        <v>25</v>
      </c>
      <c r="I14" s="4" t="n">
        <f aca="false">Assumptions!I19</f>
        <v>25</v>
      </c>
      <c r="J14" s="4" t="n">
        <f aca="false">Assumptions!J19</f>
        <v>25</v>
      </c>
      <c r="K14" s="4" t="n">
        <f aca="false">Assumptions!K19</f>
        <v>25</v>
      </c>
      <c r="L14" s="4" t="n">
        <f aca="false">Assumptions!L19</f>
        <v>25</v>
      </c>
    </row>
    <row r="15" customFormat="false" ht="15" hidden="false" customHeight="false" outlineLevel="0" collapsed="false">
      <c r="A15" s="0" t="s">
        <v>126</v>
      </c>
      <c r="C15" s="0" t="n">
        <f aca="false">C13-MAX(0,C13)*C14/100</f>
        <v>1020.617769375</v>
      </c>
      <c r="D15" s="0" t="n">
        <f aca="false">D13-MAX(0,D13)*D14/100</f>
        <v>902.9465442</v>
      </c>
      <c r="E15" s="0" t="n">
        <f aca="false">E13-MAX(0,E13)*E14/100</f>
        <v>922.1581728</v>
      </c>
      <c r="F15" s="0" t="n">
        <f aca="false">F13-MAX(0,F13)*F14/100</f>
        <v>969.610895442</v>
      </c>
      <c r="G15" s="0" t="n">
        <f aca="false">G13-MAX(0,G13)*G14/100</f>
        <v>1006.85186901796</v>
      </c>
      <c r="H15" s="0" t="n">
        <f aca="false">H13-MAX(0,H13)*H14/100</f>
        <v>1036.20139718366</v>
      </c>
      <c r="I15" s="0" t="n">
        <f aca="false">I13-MAX(0,I13)*I14/100</f>
        <v>1062.10643211325</v>
      </c>
      <c r="J15" s="0" t="n">
        <f aca="false">J13-MAX(0,J13)*J14/100</f>
        <v>1083.34856075552</v>
      </c>
      <c r="K15" s="0" t="n">
        <f aca="false">K13-MAX(0,K13)*K14/100</f>
        <v>1105.01553197063</v>
      </c>
      <c r="L15" s="0" t="n">
        <f aca="false">L13-MAX(0,L13)*L14/100</f>
        <v>1127.11584261004</v>
      </c>
    </row>
    <row r="16" customFormat="false" ht="15" hidden="false" customHeight="false" outlineLevel="0" collapsed="false">
      <c r="A16" s="0" t="s">
        <v>127</v>
      </c>
      <c r="C16" s="0" t="n">
        <f aca="false">-C12</f>
        <v>101.3947065</v>
      </c>
      <c r="D16" s="0" t="n">
        <f aca="false">-D12</f>
        <v>97.33891824</v>
      </c>
      <c r="E16" s="0" t="n">
        <f aca="false">-E12</f>
        <v>97.33891824</v>
      </c>
      <c r="F16" s="0" t="n">
        <f aca="false">-F12</f>
        <v>100.2590857872</v>
      </c>
      <c r="G16" s="0" t="n">
        <f aca="false">-G12</f>
        <v>103.266858360816</v>
      </c>
      <c r="H16" s="0" t="n">
        <f aca="false">-H12</f>
        <v>105.848529819836</v>
      </c>
      <c r="I16" s="0" t="n">
        <f aca="false">-I12</f>
        <v>108.494743065332</v>
      </c>
      <c r="J16" s="0" t="n">
        <f aca="false">-J12</f>
        <v>110.664637926639</v>
      </c>
      <c r="K16" s="0" t="n">
        <f aca="false">-K12</f>
        <v>112.877930685172</v>
      </c>
      <c r="L16" s="0" t="n">
        <f aca="false">-L12</f>
        <v>115.135489298875</v>
      </c>
    </row>
    <row r="17" customFormat="false" ht="15" hidden="false" customHeight="false" outlineLevel="0" collapsed="false">
      <c r="A17" s="0" t="s">
        <v>128</v>
      </c>
      <c r="C17" s="4" t="n">
        <f aca="false">-C6*Assumptions!C18/100</f>
        <v>-101.3947065</v>
      </c>
      <c r="D17" s="4" t="n">
        <f aca="false">-D6*Assumptions!D18/100</f>
        <v>-97.33891824</v>
      </c>
      <c r="E17" s="4" t="n">
        <f aca="false">-E6*Assumptions!E18/100</f>
        <v>-94.77736776</v>
      </c>
      <c r="F17" s="4" t="n">
        <f aca="false">-F6*Assumptions!F18/100</f>
        <v>-94.9822917984</v>
      </c>
      <c r="G17" s="4" t="n">
        <f aca="false">-G6*Assumptions!G18/100</f>
        <v>-97.831760552352</v>
      </c>
      <c r="H17" s="4" t="n">
        <f aca="false">-H6*Assumptions!H18/100</f>
        <v>-100.277554566161</v>
      </c>
      <c r="I17" s="4" t="n">
        <f aca="false">-I6*Assumptions!I18/100</f>
        <v>-102.784493430315</v>
      </c>
      <c r="J17" s="4" t="n">
        <f aca="false">-J6*Assumptions!J18/100</f>
        <v>-104.840183298921</v>
      </c>
      <c r="K17" s="4" t="n">
        <f aca="false">-K6*Assumptions!K18/100</f>
        <v>-106.9369869649</v>
      </c>
      <c r="L17" s="4" t="n">
        <f aca="false">-L6*Assumptions!L18/100</f>
        <v>-109.075726704198</v>
      </c>
    </row>
    <row r="18" customFormat="false" ht="15" hidden="false" customHeight="false" outlineLevel="0" collapsed="false">
      <c r="A18" s="0" t="s">
        <v>129</v>
      </c>
      <c r="C18" s="4" t="n">
        <f aca="false">(C6-B6)*Assumptions!$B$23/100</f>
        <v>-108.2781</v>
      </c>
      <c r="D18" s="4" t="n">
        <f aca="false">(D6-C6)*Assumptions!$B$23/100</f>
        <v>128.077524</v>
      </c>
      <c r="E18" s="4" t="n">
        <f aca="false">(E6-D6)*Assumptions!$B$23/100</f>
        <v>-0</v>
      </c>
      <c r="F18" s="4" t="n">
        <f aca="false">(F6-E6)*Assumptions!$B$23/100</f>
        <v>-92.2158172800002</v>
      </c>
      <c r="G18" s="4" t="n">
        <f aca="false">(G6-F6)*Assumptions!$B$23/100</f>
        <v>-94.9822917984</v>
      </c>
      <c r="H18" s="4" t="n">
        <f aca="false">(H6-G6)*Assumptions!$B$23/100</f>
        <v>-81.5264671269597</v>
      </c>
      <c r="I18" s="4" t="n">
        <f aca="false">(I6-H6)*Assumptions!$B$23/100</f>
        <v>-83.5646288051335</v>
      </c>
      <c r="J18" s="4" t="n">
        <f aca="false">(J6-I6)*Assumptions!$B$23/100</f>
        <v>-68.52299562021</v>
      </c>
      <c r="K18" s="4" t="n">
        <f aca="false">(K6-J6)*Assumptions!$B$23/100</f>
        <v>-69.8934555326141</v>
      </c>
      <c r="L18" s="4" t="n">
        <f aca="false">(L6-K6)*Assumptions!$B$23/100</f>
        <v>-71.2913246432665</v>
      </c>
    </row>
    <row r="19" customFormat="false" ht="15" hidden="false" customHeight="false" outlineLevel="0" collapsed="false">
      <c r="A19" s="0" t="s">
        <v>130</v>
      </c>
      <c r="C19" s="0" t="n">
        <f aca="false">C15+C16+C17+C18</f>
        <v>912.339669375</v>
      </c>
      <c r="D19" s="0" t="n">
        <f aca="false">D15+D16+D17+D18</f>
        <v>1031.0240682</v>
      </c>
      <c r="E19" s="0" t="n">
        <f aca="false">E15+E16+E17+E18</f>
        <v>924.71972328</v>
      </c>
      <c r="F19" s="0" t="n">
        <f aca="false">F15+F16+F17+F18</f>
        <v>882.6718721508</v>
      </c>
      <c r="G19" s="0" t="n">
        <f aca="false">G15+G16+G17+G18</f>
        <v>917.30467502802</v>
      </c>
      <c r="H19" s="0" t="n">
        <f aca="false">H15+H16+H17+H18</f>
        <v>960.245905310378</v>
      </c>
      <c r="I19" s="0" t="n">
        <f aca="false">I15+I16+I17+I18</f>
        <v>984.252052943137</v>
      </c>
      <c r="J19" s="0" t="n">
        <f aca="false">J15+J16+J17+J18</f>
        <v>1020.65001976303</v>
      </c>
      <c r="K19" s="0" t="n">
        <f aca="false">K15+K16+K17+K18</f>
        <v>1041.06302015829</v>
      </c>
      <c r="L19" s="0" t="n">
        <f aca="false">L15+L16+L17+L18</f>
        <v>1061.88428056145</v>
      </c>
    </row>
    <row r="20" customFormat="false" ht="15" hidden="false" customHeight="false" outlineLevel="0" collapsed="false">
      <c r="A20" s="0" t="s">
        <v>131</v>
      </c>
      <c r="C20" s="0" t="n">
        <f aca="false">1/(1+$B$27/100)^C4</f>
        <v>0.921658986175115</v>
      </c>
      <c r="D20" s="0" t="n">
        <f aca="false">1/(1+$B$27/100)^D4</f>
        <v>0.849455286797341</v>
      </c>
      <c r="E20" s="0" t="n">
        <f aca="false">1/(1+$B$27/100)^E4</f>
        <v>0.782908098430729</v>
      </c>
      <c r="F20" s="0" t="n">
        <f aca="false">1/(1+$B$27/100)^F4</f>
        <v>0.721574284267953</v>
      </c>
      <c r="G20" s="0" t="n">
        <f aca="false">1/(1+$B$27/100)^G4</f>
        <v>0.665045423288436</v>
      </c>
      <c r="H20" s="0" t="n">
        <f aca="false">1/(1+$B$27/100)^H4</f>
        <v>0.612945090588421</v>
      </c>
      <c r="I20" s="0" t="n">
        <f aca="false">1/(1+$B$27/100)^I4</f>
        <v>0.564926350772738</v>
      </c>
      <c r="J20" s="0" t="n">
        <f aca="false">1/(1+$B$27/100)^J4</f>
        <v>0.520669447716809</v>
      </c>
      <c r="K20" s="0" t="n">
        <f aca="false">1/(1+$B$27/100)^K4</f>
        <v>0.479879675315031</v>
      </c>
      <c r="L20" s="0" t="n">
        <f aca="false">1/(1+$B$27/100)^L4</f>
        <v>0.442285415036895</v>
      </c>
    </row>
    <row r="21" customFormat="false" ht="15" hidden="false" customHeight="false" outlineLevel="0" collapsed="false">
      <c r="A21" s="0" t="s">
        <v>132</v>
      </c>
      <c r="C21" s="0" t="n">
        <f aca="false">C19*C20</f>
        <v>840.866054723502</v>
      </c>
      <c r="D21" s="0" t="n">
        <f aca="false">D19*D20</f>
        <v>875.808845547793</v>
      </c>
      <c r="E21" s="0" t="n">
        <f aca="false">E19*E20</f>
        <v>723.970560134535</v>
      </c>
      <c r="F21" s="0" t="n">
        <f aca="false">F19*F20</f>
        <v>636.913324390668</v>
      </c>
      <c r="G21" s="0" t="n">
        <f aca="false">G19*G20</f>
        <v>610.049275888471</v>
      </c>
      <c r="H21" s="0" t="n">
        <f aca="false">H19*H20</f>
        <v>588.578013417629</v>
      </c>
      <c r="I21" s="0" t="n">
        <f aca="false">I19*I20</f>
        <v>556.029920509742</v>
      </c>
      <c r="J21" s="0" t="n">
        <f aca="false">J19*J20</f>
        <v>531.421282102165</v>
      </c>
      <c r="K21" s="0" t="n">
        <f aca="false">K19*K20</f>
        <v>499.584984096045</v>
      </c>
      <c r="L21" s="0" t="n">
        <f aca="false">L19*L20</f>
        <v>469.655929749277</v>
      </c>
    </row>
    <row r="23" customFormat="false" ht="15" hidden="false" customHeight="false" outlineLevel="0" collapsed="false">
      <c r="A23" s="0" t="s">
        <v>108</v>
      </c>
      <c r="C23" s="4" t="n">
        <f aca="false">Assumptions!C16</f>
        <v>0</v>
      </c>
      <c r="D23" s="4" t="n">
        <f aca="false">Assumptions!D16</f>
        <v>0</v>
      </c>
      <c r="E23" s="4" t="n">
        <f aca="false">Assumptions!E16</f>
        <v>0</v>
      </c>
      <c r="F23" s="4" t="n">
        <f aca="false">Assumptions!F16</f>
        <v>0</v>
      </c>
      <c r="G23" s="4" t="n">
        <f aca="false">Assumptions!G16</f>
        <v>0</v>
      </c>
      <c r="H23" s="4" t="n">
        <f aca="false">Assumptions!H16</f>
        <v>0</v>
      </c>
      <c r="I23" s="4" t="n">
        <f aca="false">Assumptions!I16</f>
        <v>0</v>
      </c>
      <c r="J23" s="4" t="n">
        <f aca="false">Assumptions!J16</f>
        <v>0</v>
      </c>
      <c r="K23" s="4" t="n">
        <f aca="false">Assumptions!K16</f>
        <v>0</v>
      </c>
      <c r="L23" s="4" t="n">
        <f aca="false">Assumptions!L16</f>
        <v>0</v>
      </c>
    </row>
    <row r="24" customFormat="false" ht="15" hidden="false" customHeight="false" outlineLevel="0" collapsed="false">
      <c r="A24" s="0" t="s">
        <v>133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134</v>
      </c>
    </row>
    <row r="27" customFormat="false" ht="15" hidden="false" customHeight="false" outlineLevel="0" collapsed="false">
      <c r="A27" s="0" t="s">
        <v>112</v>
      </c>
      <c r="B27" s="4" t="n">
        <f aca="false">Assumptions!$B$20</f>
        <v>8.5</v>
      </c>
    </row>
    <row r="28" customFormat="false" ht="15" hidden="false" customHeight="false" outlineLevel="0" collapsed="false">
      <c r="A28" s="0" t="s">
        <v>113</v>
      </c>
      <c r="B28" s="4" t="n">
        <f aca="false">Assumptions!$B$21</f>
        <v>2</v>
      </c>
    </row>
    <row r="29" customFormat="false" ht="15" hidden="false" customHeight="false" outlineLevel="0" collapsed="false">
      <c r="A29" s="0" t="s">
        <v>114</v>
      </c>
      <c r="B29" s="4" t="n">
        <f aca="false">Assumptions!$B$22</f>
        <v>14</v>
      </c>
    </row>
    <row r="30" customFormat="false" ht="15" hidden="false" customHeight="false" outlineLevel="0" collapsed="false">
      <c r="A30" s="0" t="s">
        <v>135</v>
      </c>
      <c r="B30" s="0" t="n">
        <f aca="false">SUM(C21:L21)</f>
        <v>6332.87819055983</v>
      </c>
    </row>
    <row r="31" customFormat="false" ht="15" hidden="false" customHeight="false" outlineLevel="0" collapsed="false">
      <c r="A31" s="0" t="s">
        <v>136</v>
      </c>
      <c r="B31" s="0" t="n">
        <f aca="false">L19</f>
        <v>1061.88428056145</v>
      </c>
    </row>
    <row r="32" customFormat="false" ht="15" hidden="false" customHeight="false" outlineLevel="0" collapsed="false">
      <c r="A32" s="0" t="s">
        <v>137</v>
      </c>
      <c r="B32" s="0" t="n">
        <f aca="false">IF(B27&gt;B28,B31*(1+B28/100)/((B27-B28)/100),B31*B29)</f>
        <v>16663.4148641951</v>
      </c>
    </row>
    <row r="33" customFormat="false" ht="15" hidden="false" customHeight="false" outlineLevel="0" collapsed="false">
      <c r="A33" s="0" t="s">
        <v>138</v>
      </c>
      <c r="B33" s="0" t="n">
        <f aca="false">B31*B29</f>
        <v>14866.3799278603</v>
      </c>
    </row>
    <row r="34" customFormat="false" ht="15" hidden="false" customHeight="false" outlineLevel="0" collapsed="false">
      <c r="A34" s="0" t="s">
        <v>139</v>
      </c>
      <c r="B34" s="0" t="n">
        <f aca="false">MAX(0,MIN(B32,B33))</f>
        <v>14866.3799278603</v>
      </c>
    </row>
    <row r="35" customFormat="false" ht="15" hidden="false" customHeight="false" outlineLevel="0" collapsed="false">
      <c r="A35" s="0" t="s">
        <v>140</v>
      </c>
      <c r="B35" s="0" t="n">
        <f aca="false">B34/(1+B27/100)^L4</f>
        <v>6575.18301648988</v>
      </c>
    </row>
    <row r="36" customFormat="false" ht="15" hidden="false" customHeight="false" outlineLevel="0" collapsed="false">
      <c r="A36" s="0" t="s">
        <v>141</v>
      </c>
      <c r="B36" s="0" t="n">
        <f aca="false">B30+B35</f>
        <v>12908.0612070497</v>
      </c>
    </row>
    <row r="37" customFormat="false" ht="15" hidden="false" customHeight="false" outlineLevel="0" collapsed="false">
      <c r="A37" s="0" t="s">
        <v>142</v>
      </c>
      <c r="B37" s="0" t="n">
        <f aca="false">B36+Assumptions!$B$5-Assumptions!$B$4</f>
        <v>13275.1612070497</v>
      </c>
    </row>
    <row r="38" customFormat="false" ht="15" hidden="false" customHeight="false" outlineLevel="0" collapsed="false">
      <c r="A38" s="0" t="s">
        <v>143</v>
      </c>
      <c r="B38" s="0" t="n">
        <f aca="false">B37/Assumptions!$B$3*Assumptions!$B$10</f>
        <v>252.860213467613</v>
      </c>
    </row>
    <row r="39" customFormat="false" ht="15" hidden="false" customHeight="false" outlineLevel="0" collapsed="false">
      <c r="A39" s="0" t="s">
        <v>144</v>
      </c>
      <c r="B39" s="4" t="n">
        <f aca="false">B38/Assumptions!$B$2-1</f>
        <v>-0.312356647809166</v>
      </c>
    </row>
    <row r="41" customFormat="false" ht="15" hidden="false" customHeight="false" outlineLevel="0" collapsed="false">
      <c r="A41" s="0" t="s">
        <v>145</v>
      </c>
      <c r="B41" s="0" t="n">
        <f aca="false">SUMPRODUCT(-C10:L10/(1+$B$27/100)^C4:L4)</f>
        <v>215.446263907261</v>
      </c>
    </row>
    <row r="42" customFormat="false" ht="15" hidden="false" customHeight="false" outlineLevel="0" collapsed="false">
      <c r="A42" s="0" t="s">
        <v>146</v>
      </c>
      <c r="B42" s="0" t="n">
        <f aca="false">IF(B27&gt;B28,-L10*(1+B28/100)/((B27-B28)/100),-L10*20)/(1+B27/100)^L4</f>
        <v>252.345923676581</v>
      </c>
    </row>
    <row r="43" customFormat="false" ht="15" hidden="false" customHeight="false" outlineLevel="0" collapsed="false">
      <c r="A43" s="0" t="s">
        <v>147</v>
      </c>
      <c r="B43" s="0" t="n">
        <f aca="false">(B37+B41+B42)/Assumptions!$B$3*Assumptions!$B$10</f>
        <v>261.770540850163</v>
      </c>
    </row>
    <row r="45" customFormat="false" ht="15" hidden="false" customHeight="false" outlineLevel="0" collapsed="false">
      <c r="A45" s="0" t="s">
        <v>88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148</v>
      </c>
      <c r="B46" s="0" t="n">
        <f aca="false">MAX(0,MIN(IF(B45&gt;B28,B31*(1+B28/100)/((B45-B28)/100),B31*B29),B31*B29))</f>
        <v>8331.70743209755</v>
      </c>
    </row>
    <row r="47" customFormat="false" ht="15" hidden="false" customHeight="false" outlineLevel="0" collapsed="false">
      <c r="A47" s="0" t="s">
        <v>149</v>
      </c>
      <c r="B47" s="0" t="n">
        <f aca="false">(SUMPRODUCT(C19:L19/(1+B45/100)^C4:L4)+B46/(1+B45/100)^L4+Assumptions!$B$5-Assumptions!$B$4)/Assumptions!$B$3*Assumptions!$B$10</f>
        <v>138.00932654943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150</v>
      </c>
    </row>
    <row r="3" customFormat="false" ht="15" hidden="false" customHeight="false" outlineLevel="0" collapsed="false">
      <c r="A3" s="0" t="s">
        <v>120</v>
      </c>
      <c r="B3" s="0" t="s">
        <v>81</v>
      </c>
      <c r="C3" s="2" t="s">
        <v>95</v>
      </c>
      <c r="D3" s="2" t="s">
        <v>96</v>
      </c>
      <c r="E3" s="2" t="s">
        <v>97</v>
      </c>
      <c r="F3" s="2" t="s">
        <v>98</v>
      </c>
      <c r="G3" s="2" t="s">
        <v>99</v>
      </c>
      <c r="H3" s="2" t="s">
        <v>100</v>
      </c>
      <c r="I3" s="2" t="s">
        <v>101</v>
      </c>
      <c r="J3" s="2" t="s">
        <v>102</v>
      </c>
      <c r="K3" s="2" t="s">
        <v>103</v>
      </c>
      <c r="L3" s="2" t="s">
        <v>104</v>
      </c>
    </row>
    <row r="4" customFormat="false" ht="15" hidden="false" customHeight="false" outlineLevel="0" collapsed="false">
      <c r="A4" s="0" t="s">
        <v>121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105</v>
      </c>
      <c r="C5" s="4" t="n">
        <f aca="false">Assumptions!C27</f>
        <v>4.5</v>
      </c>
      <c r="D5" s="4" t="n">
        <f aca="false">Assumptions!D27</f>
        <v>3.5</v>
      </c>
      <c r="E5" s="4" t="n">
        <f aca="false">Assumptions!E27</f>
        <v>3.5</v>
      </c>
      <c r="F5" s="4" t="n">
        <f aca="false">Assumptions!F27</f>
        <v>3.5</v>
      </c>
      <c r="G5" s="4" t="n">
        <f aca="false">Assumptions!G27</f>
        <v>3.5</v>
      </c>
      <c r="H5" s="4" t="n">
        <f aca="false">Assumptions!H27</f>
        <v>3</v>
      </c>
      <c r="I5" s="4" t="n">
        <f aca="false">Assumptions!I27</f>
        <v>3</v>
      </c>
      <c r="J5" s="4" t="n">
        <f aca="false">Assumptions!J27</f>
        <v>3</v>
      </c>
      <c r="K5" s="4" t="n">
        <f aca="false">Assumptions!K27</f>
        <v>2.5</v>
      </c>
      <c r="L5" s="4" t="n">
        <f aca="false">Assumptions!L27</f>
        <v>2.5</v>
      </c>
    </row>
    <row r="6" customFormat="false" ht="15" hidden="false" customHeight="false" outlineLevel="0" collapsed="false">
      <c r="A6" s="0" t="s">
        <v>37</v>
      </c>
      <c r="B6" s="3" t="n">
        <v>5156.1</v>
      </c>
      <c r="C6" s="0" t="n">
        <f aca="false">B6*(1+C5/100)</f>
        <v>5388.1245</v>
      </c>
      <c r="D6" s="0" t="n">
        <f aca="false">C6*(1+D5/100)</f>
        <v>5576.7088575</v>
      </c>
      <c r="E6" s="0" t="n">
        <f aca="false">D6*(1+E5/100)</f>
        <v>5771.8936675125</v>
      </c>
      <c r="F6" s="0" t="n">
        <f aca="false">E6*(1+F5/100)</f>
        <v>5973.90994587544</v>
      </c>
      <c r="G6" s="0" t="n">
        <f aca="false">F6*(1+G5/100)</f>
        <v>6182.99679398108</v>
      </c>
      <c r="H6" s="0" t="n">
        <f aca="false">G6*(1+H5/100)</f>
        <v>6368.48669780051</v>
      </c>
      <c r="I6" s="0" t="n">
        <f aca="false">H6*(1+I5/100)</f>
        <v>6559.54129873452</v>
      </c>
      <c r="J6" s="0" t="n">
        <f aca="false">I6*(1+J5/100)</f>
        <v>6756.32753769656</v>
      </c>
      <c r="K6" s="0" t="n">
        <f aca="false">J6*(1+K5/100)</f>
        <v>6925.23572613897</v>
      </c>
      <c r="L6" s="0" t="n">
        <f aca="false">K6*(1+L5/100)</f>
        <v>7098.36661929245</v>
      </c>
    </row>
    <row r="7" customFormat="false" ht="15" hidden="false" customHeight="false" outlineLevel="0" collapsed="false">
      <c r="A7" s="0" t="s">
        <v>106</v>
      </c>
      <c r="C7" s="4" t="n">
        <f aca="false">Assumptions!C28</f>
        <v>28.4</v>
      </c>
      <c r="D7" s="4" t="n">
        <f aca="false">Assumptions!D28</f>
        <v>28.5</v>
      </c>
      <c r="E7" s="4" t="n">
        <f aca="false">Assumptions!E28</f>
        <v>28.6</v>
      </c>
      <c r="F7" s="4" t="n">
        <f aca="false">Assumptions!F28</f>
        <v>28.6</v>
      </c>
      <c r="G7" s="4" t="n">
        <f aca="false">Assumptions!G28</f>
        <v>28.6</v>
      </c>
      <c r="H7" s="4" t="n">
        <f aca="false">Assumptions!H28</f>
        <v>28.6</v>
      </c>
      <c r="I7" s="4" t="n">
        <f aca="false">Assumptions!I28</f>
        <v>28.6</v>
      </c>
      <c r="J7" s="4" t="n">
        <f aca="false">Assumptions!J28</f>
        <v>28.6</v>
      </c>
      <c r="K7" s="4" t="n">
        <f aca="false">Assumptions!K28</f>
        <v>28.6</v>
      </c>
      <c r="L7" s="4" t="n">
        <f aca="false">Assumptions!L28</f>
        <v>28.6</v>
      </c>
    </row>
    <row r="8" customFormat="false" ht="15" hidden="false" customHeight="false" outlineLevel="0" collapsed="false">
      <c r="A8" s="0" t="s">
        <v>43</v>
      </c>
      <c r="C8" s="0" t="n">
        <f aca="false">C6*C7/100</f>
        <v>1530.227358</v>
      </c>
      <c r="D8" s="0" t="n">
        <f aca="false">D6*D7/100</f>
        <v>1589.3620243875</v>
      </c>
      <c r="E8" s="0" t="n">
        <f aca="false">E6*E7/100</f>
        <v>1650.76158890858</v>
      </c>
      <c r="F8" s="0" t="n">
        <f aca="false">F6*F7/100</f>
        <v>1708.53824452038</v>
      </c>
      <c r="G8" s="0" t="n">
        <f aca="false">G6*G7/100</f>
        <v>1768.33708307859</v>
      </c>
      <c r="H8" s="0" t="n">
        <f aca="false">H6*H7/100</f>
        <v>1821.38719557095</v>
      </c>
      <c r="I8" s="0" t="n">
        <f aca="false">I6*I7/100</f>
        <v>1876.02881143807</v>
      </c>
      <c r="J8" s="0" t="n">
        <f aca="false">J6*J7/100</f>
        <v>1932.30967578122</v>
      </c>
      <c r="K8" s="0" t="n">
        <f aca="false">K6*K7/100</f>
        <v>1980.61741767575</v>
      </c>
      <c r="L8" s="0" t="n">
        <f aca="false">L6*L7/100</f>
        <v>2030.13285311764</v>
      </c>
    </row>
    <row r="9" customFormat="false" ht="15" hidden="false" customHeight="false" outlineLevel="0" collapsed="false">
      <c r="A9" s="0" t="s">
        <v>107</v>
      </c>
      <c r="C9" s="4" t="n">
        <f aca="false">Assumptions!C29</f>
        <v>0.6</v>
      </c>
      <c r="D9" s="4" t="n">
        <f aca="false">Assumptions!D29</f>
        <v>0.6</v>
      </c>
      <c r="E9" s="4" t="n">
        <f aca="false">Assumptions!E29</f>
        <v>0.6</v>
      </c>
      <c r="F9" s="4" t="n">
        <f aca="false">Assumptions!F29</f>
        <v>0.6</v>
      </c>
      <c r="G9" s="4" t="n">
        <f aca="false">Assumptions!G29</f>
        <v>0.6</v>
      </c>
      <c r="H9" s="4" t="n">
        <f aca="false">Assumptions!H29</f>
        <v>0.6</v>
      </c>
      <c r="I9" s="4" t="n">
        <f aca="false">Assumptions!I29</f>
        <v>0.6</v>
      </c>
      <c r="J9" s="4" t="n">
        <f aca="false">Assumptions!J29</f>
        <v>0.6</v>
      </c>
      <c r="K9" s="4" t="n">
        <f aca="false">Assumptions!K29</f>
        <v>0.6</v>
      </c>
      <c r="L9" s="4" t="n">
        <f aca="false">Assumptions!L29</f>
        <v>0.6</v>
      </c>
    </row>
    <row r="10" customFormat="false" ht="15" hidden="false" customHeight="false" outlineLevel="0" collapsed="false">
      <c r="A10" s="0" t="s">
        <v>122</v>
      </c>
      <c r="C10" s="0" t="n">
        <f aca="false">-C6*C9/100</f>
        <v>-32.328747</v>
      </c>
      <c r="D10" s="0" t="n">
        <f aca="false">-D6*D9/100</f>
        <v>-33.460253145</v>
      </c>
      <c r="E10" s="0" t="n">
        <f aca="false">-E6*E9/100</f>
        <v>-34.631362005075</v>
      </c>
      <c r="F10" s="0" t="n">
        <f aca="false">-F6*F9/100</f>
        <v>-35.8434596752526</v>
      </c>
      <c r="G10" s="0" t="n">
        <f aca="false">-G6*G9/100</f>
        <v>-37.0979807638865</v>
      </c>
      <c r="H10" s="0" t="n">
        <f aca="false">-H6*H9/100</f>
        <v>-38.2109201868031</v>
      </c>
      <c r="I10" s="0" t="n">
        <f aca="false">-I6*I9/100</f>
        <v>-39.3572477924071</v>
      </c>
      <c r="J10" s="0" t="n">
        <f aca="false">-J6*J9/100</f>
        <v>-40.5379652261794</v>
      </c>
      <c r="K10" s="0" t="n">
        <f aca="false">-K6*K9/100</f>
        <v>-41.5514143568338</v>
      </c>
      <c r="L10" s="0" t="n">
        <f aca="false">-L6*L9/100</f>
        <v>-42.5901997157547</v>
      </c>
    </row>
    <row r="11" customFormat="false" ht="15" hidden="false" customHeight="false" outlineLevel="0" collapsed="false">
      <c r="A11" s="0" t="s">
        <v>123</v>
      </c>
      <c r="C11" s="0" t="n">
        <f aca="false">C8+C10+C24</f>
        <v>1497.898611</v>
      </c>
      <c r="D11" s="0" t="n">
        <f aca="false">D8+D10+D24</f>
        <v>1555.9017712425</v>
      </c>
      <c r="E11" s="0" t="n">
        <f aca="false">E8+E10+E24</f>
        <v>1616.1302269035</v>
      </c>
      <c r="F11" s="0" t="n">
        <f aca="false">F8+F10+F24</f>
        <v>1672.69478484512</v>
      </c>
      <c r="G11" s="0" t="n">
        <f aca="false">G8+G10+G24</f>
        <v>1731.2391023147</v>
      </c>
      <c r="H11" s="0" t="n">
        <f aca="false">H8+H10+H24</f>
        <v>1783.17627538414</v>
      </c>
      <c r="I11" s="0" t="n">
        <f aca="false">I8+I10+I24</f>
        <v>1836.67156364567</v>
      </c>
      <c r="J11" s="0" t="n">
        <f aca="false">J8+J10+J24</f>
        <v>1891.77171055504</v>
      </c>
      <c r="K11" s="0" t="n">
        <f aca="false">K8+K10+K24</f>
        <v>1939.06600331891</v>
      </c>
      <c r="L11" s="0" t="n">
        <f aca="false">L8+L10+L24</f>
        <v>1987.54265340189</v>
      </c>
    </row>
    <row r="12" customFormat="false" ht="15" hidden="false" customHeight="false" outlineLevel="0" collapsed="false">
      <c r="A12" s="0" t="s">
        <v>124</v>
      </c>
      <c r="C12" s="4" t="n">
        <f aca="false">-C6*Assumptions!C31/100</f>
        <v>-102.3743655</v>
      </c>
      <c r="D12" s="4" t="n">
        <f aca="false">-D6*Assumptions!D31/100</f>
        <v>-105.9574682925</v>
      </c>
      <c r="E12" s="4" t="n">
        <f aca="false">-E6*Assumptions!E31/100</f>
        <v>-109.665979682737</v>
      </c>
      <c r="F12" s="4" t="n">
        <f aca="false">-F6*Assumptions!F31/100</f>
        <v>-113.504288971633</v>
      </c>
      <c r="G12" s="4" t="n">
        <f aca="false">-G6*Assumptions!G31/100</f>
        <v>-117.47693908564</v>
      </c>
      <c r="H12" s="4" t="n">
        <f aca="false">-H6*Assumptions!H31/100</f>
        <v>-121.00124725821</v>
      </c>
      <c r="I12" s="4" t="n">
        <f aca="false">-I6*Assumptions!I31/100</f>
        <v>-124.631284675956</v>
      </c>
      <c r="J12" s="4" t="n">
        <f aca="false">-J6*Assumptions!J31/100</f>
        <v>-128.370223216235</v>
      </c>
      <c r="K12" s="4" t="n">
        <f aca="false">-K6*Assumptions!K31/100</f>
        <v>-131.57947879664</v>
      </c>
      <c r="L12" s="4" t="n">
        <f aca="false">-L6*Assumptions!L31/100</f>
        <v>-134.868965766556</v>
      </c>
    </row>
    <row r="13" customFormat="false" ht="15" hidden="false" customHeight="false" outlineLevel="0" collapsed="false">
      <c r="A13" s="0" t="s">
        <v>125</v>
      </c>
      <c r="C13" s="0" t="n">
        <f aca="false">C11+C12</f>
        <v>1395.5242455</v>
      </c>
      <c r="D13" s="0" t="n">
        <f aca="false">D11+D12</f>
        <v>1449.94430295</v>
      </c>
      <c r="E13" s="0" t="n">
        <f aca="false">E11+E12</f>
        <v>1506.46424722076</v>
      </c>
      <c r="F13" s="0" t="n">
        <f aca="false">F11+F12</f>
        <v>1559.19049587349</v>
      </c>
      <c r="G13" s="0" t="n">
        <f aca="false">G11+G12</f>
        <v>1613.76216322906</v>
      </c>
      <c r="H13" s="0" t="n">
        <f aca="false">H11+H12</f>
        <v>1662.17502812593</v>
      </c>
      <c r="I13" s="0" t="n">
        <f aca="false">I11+I12</f>
        <v>1712.04027896971</v>
      </c>
      <c r="J13" s="0" t="n">
        <f aca="false">J11+J12</f>
        <v>1763.4014873388</v>
      </c>
      <c r="K13" s="0" t="n">
        <f aca="false">K11+K12</f>
        <v>1807.48652452227</v>
      </c>
      <c r="L13" s="0" t="n">
        <f aca="false">L11+L12</f>
        <v>1852.67368763533</v>
      </c>
    </row>
    <row r="14" customFormat="false" ht="15" hidden="false" customHeight="false" outlineLevel="0" collapsed="false">
      <c r="A14" s="0" t="s">
        <v>111</v>
      </c>
      <c r="C14" s="4" t="n">
        <f aca="false">Assumptions!C33</f>
        <v>25</v>
      </c>
      <c r="D14" s="4" t="n">
        <f aca="false">Assumptions!D33</f>
        <v>25</v>
      </c>
      <c r="E14" s="4" t="n">
        <f aca="false">Assumptions!E33</f>
        <v>25</v>
      </c>
      <c r="F14" s="4" t="n">
        <f aca="false">Assumptions!F33</f>
        <v>25</v>
      </c>
      <c r="G14" s="4" t="n">
        <f aca="false">Assumptions!G33</f>
        <v>25</v>
      </c>
      <c r="H14" s="4" t="n">
        <f aca="false">Assumptions!H33</f>
        <v>25</v>
      </c>
      <c r="I14" s="4" t="n">
        <f aca="false">Assumptions!I33</f>
        <v>25</v>
      </c>
      <c r="J14" s="4" t="n">
        <f aca="false">Assumptions!J33</f>
        <v>25</v>
      </c>
      <c r="K14" s="4" t="n">
        <f aca="false">Assumptions!K33</f>
        <v>25</v>
      </c>
      <c r="L14" s="4" t="n">
        <f aca="false">Assumptions!L33</f>
        <v>25</v>
      </c>
    </row>
    <row r="15" customFormat="false" ht="15" hidden="false" customHeight="false" outlineLevel="0" collapsed="false">
      <c r="A15" s="0" t="s">
        <v>126</v>
      </c>
      <c r="C15" s="0" t="n">
        <f aca="false">C13-MAX(0,C13)*C14/100</f>
        <v>1046.643184125</v>
      </c>
      <c r="D15" s="0" t="n">
        <f aca="false">D13-MAX(0,D13)*D14/100</f>
        <v>1087.4582272125</v>
      </c>
      <c r="E15" s="0" t="n">
        <f aca="false">E13-MAX(0,E13)*E14/100</f>
        <v>1129.84818541557</v>
      </c>
      <c r="F15" s="0" t="n">
        <f aca="false">F13-MAX(0,F13)*F14/100</f>
        <v>1169.39287190512</v>
      </c>
      <c r="G15" s="0" t="n">
        <f aca="false">G13-MAX(0,G13)*G14/100</f>
        <v>1210.3216224218</v>
      </c>
      <c r="H15" s="0" t="n">
        <f aca="false">H13-MAX(0,H13)*H14/100</f>
        <v>1246.63127109445</v>
      </c>
      <c r="I15" s="0" t="n">
        <f aca="false">I13-MAX(0,I13)*I14/100</f>
        <v>1284.03020922728</v>
      </c>
      <c r="J15" s="0" t="n">
        <f aca="false">J13-MAX(0,J13)*J14/100</f>
        <v>1322.5511155041</v>
      </c>
      <c r="K15" s="0" t="n">
        <f aca="false">K13-MAX(0,K13)*K14/100</f>
        <v>1355.6148933917</v>
      </c>
      <c r="L15" s="0" t="n">
        <f aca="false">L13-MAX(0,L13)*L14/100</f>
        <v>1389.5052657265</v>
      </c>
    </row>
    <row r="16" customFormat="false" ht="15" hidden="false" customHeight="false" outlineLevel="0" collapsed="false">
      <c r="A16" s="0" t="s">
        <v>127</v>
      </c>
      <c r="C16" s="0" t="n">
        <f aca="false">-C12</f>
        <v>102.3743655</v>
      </c>
      <c r="D16" s="0" t="n">
        <f aca="false">-D12</f>
        <v>105.9574682925</v>
      </c>
      <c r="E16" s="0" t="n">
        <f aca="false">-E12</f>
        <v>109.665979682737</v>
      </c>
      <c r="F16" s="0" t="n">
        <f aca="false">-F12</f>
        <v>113.504288971633</v>
      </c>
      <c r="G16" s="0" t="n">
        <f aca="false">-G12</f>
        <v>117.47693908564</v>
      </c>
      <c r="H16" s="0" t="n">
        <f aca="false">-H12</f>
        <v>121.00124725821</v>
      </c>
      <c r="I16" s="0" t="n">
        <f aca="false">-I12</f>
        <v>124.631284675956</v>
      </c>
      <c r="J16" s="0" t="n">
        <f aca="false">-J12</f>
        <v>128.370223216235</v>
      </c>
      <c r="K16" s="0" t="n">
        <f aca="false">-K12</f>
        <v>131.57947879664</v>
      </c>
      <c r="L16" s="0" t="n">
        <f aca="false">-L12</f>
        <v>134.868965766556</v>
      </c>
    </row>
    <row r="17" customFormat="false" ht="15" hidden="false" customHeight="false" outlineLevel="0" collapsed="false">
      <c r="A17" s="0" t="s">
        <v>128</v>
      </c>
      <c r="C17" s="4" t="n">
        <f aca="false">-C6*Assumptions!C32/100</f>
        <v>-102.3743655</v>
      </c>
      <c r="D17" s="4" t="n">
        <f aca="false">-D6*Assumptions!D32/100</f>
        <v>-105.9574682925</v>
      </c>
      <c r="E17" s="4" t="n">
        <f aca="false">-E6*Assumptions!E32/100</f>
        <v>-106.780032848981</v>
      </c>
      <c r="F17" s="4" t="n">
        <f aca="false">-F6*Assumptions!F32/100</f>
        <v>-107.530379025758</v>
      </c>
      <c r="G17" s="4" t="n">
        <f aca="false">-G6*Assumptions!G32/100</f>
        <v>-111.293942291659</v>
      </c>
      <c r="H17" s="4" t="n">
        <f aca="false">-H6*Assumptions!H32/100</f>
        <v>-114.632760560409</v>
      </c>
      <c r="I17" s="4" t="n">
        <f aca="false">-I6*Assumptions!I32/100</f>
        <v>-118.071743377221</v>
      </c>
      <c r="J17" s="4" t="n">
        <f aca="false">-J6*Assumptions!J32/100</f>
        <v>-121.613895678538</v>
      </c>
      <c r="K17" s="4" t="n">
        <f aca="false">-K6*Assumptions!K32/100</f>
        <v>-124.654243070502</v>
      </c>
      <c r="L17" s="4" t="n">
        <f aca="false">-L6*Assumptions!L32/100</f>
        <v>-127.770599147264</v>
      </c>
    </row>
    <row r="18" customFormat="false" ht="15" hidden="false" customHeight="false" outlineLevel="0" collapsed="false">
      <c r="A18" s="0" t="s">
        <v>129</v>
      </c>
      <c r="C18" s="4" t="n">
        <f aca="false">(C6-B6)*Assumptions!$B$37/100</f>
        <v>-139.2147</v>
      </c>
      <c r="D18" s="4" t="n">
        <f aca="false">(D6-C6)*Assumptions!$B$37/100</f>
        <v>-113.1506145</v>
      </c>
      <c r="E18" s="4" t="n">
        <f aca="false">(E6-D6)*Assumptions!$B$37/100</f>
        <v>-117.1108860075</v>
      </c>
      <c r="F18" s="4" t="n">
        <f aca="false">(F6-E6)*Assumptions!$B$37/100</f>
        <v>-121.209767017762</v>
      </c>
      <c r="G18" s="4" t="n">
        <f aca="false">(G6-F6)*Assumptions!$B$37/100</f>
        <v>-125.452108863384</v>
      </c>
      <c r="H18" s="4" t="n">
        <f aca="false">(H6-G6)*Assumptions!$B$37/100</f>
        <v>-111.29394229166</v>
      </c>
      <c r="I18" s="4" t="n">
        <f aca="false">(I6-H6)*Assumptions!$B$37/100</f>
        <v>-114.632760560409</v>
      </c>
      <c r="J18" s="4" t="n">
        <f aca="false">(J6-I6)*Assumptions!$B$37/100</f>
        <v>-118.071743377222</v>
      </c>
      <c r="K18" s="4" t="n">
        <f aca="false">(K6-J6)*Assumptions!$B$37/100</f>
        <v>-101.344913065448</v>
      </c>
      <c r="L18" s="4" t="n">
        <f aca="false">(L6-K6)*Assumptions!$B$37/100</f>
        <v>-103.878535892084</v>
      </c>
    </row>
    <row r="19" customFormat="false" ht="15" hidden="false" customHeight="false" outlineLevel="0" collapsed="false">
      <c r="A19" s="0" t="s">
        <v>130</v>
      </c>
      <c r="C19" s="0" t="n">
        <f aca="false">C15+C16+C17+C18</f>
        <v>907.428484125</v>
      </c>
      <c r="D19" s="0" t="n">
        <f aca="false">D15+D16+D17+D18</f>
        <v>974.3076127125</v>
      </c>
      <c r="E19" s="0" t="n">
        <f aca="false">E15+E16+E17+E18</f>
        <v>1015.62324624183</v>
      </c>
      <c r="F19" s="0" t="n">
        <f aca="false">F15+F16+F17+F18</f>
        <v>1054.15701483323</v>
      </c>
      <c r="G19" s="0" t="n">
        <f aca="false">G15+G16+G17+G18</f>
        <v>1091.05251035239</v>
      </c>
      <c r="H19" s="0" t="n">
        <f aca="false">H15+H16+H17+H18</f>
        <v>1141.70581550059</v>
      </c>
      <c r="I19" s="0" t="n">
        <f aca="false">I15+I16+I17+I18</f>
        <v>1175.95698996561</v>
      </c>
      <c r="J19" s="0" t="n">
        <f aca="false">J15+J16+J17+J18</f>
        <v>1211.23569966458</v>
      </c>
      <c r="K19" s="0" t="n">
        <f aca="false">K15+K16+K17+K18</f>
        <v>1261.1952160524</v>
      </c>
      <c r="L19" s="0" t="n">
        <f aca="false">L15+L16+L17+L18</f>
        <v>1292.7250964537</v>
      </c>
    </row>
    <row r="20" customFormat="false" ht="15" hidden="false" customHeight="false" outlineLevel="0" collapsed="false">
      <c r="A20" s="0" t="s">
        <v>131</v>
      </c>
      <c r="C20" s="0" t="n">
        <f aca="false">1/(1+$B$27/100)^C4</f>
        <v>0.921658986175115</v>
      </c>
      <c r="D20" s="0" t="n">
        <f aca="false">1/(1+$B$27/100)^D4</f>
        <v>0.849455286797341</v>
      </c>
      <c r="E20" s="0" t="n">
        <f aca="false">1/(1+$B$27/100)^E4</f>
        <v>0.782908098430729</v>
      </c>
      <c r="F20" s="0" t="n">
        <f aca="false">1/(1+$B$27/100)^F4</f>
        <v>0.721574284267953</v>
      </c>
      <c r="G20" s="0" t="n">
        <f aca="false">1/(1+$B$27/100)^G4</f>
        <v>0.665045423288436</v>
      </c>
      <c r="H20" s="0" t="n">
        <f aca="false">1/(1+$B$27/100)^H4</f>
        <v>0.612945090588421</v>
      </c>
      <c r="I20" s="0" t="n">
        <f aca="false">1/(1+$B$27/100)^I4</f>
        <v>0.564926350772738</v>
      </c>
      <c r="J20" s="0" t="n">
        <f aca="false">1/(1+$B$27/100)^J4</f>
        <v>0.520669447716809</v>
      </c>
      <c r="K20" s="0" t="n">
        <f aca="false">1/(1+$B$27/100)^K4</f>
        <v>0.479879675315031</v>
      </c>
      <c r="L20" s="0" t="n">
        <f aca="false">1/(1+$B$27/100)^L4</f>
        <v>0.442285415036895</v>
      </c>
    </row>
    <row r="21" customFormat="false" ht="15" hidden="false" customHeight="false" outlineLevel="0" collapsed="false">
      <c r="A21" s="0" t="s">
        <v>132</v>
      </c>
      <c r="C21" s="0" t="n">
        <f aca="false">C19*C20</f>
        <v>836.339616705069</v>
      </c>
      <c r="D21" s="0" t="n">
        <f aca="false">D19*D20</f>
        <v>827.63075258553</v>
      </c>
      <c r="E21" s="0" t="n">
        <f aca="false">E19*E20</f>
        <v>795.139664437234</v>
      </c>
      <c r="F21" s="0" t="n">
        <f aca="false">F19*F20</f>
        <v>760.65259348433</v>
      </c>
      <c r="G21" s="0" t="n">
        <f aca="false">G19*G20</f>
        <v>725.599478577218</v>
      </c>
      <c r="H21" s="0" t="n">
        <f aca="false">H19*H20</f>
        <v>699.802974507336</v>
      </c>
      <c r="I21" s="0" t="n">
        <f aca="false">I19*I20</f>
        <v>664.329091006964</v>
      </c>
      <c r="J21" s="0" t="n">
        <f aca="false">J19*J20</f>
        <v>630.653422799238</v>
      </c>
      <c r="K21" s="0" t="n">
        <f aca="false">K19*K20</f>
        <v>605.221950788094</v>
      </c>
      <c r="L21" s="0" t="n">
        <f aca="false">L19*L20</f>
        <v>571.753455813637</v>
      </c>
    </row>
    <row r="23" customFormat="false" ht="15" hidden="false" customHeight="false" outlineLevel="0" collapsed="false">
      <c r="A23" s="0" t="s">
        <v>108</v>
      </c>
      <c r="C23" s="4" t="n">
        <f aca="false">Assumptions!C30</f>
        <v>0</v>
      </c>
      <c r="D23" s="4" t="n">
        <f aca="false">Assumptions!D30</f>
        <v>0</v>
      </c>
      <c r="E23" s="4" t="n">
        <f aca="false">Assumptions!E30</f>
        <v>0</v>
      </c>
      <c r="F23" s="4" t="n">
        <f aca="false">Assumptions!F30</f>
        <v>0</v>
      </c>
      <c r="G23" s="4" t="n">
        <f aca="false">Assumptions!G30</f>
        <v>0</v>
      </c>
      <c r="H23" s="4" t="n">
        <f aca="false">Assumptions!H30</f>
        <v>0</v>
      </c>
      <c r="I23" s="4" t="n">
        <f aca="false">Assumptions!I30</f>
        <v>0</v>
      </c>
      <c r="J23" s="4" t="n">
        <f aca="false">Assumptions!J30</f>
        <v>0</v>
      </c>
      <c r="K23" s="4" t="n">
        <f aca="false">Assumptions!K30</f>
        <v>0</v>
      </c>
      <c r="L23" s="4" t="n">
        <f aca="false">Assumptions!L30</f>
        <v>0</v>
      </c>
    </row>
    <row r="24" customFormat="false" ht="15" hidden="false" customHeight="false" outlineLevel="0" collapsed="false">
      <c r="A24" s="0" t="s">
        <v>133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134</v>
      </c>
    </row>
    <row r="27" customFormat="false" ht="15" hidden="false" customHeight="false" outlineLevel="0" collapsed="false">
      <c r="A27" s="0" t="s">
        <v>112</v>
      </c>
      <c r="B27" s="4" t="n">
        <f aca="false">Assumptions!$B$34</f>
        <v>8.5</v>
      </c>
    </row>
    <row r="28" customFormat="false" ht="15" hidden="false" customHeight="false" outlineLevel="0" collapsed="false">
      <c r="A28" s="0" t="s">
        <v>113</v>
      </c>
      <c r="B28" s="4" t="n">
        <f aca="false">Assumptions!$B$35</f>
        <v>2.5</v>
      </c>
    </row>
    <row r="29" customFormat="false" ht="15" hidden="false" customHeight="false" outlineLevel="0" collapsed="false">
      <c r="A29" s="0" t="s">
        <v>114</v>
      </c>
      <c r="B29" s="4" t="n">
        <f aca="false">Assumptions!$B$36</f>
        <v>16</v>
      </c>
    </row>
    <row r="30" customFormat="false" ht="15" hidden="false" customHeight="false" outlineLevel="0" collapsed="false">
      <c r="A30" s="0" t="s">
        <v>135</v>
      </c>
      <c r="B30" s="0" t="n">
        <f aca="false">SUM(C21:L21)</f>
        <v>7117.12300070465</v>
      </c>
    </row>
    <row r="31" customFormat="false" ht="15" hidden="false" customHeight="false" outlineLevel="0" collapsed="false">
      <c r="A31" s="0" t="s">
        <v>136</v>
      </c>
      <c r="B31" s="0" t="n">
        <f aca="false">L19</f>
        <v>1292.7250964537</v>
      </c>
    </row>
    <row r="32" customFormat="false" ht="15" hidden="false" customHeight="false" outlineLevel="0" collapsed="false">
      <c r="A32" s="0" t="s">
        <v>137</v>
      </c>
      <c r="B32" s="0" t="n">
        <f aca="false">IF(B27&gt;B28,B31*(1+B28/100)/((B27-B28)/100),B31*B29)</f>
        <v>22084.0537310841</v>
      </c>
    </row>
    <row r="33" customFormat="false" ht="15" hidden="false" customHeight="false" outlineLevel="0" collapsed="false">
      <c r="A33" s="0" t="s">
        <v>138</v>
      </c>
      <c r="B33" s="0" t="n">
        <f aca="false">B31*B29</f>
        <v>20683.6015432593</v>
      </c>
    </row>
    <row r="34" customFormat="false" ht="15" hidden="false" customHeight="false" outlineLevel="0" collapsed="false">
      <c r="A34" s="0" t="s">
        <v>139</v>
      </c>
      <c r="B34" s="0" t="n">
        <f aca="false">MAX(0,MIN(B32,B33))</f>
        <v>20683.6015432593</v>
      </c>
    </row>
    <row r="35" customFormat="false" ht="15" hidden="false" customHeight="false" outlineLevel="0" collapsed="false">
      <c r="A35" s="0" t="s">
        <v>140</v>
      </c>
      <c r="B35" s="0" t="n">
        <f aca="false">B34/(1+B27/100)^L4</f>
        <v>9148.0552930182</v>
      </c>
    </row>
    <row r="36" customFormat="false" ht="15" hidden="false" customHeight="false" outlineLevel="0" collapsed="false">
      <c r="A36" s="0" t="s">
        <v>141</v>
      </c>
      <c r="B36" s="0" t="n">
        <f aca="false">B30+B35</f>
        <v>16265.1782937228</v>
      </c>
    </row>
    <row r="37" customFormat="false" ht="15" hidden="false" customHeight="false" outlineLevel="0" collapsed="false">
      <c r="A37" s="0" t="s">
        <v>142</v>
      </c>
      <c r="B37" s="0" t="n">
        <f aca="false">B36+Assumptions!$B$5-Assumptions!$B$4</f>
        <v>16632.2782937228</v>
      </c>
    </row>
    <row r="38" customFormat="false" ht="15" hidden="false" customHeight="false" outlineLevel="0" collapsed="false">
      <c r="A38" s="0" t="s">
        <v>143</v>
      </c>
      <c r="B38" s="0" t="n">
        <f aca="false">B37/Assumptions!$B$3*Assumptions!$B$10</f>
        <v>316.805300832816</v>
      </c>
    </row>
    <row r="39" customFormat="false" ht="15" hidden="false" customHeight="false" outlineLevel="0" collapsed="false">
      <c r="A39" s="0" t="s">
        <v>144</v>
      </c>
      <c r="B39" s="4" t="n">
        <f aca="false">B38/Assumptions!$B$2-1</f>
        <v>-0.138460511169324</v>
      </c>
    </row>
    <row r="41" customFormat="false" ht="15" hidden="false" customHeight="false" outlineLevel="0" collapsed="false">
      <c r="A41" s="0" t="s">
        <v>145</v>
      </c>
      <c r="B41" s="0" t="n">
        <f aca="false">SUMPRODUCT(-C10:L10/(1+$B$27/100)^C4:L4)</f>
        <v>241.406529631804</v>
      </c>
    </row>
    <row r="42" customFormat="false" ht="15" hidden="false" customHeight="false" outlineLevel="0" collapsed="false">
      <c r="A42" s="0" t="s">
        <v>146</v>
      </c>
      <c r="B42" s="0" t="n">
        <f aca="false">IF(B27&gt;B28,-L10*(1+B28/100)/((B27-B28)/100),-L10*20)/(1+B27/100)^L4</f>
        <v>321.799162695525</v>
      </c>
    </row>
    <row r="43" customFormat="false" ht="15" hidden="false" customHeight="false" outlineLevel="0" collapsed="false">
      <c r="A43" s="0" t="s">
        <v>147</v>
      </c>
      <c r="B43" s="0" t="n">
        <f aca="false">(B37+B41+B42)/Assumptions!$B$3*Assumptions!$B$10</f>
        <v>327.533028305718</v>
      </c>
    </row>
    <row r="45" customFormat="false" ht="15" hidden="false" customHeight="false" outlineLevel="0" collapsed="false">
      <c r="A45" s="0" t="s">
        <v>88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148</v>
      </c>
      <c r="B46" s="0" t="n">
        <f aca="false">MAX(0,MIN(IF(B45&gt;B28,B31*(1+B28/100)/((B45-B28)/100),B31*B29),B31*B29))</f>
        <v>10600.3457909204</v>
      </c>
    </row>
    <row r="47" customFormat="false" ht="15" hidden="false" customHeight="false" outlineLevel="0" collapsed="false">
      <c r="A47" s="0" t="s">
        <v>149</v>
      </c>
      <c r="B47" s="0" t="n">
        <f aca="false">(SUMPRODUCT(C19:L19/(1+B45/100)^C4:L4)+B46/(1+B45/100)^L4+Assumptions!$B$5-Assumptions!$B$4)/Assumptions!$B$3*Assumptions!$B$10</f>
        <v>158.776468838907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151</v>
      </c>
    </row>
    <row r="3" customFormat="false" ht="15" hidden="false" customHeight="false" outlineLevel="0" collapsed="false">
      <c r="A3" s="0" t="s">
        <v>120</v>
      </c>
      <c r="B3" s="0" t="s">
        <v>81</v>
      </c>
      <c r="C3" s="2" t="s">
        <v>95</v>
      </c>
      <c r="D3" s="2" t="s">
        <v>96</v>
      </c>
      <c r="E3" s="2" t="s">
        <v>97</v>
      </c>
      <c r="F3" s="2" t="s">
        <v>98</v>
      </c>
      <c r="G3" s="2" t="s">
        <v>99</v>
      </c>
      <c r="H3" s="2" t="s">
        <v>100</v>
      </c>
      <c r="I3" s="2" t="s">
        <v>101</v>
      </c>
      <c r="J3" s="2" t="s">
        <v>102</v>
      </c>
      <c r="K3" s="2" t="s">
        <v>103</v>
      </c>
      <c r="L3" s="2" t="s">
        <v>104</v>
      </c>
    </row>
    <row r="4" customFormat="false" ht="15" hidden="false" customHeight="false" outlineLevel="0" collapsed="false">
      <c r="A4" s="0" t="s">
        <v>121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105</v>
      </c>
      <c r="C5" s="4" t="n">
        <f aca="false">Assumptions!C41</f>
        <v>5</v>
      </c>
      <c r="D5" s="4" t="n">
        <f aca="false">Assumptions!D41</f>
        <v>5.5</v>
      </c>
      <c r="E5" s="4" t="n">
        <f aca="false">Assumptions!E41</f>
        <v>5.5</v>
      </c>
      <c r="F5" s="4" t="n">
        <f aca="false">Assumptions!F41</f>
        <v>5</v>
      </c>
      <c r="G5" s="4" t="n">
        <f aca="false">Assumptions!G41</f>
        <v>5</v>
      </c>
      <c r="H5" s="4" t="n">
        <f aca="false">Assumptions!H41</f>
        <v>4.5</v>
      </c>
      <c r="I5" s="4" t="n">
        <f aca="false">Assumptions!I41</f>
        <v>4</v>
      </c>
      <c r="J5" s="4" t="n">
        <f aca="false">Assumptions!J41</f>
        <v>3.5</v>
      </c>
      <c r="K5" s="4" t="n">
        <f aca="false">Assumptions!K41</f>
        <v>3</v>
      </c>
      <c r="L5" s="4" t="n">
        <f aca="false">Assumptions!L41</f>
        <v>3</v>
      </c>
    </row>
    <row r="6" customFormat="false" ht="15" hidden="false" customHeight="false" outlineLevel="0" collapsed="false">
      <c r="A6" s="0" t="s">
        <v>37</v>
      </c>
      <c r="B6" s="3" t="n">
        <v>5156.1</v>
      </c>
      <c r="C6" s="0" t="n">
        <f aca="false">B6*(1+C5/100)</f>
        <v>5413.905</v>
      </c>
      <c r="D6" s="0" t="n">
        <f aca="false">C6*(1+D5/100)</f>
        <v>5711.669775</v>
      </c>
      <c r="E6" s="0" t="n">
        <f aca="false">D6*(1+E5/100)</f>
        <v>6025.811612625</v>
      </c>
      <c r="F6" s="0" t="n">
        <f aca="false">E6*(1+F5/100)</f>
        <v>6327.10219325625</v>
      </c>
      <c r="G6" s="0" t="n">
        <f aca="false">F6*(1+G5/100)</f>
        <v>6643.45730291906</v>
      </c>
      <c r="H6" s="0" t="n">
        <f aca="false">G6*(1+H5/100)</f>
        <v>6942.41288155042</v>
      </c>
      <c r="I6" s="0" t="n">
        <f aca="false">H6*(1+I5/100)</f>
        <v>7220.10939681244</v>
      </c>
      <c r="J6" s="0" t="n">
        <f aca="false">I6*(1+J5/100)</f>
        <v>7472.81322570087</v>
      </c>
      <c r="K6" s="0" t="n">
        <f aca="false">J6*(1+K5/100)</f>
        <v>7696.9976224719</v>
      </c>
      <c r="L6" s="0" t="n">
        <f aca="false">K6*(1+L5/100)</f>
        <v>7927.90755114606</v>
      </c>
    </row>
    <row r="7" customFormat="false" ht="15" hidden="false" customHeight="false" outlineLevel="0" collapsed="false">
      <c r="A7" s="0" t="s">
        <v>106</v>
      </c>
      <c r="C7" s="4" t="n">
        <f aca="false">Assumptions!C42</f>
        <v>28.6</v>
      </c>
      <c r="D7" s="4" t="n">
        <f aca="false">Assumptions!D42</f>
        <v>29</v>
      </c>
      <c r="E7" s="4" t="n">
        <f aca="false">Assumptions!E42</f>
        <v>29.3</v>
      </c>
      <c r="F7" s="4" t="n">
        <f aca="false">Assumptions!F42</f>
        <v>29.6</v>
      </c>
      <c r="G7" s="4" t="n">
        <f aca="false">Assumptions!G42</f>
        <v>29.8</v>
      </c>
      <c r="H7" s="4" t="n">
        <f aca="false">Assumptions!H42</f>
        <v>30</v>
      </c>
      <c r="I7" s="4" t="n">
        <f aca="false">Assumptions!I42</f>
        <v>30</v>
      </c>
      <c r="J7" s="4" t="n">
        <f aca="false">Assumptions!J42</f>
        <v>30</v>
      </c>
      <c r="K7" s="4" t="n">
        <f aca="false">Assumptions!K42</f>
        <v>30</v>
      </c>
      <c r="L7" s="4" t="n">
        <f aca="false">Assumptions!L42</f>
        <v>30</v>
      </c>
    </row>
    <row r="8" customFormat="false" ht="15" hidden="false" customHeight="false" outlineLevel="0" collapsed="false">
      <c r="A8" s="0" t="s">
        <v>43</v>
      </c>
      <c r="C8" s="0" t="n">
        <f aca="false">C6*C7/100</f>
        <v>1548.37683</v>
      </c>
      <c r="D8" s="0" t="n">
        <f aca="false">D6*D7/100</f>
        <v>1656.38423475</v>
      </c>
      <c r="E8" s="0" t="n">
        <f aca="false">E6*E7/100</f>
        <v>1765.56280249913</v>
      </c>
      <c r="F8" s="0" t="n">
        <f aca="false">F6*F7/100</f>
        <v>1872.82224920385</v>
      </c>
      <c r="G8" s="0" t="n">
        <f aca="false">G6*G7/100</f>
        <v>1979.75027626988</v>
      </c>
      <c r="H8" s="0" t="n">
        <f aca="false">H6*H7/100</f>
        <v>2082.72386446513</v>
      </c>
      <c r="I8" s="0" t="n">
        <f aca="false">I6*I7/100</f>
        <v>2166.03281904373</v>
      </c>
      <c r="J8" s="0" t="n">
        <f aca="false">J6*J7/100</f>
        <v>2241.84396771026</v>
      </c>
      <c r="K8" s="0" t="n">
        <f aca="false">K6*K7/100</f>
        <v>2309.09928674157</v>
      </c>
      <c r="L8" s="0" t="n">
        <f aca="false">L6*L7/100</f>
        <v>2378.37226534382</v>
      </c>
    </row>
    <row r="9" customFormat="false" ht="15" hidden="false" customHeight="false" outlineLevel="0" collapsed="false">
      <c r="A9" s="0" t="s">
        <v>107</v>
      </c>
      <c r="C9" s="4" t="n">
        <f aca="false">Assumptions!C43</f>
        <v>0.6</v>
      </c>
      <c r="D9" s="4" t="n">
        <f aca="false">Assumptions!D43</f>
        <v>0.6</v>
      </c>
      <c r="E9" s="4" t="n">
        <f aca="false">Assumptions!E43</f>
        <v>0.6</v>
      </c>
      <c r="F9" s="4" t="n">
        <f aca="false">Assumptions!F43</f>
        <v>0.6</v>
      </c>
      <c r="G9" s="4" t="n">
        <f aca="false">Assumptions!G43</f>
        <v>0.6</v>
      </c>
      <c r="H9" s="4" t="n">
        <f aca="false">Assumptions!H43</f>
        <v>0.6</v>
      </c>
      <c r="I9" s="4" t="n">
        <f aca="false">Assumptions!I43</f>
        <v>0.6</v>
      </c>
      <c r="J9" s="4" t="n">
        <f aca="false">Assumptions!J43</f>
        <v>0.6</v>
      </c>
      <c r="K9" s="4" t="n">
        <f aca="false">Assumptions!K43</f>
        <v>0.6</v>
      </c>
      <c r="L9" s="4" t="n">
        <f aca="false">Assumptions!L43</f>
        <v>0.6</v>
      </c>
    </row>
    <row r="10" customFormat="false" ht="15" hidden="false" customHeight="false" outlineLevel="0" collapsed="false">
      <c r="A10" s="0" t="s">
        <v>122</v>
      </c>
      <c r="C10" s="0" t="n">
        <f aca="false">-C6*C9/100</f>
        <v>-32.48343</v>
      </c>
      <c r="D10" s="0" t="n">
        <f aca="false">-D6*D9/100</f>
        <v>-34.27001865</v>
      </c>
      <c r="E10" s="0" t="n">
        <f aca="false">-E6*E9/100</f>
        <v>-36.15486967575</v>
      </c>
      <c r="F10" s="0" t="n">
        <f aca="false">-F6*F9/100</f>
        <v>-37.9626131595375</v>
      </c>
      <c r="G10" s="0" t="n">
        <f aca="false">-G6*G9/100</f>
        <v>-39.8607438175144</v>
      </c>
      <c r="H10" s="0" t="n">
        <f aca="false">-H6*H9/100</f>
        <v>-41.6544772893025</v>
      </c>
      <c r="I10" s="0" t="n">
        <f aca="false">-I6*I9/100</f>
        <v>-43.3206563808746</v>
      </c>
      <c r="J10" s="0" t="n">
        <f aca="false">-J6*J9/100</f>
        <v>-44.8368793542052</v>
      </c>
      <c r="K10" s="0" t="n">
        <f aca="false">-K6*K9/100</f>
        <v>-46.1819857348314</v>
      </c>
      <c r="L10" s="0" t="n">
        <f aca="false">-L6*L9/100</f>
        <v>-47.5674453068763</v>
      </c>
    </row>
    <row r="11" customFormat="false" ht="15" hidden="false" customHeight="false" outlineLevel="0" collapsed="false">
      <c r="A11" s="0" t="s">
        <v>123</v>
      </c>
      <c r="C11" s="0" t="n">
        <f aca="false">C8+C10+C24</f>
        <v>1515.8934</v>
      </c>
      <c r="D11" s="0" t="n">
        <f aca="false">D8+D10+D24</f>
        <v>1622.1142161</v>
      </c>
      <c r="E11" s="0" t="n">
        <f aca="false">E8+E10+E24</f>
        <v>1729.40793282338</v>
      </c>
      <c r="F11" s="0" t="n">
        <f aca="false">F8+F10+F24</f>
        <v>1834.85963604431</v>
      </c>
      <c r="G11" s="0" t="n">
        <f aca="false">G8+G10+G24</f>
        <v>1939.88953245237</v>
      </c>
      <c r="H11" s="0" t="n">
        <f aca="false">H8+H10+H24</f>
        <v>2041.06938717582</v>
      </c>
      <c r="I11" s="0" t="n">
        <f aca="false">I8+I10+I24</f>
        <v>2122.71216266286</v>
      </c>
      <c r="J11" s="0" t="n">
        <f aca="false">J8+J10+J24</f>
        <v>2197.00708835606</v>
      </c>
      <c r="K11" s="0" t="n">
        <f aca="false">K8+K10+K24</f>
        <v>2262.91730100674</v>
      </c>
      <c r="L11" s="0" t="n">
        <f aca="false">L8+L10+L24</f>
        <v>2330.80482003694</v>
      </c>
    </row>
    <row r="12" customFormat="false" ht="15" hidden="false" customHeight="false" outlineLevel="0" collapsed="false">
      <c r="A12" s="0" t="s">
        <v>124</v>
      </c>
      <c r="C12" s="4" t="n">
        <f aca="false">-C6*Assumptions!C45/100</f>
        <v>-102.864195</v>
      </c>
      <c r="D12" s="4" t="n">
        <f aca="false">-D6*Assumptions!D45/100</f>
        <v>-108.521725725</v>
      </c>
      <c r="E12" s="4" t="n">
        <f aca="false">-E6*Assumptions!E45/100</f>
        <v>-114.490420639875</v>
      </c>
      <c r="F12" s="4" t="n">
        <f aca="false">-F6*Assumptions!F45/100</f>
        <v>-120.214941671869</v>
      </c>
      <c r="G12" s="4" t="n">
        <f aca="false">-G6*Assumptions!G45/100</f>
        <v>-126.225688755462</v>
      </c>
      <c r="H12" s="4" t="n">
        <f aca="false">-H6*Assumptions!H45/100</f>
        <v>-131.905844749458</v>
      </c>
      <c r="I12" s="4" t="n">
        <f aca="false">-I6*Assumptions!I45/100</f>
        <v>-137.182078539436</v>
      </c>
      <c r="J12" s="4" t="n">
        <f aca="false">-J6*Assumptions!J45/100</f>
        <v>-141.983451288317</v>
      </c>
      <c r="K12" s="4" t="n">
        <f aca="false">-K6*Assumptions!K45/100</f>
        <v>-146.242954826966</v>
      </c>
      <c r="L12" s="4" t="n">
        <f aca="false">-L6*Assumptions!L45/100</f>
        <v>-150.630243471775</v>
      </c>
    </row>
    <row r="13" customFormat="false" ht="15" hidden="false" customHeight="false" outlineLevel="0" collapsed="false">
      <c r="A13" s="0" t="s">
        <v>125</v>
      </c>
      <c r="C13" s="0" t="n">
        <f aca="false">C11+C12</f>
        <v>1413.029205</v>
      </c>
      <c r="D13" s="0" t="n">
        <f aca="false">D11+D12</f>
        <v>1513.592490375</v>
      </c>
      <c r="E13" s="0" t="n">
        <f aca="false">E11+E12</f>
        <v>1614.9175121835</v>
      </c>
      <c r="F13" s="0" t="n">
        <f aca="false">F11+F12</f>
        <v>1714.64469437244</v>
      </c>
      <c r="G13" s="0" t="n">
        <f aca="false">G11+G12</f>
        <v>1813.6638436969</v>
      </c>
      <c r="H13" s="0" t="n">
        <f aca="false">H11+H12</f>
        <v>1909.16354242637</v>
      </c>
      <c r="I13" s="0" t="n">
        <f aca="false">I11+I12</f>
        <v>1985.53008412342</v>
      </c>
      <c r="J13" s="0" t="n">
        <f aca="false">J11+J12</f>
        <v>2055.02363706774</v>
      </c>
      <c r="K13" s="0" t="n">
        <f aca="false">K11+K12</f>
        <v>2116.67434617977</v>
      </c>
      <c r="L13" s="0" t="n">
        <f aca="false">L11+L12</f>
        <v>2180.17457656517</v>
      </c>
    </row>
    <row r="14" customFormat="false" ht="15" hidden="false" customHeight="false" outlineLevel="0" collapsed="false">
      <c r="A14" s="0" t="s">
        <v>111</v>
      </c>
      <c r="C14" s="4" t="n">
        <f aca="false">Assumptions!C47</f>
        <v>25</v>
      </c>
      <c r="D14" s="4" t="n">
        <f aca="false">Assumptions!D47</f>
        <v>25</v>
      </c>
      <c r="E14" s="4" t="n">
        <f aca="false">Assumptions!E47</f>
        <v>25</v>
      </c>
      <c r="F14" s="4" t="n">
        <f aca="false">Assumptions!F47</f>
        <v>25</v>
      </c>
      <c r="G14" s="4" t="n">
        <f aca="false">Assumptions!G47</f>
        <v>25</v>
      </c>
      <c r="H14" s="4" t="n">
        <f aca="false">Assumptions!H47</f>
        <v>25</v>
      </c>
      <c r="I14" s="4" t="n">
        <f aca="false">Assumptions!I47</f>
        <v>25</v>
      </c>
      <c r="J14" s="4" t="n">
        <f aca="false">Assumptions!J47</f>
        <v>25</v>
      </c>
      <c r="K14" s="4" t="n">
        <f aca="false">Assumptions!K47</f>
        <v>25</v>
      </c>
      <c r="L14" s="4" t="n">
        <f aca="false">Assumptions!L47</f>
        <v>25</v>
      </c>
    </row>
    <row r="15" customFormat="false" ht="15" hidden="false" customHeight="false" outlineLevel="0" collapsed="false">
      <c r="A15" s="0" t="s">
        <v>126</v>
      </c>
      <c r="C15" s="0" t="n">
        <f aca="false">C13-MAX(0,C13)*C14/100</f>
        <v>1059.77190375</v>
      </c>
      <c r="D15" s="0" t="n">
        <f aca="false">D13-MAX(0,D13)*D14/100</f>
        <v>1135.19436778125</v>
      </c>
      <c r="E15" s="0" t="n">
        <f aca="false">E13-MAX(0,E13)*E14/100</f>
        <v>1211.18813413763</v>
      </c>
      <c r="F15" s="0" t="n">
        <f aca="false">F13-MAX(0,F13)*F14/100</f>
        <v>1285.98352077933</v>
      </c>
      <c r="G15" s="0" t="n">
        <f aca="false">G13-MAX(0,G13)*G14/100</f>
        <v>1360.24788277268</v>
      </c>
      <c r="H15" s="0" t="n">
        <f aca="false">H13-MAX(0,H13)*H14/100</f>
        <v>1431.87265681977</v>
      </c>
      <c r="I15" s="0" t="n">
        <f aca="false">I13-MAX(0,I13)*I14/100</f>
        <v>1489.14756309257</v>
      </c>
      <c r="J15" s="0" t="n">
        <f aca="false">J13-MAX(0,J13)*J14/100</f>
        <v>1541.2677278008</v>
      </c>
      <c r="K15" s="0" t="n">
        <f aca="false">K13-MAX(0,K13)*K14/100</f>
        <v>1587.50575963483</v>
      </c>
      <c r="L15" s="0" t="n">
        <f aca="false">L13-MAX(0,L13)*L14/100</f>
        <v>1635.13093242387</v>
      </c>
    </row>
    <row r="16" customFormat="false" ht="15" hidden="false" customHeight="false" outlineLevel="0" collapsed="false">
      <c r="A16" s="0" t="s">
        <v>127</v>
      </c>
      <c r="C16" s="0" t="n">
        <f aca="false">-C12</f>
        <v>102.864195</v>
      </c>
      <c r="D16" s="0" t="n">
        <f aca="false">-D12</f>
        <v>108.521725725</v>
      </c>
      <c r="E16" s="0" t="n">
        <f aca="false">-E12</f>
        <v>114.490420639875</v>
      </c>
      <c r="F16" s="0" t="n">
        <f aca="false">-F12</f>
        <v>120.214941671869</v>
      </c>
      <c r="G16" s="0" t="n">
        <f aca="false">-G12</f>
        <v>126.225688755462</v>
      </c>
      <c r="H16" s="0" t="n">
        <f aca="false">-H12</f>
        <v>131.905844749458</v>
      </c>
      <c r="I16" s="0" t="n">
        <f aca="false">-I12</f>
        <v>137.182078539436</v>
      </c>
      <c r="J16" s="0" t="n">
        <f aca="false">-J12</f>
        <v>141.983451288317</v>
      </c>
      <c r="K16" s="0" t="n">
        <f aca="false">-K12</f>
        <v>146.242954826966</v>
      </c>
      <c r="L16" s="0" t="n">
        <f aca="false">-L12</f>
        <v>150.630243471775</v>
      </c>
    </row>
    <row r="17" customFormat="false" ht="15" hidden="false" customHeight="false" outlineLevel="0" collapsed="false">
      <c r="A17" s="0" t="s">
        <v>128</v>
      </c>
      <c r="C17" s="4" t="n">
        <f aca="false">-C6*Assumptions!C46/100</f>
        <v>-102.864195</v>
      </c>
      <c r="D17" s="4" t="n">
        <f aca="false">-D6*Assumptions!D46/100</f>
        <v>-108.521725725</v>
      </c>
      <c r="E17" s="4" t="n">
        <f aca="false">-E6*Assumptions!E46/100</f>
        <v>-111.477514833563</v>
      </c>
      <c r="F17" s="4" t="n">
        <f aca="false">-F6*Assumptions!F46/100</f>
        <v>-113.887839478612</v>
      </c>
      <c r="G17" s="4" t="n">
        <f aca="false">-G6*Assumptions!G46/100</f>
        <v>-119.582231452543</v>
      </c>
      <c r="H17" s="4" t="n">
        <f aca="false">-H6*Assumptions!H46/100</f>
        <v>-124.963431867908</v>
      </c>
      <c r="I17" s="4" t="n">
        <f aca="false">-I6*Assumptions!I46/100</f>
        <v>-129.961969142624</v>
      </c>
      <c r="J17" s="4" t="n">
        <f aca="false">-J6*Assumptions!J46/100</f>
        <v>-134.510638062616</v>
      </c>
      <c r="K17" s="4" t="n">
        <f aca="false">-K6*Assumptions!K46/100</f>
        <v>-138.545957204494</v>
      </c>
      <c r="L17" s="4" t="n">
        <f aca="false">-L6*Assumptions!L46/100</f>
        <v>-142.702335920629</v>
      </c>
    </row>
    <row r="18" customFormat="false" ht="15" hidden="false" customHeight="false" outlineLevel="0" collapsed="false">
      <c r="A18" s="0" t="s">
        <v>129</v>
      </c>
      <c r="C18" s="4" t="n">
        <f aca="false">(C6-B6)*Assumptions!$B$51/100</f>
        <v>-154.683</v>
      </c>
      <c r="D18" s="4" t="n">
        <f aca="false">(D6-C6)*Assumptions!$B$51/100</f>
        <v>-178.658865</v>
      </c>
      <c r="E18" s="4" t="n">
        <f aca="false">(E6-D6)*Assumptions!$B$51/100</f>
        <v>-188.485102575</v>
      </c>
      <c r="F18" s="4" t="n">
        <f aca="false">(F6-E6)*Assumptions!$B$51/100</f>
        <v>-180.77434837875</v>
      </c>
      <c r="G18" s="4" t="n">
        <f aca="false">(G6-F6)*Assumptions!$B$51/100</f>
        <v>-189.813065797688</v>
      </c>
      <c r="H18" s="4" t="n">
        <f aca="false">(H6-G6)*Assumptions!$B$51/100</f>
        <v>-179.373347178815</v>
      </c>
      <c r="I18" s="4" t="n">
        <f aca="false">(I6-H6)*Assumptions!$B$51/100</f>
        <v>-166.61790915721</v>
      </c>
      <c r="J18" s="4" t="n">
        <f aca="false">(J6-I6)*Assumptions!$B$51/100</f>
        <v>-151.622297333061</v>
      </c>
      <c r="K18" s="4" t="n">
        <f aca="false">(K6-J6)*Assumptions!$B$51/100</f>
        <v>-134.510638062616</v>
      </c>
      <c r="L18" s="4" t="n">
        <f aca="false">(L6-K6)*Assumptions!$B$51/100</f>
        <v>-138.545957204495</v>
      </c>
    </row>
    <row r="19" customFormat="false" ht="15" hidden="false" customHeight="false" outlineLevel="0" collapsed="false">
      <c r="A19" s="0" t="s">
        <v>130</v>
      </c>
      <c r="C19" s="0" t="n">
        <f aca="false">C15+C16+C17+C18</f>
        <v>905.08890375</v>
      </c>
      <c r="D19" s="0" t="n">
        <f aca="false">D15+D16+D17+D18</f>
        <v>956.53550278125</v>
      </c>
      <c r="E19" s="0" t="n">
        <f aca="false">E15+E16+E17+E18</f>
        <v>1025.71593736894</v>
      </c>
      <c r="F19" s="0" t="n">
        <f aca="false">F15+F16+F17+F18</f>
        <v>1111.53627459384</v>
      </c>
      <c r="G19" s="0" t="n">
        <f aca="false">G15+G16+G17+G18</f>
        <v>1177.07827427791</v>
      </c>
      <c r="H19" s="0" t="n">
        <f aca="false">H15+H16+H17+H18</f>
        <v>1259.44172252251</v>
      </c>
      <c r="I19" s="0" t="n">
        <f aca="false">I15+I16+I17+I18</f>
        <v>1329.74976333217</v>
      </c>
      <c r="J19" s="0" t="n">
        <f aca="false">J15+J16+J17+J18</f>
        <v>1397.11824369344</v>
      </c>
      <c r="K19" s="0" t="n">
        <f aca="false">K15+K16+K17+K18</f>
        <v>1460.69211919468</v>
      </c>
      <c r="L19" s="0" t="n">
        <f aca="false">L15+L16+L17+L18</f>
        <v>1504.51288277053</v>
      </c>
    </row>
    <row r="20" customFormat="false" ht="15" hidden="false" customHeight="false" outlineLevel="0" collapsed="false">
      <c r="A20" s="0" t="s">
        <v>131</v>
      </c>
      <c r="C20" s="0" t="n">
        <f aca="false">1/(1+$B$27/100)^C4</f>
        <v>0.921658986175115</v>
      </c>
      <c r="D20" s="0" t="n">
        <f aca="false">1/(1+$B$27/100)^D4</f>
        <v>0.849455286797341</v>
      </c>
      <c r="E20" s="0" t="n">
        <f aca="false">1/(1+$B$27/100)^E4</f>
        <v>0.782908098430729</v>
      </c>
      <c r="F20" s="0" t="n">
        <f aca="false">1/(1+$B$27/100)^F4</f>
        <v>0.721574284267953</v>
      </c>
      <c r="G20" s="0" t="n">
        <f aca="false">1/(1+$B$27/100)^G4</f>
        <v>0.665045423288436</v>
      </c>
      <c r="H20" s="0" t="n">
        <f aca="false">1/(1+$B$27/100)^H4</f>
        <v>0.612945090588421</v>
      </c>
      <c r="I20" s="0" t="n">
        <f aca="false">1/(1+$B$27/100)^I4</f>
        <v>0.564926350772738</v>
      </c>
      <c r="J20" s="0" t="n">
        <f aca="false">1/(1+$B$27/100)^J4</f>
        <v>0.520669447716809</v>
      </c>
      <c r="K20" s="0" t="n">
        <f aca="false">1/(1+$B$27/100)^K4</f>
        <v>0.479879675315031</v>
      </c>
      <c r="L20" s="0" t="n">
        <f aca="false">1/(1+$B$27/100)^L4</f>
        <v>0.442285415036895</v>
      </c>
    </row>
    <row r="21" customFormat="false" ht="15" hidden="false" customHeight="false" outlineLevel="0" collapsed="false">
      <c r="A21" s="0" t="s">
        <v>132</v>
      </c>
      <c r="C21" s="0" t="n">
        <f aca="false">C19*C20</f>
        <v>834.183321428571</v>
      </c>
      <c r="D21" s="0" t="n">
        <f aca="false">D19*D20</f>
        <v>812.534139846886</v>
      </c>
      <c r="E21" s="0" t="n">
        <f aca="false">E19*E20</f>
        <v>803.041314055608</v>
      </c>
      <c r="F21" s="0" t="n">
        <f aca="false">F19*F20</f>
        <v>802.055991777917</v>
      </c>
      <c r="G21" s="0" t="n">
        <f aca="false">G19*G20</f>
        <v>782.810519160774</v>
      </c>
      <c r="H21" s="0" t="n">
        <f aca="false">H19*H20</f>
        <v>771.968620702396</v>
      </c>
      <c r="I21" s="0" t="n">
        <f aca="false">I19*I20</f>
        <v>751.210681240153</v>
      </c>
      <c r="J21" s="0" t="n">
        <f aca="false">J19*J20</f>
        <v>727.436784338944</v>
      </c>
      <c r="K21" s="0" t="n">
        <f aca="false">K19*K20</f>
        <v>700.95645989437</v>
      </c>
      <c r="L21" s="0" t="n">
        <f aca="false">L19*L20</f>
        <v>665.424104784518</v>
      </c>
    </row>
    <row r="23" customFormat="false" ht="15" hidden="false" customHeight="false" outlineLevel="0" collapsed="false">
      <c r="A23" s="0" t="s">
        <v>108</v>
      </c>
      <c r="C23" s="4" t="n">
        <f aca="false">Assumptions!C44</f>
        <v>0</v>
      </c>
      <c r="D23" s="4" t="n">
        <f aca="false">Assumptions!D44</f>
        <v>0</v>
      </c>
      <c r="E23" s="4" t="n">
        <f aca="false">Assumptions!E44</f>
        <v>0</v>
      </c>
      <c r="F23" s="4" t="n">
        <f aca="false">Assumptions!F44</f>
        <v>0</v>
      </c>
      <c r="G23" s="4" t="n">
        <f aca="false">Assumptions!G44</f>
        <v>0</v>
      </c>
      <c r="H23" s="4" t="n">
        <f aca="false">Assumptions!H44</f>
        <v>0</v>
      </c>
      <c r="I23" s="4" t="n">
        <f aca="false">Assumptions!I44</f>
        <v>0</v>
      </c>
      <c r="J23" s="4" t="n">
        <f aca="false">Assumptions!J44</f>
        <v>0</v>
      </c>
      <c r="K23" s="4" t="n">
        <f aca="false">Assumptions!K44</f>
        <v>0</v>
      </c>
      <c r="L23" s="4" t="n">
        <f aca="false">Assumptions!L44</f>
        <v>0</v>
      </c>
    </row>
    <row r="24" customFormat="false" ht="15" hidden="false" customHeight="false" outlineLevel="0" collapsed="false">
      <c r="A24" s="0" t="s">
        <v>133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134</v>
      </c>
    </row>
    <row r="27" customFormat="false" ht="15" hidden="false" customHeight="false" outlineLevel="0" collapsed="false">
      <c r="A27" s="0" t="s">
        <v>112</v>
      </c>
      <c r="B27" s="4" t="n">
        <f aca="false">Assumptions!$B$48</f>
        <v>8.5</v>
      </c>
    </row>
    <row r="28" customFormat="false" ht="15" hidden="false" customHeight="false" outlineLevel="0" collapsed="false">
      <c r="A28" s="0" t="s">
        <v>113</v>
      </c>
      <c r="B28" s="4" t="n">
        <f aca="false">Assumptions!$B$49</f>
        <v>3</v>
      </c>
    </row>
    <row r="29" customFormat="false" ht="15" hidden="false" customHeight="false" outlineLevel="0" collapsed="false">
      <c r="A29" s="0" t="s">
        <v>114</v>
      </c>
      <c r="B29" s="4" t="n">
        <f aca="false">Assumptions!$B$50</f>
        <v>18</v>
      </c>
    </row>
    <row r="30" customFormat="false" ht="15" hidden="false" customHeight="false" outlineLevel="0" collapsed="false">
      <c r="A30" s="0" t="s">
        <v>135</v>
      </c>
      <c r="B30" s="0" t="n">
        <f aca="false">SUM(C21:L21)</f>
        <v>7651.62193723014</v>
      </c>
    </row>
    <row r="31" customFormat="false" ht="15" hidden="false" customHeight="false" outlineLevel="0" collapsed="false">
      <c r="A31" s="0" t="s">
        <v>136</v>
      </c>
      <c r="B31" s="0" t="n">
        <f aca="false">L19</f>
        <v>1504.51288277053</v>
      </c>
    </row>
    <row r="32" customFormat="false" ht="15" hidden="false" customHeight="false" outlineLevel="0" collapsed="false">
      <c r="A32" s="0" t="s">
        <v>137</v>
      </c>
      <c r="B32" s="0" t="n">
        <f aca="false">IF(B27&gt;B28,B31*(1+B28/100)/((B27-B28)/100),B31*B29)</f>
        <v>28175.4230773389</v>
      </c>
    </row>
    <row r="33" customFormat="false" ht="15" hidden="false" customHeight="false" outlineLevel="0" collapsed="false">
      <c r="A33" s="0" t="s">
        <v>138</v>
      </c>
      <c r="B33" s="0" t="n">
        <f aca="false">B31*B29</f>
        <v>27081.2318898695</v>
      </c>
    </row>
    <row r="34" customFormat="false" ht="15" hidden="false" customHeight="false" outlineLevel="0" collapsed="false">
      <c r="A34" s="0" t="s">
        <v>139</v>
      </c>
      <c r="B34" s="0" t="n">
        <f aca="false">MAX(0,MIN(B32,B33))</f>
        <v>27081.2318898695</v>
      </c>
    </row>
    <row r="35" customFormat="false" ht="15" hidden="false" customHeight="false" outlineLevel="0" collapsed="false">
      <c r="A35" s="0" t="s">
        <v>140</v>
      </c>
      <c r="B35" s="0" t="n">
        <f aca="false">B34/(1+B27/100)^L4</f>
        <v>11977.6338861213</v>
      </c>
    </row>
    <row r="36" customFormat="false" ht="15" hidden="false" customHeight="false" outlineLevel="0" collapsed="false">
      <c r="A36" s="0" t="s">
        <v>141</v>
      </c>
      <c r="B36" s="0" t="n">
        <f aca="false">B30+B35</f>
        <v>19629.2558233515</v>
      </c>
    </row>
    <row r="37" customFormat="false" ht="15" hidden="false" customHeight="false" outlineLevel="0" collapsed="false">
      <c r="A37" s="0" t="s">
        <v>142</v>
      </c>
      <c r="B37" s="0" t="n">
        <f aca="false">B36+Assumptions!$B$5-Assumptions!$B$4</f>
        <v>19996.3558233515</v>
      </c>
    </row>
    <row r="38" customFormat="false" ht="15" hidden="false" customHeight="false" outlineLevel="0" collapsed="false">
      <c r="A38" s="0" t="s">
        <v>143</v>
      </c>
      <c r="B38" s="0" t="n">
        <f aca="false">B37/Assumptions!$B$3*Assumptions!$B$10</f>
        <v>380.882968063837</v>
      </c>
    </row>
    <row r="39" customFormat="false" ht="15" hidden="false" customHeight="false" outlineLevel="0" collapsed="false">
      <c r="A39" s="0" t="s">
        <v>144</v>
      </c>
      <c r="B39" s="4" t="n">
        <f aca="false">B38/Assumptions!$B$2-1</f>
        <v>0.0357961711732766</v>
      </c>
    </row>
    <row r="41" customFormat="false" ht="15" hidden="false" customHeight="false" outlineLevel="0" collapsed="false">
      <c r="A41" s="0" t="s">
        <v>145</v>
      </c>
      <c r="B41" s="0" t="n">
        <f aca="false">SUMPRODUCT(-C10:L10/(1+$B$27/100)^C4:L4)</f>
        <v>257.807749111436</v>
      </c>
    </row>
    <row r="42" customFormat="false" ht="15" hidden="false" customHeight="false" outlineLevel="0" collapsed="false">
      <c r="A42" s="0" t="s">
        <v>146</v>
      </c>
      <c r="B42" s="0" t="n">
        <f aca="false">IF(B27&gt;B28,-L10*(1+B28/100)/((B27-B28)/100),-L10*20)/(1+B27/100)^L4</f>
        <v>393.991616518009</v>
      </c>
    </row>
    <row r="43" customFormat="false" ht="15" hidden="false" customHeight="false" outlineLevel="0" collapsed="false">
      <c r="A43" s="0" t="s">
        <v>147</v>
      </c>
      <c r="B43" s="0" t="n">
        <f aca="false">(B37+B41+B42)/Assumptions!$B$3*Assumptions!$B$10</f>
        <v>393.298194075827</v>
      </c>
    </row>
    <row r="45" customFormat="false" ht="15" hidden="false" customHeight="false" outlineLevel="0" collapsed="false">
      <c r="A45" s="0" t="s">
        <v>88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148</v>
      </c>
      <c r="B46" s="0" t="n">
        <f aca="false">MAX(0,MIN(IF(B45&gt;B28,B31*(1+B28/100)/((B45-B28)/100),B31*B29),B31*B29))</f>
        <v>12913.7355771137</v>
      </c>
    </row>
    <row r="47" customFormat="false" ht="15" hidden="false" customHeight="false" outlineLevel="0" collapsed="false">
      <c r="A47" s="0" t="s">
        <v>149</v>
      </c>
      <c r="B47" s="0" t="n">
        <f aca="false">(SUMPRODUCT(C19:L19/(1+B45/100)^C4:L4)+B46/(1+B45/100)^L4+Assumptions!$B$5-Assumptions!$B$4)/Assumptions!$B$3*Assumptions!$B$10</f>
        <v>176.245367327307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0"/>
  </cols>
  <sheetData>
    <row r="1" customFormat="false" ht="15" hidden="false" customHeight="false" outlineLevel="0" collapsed="false">
      <c r="A1" s="2" t="s">
        <v>152</v>
      </c>
    </row>
    <row r="3" customFormat="false" ht="15" hidden="false" customHeight="false" outlineLevel="0" collapsed="false">
      <c r="A3" s="2" t="s">
        <v>153</v>
      </c>
      <c r="B3" s="2" t="s">
        <v>154</v>
      </c>
      <c r="C3" s="2" t="s">
        <v>144</v>
      </c>
      <c r="D3" s="2" t="s">
        <v>155</v>
      </c>
      <c r="E3" s="2" t="s">
        <v>147</v>
      </c>
      <c r="F3" s="2" t="s">
        <v>156</v>
      </c>
    </row>
    <row r="4" customFormat="false" ht="15" hidden="false" customHeight="false" outlineLevel="0" collapsed="false">
      <c r="A4" s="0" t="s">
        <v>157</v>
      </c>
      <c r="B4" s="4" t="n">
        <f aca="false">DCF_Bear!$B$38</f>
        <v>252.860213467613</v>
      </c>
      <c r="C4" s="0" t="n">
        <f aca="false">B4/Assumptions!$B$2-1</f>
        <v>-0.312356647809166</v>
      </c>
      <c r="D4" s="4" t="n">
        <f aca="false">Assumptions!$B$24</f>
        <v>0.2</v>
      </c>
      <c r="E4" s="4" t="n">
        <f aca="false">DCF_Bear!$B$43</f>
        <v>261.770540850163</v>
      </c>
      <c r="F4" s="4" t="n">
        <f aca="false">DCF_Bear!$B$47</f>
        <v>138.00932654943</v>
      </c>
    </row>
    <row r="5" customFormat="false" ht="15" hidden="false" customHeight="false" outlineLevel="0" collapsed="false">
      <c r="A5" s="0" t="s">
        <v>158</v>
      </c>
      <c r="B5" s="4" t="n">
        <f aca="false">DCF_Base!$B$38</f>
        <v>316.805300832816</v>
      </c>
      <c r="C5" s="0" t="n">
        <f aca="false">B5/Assumptions!$B$2-1</f>
        <v>-0.138460511169324</v>
      </c>
      <c r="D5" s="4" t="n">
        <f aca="false">Assumptions!$B$38</f>
        <v>0.55</v>
      </c>
      <c r="E5" s="4" t="n">
        <f aca="false">DCF_Base!$B$43</f>
        <v>327.533028305718</v>
      </c>
      <c r="F5" s="4" t="n">
        <f aca="false">DCF_Base!$B$47</f>
        <v>158.776468838907</v>
      </c>
    </row>
    <row r="6" customFormat="false" ht="15" hidden="false" customHeight="false" outlineLevel="0" collapsed="false">
      <c r="A6" s="0" t="s">
        <v>159</v>
      </c>
      <c r="B6" s="4" t="n">
        <f aca="false">DCF_Bull!$B$38</f>
        <v>380.882968063837</v>
      </c>
      <c r="C6" s="0" t="n">
        <f aca="false">B6/Assumptions!$B$2-1</f>
        <v>0.0357961711732766</v>
      </c>
      <c r="D6" s="4" t="n">
        <f aca="false">Assumptions!$B$52</f>
        <v>0.25</v>
      </c>
      <c r="E6" s="4" t="n">
        <f aca="false">DCF_Bull!$B$43</f>
        <v>393.298194075827</v>
      </c>
      <c r="F6" s="4" t="n">
        <f aca="false">DCF_Bull!$B$47</f>
        <v>176.245367327307</v>
      </c>
    </row>
    <row r="8" customFormat="false" ht="15" hidden="false" customHeight="false" outlineLevel="0" collapsed="false">
      <c r="A8" s="0" t="s">
        <v>160</v>
      </c>
      <c r="B8" s="0" t="n">
        <f aca="false">SUMPRODUCT(B4:B6,D4:D6)</f>
        <v>320.035700167531</v>
      </c>
    </row>
    <row r="9" customFormat="false" ht="15" hidden="false" customHeight="false" outlineLevel="0" collapsed="false">
      <c r="A9" s="0" t="s">
        <v>161</v>
      </c>
      <c r="B9" s="0" t="n">
        <f aca="false">SUMPRODUCT(E4:E6,D4:D6)</f>
        <v>330.821822257134</v>
      </c>
    </row>
    <row r="10" customFormat="false" ht="15" hidden="false" customHeight="false" outlineLevel="0" collapsed="false">
      <c r="A10" s="0" t="s">
        <v>162</v>
      </c>
      <c r="B10" s="0" t="n">
        <f aca="false">1-Assumptions!$B$2/B8</f>
        <v>-0.14899681444135</v>
      </c>
    </row>
    <row r="11" customFormat="false" ht="15" hidden="false" customHeight="false" outlineLevel="0" collapsed="false">
      <c r="A11" s="0" t="s">
        <v>163</v>
      </c>
      <c r="B11" s="0" t="n">
        <f aca="false">IF(ABS(B9-B8)&gt;0.01*ABS(B8),(Assumptions!$B$2-B8)/(B9-B8)*100,"n/a")</f>
        <v>442.089375925321</v>
      </c>
    </row>
    <row r="12" customFormat="false" ht="15" hidden="false" customHeight="false" outlineLevel="0" collapsed="false">
      <c r="A12" s="0" t="s">
        <v>164</v>
      </c>
      <c r="B12" s="0" t="n">
        <f aca="false">SUMPRODUCT(F4:F6,D4:D6)</f>
        <v>158.990265003111</v>
      </c>
    </row>
    <row r="14" customFormat="false" ht="15" hidden="false" customHeight="false" outlineLevel="0" collapsed="false">
      <c r="A14" s="2" t="s">
        <v>165</v>
      </c>
      <c r="C14" s="0" t="s">
        <v>166</v>
      </c>
    </row>
    <row r="15" customFormat="false" ht="15" hidden="false" customHeight="false" outlineLevel="0" collapsed="false">
      <c r="A15" s="0" t="s">
        <v>167</v>
      </c>
      <c r="B15" s="0" t="n">
        <f aca="false">(SUMPRODUCT(DCF_Base!$C$19:$L$19/(1+$C$15/100)^DCF_Base!$C$4:$L$4)+MAX(0,MIN(IF($C$15&gt;DCF_Base!$B$28,DCF_Base!$L$19*(1+DCF_Base!$B$28/100)/(($C$15-DCF_Base!$B$28)/100),DCF_Base!$L$19*DCF_Base!$B$29),DCF_Base!$L$19*DCF_Base!$B$29))/(1+$C$15/100)^DCF_Base!$L$4+Assumptions!$B$5-Assumptions!$B$4)/Assumptions!$B$3*Assumptions!$B$10</f>
        <v>316.805300832816</v>
      </c>
      <c r="C15" s="3" t="n">
        <v>8.5</v>
      </c>
    </row>
    <row r="16" customFormat="false" ht="15" hidden="false" customHeight="false" outlineLevel="0" collapsed="false">
      <c r="A16" s="0" t="s">
        <v>168</v>
      </c>
      <c r="B16" s="0" t="n">
        <f aca="false">(SUMPRODUCT(DCF_Base!$C$19:$L$19/(1+$C$16/100)^DCF_Base!$C$4:$L$4)+MAX(0,MIN(IF($C$16&gt;DCF_Base!$B$28,DCF_Base!$L$19*(1+DCF_Base!$B$28/100)/(($C$16-DCF_Base!$B$28)/100),DCF_Base!$L$19*DCF_Base!$B$29),DCF_Base!$L$19*DCF_Base!$B$29))/(1+$C$16/100)^DCF_Base!$L$4+Assumptions!$B$5-Assumptions!$B$4)/Assumptions!$B$3*Assumptions!$B$10</f>
        <v>303.418069639449</v>
      </c>
      <c r="C16" s="3" t="n">
        <v>9</v>
      </c>
    </row>
    <row r="17" customFormat="false" ht="15" hidden="false" customHeight="false" outlineLevel="0" collapsed="false">
      <c r="A17" s="0" t="s">
        <v>169</v>
      </c>
      <c r="B17" s="0" t="n">
        <f aca="false">(SUMPRODUCT(DCF_Base!$C$19:$L$19/(1+$C$17/100)^DCF_Base!$C$4:$L$4)+MAX(0,MIN(IF($C$17&gt;DCF_Base!$B$28,DCF_Base!$L$19*(1+DCF_Base!$B$28/100)/(($C$17-DCF_Base!$B$28)/100),DCF_Base!$L$19*DCF_Base!$B$29),DCF_Base!$L$19*DCF_Base!$B$29))/(1+$C$17/100)^DCF_Base!$L$4+Assumptions!$B$5-Assumptions!$B$4)/Assumptions!$B$3*Assumptions!$B$10</f>
        <v>263.152107541182</v>
      </c>
      <c r="C17" s="3" t="n">
        <v>10</v>
      </c>
    </row>
    <row r="18" customFormat="false" ht="15" hidden="false" customHeight="false" outlineLevel="0" collapsed="false">
      <c r="A18" s="0" t="s">
        <v>170</v>
      </c>
      <c r="B18" s="0" t="n">
        <f aca="false">(SUMPRODUCT(DCF_Base!$C$19:$L$19/(1+$C$18/100)^DCF_Base!$C$4:$L$4)+MAX(0,MIN(IF($C$18&gt;DCF_Base!$B$28,DCF_Base!$L$19*(1+DCF_Base!$B$28/100)/(($C$18-DCF_Base!$B$28)/100),DCF_Base!$L$19*DCF_Base!$B$29),DCF_Base!$L$19*DCF_Base!$B$29))/(1+$C$18/100)^DCF_Base!$L$4+Assumptions!$B$5-Assumptions!$B$4)/Assumptions!$B$3*Assumptions!$B$10</f>
        <v>232.394354792847</v>
      </c>
      <c r="C18" s="3" t="n">
        <v>11</v>
      </c>
    </row>
    <row r="19" customFormat="false" ht="15" hidden="false" customHeight="false" outlineLevel="0" collapsed="false">
      <c r="A19" s="0" t="s">
        <v>171</v>
      </c>
      <c r="B19" s="0" t="n">
        <f aca="false">(SUMPRODUCT(DCF_Base!$C$19:$L$19/(1+$C$19/100)^DCF_Base!$C$4:$L$4)+MAX(0,MIN(IF($C$19&gt;DCF_Base!$B$28,DCF_Base!$L$19*(1+DCF_Base!$B$28/100)/(($C$19-DCF_Base!$B$28)/100),DCF_Base!$L$19*DCF_Base!$B$29),DCF_Base!$L$19*DCF_Base!$B$29))/(1+$C$19/100)^DCF_Base!$L$4+Assumptions!$B$5-Assumptions!$B$4)/Assumptions!$B$3*Assumptions!$B$10</f>
        <v>208.140153151382</v>
      </c>
      <c r="C19" s="3" t="n">
        <v>12</v>
      </c>
    </row>
    <row r="20" customFormat="false" ht="15" hidden="false" customHeight="false" outlineLevel="0" collapsed="false">
      <c r="A20" s="0" t="s">
        <v>172</v>
      </c>
      <c r="B20" s="0" t="n">
        <f aca="false">(SUMPRODUCT(DCF_Base!$C$19:$L$19/(1+$C$20/100)^DCF_Base!$C$4:$L$4)+MAX(0,MIN(IF($C$20&gt;DCF_Base!$B$28,DCF_Base!$L$19*(1+DCF_Base!$B$28/100)/(($C$20-DCF_Base!$B$28)/100),DCF_Base!$L$19*DCF_Base!$B$29),DCF_Base!$L$19*DCF_Base!$B$29))/(1+$C$20/100)^DCF_Base!$L$4+Assumptions!$B$5-Assumptions!$B$4)/Assumptions!$B$3*Assumptions!$B$10</f>
        <v>158.776468838907</v>
      </c>
      <c r="C20" s="3" t="n">
        <v>15</v>
      </c>
    </row>
    <row r="22" customFormat="false" ht="15" hidden="false" customHeight="false" outlineLevel="0" collapsed="false">
      <c r="A22" s="2" t="s">
        <v>173</v>
      </c>
    </row>
    <row r="23" customFormat="false" ht="15" hidden="false" customHeight="false" outlineLevel="0" collapsed="false">
      <c r="B23" s="3" t="n">
        <v>1.5</v>
      </c>
      <c r="C23" s="3" t="n">
        <v>2</v>
      </c>
      <c r="D23" s="3" t="n">
        <v>2.5</v>
      </c>
      <c r="E23" s="3" t="n">
        <v>3</v>
      </c>
      <c r="F23" s="3" t="n">
        <v>3.5</v>
      </c>
    </row>
    <row r="24" customFormat="false" ht="15" hidden="false" customHeight="false" outlineLevel="0" collapsed="false">
      <c r="A24" s="3" t="n">
        <v>6.5</v>
      </c>
      <c r="B24" s="0" t="n">
        <f aca="false">(SUMPRODUCT(DCF_Base!$C$19:$L$19/(1+$A$24/100)^DCF_Base!$C$4:$L$4)+MAX(0,MIN(IF($A$24&gt;$B$23,DCF_Base!$L$19*(1+$B$23/100)/(($A$24-$B$23)/100),DCF_Base!$L$19*DCF_Base!$B$29),DCF_Base!$L$19*DCF_Base!$B$29))/(1+$A$24/100)^DCF_Base!$L$4+Assumptions!$B$5-Assumptions!$B$4)/Assumptions!$B$3*Assumptions!$B$10</f>
        <v>366.260020468607</v>
      </c>
      <c r="C24" s="0" t="n">
        <f aca="false">(SUMPRODUCT(DCF_Base!$C$19:$L$19/(1+$A$24/100)^DCF_Base!$C$4:$L$4)+MAX(0,MIN(IF($A$24&gt;$C$23,DCF_Base!$L$19*(1+$C$23/100)/(($A$24-$C$23)/100),DCF_Base!$L$19*DCF_Base!$B$29),DCF_Base!$L$19*DCF_Base!$B$29))/(1+$A$24/100)^DCF_Base!$L$4+Assumptions!$B$5-Assumptions!$B$4)/Assumptions!$B$3*Assumptions!$B$10</f>
        <v>366.260020468607</v>
      </c>
      <c r="D24" s="0" t="n">
        <f aca="false">(SUMPRODUCT(DCF_Base!$C$19:$L$19/(1+$A$24/100)^DCF_Base!$C$4:$L$4)+MAX(0,MIN(IF($A$24&gt;$D$23,DCF_Base!$L$19*(1+$D$23/100)/(($A$24-$D$23)/100),DCF_Base!$L$19*DCF_Base!$B$29),DCF_Base!$L$19*DCF_Base!$B$29))/(1+$A$24/100)^DCF_Base!$L$4+Assumptions!$B$5-Assumptions!$B$4)/Assumptions!$B$3*Assumptions!$B$10</f>
        <v>366.260020468607</v>
      </c>
      <c r="E24" s="0" t="n">
        <f aca="false">(SUMPRODUCT(DCF_Base!$C$19:$L$19/(1+$A$24/100)^DCF_Base!$C$4:$L$4)+MAX(0,MIN(IF($A$24&gt;$E$23,DCF_Base!$L$19*(1+$E$23/100)/(($A$24-$E$23)/100),DCF_Base!$L$19*DCF_Base!$B$29),DCF_Base!$L$19*DCF_Base!$B$29))/(1+$A$24/100)^DCF_Base!$L$4+Assumptions!$B$5-Assumptions!$B$4)/Assumptions!$B$3*Assumptions!$B$10</f>
        <v>366.260020468607</v>
      </c>
      <c r="F24" s="0" t="n">
        <f aca="false">(SUMPRODUCT(DCF_Base!$C$19:$L$19/(1+$A$24/100)^DCF_Base!$C$4:$L$4)+MAX(0,MIN(IF($A$24&gt;$F$23,DCF_Base!$L$19*(1+$F$23/100)/(($A$24-$F$23)/100),DCF_Base!$L$19*DCF_Base!$B$29),DCF_Base!$L$19*DCF_Base!$B$29))/(1+$A$24/100)^DCF_Base!$L$4+Assumptions!$B$5-Assumptions!$B$4)/Assumptions!$B$3*Assumptions!$B$10</f>
        <v>366.260020468607</v>
      </c>
    </row>
    <row r="25" customFormat="false" ht="15" hidden="false" customHeight="false" outlineLevel="0" collapsed="false">
      <c r="A25" s="3" t="n">
        <v>7.5</v>
      </c>
      <c r="B25" s="0" t="n">
        <f aca="false">(SUMPRODUCT(DCF_Base!$C$19:$L$19/(1+$A$25/100)^DCF_Base!$C$4:$L$4)+MAX(0,MIN(IF($A$25&gt;$B$23,DCF_Base!$L$19*(1+$B$23/100)/(($A$25-$B$23)/100),DCF_Base!$L$19*DCF_Base!$B$29),DCF_Base!$L$19*DCF_Base!$B$29))/(1+$A$25/100)^DCF_Base!$L$4+Assumptions!$B$5-Assumptions!$B$4)/Assumptions!$B$3*Assumptions!$B$10</f>
        <v>340.37196917319</v>
      </c>
      <c r="C25" s="0" t="n">
        <f aca="false">(SUMPRODUCT(DCF_Base!$C$19:$L$19/(1+$A$25/100)^DCF_Base!$C$4:$L$4)+MAX(0,MIN(IF($A$25&gt;$C$23,DCF_Base!$L$19*(1+$C$23/100)/(($A$25-$C$23)/100),DCF_Base!$L$19*DCF_Base!$B$29),DCF_Base!$L$19*DCF_Base!$B$29))/(1+$A$25/100)^DCF_Base!$L$4+Assumptions!$B$5-Assumptions!$B$4)/Assumptions!$B$3*Assumptions!$B$10</f>
        <v>340.37196917319</v>
      </c>
      <c r="D25" s="0" t="n">
        <f aca="false">(SUMPRODUCT(DCF_Base!$C$19:$L$19/(1+$A$25/100)^DCF_Base!$C$4:$L$4)+MAX(0,MIN(IF($A$25&gt;$D$23,DCF_Base!$L$19*(1+$D$23/100)/(($A$25-$D$23)/100),DCF_Base!$L$19*DCF_Base!$B$29),DCF_Base!$L$19*DCF_Base!$B$29))/(1+$A$25/100)^DCF_Base!$L$4+Assumptions!$B$5-Assumptions!$B$4)/Assumptions!$B$3*Assumptions!$B$10</f>
        <v>340.37196917319</v>
      </c>
      <c r="E25" s="0" t="n">
        <f aca="false">(SUMPRODUCT(DCF_Base!$C$19:$L$19/(1+$A$25/100)^DCF_Base!$C$4:$L$4)+MAX(0,MIN(IF($A$25&gt;$E$23,DCF_Base!$L$19*(1+$E$23/100)/(($A$25-$E$23)/100),DCF_Base!$L$19*DCF_Base!$B$29),DCF_Base!$L$19*DCF_Base!$B$29))/(1+$A$25/100)^DCF_Base!$L$4+Assumptions!$B$5-Assumptions!$B$4)/Assumptions!$B$3*Assumptions!$B$10</f>
        <v>340.37196917319</v>
      </c>
      <c r="F25" s="0" t="n">
        <f aca="false">(SUMPRODUCT(DCF_Base!$C$19:$L$19/(1+$A$25/100)^DCF_Base!$C$4:$L$4)+MAX(0,MIN(IF($A$25&gt;$F$23,DCF_Base!$L$19*(1+$F$23/100)/(($A$25-$F$23)/100),DCF_Base!$L$19*DCF_Base!$B$29),DCF_Base!$L$19*DCF_Base!$B$29))/(1+$A$25/100)^DCF_Base!$L$4+Assumptions!$B$5-Assumptions!$B$4)/Assumptions!$B$3*Assumptions!$B$10</f>
        <v>340.37196917319</v>
      </c>
    </row>
    <row r="26" customFormat="false" ht="15" hidden="false" customHeight="false" outlineLevel="0" collapsed="false">
      <c r="A26" s="3" t="n">
        <v>8.5</v>
      </c>
      <c r="B26" s="0" t="n">
        <f aca="false">(SUMPRODUCT(DCF_Base!$C$19:$L$19/(1+$A$26/100)^DCF_Base!$C$4:$L$4)+MAX(0,MIN(IF($A$26&gt;$B$23,DCF_Base!$L$19*(1+$B$23/100)/(($A$26-$B$23)/100),DCF_Base!$L$19*DCF_Base!$B$29),DCF_Base!$L$19*DCF_Base!$B$29))/(1+$A$26/100)^DCF_Base!$L$4+Assumptions!$B$5-Assumptions!$B$4)/Assumptions!$B$3*Assumptions!$B$10</f>
        <v>300.469487809569</v>
      </c>
      <c r="C26" s="0" t="n">
        <f aca="false">(SUMPRODUCT(DCF_Base!$C$19:$L$19/(1+$A$26/100)^DCF_Base!$C$4:$L$4)+MAX(0,MIN(IF($A$26&gt;$C$23,DCF_Base!$L$19*(1+$C$23/100)/(($A$26-$C$23)/100),DCF_Base!$L$19*DCF_Base!$B$29),DCF_Base!$L$19*DCF_Base!$B$29))/(1+$A$26/100)^DCF_Base!$L$4+Assumptions!$B$5-Assumptions!$B$4)/Assumptions!$B$3*Assumptions!$B$10</f>
        <v>313.454364828048</v>
      </c>
      <c r="D26" s="0" t="n">
        <f aca="false">(SUMPRODUCT(DCF_Base!$C$19:$L$19/(1+$A$26/100)^DCF_Base!$C$4:$L$4)+MAX(0,MIN(IF($A$26&gt;$D$23,DCF_Base!$L$19*(1+$D$23/100)/(($A$26-$D$23)/100),DCF_Base!$L$19*DCF_Base!$B$29),DCF_Base!$L$19*DCF_Base!$B$29))/(1+$A$26/100)^DCF_Base!$L$4+Assumptions!$B$5-Assumptions!$B$4)/Assumptions!$B$3*Assumptions!$B$10</f>
        <v>316.805300832816</v>
      </c>
      <c r="E26" s="0" t="n">
        <f aca="false">(SUMPRODUCT(DCF_Base!$C$19:$L$19/(1+$A$26/100)^DCF_Base!$C$4:$L$4)+MAX(0,MIN(IF($A$26&gt;$E$23,DCF_Base!$L$19*(1+$E$23/100)/(($A$26-$E$23)/100),DCF_Base!$L$19*DCF_Base!$B$29),DCF_Base!$L$19*DCF_Base!$B$29))/(1+$A$26/100)^DCF_Base!$L$4+Assumptions!$B$5-Assumptions!$B$4)/Assumptions!$B$3*Assumptions!$B$10</f>
        <v>316.805300832816</v>
      </c>
      <c r="F26" s="0" t="n">
        <f aca="false">(SUMPRODUCT(DCF_Base!$C$19:$L$19/(1+$A$26/100)^DCF_Base!$C$4:$L$4)+MAX(0,MIN(IF($A$26&gt;$F$23,DCF_Base!$L$19*(1+$F$23/100)/(($A$26-$F$23)/100),DCF_Base!$L$19*DCF_Base!$B$29),DCF_Base!$L$19*DCF_Base!$B$29))/(1+$A$26/100)^DCF_Base!$L$4+Assumptions!$B$5-Assumptions!$B$4)/Assumptions!$B$3*Assumptions!$B$10</f>
        <v>316.805300832816</v>
      </c>
    </row>
    <row r="27" customFormat="false" ht="15" hidden="false" customHeight="false" outlineLevel="0" collapsed="false">
      <c r="A27" s="3" t="n">
        <v>9.5</v>
      </c>
      <c r="B27" s="0" t="n">
        <f aca="false">(SUMPRODUCT(DCF_Base!$C$19:$L$19/(1+$A$27/100)^DCF_Base!$C$4:$L$4)+MAX(0,MIN(IF($A$27&gt;$B$23,DCF_Base!$L$19*(1+$B$23/100)/(($A$27-$B$23)/100),DCF_Base!$L$19*DCF_Base!$B$29),DCF_Base!$L$19*DCF_Base!$B$29))/(1+$A$27/100)^DCF_Base!$L$4+Assumptions!$B$5-Assumptions!$B$4)/Assumptions!$B$3*Assumptions!$B$10</f>
        <v>262.413528811657</v>
      </c>
      <c r="C27" s="0" t="n">
        <f aca="false">(SUMPRODUCT(DCF_Base!$C$19:$L$19/(1+$A$27/100)^DCF_Base!$C$4:$L$4)+MAX(0,MIN(IF($A$27&gt;$C$23,DCF_Base!$L$19*(1+$C$23/100)/(($A$27-$C$23)/100),DCF_Base!$L$19*DCF_Base!$B$29),DCF_Base!$L$19*DCF_Base!$B$29))/(1+$A$27/100)^DCF_Base!$L$4+Assumptions!$B$5-Assumptions!$B$4)/Assumptions!$B$3*Assumptions!$B$10</f>
        <v>271.480005684525</v>
      </c>
      <c r="D27" s="0" t="n">
        <f aca="false">(SUMPRODUCT(DCF_Base!$C$19:$L$19/(1+$A$27/100)^DCF_Base!$C$4:$L$4)+MAX(0,MIN(IF($A$27&gt;$D$23,DCF_Base!$L$19*(1+$D$23/100)/(($A$27-$D$23)/100),DCF_Base!$L$19*DCF_Base!$B$29),DCF_Base!$L$19*DCF_Base!$B$29))/(1+$A$27/100)^DCF_Base!$L$4+Assumptions!$B$5-Assumptions!$B$4)/Assumptions!$B$3*Assumptions!$B$10</f>
        <v>281.84169353923</v>
      </c>
      <c r="E27" s="0" t="n">
        <f aca="false">(SUMPRODUCT(DCF_Base!$C$19:$L$19/(1+$A$27/100)^DCF_Base!$C$4:$L$4)+MAX(0,MIN(IF($A$27&gt;$E$23,DCF_Base!$L$19*(1+$E$23/100)/(($A$27-$E$23)/100),DCF_Base!$L$19*DCF_Base!$B$29),DCF_Base!$L$19*DCF_Base!$B$29))/(1+$A$27/100)^DCF_Base!$L$4+Assumptions!$B$5-Assumptions!$B$4)/Assumptions!$B$3*Assumptions!$B$10</f>
        <v>293.797487217736</v>
      </c>
      <c r="F27" s="0" t="n">
        <f aca="false">(SUMPRODUCT(DCF_Base!$C$19:$L$19/(1+$A$27/100)^DCF_Base!$C$4:$L$4)+MAX(0,MIN(IF($A$27&gt;$F$23,DCF_Base!$L$19*(1+$F$23/100)/(($A$27-$F$23)/100),DCF_Base!$L$19*DCF_Base!$B$29),DCF_Base!$L$19*DCF_Base!$B$29))/(1+$A$27/100)^DCF_Base!$L$4+Assumptions!$B$5-Assumptions!$B$4)/Assumptions!$B$3*Assumptions!$B$10</f>
        <v>295.326081843299</v>
      </c>
    </row>
    <row r="28" customFormat="false" ht="15" hidden="false" customHeight="false" outlineLevel="0" collapsed="false">
      <c r="A28" s="3" t="n">
        <v>10.5</v>
      </c>
      <c r="B28" s="0" t="n">
        <f aca="false">(SUMPRODUCT(DCF_Base!$C$19:$L$19/(1+$A$28/100)^DCF_Base!$C$4:$L$4)+MAX(0,MIN(IF($A$28&gt;$B$23,DCF_Base!$L$19*(1+$B$23/100)/(($A$28-$B$23)/100),DCF_Base!$L$19*DCF_Base!$B$29),DCF_Base!$L$19*DCF_Base!$B$29))/(1+$A$28/100)^DCF_Base!$L$4+Assumptions!$B$5-Assumptions!$B$4)/Assumptions!$B$3*Assumptions!$B$10</f>
        <v>232.884036841874</v>
      </c>
      <c r="C28" s="0" t="n">
        <f aca="false">(SUMPRODUCT(DCF_Base!$C$19:$L$19/(1+$A$28/100)^DCF_Base!$C$4:$L$4)+MAX(0,MIN(IF($A$28&gt;$C$23,DCF_Base!$L$19*(1+$C$23/100)/(($A$28-$C$23)/100),DCF_Base!$L$19*DCF_Base!$B$29),DCF_Base!$L$19*DCF_Base!$B$29))/(1+$A$28/100)^DCF_Base!$L$4+Assumptions!$B$5-Assumptions!$B$4)/Assumptions!$B$3*Assumptions!$B$10</f>
        <v>239.436354495793</v>
      </c>
      <c r="D28" s="0" t="n">
        <f aca="false">(SUMPRODUCT(DCF_Base!$C$19:$L$19/(1+$A$28/100)^DCF_Base!$C$4:$L$4)+MAX(0,MIN(IF($A$28&gt;$D$23,DCF_Base!$L$19*(1+$D$23/100)/(($A$28-$D$23)/100),DCF_Base!$L$19*DCF_Base!$B$29),DCF_Base!$L$19*DCF_Base!$B$29))/(1+$A$28/100)^DCF_Base!$L$4+Assumptions!$B$5-Assumptions!$B$4)/Assumptions!$B$3*Assumptions!$B$10</f>
        <v>246.807711856452</v>
      </c>
      <c r="E28" s="0" t="n">
        <f aca="false">(SUMPRODUCT(DCF_Base!$C$19:$L$19/(1+$A$28/100)^DCF_Base!$C$4:$L$4)+MAX(0,MIN(IF($A$28&gt;$E$23,DCF_Base!$L$19*(1+$E$23/100)/(($A$28-$E$23)/100),DCF_Base!$L$19*DCF_Base!$B$29),DCF_Base!$L$19*DCF_Base!$B$29))/(1+$A$28/100)^DCF_Base!$L$4+Assumptions!$B$5-Assumptions!$B$4)/Assumptions!$B$3*Assumptions!$B$10</f>
        <v>255.161916865199</v>
      </c>
      <c r="F28" s="0" t="n">
        <f aca="false">(SUMPRODUCT(DCF_Base!$C$19:$L$19/(1+$A$28/100)^DCF_Base!$C$4:$L$4)+MAX(0,MIN(IF($A$28&gt;$F$23,DCF_Base!$L$19*(1+$F$23/100)/(($A$28-$F$23)/100),DCF_Base!$L$19*DCF_Base!$B$29),DCF_Base!$L$19*DCF_Base!$B$29))/(1+$A$28/100)^DCF_Base!$L$4+Assumptions!$B$5-Assumptions!$B$4)/Assumptions!$B$3*Assumptions!$B$10</f>
        <v>264.709579732338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2026-10-02T08:45:05Z</dcterms:created>
  <dc:creator>openpyxl</dc:creator>
  <dc:description/>
  <dc:language>en-NZ</dc:language>
  <cp:lastModifiedBy/>
  <dcterms:modified xsi:type="dcterms:W3CDTF">2026-10-02T08:45:05Z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