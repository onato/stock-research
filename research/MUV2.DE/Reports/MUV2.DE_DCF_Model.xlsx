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<sst xmlns="http://schemas.openxmlformats.org/spreadsheetml/2006/main" count="382" uniqueCount="177">
  <si>
    <t xml:space="preserve">Ticker</t>
  </si>
  <si>
    <t xml:space="preserve">MUV2.DE</t>
  </si>
  <si>
    <t xml:space="preserve">Company</t>
  </si>
  <si>
    <t xml:space="preserve">Muenchener Rueckversicherungs-Gesellschaft AG (Munich Re)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</si>
  <si>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</si>
  <si>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</si>
  <si>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</si>
  <si>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</si>
  <si>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2026-10-23T15:39:30Z XETRA regular close (Friday); latest regular-session print, not after-hours</t>
  </si>
  <si>
    <t xml:space="preserve">Balance sheet date</t>
  </si>
  <si>
    <t xml:space="preserve">2026-06-30</t>
  </si>
  <si>
    <t xml:space="preserve">Model</t>
  </si>
  <si>
    <t xml:space="preserve">Insurer FCFE at cost of equity on net result, net debt held at zero (engine route)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</si>
  <si>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</si>
  <si>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</si>
  <si>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</si>
  <si>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</si>
  <si>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</si>
  <si>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</si>
  <si>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</si>
  <si>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</si>
  <si>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2026-10-25T01:44:11Z</t>
  </si>
  <si>
    <t xml:space="preserve">Drivers file</t>
  </si>
  <si>
    <t xml:space="preserve">MUV2.DE_Drivers.json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</si>
  <si>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</si>
  <si>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</si>
  <si>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</si>
  <si>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Munich Re is valued on what it pays its owners: dividends plus buy-backs, which Ambition 2030 commits at &gt;80% of the net result. That stream is discounted at a EUR cost of equity with debt held at zero because subordinated debt is already charged in the net result. Book-value x justified P/B is the cross-check (~EUR 667 at 18% RoE). At roughly 11x guided earnings the market is pricing a deeper or longer earnings decline from the soft reinsurance cycle than the base case assumes.
key_risks_to_valuation: P&amp;C reinsurance pricing softening faster than mix-shift can offset (renewal volumes already down double digits at several 2026 dates); Nat-cat severity/frequency: a single USD 100bn+ industry event can consume a year's major-loss budget and more; US casualty reserve adequacy (social inflation) and L&amp;H reserve assumptions; USD weakness: FY2025 currency result -EUR 1.4bn; Cost of equity: each 50bp on the 9% base moves value materially because ~85% of earnings are distributed; Execution of Ambition 2030 under a new CEO (Jurecka since end-2025)</t>
  </si>
  <si>
    <t xml:space="preserve">Data sources</t>
  </si>
  <si>
    <t xml:space="preserve">price: Yahoo Finance chart API at inputs.price_as_of; 52-week range 437.4-572.6
financials: MUV2.DE_Metrics.csv (core_metrics + kpis FY2011-H1 FY2026); H1 2026 half-year report (shares in circulation line 2125, equity, NCI, guidance line 730); FY2025 annual report (dividend EUR 24.00 line 1244)
qualitative: MUV2.DE_Analysis.json: Ambition 2030 targets (RoE &gt;18%, EPS CAGR &gt;8%, payout &gt;80%, Solvency II &gt;200%), FY2026 guidance EUR 6.3bn, EUR 2.25bn buy-back, 2026 renewal volumes, ratings actions</t>
  </si>
  <si>
    <t xml:space="preserve">Scenario narrative: bear</t>
  </si>
  <si>
    <t xml:space="preserve">Heavy H2 2026 cats, a deeper soft market and reserve or FX hits cut FY2027 earnings ~12%; payout at the 80% floor, 10% cost of equity, 2% terminal growth.</t>
  </si>
  <si>
    <t xml:space="preserve">Scenario narrative: base</t>
  </si>
  <si>
    <t xml:space="preserve">Guidance-plus FY2026 (EUR 6.6bn) on a benign H1 cat year, then two flat-to-down years as P&amp;C reinsurance pricing softens, offset by mix-shift and investment income; 85% payout, 9% cost of equity, 3% terminal growth.</t>
  </si>
  <si>
    <t xml:space="preserve">Scenario narrative: bull</t>
  </si>
  <si>
    <t xml:space="preserve">Discipline in a shallow soft market plus L&amp;H/GSI/ERGO growth and a rising reinvestment yield sustain 4-5% aggregate growth (EPS &gt;8% with buy-backs); 87% payout, 8.5% cost of equity.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</si>
  <si>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</si>
  <si>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</si>
  <si>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</si>
  <si>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</si>
  <si>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</si>
  <si>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</si>
  <si>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</si>
  <si>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</si>
  <si>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</si>
  <si>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</si>
  <si>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</si>
  <si>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</si>
  <si>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</si>
  <si>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</si>
  <si>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</si>
  <si>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</si>
  <si>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</si>
  <si>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</si>
  <si>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</si>
  <si>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</si>
  <si>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</si>
  <si>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</si>
  <si>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</si>
  <si>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</si>
  <si>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</si>
  <si>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</si>
  <si>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</si>
  <si>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</si>
  <si>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CombinedRatio</t>
  </si>
  <si>
    <t xml:space="preserve">GrossPremiumsWritten</t>
  </si>
  <si>
    <t xml:space="preserve">InsuranceRevenue</t>
  </si>
  <si>
    <t xml:space="preserve">InsuranceServiceResult</t>
  </si>
  <si>
    <t xml:space="preserve">NetIncomeRestated</t>
  </si>
  <si>
    <t xml:space="preserve">ROE</t>
  </si>
  <si>
    <t xml:space="preserve">RevenueRestated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</si>
  <si>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</si>
  <si>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</si>
  <si>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</si>
  <si>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</si>
  <si>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</si>
  <si>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</si>
  <si>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</si>
  <si>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</si>
  <si>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</si>
  <si>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</si>
  <si>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</si>
  <si>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</si>
  <si>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</si>
  <si>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</si>
  <si>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</si>
  <si>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</si>
  <si>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</si>
  <si>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</si>
  <si>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</si>
  <si>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</si>
  <si>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</si>
  <si>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</si>
  <si>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</si>
  <si>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</si>
  <si>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</si>
  <si>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</si>
  <si>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</si>
  <si>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</si>
  <si>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</si>
  <si>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</si>
  <si>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</si>
  <si>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</si>
  <si>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</si>
  <si>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</si>
  <si>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</si>
  <si>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</si>
  <si>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</si>
  <si>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</si>
  <si>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</si>
  <si>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</si>
  <si>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</si>
  <si>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</si>
  <si>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</si>
  <si>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</si>
  <si>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</si>
  <si>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</si>
  <si>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</si>
  <si>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</si>
  <si>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</si>
  <si>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</si>
  <si>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</si>
  <si>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</si>
  <si>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MUV2.DE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</si>
  <si>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</si>
  <si>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</si>
  <si>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</si>
  <si>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</si>
  <si>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</si>
  <si>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</si>
  <si>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</si>
  <si>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</si>
  <si>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</si>
  <si>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</si>
  <si>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</si>
  <si>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</si>
  <si>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</si>
  <si>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</si>
  <si>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</si>
  <si>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</si>
  <si>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</si>
  <si>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</si>
  <si>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</si>
  <si>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</si>
  <si>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</si>
  <si>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</si>
  <si>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</si>
  <si>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</si>
  <si>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</si>
  <si>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</si>
  <si>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</si>
  <si>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</si>
  <si>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</si>
  <si>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</si>
  <si>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MUV2.DE owner-FCF component DCF: base case (millions, EUR)</t>
  </si>
  <si>
    <t xml:space="preserve">MUV2.DE owner-FCF component DCF: bull case (millions, EUR)</t>
  </si>
  <si>
    <t xml:space="preserve">MUV2.DE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</si>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</sst>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556.6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</row>
    <row r="2" customFormat="false" ht="15" hidden="false" customHeight="false" outlineLevel="0" collapsed="false">
      <c r="A2" s="0" t="s">
        <v>71</v>
      </c>
      <c r="B2" s="0" t="n">
        <v>49452</v>
      </c>
      <c r="F2" s="0" t="n">
        <v>1180</v>
      </c>
      <c r="G2" s="0" t="n">
        <v>2.3862</v>
      </c>
      <c r="I2" s="0" t="n">
        <v>702</v>
      </c>
      <c r="J2" s="0" t="n">
        <v>1.4196</v>
      </c>
      <c r="K2" s="0" t="n">
        <v>3.94</v>
      </c>
      <c r="L2" s="0" t="n">
        <v>6075</v>
      </c>
      <c r="O2" s="0" t="n">
        <v>23309</v>
      </c>
      <c r="P2" s="0" t="n">
        <v>247580</v>
      </c>
      <c r="Q2" s="0" t="n">
        <v>224271</v>
      </c>
      <c r="R2" s="0" t="n">
        <v>4946</v>
      </c>
      <c r="S2" s="0" t="n">
        <v>2490</v>
      </c>
      <c r="T2" s="0" t="n">
        <v>178.1726</v>
      </c>
      <c r="AA2" s="0" t="s">
        <v>17</v>
      </c>
      <c r="AB2" s="0" t="s">
        <v>14</v>
      </c>
      <c r="AE2" s="0" t="n">
        <v>49452</v>
      </c>
    </row>
    <row r="3" customFormat="false" ht="15" hidden="false" customHeight="false" outlineLevel="0" collapsed="false">
      <c r="A3" s="0" t="s">
        <v>72</v>
      </c>
      <c r="B3" s="0" t="n">
        <v>51969</v>
      </c>
      <c r="F3" s="0" t="n">
        <v>5350</v>
      </c>
      <c r="G3" s="0" t="n">
        <v>10.2946</v>
      </c>
      <c r="I3" s="0" t="n">
        <v>3195</v>
      </c>
      <c r="J3" s="0" t="n">
        <v>6.1479</v>
      </c>
      <c r="K3" s="0" t="n">
        <v>17.98</v>
      </c>
      <c r="L3" s="0" t="n">
        <v>5535</v>
      </c>
      <c r="O3" s="0" t="n">
        <v>27423</v>
      </c>
      <c r="P3" s="0" t="n">
        <v>258360</v>
      </c>
      <c r="Q3" s="0" t="n">
        <v>230937</v>
      </c>
      <c r="R3" s="0" t="n">
        <v>5763</v>
      </c>
      <c r="S3" s="0" t="n">
        <v>2860</v>
      </c>
      <c r="T3" s="0" t="n">
        <v>177.6974</v>
      </c>
      <c r="AA3" s="0" t="s">
        <v>17</v>
      </c>
      <c r="AB3" s="0" t="s">
        <v>14</v>
      </c>
      <c r="AE3" s="0" t="n">
        <v>51969</v>
      </c>
    </row>
    <row r="4" customFormat="false" ht="15" hidden="false" customHeight="false" outlineLevel="0" collapsed="false">
      <c r="A4" s="0" t="s">
        <v>73</v>
      </c>
      <c r="B4" s="0" t="n">
        <v>51060</v>
      </c>
      <c r="F4" s="0" t="n">
        <v>4398</v>
      </c>
      <c r="G4" s="0" t="n">
        <v>8.6134</v>
      </c>
      <c r="I4" s="0" t="n">
        <v>3304</v>
      </c>
      <c r="J4" s="0" t="n">
        <v>6.4708</v>
      </c>
      <c r="K4" s="0" t="n">
        <v>18.45</v>
      </c>
      <c r="L4" s="0" t="n">
        <v>2187</v>
      </c>
      <c r="O4" s="0" t="n">
        <v>26188</v>
      </c>
      <c r="P4" s="0" t="n">
        <v>254312</v>
      </c>
      <c r="Q4" s="0" t="n">
        <v>228124</v>
      </c>
      <c r="R4" s="0" t="n">
        <v>4672</v>
      </c>
      <c r="S4" s="0" t="n">
        <v>2820</v>
      </c>
      <c r="T4" s="0" t="n">
        <v>179.0786</v>
      </c>
      <c r="AA4" s="0" t="s">
        <v>17</v>
      </c>
      <c r="AB4" s="0" t="s">
        <v>14</v>
      </c>
      <c r="AE4" s="0" t="n">
        <v>51060</v>
      </c>
    </row>
    <row r="5" customFormat="false" ht="15" hidden="false" customHeight="false" outlineLevel="0" collapsed="false">
      <c r="A5" s="0" t="s">
        <v>74</v>
      </c>
      <c r="B5" s="0" t="n">
        <v>48848</v>
      </c>
      <c r="F5" s="0" t="n">
        <v>4028</v>
      </c>
      <c r="G5" s="0" t="n">
        <v>8.246</v>
      </c>
      <c r="I5" s="0" t="n">
        <v>3153</v>
      </c>
      <c r="J5" s="0" t="n">
        <v>6.4547</v>
      </c>
      <c r="K5" s="0" t="n">
        <v>18.31</v>
      </c>
      <c r="L5" s="0" t="n">
        <v>7527</v>
      </c>
      <c r="O5" s="0" t="n">
        <v>30304</v>
      </c>
      <c r="P5" s="0" t="n">
        <v>272979</v>
      </c>
      <c r="Q5" s="0" t="n">
        <v>242675</v>
      </c>
      <c r="R5" s="0" t="n">
        <v>4695</v>
      </c>
      <c r="S5" s="0" t="n">
        <v>2912</v>
      </c>
      <c r="T5" s="0" t="n">
        <v>172.201</v>
      </c>
      <c r="AA5" s="0" t="s">
        <v>17</v>
      </c>
      <c r="AB5" s="0" t="s">
        <v>14</v>
      </c>
      <c r="AE5" s="0" t="n">
        <v>48848</v>
      </c>
    </row>
    <row r="6" customFormat="false" ht="15" hidden="false" customHeight="false" outlineLevel="0" collapsed="false">
      <c r="A6" s="0" t="s">
        <v>75</v>
      </c>
      <c r="B6" s="0" t="n">
        <v>50374</v>
      </c>
      <c r="F6" s="0" t="n">
        <v>4819</v>
      </c>
      <c r="G6" s="0" t="n">
        <v>9.5664</v>
      </c>
      <c r="I6" s="0" t="n">
        <v>3107</v>
      </c>
      <c r="J6" s="0" t="n">
        <v>6.1679</v>
      </c>
      <c r="K6" s="0" t="n">
        <v>18.73</v>
      </c>
      <c r="L6" s="0" t="n">
        <v>4327</v>
      </c>
      <c r="O6" s="0" t="n">
        <v>30966</v>
      </c>
      <c r="P6" s="0" t="n">
        <v>268868</v>
      </c>
      <c r="Q6" s="0" t="n">
        <v>237902</v>
      </c>
      <c r="R6" s="0" t="n">
        <v>4730</v>
      </c>
      <c r="S6" s="0" t="n">
        <v>3955</v>
      </c>
      <c r="T6" s="0" t="n">
        <v>165.8836</v>
      </c>
      <c r="AA6" s="0" t="s">
        <v>17</v>
      </c>
      <c r="AB6" s="0" t="s">
        <v>14</v>
      </c>
      <c r="AE6" s="0" t="n">
        <v>50374</v>
      </c>
    </row>
    <row r="7" customFormat="false" ht="15" hidden="false" customHeight="false" outlineLevel="0" collapsed="false">
      <c r="A7" s="0" t="s">
        <v>76</v>
      </c>
      <c r="B7" s="0" t="n">
        <v>48851</v>
      </c>
      <c r="F7" s="0" t="n">
        <v>4025</v>
      </c>
      <c r="G7" s="0" t="n">
        <v>8.2393</v>
      </c>
      <c r="I7" s="0" t="n">
        <v>2580</v>
      </c>
      <c r="J7" s="0" t="n">
        <v>5.2814</v>
      </c>
      <c r="K7" s="0" t="n">
        <v>16.13</v>
      </c>
      <c r="L7" s="0" t="n">
        <v>3132</v>
      </c>
      <c r="O7" s="0" t="n">
        <v>31785</v>
      </c>
      <c r="P7" s="0" t="n">
        <v>267805</v>
      </c>
      <c r="Q7" s="0" t="n">
        <v>236020</v>
      </c>
      <c r="R7" s="0" t="n">
        <v>4542</v>
      </c>
      <c r="S7" s="0" t="n">
        <v>3353</v>
      </c>
      <c r="T7" s="0" t="n">
        <v>159.9504</v>
      </c>
      <c r="AA7" s="0" t="s">
        <v>17</v>
      </c>
      <c r="AB7" s="0" t="s">
        <v>14</v>
      </c>
      <c r="AE7" s="0" t="n">
        <v>48851</v>
      </c>
    </row>
    <row r="8" customFormat="false" ht="15" hidden="false" customHeight="false" outlineLevel="0" collapsed="false">
      <c r="A8" s="0" t="s">
        <v>77</v>
      </c>
      <c r="B8" s="0" t="n">
        <v>49115</v>
      </c>
      <c r="F8" s="0" t="n">
        <v>1241</v>
      </c>
      <c r="G8" s="0" t="n">
        <v>2.5267</v>
      </c>
      <c r="I8" s="0" t="n">
        <v>375</v>
      </c>
      <c r="J8" s="0" t="n">
        <v>0.7635</v>
      </c>
      <c r="K8" s="0" t="n">
        <v>2.44</v>
      </c>
      <c r="L8" s="0" t="n">
        <v>1833</v>
      </c>
      <c r="O8" s="0" t="n">
        <v>28198</v>
      </c>
      <c r="P8" s="0" t="n">
        <v>265722</v>
      </c>
      <c r="Q8" s="0" t="n">
        <v>237524</v>
      </c>
      <c r="R8" s="0" t="n">
        <v>3067</v>
      </c>
      <c r="S8" s="0" t="n">
        <v>3625</v>
      </c>
      <c r="T8" s="0" t="n">
        <v>153.6885</v>
      </c>
      <c r="AA8" s="0" t="s">
        <v>17</v>
      </c>
      <c r="AB8" s="0" t="s">
        <v>14</v>
      </c>
      <c r="AE8" s="0" t="n">
        <v>49115</v>
      </c>
    </row>
    <row r="9" customFormat="false" ht="15" hidden="false" customHeight="false" outlineLevel="0" collapsed="false">
      <c r="A9" s="0" t="s">
        <v>78</v>
      </c>
      <c r="B9" s="0" t="n">
        <v>49064</v>
      </c>
      <c r="F9" s="0" t="n">
        <v>3725</v>
      </c>
      <c r="G9" s="0" t="n">
        <v>7.5921</v>
      </c>
      <c r="I9" s="0" t="n">
        <v>2310</v>
      </c>
      <c r="J9" s="0" t="n">
        <v>4.7081</v>
      </c>
      <c r="K9" s="0" t="n">
        <v>15.53</v>
      </c>
      <c r="L9" s="0" t="n">
        <v>2998</v>
      </c>
      <c r="O9" s="0" t="n">
        <v>26500</v>
      </c>
      <c r="P9" s="0" t="n">
        <v>270168</v>
      </c>
      <c r="Q9" s="0" t="n">
        <v>243668</v>
      </c>
      <c r="R9" s="0" t="n">
        <v>3981</v>
      </c>
      <c r="S9" s="0" t="n">
        <v>4986</v>
      </c>
      <c r="T9" s="0" t="n">
        <v>148.7444</v>
      </c>
      <c r="AA9" s="0" t="s">
        <v>17</v>
      </c>
      <c r="AB9" s="0" t="s">
        <v>14</v>
      </c>
      <c r="AE9" s="0" t="n">
        <v>49064</v>
      </c>
    </row>
    <row r="10" customFormat="false" ht="15" hidden="false" customHeight="false" outlineLevel="0" collapsed="false">
      <c r="A10" s="0" t="s">
        <v>79</v>
      </c>
      <c r="B10" s="0" t="n">
        <v>51457</v>
      </c>
      <c r="F10" s="0" t="n">
        <v>3430</v>
      </c>
      <c r="G10" s="0" t="n">
        <v>6.6658</v>
      </c>
      <c r="I10" s="0" t="n">
        <v>2724</v>
      </c>
      <c r="J10" s="0" t="n">
        <v>5.2937</v>
      </c>
      <c r="K10" s="0" t="n">
        <v>18.97</v>
      </c>
      <c r="L10" s="0" t="n">
        <v>9493</v>
      </c>
      <c r="O10" s="0" t="n">
        <v>30576</v>
      </c>
      <c r="P10" s="0" t="n">
        <v>287553</v>
      </c>
      <c r="Q10" s="0" t="n">
        <v>256977</v>
      </c>
      <c r="R10" s="0" t="n">
        <v>4136</v>
      </c>
      <c r="S10" s="0" t="n">
        <v>4994</v>
      </c>
      <c r="T10" s="0" t="n">
        <v>143.5952</v>
      </c>
      <c r="AA10" s="0" t="s">
        <v>17</v>
      </c>
      <c r="AB10" s="0" t="s">
        <v>14</v>
      </c>
      <c r="AE10" s="0" t="n">
        <v>51457</v>
      </c>
    </row>
    <row r="11" customFormat="false" ht="15" hidden="false" customHeight="false" outlineLevel="0" collapsed="false">
      <c r="A11" s="0" t="s">
        <v>80</v>
      </c>
      <c r="B11" s="0" t="n">
        <v>54890</v>
      </c>
      <c r="F11" s="0" t="n">
        <v>1986</v>
      </c>
      <c r="G11" s="0" t="n">
        <v>3.6181</v>
      </c>
      <c r="I11" s="0" t="n">
        <v>1211</v>
      </c>
      <c r="J11" s="0" t="n">
        <v>2.2062</v>
      </c>
      <c r="K11" s="0" t="n">
        <v>8.63</v>
      </c>
      <c r="L11" s="0" t="n">
        <v>7219</v>
      </c>
      <c r="O11" s="0" t="n">
        <v>29994</v>
      </c>
      <c r="P11" s="0" t="n">
        <v>297946</v>
      </c>
      <c r="Q11" s="0" t="n">
        <v>267952</v>
      </c>
      <c r="R11" s="0" t="n">
        <v>5319</v>
      </c>
      <c r="S11" s="0" t="n">
        <v>5615</v>
      </c>
      <c r="T11" s="0" t="n">
        <v>140.3244</v>
      </c>
      <c r="AA11" s="0" t="s">
        <v>17</v>
      </c>
      <c r="AB11" s="0" t="s">
        <v>14</v>
      </c>
      <c r="AE11" s="0" t="n">
        <v>54890</v>
      </c>
    </row>
    <row r="12" customFormat="false" ht="15" hidden="false" customHeight="false" outlineLevel="0" collapsed="false">
      <c r="A12" s="0" t="s">
        <v>81</v>
      </c>
      <c r="B12" s="0" t="n">
        <v>59567</v>
      </c>
      <c r="F12" s="0" t="n">
        <v>3517</v>
      </c>
      <c r="G12" s="0" t="n">
        <v>5.9043</v>
      </c>
      <c r="I12" s="0" t="n">
        <v>2933</v>
      </c>
      <c r="J12" s="0" t="n">
        <v>4.9239</v>
      </c>
      <c r="K12" s="0" t="n">
        <v>20.93</v>
      </c>
      <c r="L12" s="0" t="n">
        <v>5226</v>
      </c>
      <c r="O12" s="0" t="n">
        <v>30945</v>
      </c>
      <c r="P12" s="0" t="n">
        <v>312405</v>
      </c>
      <c r="Q12" s="0" t="n">
        <v>281460</v>
      </c>
      <c r="R12" s="0" t="n">
        <v>5348</v>
      </c>
      <c r="S12" s="0" t="n">
        <v>5413</v>
      </c>
      <c r="T12" s="0" t="n">
        <v>140.1338</v>
      </c>
      <c r="V12" s="0" t="n">
        <v>11</v>
      </c>
      <c r="AA12" s="0" t="s">
        <v>17</v>
      </c>
      <c r="AB12" s="0" t="s">
        <v>14</v>
      </c>
      <c r="AC12" s="0" t="n">
        <v>220.06</v>
      </c>
      <c r="AE12" s="0" t="n">
        <v>59567</v>
      </c>
      <c r="AI12" s="0" t="n">
        <v>12.6</v>
      </c>
    </row>
    <row r="13" customFormat="false" ht="15" hidden="false" customHeight="false" outlineLevel="0" collapsed="false">
      <c r="A13" s="0" t="s">
        <v>82</v>
      </c>
      <c r="B13" s="0" t="n">
        <v>67133</v>
      </c>
      <c r="F13" s="0" t="n">
        <v>3582</v>
      </c>
      <c r="G13" s="0" t="n">
        <v>5.3357</v>
      </c>
      <c r="I13" s="0" t="n">
        <v>3432</v>
      </c>
      <c r="J13" s="0" t="n">
        <v>5.1122</v>
      </c>
      <c r="K13" s="0" t="n">
        <v>24.63</v>
      </c>
      <c r="L13" s="0" t="n">
        <v>-7644</v>
      </c>
      <c r="O13" s="0" t="n">
        <v>21202</v>
      </c>
      <c r="P13" s="0" t="n">
        <v>298570</v>
      </c>
      <c r="Q13" s="0" t="n">
        <v>277368</v>
      </c>
      <c r="R13" s="0" t="n">
        <v>5048</v>
      </c>
      <c r="S13" s="0" t="n">
        <v>6439</v>
      </c>
      <c r="T13" s="0" t="n">
        <v>139.3423</v>
      </c>
      <c r="V13" s="0" t="n">
        <v>11.6</v>
      </c>
      <c r="AA13" s="0" t="s">
        <v>17</v>
      </c>
      <c r="AB13" s="0" t="s">
        <v>14</v>
      </c>
      <c r="AE13" s="0" t="n">
        <v>67133</v>
      </c>
      <c r="AH13" s="0" t="n">
        <v>5309</v>
      </c>
      <c r="AJ13" s="0" t="n">
        <v>55385</v>
      </c>
    </row>
    <row r="14" customFormat="false" ht="15" hidden="false" customHeight="false" outlineLevel="0" collapsed="false">
      <c r="A14" s="0" t="s">
        <v>83</v>
      </c>
      <c r="B14" s="0" t="n">
        <v>57884</v>
      </c>
      <c r="F14" s="0" t="n">
        <v>5702</v>
      </c>
      <c r="G14" s="0" t="n">
        <v>9.8507</v>
      </c>
      <c r="I14" s="0" t="n">
        <v>4606</v>
      </c>
      <c r="J14" s="0" t="n">
        <v>7.9573</v>
      </c>
      <c r="K14" s="0" t="n">
        <v>33.88</v>
      </c>
      <c r="L14" s="0" t="n">
        <v>2543</v>
      </c>
      <c r="M14" s="0" t="n">
        <v>346</v>
      </c>
      <c r="N14" s="0" t="n">
        <v>2197</v>
      </c>
      <c r="O14" s="0" t="n">
        <v>29772</v>
      </c>
      <c r="P14" s="0" t="n">
        <v>273793</v>
      </c>
      <c r="Q14" s="0" t="n">
        <v>244021</v>
      </c>
      <c r="R14" s="0" t="n">
        <v>4713</v>
      </c>
      <c r="S14" s="0" t="n">
        <v>5595</v>
      </c>
      <c r="T14" s="0" t="n">
        <v>135.9504</v>
      </c>
      <c r="V14" s="0" t="n">
        <v>15</v>
      </c>
      <c r="AA14" s="0" t="s">
        <v>17</v>
      </c>
      <c r="AB14" s="0" t="s">
        <v>14</v>
      </c>
      <c r="AC14" s="0" t="n">
        <v>220.29</v>
      </c>
      <c r="AF14" s="0" t="n">
        <v>57884</v>
      </c>
      <c r="AG14" s="0" t="n">
        <v>7045</v>
      </c>
      <c r="AI14" s="0" t="n">
        <v>15.8</v>
      </c>
    </row>
    <row r="15" customFormat="false" ht="15" hidden="false" customHeight="false" outlineLevel="0" collapsed="false">
      <c r="A15" s="0" t="s">
        <v>84</v>
      </c>
      <c r="B15" s="0" t="n">
        <v>60830</v>
      </c>
      <c r="F15" s="0" t="n">
        <v>7969</v>
      </c>
      <c r="G15" s="0" t="n">
        <v>13.1004</v>
      </c>
      <c r="I15" s="0" t="n">
        <v>5685</v>
      </c>
      <c r="J15" s="0" t="n">
        <v>9.3457</v>
      </c>
      <c r="K15" s="0" t="n">
        <v>42.78</v>
      </c>
      <c r="L15" s="0" t="n">
        <v>3143</v>
      </c>
      <c r="M15" s="0" t="n">
        <v>316</v>
      </c>
      <c r="N15" s="0" t="n">
        <v>2827</v>
      </c>
      <c r="O15" s="0" t="n">
        <v>32746</v>
      </c>
      <c r="P15" s="0" t="n">
        <v>286515</v>
      </c>
      <c r="Q15" s="0" t="n">
        <v>253769</v>
      </c>
      <c r="R15" s="0" t="n">
        <v>6321</v>
      </c>
      <c r="S15" s="0" t="n">
        <v>6116</v>
      </c>
      <c r="T15" s="0" t="n">
        <v>132.8892</v>
      </c>
      <c r="V15" s="0" t="n">
        <v>20</v>
      </c>
      <c r="AA15" s="0" t="s">
        <v>17</v>
      </c>
      <c r="AB15" s="0" t="s">
        <v>14</v>
      </c>
      <c r="AC15" s="0" t="n">
        <v>249.58</v>
      </c>
      <c r="AD15" s="0" t="n">
        <v>77.3</v>
      </c>
      <c r="AF15" s="0" t="n">
        <v>60830</v>
      </c>
      <c r="AG15" s="0" t="n">
        <v>8191</v>
      </c>
      <c r="AI15" s="0" t="n">
        <v>18.2</v>
      </c>
    </row>
    <row r="16" customFormat="false" ht="15" hidden="false" customHeight="false" outlineLevel="0" collapsed="false">
      <c r="A16" s="0" t="s">
        <v>85</v>
      </c>
      <c r="B16" s="0" t="n">
        <v>60412</v>
      </c>
      <c r="F16" s="0" t="n">
        <v>8876</v>
      </c>
      <c r="G16" s="0" t="n">
        <v>14.6924</v>
      </c>
      <c r="I16" s="0" t="n">
        <v>6118</v>
      </c>
      <c r="J16" s="0" t="n">
        <v>10.1271</v>
      </c>
      <c r="K16" s="0" t="n">
        <v>47.15</v>
      </c>
      <c r="L16" s="0" t="n">
        <v>4906</v>
      </c>
      <c r="M16" s="0" t="n">
        <v>300</v>
      </c>
      <c r="N16" s="0" t="n">
        <v>4606</v>
      </c>
      <c r="O16" s="0" t="n">
        <v>33421</v>
      </c>
      <c r="P16" s="0" t="n">
        <v>279934</v>
      </c>
      <c r="Q16" s="0" t="n">
        <v>246513</v>
      </c>
      <c r="R16" s="0" t="n">
        <v>7434</v>
      </c>
      <c r="S16" s="0" t="n">
        <v>5502</v>
      </c>
      <c r="T16" s="0" t="n">
        <v>129.7561</v>
      </c>
      <c r="V16" s="0" t="n">
        <v>24</v>
      </c>
      <c r="AA16" s="0" t="s">
        <v>17</v>
      </c>
      <c r="AB16" s="0" t="s">
        <v>14</v>
      </c>
      <c r="AC16" s="0" t="n">
        <v>259.76</v>
      </c>
      <c r="AD16" s="0" t="n">
        <v>73.5</v>
      </c>
      <c r="AF16" s="0" t="n">
        <v>60412</v>
      </c>
      <c r="AG16" s="0" t="n">
        <v>9319</v>
      </c>
      <c r="AI16" s="0" t="n">
        <v>18.3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86</v>
      </c>
      <c r="B1" s="2" t="s">
        <v>87</v>
      </c>
    </row>
    <row r="2" customFormat="false" ht="15" hidden="false" customHeight="false" outlineLevel="0" collapsed="false">
      <c r="A2" s="0" t="s">
        <v>88</v>
      </c>
      <c r="B2" s="3" t="n">
        <v>556.6</v>
      </c>
    </row>
    <row r="3" customFormat="false" ht="15" hidden="false" customHeight="false" outlineLevel="0" collapsed="false">
      <c r="A3" s="0" t="s">
        <v>89</v>
      </c>
      <c r="B3" s="3" t="n">
        <v>125.814</v>
      </c>
    </row>
    <row r="4" customFormat="false" ht="15" hidden="false" customHeight="false" outlineLevel="0" collapsed="false">
      <c r="A4" s="0" t="s">
        <v>90</v>
      </c>
      <c r="B4" s="3" t="n">
        <v>0</v>
      </c>
    </row>
    <row r="5" customFormat="false" ht="15" hidden="false" customHeight="false" outlineLevel="0" collapsed="false">
      <c r="A5" s="0" t="s">
        <v>91</v>
      </c>
      <c r="B5" s="3" t="n">
        <v>0</v>
      </c>
    </row>
    <row r="6" customFormat="false" ht="15" hidden="false" customHeight="false" outlineLevel="0" collapsed="false">
      <c r="A6" s="0" t="s">
        <v>92</v>
      </c>
      <c r="B6" s="3" t="n">
        <v>15</v>
      </c>
    </row>
    <row r="7" customFormat="false" ht="15" hidden="false" customHeight="false" outlineLevel="0" collapsed="false">
      <c r="A7" s="0" t="s">
        <v>93</v>
      </c>
      <c r="B7" s="3" t="n">
        <v>6118</v>
      </c>
    </row>
    <row r="8" customFormat="false" ht="15" hidden="false" customHeight="false" outlineLevel="0" collapsed="false">
      <c r="A8" s="0" t="s">
        <v>94</v>
      </c>
      <c r="B8" s="3" t="s">
        <v>85</v>
      </c>
    </row>
    <row r="9" customFormat="false" ht="15" hidden="false" customHeight="false" outlineLevel="0" collapsed="false">
      <c r="A9" s="0" t="s">
        <v>95</v>
      </c>
      <c r="B9" s="3" t="s">
        <v>96</v>
      </c>
    </row>
    <row r="10" customFormat="false" ht="15" hidden="false" customHeight="false" outlineLevel="0" collapsed="false">
      <c r="A10" s="0" t="s">
        <v>97</v>
      </c>
      <c r="B10" s="3" t="n">
        <v>1</v>
      </c>
    </row>
    <row r="12" customFormat="false" ht="15" hidden="false" customHeight="false" outlineLevel="0" collapsed="false">
      <c r="A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customFormat="false" ht="15" hidden="false" customHeight="false" outlineLevel="0" collapsed="false">
      <c r="A13" s="0" t="s">
        <v>109</v>
      </c>
      <c r="C13" s="3" t="n">
        <v>3</v>
      </c>
      <c r="D13" s="3" t="n">
        <v>-12</v>
      </c>
      <c r="E13" s="3" t="n">
        <v>0</v>
      </c>
      <c r="F13" s="3" t="n">
        <v>2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110</v>
      </c>
      <c r="C14" s="3" t="n">
        <v>80</v>
      </c>
      <c r="D14" s="3" t="n">
        <v>80</v>
      </c>
      <c r="E14" s="3" t="n">
        <v>80</v>
      </c>
      <c r="F14" s="3" t="n">
        <v>80</v>
      </c>
      <c r="G14" s="3" t="n">
        <v>80</v>
      </c>
      <c r="H14" s="3" t="n">
        <v>80</v>
      </c>
      <c r="I14" s="3" t="n">
        <v>80</v>
      </c>
      <c r="J14" s="3" t="n">
        <v>80</v>
      </c>
      <c r="K14" s="3" t="n">
        <v>80</v>
      </c>
      <c r="L14" s="3" t="n">
        <v>80</v>
      </c>
    </row>
    <row r="15" customFormat="false" ht="15" hidden="false" customHeight="false" outlineLevel="0" collapsed="false">
      <c r="A15" s="0" t="s">
        <v>111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114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116</v>
      </c>
      <c r="B20" s="3" t="n">
        <v>10</v>
      </c>
    </row>
    <row r="21" customFormat="false" ht="15" hidden="false" customHeight="false" outlineLevel="0" collapsed="false">
      <c r="A21" s="0" t="s">
        <v>117</v>
      </c>
      <c r="B21" s="3" t="n">
        <v>2</v>
      </c>
    </row>
    <row r="22" customFormat="false" ht="15" hidden="false" customHeight="false" outlineLevel="0" collapsed="false">
      <c r="A22" s="0" t="s">
        <v>118</v>
      </c>
      <c r="B22" s="3" t="n">
        <v>13</v>
      </c>
    </row>
    <row r="23" customFormat="false" ht="15" hidden="false" customHeight="false" outlineLevel="0" collapsed="false">
      <c r="A23" s="0" t="s">
        <v>119</v>
      </c>
      <c r="B23" s="3" t="n">
        <v>0</v>
      </c>
    </row>
    <row r="24" customFormat="false" ht="15" hidden="false" customHeight="false" outlineLevel="0" collapsed="false">
      <c r="A24" s="0" t="s">
        <v>120</v>
      </c>
      <c r="B24" s="3" t="n">
        <v>0.25</v>
      </c>
    </row>
    <row r="26" customFormat="false" ht="15" hidden="false" customHeight="false" outlineLevel="0" collapsed="false">
      <c r="A26" s="2" t="s">
        <v>121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  <c r="H26" s="2" t="s">
        <v>104</v>
      </c>
      <c r="I26" s="2" t="s">
        <v>105</v>
      </c>
      <c r="J26" s="2" t="s">
        <v>106</v>
      </c>
      <c r="K26" s="2" t="s">
        <v>107</v>
      </c>
      <c r="L26" s="2" t="s">
        <v>108</v>
      </c>
    </row>
    <row r="27" customFormat="false" ht="15" hidden="false" customHeight="false" outlineLevel="0" collapsed="false">
      <c r="A27" s="0" t="s">
        <v>109</v>
      </c>
      <c r="C27" s="3" t="n">
        <v>7.9</v>
      </c>
      <c r="D27" s="3" t="n">
        <v>-1.5</v>
      </c>
      <c r="E27" s="3" t="n">
        <v>0</v>
      </c>
      <c r="F27" s="3" t="n">
        <v>3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110</v>
      </c>
      <c r="C28" s="3" t="n">
        <v>85</v>
      </c>
      <c r="D28" s="3" t="n">
        <v>85</v>
      </c>
      <c r="E28" s="3" t="n">
        <v>85</v>
      </c>
      <c r="F28" s="3" t="n">
        <v>85</v>
      </c>
      <c r="G28" s="3" t="n">
        <v>85</v>
      </c>
      <c r="H28" s="3" t="n">
        <v>85</v>
      </c>
      <c r="I28" s="3" t="n">
        <v>85</v>
      </c>
      <c r="J28" s="3" t="n">
        <v>85</v>
      </c>
      <c r="K28" s="3" t="n">
        <v>85</v>
      </c>
      <c r="L28" s="3" t="n">
        <v>85</v>
      </c>
    </row>
    <row r="29" customFormat="false" ht="15" hidden="false" customHeight="false" outlineLevel="0" collapsed="false">
      <c r="A29" s="0" t="s">
        <v>111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116</v>
      </c>
      <c r="B34" s="3" t="n">
        <v>9</v>
      </c>
    </row>
    <row r="35" customFormat="false" ht="15" hidden="false" customHeight="false" outlineLevel="0" collapsed="false">
      <c r="A35" s="0" t="s">
        <v>117</v>
      </c>
      <c r="B35" s="3" t="n">
        <v>3</v>
      </c>
    </row>
    <row r="36" customFormat="false" ht="15" hidden="false" customHeight="false" outlineLevel="0" collapsed="false">
      <c r="A36" s="0" t="s">
        <v>118</v>
      </c>
      <c r="B36" s="3" t="n">
        <v>17</v>
      </c>
    </row>
    <row r="37" customFormat="false" ht="15" hidden="false" customHeight="false" outlineLevel="0" collapsed="false">
      <c r="A37" s="0" t="s">
        <v>119</v>
      </c>
      <c r="B37" s="3" t="n">
        <v>0</v>
      </c>
    </row>
    <row r="38" customFormat="false" ht="15" hidden="false" customHeight="false" outlineLevel="0" collapsed="false">
      <c r="A38" s="0" t="s">
        <v>120</v>
      </c>
      <c r="B38" s="3" t="n">
        <v>0.5</v>
      </c>
    </row>
    <row r="40" customFormat="false" ht="15" hidden="false" customHeight="false" outlineLevel="0" collapsed="false">
      <c r="A40" s="2" t="s">
        <v>122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105</v>
      </c>
      <c r="J40" s="2" t="s">
        <v>106</v>
      </c>
      <c r="K40" s="2" t="s">
        <v>107</v>
      </c>
      <c r="L40" s="2" t="s">
        <v>108</v>
      </c>
    </row>
    <row r="41" customFormat="false" ht="15" hidden="false" customHeight="false" outlineLevel="0" collapsed="false">
      <c r="A41" s="0" t="s">
        <v>109</v>
      </c>
      <c r="C41" s="3" t="n">
        <v>11</v>
      </c>
      <c r="D41" s="3" t="n">
        <v>3</v>
      </c>
      <c r="E41" s="3" t="n">
        <v>4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110</v>
      </c>
      <c r="C42" s="3" t="n">
        <v>87</v>
      </c>
      <c r="D42" s="3" t="n">
        <v>87</v>
      </c>
      <c r="E42" s="3" t="n">
        <v>87</v>
      </c>
      <c r="F42" s="3" t="n">
        <v>87</v>
      </c>
      <c r="G42" s="3" t="n">
        <v>87</v>
      </c>
      <c r="H42" s="3" t="n">
        <v>87</v>
      </c>
      <c r="I42" s="3" t="n">
        <v>87</v>
      </c>
      <c r="J42" s="3" t="n">
        <v>87</v>
      </c>
      <c r="K42" s="3" t="n">
        <v>87</v>
      </c>
      <c r="L42" s="3" t="n">
        <v>87</v>
      </c>
    </row>
    <row r="43" customFormat="false" ht="15" hidden="false" customHeight="false" outlineLevel="0" collapsed="false">
      <c r="A43" s="0" t="s">
        <v>111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114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116</v>
      </c>
      <c r="B48" s="3" t="n">
        <v>8.5</v>
      </c>
    </row>
    <row r="49" customFormat="false" ht="15" hidden="false" customHeight="false" outlineLevel="0" collapsed="false">
      <c r="A49" s="0" t="s">
        <v>117</v>
      </c>
      <c r="B49" s="3" t="n">
        <v>3.25</v>
      </c>
    </row>
    <row r="50" customFormat="false" ht="15" hidden="false" customHeight="false" outlineLevel="0" collapsed="false">
      <c r="A50" s="0" t="s">
        <v>118</v>
      </c>
      <c r="B50" s="3" t="n">
        <v>20</v>
      </c>
    </row>
    <row r="51" customFormat="false" ht="15" hidden="false" customHeight="false" outlineLevel="0" collapsed="false">
      <c r="A51" s="0" t="s">
        <v>119</v>
      </c>
      <c r="B51" s="3" t="n">
        <v>0</v>
      </c>
    </row>
    <row r="52" customFormat="false" ht="15" hidden="false" customHeight="false" outlineLevel="0" collapsed="false">
      <c r="A52" s="0" t="s">
        <v>120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123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Assumptions!C13</f>
        <v>3</v>
      </c>
      <c r="D5" s="4" t="n">
        <f aca="false">Assumptions!D13</f>
        <v>-12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6118</v>
      </c>
      <c r="C6" s="0" t="n">
        <f aca="false">B6*(1+C5/100)</f>
        <v>6301.54</v>
      </c>
      <c r="D6" s="0" t="n">
        <f aca="false">C6*(1+D5/100)</f>
        <v>5545.3552</v>
      </c>
      <c r="E6" s="0" t="n">
        <f aca="false">D6*(1+E5/100)</f>
        <v>5545.3552</v>
      </c>
      <c r="F6" s="0" t="n">
        <f aca="false">E6*(1+F5/100)</f>
        <v>5656.262304</v>
      </c>
      <c r="G6" s="0" t="n">
        <f aca="false">F6*(1+G5/100)</f>
        <v>5825.95017312</v>
      </c>
      <c r="H6" s="0" t="n">
        <f aca="false">G6*(1+H5/100)</f>
        <v>6000.7286783136</v>
      </c>
      <c r="I6" s="0" t="n">
        <f aca="false">H6*(1+I5/100)</f>
        <v>6150.74689527144</v>
      </c>
      <c r="J6" s="0" t="n">
        <f aca="false">I6*(1+J5/100)</f>
        <v>6304.51556765322</v>
      </c>
      <c r="K6" s="0" t="n">
        <f aca="false">J6*(1+K5/100)</f>
        <v>6430.60587900629</v>
      </c>
      <c r="L6" s="0" t="n">
        <f aca="false">K6*(1+L5/100)</f>
        <v>6559.21799658642</v>
      </c>
    </row>
    <row r="7" customFormat="false" ht="15" hidden="false" customHeight="false" outlineLevel="0" collapsed="false">
      <c r="A7" s="0" t="s">
        <v>110</v>
      </c>
      <c r="C7" s="4" t="n">
        <f aca="false">Assumptions!C14</f>
        <v>80</v>
      </c>
      <c r="D7" s="4" t="n">
        <f aca="false">Assumptions!D14</f>
        <v>80</v>
      </c>
      <c r="E7" s="4" t="n">
        <f aca="false">Assumptions!E14</f>
        <v>80</v>
      </c>
      <c r="F7" s="4" t="n">
        <f aca="false">Assumptions!F14</f>
        <v>80</v>
      </c>
      <c r="G7" s="4" t="n">
        <f aca="false">Assumptions!G14</f>
        <v>80</v>
      </c>
      <c r="H7" s="4" t="n">
        <f aca="false">Assumptions!H14</f>
        <v>80</v>
      </c>
      <c r="I7" s="4" t="n">
        <f aca="false">Assumptions!I14</f>
        <v>80</v>
      </c>
      <c r="J7" s="4" t="n">
        <f aca="false">Assumptions!J14</f>
        <v>80</v>
      </c>
      <c r="K7" s="4" t="n">
        <f aca="false">Assumptions!K14</f>
        <v>80</v>
      </c>
      <c r="L7" s="4" t="n">
        <f aca="false">Assumptions!L14</f>
        <v>80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5041.232</v>
      </c>
      <c r="D8" s="0" t="n">
        <f aca="false">D6*D7/100</f>
        <v>4436.28416</v>
      </c>
      <c r="E8" s="0" t="n">
        <f aca="false">E6*E7/100</f>
        <v>4436.28416</v>
      </c>
      <c r="F8" s="0" t="n">
        <f aca="false">F6*F7/100</f>
        <v>4525.0098432</v>
      </c>
      <c r="G8" s="0" t="n">
        <f aca="false">G6*G7/100</f>
        <v>4660.760138496</v>
      </c>
      <c r="H8" s="0" t="n">
        <f aca="false">H6*H7/100</f>
        <v>4800.58294265088</v>
      </c>
      <c r="I8" s="0" t="n">
        <f aca="false">I6*I7/100</f>
        <v>4920.59751621715</v>
      </c>
      <c r="J8" s="0" t="n">
        <f aca="false">J6*J7/100</f>
        <v>5043.61245412258</v>
      </c>
      <c r="K8" s="0" t="n">
        <f aca="false">K6*K7/100</f>
        <v>5144.48470320503</v>
      </c>
      <c r="L8" s="0" t="n">
        <f aca="false">L6*L7/100</f>
        <v>5247.37439726913</v>
      </c>
    </row>
    <row r="9" customFormat="false" ht="15" hidden="false" customHeight="false" outlineLevel="0" collapsed="false">
      <c r="A9" s="0" t="s">
        <v>111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5041.232</v>
      </c>
      <c r="D11" s="0" t="n">
        <f aca="false">D8+D10+D24</f>
        <v>4436.28416</v>
      </c>
      <c r="E11" s="0" t="n">
        <f aca="false">E8+E10+E24</f>
        <v>4436.28416</v>
      </c>
      <c r="F11" s="0" t="n">
        <f aca="false">F8+F10+F24</f>
        <v>4525.0098432</v>
      </c>
      <c r="G11" s="0" t="n">
        <f aca="false">G8+G10+G24</f>
        <v>4660.760138496</v>
      </c>
      <c r="H11" s="0" t="n">
        <f aca="false">H8+H10+H24</f>
        <v>4800.58294265088</v>
      </c>
      <c r="I11" s="0" t="n">
        <f aca="false">I8+I10+I24</f>
        <v>4920.59751621715</v>
      </c>
      <c r="J11" s="0" t="n">
        <f aca="false">J8+J10+J24</f>
        <v>5043.61245412258</v>
      </c>
      <c r="K11" s="0" t="n">
        <f aca="false">K8+K10+K24</f>
        <v>5144.48470320503</v>
      </c>
      <c r="L11" s="0" t="n">
        <f aca="false">L8+L10+L24</f>
        <v>5247.37439726913</v>
      </c>
    </row>
    <row r="12" customFormat="false" ht="15" hidden="false" customHeight="false" outlineLevel="0" collapsed="false">
      <c r="A12" s="0" t="s">
        <v>128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5041.232</v>
      </c>
      <c r="D13" s="0" t="n">
        <f aca="false">D11+D12</f>
        <v>4436.28416</v>
      </c>
      <c r="E13" s="0" t="n">
        <f aca="false">E11+E12</f>
        <v>4436.28416</v>
      </c>
      <c r="F13" s="0" t="n">
        <f aca="false">F11+F12</f>
        <v>4525.0098432</v>
      </c>
      <c r="G13" s="0" t="n">
        <f aca="false">G11+G12</f>
        <v>4660.760138496</v>
      </c>
      <c r="H13" s="0" t="n">
        <f aca="false">H11+H12</f>
        <v>4800.58294265088</v>
      </c>
      <c r="I13" s="0" t="n">
        <f aca="false">I11+I12</f>
        <v>4920.59751621715</v>
      </c>
      <c r="J13" s="0" t="n">
        <f aca="false">J11+J12</f>
        <v>5043.61245412258</v>
      </c>
      <c r="K13" s="0" t="n">
        <f aca="false">K11+K12</f>
        <v>5144.48470320503</v>
      </c>
      <c r="L13" s="0" t="n">
        <f aca="false">L11+L12</f>
        <v>5247.37439726913</v>
      </c>
    </row>
    <row r="14" customFormat="false" ht="15" hidden="false" customHeight="false" outlineLevel="0" collapsed="false">
      <c r="A14" s="0" t="s">
        <v>115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5041.232</v>
      </c>
      <c r="D15" s="0" t="n">
        <f aca="false">D13-MAX(0,D13)*D14/100</f>
        <v>4436.28416</v>
      </c>
      <c r="E15" s="0" t="n">
        <f aca="false">E13-MAX(0,E13)*E14/100</f>
        <v>4436.28416</v>
      </c>
      <c r="F15" s="0" t="n">
        <f aca="false">F13-MAX(0,F13)*F14/100</f>
        <v>4525.0098432</v>
      </c>
      <c r="G15" s="0" t="n">
        <f aca="false">G13-MAX(0,G13)*G14/100</f>
        <v>4660.760138496</v>
      </c>
      <c r="H15" s="0" t="n">
        <f aca="false">H13-MAX(0,H13)*H14/100</f>
        <v>4800.58294265088</v>
      </c>
      <c r="I15" s="0" t="n">
        <f aca="false">I13-MAX(0,I13)*I14/100</f>
        <v>4920.59751621715</v>
      </c>
      <c r="J15" s="0" t="n">
        <f aca="false">J13-MAX(0,J13)*J14/100</f>
        <v>5043.61245412258</v>
      </c>
      <c r="K15" s="0" t="n">
        <f aca="false">K13-MAX(0,K13)*K14/100</f>
        <v>5144.48470320503</v>
      </c>
      <c r="L15" s="0" t="n">
        <f aca="false">L13-MAX(0,L13)*L14/100</f>
        <v>5247.37439726913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5041.232</v>
      </c>
      <c r="D19" s="0" t="n">
        <f aca="false">D15+D16+D17+D18</f>
        <v>4436.28416</v>
      </c>
      <c r="E19" s="0" t="n">
        <f aca="false">E15+E16+E17+E18</f>
        <v>4436.28416</v>
      </c>
      <c r="F19" s="0" t="n">
        <f aca="false">F15+F16+F17+F18</f>
        <v>4525.0098432</v>
      </c>
      <c r="G19" s="0" t="n">
        <f aca="false">G15+G16+G17+G18</f>
        <v>4660.760138496</v>
      </c>
      <c r="H19" s="0" t="n">
        <f aca="false">H15+H16+H17+H18</f>
        <v>4800.58294265088</v>
      </c>
      <c r="I19" s="0" t="n">
        <f aca="false">I15+I16+I17+I18</f>
        <v>4920.59751621715</v>
      </c>
      <c r="J19" s="0" t="n">
        <f aca="false">J15+J16+J17+J18</f>
        <v>5043.61245412258</v>
      </c>
      <c r="K19" s="0" t="n">
        <f aca="false">K15+K16+K17+K18</f>
        <v>5144.48470320503</v>
      </c>
      <c r="L19" s="0" t="n">
        <f aca="false">L15+L16+L17+L18</f>
        <v>5247.37439726913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4582.93818181818</v>
      </c>
      <c r="D21" s="0" t="n">
        <f aca="false">D19*D20</f>
        <v>3666.35054545454</v>
      </c>
      <c r="E21" s="0" t="n">
        <f aca="false">E19*E20</f>
        <v>3333.04595041322</v>
      </c>
      <c r="F21" s="0" t="n">
        <f aca="false">F19*F20</f>
        <v>3090.64260856499</v>
      </c>
      <c r="G21" s="0" t="n">
        <f aca="false">G19*G20</f>
        <v>2893.96535165631</v>
      </c>
      <c r="H21" s="0" t="n">
        <f aca="false">H19*H20</f>
        <v>2709.80392018727</v>
      </c>
      <c r="I21" s="0" t="n">
        <f aca="false">I19*I20</f>
        <v>2525.04456199268</v>
      </c>
      <c r="J21" s="0" t="n">
        <f aca="false">J19*J20</f>
        <v>2352.88243276591</v>
      </c>
      <c r="K21" s="0" t="n">
        <f aca="false">K19*K20</f>
        <v>2181.76371038293</v>
      </c>
      <c r="L21" s="0" t="n">
        <f aca="false">L19*L20</f>
        <v>2023.08998599145</v>
      </c>
    </row>
    <row r="23" customFormat="false" ht="15" hidden="false" customHeight="false" outlineLevel="0" collapsed="false">
      <c r="A23" s="0" t="s">
        <v>112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118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29359.5272492275</v>
      </c>
    </row>
    <row r="31" customFormat="false" ht="15" hidden="false" customHeight="false" outlineLevel="0" collapsed="false">
      <c r="A31" s="0" t="s">
        <v>140</v>
      </c>
      <c r="B31" s="0" t="n">
        <f aca="false">L19</f>
        <v>5247.37439726913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66904.0235651814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68215.8671644987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66904.0235651814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25794.3973213909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55153.9245706184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55153.9245706184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438.376687575456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-0.212402645390844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438.376687575456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41171.7068093424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270.796440594091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Assumptions!C27</f>
        <v>7.9</v>
      </c>
      <c r="D5" s="4" t="n">
        <f aca="false">Assumptions!D27</f>
        <v>-1.5</v>
      </c>
      <c r="E5" s="4" t="n">
        <f aca="false">Assumptions!E27</f>
        <v>0</v>
      </c>
      <c r="F5" s="4" t="n">
        <f aca="false">Assumptions!F27</f>
        <v>3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6118</v>
      </c>
      <c r="C6" s="0" t="n">
        <f aca="false">B6*(1+C5/100)</f>
        <v>6601.322</v>
      </c>
      <c r="D6" s="0" t="n">
        <f aca="false">C6*(1+D5/100)</f>
        <v>6502.30217</v>
      </c>
      <c r="E6" s="0" t="n">
        <f aca="false">D6*(1+E5/100)</f>
        <v>6502.30217</v>
      </c>
      <c r="F6" s="0" t="n">
        <f aca="false">E6*(1+F5/100)</f>
        <v>6697.3712351</v>
      </c>
      <c r="G6" s="0" t="n">
        <f aca="false">F6*(1+G5/100)</f>
        <v>6965.266084504</v>
      </c>
      <c r="H6" s="0" t="n">
        <f aca="false">G6*(1+H5/100)</f>
        <v>7243.87672788416</v>
      </c>
      <c r="I6" s="0" t="n">
        <f aca="false">H6*(1+I5/100)</f>
        <v>7497.41241336011</v>
      </c>
      <c r="J6" s="0" t="n">
        <f aca="false">I6*(1+J5/100)</f>
        <v>7759.82184782771</v>
      </c>
      <c r="K6" s="0" t="n">
        <f aca="false">J6*(1+K5/100)</f>
        <v>7992.61650326254</v>
      </c>
      <c r="L6" s="0" t="n">
        <f aca="false">K6*(1+L5/100)</f>
        <v>8232.39499836042</v>
      </c>
    </row>
    <row r="7" customFormat="false" ht="15" hidden="false" customHeight="false" outlineLevel="0" collapsed="false">
      <c r="A7" s="0" t="s">
        <v>110</v>
      </c>
      <c r="C7" s="4" t="n">
        <f aca="false">Assumptions!C28</f>
        <v>85</v>
      </c>
      <c r="D7" s="4" t="n">
        <f aca="false">Assumptions!D28</f>
        <v>85</v>
      </c>
      <c r="E7" s="4" t="n">
        <f aca="false">Assumptions!E28</f>
        <v>85</v>
      </c>
      <c r="F7" s="4" t="n">
        <f aca="false">Assumptions!F28</f>
        <v>85</v>
      </c>
      <c r="G7" s="4" t="n">
        <f aca="false">Assumptions!G28</f>
        <v>85</v>
      </c>
      <c r="H7" s="4" t="n">
        <f aca="false">Assumptions!H28</f>
        <v>85</v>
      </c>
      <c r="I7" s="4" t="n">
        <f aca="false">Assumptions!I28</f>
        <v>85</v>
      </c>
      <c r="J7" s="4" t="n">
        <f aca="false">Assumptions!J28</f>
        <v>85</v>
      </c>
      <c r="K7" s="4" t="n">
        <f aca="false">Assumptions!K28</f>
        <v>85</v>
      </c>
      <c r="L7" s="4" t="n">
        <f aca="false">Assumptions!L28</f>
        <v>85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5611.1237</v>
      </c>
      <c r="D8" s="0" t="n">
        <f aca="false">D6*D7/100</f>
        <v>5526.9568445</v>
      </c>
      <c r="E8" s="0" t="n">
        <f aca="false">E6*E7/100</f>
        <v>5526.9568445</v>
      </c>
      <c r="F8" s="0" t="n">
        <f aca="false">F6*F7/100</f>
        <v>5692.765549835</v>
      </c>
      <c r="G8" s="0" t="n">
        <f aca="false">G6*G7/100</f>
        <v>5920.4761718284</v>
      </c>
      <c r="H8" s="0" t="n">
        <f aca="false">H6*H7/100</f>
        <v>6157.29521870154</v>
      </c>
      <c r="I8" s="0" t="n">
        <f aca="false">I6*I7/100</f>
        <v>6372.80055135609</v>
      </c>
      <c r="J8" s="0" t="n">
        <f aca="false">J6*J7/100</f>
        <v>6595.84857065355</v>
      </c>
      <c r="K8" s="0" t="n">
        <f aca="false">K6*K7/100</f>
        <v>6793.72402777316</v>
      </c>
      <c r="L8" s="0" t="n">
        <f aca="false">L6*L7/100</f>
        <v>6997.53574860636</v>
      </c>
    </row>
    <row r="9" customFormat="false" ht="15" hidden="false" customHeight="false" outlineLevel="0" collapsed="false">
      <c r="A9" s="0" t="s">
        <v>111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5611.1237</v>
      </c>
      <c r="D11" s="0" t="n">
        <f aca="false">D8+D10+D24</f>
        <v>5526.9568445</v>
      </c>
      <c r="E11" s="0" t="n">
        <f aca="false">E8+E10+E24</f>
        <v>5526.9568445</v>
      </c>
      <c r="F11" s="0" t="n">
        <f aca="false">F8+F10+F24</f>
        <v>5692.765549835</v>
      </c>
      <c r="G11" s="0" t="n">
        <f aca="false">G8+G10+G24</f>
        <v>5920.4761718284</v>
      </c>
      <c r="H11" s="0" t="n">
        <f aca="false">H8+H10+H24</f>
        <v>6157.29521870154</v>
      </c>
      <c r="I11" s="0" t="n">
        <f aca="false">I8+I10+I24</f>
        <v>6372.80055135609</v>
      </c>
      <c r="J11" s="0" t="n">
        <f aca="false">J8+J10+J24</f>
        <v>6595.84857065355</v>
      </c>
      <c r="K11" s="0" t="n">
        <f aca="false">K8+K10+K24</f>
        <v>6793.72402777316</v>
      </c>
      <c r="L11" s="0" t="n">
        <f aca="false">L8+L10+L24</f>
        <v>6997.53574860636</v>
      </c>
    </row>
    <row r="12" customFormat="false" ht="15" hidden="false" customHeight="false" outlineLevel="0" collapsed="false">
      <c r="A12" s="0" t="s">
        <v>128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5611.1237</v>
      </c>
      <c r="D13" s="0" t="n">
        <f aca="false">D11+D12</f>
        <v>5526.9568445</v>
      </c>
      <c r="E13" s="0" t="n">
        <f aca="false">E11+E12</f>
        <v>5526.9568445</v>
      </c>
      <c r="F13" s="0" t="n">
        <f aca="false">F11+F12</f>
        <v>5692.765549835</v>
      </c>
      <c r="G13" s="0" t="n">
        <f aca="false">G11+G12</f>
        <v>5920.4761718284</v>
      </c>
      <c r="H13" s="0" t="n">
        <f aca="false">H11+H12</f>
        <v>6157.29521870154</v>
      </c>
      <c r="I13" s="0" t="n">
        <f aca="false">I11+I12</f>
        <v>6372.80055135609</v>
      </c>
      <c r="J13" s="0" t="n">
        <f aca="false">J11+J12</f>
        <v>6595.84857065355</v>
      </c>
      <c r="K13" s="0" t="n">
        <f aca="false">K11+K12</f>
        <v>6793.72402777316</v>
      </c>
      <c r="L13" s="0" t="n">
        <f aca="false">L11+L12</f>
        <v>6997.53574860636</v>
      </c>
    </row>
    <row r="14" customFormat="false" ht="15" hidden="false" customHeight="false" outlineLevel="0" collapsed="false">
      <c r="A14" s="0" t="s">
        <v>115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5611.1237</v>
      </c>
      <c r="D15" s="0" t="n">
        <f aca="false">D13-MAX(0,D13)*D14/100</f>
        <v>5526.9568445</v>
      </c>
      <c r="E15" s="0" t="n">
        <f aca="false">E13-MAX(0,E13)*E14/100</f>
        <v>5526.9568445</v>
      </c>
      <c r="F15" s="0" t="n">
        <f aca="false">F13-MAX(0,F13)*F14/100</f>
        <v>5692.765549835</v>
      </c>
      <c r="G15" s="0" t="n">
        <f aca="false">G13-MAX(0,G13)*G14/100</f>
        <v>5920.4761718284</v>
      </c>
      <c r="H15" s="0" t="n">
        <f aca="false">H13-MAX(0,H13)*H14/100</f>
        <v>6157.29521870154</v>
      </c>
      <c r="I15" s="0" t="n">
        <f aca="false">I13-MAX(0,I13)*I14/100</f>
        <v>6372.80055135609</v>
      </c>
      <c r="J15" s="0" t="n">
        <f aca="false">J13-MAX(0,J13)*J14/100</f>
        <v>6595.84857065355</v>
      </c>
      <c r="K15" s="0" t="n">
        <f aca="false">K13-MAX(0,K13)*K14/100</f>
        <v>6793.72402777316</v>
      </c>
      <c r="L15" s="0" t="n">
        <f aca="false">L13-MAX(0,L13)*L14/100</f>
        <v>6997.53574860636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5611.1237</v>
      </c>
      <c r="D19" s="0" t="n">
        <f aca="false">D15+D16+D17+D18</f>
        <v>5526.9568445</v>
      </c>
      <c r="E19" s="0" t="n">
        <f aca="false">E15+E16+E17+E18</f>
        <v>5526.9568445</v>
      </c>
      <c r="F19" s="0" t="n">
        <f aca="false">F15+F16+F17+F18</f>
        <v>5692.765549835</v>
      </c>
      <c r="G19" s="0" t="n">
        <f aca="false">G15+G16+G17+G18</f>
        <v>5920.4761718284</v>
      </c>
      <c r="H19" s="0" t="n">
        <f aca="false">H15+H16+H17+H18</f>
        <v>6157.29521870154</v>
      </c>
      <c r="I19" s="0" t="n">
        <f aca="false">I15+I16+I17+I18</f>
        <v>6372.80055135609</v>
      </c>
      <c r="J19" s="0" t="n">
        <f aca="false">J15+J16+J17+J18</f>
        <v>6595.84857065355</v>
      </c>
      <c r="K19" s="0" t="n">
        <f aca="false">K15+K16+K17+K18</f>
        <v>6793.72402777316</v>
      </c>
      <c r="L19" s="0" t="n">
        <f aca="false">L15+L16+L17+L18</f>
        <v>6997.53574860636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5147.81990825688</v>
      </c>
      <c r="D21" s="0" t="n">
        <f aca="false">D19*D20</f>
        <v>4651.92899966333</v>
      </c>
      <c r="E21" s="0" t="n">
        <f aca="false">E19*E20</f>
        <v>4267.82477033333</v>
      </c>
      <c r="F21" s="0" t="n">
        <f aca="false">F19*F20</f>
        <v>4032.89863618654</v>
      </c>
      <c r="G21" s="0" t="n">
        <f aca="false">G19*G20</f>
        <v>3847.90328590275</v>
      </c>
      <c r="H21" s="0" t="n">
        <f aca="false">H19*H20</f>
        <v>3671.39396086134</v>
      </c>
      <c r="I21" s="0" t="n">
        <f aca="false">I19*I20</f>
        <v>3486.14013714815</v>
      </c>
      <c r="J21" s="0" t="n">
        <f aca="false">J19*J20</f>
        <v>3310.23398343884</v>
      </c>
      <c r="K21" s="0" t="n">
        <f aca="false">K19*K20</f>
        <v>3128.01926875414</v>
      </c>
      <c r="L21" s="0" t="n">
        <f aca="false">L19*L20</f>
        <v>2955.83472185024</v>
      </c>
    </row>
    <row r="23" customFormat="false" ht="15" hidden="false" customHeight="false" outlineLevel="0" collapsed="false">
      <c r="A23" s="0" t="s">
        <v>112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117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118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38499.9976723955</v>
      </c>
    </row>
    <row r="31" customFormat="false" ht="15" hidden="false" customHeight="false" outlineLevel="0" collapsed="false">
      <c r="A31" s="0" t="s">
        <v>140</v>
      </c>
      <c r="B31" s="0" t="n">
        <f aca="false">L19</f>
        <v>6997.53574860636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120124.363684409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118958.107726308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118958.107726308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50249.1902714541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88749.1879438496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88749.1879438496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705.399939147071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0.267337296347594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705.399939147071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60062.1818422046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354.587942749564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Assumptions!C41</f>
        <v>11</v>
      </c>
      <c r="D5" s="4" t="n">
        <f aca="false">Assumptions!D41</f>
        <v>3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6118</v>
      </c>
      <c r="C6" s="0" t="n">
        <f aca="false">B6*(1+C5/100)</f>
        <v>6790.98</v>
      </c>
      <c r="D6" s="0" t="n">
        <f aca="false">C6*(1+D5/100)</f>
        <v>6994.7094</v>
      </c>
      <c r="E6" s="0" t="n">
        <f aca="false">D6*(1+E5/100)</f>
        <v>7274.497776</v>
      </c>
      <c r="F6" s="0" t="n">
        <f aca="false">E6*(1+F5/100)</f>
        <v>7638.2226648</v>
      </c>
      <c r="G6" s="0" t="n">
        <f aca="false">F6*(1+G5/100)</f>
        <v>8020.13379804</v>
      </c>
      <c r="H6" s="0" t="n">
        <f aca="false">G6*(1+H5/100)</f>
        <v>8381.0398189518</v>
      </c>
      <c r="I6" s="0" t="n">
        <f aca="false">H6*(1+I5/100)</f>
        <v>8716.28141170988</v>
      </c>
      <c r="J6" s="0" t="n">
        <f aca="false">I6*(1+J5/100)</f>
        <v>9064.93266817827</v>
      </c>
      <c r="K6" s="0" t="n">
        <f aca="false">J6*(1+K5/100)</f>
        <v>9382.20531156451</v>
      </c>
      <c r="L6" s="0" t="n">
        <f aca="false">K6*(1+L5/100)</f>
        <v>9710.58249746927</v>
      </c>
    </row>
    <row r="7" customFormat="false" ht="15" hidden="false" customHeight="false" outlineLevel="0" collapsed="false">
      <c r="A7" s="0" t="s">
        <v>110</v>
      </c>
      <c r="C7" s="4" t="n">
        <f aca="false">Assumptions!C42</f>
        <v>87</v>
      </c>
      <c r="D7" s="4" t="n">
        <f aca="false">Assumptions!D42</f>
        <v>87</v>
      </c>
      <c r="E7" s="4" t="n">
        <f aca="false">Assumptions!E42</f>
        <v>87</v>
      </c>
      <c r="F7" s="4" t="n">
        <f aca="false">Assumptions!F42</f>
        <v>87</v>
      </c>
      <c r="G7" s="4" t="n">
        <f aca="false">Assumptions!G42</f>
        <v>87</v>
      </c>
      <c r="H7" s="4" t="n">
        <f aca="false">Assumptions!H42</f>
        <v>87</v>
      </c>
      <c r="I7" s="4" t="n">
        <f aca="false">Assumptions!I42</f>
        <v>87</v>
      </c>
      <c r="J7" s="4" t="n">
        <f aca="false">Assumptions!J42</f>
        <v>87</v>
      </c>
      <c r="K7" s="4" t="n">
        <f aca="false">Assumptions!K42</f>
        <v>87</v>
      </c>
      <c r="L7" s="4" t="n">
        <f aca="false">Assumptions!L42</f>
        <v>87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5908.1526</v>
      </c>
      <c r="D8" s="0" t="n">
        <f aca="false">D6*D7/100</f>
        <v>6085.397178</v>
      </c>
      <c r="E8" s="0" t="n">
        <f aca="false">E6*E7/100</f>
        <v>6328.81306512</v>
      </c>
      <c r="F8" s="0" t="n">
        <f aca="false">F6*F7/100</f>
        <v>6645.253718376</v>
      </c>
      <c r="G8" s="0" t="n">
        <f aca="false">G6*G7/100</f>
        <v>6977.5164042948</v>
      </c>
      <c r="H8" s="0" t="n">
        <f aca="false">H6*H7/100</f>
        <v>7291.50464248807</v>
      </c>
      <c r="I8" s="0" t="n">
        <f aca="false">I6*I7/100</f>
        <v>7583.16482818759</v>
      </c>
      <c r="J8" s="0" t="n">
        <f aca="false">J6*J7/100</f>
        <v>7886.4914213151</v>
      </c>
      <c r="K8" s="0" t="n">
        <f aca="false">K6*K7/100</f>
        <v>8162.51862106112</v>
      </c>
      <c r="L8" s="0" t="n">
        <f aca="false">L6*L7/100</f>
        <v>8448.20677279826</v>
      </c>
    </row>
    <row r="9" customFormat="false" ht="15" hidden="false" customHeight="false" outlineLevel="0" collapsed="false">
      <c r="A9" s="0" t="s">
        <v>111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5908.1526</v>
      </c>
      <c r="D11" s="0" t="n">
        <f aca="false">D8+D10+D24</f>
        <v>6085.397178</v>
      </c>
      <c r="E11" s="0" t="n">
        <f aca="false">E8+E10+E24</f>
        <v>6328.81306512</v>
      </c>
      <c r="F11" s="0" t="n">
        <f aca="false">F8+F10+F24</f>
        <v>6645.253718376</v>
      </c>
      <c r="G11" s="0" t="n">
        <f aca="false">G8+G10+G24</f>
        <v>6977.5164042948</v>
      </c>
      <c r="H11" s="0" t="n">
        <f aca="false">H8+H10+H24</f>
        <v>7291.50464248807</v>
      </c>
      <c r="I11" s="0" t="n">
        <f aca="false">I8+I10+I24</f>
        <v>7583.16482818759</v>
      </c>
      <c r="J11" s="0" t="n">
        <f aca="false">J8+J10+J24</f>
        <v>7886.4914213151</v>
      </c>
      <c r="K11" s="0" t="n">
        <f aca="false">K8+K10+K24</f>
        <v>8162.51862106112</v>
      </c>
      <c r="L11" s="0" t="n">
        <f aca="false">L8+L10+L24</f>
        <v>8448.20677279826</v>
      </c>
    </row>
    <row r="12" customFormat="false" ht="15" hidden="false" customHeight="false" outlineLevel="0" collapsed="false">
      <c r="A12" s="0" t="s">
        <v>128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5908.1526</v>
      </c>
      <c r="D13" s="0" t="n">
        <f aca="false">D11+D12</f>
        <v>6085.397178</v>
      </c>
      <c r="E13" s="0" t="n">
        <f aca="false">E11+E12</f>
        <v>6328.81306512</v>
      </c>
      <c r="F13" s="0" t="n">
        <f aca="false">F11+F12</f>
        <v>6645.253718376</v>
      </c>
      <c r="G13" s="0" t="n">
        <f aca="false">G11+G12</f>
        <v>6977.5164042948</v>
      </c>
      <c r="H13" s="0" t="n">
        <f aca="false">H11+H12</f>
        <v>7291.50464248807</v>
      </c>
      <c r="I13" s="0" t="n">
        <f aca="false">I11+I12</f>
        <v>7583.16482818759</v>
      </c>
      <c r="J13" s="0" t="n">
        <f aca="false">J11+J12</f>
        <v>7886.4914213151</v>
      </c>
      <c r="K13" s="0" t="n">
        <f aca="false">K11+K12</f>
        <v>8162.51862106112</v>
      </c>
      <c r="L13" s="0" t="n">
        <f aca="false">L11+L12</f>
        <v>8448.20677279826</v>
      </c>
    </row>
    <row r="14" customFormat="false" ht="15" hidden="false" customHeight="false" outlineLevel="0" collapsed="false">
      <c r="A14" s="0" t="s">
        <v>115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5908.1526</v>
      </c>
      <c r="D15" s="0" t="n">
        <f aca="false">D13-MAX(0,D13)*D14/100</f>
        <v>6085.397178</v>
      </c>
      <c r="E15" s="0" t="n">
        <f aca="false">E13-MAX(0,E13)*E14/100</f>
        <v>6328.81306512</v>
      </c>
      <c r="F15" s="0" t="n">
        <f aca="false">F13-MAX(0,F13)*F14/100</f>
        <v>6645.253718376</v>
      </c>
      <c r="G15" s="0" t="n">
        <f aca="false">G13-MAX(0,G13)*G14/100</f>
        <v>6977.5164042948</v>
      </c>
      <c r="H15" s="0" t="n">
        <f aca="false">H13-MAX(0,H13)*H14/100</f>
        <v>7291.50464248807</v>
      </c>
      <c r="I15" s="0" t="n">
        <f aca="false">I13-MAX(0,I13)*I14/100</f>
        <v>7583.16482818759</v>
      </c>
      <c r="J15" s="0" t="n">
        <f aca="false">J13-MAX(0,J13)*J14/100</f>
        <v>7886.4914213151</v>
      </c>
      <c r="K15" s="0" t="n">
        <f aca="false">K13-MAX(0,K13)*K14/100</f>
        <v>8162.51862106112</v>
      </c>
      <c r="L15" s="0" t="n">
        <f aca="false">L13-MAX(0,L13)*L14/100</f>
        <v>8448.20677279826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5908.1526</v>
      </c>
      <c r="D19" s="0" t="n">
        <f aca="false">D15+D16+D17+D18</f>
        <v>6085.397178</v>
      </c>
      <c r="E19" s="0" t="n">
        <f aca="false">E15+E16+E17+E18</f>
        <v>6328.81306512</v>
      </c>
      <c r="F19" s="0" t="n">
        <f aca="false">F15+F16+F17+F18</f>
        <v>6645.253718376</v>
      </c>
      <c r="G19" s="0" t="n">
        <f aca="false">G15+G16+G17+G18</f>
        <v>6977.5164042948</v>
      </c>
      <c r="H19" s="0" t="n">
        <f aca="false">H15+H16+H17+H18</f>
        <v>7291.50464248807</v>
      </c>
      <c r="I19" s="0" t="n">
        <f aca="false">I15+I16+I17+I18</f>
        <v>7583.16482818759</v>
      </c>
      <c r="J19" s="0" t="n">
        <f aca="false">J15+J16+J17+J18</f>
        <v>7886.4914213151</v>
      </c>
      <c r="K19" s="0" t="n">
        <f aca="false">K15+K16+K17+K18</f>
        <v>8162.51862106112</v>
      </c>
      <c r="L19" s="0" t="n">
        <f aca="false">L15+L16+L17+L18</f>
        <v>8448.20677279826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5445.30193548387</v>
      </c>
      <c r="D21" s="0" t="n">
        <f aca="false">D19*D20</f>
        <v>5169.27280511372</v>
      </c>
      <c r="E21" s="0" t="n">
        <f aca="false">E19*E20</f>
        <v>4954.87900213666</v>
      </c>
      <c r="F21" s="0" t="n">
        <f aca="false">F19*F20</f>
        <v>4795.04419561612</v>
      </c>
      <c r="G21" s="0" t="n">
        <f aca="false">G19*G20</f>
        <v>4640.36535059624</v>
      </c>
      <c r="H21" s="0" t="n">
        <f aca="false">H19*H20</f>
        <v>4469.29197361574</v>
      </c>
      <c r="I21" s="0" t="n">
        <f aca="false">I19*I20</f>
        <v>4283.92963369619</v>
      </c>
      <c r="J21" s="0" t="n">
        <f aca="false">J19*J20</f>
        <v>4106.25513275948</v>
      </c>
      <c r="K21" s="0" t="n">
        <f aca="false">K19*K20</f>
        <v>3917.02678562771</v>
      </c>
      <c r="L21" s="0" t="n">
        <f aca="false">L19*L20</f>
        <v>3736.51863882459</v>
      </c>
    </row>
    <row r="23" customFormat="false" ht="15" hidden="false" customHeight="false" outlineLevel="0" collapsed="false">
      <c r="A23" s="0" t="s">
        <v>112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117</v>
      </c>
      <c r="B28" s="4" t="n">
        <f aca="false">Assumptions!$B$49</f>
        <v>3.25</v>
      </c>
    </row>
    <row r="29" customFormat="false" ht="15" hidden="false" customHeight="false" outlineLevel="0" collapsed="false">
      <c r="A29" s="0" t="s">
        <v>118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45517.8854534703</v>
      </c>
    </row>
    <row r="31" customFormat="false" ht="15" hidden="false" customHeight="false" outlineLevel="0" collapsed="false">
      <c r="A31" s="0" t="s">
        <v>140</v>
      </c>
      <c r="B31" s="0" t="n">
        <f aca="false">L19</f>
        <v>8448.20677279826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166148.066531699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168964.135455965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166148.066531699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73484.8665635503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119002.752017021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119002.752017021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945.862559150973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0.699357813781842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945.862559150973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74236.3701524613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417.351323344161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148</v>
      </c>
      <c r="D3" s="2" t="s">
        <v>159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0" t="s">
        <v>161</v>
      </c>
      <c r="B4" s="4" t="n">
        <f aca="false">DCF_Bear!$B$38</f>
        <v>438.376687575456</v>
      </c>
      <c r="C4" s="0" t="n">
        <f aca="false">B4/Assumptions!$B$2-1</f>
        <v>-0.212402645390844</v>
      </c>
      <c r="D4" s="4" t="n">
        <f aca="false">Assumptions!$B$24</f>
        <v>0.25</v>
      </c>
      <c r="E4" s="4" t="n">
        <f aca="false">DCF_Bear!$B$43</f>
        <v>438.376687575456</v>
      </c>
      <c r="F4" s="4" t="n">
        <f aca="false">DCF_Bear!$B$47</f>
        <v>270.796440594091</v>
      </c>
    </row>
    <row r="5" customFormat="false" ht="15" hidden="false" customHeight="false" outlineLevel="0" collapsed="false">
      <c r="A5" s="0" t="s">
        <v>162</v>
      </c>
      <c r="B5" s="4" t="n">
        <f aca="false">DCF_Base!$B$38</f>
        <v>705.399939147071</v>
      </c>
      <c r="C5" s="0" t="n">
        <f aca="false">B5/Assumptions!$B$2-1</f>
        <v>0.267337296347594</v>
      </c>
      <c r="D5" s="4" t="n">
        <f aca="false">Assumptions!$B$38</f>
        <v>0.5</v>
      </c>
      <c r="E5" s="4" t="n">
        <f aca="false">DCF_Base!$B$43</f>
        <v>705.399939147071</v>
      </c>
      <c r="F5" s="4" t="n">
        <f aca="false">DCF_Base!$B$47</f>
        <v>354.587942749564</v>
      </c>
    </row>
    <row r="6" customFormat="false" ht="15" hidden="false" customHeight="false" outlineLevel="0" collapsed="false">
      <c r="A6" s="0" t="s">
        <v>163</v>
      </c>
      <c r="B6" s="4" t="n">
        <f aca="false">DCF_Bull!$B$38</f>
        <v>945.862559150973</v>
      </c>
      <c r="C6" s="0" t="n">
        <f aca="false">B6/Assumptions!$B$2-1</f>
        <v>0.699357813781842</v>
      </c>
      <c r="D6" s="4" t="n">
        <f aca="false">Assumptions!$B$52</f>
        <v>0.25</v>
      </c>
      <c r="E6" s="4" t="n">
        <f aca="false">DCF_Bull!$B$43</f>
        <v>945.862559150973</v>
      </c>
      <c r="F6" s="4" t="n">
        <f aca="false">DCF_Bull!$B$47</f>
        <v>417.351323344161</v>
      </c>
    </row>
    <row r="8" customFormat="false" ht="15" hidden="false" customHeight="false" outlineLevel="0" collapsed="false">
      <c r="A8" s="0" t="s">
        <v>164</v>
      </c>
      <c r="B8" s="0" t="n">
        <f aca="false">SUMPRODUCT(B4:B6,D4:D6)</f>
        <v>698.759781255143</v>
      </c>
    </row>
    <row r="9" customFormat="false" ht="15" hidden="false" customHeight="false" outlineLevel="0" collapsed="false">
      <c r="A9" s="0" t="s">
        <v>165</v>
      </c>
      <c r="B9" s="0" t="n">
        <f aca="false">SUMPRODUCT(E4:E6,D4:D6)</f>
        <v>698.759781255143</v>
      </c>
    </row>
    <row r="10" customFormat="false" ht="15" hidden="false" customHeight="false" outlineLevel="0" collapsed="false">
      <c r="A10" s="0" t="s">
        <v>166</v>
      </c>
      <c r="B10" s="0" t="n">
        <f aca="false">1-Assumptions!$B$2/B8</f>
        <v>0.203445855168981</v>
      </c>
    </row>
    <row r="11" customFormat="false" ht="15" hidden="false" customHeight="false" outlineLevel="0" collapsed="false">
      <c r="A11" s="0" t="s">
        <v>167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168</v>
      </c>
      <c r="B12" s="0" t="n">
        <f aca="false">SUMPRODUCT(F4:F6,D4:D6)</f>
        <v>349.330912359345</v>
      </c>
    </row>
    <row r="14" customFormat="false" ht="15" hidden="false" customHeight="false" outlineLevel="0" collapsed="false">
      <c r="A14" s="2" t="s">
        <v>169</v>
      </c>
      <c r="C14" s="0" t="s">
        <v>170</v>
      </c>
    </row>
    <row r="15" customFormat="false" ht="15" hidden="false" customHeight="false" outlineLevel="0" collapsed="false">
      <c r="A15" s="0" t="s">
        <v>171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705.399939147071</v>
      </c>
      <c r="C15" s="3" t="n">
        <v>9</v>
      </c>
    </row>
    <row r="16" customFormat="false" ht="15" hidden="false" customHeight="false" outlineLevel="0" collapsed="false">
      <c r="A16" s="0" t="s">
        <v>172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607.917700629119</v>
      </c>
      <c r="C16" s="3" t="n">
        <v>10</v>
      </c>
    </row>
    <row r="17" customFormat="false" ht="15" hidden="false" customHeight="false" outlineLevel="0" collapsed="false">
      <c r="A17" s="0" t="s">
        <v>173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531.88775434051</v>
      </c>
      <c r="C17" s="3" t="n">
        <v>11</v>
      </c>
    </row>
    <row r="18" customFormat="false" ht="15" hidden="false" customHeight="false" outlineLevel="0" collapsed="false">
      <c r="A18" s="0" t="s">
        <v>174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472.768359151687</v>
      </c>
      <c r="C18" s="3" t="n">
        <v>12</v>
      </c>
    </row>
    <row r="19" customFormat="false" ht="15" hidden="false" customHeight="false" outlineLevel="0" collapsed="false">
      <c r="A19" s="0" t="s">
        <v>175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354.587942749564</v>
      </c>
      <c r="C19" s="3" t="n">
        <v>15</v>
      </c>
    </row>
    <row r="21" customFormat="false" ht="15" hidden="false" customHeight="false" outlineLevel="0" collapsed="false">
      <c r="A21" s="2" t="s">
        <v>176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816.940173185509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816.940173185509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816.940173185509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816.940173185509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816.940173185509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758.561787218426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758.561787218426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758.561787218426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758.561787218426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758.561787218426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648.34384242441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676.4846322107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705.399939147071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705.399939147071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705.399939147071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565.79715752779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585.453410975077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607.917700629119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633.83803484532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656.930696237937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501.689846856659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515.900626849059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531.88775434051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550.006498830821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570.713635391177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2026-10-25T01:44:11Z</dcterms:created>
  <dc:creator>openpyxl</dc:creator>
  <dc:description/>
  <dc:language>en-NZ</dc:language>
  <cp:lastModifiedBy/>
  <dcterms:modified xsi:type="dcterms:W3CDTF">2026-10-25T01:44:11Z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