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<sst xmlns="http://schemas.openxmlformats.org/spreadsheetml/2006/main" count="411" uniqueCount="196">
  <si>
    <t xml:space="preserve">Ticker</t>
  </si>
  <si>
    <t xml:space="preserve">ORLY</t>
  </si>
  <si>
    <t xml:space="preserve">Company</t>
  </si>
  <si>
    <t xml:space="preserve">O'Reilly Automotive, Inc.</t>
  </si>
  <si>
    <t xml:space="preserve">Valuation date</t>
  </si>
  <si>
    <t xml:space="preserve">2026-10-02</t>
  </si>
  <si>
    <t xml:space="preserve">Current price</t>
  </si>
  <si>
    <t xml:space="preserve">Price as of</t>
  </si>
  <si>
    <t xml:space="preserve">2026-10-01T20:00:01Z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</si>
  <si>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</si>
  <si>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</si>
  <si>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</si>
  <si>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</si>
  <si>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</si>
  <si>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</si>
  <si>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</si>
  <si>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</si>
  <si>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</si>
  <si>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</si>
  <si>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</si>
  <si>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</si>
  <si>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2026-10-02T06:39:23Z</t>
  </si>
  <si>
    <t xml:space="preserve">Drivers file</t>
  </si>
  <si>
    <t xml:space="preserve">ORLY_Drivers.json</t>
  </si>
  <si>
    <t xml:space="preserve">Convention</t>
  </si>
  <si>
    <t xml:space="preserve">Percents stored as percents; formulas divide by 100. Blue = input, green = link, black = formula.</t>
  </si>
  <si>
    <t xml:space="preserve">Methodology</t>
  </si>
  <si>
    <t xml:space="preserve">summary: ORLY is valued as a stream of owner free cash flow from a wholly-owned, defensive specialty retailer: reported FCF less SBC, built bottom-up from revenue, an SBC-inclusive EBITDA margin that already carries ASC 842 lease cost, D&amp;A, a 23% cash tax rate, capex that normalises from a record investment year, and a supplier-financing working-capital capture on the change in revenue. Leases are treated once (in the flows, excluded from net debt); SBC is charged once (expensed, count flat); the three scenarios share one 7.5% USD WACC with risk carried in the flows and the weights. The valuation gives no credit to the buyback programme beyond keeping the count flat, which is the right accounting for a repurchaser paying ~26x earnings for its own stock, and none to the NAPA bid. The headline test is simply whether a 7.5% required return on these flows supports today's price; the required-return table shows what return the market price actually implies.
key_risks_to_valuation: Terminal value dominates (10-year explicit build at a 2.5-3% perpetuity / 16-20x cap); a 1pp move in WACC or 0.5pp in terminal growth is worth more than any single driver-year.; Capex normalisation path (7.0% -&gt; 5.5%) is a judgment, not guidance; if the DC and international programme keeps capex at 6.5%+ indefinitely the owner-FCF margin stays ~1pp lower.; Working-capital capture assumes the supplier-financing programme stays at ~125-130% AP/inventory; FY2025 showed it can reverse ($0.3B consumed) and a tariff-inflated inventory cost makes it noisy.; A confirmed ~$10B NAPA acquisition would re-cut the model entirely: a different asset base, synergy case, integration risk and leverage; it is deliberately excluded here rather than half-modelled.; FY0 is a TTM anchored to a June balance sheet valued in October; Q3-2026 results (late October) will move the anchor -- the FY2026 guide was raised at Q2 and a further raise or a cut both land directly in Y1.; Negative book equity means P/B, ROE and the equity CAGR are undefined -- any sanity check built on book value will misfire and should be read as such, not as a signal.</t>
  </si>
  <si>
    <t xml:space="preserve">Data sources</t>
  </si>
  <si>
    <t xml:space="preserve">price: Yahoo Finance chart API at inputs.price_as_of (regular close); 52-week range 82.59-105.36.
financials: SEC XBRL (companyfacts) via ORLY_Metrics.csv / ORLY.duckdb core_metrics: FY2008-FY2025 10-Ks and 10-Qs through Q2-2026 (period ended 2026-06-30, filed 2026-07/08). Diluted share count, dilutive-award increment, operating lease liabilities, LongTermDebtNoncurrent, OperatingLeasePayments, InterestPaidNet and IncomeTaxesPaidNet pulled directly from the same companyfacts API for the Q2-2026 10-Q and FY2025 10-K.
qualitative: ORLY_Analysis.json (2026-10-02): business model, moat, FY2026 guidance as raised 2026-07-29, NAPA bid reporting, bull/bear axes.</t>
  </si>
  <si>
    <t xml:space="preserve">Scenario narrative: bear</t>
  </si>
  <si>
    <t xml:space="preserve">Tariff-driven cost volatility, AutoZone's and Amazon's pricing, and a softer DIY consumer compress comps to 2-3% and the EBITDA margin by ~2pp to 20.5% (operating margin ~17%, below any year since FY2013). Store growth continues but the new cohort ramps slowly, so capex stays elevated at 6% against low growth; supplier financing goes into reverse as the AP/inventory ratio compresses, consuming 5% of the revenue increase. Terminal growth 2% and a 16x cap reflect a business re-rated from compounder to mature retailer. Leverage (net debt/EBITDA ~1.6x ex-leases, ~2.2x with leases) is not a solvency issue at this margin, so the bear is a de-rating and growth story, not a going-concern one; a debt-funded NAPA acquisition that stalls on antitrust or integration would deepen it.</t>
  </si>
  <si>
    <t xml:space="preserve">Scenario narrative: base</t>
  </si>
  <si>
    <t xml:space="preserve">The dual-market algorithm keeps working: comps settle at 3-5% on an aging US fleet (average vehicle age at record highs), the record 2026 store cohort and a ~3%/yr unit cadence carry revenue growth from 5.5-6% toward 3%, and professional-channel density adds ~40bp of EBITDA margin over five years. Capex normalises from the 7% peak to 5.5% as the DC build-out and the Mexico/Canada entry mature, working capital gives a small supplier-financing tailwind, and the cash tax rate stays ~23%. Buybacks continue at roughly free cash flow, which in this model is value-neutral (flat count, SBC expensed). The reported NAPA bid is excluded: unconfirmed, and a $10B debt-funded deal would belong in its own scenario if announced.</t>
  </si>
  <si>
    <t xml:space="preserve">Scenario narrative: bull</t>
  </si>
  <si>
    <t xml:space="preserve">Professional share gains continue at the Q2-2026 pace (four straight double-digit pro comps) as independents and Advance Auto Parts cede ground, taking revenue growth to 7-7.5% for three years; the denser delivery network and purchasing scale lift the EBITDA margin to 24.5% -- above every year since FY2021's 21.9% operating margin -- while capex settles at 5.2% once the DC programme is complete. Supplier financing captures 10% of revenue growth as cash and terminal growth is 3%. The bull case requires both the growth and the margin legs; a NAPA deal on good terms would be upside to it but is not modelled.</t>
  </si>
  <si>
    <t xml:space="preserve">Item</t>
  </si>
  <si>
    <t xml:space="preserve">Value</t>
  </si>
  <si>
    <t xml:space="preserve">Note</t>
  </si>
  <si>
    <t xml:space="preserve">Prior valuation_date</t>
  </si>
  <si>
    <t xml:space="preserve">Prior price_then</t>
  </si>
  <si>
    <t xml:space="preserve">Prior bear</t>
  </si>
  <si>
    <t xml:space="preserve">Prior base</t>
  </si>
  <si>
    <t xml:space="preserve">Prior bull</t>
  </si>
  <si>
    <t xml:space="preserve">Prior weighted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</si>
  <si>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</si>
  <si>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</si>
  <si>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</si>
  <si>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</si>
  <si>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</si>
  <si>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</si>
  <si>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</si>
  <si>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t>
  </si>
  <si>
    <t xml:space="preserve">Anchor refresh (price, net debt, shares): none, same vintage</t>
  </si>
  <si>
    <t xml:space="preserve">Driver changes: none (split fix altered historical EPS/share rows only)</t>
  </si>
  <si>
    <t xml:space="preserve">Methodology change: none</t>
  </si>
  <si>
    <t xml:space="preserve">New weighted IV</t>
  </si>
  <si>
    <t xml:space="preserve">ties to probability_weighted.weighted_iv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</si>
  <si>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</si>
  <si>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</si>
  <si>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</si>
  <si>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</si>
  <si>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</si>
  <si>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</si>
  <si>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</si>
  <si>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</si>
  <si>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</si>
  <si>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</si>
  <si>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</si>
  <si>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</si>
  <si>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</si>
  <si>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</si>
  <si>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</si>
  <si>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</si>
  <si>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</si>
  <si>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</si>
  <si>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</si>
  <si>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</si>
  <si>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</si>
  <si>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</si>
  <si>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</si>
  <si>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</si>
  <si>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</si>
  <si>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</si>
  <si>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</si>
  <si>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</si>
  <si>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</si>
  <si>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</si>
  <si>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</si>
  <si>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</si>
  <si>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</si>
  <si>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</si>
  <si>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</si>
  <si>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</si>
  <si>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</si>
  <si>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</si>
  <si>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</si>
  <si>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</si>
  <si>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</si>
  <si>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</si>
  <si>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</si>
  <si>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</si>
  <si>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</si>
  <si>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</si>
  <si>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</si>
  <si>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</si>
  <si>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</si>
  <si>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</si>
  <si>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</si>
  <si>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</si>
  <si>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</si>
  <si>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</si>
  <si>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(FY2025 + H1-2026 - H1-2025); Y1 = Jul-2026 to Jun-2027</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</si>
  <si>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</si>
  <si>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</si>
  <si>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</si>
  <si>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</si>
  <si>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</si>
  <si>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</si>
  <si>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</si>
  <si>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</si>
  <si>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</si>
  <si>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</si>
  <si>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</si>
  <si>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</si>
  <si>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</si>
  <si>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</si>
  <si>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</si>
  <si>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</si>
  <si>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</si>
  <si>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</si>
  <si>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</si>
  <si>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</si>
  <si>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</si>
  <si>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</si>
  <si>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</si>
  <si>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</si>
  <si>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</si>
  <si>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</si>
  <si>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</si>
  <si>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</si>
  <si>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ORLY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</si>
  <si>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</si>
  <si>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</si>
  <si>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</si>
  <si>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</si>
  <si>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</si>
  <si>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</si>
  <si>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</si>
  <si>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</si>
  <si>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</si>
  <si>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</si>
  <si>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</si>
  <si>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</si>
  <si>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</si>
  <si>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</si>
  <si>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</si>
  <si>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</si>
  <si>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</si>
  <si>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</si>
  <si>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</si>
  <si>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</si>
  <si>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</si>
  <si>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</si>
  <si>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</si>
  <si>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</si>
  <si>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</si>
  <si>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</si>
  <si>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</si>
  <si>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</si>
  <si>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</si>
  <si>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</si>
  <si>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ORLY owner-FCF component DCF: base case (millions, USD)</t>
  </si>
  <si>
    <t xml:space="preserve">ORLY owner-FCF component DCF: bull case (millions, USD)</t>
  </si>
  <si>
    <t xml:space="preserve">ORLY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</si>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</sst>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85.03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36</v>
      </c>
      <c r="B1" s="2" t="s">
        <v>37</v>
      </c>
      <c r="C1" s="2" t="s">
        <v>38</v>
      </c>
    </row>
    <row r="2" customFormat="false" ht="15" hidden="false" customHeight="false" outlineLevel="0" collapsed="false">
      <c r="A2" s="0" t="s">
        <v>39</v>
      </c>
      <c r="B2" s="0" t="s">
        <v>5</v>
      </c>
    </row>
    <row r="3" customFormat="false" ht="15" hidden="false" customHeight="false" outlineLevel="0" collapsed="false">
      <c r="A3" s="0" t="s">
        <v>40</v>
      </c>
      <c r="B3" s="0" t="n">
        <v>85.03</v>
      </c>
    </row>
    <row r="4" customFormat="false" ht="15" hidden="false" customHeight="false" outlineLevel="0" collapsed="false">
      <c r="A4" s="0" t="s">
        <v>41</v>
      </c>
      <c r="B4" s="0" t="n">
        <v>33.64</v>
      </c>
    </row>
    <row r="5" customFormat="false" ht="15" hidden="false" customHeight="false" outlineLevel="0" collapsed="false">
      <c r="A5" s="0" t="s">
        <v>42</v>
      </c>
      <c r="B5" s="0" t="n">
        <v>60.47</v>
      </c>
    </row>
    <row r="6" customFormat="false" ht="15" hidden="false" customHeight="false" outlineLevel="0" collapsed="false">
      <c r="A6" s="0" t="s">
        <v>43</v>
      </c>
      <c r="B6" s="0" t="n">
        <v>75.81</v>
      </c>
    </row>
    <row r="7" customFormat="false" ht="15" hidden="false" customHeight="false" outlineLevel="0" collapsed="false">
      <c r="A7" s="0" t="s">
        <v>44</v>
      </c>
      <c r="B7" s="0" t="n">
        <v>59.71</v>
      </c>
    </row>
    <row r="8" customFormat="false" ht="15" hidden="false" customHeight="false" outlineLevel="0" collapsed="false">
      <c r="A8" s="0" t="s">
        <v>45</v>
      </c>
      <c r="B8" s="0" t="s">
        <v>5</v>
      </c>
    </row>
    <row r="9" customFormat="false" ht="15" hidden="false" customHeight="false" outlineLevel="0" collapsed="false">
      <c r="A9" s="0" t="s">
        <v>46</v>
      </c>
      <c r="B9" s="0" t="n">
        <v>85.03</v>
      </c>
    </row>
    <row r="10" customFormat="false" ht="15" hidden="false" customHeight="false" outlineLevel="0" collapsed="false">
      <c r="A10" s="0" t="s">
        <v>47</v>
      </c>
      <c r="B10" s="0" t="n">
        <v>33.64</v>
      </c>
    </row>
    <row r="11" customFormat="false" ht="15" hidden="false" customHeight="false" outlineLevel="0" collapsed="false">
      <c r="A11" s="0" t="s">
        <v>48</v>
      </c>
      <c r="B11" s="0" t="n">
        <v>60.47</v>
      </c>
    </row>
    <row r="12" customFormat="false" ht="15" hidden="false" customHeight="false" outlineLevel="0" collapsed="false">
      <c r="A12" s="0" t="s">
        <v>49</v>
      </c>
      <c r="B12" s="0" t="n">
        <v>75.81</v>
      </c>
    </row>
    <row r="13" customFormat="false" ht="15" hidden="false" customHeight="false" outlineLevel="0" collapsed="false">
      <c r="A13" s="0" t="s">
        <v>50</v>
      </c>
      <c r="B13" s="0" t="n">
        <v>59.71</v>
      </c>
    </row>
    <row r="15" customFormat="false" ht="15" hidden="false" customHeight="false" outlineLevel="0" collapsed="false">
      <c r="A15" s="2" t="s">
        <v>51</v>
      </c>
    </row>
    <row r="16" customFormat="false" ht="15" hidden="false" customHeight="false" outlineLevel="0" collapsed="false">
      <c r="A16" s="0" t="s">
        <v>52</v>
      </c>
      <c r="B16" s="0" t="n">
        <v>59.71</v>
      </c>
    </row>
    <row r="17" customFormat="false" ht="15" hidden="false" customHeight="false" outlineLevel="0" collapsed="false">
      <c r="A17" s="0" t="s">
        <v>53</v>
      </c>
      <c r="B17" s="0" t="n">
        <v>0</v>
      </c>
    </row>
    <row r="18" customFormat="false" ht="15" hidden="false" customHeight="false" outlineLevel="0" collapsed="false">
      <c r="A18" s="0" t="s">
        <v>54</v>
      </c>
      <c r="B18" s="0" t="n">
        <v>0</v>
      </c>
    </row>
    <row r="19" customFormat="false" ht="15" hidden="false" customHeight="false" outlineLevel="0" collapsed="false">
      <c r="A19" s="0" t="s">
        <v>55</v>
      </c>
      <c r="B19" s="0" t="n">
        <v>0</v>
      </c>
    </row>
    <row r="20" customFormat="false" ht="15" hidden="false" customHeight="false" outlineLevel="0" collapsed="false">
      <c r="A20" s="0" t="s">
        <v>56</v>
      </c>
      <c r="B20" s="0" t="n">
        <v>59.71</v>
      </c>
      <c r="C20" s="0"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58</v>
      </c>
      <c r="B1" s="2" t="s">
        <v>59</v>
      </c>
      <c r="C1" s="2" t="s">
        <v>60</v>
      </c>
      <c r="D1" s="2" t="s">
        <v>61</v>
      </c>
      <c r="E1" s="2" t="s">
        <v>62</v>
      </c>
      <c r="F1" s="2" t="s">
        <v>63</v>
      </c>
      <c r="G1" s="2" t="s">
        <v>64</v>
      </c>
      <c r="H1" s="2" t="s">
        <v>65</v>
      </c>
      <c r="I1" s="2" t="s">
        <v>66</v>
      </c>
      <c r="J1" s="2" t="s">
        <v>67</v>
      </c>
      <c r="K1" s="2" t="s">
        <v>68</v>
      </c>
      <c r="L1" s="2" t="s">
        <v>69</v>
      </c>
      <c r="M1" s="2" t="s">
        <v>70</v>
      </c>
      <c r="N1" s="2" t="s">
        <v>71</v>
      </c>
      <c r="O1" s="2" t="s">
        <v>72</v>
      </c>
      <c r="P1" s="2" t="s">
        <v>73</v>
      </c>
      <c r="Q1" s="2" t="s">
        <v>74</v>
      </c>
      <c r="R1" s="2" t="s">
        <v>75</v>
      </c>
      <c r="S1" s="2" t="s">
        <v>76</v>
      </c>
      <c r="T1" s="2" t="s">
        <v>77</v>
      </c>
      <c r="U1" s="2" t="s">
        <v>78</v>
      </c>
      <c r="V1" s="2" t="s">
        <v>79</v>
      </c>
      <c r="W1" s="2" t="s">
        <v>80</v>
      </c>
      <c r="X1" s="2" t="s">
        <v>81</v>
      </c>
      <c r="Y1" s="2" t="s">
        <v>82</v>
      </c>
      <c r="Z1" s="2" t="s">
        <v>83</v>
      </c>
      <c r="AA1" s="2" t="s">
        <v>16</v>
      </c>
      <c r="AB1" s="2" t="s">
        <v>84</v>
      </c>
    </row>
    <row r="2" customFormat="false" ht="15" hidden="false" customHeight="false" outlineLevel="0" collapsed="false">
      <c r="A2" s="0" t="s">
        <v>85</v>
      </c>
      <c r="O2" s="0" t="n">
        <v>1592.477</v>
      </c>
      <c r="S2" s="0" t="n">
        <v>47.555</v>
      </c>
      <c r="AA2" s="0" t="s">
        <v>17</v>
      </c>
      <c r="AB2" s="0" t="s">
        <v>14</v>
      </c>
    </row>
    <row r="3" customFormat="false" ht="15" hidden="false" customHeight="false" outlineLevel="0" collapsed="false">
      <c r="A3" s="0" t="s">
        <v>86</v>
      </c>
      <c r="B3" s="0" t="n">
        <v>3576.553</v>
      </c>
      <c r="D3" s="0" t="n">
        <v>1627.926</v>
      </c>
      <c r="E3" s="0" t="n">
        <v>45.516618934488</v>
      </c>
      <c r="F3" s="0" t="n">
        <v>335.617</v>
      </c>
      <c r="G3" s="0" t="n">
        <v>9.38381173157507</v>
      </c>
      <c r="I3" s="0" t="n">
        <v>186.232</v>
      </c>
      <c r="J3" s="0" t="n">
        <v>5.20702475260397</v>
      </c>
      <c r="K3" s="0" t="n">
        <v>0.1000000005</v>
      </c>
      <c r="L3" s="0" t="n">
        <v>298.542</v>
      </c>
      <c r="M3" s="0" t="n">
        <v>341.679</v>
      </c>
      <c r="N3" s="0" t="n">
        <v>-43.137</v>
      </c>
      <c r="O3" s="0" t="n">
        <v>2282.218</v>
      </c>
      <c r="S3" s="0" t="n">
        <v>31.301</v>
      </c>
      <c r="T3" s="0" t="n">
        <v>1881.195</v>
      </c>
      <c r="U3" s="0" t="n">
        <v>5.563</v>
      </c>
      <c r="AA3" s="0" t="s">
        <v>17</v>
      </c>
      <c r="AB3" s="0" t="s">
        <v>14</v>
      </c>
    </row>
    <row r="4" customFormat="false" ht="15" hidden="false" customHeight="false" outlineLevel="0" collapsed="false">
      <c r="A4" s="0" t="s">
        <v>87</v>
      </c>
      <c r="B4" s="0" t="n">
        <v>4847.062</v>
      </c>
      <c r="D4" s="0" t="n">
        <v>2326.528</v>
      </c>
      <c r="E4" s="0" t="n">
        <v>47.9987258260777</v>
      </c>
      <c r="F4" s="0" t="n">
        <v>537.619</v>
      </c>
      <c r="G4" s="0" t="n">
        <v>11.0916468574159</v>
      </c>
      <c r="H4" s="0" t="n">
        <v>685.798</v>
      </c>
      <c r="I4" s="0" t="n">
        <v>307.498</v>
      </c>
      <c r="J4" s="0" t="n">
        <v>6.34400797844137</v>
      </c>
      <c r="K4" s="0" t="n">
        <v>0.1506666674</v>
      </c>
      <c r="L4" s="0" t="n">
        <v>285.2</v>
      </c>
      <c r="M4" s="0" t="n">
        <v>414.779</v>
      </c>
      <c r="N4" s="0" t="n">
        <v>-129.579</v>
      </c>
      <c r="O4" s="0" t="n">
        <v>2685.865</v>
      </c>
      <c r="P4" s="0" t="n">
        <v>4781.471</v>
      </c>
      <c r="R4" s="0" t="n">
        <v>897.456</v>
      </c>
      <c r="S4" s="0" t="n">
        <v>26.935</v>
      </c>
      <c r="T4" s="0" t="n">
        <v>2068.23</v>
      </c>
      <c r="U4" s="0" t="n">
        <v>21.413</v>
      </c>
      <c r="AA4" s="0" t="s">
        <v>17</v>
      </c>
      <c r="AB4" s="0" t="s">
        <v>14</v>
      </c>
    </row>
    <row r="5" customFormat="false" ht="15" hidden="false" customHeight="false" outlineLevel="0" collapsed="false">
      <c r="A5" s="0" t="s">
        <v>88</v>
      </c>
      <c r="B5" s="0" t="n">
        <v>5397.525</v>
      </c>
      <c r="D5" s="0" t="n">
        <v>2620.992</v>
      </c>
      <c r="E5" s="0" t="n">
        <v>48.5591451637556</v>
      </c>
      <c r="F5" s="0" t="n">
        <v>712.776</v>
      </c>
      <c r="G5" s="0" t="n">
        <v>13.2056081259466</v>
      </c>
      <c r="H5" s="0" t="n">
        <v>874.218</v>
      </c>
      <c r="I5" s="0" t="n">
        <v>419.373</v>
      </c>
      <c r="J5" s="0" t="n">
        <v>7.76972779190462</v>
      </c>
      <c r="K5" s="0" t="n">
        <v>0.2013333343</v>
      </c>
      <c r="L5" s="0" t="n">
        <v>703.687</v>
      </c>
      <c r="M5" s="0" t="n">
        <v>365.419</v>
      </c>
      <c r="N5" s="0" t="n">
        <v>338.268</v>
      </c>
      <c r="O5" s="0" t="n">
        <v>3209.685</v>
      </c>
      <c r="P5" s="0" t="n">
        <v>5047.827</v>
      </c>
      <c r="R5" s="0" t="n">
        <v>360.135</v>
      </c>
      <c r="S5" s="0" t="n">
        <v>29.721</v>
      </c>
      <c r="T5" s="0" t="n">
        <v>2129.88</v>
      </c>
      <c r="U5" s="0" t="n">
        <v>16.973</v>
      </c>
      <c r="AA5" s="0" t="s">
        <v>17</v>
      </c>
      <c r="AB5" s="0" t="s">
        <v>14</v>
      </c>
    </row>
    <row r="6" customFormat="false" ht="15" hidden="false" customHeight="false" outlineLevel="0" collapsed="false">
      <c r="A6" s="0" t="s">
        <v>89</v>
      </c>
      <c r="B6" s="0" t="n">
        <v>5788.816</v>
      </c>
      <c r="D6" s="0" t="n">
        <v>2837.349</v>
      </c>
      <c r="E6" s="0" t="n">
        <v>49.014323481693</v>
      </c>
      <c r="F6" s="0" t="n">
        <v>866.766</v>
      </c>
      <c r="G6" s="0" t="n">
        <v>14.973113672986</v>
      </c>
      <c r="H6" s="0" t="n">
        <v>1032.646</v>
      </c>
      <c r="I6" s="0" t="n">
        <v>507.673</v>
      </c>
      <c r="J6" s="0" t="n">
        <v>8.76989353263258</v>
      </c>
      <c r="K6" s="0" t="n">
        <v>0.2513333346</v>
      </c>
      <c r="L6" s="0" t="n">
        <v>1118.991</v>
      </c>
      <c r="M6" s="0" t="n">
        <v>328.319</v>
      </c>
      <c r="N6" s="0" t="n">
        <v>790.672</v>
      </c>
      <c r="O6" s="0" t="n">
        <v>2844.851</v>
      </c>
      <c r="P6" s="0" t="n">
        <v>5500.501</v>
      </c>
      <c r="R6" s="0" t="n">
        <v>797.574</v>
      </c>
      <c r="S6" s="0" t="n">
        <v>361.552</v>
      </c>
      <c r="T6" s="0" t="n">
        <v>2054.745</v>
      </c>
      <c r="U6" s="0" t="n">
        <v>20.579</v>
      </c>
      <c r="AA6" s="0" t="s">
        <v>17</v>
      </c>
      <c r="AB6" s="0" t="s">
        <v>14</v>
      </c>
    </row>
    <row r="7" customFormat="false" ht="15" hidden="false" customHeight="false" outlineLevel="0" collapsed="false">
      <c r="A7" s="0" t="s">
        <v>90</v>
      </c>
      <c r="B7" s="0" t="n">
        <v>6182.184</v>
      </c>
      <c r="D7" s="0" t="n">
        <v>3097.418</v>
      </c>
      <c r="E7" s="0" t="n">
        <v>50.102326297632</v>
      </c>
      <c r="F7" s="0" t="n">
        <v>977.393</v>
      </c>
      <c r="G7" s="0" t="n">
        <v>15.8098335474971</v>
      </c>
      <c r="H7" s="0" t="n">
        <v>1154.499</v>
      </c>
      <c r="I7" s="0" t="n">
        <v>585.746</v>
      </c>
      <c r="J7" s="0" t="n">
        <v>9.47474225936983</v>
      </c>
      <c r="K7" s="0" t="n">
        <v>0.3220000016</v>
      </c>
      <c r="L7" s="0" t="n">
        <v>1251.555</v>
      </c>
      <c r="M7" s="0" t="n">
        <v>300.719</v>
      </c>
      <c r="N7" s="0" t="n">
        <v>950.836</v>
      </c>
      <c r="O7" s="0" t="n">
        <v>2108.307</v>
      </c>
      <c r="P7" s="0" t="n">
        <v>5749.187</v>
      </c>
      <c r="R7" s="0" t="n">
        <v>1095.956</v>
      </c>
      <c r="S7" s="0" t="n">
        <v>248.128</v>
      </c>
      <c r="T7" s="0" t="n">
        <v>1849.71</v>
      </c>
      <c r="U7" s="0" t="n">
        <v>22.026</v>
      </c>
      <c r="AA7" s="0" t="s">
        <v>17</v>
      </c>
      <c r="AB7" s="0" t="s">
        <v>14</v>
      </c>
    </row>
    <row r="8" customFormat="false" ht="15" hidden="false" customHeight="false" outlineLevel="0" collapsed="false">
      <c r="A8" s="0" t="s">
        <v>91</v>
      </c>
      <c r="B8" s="0" t="n">
        <v>6649.237</v>
      </c>
      <c r="D8" s="0" t="n">
        <v>3369.001</v>
      </c>
      <c r="E8" s="0" t="n">
        <v>50.6674825998833</v>
      </c>
      <c r="F8" s="0" t="n">
        <v>1103.485</v>
      </c>
      <c r="G8" s="0" t="n">
        <v>16.5956635325226</v>
      </c>
      <c r="H8" s="0" t="n">
        <v>1286.665</v>
      </c>
      <c r="I8" s="0" t="n">
        <v>670.292</v>
      </c>
      <c r="J8" s="0" t="n">
        <v>10.0807355791349</v>
      </c>
      <c r="K8" s="0" t="n">
        <v>0.4093333354</v>
      </c>
      <c r="L8" s="0" t="n">
        <v>908.026</v>
      </c>
      <c r="M8" s="0" t="n">
        <v>395.881</v>
      </c>
      <c r="N8" s="0" t="n">
        <v>512.145</v>
      </c>
      <c r="O8" s="0" t="n">
        <v>1966.321</v>
      </c>
      <c r="P8" s="0" t="n">
        <v>6067.208</v>
      </c>
      <c r="R8" s="0" t="n">
        <v>1396.208</v>
      </c>
      <c r="S8" s="0" t="n">
        <v>231.318</v>
      </c>
      <c r="T8" s="0" t="n">
        <v>1666.515</v>
      </c>
      <c r="U8" s="0" t="n">
        <v>21.722</v>
      </c>
      <c r="AA8" s="0" t="s">
        <v>17</v>
      </c>
      <c r="AB8" s="0" t="s">
        <v>14</v>
      </c>
    </row>
    <row r="9" customFormat="false" ht="15" hidden="false" customHeight="false" outlineLevel="0" collapsed="false">
      <c r="A9" s="0" t="s">
        <v>92</v>
      </c>
      <c r="B9" s="0" t="n">
        <v>7216.081</v>
      </c>
      <c r="D9" s="0" t="n">
        <v>3708.901</v>
      </c>
      <c r="E9" s="0" t="n">
        <v>51.3977185123061</v>
      </c>
      <c r="F9" s="0" t="n">
        <v>1270.374</v>
      </c>
      <c r="G9" s="0" t="n">
        <v>17.6047635828922</v>
      </c>
      <c r="H9" s="0" t="n">
        <v>1464.579</v>
      </c>
      <c r="I9" s="0" t="n">
        <v>778.182</v>
      </c>
      <c r="J9" s="0" t="n">
        <v>10.7839975743066</v>
      </c>
      <c r="K9" s="0" t="n">
        <v>0.4973333358</v>
      </c>
      <c r="L9" s="0" t="n">
        <v>1190.43</v>
      </c>
      <c r="M9" s="0" t="n">
        <v>429.987</v>
      </c>
      <c r="N9" s="0" t="n">
        <v>760.443</v>
      </c>
      <c r="O9" s="0" t="n">
        <v>2018.418</v>
      </c>
      <c r="P9" s="0" t="n">
        <v>6532.083</v>
      </c>
      <c r="R9" s="0" t="n">
        <v>1388.422</v>
      </c>
      <c r="S9" s="0" t="n">
        <v>250.56</v>
      </c>
      <c r="T9" s="0" t="n">
        <v>1590.615</v>
      </c>
      <c r="U9" s="0" t="n">
        <v>23.095</v>
      </c>
      <c r="AA9" s="0" t="s">
        <v>17</v>
      </c>
      <c r="AB9" s="0" t="s">
        <v>14</v>
      </c>
    </row>
    <row r="10" customFormat="false" ht="15" hidden="false" customHeight="false" outlineLevel="0" collapsed="false">
      <c r="A10" s="0" t="s">
        <v>93</v>
      </c>
      <c r="B10" s="0" t="n">
        <v>7966.674</v>
      </c>
      <c r="D10" s="0" t="n">
        <v>4162.643</v>
      </c>
      <c r="E10" s="0" t="n">
        <v>52.2507008570955</v>
      </c>
      <c r="F10" s="0" t="n">
        <v>1514.021</v>
      </c>
      <c r="G10" s="0" t="n">
        <v>19.004430205127</v>
      </c>
      <c r="H10" s="0" t="n">
        <v>1724.277</v>
      </c>
      <c r="I10" s="0" t="n">
        <v>931.216</v>
      </c>
      <c r="J10" s="0" t="n">
        <v>11.6888930060399</v>
      </c>
      <c r="K10" s="0" t="n">
        <v>0.6213333364</v>
      </c>
      <c r="L10" s="0" t="n">
        <v>1345.488</v>
      </c>
      <c r="M10" s="0" t="n">
        <v>414.02</v>
      </c>
      <c r="N10" s="0" t="n">
        <v>931.468</v>
      </c>
      <c r="O10" s="0" t="n">
        <v>1961.314</v>
      </c>
      <c r="P10" s="0" t="n">
        <v>6676.684</v>
      </c>
      <c r="R10" s="0" t="n">
        <v>1390.018</v>
      </c>
      <c r="S10" s="0" t="n">
        <v>116.301</v>
      </c>
      <c r="T10" s="0" t="n">
        <v>1522.71</v>
      </c>
      <c r="U10" s="0" t="n">
        <v>21.899</v>
      </c>
      <c r="AA10" s="0" t="s">
        <v>17</v>
      </c>
      <c r="AB10" s="0" t="s">
        <v>14</v>
      </c>
    </row>
    <row r="11" customFormat="false" ht="15" hidden="false" customHeight="false" outlineLevel="0" collapsed="false">
      <c r="A11" s="0" t="s">
        <v>94</v>
      </c>
      <c r="B11" s="0" t="n">
        <v>8593.096</v>
      </c>
      <c r="C11" s="0" t="n">
        <v>4084.085</v>
      </c>
      <c r="D11" s="0" t="n">
        <v>4509.011</v>
      </c>
      <c r="E11" s="0" t="n">
        <v>52.4724848878681</v>
      </c>
      <c r="F11" s="0" t="n">
        <v>1699.206</v>
      </c>
      <c r="G11" s="0" t="n">
        <v>19.7740837528174</v>
      </c>
      <c r="H11" s="0" t="n">
        <v>1917.072</v>
      </c>
      <c r="I11" s="0" t="n">
        <v>1037.691</v>
      </c>
      <c r="J11" s="0" t="n">
        <v>12.0758688137547</v>
      </c>
      <c r="K11" s="0" t="n">
        <v>0.7246666703</v>
      </c>
      <c r="L11" s="0" t="n">
        <v>1510.713</v>
      </c>
      <c r="M11" s="0" t="n">
        <v>476.344</v>
      </c>
      <c r="N11" s="0" t="n">
        <v>1034.369</v>
      </c>
      <c r="O11" s="0" t="n">
        <v>1627.136</v>
      </c>
      <c r="P11" s="0" t="n">
        <v>7204.189</v>
      </c>
      <c r="R11" s="0" t="n">
        <v>1887.019</v>
      </c>
      <c r="S11" s="0" t="n">
        <v>146.598</v>
      </c>
      <c r="T11" s="0" t="n">
        <v>1450.8</v>
      </c>
      <c r="U11" s="0" t="n">
        <v>18.859</v>
      </c>
      <c r="AA11" s="0" t="s">
        <v>17</v>
      </c>
      <c r="AB11" s="0" t="s">
        <v>14</v>
      </c>
    </row>
    <row r="12" customFormat="false" ht="15" hidden="false" customHeight="false" outlineLevel="0" collapsed="false">
      <c r="A12" s="0" t="s">
        <v>95</v>
      </c>
      <c r="B12" s="0" t="n">
        <v>8977.726</v>
      </c>
      <c r="C12" s="0" t="n">
        <v>4257.043</v>
      </c>
      <c r="D12" s="0" t="n">
        <v>4720.683</v>
      </c>
      <c r="E12" s="0" t="n">
        <v>52.5821683575551</v>
      </c>
      <c r="F12" s="0" t="n">
        <v>1725.4</v>
      </c>
      <c r="G12" s="0" t="n">
        <v>19.2186751968149</v>
      </c>
      <c r="H12" s="0" t="n">
        <v>1959.245</v>
      </c>
      <c r="I12" s="0" t="n">
        <v>1133.804</v>
      </c>
      <c r="J12" s="0" t="n">
        <v>12.629077786513</v>
      </c>
      <c r="K12" s="0" t="n">
        <v>0.8546666709</v>
      </c>
      <c r="L12" s="0" t="n">
        <v>1403.687</v>
      </c>
      <c r="M12" s="0" t="n">
        <v>465.94</v>
      </c>
      <c r="N12" s="0" t="n">
        <v>937.747</v>
      </c>
      <c r="O12" s="0" t="n">
        <v>653.046</v>
      </c>
      <c r="P12" s="0" t="n">
        <v>7571.885</v>
      </c>
      <c r="R12" s="0" t="n">
        <v>2978.39</v>
      </c>
      <c r="S12" s="0" t="n">
        <v>46.348</v>
      </c>
      <c r="T12" s="0" t="n">
        <v>1342.53</v>
      </c>
      <c r="U12" s="0" t="n">
        <v>19.401</v>
      </c>
      <c r="AA12" s="0" t="s">
        <v>17</v>
      </c>
      <c r="AB12" s="0" t="s">
        <v>14</v>
      </c>
    </row>
    <row r="13" customFormat="false" ht="15" hidden="false" customHeight="false" outlineLevel="0" collapsed="false">
      <c r="A13" s="0" t="s">
        <v>96</v>
      </c>
      <c r="B13" s="0" t="n">
        <v>9536.428</v>
      </c>
      <c r="C13" s="0" t="n">
        <v>4496.462</v>
      </c>
      <c r="D13" s="0" t="n">
        <v>5039.966</v>
      </c>
      <c r="E13" s="0" t="n">
        <v>52.8496204239156</v>
      </c>
      <c r="F13" s="0" t="n">
        <v>1815.184</v>
      </c>
      <c r="G13" s="0" t="n">
        <v>19.0342128100794</v>
      </c>
      <c r="H13" s="0" t="n">
        <v>2074.121</v>
      </c>
      <c r="I13" s="0" t="n">
        <v>1324.487</v>
      </c>
      <c r="J13" s="0" t="n">
        <v>13.8887117902007</v>
      </c>
      <c r="K13" s="0" t="n">
        <v>1.0846666721</v>
      </c>
      <c r="L13" s="0" t="n">
        <v>1727.555</v>
      </c>
      <c r="M13" s="0" t="n">
        <v>504.268</v>
      </c>
      <c r="N13" s="0" t="n">
        <v>1223.287</v>
      </c>
      <c r="O13" s="0" t="n">
        <v>353.667</v>
      </c>
      <c r="P13" s="0" t="n">
        <v>7980.789</v>
      </c>
      <c r="R13" s="0" t="n">
        <v>3417.122</v>
      </c>
      <c r="S13" s="0" t="n">
        <v>31.315</v>
      </c>
      <c r="T13" s="0" t="n">
        <v>1234.2</v>
      </c>
      <c r="U13" s="0" t="n">
        <v>20.176</v>
      </c>
      <c r="AA13" s="0" t="s">
        <v>17</v>
      </c>
      <c r="AB13" s="0" t="s">
        <v>14</v>
      </c>
    </row>
    <row r="14" customFormat="false" ht="15" hidden="false" customHeight="false" outlineLevel="0" collapsed="false">
      <c r="A14" s="0" t="s">
        <v>97</v>
      </c>
      <c r="B14" s="0" t="n">
        <v>10149.985</v>
      </c>
      <c r="C14" s="0" t="n">
        <v>4755.294</v>
      </c>
      <c r="D14" s="0" t="n">
        <v>5394.691</v>
      </c>
      <c r="E14" s="0" t="n">
        <v>53.1497435710496</v>
      </c>
      <c r="F14" s="0" t="n">
        <v>1920.726</v>
      </c>
      <c r="G14" s="0" t="n">
        <v>18.9234368326653</v>
      </c>
      <c r="H14" s="0" t="n">
        <v>2191.601</v>
      </c>
      <c r="I14" s="0" t="n">
        <v>1391.042</v>
      </c>
      <c r="J14" s="0" t="n">
        <v>13.7048675441392</v>
      </c>
      <c r="K14" s="0" t="n">
        <v>1.2046666727</v>
      </c>
      <c r="L14" s="0" t="n">
        <v>1708.479</v>
      </c>
      <c r="M14" s="0" t="n">
        <v>628.057</v>
      </c>
      <c r="N14" s="0" t="n">
        <v>1080.422</v>
      </c>
      <c r="O14" s="0" t="n">
        <v>397.34</v>
      </c>
      <c r="P14" s="0" t="n">
        <v>10717.16</v>
      </c>
      <c r="R14" s="0" t="n">
        <v>3890.527</v>
      </c>
      <c r="S14" s="0" t="n">
        <v>40.406</v>
      </c>
      <c r="T14" s="0" t="n">
        <v>1166.82</v>
      </c>
      <c r="U14" s="0" t="n">
        <v>21.921</v>
      </c>
      <c r="AA14" s="0" t="s">
        <v>17</v>
      </c>
      <c r="AB14" s="0" t="s">
        <v>14</v>
      </c>
    </row>
    <row r="15" customFormat="false" ht="15" hidden="false" customHeight="false" outlineLevel="0" collapsed="false">
      <c r="A15" s="0" t="s">
        <v>98</v>
      </c>
      <c r="B15" s="0" t="n">
        <v>11604.493</v>
      </c>
      <c r="C15" s="0" t="n">
        <v>5518.801</v>
      </c>
      <c r="D15" s="0" t="n">
        <v>6085.692</v>
      </c>
      <c r="E15" s="0" t="n">
        <v>52.4425496228056</v>
      </c>
      <c r="F15" s="0" t="n">
        <v>2419.336</v>
      </c>
      <c r="G15" s="0" t="n">
        <v>20.8482697175999</v>
      </c>
      <c r="H15" s="0" t="n">
        <v>2733.971</v>
      </c>
      <c r="I15" s="0" t="n">
        <v>1752.302</v>
      </c>
      <c r="J15" s="0" t="n">
        <v>15.1002029989591</v>
      </c>
      <c r="K15" s="0" t="n">
        <v>1.5826666746</v>
      </c>
      <c r="L15" s="0" t="n">
        <v>2836.603</v>
      </c>
      <c r="M15" s="0" t="n">
        <v>465.579</v>
      </c>
      <c r="N15" s="0" t="n">
        <v>2371.024</v>
      </c>
      <c r="O15" s="0" t="n">
        <v>140.258</v>
      </c>
      <c r="P15" s="0" t="n">
        <v>11596.642</v>
      </c>
      <c r="R15" s="0" t="n">
        <v>4123.217</v>
      </c>
      <c r="S15" s="0" t="n">
        <v>465.64</v>
      </c>
      <c r="T15" s="0" t="n">
        <v>1116.93</v>
      </c>
      <c r="U15" s="0" t="n">
        <v>22.747</v>
      </c>
      <c r="AA15" s="0" t="s">
        <v>17</v>
      </c>
      <c r="AB15" s="0" t="s">
        <v>14</v>
      </c>
    </row>
    <row r="16" customFormat="false" ht="15" hidden="false" customHeight="false" outlineLevel="0" collapsed="false">
      <c r="A16" s="0" t="s">
        <v>99</v>
      </c>
      <c r="B16" s="0" t="n">
        <v>13327.563</v>
      </c>
      <c r="C16" s="0" t="n">
        <v>6307.614</v>
      </c>
      <c r="D16" s="0" t="n">
        <v>7019.949</v>
      </c>
      <c r="E16" s="0" t="n">
        <v>52.672412803451</v>
      </c>
      <c r="F16" s="0" t="n">
        <v>2917.168</v>
      </c>
      <c r="G16" s="0" t="n">
        <v>21.888232679898</v>
      </c>
      <c r="H16" s="0" t="n">
        <v>3245.385</v>
      </c>
      <c r="I16" s="0" t="n">
        <v>2164.685</v>
      </c>
      <c r="J16" s="0" t="n">
        <v>16.2421667036952</v>
      </c>
      <c r="K16" s="0" t="n">
        <v>2.0926666771</v>
      </c>
      <c r="L16" s="0" t="n">
        <v>3207.31</v>
      </c>
      <c r="M16" s="0" t="n">
        <v>442.853</v>
      </c>
      <c r="N16" s="0" t="n">
        <v>2764.457</v>
      </c>
      <c r="O16" s="0" t="n">
        <v>-66.423</v>
      </c>
      <c r="P16" s="0" t="n">
        <v>11718.707</v>
      </c>
      <c r="R16" s="0" t="n">
        <v>3826.978</v>
      </c>
      <c r="S16" s="0" t="n">
        <v>362.113</v>
      </c>
      <c r="T16" s="0" t="n">
        <v>1044.165</v>
      </c>
      <c r="U16" s="0" t="n">
        <v>24.656</v>
      </c>
      <c r="AA16" s="0" t="s">
        <v>17</v>
      </c>
      <c r="AB16" s="0" t="s">
        <v>14</v>
      </c>
    </row>
    <row r="17" customFormat="false" ht="15" hidden="false" customHeight="false" outlineLevel="0" collapsed="false">
      <c r="A17" s="0" t="s">
        <v>100</v>
      </c>
      <c r="B17" s="0" t="n">
        <v>14409.86</v>
      </c>
      <c r="C17" s="0" t="n">
        <v>7028.154</v>
      </c>
      <c r="D17" s="0" t="n">
        <v>7381.706</v>
      </c>
      <c r="E17" s="0" t="n">
        <v>51.226771113668</v>
      </c>
      <c r="F17" s="0" t="n">
        <v>2954.491</v>
      </c>
      <c r="G17" s="0" t="n">
        <v>20.503259573653</v>
      </c>
      <c r="H17" s="0" t="n">
        <v>3312.424</v>
      </c>
      <c r="I17" s="0" t="n">
        <v>2172.65</v>
      </c>
      <c r="J17" s="0" t="n">
        <v>15.0775233069579</v>
      </c>
      <c r="K17" s="0" t="n">
        <v>2.2500000113</v>
      </c>
      <c r="L17" s="0" t="n">
        <v>3148.25</v>
      </c>
      <c r="M17" s="0" t="n">
        <v>563.342</v>
      </c>
      <c r="N17" s="0" t="n">
        <v>2584.908</v>
      </c>
      <c r="O17" s="0" t="n">
        <v>-1060.752</v>
      </c>
      <c r="P17" s="0" t="n">
        <v>12627.979</v>
      </c>
      <c r="R17" s="0" t="n">
        <v>4371.653</v>
      </c>
      <c r="S17" s="0" t="n">
        <v>108.583</v>
      </c>
      <c r="T17" s="0" t="n">
        <v>974.43</v>
      </c>
      <c r="U17" s="0" t="n">
        <v>26.458</v>
      </c>
      <c r="AA17" s="0" t="s">
        <v>17</v>
      </c>
      <c r="AB17" s="0" t="s">
        <v>14</v>
      </c>
    </row>
    <row r="18" customFormat="false" ht="15" hidden="false" customHeight="false" outlineLevel="0" collapsed="false">
      <c r="A18" s="0" t="s">
        <v>101</v>
      </c>
      <c r="B18" s="0" t="n">
        <v>15812.25</v>
      </c>
      <c r="C18" s="0" t="n">
        <v>7707.447</v>
      </c>
      <c r="D18" s="0" t="n">
        <v>8104.803</v>
      </c>
      <c r="E18" s="0" t="n">
        <v>51.2564815253996</v>
      </c>
      <c r="F18" s="0" t="n">
        <v>3186.376</v>
      </c>
      <c r="G18" s="0" t="n">
        <v>20.1513130642382</v>
      </c>
      <c r="H18" s="0" t="n">
        <v>3595.437</v>
      </c>
      <c r="I18" s="0" t="n">
        <v>2346.581</v>
      </c>
      <c r="J18" s="0" t="n">
        <v>14.8402725734794</v>
      </c>
      <c r="K18" s="0" t="n">
        <v>2.59</v>
      </c>
      <c r="L18" s="0" t="n">
        <v>3034.084</v>
      </c>
      <c r="M18" s="0" t="n">
        <v>1006.264</v>
      </c>
      <c r="N18" s="0" t="n">
        <v>2027.82</v>
      </c>
      <c r="O18" s="0" t="n">
        <v>-1739.278</v>
      </c>
      <c r="P18" s="0" t="n">
        <v>13872.995</v>
      </c>
      <c r="R18" s="0" t="n">
        <v>5570.125</v>
      </c>
      <c r="S18" s="0" t="n">
        <v>279.132</v>
      </c>
      <c r="T18" s="0" t="n">
        <v>914.976</v>
      </c>
      <c r="U18" s="0" t="n">
        <v>27.511</v>
      </c>
      <c r="AA18" s="0" t="s">
        <v>17</v>
      </c>
      <c r="AB18" s="0" t="s">
        <v>14</v>
      </c>
    </row>
    <row r="19" customFormat="false" ht="15" hidden="false" customHeight="false" outlineLevel="0" collapsed="false">
      <c r="A19" s="0" t="s">
        <v>102</v>
      </c>
      <c r="B19" s="0" t="n">
        <v>16708.479</v>
      </c>
      <c r="C19" s="0" t="n">
        <v>8153.99</v>
      </c>
      <c r="D19" s="0" t="n">
        <v>8554.489</v>
      </c>
      <c r="E19" s="0" t="n">
        <v>51.1984902994462</v>
      </c>
      <c r="F19" s="0" t="n">
        <v>3251.157</v>
      </c>
      <c r="G19" s="0" t="n">
        <v>19.4581266194248</v>
      </c>
      <c r="H19" s="0" t="n">
        <v>3713.049</v>
      </c>
      <c r="I19" s="0" t="n">
        <v>2386.68</v>
      </c>
      <c r="J19" s="0" t="n">
        <v>14.2842445443418</v>
      </c>
      <c r="K19" s="0" t="n">
        <v>2.73</v>
      </c>
      <c r="L19" s="0" t="n">
        <v>3049.576</v>
      </c>
      <c r="M19" s="0" t="n">
        <v>1023.387</v>
      </c>
      <c r="N19" s="0" t="n">
        <v>2026.189</v>
      </c>
      <c r="O19" s="0" t="n">
        <v>-1370.961</v>
      </c>
      <c r="P19" s="0" t="n">
        <v>14893.741</v>
      </c>
      <c r="R19" s="0" t="n">
        <v>5520.932</v>
      </c>
      <c r="S19" s="0" t="n">
        <v>130.245</v>
      </c>
      <c r="T19" s="0" t="n">
        <v>880.572</v>
      </c>
      <c r="U19" s="0" t="n">
        <v>28.931</v>
      </c>
      <c r="AA19" s="0" t="s">
        <v>17</v>
      </c>
      <c r="AB19" s="0" t="s">
        <v>14</v>
      </c>
    </row>
    <row r="20" customFormat="false" ht="15" hidden="false" customHeight="false" outlineLevel="0" collapsed="false">
      <c r="A20" s="0" t="s">
        <v>103</v>
      </c>
      <c r="B20" s="0" t="n">
        <v>17781.992</v>
      </c>
      <c r="C20" s="0" t="n">
        <v>8607.851</v>
      </c>
      <c r="D20" s="0" t="n">
        <v>9174.141</v>
      </c>
      <c r="E20" s="0" t="n">
        <v>51.5923131671637</v>
      </c>
      <c r="F20" s="0" t="n">
        <v>3460.612</v>
      </c>
      <c r="G20" s="0" t="n">
        <v>19.4613291919151</v>
      </c>
      <c r="H20" s="0" t="n">
        <v>3971.842</v>
      </c>
      <c r="I20" s="0" t="n">
        <v>2538.209</v>
      </c>
      <c r="J20" s="0" t="n">
        <v>14.2740419633526</v>
      </c>
      <c r="K20" s="0" t="n">
        <v>2.98</v>
      </c>
      <c r="L20" s="0" t="n">
        <v>2761.993</v>
      </c>
      <c r="M20" s="0" t="n">
        <v>1168.815</v>
      </c>
      <c r="N20" s="0" t="n">
        <v>1593.178</v>
      </c>
      <c r="O20" s="0" t="n">
        <v>-763.352</v>
      </c>
      <c r="P20" s="0" t="n">
        <v>16538.253</v>
      </c>
      <c r="R20" s="0" t="n">
        <v>6016.904</v>
      </c>
      <c r="S20" s="0" t="n">
        <v>193.793</v>
      </c>
      <c r="T20" s="0" t="n">
        <v>855.919</v>
      </c>
      <c r="U20" s="0" t="n">
        <v>35.115</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104</v>
      </c>
      <c r="B1" s="2" t="s">
        <v>37</v>
      </c>
    </row>
    <row r="2" customFormat="false" ht="15" hidden="false" customHeight="false" outlineLevel="0" collapsed="false">
      <c r="A2" s="0" t="s">
        <v>105</v>
      </c>
      <c r="B2" s="3" t="n">
        <v>85.03</v>
      </c>
    </row>
    <row r="3" customFormat="false" ht="15" hidden="false" customHeight="false" outlineLevel="0" collapsed="false">
      <c r="A3" s="0" t="s">
        <v>106</v>
      </c>
      <c r="B3" s="3" t="n">
        <v>828.875</v>
      </c>
    </row>
    <row r="4" customFormat="false" ht="15" hidden="false" customHeight="false" outlineLevel="0" collapsed="false">
      <c r="A4" s="0" t="s">
        <v>107</v>
      </c>
      <c r="B4" s="3" t="n">
        <v>6752.362</v>
      </c>
    </row>
    <row r="5" customFormat="false" ht="15" hidden="false" customHeight="false" outlineLevel="0" collapsed="false">
      <c r="A5" s="0" t="s">
        <v>108</v>
      </c>
      <c r="B5" s="3" t="n">
        <v>0</v>
      </c>
    </row>
    <row r="6" customFormat="false" ht="15" hidden="false" customHeight="false" outlineLevel="0" collapsed="false">
      <c r="A6" s="0" t="s">
        <v>109</v>
      </c>
      <c r="B6" s="3" t="n">
        <v>15</v>
      </c>
    </row>
    <row r="7" customFormat="false" ht="15" hidden="false" customHeight="false" outlineLevel="0" collapsed="false">
      <c r="A7" s="0" t="s">
        <v>110</v>
      </c>
      <c r="B7" s="3" t="n">
        <v>18572.562</v>
      </c>
    </row>
    <row r="8" customFormat="false" ht="15" hidden="false" customHeight="false" outlineLevel="0" collapsed="false">
      <c r="A8" s="0" t="s">
        <v>111</v>
      </c>
      <c r="B8" s="3" t="s">
        <v>112</v>
      </c>
    </row>
    <row r="9" customFormat="false" ht="15" hidden="false" customHeight="false" outlineLevel="0" collapsed="false">
      <c r="A9" s="0" t="s">
        <v>113</v>
      </c>
      <c r="B9" s="3" t="s">
        <v>114</v>
      </c>
    </row>
    <row r="10" customFormat="false" ht="15" hidden="false" customHeight="false" outlineLevel="0" collapsed="false">
      <c r="A10" s="0" t="s">
        <v>115</v>
      </c>
      <c r="B10" s="3" t="n">
        <v>1</v>
      </c>
    </row>
    <row r="12" customFormat="false" ht="15" hidden="false" customHeight="false" outlineLevel="0" collapsed="false">
      <c r="A12" s="2" t="s">
        <v>116</v>
      </c>
      <c r="C12" s="2" t="s">
        <v>117</v>
      </c>
      <c r="D12" s="2" t="s">
        <v>118</v>
      </c>
      <c r="E12" s="2" t="s">
        <v>119</v>
      </c>
      <c r="F12" s="2" t="s">
        <v>120</v>
      </c>
      <c r="G12" s="2" t="s">
        <v>121</v>
      </c>
      <c r="H12" s="2" t="s">
        <v>122</v>
      </c>
      <c r="I12" s="2" t="s">
        <v>123</v>
      </c>
      <c r="J12" s="2" t="s">
        <v>124</v>
      </c>
      <c r="K12" s="2" t="s">
        <v>125</v>
      </c>
      <c r="L12" s="2" t="s">
        <v>126</v>
      </c>
    </row>
    <row r="13" customFormat="false" ht="15" hidden="false" customHeight="false" outlineLevel="0" collapsed="false">
      <c r="A13" s="0" t="s">
        <v>127</v>
      </c>
      <c r="C13" s="3" t="n">
        <v>4</v>
      </c>
      <c r="D13" s="3" t="n">
        <v>3</v>
      </c>
      <c r="E13" s="3" t="n">
        <v>2.5</v>
      </c>
      <c r="F13" s="3" t="n">
        <v>2.5</v>
      </c>
      <c r="G13" s="3" t="n">
        <v>2.5</v>
      </c>
      <c r="H13" s="3" t="n">
        <v>2.5</v>
      </c>
      <c r="I13" s="3" t="n">
        <v>2.5</v>
      </c>
      <c r="J13" s="3" t="n">
        <v>2.5</v>
      </c>
      <c r="K13" s="3" t="n">
        <v>2.5</v>
      </c>
      <c r="L13" s="3" t="n">
        <v>2.5</v>
      </c>
    </row>
    <row r="14" customFormat="false" ht="15" hidden="false" customHeight="false" outlineLevel="0" collapsed="false">
      <c r="A14" s="0" t="s">
        <v>128</v>
      </c>
      <c r="C14" s="3" t="n">
        <v>22.4</v>
      </c>
      <c r="D14" s="3" t="n">
        <v>21.8</v>
      </c>
      <c r="E14" s="3" t="n">
        <v>21.3</v>
      </c>
      <c r="F14" s="3" t="n">
        <v>21</v>
      </c>
      <c r="G14" s="3" t="n">
        <v>20.8</v>
      </c>
      <c r="H14" s="3" t="n">
        <v>20.6</v>
      </c>
      <c r="I14" s="3" t="n">
        <v>20.5</v>
      </c>
      <c r="J14" s="3" t="n">
        <v>20.5</v>
      </c>
      <c r="K14" s="3" t="n">
        <v>20.5</v>
      </c>
      <c r="L14" s="3" t="n">
        <v>20.5</v>
      </c>
    </row>
    <row r="15" customFormat="false" ht="15" hidden="false" customHeight="false" outlineLevel="0" collapsed="false">
      <c r="A15" s="0" t="s">
        <v>129</v>
      </c>
      <c r="C15" s="3" t="n">
        <v>0.18</v>
      </c>
      <c r="D15" s="3" t="n">
        <v>0.18</v>
      </c>
      <c r="E15" s="3" t="n">
        <v>0.18</v>
      </c>
      <c r="F15" s="3" t="n">
        <v>0.18</v>
      </c>
      <c r="G15" s="3" t="n">
        <v>0.18</v>
      </c>
      <c r="H15" s="3" t="n">
        <v>0.18</v>
      </c>
      <c r="I15" s="3" t="n">
        <v>0.18</v>
      </c>
      <c r="J15" s="3" t="n">
        <v>0.18</v>
      </c>
      <c r="K15" s="3" t="n">
        <v>0.18</v>
      </c>
      <c r="L15" s="3" t="n">
        <v>0.18</v>
      </c>
    </row>
    <row r="16" customFormat="false" ht="15" hidden="false" customHeight="false" outlineLevel="0" collapsed="false">
      <c r="A16" s="0" t="s">
        <v>130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131</v>
      </c>
      <c r="C17" s="3" t="n">
        <v>2.9</v>
      </c>
      <c r="D17" s="3" t="n">
        <v>3</v>
      </c>
      <c r="E17" s="3" t="n">
        <v>3.1</v>
      </c>
      <c r="F17" s="3" t="n">
        <v>3.2</v>
      </c>
      <c r="G17" s="3" t="n">
        <v>3.3</v>
      </c>
      <c r="H17" s="3" t="n">
        <v>3.4</v>
      </c>
      <c r="I17" s="3" t="n">
        <v>3.4</v>
      </c>
      <c r="J17" s="3" t="n">
        <v>3.4</v>
      </c>
      <c r="K17" s="3" t="n">
        <v>3.4</v>
      </c>
      <c r="L17" s="3" t="n">
        <v>3.4</v>
      </c>
    </row>
    <row r="18" customFormat="false" ht="15" hidden="false" customHeight="false" outlineLevel="0" collapsed="false">
      <c r="A18" s="0" t="s">
        <v>132</v>
      </c>
      <c r="C18" s="3" t="n">
        <v>7</v>
      </c>
      <c r="D18" s="3" t="n">
        <v>6.8</v>
      </c>
      <c r="E18" s="3" t="n">
        <v>6.5</v>
      </c>
      <c r="F18" s="3" t="n">
        <v>6.3</v>
      </c>
      <c r="G18" s="3" t="n">
        <v>6.2</v>
      </c>
      <c r="H18" s="3" t="n">
        <v>6</v>
      </c>
      <c r="I18" s="3" t="n">
        <v>6</v>
      </c>
      <c r="J18" s="3" t="n">
        <v>6</v>
      </c>
      <c r="K18" s="3" t="n">
        <v>6</v>
      </c>
      <c r="L18" s="3" t="n">
        <v>6</v>
      </c>
    </row>
    <row r="19" customFormat="false" ht="15" hidden="false" customHeight="false" outlineLevel="0" collapsed="false">
      <c r="A19" s="0" t="s">
        <v>133</v>
      </c>
      <c r="C19" s="3" t="n">
        <v>23</v>
      </c>
      <c r="D19" s="3" t="n">
        <v>23</v>
      </c>
      <c r="E19" s="3" t="n">
        <v>23</v>
      </c>
      <c r="F19" s="3" t="n">
        <v>23</v>
      </c>
      <c r="G19" s="3" t="n">
        <v>23</v>
      </c>
      <c r="H19" s="3" t="n">
        <v>23</v>
      </c>
      <c r="I19" s="3" t="n">
        <v>23</v>
      </c>
      <c r="J19" s="3" t="n">
        <v>23</v>
      </c>
      <c r="K19" s="3" t="n">
        <v>23</v>
      </c>
      <c r="L19" s="3" t="n">
        <v>23</v>
      </c>
    </row>
    <row r="20" customFormat="false" ht="15" hidden="false" customHeight="false" outlineLevel="0" collapsed="false">
      <c r="A20" s="0" t="s">
        <v>134</v>
      </c>
      <c r="B20" s="3" t="n">
        <v>7.5</v>
      </c>
    </row>
    <row r="21" customFormat="false" ht="15" hidden="false" customHeight="false" outlineLevel="0" collapsed="false">
      <c r="A21" s="0" t="s">
        <v>135</v>
      </c>
      <c r="B21" s="3" t="n">
        <v>2</v>
      </c>
    </row>
    <row r="22" customFormat="false" ht="15" hidden="false" customHeight="false" outlineLevel="0" collapsed="false">
      <c r="A22" s="0" t="s">
        <v>136</v>
      </c>
      <c r="B22" s="3" t="n">
        <v>16</v>
      </c>
    </row>
    <row r="23" customFormat="false" ht="15" hidden="false" customHeight="false" outlineLevel="0" collapsed="false">
      <c r="A23" s="0" t="s">
        <v>137</v>
      </c>
      <c r="B23" s="3" t="n">
        <v>-5</v>
      </c>
    </row>
    <row r="24" customFormat="false" ht="15" hidden="false" customHeight="false" outlineLevel="0" collapsed="false">
      <c r="A24" s="0" t="s">
        <v>138</v>
      </c>
      <c r="B24" s="3" t="n">
        <v>0.2</v>
      </c>
    </row>
    <row r="26" customFormat="false" ht="15" hidden="false" customHeight="false" outlineLevel="0" collapsed="false">
      <c r="A26" s="2" t="s">
        <v>139</v>
      </c>
      <c r="C26" s="2" t="s">
        <v>117</v>
      </c>
      <c r="D26" s="2" t="s">
        <v>118</v>
      </c>
      <c r="E26" s="2" t="s">
        <v>119</v>
      </c>
      <c r="F26" s="2" t="s">
        <v>120</v>
      </c>
      <c r="G26" s="2" t="s">
        <v>121</v>
      </c>
      <c r="H26" s="2" t="s">
        <v>122</v>
      </c>
      <c r="I26" s="2" t="s">
        <v>123</v>
      </c>
      <c r="J26" s="2" t="s">
        <v>124</v>
      </c>
      <c r="K26" s="2" t="s">
        <v>125</v>
      </c>
      <c r="L26" s="2" t="s">
        <v>126</v>
      </c>
    </row>
    <row r="27" customFormat="false" ht="15" hidden="false" customHeight="false" outlineLevel="0" collapsed="false">
      <c r="A27" s="0" t="s">
        <v>127</v>
      </c>
      <c r="C27" s="3" t="n">
        <v>5.5</v>
      </c>
      <c r="D27" s="3" t="n">
        <v>6</v>
      </c>
      <c r="E27" s="3" t="n">
        <v>5.5</v>
      </c>
      <c r="F27" s="3" t="n">
        <v>5.5</v>
      </c>
      <c r="G27" s="3" t="n">
        <v>5</v>
      </c>
      <c r="H27" s="3" t="n">
        <v>4.5</v>
      </c>
      <c r="I27" s="3" t="n">
        <v>4</v>
      </c>
      <c r="J27" s="3" t="n">
        <v>3.5</v>
      </c>
      <c r="K27" s="3" t="n">
        <v>3</v>
      </c>
      <c r="L27" s="3" t="n">
        <v>3</v>
      </c>
    </row>
    <row r="28" customFormat="false" ht="15" hidden="false" customHeight="false" outlineLevel="0" collapsed="false">
      <c r="A28" s="0" t="s">
        <v>128</v>
      </c>
      <c r="C28" s="3" t="n">
        <v>22.6</v>
      </c>
      <c r="D28" s="3" t="n">
        <v>22.7</v>
      </c>
      <c r="E28" s="3" t="n">
        <v>22.8</v>
      </c>
      <c r="F28" s="3" t="n">
        <v>22.9</v>
      </c>
      <c r="G28" s="3" t="n">
        <v>23</v>
      </c>
      <c r="H28" s="3" t="n">
        <v>23</v>
      </c>
      <c r="I28" s="3" t="n">
        <v>23</v>
      </c>
      <c r="J28" s="3" t="n">
        <v>23</v>
      </c>
      <c r="K28" s="3" t="n">
        <v>23</v>
      </c>
      <c r="L28" s="3" t="n">
        <v>23</v>
      </c>
    </row>
    <row r="29" customFormat="false" ht="15" hidden="false" customHeight="false" outlineLevel="0" collapsed="false">
      <c r="A29" s="0" t="s">
        <v>129</v>
      </c>
      <c r="C29" s="3" t="n">
        <v>0.18</v>
      </c>
      <c r="D29" s="3" t="n">
        <v>0.18</v>
      </c>
      <c r="E29" s="3" t="n">
        <v>0.18</v>
      </c>
      <c r="F29" s="3" t="n">
        <v>0.18</v>
      </c>
      <c r="G29" s="3" t="n">
        <v>0.18</v>
      </c>
      <c r="H29" s="3" t="n">
        <v>0.18</v>
      </c>
      <c r="I29" s="3" t="n">
        <v>0.18</v>
      </c>
      <c r="J29" s="3" t="n">
        <v>0.18</v>
      </c>
      <c r="K29" s="3" t="n">
        <v>0.18</v>
      </c>
      <c r="L29" s="3" t="n">
        <v>0.18</v>
      </c>
    </row>
    <row r="30" customFormat="false" ht="15" hidden="false" customHeight="false" outlineLevel="0" collapsed="false">
      <c r="A30" s="0" t="s">
        <v>130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131</v>
      </c>
      <c r="C31" s="3" t="n">
        <v>2.9</v>
      </c>
      <c r="D31" s="3" t="n">
        <v>3</v>
      </c>
      <c r="E31" s="3" t="n">
        <v>3.1</v>
      </c>
      <c r="F31" s="3" t="n">
        <v>3.2</v>
      </c>
      <c r="G31" s="3" t="n">
        <v>3.3</v>
      </c>
      <c r="H31" s="3" t="n">
        <v>3.3</v>
      </c>
      <c r="I31" s="3" t="n">
        <v>3.4</v>
      </c>
      <c r="J31" s="3" t="n">
        <v>3.4</v>
      </c>
      <c r="K31" s="3" t="n">
        <v>3.4</v>
      </c>
      <c r="L31" s="3" t="n">
        <v>3.4</v>
      </c>
    </row>
    <row r="32" customFormat="false" ht="15" hidden="false" customHeight="false" outlineLevel="0" collapsed="false">
      <c r="A32" s="0" t="s">
        <v>132</v>
      </c>
      <c r="C32" s="3" t="n">
        <v>7</v>
      </c>
      <c r="D32" s="3" t="n">
        <v>6.8</v>
      </c>
      <c r="E32" s="3" t="n">
        <v>6.5</v>
      </c>
      <c r="F32" s="3" t="n">
        <v>6.2</v>
      </c>
      <c r="G32" s="3" t="n">
        <v>6</v>
      </c>
      <c r="H32" s="3" t="n">
        <v>5.8</v>
      </c>
      <c r="I32" s="3" t="n">
        <v>5.6</v>
      </c>
      <c r="J32" s="3" t="n">
        <v>5.5</v>
      </c>
      <c r="K32" s="3" t="n">
        <v>5.5</v>
      </c>
      <c r="L32" s="3" t="n">
        <v>5.5</v>
      </c>
    </row>
    <row r="33" customFormat="false" ht="15" hidden="false" customHeight="false" outlineLevel="0" collapsed="false">
      <c r="A33" s="0" t="s">
        <v>133</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134</v>
      </c>
      <c r="B34" s="3" t="n">
        <v>7.5</v>
      </c>
    </row>
    <row r="35" customFormat="false" ht="15" hidden="false" customHeight="false" outlineLevel="0" collapsed="false">
      <c r="A35" s="0" t="s">
        <v>135</v>
      </c>
      <c r="B35" s="3" t="n">
        <v>2.5</v>
      </c>
    </row>
    <row r="36" customFormat="false" ht="15" hidden="false" customHeight="false" outlineLevel="0" collapsed="false">
      <c r="A36" s="0" t="s">
        <v>136</v>
      </c>
      <c r="B36" s="3" t="n">
        <v>20</v>
      </c>
    </row>
    <row r="37" customFormat="false" ht="15" hidden="false" customHeight="false" outlineLevel="0" collapsed="false">
      <c r="A37" s="0" t="s">
        <v>137</v>
      </c>
      <c r="B37" s="3" t="n">
        <v>5</v>
      </c>
    </row>
    <row r="38" customFormat="false" ht="15" hidden="false" customHeight="false" outlineLevel="0" collapsed="false">
      <c r="A38" s="0" t="s">
        <v>138</v>
      </c>
      <c r="B38" s="3" t="n">
        <v>0.5</v>
      </c>
    </row>
    <row r="40" customFormat="false" ht="15" hidden="false" customHeight="false" outlineLevel="0" collapsed="false">
      <c r="A40" s="2" t="s">
        <v>140</v>
      </c>
      <c r="C40" s="2" t="s">
        <v>117</v>
      </c>
      <c r="D40" s="2" t="s">
        <v>118</v>
      </c>
      <c r="E40" s="2" t="s">
        <v>119</v>
      </c>
      <c r="F40" s="2" t="s">
        <v>120</v>
      </c>
      <c r="G40" s="2" t="s">
        <v>121</v>
      </c>
      <c r="H40" s="2" t="s">
        <v>122</v>
      </c>
      <c r="I40" s="2" t="s">
        <v>123</v>
      </c>
      <c r="J40" s="2" t="s">
        <v>124</v>
      </c>
      <c r="K40" s="2" t="s">
        <v>125</v>
      </c>
      <c r="L40" s="2" t="s">
        <v>126</v>
      </c>
    </row>
    <row r="41" customFormat="false" ht="15" hidden="false" customHeight="false" outlineLevel="0" collapsed="false">
      <c r="A41" s="0" t="s">
        <v>127</v>
      </c>
      <c r="C41" s="3" t="n">
        <v>7</v>
      </c>
      <c r="D41" s="3" t="n">
        <v>7.5</v>
      </c>
      <c r="E41" s="3" t="n">
        <v>7</v>
      </c>
      <c r="F41" s="3" t="n">
        <v>6.5</v>
      </c>
      <c r="G41" s="3" t="n">
        <v>6</v>
      </c>
      <c r="H41" s="3" t="n">
        <v>5.5</v>
      </c>
      <c r="I41" s="3" t="n">
        <v>5</v>
      </c>
      <c r="J41" s="3" t="n">
        <v>4.5</v>
      </c>
      <c r="K41" s="3" t="n">
        <v>4</v>
      </c>
      <c r="L41" s="3" t="n">
        <v>3.5</v>
      </c>
    </row>
    <row r="42" customFormat="false" ht="15" hidden="false" customHeight="false" outlineLevel="0" collapsed="false">
      <c r="A42" s="0" t="s">
        <v>128</v>
      </c>
      <c r="C42" s="3" t="n">
        <v>22.7</v>
      </c>
      <c r="D42" s="3" t="n">
        <v>23</v>
      </c>
      <c r="E42" s="3" t="n">
        <v>23.3</v>
      </c>
      <c r="F42" s="3" t="n">
        <v>23.6</v>
      </c>
      <c r="G42" s="3" t="n">
        <v>23.9</v>
      </c>
      <c r="H42" s="3" t="n">
        <v>24.1</v>
      </c>
      <c r="I42" s="3" t="n">
        <v>24.3</v>
      </c>
      <c r="J42" s="3" t="n">
        <v>24.5</v>
      </c>
      <c r="K42" s="3" t="n">
        <v>24.5</v>
      </c>
      <c r="L42" s="3" t="n">
        <v>24.5</v>
      </c>
    </row>
    <row r="43" customFormat="false" ht="15" hidden="false" customHeight="false" outlineLevel="0" collapsed="false">
      <c r="A43" s="0" t="s">
        <v>129</v>
      </c>
      <c r="C43" s="3" t="n">
        <v>0.18</v>
      </c>
      <c r="D43" s="3" t="n">
        <v>0.18</v>
      </c>
      <c r="E43" s="3" t="n">
        <v>0.18</v>
      </c>
      <c r="F43" s="3" t="n">
        <v>0.18</v>
      </c>
      <c r="G43" s="3" t="n">
        <v>0.18</v>
      </c>
      <c r="H43" s="3" t="n">
        <v>0.18</v>
      </c>
      <c r="I43" s="3" t="n">
        <v>0.18</v>
      </c>
      <c r="J43" s="3" t="n">
        <v>0.18</v>
      </c>
      <c r="K43" s="3" t="n">
        <v>0.18</v>
      </c>
      <c r="L43" s="3" t="n">
        <v>0.18</v>
      </c>
    </row>
    <row r="44" customFormat="false" ht="15" hidden="false" customHeight="false" outlineLevel="0" collapsed="false">
      <c r="A44" s="0" t="s">
        <v>130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131</v>
      </c>
      <c r="C45" s="3" t="n">
        <v>2.9</v>
      </c>
      <c r="D45" s="3" t="n">
        <v>3</v>
      </c>
      <c r="E45" s="3" t="n">
        <v>3.1</v>
      </c>
      <c r="F45" s="3" t="n">
        <v>3.2</v>
      </c>
      <c r="G45" s="3" t="n">
        <v>3.3</v>
      </c>
      <c r="H45" s="3" t="n">
        <v>3.3</v>
      </c>
      <c r="I45" s="3" t="n">
        <v>3.4</v>
      </c>
      <c r="J45" s="3" t="n">
        <v>3.4</v>
      </c>
      <c r="K45" s="3" t="n">
        <v>3.4</v>
      </c>
      <c r="L45" s="3" t="n">
        <v>3.4</v>
      </c>
    </row>
    <row r="46" customFormat="false" ht="15" hidden="false" customHeight="false" outlineLevel="0" collapsed="false">
      <c r="A46" s="0" t="s">
        <v>132</v>
      </c>
      <c r="C46" s="3" t="n">
        <v>7</v>
      </c>
      <c r="D46" s="3" t="n">
        <v>6.6</v>
      </c>
      <c r="E46" s="3" t="n">
        <v>6.2</v>
      </c>
      <c r="F46" s="3" t="n">
        <v>5.9</v>
      </c>
      <c r="G46" s="3" t="n">
        <v>5.7</v>
      </c>
      <c r="H46" s="3" t="n">
        <v>5.5</v>
      </c>
      <c r="I46" s="3" t="n">
        <v>5.4</v>
      </c>
      <c r="J46" s="3" t="n">
        <v>5.3</v>
      </c>
      <c r="K46" s="3" t="n">
        <v>5.2</v>
      </c>
      <c r="L46" s="3" t="n">
        <v>5.2</v>
      </c>
    </row>
    <row r="47" customFormat="false" ht="15" hidden="false" customHeight="false" outlineLevel="0" collapsed="false">
      <c r="A47" s="0" t="s">
        <v>133</v>
      </c>
      <c r="C47" s="3" t="n">
        <v>23</v>
      </c>
      <c r="D47" s="3" t="n">
        <v>23</v>
      </c>
      <c r="E47" s="3" t="n">
        <v>23</v>
      </c>
      <c r="F47" s="3" t="n">
        <v>23</v>
      </c>
      <c r="G47" s="3" t="n">
        <v>23</v>
      </c>
      <c r="H47" s="3" t="n">
        <v>23</v>
      </c>
      <c r="I47" s="3" t="n">
        <v>23</v>
      </c>
      <c r="J47" s="3" t="n">
        <v>23</v>
      </c>
      <c r="K47" s="3" t="n">
        <v>23</v>
      </c>
      <c r="L47" s="3" t="n">
        <v>23</v>
      </c>
    </row>
    <row r="48" customFormat="false" ht="15" hidden="false" customHeight="false" outlineLevel="0" collapsed="false">
      <c r="A48" s="0" t="s">
        <v>134</v>
      </c>
      <c r="B48" s="3" t="n">
        <v>7.5</v>
      </c>
    </row>
    <row r="49" customFormat="false" ht="15" hidden="false" customHeight="false" outlineLevel="0" collapsed="false">
      <c r="A49" s="0" t="s">
        <v>135</v>
      </c>
      <c r="B49" s="3" t="n">
        <v>3</v>
      </c>
    </row>
    <row r="50" customFormat="false" ht="15" hidden="false" customHeight="false" outlineLevel="0" collapsed="false">
      <c r="A50" s="0" t="s">
        <v>136</v>
      </c>
      <c r="B50" s="3" t="n">
        <v>20</v>
      </c>
    </row>
    <row r="51" customFormat="false" ht="15" hidden="false" customHeight="false" outlineLevel="0" collapsed="false">
      <c r="A51" s="0" t="s">
        <v>137</v>
      </c>
      <c r="B51" s="3" t="n">
        <v>10</v>
      </c>
    </row>
    <row r="52" customFormat="false" ht="15" hidden="false" customHeight="false" outlineLevel="0" collapsed="false">
      <c r="A52" s="0" t="s">
        <v>138</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142</v>
      </c>
      <c r="B3" s="0" t="s">
        <v>112</v>
      </c>
      <c r="C3" s="2" t="s">
        <v>117</v>
      </c>
      <c r="D3" s="2" t="s">
        <v>118</v>
      </c>
      <c r="E3" s="2" t="s">
        <v>119</v>
      </c>
      <c r="F3" s="2" t="s">
        <v>120</v>
      </c>
      <c r="G3" s="2" t="s">
        <v>121</v>
      </c>
      <c r="H3" s="2" t="s">
        <v>122</v>
      </c>
      <c r="I3" s="2" t="s">
        <v>123</v>
      </c>
      <c r="J3" s="2" t="s">
        <v>124</v>
      </c>
      <c r="K3" s="2" t="s">
        <v>125</v>
      </c>
      <c r="L3" s="2" t="s">
        <v>126</v>
      </c>
    </row>
    <row r="4" customFormat="false" ht="15" hidden="false" customHeight="false" outlineLevel="0" collapsed="false">
      <c r="A4" s="0" t="s">
        <v>143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127</v>
      </c>
      <c r="C5" s="4" t="n">
        <f aca="false">Assumptions!C13</f>
        <v>4</v>
      </c>
      <c r="D5" s="4" t="n">
        <f aca="false">Assumptions!D13</f>
        <v>3</v>
      </c>
      <c r="E5" s="4" t="n">
        <f aca="false">Assumptions!E13</f>
        <v>2.5</v>
      </c>
      <c r="F5" s="4" t="n">
        <f aca="false">Assumptions!F13</f>
        <v>2.5</v>
      </c>
      <c r="G5" s="4" t="n">
        <f aca="false">Assumptions!G13</f>
        <v>2.5</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59</v>
      </c>
      <c r="B6" s="3" t="n">
        <v>18572.562</v>
      </c>
      <c r="C6" s="0" t="n">
        <f aca="false">B6*(1+C5/100)</f>
        <v>19315.46448</v>
      </c>
      <c r="D6" s="0" t="n">
        <f aca="false">C6*(1+D5/100)</f>
        <v>19894.9284144</v>
      </c>
      <c r="E6" s="0" t="n">
        <f aca="false">D6*(1+E5/100)</f>
        <v>20392.30162476</v>
      </c>
      <c r="F6" s="0" t="n">
        <f aca="false">E6*(1+F5/100)</f>
        <v>20902.109165379</v>
      </c>
      <c r="G6" s="0" t="n">
        <f aca="false">F6*(1+G5/100)</f>
        <v>21424.6618945135</v>
      </c>
      <c r="H6" s="0" t="n">
        <f aca="false">G6*(1+H5/100)</f>
        <v>21960.2784418763</v>
      </c>
      <c r="I6" s="0" t="n">
        <f aca="false">H6*(1+I5/100)</f>
        <v>22509.2854029232</v>
      </c>
      <c r="J6" s="0" t="n">
        <f aca="false">I6*(1+J5/100)</f>
        <v>23072.0175379963</v>
      </c>
      <c r="K6" s="0" t="n">
        <f aca="false">J6*(1+K5/100)</f>
        <v>23648.8179764462</v>
      </c>
      <c r="L6" s="0" t="n">
        <f aca="false">K6*(1+L5/100)</f>
        <v>24240.0384258573</v>
      </c>
    </row>
    <row r="7" customFormat="false" ht="15" hidden="false" customHeight="false" outlineLevel="0" collapsed="false">
      <c r="A7" s="0" t="s">
        <v>128</v>
      </c>
      <c r="C7" s="4" t="n">
        <f aca="false">Assumptions!C14</f>
        <v>22.4</v>
      </c>
      <c r="D7" s="4" t="n">
        <f aca="false">Assumptions!D14</f>
        <v>21.8</v>
      </c>
      <c r="E7" s="4" t="n">
        <f aca="false">Assumptions!E14</f>
        <v>21.3</v>
      </c>
      <c r="F7" s="4" t="n">
        <f aca="false">Assumptions!F14</f>
        <v>21</v>
      </c>
      <c r="G7" s="4" t="n">
        <f aca="false">Assumptions!G14</f>
        <v>20.8</v>
      </c>
      <c r="H7" s="4" t="n">
        <f aca="false">Assumptions!H14</f>
        <v>20.6</v>
      </c>
      <c r="I7" s="4" t="n">
        <f aca="false">Assumptions!I14</f>
        <v>20.5</v>
      </c>
      <c r="J7" s="4" t="n">
        <f aca="false">Assumptions!J14</f>
        <v>20.5</v>
      </c>
      <c r="K7" s="4" t="n">
        <f aca="false">Assumptions!K14</f>
        <v>20.5</v>
      </c>
      <c r="L7" s="4" t="n">
        <f aca="false">Assumptions!L14</f>
        <v>20.5</v>
      </c>
    </row>
    <row r="8" customFormat="false" ht="15" hidden="false" customHeight="false" outlineLevel="0" collapsed="false">
      <c r="A8" s="0" t="s">
        <v>65</v>
      </c>
      <c r="C8" s="0" t="n">
        <f aca="false">C6*C7/100</f>
        <v>4326.66404352</v>
      </c>
      <c r="D8" s="0" t="n">
        <f aca="false">D6*D7/100</f>
        <v>4337.0943943392</v>
      </c>
      <c r="E8" s="0" t="n">
        <f aca="false">E6*E7/100</f>
        <v>4343.56024607388</v>
      </c>
      <c r="F8" s="0" t="n">
        <f aca="false">F6*F7/100</f>
        <v>4389.44292472959</v>
      </c>
      <c r="G8" s="0" t="n">
        <f aca="false">G6*G7/100</f>
        <v>4456.3296740588</v>
      </c>
      <c r="H8" s="0" t="n">
        <f aca="false">H6*H7/100</f>
        <v>4523.81735902652</v>
      </c>
      <c r="I8" s="0" t="n">
        <f aca="false">I6*I7/100</f>
        <v>4614.40350759926</v>
      </c>
      <c r="J8" s="0" t="n">
        <f aca="false">J6*J7/100</f>
        <v>4729.76359528924</v>
      </c>
      <c r="K8" s="0" t="n">
        <f aca="false">K6*K7/100</f>
        <v>4848.00768517147</v>
      </c>
      <c r="L8" s="0" t="n">
        <f aca="false">L6*L7/100</f>
        <v>4969.20787730076</v>
      </c>
    </row>
    <row r="9" customFormat="false" ht="15" hidden="false" customHeight="false" outlineLevel="0" collapsed="false">
      <c r="A9" s="0" t="s">
        <v>129</v>
      </c>
      <c r="C9" s="4" t="n">
        <f aca="false">Assumptions!C15</f>
        <v>0.18</v>
      </c>
      <c r="D9" s="4" t="n">
        <f aca="false">Assumptions!D15</f>
        <v>0.18</v>
      </c>
      <c r="E9" s="4" t="n">
        <f aca="false">Assumptions!E15</f>
        <v>0.18</v>
      </c>
      <c r="F9" s="4" t="n">
        <f aca="false">Assumptions!F15</f>
        <v>0.18</v>
      </c>
      <c r="G9" s="4" t="n">
        <f aca="false">Assumptions!G15</f>
        <v>0.18</v>
      </c>
      <c r="H9" s="4" t="n">
        <f aca="false">Assumptions!H15</f>
        <v>0.18</v>
      </c>
      <c r="I9" s="4" t="n">
        <f aca="false">Assumptions!I15</f>
        <v>0.18</v>
      </c>
      <c r="J9" s="4" t="n">
        <f aca="false">Assumptions!J15</f>
        <v>0.18</v>
      </c>
      <c r="K9" s="4" t="n">
        <f aca="false">Assumptions!K15</f>
        <v>0.18</v>
      </c>
      <c r="L9" s="4" t="n">
        <f aca="false">Assumptions!L15</f>
        <v>0.18</v>
      </c>
    </row>
    <row r="10" customFormat="false" ht="15" hidden="false" customHeight="false" outlineLevel="0" collapsed="false">
      <c r="A10" s="0" t="s">
        <v>144</v>
      </c>
      <c r="C10" s="0" t="n">
        <f aca="false">-C6*C9/100</f>
        <v>-34.767836064</v>
      </c>
      <c r="D10" s="0" t="n">
        <f aca="false">-D6*D9/100</f>
        <v>-35.81087114592</v>
      </c>
      <c r="E10" s="0" t="n">
        <f aca="false">-E6*E9/100</f>
        <v>-36.706142924568</v>
      </c>
      <c r="F10" s="0" t="n">
        <f aca="false">-F6*F9/100</f>
        <v>-37.6237964976822</v>
      </c>
      <c r="G10" s="0" t="n">
        <f aca="false">-G6*G9/100</f>
        <v>-38.5643914101242</v>
      </c>
      <c r="H10" s="0" t="n">
        <f aca="false">-H6*H9/100</f>
        <v>-39.5285011953773</v>
      </c>
      <c r="I10" s="0" t="n">
        <f aca="false">-I6*I9/100</f>
        <v>-40.5167137252618</v>
      </c>
      <c r="J10" s="0" t="n">
        <f aca="false">-J6*J9/100</f>
        <v>-41.5296315683933</v>
      </c>
      <c r="K10" s="0" t="n">
        <f aca="false">-K6*K9/100</f>
        <v>-42.5678723576031</v>
      </c>
      <c r="L10" s="0" t="n">
        <f aca="false">-L6*L9/100</f>
        <v>-43.6320691665432</v>
      </c>
    </row>
    <row r="11" customFormat="false" ht="15" hidden="false" customHeight="false" outlineLevel="0" collapsed="false">
      <c r="A11" s="0" t="s">
        <v>145</v>
      </c>
      <c r="C11" s="0" t="n">
        <f aca="false">C8+C10+C24</f>
        <v>4291.896207456</v>
      </c>
      <c r="D11" s="0" t="n">
        <f aca="false">D8+D10+D24</f>
        <v>4301.28352319328</v>
      </c>
      <c r="E11" s="0" t="n">
        <f aca="false">E8+E10+E24</f>
        <v>4306.85410314931</v>
      </c>
      <c r="F11" s="0" t="n">
        <f aca="false">F8+F10+F24</f>
        <v>4351.81912823191</v>
      </c>
      <c r="G11" s="0" t="n">
        <f aca="false">G8+G10+G24</f>
        <v>4417.76528264868</v>
      </c>
      <c r="H11" s="0" t="n">
        <f aca="false">H8+H10+H24</f>
        <v>4484.28885783114</v>
      </c>
      <c r="I11" s="0" t="n">
        <f aca="false">I8+I10+I24</f>
        <v>4573.886793874</v>
      </c>
      <c r="J11" s="0" t="n">
        <f aca="false">J8+J10+J24</f>
        <v>4688.23396372085</v>
      </c>
      <c r="K11" s="0" t="n">
        <f aca="false">K8+K10+K24</f>
        <v>4805.43981281387</v>
      </c>
      <c r="L11" s="0" t="n">
        <f aca="false">L8+L10+L24</f>
        <v>4925.57580813421</v>
      </c>
    </row>
    <row r="12" customFormat="false" ht="15" hidden="false" customHeight="false" outlineLevel="0" collapsed="false">
      <c r="A12" s="0" t="s">
        <v>146</v>
      </c>
      <c r="C12" s="4" t="n">
        <f aca="false">-C6*Assumptions!C17/100</f>
        <v>-560.14846992</v>
      </c>
      <c r="D12" s="4" t="n">
        <f aca="false">-D6*Assumptions!D17/100</f>
        <v>-596.847852432</v>
      </c>
      <c r="E12" s="4" t="n">
        <f aca="false">-E6*Assumptions!E17/100</f>
        <v>-632.16135036756</v>
      </c>
      <c r="F12" s="4" t="n">
        <f aca="false">-F6*Assumptions!F17/100</f>
        <v>-668.867493292128</v>
      </c>
      <c r="G12" s="4" t="n">
        <f aca="false">-G6*Assumptions!G17/100</f>
        <v>-707.013842518944</v>
      </c>
      <c r="H12" s="4" t="n">
        <f aca="false">-H6*Assumptions!H17/100</f>
        <v>-746.649467023794</v>
      </c>
      <c r="I12" s="4" t="n">
        <f aca="false">-I6*Assumptions!I17/100</f>
        <v>-765.315703699389</v>
      </c>
      <c r="J12" s="4" t="n">
        <f aca="false">-J6*Assumptions!J17/100</f>
        <v>-784.448596291874</v>
      </c>
      <c r="K12" s="4" t="n">
        <f aca="false">-K6*Assumptions!K17/100</f>
        <v>-804.059811199171</v>
      </c>
      <c r="L12" s="4" t="n">
        <f aca="false">-L6*Assumptions!L17/100</f>
        <v>-824.16130647915</v>
      </c>
    </row>
    <row r="13" customFormat="false" ht="15" hidden="false" customHeight="false" outlineLevel="0" collapsed="false">
      <c r="A13" s="0" t="s">
        <v>147</v>
      </c>
      <c r="C13" s="0" t="n">
        <f aca="false">C11+C12</f>
        <v>3731.747737536</v>
      </c>
      <c r="D13" s="0" t="n">
        <f aca="false">D11+D12</f>
        <v>3704.43567076128</v>
      </c>
      <c r="E13" s="0" t="n">
        <f aca="false">E11+E12</f>
        <v>3674.69275278175</v>
      </c>
      <c r="F13" s="0" t="n">
        <f aca="false">F11+F12</f>
        <v>3682.95163493978</v>
      </c>
      <c r="G13" s="0" t="n">
        <f aca="false">G11+G12</f>
        <v>3710.75144012973</v>
      </c>
      <c r="H13" s="0" t="n">
        <f aca="false">H11+H12</f>
        <v>3737.63939080735</v>
      </c>
      <c r="I13" s="0" t="n">
        <f aca="false">I11+I12</f>
        <v>3808.57109017461</v>
      </c>
      <c r="J13" s="0" t="n">
        <f aca="false">J11+J12</f>
        <v>3903.78536742897</v>
      </c>
      <c r="K13" s="0" t="n">
        <f aca="false">K11+K12</f>
        <v>4001.3800016147</v>
      </c>
      <c r="L13" s="0" t="n">
        <f aca="false">L11+L12</f>
        <v>4101.41450165506</v>
      </c>
    </row>
    <row r="14" customFormat="false" ht="15" hidden="false" customHeight="false" outlineLevel="0" collapsed="false">
      <c r="A14" s="0" t="s">
        <v>133</v>
      </c>
      <c r="C14" s="4" t="n">
        <f aca="false">Assumptions!C19</f>
        <v>23</v>
      </c>
      <c r="D14" s="4" t="n">
        <f aca="false">Assumptions!D19</f>
        <v>23</v>
      </c>
      <c r="E14" s="4" t="n">
        <f aca="false">Assumptions!E19</f>
        <v>23</v>
      </c>
      <c r="F14" s="4" t="n">
        <f aca="false">Assumptions!F19</f>
        <v>23</v>
      </c>
      <c r="G14" s="4" t="n">
        <f aca="false">Assumptions!G19</f>
        <v>23</v>
      </c>
      <c r="H14" s="4" t="n">
        <f aca="false">Assumptions!H19</f>
        <v>23</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148</v>
      </c>
      <c r="C15" s="0" t="n">
        <f aca="false">C13-MAX(0,C13)*C14/100</f>
        <v>2873.44575790272</v>
      </c>
      <c r="D15" s="0" t="n">
        <f aca="false">D13-MAX(0,D13)*D14/100</f>
        <v>2852.41546648619</v>
      </c>
      <c r="E15" s="0" t="n">
        <f aca="false">E13-MAX(0,E13)*E14/100</f>
        <v>2829.51341964195</v>
      </c>
      <c r="F15" s="0" t="n">
        <f aca="false">F13-MAX(0,F13)*F14/100</f>
        <v>2835.87275890363</v>
      </c>
      <c r="G15" s="0" t="n">
        <f aca="false">G13-MAX(0,G13)*G14/100</f>
        <v>2857.27860889989</v>
      </c>
      <c r="H15" s="0" t="n">
        <f aca="false">H13-MAX(0,H13)*H14/100</f>
        <v>2877.98233092166</v>
      </c>
      <c r="I15" s="0" t="n">
        <f aca="false">I13-MAX(0,I13)*I14/100</f>
        <v>2932.59973943445</v>
      </c>
      <c r="J15" s="0" t="n">
        <f aca="false">J13-MAX(0,J13)*J14/100</f>
        <v>3005.91473292031</v>
      </c>
      <c r="K15" s="0" t="n">
        <f aca="false">K13-MAX(0,K13)*K14/100</f>
        <v>3081.06260124332</v>
      </c>
      <c r="L15" s="0" t="n">
        <f aca="false">L13-MAX(0,L13)*L14/100</f>
        <v>3158.0891662744</v>
      </c>
    </row>
    <row r="16" customFormat="false" ht="15" hidden="false" customHeight="false" outlineLevel="0" collapsed="false">
      <c r="A16" s="0" t="s">
        <v>149</v>
      </c>
      <c r="C16" s="0" t="n">
        <f aca="false">-C12</f>
        <v>560.14846992</v>
      </c>
      <c r="D16" s="0" t="n">
        <f aca="false">-D12</f>
        <v>596.847852432</v>
      </c>
      <c r="E16" s="0" t="n">
        <f aca="false">-E12</f>
        <v>632.16135036756</v>
      </c>
      <c r="F16" s="0" t="n">
        <f aca="false">-F12</f>
        <v>668.867493292128</v>
      </c>
      <c r="G16" s="0" t="n">
        <f aca="false">-G12</f>
        <v>707.013842518944</v>
      </c>
      <c r="H16" s="0" t="n">
        <f aca="false">-H12</f>
        <v>746.649467023794</v>
      </c>
      <c r="I16" s="0" t="n">
        <f aca="false">-I12</f>
        <v>765.315703699389</v>
      </c>
      <c r="J16" s="0" t="n">
        <f aca="false">-J12</f>
        <v>784.448596291874</v>
      </c>
      <c r="K16" s="0" t="n">
        <f aca="false">-K12</f>
        <v>804.059811199171</v>
      </c>
      <c r="L16" s="0" t="n">
        <f aca="false">-L12</f>
        <v>824.16130647915</v>
      </c>
    </row>
    <row r="17" customFormat="false" ht="15" hidden="false" customHeight="false" outlineLevel="0" collapsed="false">
      <c r="A17" s="0" t="s">
        <v>150</v>
      </c>
      <c r="C17" s="4" t="n">
        <f aca="false">-C6*Assumptions!C18/100</f>
        <v>-1352.0825136</v>
      </c>
      <c r="D17" s="4" t="n">
        <f aca="false">-D6*Assumptions!D18/100</f>
        <v>-1352.8551321792</v>
      </c>
      <c r="E17" s="4" t="n">
        <f aca="false">-E6*Assumptions!E18/100</f>
        <v>-1325.4996056094</v>
      </c>
      <c r="F17" s="4" t="n">
        <f aca="false">-F6*Assumptions!F18/100</f>
        <v>-1316.83287741888</v>
      </c>
      <c r="G17" s="4" t="n">
        <f aca="false">-G6*Assumptions!G18/100</f>
        <v>-1328.32903745984</v>
      </c>
      <c r="H17" s="4" t="n">
        <f aca="false">-H6*Assumptions!H18/100</f>
        <v>-1317.61670651258</v>
      </c>
      <c r="I17" s="4" t="n">
        <f aca="false">-I6*Assumptions!I18/100</f>
        <v>-1350.55712417539</v>
      </c>
      <c r="J17" s="4" t="n">
        <f aca="false">-J6*Assumptions!J18/100</f>
        <v>-1384.32105227978</v>
      </c>
      <c r="K17" s="4" t="n">
        <f aca="false">-K6*Assumptions!K18/100</f>
        <v>-1418.92907858677</v>
      </c>
      <c r="L17" s="4" t="n">
        <f aca="false">-L6*Assumptions!L18/100</f>
        <v>-1454.40230555144</v>
      </c>
    </row>
    <row r="18" customFormat="false" ht="15" hidden="false" customHeight="false" outlineLevel="0" collapsed="false">
      <c r="A18" s="0" t="s">
        <v>151</v>
      </c>
      <c r="C18" s="4" t="n">
        <f aca="false">(C6-B6)*Assumptions!$B$23/100</f>
        <v>-37.145124</v>
      </c>
      <c r="D18" s="4" t="n">
        <f aca="false">(D6-C6)*Assumptions!$B$23/100</f>
        <v>-28.9731967199999</v>
      </c>
      <c r="E18" s="4" t="n">
        <f aca="false">(E6-D6)*Assumptions!$B$23/100</f>
        <v>-24.8686605179999</v>
      </c>
      <c r="F18" s="4" t="n">
        <f aca="false">(F6-E6)*Assumptions!$B$23/100</f>
        <v>-25.4903770309498</v>
      </c>
      <c r="G18" s="4" t="n">
        <f aca="false">(G6-F6)*Assumptions!$B$23/100</f>
        <v>-26.1276364567237</v>
      </c>
      <c r="H18" s="4" t="n">
        <f aca="false">(H6-G6)*Assumptions!$B$23/100</f>
        <v>-26.7808273681418</v>
      </c>
      <c r="I18" s="4" t="n">
        <f aca="false">(I6-H6)*Assumptions!$B$23/100</f>
        <v>-27.4503480523454</v>
      </c>
      <c r="J18" s="4" t="n">
        <f aca="false">(J6-I6)*Assumptions!$B$23/100</f>
        <v>-28.1366067536539</v>
      </c>
      <c r="K18" s="4" t="n">
        <f aca="false">(K6-J6)*Assumptions!$B$23/100</f>
        <v>-28.8400219224952</v>
      </c>
      <c r="L18" s="4" t="n">
        <f aca="false">(L6-K6)*Assumptions!$B$23/100</f>
        <v>-29.5610224705577</v>
      </c>
    </row>
    <row r="19" customFormat="false" ht="15" hidden="false" customHeight="false" outlineLevel="0" collapsed="false">
      <c r="A19" s="0" t="s">
        <v>152</v>
      </c>
      <c r="C19" s="0" t="n">
        <f aca="false">C15+C16+C17+C18</f>
        <v>2044.36659022272</v>
      </c>
      <c r="D19" s="0" t="n">
        <f aca="false">D15+D16+D17+D18</f>
        <v>2067.43499001899</v>
      </c>
      <c r="E19" s="0" t="n">
        <f aca="false">E15+E16+E17+E18</f>
        <v>2111.30650388211</v>
      </c>
      <c r="F19" s="0" t="n">
        <f aca="false">F15+F16+F17+F18</f>
        <v>2162.41699774593</v>
      </c>
      <c r="G19" s="0" t="n">
        <f aca="false">G15+G16+G17+G18</f>
        <v>2209.83577750228</v>
      </c>
      <c r="H19" s="0" t="n">
        <f aca="false">H15+H16+H17+H18</f>
        <v>2280.23426406473</v>
      </c>
      <c r="I19" s="0" t="n">
        <f aca="false">I15+I16+I17+I18</f>
        <v>2319.9079709061</v>
      </c>
      <c r="J19" s="0" t="n">
        <f aca="false">J15+J16+J17+J18</f>
        <v>2377.90567017875</v>
      </c>
      <c r="K19" s="0" t="n">
        <f aca="false">K15+K16+K17+K18</f>
        <v>2437.35331193322</v>
      </c>
      <c r="L19" s="0" t="n">
        <f aca="false">L15+L16+L17+L18</f>
        <v>2498.28714473155</v>
      </c>
    </row>
    <row r="20" customFormat="false" ht="15" hidden="false" customHeight="false" outlineLevel="0" collapsed="false">
      <c r="A20" s="0" t="s">
        <v>153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154</v>
      </c>
      <c r="C21" s="0" t="n">
        <f aca="false">C19*C20</f>
        <v>1901.73636299788</v>
      </c>
      <c r="D21" s="0" t="n">
        <f aca="false">D19*D20</f>
        <v>1789.018920514</v>
      </c>
      <c r="E21" s="0" t="n">
        <f aca="false">E19*E20</f>
        <v>1699.51848577427</v>
      </c>
      <c r="F21" s="0" t="n">
        <f aca="false">F19*F20</f>
        <v>1619.21899350959</v>
      </c>
      <c r="G21" s="0" t="n">
        <f aca="false">G19*G20</f>
        <v>1539.28018689534</v>
      </c>
      <c r="H21" s="0" t="n">
        <f aca="false">H19*H20</f>
        <v>1477.50405619982</v>
      </c>
      <c r="I21" s="0" t="n">
        <f aca="false">I19*I20</f>
        <v>1398.33589909572</v>
      </c>
      <c r="J21" s="0" t="n">
        <f aca="false">J19*J20</f>
        <v>1333.29702006801</v>
      </c>
      <c r="K21" s="0" t="n">
        <f aca="false">K19*K20</f>
        <v>1271.28320518112</v>
      </c>
      <c r="L21" s="0" t="n">
        <f aca="false">L19*L20</f>
        <v>1212.15375377735</v>
      </c>
    </row>
    <row r="23" customFormat="false" ht="15" hidden="false" customHeight="false" outlineLevel="0" collapsed="false">
      <c r="A23" s="0" t="s">
        <v>130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155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156</v>
      </c>
    </row>
    <row r="27" customFormat="false" ht="15" hidden="false" customHeight="false" outlineLevel="0" collapsed="false">
      <c r="A27" s="0" t="s">
        <v>134</v>
      </c>
      <c r="B27" s="4" t="n">
        <f aca="false">Assumptions!$B$20</f>
        <v>7.5</v>
      </c>
    </row>
    <row r="28" customFormat="false" ht="15" hidden="false" customHeight="false" outlineLevel="0" collapsed="false">
      <c r="A28" s="0" t="s">
        <v>135</v>
      </c>
      <c r="B28" s="4" t="n">
        <f aca="false">Assumptions!$B$21</f>
        <v>2</v>
      </c>
    </row>
    <row r="29" customFormat="false" ht="15" hidden="false" customHeight="false" outlineLevel="0" collapsed="false">
      <c r="A29" s="0" t="s">
        <v>136</v>
      </c>
      <c r="B29" s="4" t="n">
        <f aca="false">Assumptions!$B$22</f>
        <v>16</v>
      </c>
    </row>
    <row r="30" customFormat="false" ht="15" hidden="false" customHeight="false" outlineLevel="0" collapsed="false">
      <c r="A30" s="0" t="s">
        <v>157</v>
      </c>
      <c r="B30" s="0" t="n">
        <f aca="false">SUM(C21:L21)</f>
        <v>15241.3468840131</v>
      </c>
    </row>
    <row r="31" customFormat="false" ht="15" hidden="false" customHeight="false" outlineLevel="0" collapsed="false">
      <c r="A31" s="0" t="s">
        <v>158</v>
      </c>
      <c r="B31" s="0" t="n">
        <f aca="false">L19</f>
        <v>2498.28714473155</v>
      </c>
    </row>
    <row r="32" customFormat="false" ht="15" hidden="false" customHeight="false" outlineLevel="0" collapsed="false">
      <c r="A32" s="0" t="s">
        <v>159</v>
      </c>
      <c r="B32" s="0" t="n">
        <f aca="false">IF(B27&gt;B28,B31*(1+B28/100)/((B27-B28)/100),B31*B29)</f>
        <v>46331.8706841124</v>
      </c>
    </row>
    <row r="33" customFormat="false" ht="15" hidden="false" customHeight="false" outlineLevel="0" collapsed="false">
      <c r="A33" s="0" t="s">
        <v>160</v>
      </c>
      <c r="B33" s="0" t="n">
        <f aca="false">B31*B29</f>
        <v>39972.5943157048</v>
      </c>
    </row>
    <row r="34" customFormat="false" ht="15" hidden="false" customHeight="false" outlineLevel="0" collapsed="false">
      <c r="A34" s="0" t="s">
        <v>161</v>
      </c>
      <c r="B34" s="0" t="n">
        <f aca="false">MAX(0,MIN(B32,B33))</f>
        <v>39972.5943157048</v>
      </c>
    </row>
    <row r="35" customFormat="false" ht="15" hidden="false" customHeight="false" outlineLevel="0" collapsed="false">
      <c r="A35" s="0" t="s">
        <v>162</v>
      </c>
      <c r="B35" s="0" t="n">
        <f aca="false">B34/(1+B27/100)^L4</f>
        <v>19394.4600604376</v>
      </c>
    </row>
    <row r="36" customFormat="false" ht="15" hidden="false" customHeight="false" outlineLevel="0" collapsed="false">
      <c r="A36" s="0" t="s">
        <v>163</v>
      </c>
      <c r="B36" s="0" t="n">
        <f aca="false">B30+B35</f>
        <v>34635.8069444507</v>
      </c>
    </row>
    <row r="37" customFormat="false" ht="15" hidden="false" customHeight="false" outlineLevel="0" collapsed="false">
      <c r="A37" s="0" t="s">
        <v>164</v>
      </c>
      <c r="B37" s="0" t="n">
        <f aca="false">B36+Assumptions!$B$5-Assumptions!$B$4</f>
        <v>27883.4449444507</v>
      </c>
    </row>
    <row r="38" customFormat="false" ht="15" hidden="false" customHeight="false" outlineLevel="0" collapsed="false">
      <c r="A38" s="0" t="s">
        <v>165</v>
      </c>
      <c r="B38" s="0" t="n">
        <f aca="false">B37/Assumptions!$B$3*Assumptions!$B$10</f>
        <v>33.6401085138901</v>
      </c>
    </row>
    <row r="39" customFormat="false" ht="15" hidden="false" customHeight="false" outlineLevel="0" collapsed="false">
      <c r="A39" s="0" t="s">
        <v>166</v>
      </c>
      <c r="B39" s="4" t="n">
        <f aca="false">B38/Assumptions!$B$2-1</f>
        <v>-0.604373650312947</v>
      </c>
    </row>
    <row r="41" customFormat="false" ht="15" hidden="false" customHeight="false" outlineLevel="0" collapsed="false">
      <c r="A41" s="0" t="s">
        <v>167</v>
      </c>
      <c r="B41" s="0" t="n">
        <f aca="false">SUMPRODUCT(-C10:L10/(1+$B$27/100)^C4:L4)</f>
        <v>264.605630292135</v>
      </c>
    </row>
    <row r="42" customFormat="false" ht="15" hidden="false" customHeight="false" outlineLevel="0" collapsed="false">
      <c r="A42" s="0" t="s">
        <v>168</v>
      </c>
      <c r="B42" s="0" t="n">
        <f aca="false">IF(B27&gt;B28,-L10*(1+B28/100)/((B27-B28)/100),-L10*20)/(1+B27/100)^L4</f>
        <v>392.607551629328</v>
      </c>
    </row>
    <row r="43" customFormat="false" ht="15" hidden="false" customHeight="false" outlineLevel="0" collapsed="false">
      <c r="A43" s="0" t="s">
        <v>169</v>
      </c>
      <c r="B43" s="0" t="n">
        <f aca="false">(B37+B41+B42)/Assumptions!$B$3*Assumptions!$B$10</f>
        <v>34.4330063355417</v>
      </c>
    </row>
    <row r="45" customFormat="false" ht="15" hidden="false" customHeight="false" outlineLevel="0" collapsed="false">
      <c r="A45" s="0" t="s">
        <v>109</v>
      </c>
      <c r="B45" s="4" t="n">
        <f aca="false">Assumptions!$B$6</f>
        <v>15</v>
      </c>
    </row>
    <row r="46" customFormat="false" ht="15" hidden="false" customHeight="false" outlineLevel="0" collapsed="false">
      <c r="A46" s="0" t="s">
        <v>170</v>
      </c>
      <c r="B46" s="0" t="n">
        <f aca="false">MAX(0,MIN(IF(B45&gt;B28,B31*(1+B28/100)/((B45-B28)/100),B31*B29),B31*B29))</f>
        <v>19601.9452894322</v>
      </c>
    </row>
    <row r="47" customFormat="false" ht="15" hidden="false" customHeight="false" outlineLevel="0" collapsed="false">
      <c r="A47" s="0" t="s">
        <v>171</v>
      </c>
      <c r="B47" s="0" t="n">
        <f aca="false">(SUMPRODUCT(C19:L19/(1+B45/100)^C4:L4)+B46/(1+B45/100)^L4+Assumptions!$B$5-Assumptions!$B$4)/Assumptions!$B$3*Assumptions!$B$10</f>
        <v>10.9821971121586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172</v>
      </c>
    </row>
    <row r="3" customFormat="false" ht="15" hidden="false" customHeight="false" outlineLevel="0" collapsed="false">
      <c r="A3" s="0" t="s">
        <v>142</v>
      </c>
      <c r="B3" s="0" t="s">
        <v>112</v>
      </c>
      <c r="C3" s="2" t="s">
        <v>117</v>
      </c>
      <c r="D3" s="2" t="s">
        <v>118</v>
      </c>
      <c r="E3" s="2" t="s">
        <v>119</v>
      </c>
      <c r="F3" s="2" t="s">
        <v>120</v>
      </c>
      <c r="G3" s="2" t="s">
        <v>121</v>
      </c>
      <c r="H3" s="2" t="s">
        <v>122</v>
      </c>
      <c r="I3" s="2" t="s">
        <v>123</v>
      </c>
      <c r="J3" s="2" t="s">
        <v>124</v>
      </c>
      <c r="K3" s="2" t="s">
        <v>125</v>
      </c>
      <c r="L3" s="2" t="s">
        <v>126</v>
      </c>
    </row>
    <row r="4" customFormat="false" ht="15" hidden="false" customHeight="false" outlineLevel="0" collapsed="false">
      <c r="A4" s="0" t="s">
        <v>143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127</v>
      </c>
      <c r="C5" s="4" t="n">
        <f aca="false">Assumptions!C27</f>
        <v>5.5</v>
      </c>
      <c r="D5" s="4" t="n">
        <f aca="false">Assumptions!D27</f>
        <v>6</v>
      </c>
      <c r="E5" s="4" t="n">
        <f aca="false">Assumptions!E27</f>
        <v>5.5</v>
      </c>
      <c r="F5" s="4" t="n">
        <f aca="false">Assumptions!F27</f>
        <v>5.5</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59</v>
      </c>
      <c r="B6" s="3" t="n">
        <v>18572.562</v>
      </c>
      <c r="C6" s="0" t="n">
        <f aca="false">B6*(1+C5/100)</f>
        <v>19594.05291</v>
      </c>
      <c r="D6" s="0" t="n">
        <f aca="false">C6*(1+D5/100)</f>
        <v>20769.6960846</v>
      </c>
      <c r="E6" s="0" t="n">
        <f aca="false">D6*(1+E5/100)</f>
        <v>21912.029369253</v>
      </c>
      <c r="F6" s="0" t="n">
        <f aca="false">E6*(1+F5/100)</f>
        <v>23117.1909845619</v>
      </c>
      <c r="G6" s="0" t="n">
        <f aca="false">F6*(1+G5/100)</f>
        <v>24273.05053379</v>
      </c>
      <c r="H6" s="0" t="n">
        <f aca="false">G6*(1+H5/100)</f>
        <v>25365.3378078106</v>
      </c>
      <c r="I6" s="0" t="n">
        <f aca="false">H6*(1+I5/100)</f>
        <v>26379.951320123</v>
      </c>
      <c r="J6" s="0" t="n">
        <f aca="false">I6*(1+J5/100)</f>
        <v>27303.2496163273</v>
      </c>
      <c r="K6" s="0" t="n">
        <f aca="false">J6*(1+K5/100)</f>
        <v>28122.3471048171</v>
      </c>
      <c r="L6" s="0" t="n">
        <f aca="false">K6*(1+L5/100)</f>
        <v>28966.0175179616</v>
      </c>
    </row>
    <row r="7" customFormat="false" ht="15" hidden="false" customHeight="false" outlineLevel="0" collapsed="false">
      <c r="A7" s="0" t="s">
        <v>128</v>
      </c>
      <c r="C7" s="4" t="n">
        <f aca="false">Assumptions!C28</f>
        <v>22.6</v>
      </c>
      <c r="D7" s="4" t="n">
        <f aca="false">Assumptions!D28</f>
        <v>22.7</v>
      </c>
      <c r="E7" s="4" t="n">
        <f aca="false">Assumptions!E28</f>
        <v>22.8</v>
      </c>
      <c r="F7" s="4" t="n">
        <f aca="false">Assumptions!F28</f>
        <v>22.9</v>
      </c>
      <c r="G7" s="4" t="n">
        <f aca="false">Assumptions!G28</f>
        <v>23</v>
      </c>
      <c r="H7" s="4" t="n">
        <f aca="false">Assumptions!H28</f>
        <v>23</v>
      </c>
      <c r="I7" s="4" t="n">
        <f aca="false">Assumptions!I28</f>
        <v>23</v>
      </c>
      <c r="J7" s="4" t="n">
        <f aca="false">Assumptions!J28</f>
        <v>23</v>
      </c>
      <c r="K7" s="4" t="n">
        <f aca="false">Assumptions!K28</f>
        <v>23</v>
      </c>
      <c r="L7" s="4" t="n">
        <f aca="false">Assumptions!L28</f>
        <v>23</v>
      </c>
    </row>
    <row r="8" customFormat="false" ht="15" hidden="false" customHeight="false" outlineLevel="0" collapsed="false">
      <c r="A8" s="0" t="s">
        <v>65</v>
      </c>
      <c r="C8" s="0" t="n">
        <f aca="false">C6*C7/100</f>
        <v>4428.25595766</v>
      </c>
      <c r="D8" s="0" t="n">
        <f aca="false">D6*D7/100</f>
        <v>4714.7210112042</v>
      </c>
      <c r="E8" s="0" t="n">
        <f aca="false">E6*E7/100</f>
        <v>4995.94269618969</v>
      </c>
      <c r="F8" s="0" t="n">
        <f aca="false">F6*F7/100</f>
        <v>5293.83673546468</v>
      </c>
      <c r="G8" s="0" t="n">
        <f aca="false">G6*G7/100</f>
        <v>5582.8016227717</v>
      </c>
      <c r="H8" s="0" t="n">
        <f aca="false">H6*H7/100</f>
        <v>5834.02769579643</v>
      </c>
      <c r="I8" s="0" t="n">
        <f aca="false">I6*I7/100</f>
        <v>6067.38880362829</v>
      </c>
      <c r="J8" s="0" t="n">
        <f aca="false">J6*J7/100</f>
        <v>6279.74741175528</v>
      </c>
      <c r="K8" s="0" t="n">
        <f aca="false">K6*K7/100</f>
        <v>6468.13983410794</v>
      </c>
      <c r="L8" s="0" t="n">
        <f aca="false">L6*L7/100</f>
        <v>6662.18402913117</v>
      </c>
    </row>
    <row r="9" customFormat="false" ht="15" hidden="false" customHeight="false" outlineLevel="0" collapsed="false">
      <c r="A9" s="0" t="s">
        <v>129</v>
      </c>
      <c r="C9" s="4" t="n">
        <f aca="false">Assumptions!C29</f>
        <v>0.18</v>
      </c>
      <c r="D9" s="4" t="n">
        <f aca="false">Assumptions!D29</f>
        <v>0.18</v>
      </c>
      <c r="E9" s="4" t="n">
        <f aca="false">Assumptions!E29</f>
        <v>0.18</v>
      </c>
      <c r="F9" s="4" t="n">
        <f aca="false">Assumptions!F29</f>
        <v>0.18</v>
      </c>
      <c r="G9" s="4" t="n">
        <f aca="false">Assumptions!G29</f>
        <v>0.18</v>
      </c>
      <c r="H9" s="4" t="n">
        <f aca="false">Assumptions!H29</f>
        <v>0.18</v>
      </c>
      <c r="I9" s="4" t="n">
        <f aca="false">Assumptions!I29</f>
        <v>0.18</v>
      </c>
      <c r="J9" s="4" t="n">
        <f aca="false">Assumptions!J29</f>
        <v>0.18</v>
      </c>
      <c r="K9" s="4" t="n">
        <f aca="false">Assumptions!K29</f>
        <v>0.18</v>
      </c>
      <c r="L9" s="4" t="n">
        <f aca="false">Assumptions!L29</f>
        <v>0.18</v>
      </c>
    </row>
    <row r="10" customFormat="false" ht="15" hidden="false" customHeight="false" outlineLevel="0" collapsed="false">
      <c r="A10" s="0" t="s">
        <v>144</v>
      </c>
      <c r="C10" s="0" t="n">
        <f aca="false">-C6*C9/100</f>
        <v>-35.269295238</v>
      </c>
      <c r="D10" s="0" t="n">
        <f aca="false">-D6*D9/100</f>
        <v>-37.38545295228</v>
      </c>
      <c r="E10" s="0" t="n">
        <f aca="false">-E6*E9/100</f>
        <v>-39.4416528646554</v>
      </c>
      <c r="F10" s="0" t="n">
        <f aca="false">-F6*F9/100</f>
        <v>-41.6109437722115</v>
      </c>
      <c r="G10" s="0" t="n">
        <f aca="false">-G6*G9/100</f>
        <v>-43.691490960822</v>
      </c>
      <c r="H10" s="0" t="n">
        <f aca="false">-H6*H9/100</f>
        <v>-45.657608054059</v>
      </c>
      <c r="I10" s="0" t="n">
        <f aca="false">-I6*I9/100</f>
        <v>-47.4839123762214</v>
      </c>
      <c r="J10" s="0" t="n">
        <f aca="false">-J6*J9/100</f>
        <v>-49.1458493093891</v>
      </c>
      <c r="K10" s="0" t="n">
        <f aca="false">-K6*K9/100</f>
        <v>-50.6202247886708</v>
      </c>
      <c r="L10" s="0" t="n">
        <f aca="false">-L6*L9/100</f>
        <v>-52.1388315323309</v>
      </c>
    </row>
    <row r="11" customFormat="false" ht="15" hidden="false" customHeight="false" outlineLevel="0" collapsed="false">
      <c r="A11" s="0" t="s">
        <v>145</v>
      </c>
      <c r="C11" s="0" t="n">
        <f aca="false">C8+C10+C24</f>
        <v>4392.986662422</v>
      </c>
      <c r="D11" s="0" t="n">
        <f aca="false">D8+D10+D24</f>
        <v>4677.33555825192</v>
      </c>
      <c r="E11" s="0" t="n">
        <f aca="false">E8+E10+E24</f>
        <v>4956.50104332503</v>
      </c>
      <c r="F11" s="0" t="n">
        <f aca="false">F8+F10+F24</f>
        <v>5252.22579169247</v>
      </c>
      <c r="G11" s="0" t="n">
        <f aca="false">G8+G10+G24</f>
        <v>5539.11013181088</v>
      </c>
      <c r="H11" s="0" t="n">
        <f aca="false">H8+H10+H24</f>
        <v>5788.37008774237</v>
      </c>
      <c r="I11" s="0" t="n">
        <f aca="false">I8+I10+I24</f>
        <v>6019.90489125207</v>
      </c>
      <c r="J11" s="0" t="n">
        <f aca="false">J8+J10+J24</f>
        <v>6230.60156244589</v>
      </c>
      <c r="K11" s="0" t="n">
        <f aca="false">K8+K10+K24</f>
        <v>6417.51960931926</v>
      </c>
      <c r="L11" s="0" t="n">
        <f aca="false">L8+L10+L24</f>
        <v>6610.04519759884</v>
      </c>
    </row>
    <row r="12" customFormat="false" ht="15" hidden="false" customHeight="false" outlineLevel="0" collapsed="false">
      <c r="A12" s="0" t="s">
        <v>146</v>
      </c>
      <c r="C12" s="4" t="n">
        <f aca="false">-C6*Assumptions!C31/100</f>
        <v>-568.22753439</v>
      </c>
      <c r="D12" s="4" t="n">
        <f aca="false">-D6*Assumptions!D31/100</f>
        <v>-623.090882538</v>
      </c>
      <c r="E12" s="4" t="n">
        <f aca="false">-E6*Assumptions!E31/100</f>
        <v>-679.272910446843</v>
      </c>
      <c r="F12" s="4" t="n">
        <f aca="false">-F6*Assumptions!F31/100</f>
        <v>-739.750111505981</v>
      </c>
      <c r="G12" s="4" t="n">
        <f aca="false">-G6*Assumptions!G31/100</f>
        <v>-801.01066761507</v>
      </c>
      <c r="H12" s="4" t="n">
        <f aca="false">-H6*Assumptions!H31/100</f>
        <v>-837.056147657749</v>
      </c>
      <c r="I12" s="4" t="n">
        <f aca="false">-I6*Assumptions!I31/100</f>
        <v>-896.918344884182</v>
      </c>
      <c r="J12" s="4" t="n">
        <f aca="false">-J6*Assumptions!J31/100</f>
        <v>-928.310486955128</v>
      </c>
      <c r="K12" s="4" t="n">
        <f aca="false">-K6*Assumptions!K31/100</f>
        <v>-956.159801563782</v>
      </c>
      <c r="L12" s="4" t="n">
        <f aca="false">-L6*Assumptions!L31/100</f>
        <v>-984.844595610695</v>
      </c>
    </row>
    <row r="13" customFormat="false" ht="15" hidden="false" customHeight="false" outlineLevel="0" collapsed="false">
      <c r="A13" s="0" t="s">
        <v>147</v>
      </c>
      <c r="C13" s="0" t="n">
        <f aca="false">C11+C12</f>
        <v>3824.759128032</v>
      </c>
      <c r="D13" s="0" t="n">
        <f aca="false">D11+D12</f>
        <v>4054.24467571392</v>
      </c>
      <c r="E13" s="0" t="n">
        <f aca="false">E11+E12</f>
        <v>4277.22813287819</v>
      </c>
      <c r="F13" s="0" t="n">
        <f aca="false">F11+F12</f>
        <v>4512.47568018649</v>
      </c>
      <c r="G13" s="0" t="n">
        <f aca="false">G11+G12</f>
        <v>4738.09946419581</v>
      </c>
      <c r="H13" s="0" t="n">
        <f aca="false">H11+H12</f>
        <v>4951.31394008462</v>
      </c>
      <c r="I13" s="0" t="n">
        <f aca="false">I11+I12</f>
        <v>5122.98654636788</v>
      </c>
      <c r="J13" s="0" t="n">
        <f aca="false">J11+J12</f>
        <v>5302.29107549076</v>
      </c>
      <c r="K13" s="0" t="n">
        <f aca="false">K11+K12</f>
        <v>5461.35980775548</v>
      </c>
      <c r="L13" s="0" t="n">
        <f aca="false">L11+L12</f>
        <v>5625.20060198815</v>
      </c>
    </row>
    <row r="14" customFormat="false" ht="15" hidden="false" customHeight="false" outlineLevel="0" collapsed="false">
      <c r="A14" s="0" t="s">
        <v>133</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148</v>
      </c>
      <c r="C15" s="0" t="n">
        <f aca="false">C13-MAX(0,C13)*C14/100</f>
        <v>2945.06452858464</v>
      </c>
      <c r="D15" s="0" t="n">
        <f aca="false">D13-MAX(0,D13)*D14/100</f>
        <v>3121.76840029972</v>
      </c>
      <c r="E15" s="0" t="n">
        <f aca="false">E13-MAX(0,E13)*E14/100</f>
        <v>3293.4656623162</v>
      </c>
      <c r="F15" s="0" t="n">
        <f aca="false">F13-MAX(0,F13)*F14/100</f>
        <v>3474.60627374359</v>
      </c>
      <c r="G15" s="0" t="n">
        <f aca="false">G13-MAX(0,G13)*G14/100</f>
        <v>3648.33658743077</v>
      </c>
      <c r="H15" s="0" t="n">
        <f aca="false">H13-MAX(0,H13)*H14/100</f>
        <v>3812.51173386516</v>
      </c>
      <c r="I15" s="0" t="n">
        <f aca="false">I13-MAX(0,I13)*I14/100</f>
        <v>3944.69964070327</v>
      </c>
      <c r="J15" s="0" t="n">
        <f aca="false">J13-MAX(0,J13)*J14/100</f>
        <v>4082.76412812788</v>
      </c>
      <c r="K15" s="0" t="n">
        <f aca="false">K13-MAX(0,K13)*K14/100</f>
        <v>4205.24705197172</v>
      </c>
      <c r="L15" s="0" t="n">
        <f aca="false">L13-MAX(0,L13)*L14/100</f>
        <v>4331.40446353087</v>
      </c>
    </row>
    <row r="16" customFormat="false" ht="15" hidden="false" customHeight="false" outlineLevel="0" collapsed="false">
      <c r="A16" s="0" t="s">
        <v>149</v>
      </c>
      <c r="C16" s="0" t="n">
        <f aca="false">-C12</f>
        <v>568.22753439</v>
      </c>
      <c r="D16" s="0" t="n">
        <f aca="false">-D12</f>
        <v>623.090882538</v>
      </c>
      <c r="E16" s="0" t="n">
        <f aca="false">-E12</f>
        <v>679.272910446843</v>
      </c>
      <c r="F16" s="0" t="n">
        <f aca="false">-F12</f>
        <v>739.750111505981</v>
      </c>
      <c r="G16" s="0" t="n">
        <f aca="false">-G12</f>
        <v>801.01066761507</v>
      </c>
      <c r="H16" s="0" t="n">
        <f aca="false">-H12</f>
        <v>837.056147657749</v>
      </c>
      <c r="I16" s="0" t="n">
        <f aca="false">-I12</f>
        <v>896.918344884182</v>
      </c>
      <c r="J16" s="0" t="n">
        <f aca="false">-J12</f>
        <v>928.310486955128</v>
      </c>
      <c r="K16" s="0" t="n">
        <f aca="false">-K12</f>
        <v>956.159801563782</v>
      </c>
      <c r="L16" s="0" t="n">
        <f aca="false">-L12</f>
        <v>984.844595610695</v>
      </c>
    </row>
    <row r="17" customFormat="false" ht="15" hidden="false" customHeight="false" outlineLevel="0" collapsed="false">
      <c r="A17" s="0" t="s">
        <v>150</v>
      </c>
      <c r="C17" s="4" t="n">
        <f aca="false">-C6*Assumptions!C32/100</f>
        <v>-1371.5837037</v>
      </c>
      <c r="D17" s="4" t="n">
        <f aca="false">-D6*Assumptions!D32/100</f>
        <v>-1412.3393337528</v>
      </c>
      <c r="E17" s="4" t="n">
        <f aca="false">-E6*Assumptions!E32/100</f>
        <v>-1424.28190900145</v>
      </c>
      <c r="F17" s="4" t="n">
        <f aca="false">-F6*Assumptions!F32/100</f>
        <v>-1433.26584104284</v>
      </c>
      <c r="G17" s="4" t="n">
        <f aca="false">-G6*Assumptions!G32/100</f>
        <v>-1456.3830320274</v>
      </c>
      <c r="H17" s="4" t="n">
        <f aca="false">-H6*Assumptions!H32/100</f>
        <v>-1471.18959285301</v>
      </c>
      <c r="I17" s="4" t="n">
        <f aca="false">-I6*Assumptions!I32/100</f>
        <v>-1477.27727392689</v>
      </c>
      <c r="J17" s="4" t="n">
        <f aca="false">-J6*Assumptions!J32/100</f>
        <v>-1501.678728898</v>
      </c>
      <c r="K17" s="4" t="n">
        <f aca="false">-K6*Assumptions!K32/100</f>
        <v>-1546.72909076494</v>
      </c>
      <c r="L17" s="4" t="n">
        <f aca="false">-L6*Assumptions!L32/100</f>
        <v>-1593.13096348789</v>
      </c>
    </row>
    <row r="18" customFormat="false" ht="15" hidden="false" customHeight="false" outlineLevel="0" collapsed="false">
      <c r="A18" s="0" t="s">
        <v>151</v>
      </c>
      <c r="C18" s="4" t="n">
        <f aca="false">(C6-B6)*Assumptions!$B$37/100</f>
        <v>51.0745455</v>
      </c>
      <c r="D18" s="4" t="n">
        <f aca="false">(D6-C6)*Assumptions!$B$37/100</f>
        <v>58.7821587300001</v>
      </c>
      <c r="E18" s="4" t="n">
        <f aca="false">(E6-D6)*Assumptions!$B$37/100</f>
        <v>57.11666423265</v>
      </c>
      <c r="F18" s="4" t="n">
        <f aca="false">(F6-E6)*Assumptions!$B$37/100</f>
        <v>60.2580807654456</v>
      </c>
      <c r="G18" s="4" t="n">
        <f aca="false">(G6-F6)*Assumptions!$B$37/100</f>
        <v>57.7929774614049</v>
      </c>
      <c r="H18" s="4" t="n">
        <f aca="false">(H6-G6)*Assumptions!$B$37/100</f>
        <v>54.6143637010275</v>
      </c>
      <c r="I18" s="4" t="n">
        <f aca="false">(I6-H6)*Assumptions!$B$37/100</f>
        <v>50.7306756156211</v>
      </c>
      <c r="J18" s="4" t="n">
        <f aca="false">(J6-I6)*Assumptions!$B$37/100</f>
        <v>46.1649148102151</v>
      </c>
      <c r="K18" s="4" t="n">
        <f aca="false">(K6-J6)*Assumptions!$B$37/100</f>
        <v>40.954874424491</v>
      </c>
      <c r="L18" s="4" t="n">
        <f aca="false">(L6-K6)*Assumptions!$B$37/100</f>
        <v>42.1835206572257</v>
      </c>
    </row>
    <row r="19" customFormat="false" ht="15" hidden="false" customHeight="false" outlineLevel="0" collapsed="false">
      <c r="A19" s="0" t="s">
        <v>152</v>
      </c>
      <c r="C19" s="0" t="n">
        <f aca="false">C15+C16+C17+C18</f>
        <v>2192.78290477464</v>
      </c>
      <c r="D19" s="0" t="n">
        <f aca="false">D15+D16+D17+D18</f>
        <v>2391.30210781492</v>
      </c>
      <c r="E19" s="0" t="n">
        <f aca="false">E15+E16+E17+E18</f>
        <v>2605.57332799425</v>
      </c>
      <c r="F19" s="0" t="n">
        <f aca="false">F15+F16+F17+F18</f>
        <v>2841.34862497218</v>
      </c>
      <c r="G19" s="0" t="n">
        <f aca="false">G15+G16+G17+G18</f>
        <v>3050.75720047985</v>
      </c>
      <c r="H19" s="0" t="n">
        <f aca="false">H15+H16+H17+H18</f>
        <v>3232.99265237092</v>
      </c>
      <c r="I19" s="0" t="n">
        <f aca="false">I15+I16+I17+I18</f>
        <v>3415.07138727619</v>
      </c>
      <c r="J19" s="0" t="n">
        <f aca="false">J15+J16+J17+J18</f>
        <v>3555.56080099523</v>
      </c>
      <c r="K19" s="0" t="n">
        <f aca="false">K15+K16+K17+K18</f>
        <v>3655.63263719505</v>
      </c>
      <c r="L19" s="0" t="n">
        <f aca="false">L15+L16+L17+L18</f>
        <v>3765.3016163109</v>
      </c>
    </row>
    <row r="20" customFormat="false" ht="15" hidden="false" customHeight="false" outlineLevel="0" collapsed="false">
      <c r="A20" s="0" t="s">
        <v>153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154</v>
      </c>
      <c r="C21" s="0" t="n">
        <f aca="false">C19*C20</f>
        <v>2039.79805095315</v>
      </c>
      <c r="D21" s="0" t="n">
        <f aca="false">D19*D20</f>
        <v>2069.27169956943</v>
      </c>
      <c r="E21" s="0" t="n">
        <f aca="false">E19*E20</f>
        <v>2097.38379000128</v>
      </c>
      <c r="F21" s="0" t="n">
        <f aca="false">F19*F20</f>
        <v>2127.60335565854</v>
      </c>
      <c r="G21" s="0" t="n">
        <f aca="false">G19*G20</f>
        <v>2125.03126319851</v>
      </c>
      <c r="H21" s="0" t="n">
        <f aca="false">H19*H20</f>
        <v>2094.85482821718</v>
      </c>
      <c r="I21" s="0" t="n">
        <f aca="false">I19*I20</f>
        <v>2058.45101559685</v>
      </c>
      <c r="J21" s="0" t="n">
        <f aca="false">J19*J20</f>
        <v>1993.61088208398</v>
      </c>
      <c r="K21" s="0" t="n">
        <f aca="false">K19*K20</f>
        <v>1906.71756664279</v>
      </c>
      <c r="L21" s="0" t="n">
        <f aca="false">L19*L20</f>
        <v>1826.90148245774</v>
      </c>
    </row>
    <row r="23" customFormat="false" ht="15" hidden="false" customHeight="false" outlineLevel="0" collapsed="false">
      <c r="A23" s="0" t="s">
        <v>130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155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156</v>
      </c>
    </row>
    <row r="27" customFormat="false" ht="15" hidden="false" customHeight="false" outlineLevel="0" collapsed="false">
      <c r="A27" s="0" t="s">
        <v>134</v>
      </c>
      <c r="B27" s="4" t="n">
        <f aca="false">Assumptions!$B$34</f>
        <v>7.5</v>
      </c>
    </row>
    <row r="28" customFormat="false" ht="15" hidden="false" customHeight="false" outlineLevel="0" collapsed="false">
      <c r="A28" s="0" t="s">
        <v>135</v>
      </c>
      <c r="B28" s="4" t="n">
        <f aca="false">Assumptions!$B$35</f>
        <v>2.5</v>
      </c>
    </row>
    <row r="29" customFormat="false" ht="15" hidden="false" customHeight="false" outlineLevel="0" collapsed="false">
      <c r="A29" s="0" t="s">
        <v>136</v>
      </c>
      <c r="B29" s="4" t="n">
        <f aca="false">Assumptions!$B$36</f>
        <v>20</v>
      </c>
    </row>
    <row r="30" customFormat="false" ht="15" hidden="false" customHeight="false" outlineLevel="0" collapsed="false">
      <c r="A30" s="0" t="s">
        <v>157</v>
      </c>
      <c r="B30" s="0" t="n">
        <f aca="false">SUM(C21:L21)</f>
        <v>20339.6239343795</v>
      </c>
    </row>
    <row r="31" customFormat="false" ht="15" hidden="false" customHeight="false" outlineLevel="0" collapsed="false">
      <c r="A31" s="0" t="s">
        <v>158</v>
      </c>
      <c r="B31" s="0" t="n">
        <f aca="false">L19</f>
        <v>3765.3016163109</v>
      </c>
    </row>
    <row r="32" customFormat="false" ht="15" hidden="false" customHeight="false" outlineLevel="0" collapsed="false">
      <c r="A32" s="0" t="s">
        <v>159</v>
      </c>
      <c r="B32" s="0" t="n">
        <f aca="false">IF(B27&gt;B28,B31*(1+B28/100)/((B27-B28)/100),B31*B29)</f>
        <v>77188.6831343735</v>
      </c>
    </row>
    <row r="33" customFormat="false" ht="15" hidden="false" customHeight="false" outlineLevel="0" collapsed="false">
      <c r="A33" s="0" t="s">
        <v>160</v>
      </c>
      <c r="B33" s="0" t="n">
        <f aca="false">B31*B29</f>
        <v>75306.0323262181</v>
      </c>
    </row>
    <row r="34" customFormat="false" ht="15" hidden="false" customHeight="false" outlineLevel="0" collapsed="false">
      <c r="A34" s="0" t="s">
        <v>161</v>
      </c>
      <c r="B34" s="0" t="n">
        <f aca="false">MAX(0,MIN(B32,B33))</f>
        <v>75306.0323262181</v>
      </c>
    </row>
    <row r="35" customFormat="false" ht="15" hidden="false" customHeight="false" outlineLevel="0" collapsed="false">
      <c r="A35" s="0" t="s">
        <v>162</v>
      </c>
      <c r="B35" s="0" t="n">
        <f aca="false">B34/(1+B27/100)^L4</f>
        <v>36538.0296491548</v>
      </c>
    </row>
    <row r="36" customFormat="false" ht="15" hidden="false" customHeight="false" outlineLevel="0" collapsed="false">
      <c r="A36" s="0" t="s">
        <v>163</v>
      </c>
      <c r="B36" s="0" t="n">
        <f aca="false">B30+B35</f>
        <v>56877.6535835343</v>
      </c>
    </row>
    <row r="37" customFormat="false" ht="15" hidden="false" customHeight="false" outlineLevel="0" collapsed="false">
      <c r="A37" s="0" t="s">
        <v>164</v>
      </c>
      <c r="B37" s="0" t="n">
        <f aca="false">B36+Assumptions!$B$5-Assumptions!$B$4</f>
        <v>50125.2915835343</v>
      </c>
    </row>
    <row r="38" customFormat="false" ht="15" hidden="false" customHeight="false" outlineLevel="0" collapsed="false">
      <c r="A38" s="0" t="s">
        <v>165</v>
      </c>
      <c r="B38" s="0" t="n">
        <f aca="false">B37/Assumptions!$B$3*Assumptions!$B$10</f>
        <v>60.4738851859862</v>
      </c>
    </row>
    <row r="39" customFormat="false" ht="15" hidden="false" customHeight="false" outlineLevel="0" collapsed="false">
      <c r="A39" s="0" t="s">
        <v>166</v>
      </c>
      <c r="B39" s="4" t="n">
        <f aca="false">B38/Assumptions!$B$2-1</f>
        <v>-0.288793541267951</v>
      </c>
    </row>
    <row r="41" customFormat="false" ht="15" hidden="false" customHeight="false" outlineLevel="0" collapsed="false">
      <c r="A41" s="0" t="s">
        <v>167</v>
      </c>
      <c r="B41" s="0" t="n">
        <f aca="false">SUMPRODUCT(-C10:L10/(1+$B$27/100)^C4:L4)</f>
        <v>295.962294224073</v>
      </c>
    </row>
    <row r="42" customFormat="false" ht="15" hidden="false" customHeight="false" outlineLevel="0" collapsed="false">
      <c r="A42" s="0" t="s">
        <v>168</v>
      </c>
      <c r="B42" s="0" t="n">
        <f aca="false">IF(B27&gt;B28,-L10*(1+B28/100)/((B27-B28)/100),-L10*20)/(1+B27/100)^L4</f>
        <v>518.597612008508</v>
      </c>
    </row>
    <row r="43" customFormat="false" ht="15" hidden="false" customHeight="false" outlineLevel="0" collapsed="false">
      <c r="A43" s="0" t="s">
        <v>169</v>
      </c>
      <c r="B43" s="0" t="n">
        <f aca="false">(B37+B41+B42)/Assumptions!$B$3*Assumptions!$B$10</f>
        <v>61.4566146762381</v>
      </c>
    </row>
    <row r="45" customFormat="false" ht="15" hidden="false" customHeight="false" outlineLevel="0" collapsed="false">
      <c r="A45" s="0" t="s">
        <v>109</v>
      </c>
      <c r="B45" s="4" t="n">
        <f aca="false">Assumptions!$B$6</f>
        <v>15</v>
      </c>
    </row>
    <row r="46" customFormat="false" ht="15" hidden="false" customHeight="false" outlineLevel="0" collapsed="false">
      <c r="A46" s="0" t="s">
        <v>170</v>
      </c>
      <c r="B46" s="0" t="n">
        <f aca="false">MAX(0,MIN(IF(B45&gt;B28,B31*(1+B28/100)/((B45-B28)/100),B31*B29),B31*B29))</f>
        <v>30875.4732537494</v>
      </c>
    </row>
    <row r="47" customFormat="false" ht="15" hidden="false" customHeight="false" outlineLevel="0" collapsed="false">
      <c r="A47" s="0" t="s">
        <v>171</v>
      </c>
      <c r="B47" s="0" t="n">
        <f aca="false">(SUMPRODUCT(C19:L19/(1+B45/100)^C4:L4)+B46/(1+B45/100)^L4+Assumptions!$B$5-Assumptions!$B$4)/Assumptions!$B$3*Assumptions!$B$10</f>
        <v>18.4138837090659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173</v>
      </c>
    </row>
    <row r="3" customFormat="false" ht="15" hidden="false" customHeight="false" outlineLevel="0" collapsed="false">
      <c r="A3" s="0" t="s">
        <v>142</v>
      </c>
      <c r="B3" s="0" t="s">
        <v>112</v>
      </c>
      <c r="C3" s="2" t="s">
        <v>117</v>
      </c>
      <c r="D3" s="2" t="s">
        <v>118</v>
      </c>
      <c r="E3" s="2" t="s">
        <v>119</v>
      </c>
      <c r="F3" s="2" t="s">
        <v>120</v>
      </c>
      <c r="G3" s="2" t="s">
        <v>121</v>
      </c>
      <c r="H3" s="2" t="s">
        <v>122</v>
      </c>
      <c r="I3" s="2" t="s">
        <v>123</v>
      </c>
      <c r="J3" s="2" t="s">
        <v>124</v>
      </c>
      <c r="K3" s="2" t="s">
        <v>125</v>
      </c>
      <c r="L3" s="2" t="s">
        <v>126</v>
      </c>
    </row>
    <row r="4" customFormat="false" ht="15" hidden="false" customHeight="false" outlineLevel="0" collapsed="false">
      <c r="A4" s="0" t="s">
        <v>143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127</v>
      </c>
      <c r="C5" s="4" t="n">
        <f aca="false">Assumptions!C41</f>
        <v>7</v>
      </c>
      <c r="D5" s="4" t="n">
        <f aca="false">Assumptions!D41</f>
        <v>7.5</v>
      </c>
      <c r="E5" s="4" t="n">
        <f aca="false">Assumptions!E41</f>
        <v>7</v>
      </c>
      <c r="F5" s="4" t="n">
        <f aca="false">Assumptions!F41</f>
        <v>6.5</v>
      </c>
      <c r="G5" s="4" t="n">
        <f aca="false">Assumptions!G41</f>
        <v>6</v>
      </c>
      <c r="H5" s="4" t="n">
        <f aca="false">Assumptions!H41</f>
        <v>5.5</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59</v>
      </c>
      <c r="B6" s="3" t="n">
        <v>18572.562</v>
      </c>
      <c r="C6" s="0" t="n">
        <f aca="false">B6*(1+C5/100)</f>
        <v>19872.64134</v>
      </c>
      <c r="D6" s="0" t="n">
        <f aca="false">C6*(1+D5/100)</f>
        <v>21363.0894405</v>
      </c>
      <c r="E6" s="0" t="n">
        <f aca="false">D6*(1+E5/100)</f>
        <v>22858.505701335</v>
      </c>
      <c r="F6" s="0" t="n">
        <f aca="false">E6*(1+F5/100)</f>
        <v>24344.3085719218</v>
      </c>
      <c r="G6" s="0" t="n">
        <f aca="false">F6*(1+G5/100)</f>
        <v>25804.9670862371</v>
      </c>
      <c r="H6" s="0" t="n">
        <f aca="false">G6*(1+H5/100)</f>
        <v>27224.2402759801</v>
      </c>
      <c r="I6" s="0" t="n">
        <f aca="false">H6*(1+I5/100)</f>
        <v>28585.4522897791</v>
      </c>
      <c r="J6" s="0" t="n">
        <f aca="false">I6*(1+J5/100)</f>
        <v>29871.7976428192</v>
      </c>
      <c r="K6" s="0" t="n">
        <f aca="false">J6*(1+K5/100)</f>
        <v>31066.669548532</v>
      </c>
      <c r="L6" s="0" t="n">
        <f aca="false">K6*(1+L5/100)</f>
        <v>32154.0029827306</v>
      </c>
    </row>
    <row r="7" customFormat="false" ht="15" hidden="false" customHeight="false" outlineLevel="0" collapsed="false">
      <c r="A7" s="0" t="s">
        <v>128</v>
      </c>
      <c r="C7" s="4" t="n">
        <f aca="false">Assumptions!C42</f>
        <v>22.7</v>
      </c>
      <c r="D7" s="4" t="n">
        <f aca="false">Assumptions!D42</f>
        <v>23</v>
      </c>
      <c r="E7" s="4" t="n">
        <f aca="false">Assumptions!E42</f>
        <v>23.3</v>
      </c>
      <c r="F7" s="4" t="n">
        <f aca="false">Assumptions!F42</f>
        <v>23.6</v>
      </c>
      <c r="G7" s="4" t="n">
        <f aca="false">Assumptions!G42</f>
        <v>23.9</v>
      </c>
      <c r="H7" s="4" t="n">
        <f aca="false">Assumptions!H42</f>
        <v>24.1</v>
      </c>
      <c r="I7" s="4" t="n">
        <f aca="false">Assumptions!I42</f>
        <v>24.3</v>
      </c>
      <c r="J7" s="4" t="n">
        <f aca="false">Assumptions!J42</f>
        <v>24.5</v>
      </c>
      <c r="K7" s="4" t="n">
        <f aca="false">Assumptions!K42</f>
        <v>24.5</v>
      </c>
      <c r="L7" s="4" t="n">
        <f aca="false">Assumptions!L42</f>
        <v>24.5</v>
      </c>
    </row>
    <row r="8" customFormat="false" ht="15" hidden="false" customHeight="false" outlineLevel="0" collapsed="false">
      <c r="A8" s="0" t="s">
        <v>65</v>
      </c>
      <c r="C8" s="0" t="n">
        <f aca="false">C6*C7/100</f>
        <v>4511.08958418</v>
      </c>
      <c r="D8" s="0" t="n">
        <f aca="false">D6*D7/100</f>
        <v>4913.510571315</v>
      </c>
      <c r="E8" s="0" t="n">
        <f aca="false">E6*E7/100</f>
        <v>5326.03182841106</v>
      </c>
      <c r="F8" s="0" t="n">
        <f aca="false">F6*F7/100</f>
        <v>5745.25682297354</v>
      </c>
      <c r="G8" s="0" t="n">
        <f aca="false">G6*G7/100</f>
        <v>6167.38713361066</v>
      </c>
      <c r="H8" s="0" t="n">
        <f aca="false">H6*H7/100</f>
        <v>6561.04190651121</v>
      </c>
      <c r="I8" s="0" t="n">
        <f aca="false">I6*I7/100</f>
        <v>6946.26490641633</v>
      </c>
      <c r="J8" s="0" t="n">
        <f aca="false">J6*J7/100</f>
        <v>7318.5904224907</v>
      </c>
      <c r="K8" s="0" t="n">
        <f aca="false">K6*K7/100</f>
        <v>7611.33403939033</v>
      </c>
      <c r="L8" s="0" t="n">
        <f aca="false">L6*L7/100</f>
        <v>7877.73073076899</v>
      </c>
    </row>
    <row r="9" customFormat="false" ht="15" hidden="false" customHeight="false" outlineLevel="0" collapsed="false">
      <c r="A9" s="0" t="s">
        <v>129</v>
      </c>
      <c r="C9" s="4" t="n">
        <f aca="false">Assumptions!C43</f>
        <v>0.18</v>
      </c>
      <c r="D9" s="4" t="n">
        <f aca="false">Assumptions!D43</f>
        <v>0.18</v>
      </c>
      <c r="E9" s="4" t="n">
        <f aca="false">Assumptions!E43</f>
        <v>0.18</v>
      </c>
      <c r="F9" s="4" t="n">
        <f aca="false">Assumptions!F43</f>
        <v>0.18</v>
      </c>
      <c r="G9" s="4" t="n">
        <f aca="false">Assumptions!G43</f>
        <v>0.18</v>
      </c>
      <c r="H9" s="4" t="n">
        <f aca="false">Assumptions!H43</f>
        <v>0.18</v>
      </c>
      <c r="I9" s="4" t="n">
        <f aca="false">Assumptions!I43</f>
        <v>0.18</v>
      </c>
      <c r="J9" s="4" t="n">
        <f aca="false">Assumptions!J43</f>
        <v>0.18</v>
      </c>
      <c r="K9" s="4" t="n">
        <f aca="false">Assumptions!K43</f>
        <v>0.18</v>
      </c>
      <c r="L9" s="4" t="n">
        <f aca="false">Assumptions!L43</f>
        <v>0.18</v>
      </c>
    </row>
    <row r="10" customFormat="false" ht="15" hidden="false" customHeight="false" outlineLevel="0" collapsed="false">
      <c r="A10" s="0" t="s">
        <v>144</v>
      </c>
      <c r="C10" s="0" t="n">
        <f aca="false">-C6*C9/100</f>
        <v>-35.770754412</v>
      </c>
      <c r="D10" s="0" t="n">
        <f aca="false">-D6*D9/100</f>
        <v>-38.4535609929</v>
      </c>
      <c r="E10" s="0" t="n">
        <f aca="false">-E6*E9/100</f>
        <v>-41.145310262403</v>
      </c>
      <c r="F10" s="0" t="n">
        <f aca="false">-F6*F9/100</f>
        <v>-43.8197554294592</v>
      </c>
      <c r="G10" s="0" t="n">
        <f aca="false">-G6*G9/100</f>
        <v>-46.4489407552267</v>
      </c>
      <c r="H10" s="0" t="n">
        <f aca="false">-H6*H9/100</f>
        <v>-49.0036324967642</v>
      </c>
      <c r="I10" s="0" t="n">
        <f aca="false">-I6*I9/100</f>
        <v>-51.4538141216024</v>
      </c>
      <c r="J10" s="0" t="n">
        <f aca="false">-J6*J9/100</f>
        <v>-53.7692357570745</v>
      </c>
      <c r="K10" s="0" t="n">
        <f aca="false">-K6*K9/100</f>
        <v>-55.9200051873575</v>
      </c>
      <c r="L10" s="0" t="n">
        <f aca="false">-L6*L9/100</f>
        <v>-57.877205368915</v>
      </c>
    </row>
    <row r="11" customFormat="false" ht="15" hidden="false" customHeight="false" outlineLevel="0" collapsed="false">
      <c r="A11" s="0" t="s">
        <v>145</v>
      </c>
      <c r="C11" s="0" t="n">
        <f aca="false">C8+C10+C24</f>
        <v>4475.318829768</v>
      </c>
      <c r="D11" s="0" t="n">
        <f aca="false">D8+D10+D24</f>
        <v>4875.0570103221</v>
      </c>
      <c r="E11" s="0" t="n">
        <f aca="false">E8+E10+E24</f>
        <v>5284.88651814865</v>
      </c>
      <c r="F11" s="0" t="n">
        <f aca="false">F8+F10+F24</f>
        <v>5701.43706754408</v>
      </c>
      <c r="G11" s="0" t="n">
        <f aca="false">G8+G10+G24</f>
        <v>6120.93819285544</v>
      </c>
      <c r="H11" s="0" t="n">
        <f aca="false">H8+H10+H24</f>
        <v>6512.03827401444</v>
      </c>
      <c r="I11" s="0" t="n">
        <f aca="false">I8+I10+I24</f>
        <v>6894.81109229472</v>
      </c>
      <c r="J11" s="0" t="n">
        <f aca="false">J8+J10+J24</f>
        <v>7264.82118673363</v>
      </c>
      <c r="K11" s="0" t="n">
        <f aca="false">K8+K10+K24</f>
        <v>7555.41403420297</v>
      </c>
      <c r="L11" s="0" t="n">
        <f aca="false">L8+L10+L24</f>
        <v>7819.85352540007</v>
      </c>
    </row>
    <row r="12" customFormat="false" ht="15" hidden="false" customHeight="false" outlineLevel="0" collapsed="false">
      <c r="A12" s="0" t="s">
        <v>146</v>
      </c>
      <c r="C12" s="4" t="n">
        <f aca="false">-C6*Assumptions!C45/100</f>
        <v>-576.30659886</v>
      </c>
      <c r="D12" s="4" t="n">
        <f aca="false">-D6*Assumptions!D45/100</f>
        <v>-640.892683215</v>
      </c>
      <c r="E12" s="4" t="n">
        <f aca="false">-E6*Assumptions!E45/100</f>
        <v>-708.613676741385</v>
      </c>
      <c r="F12" s="4" t="n">
        <f aca="false">-F6*Assumptions!F45/100</f>
        <v>-779.017874301497</v>
      </c>
      <c r="G12" s="4" t="n">
        <f aca="false">-G6*Assumptions!G45/100</f>
        <v>-851.563913845824</v>
      </c>
      <c r="H12" s="4" t="n">
        <f aca="false">-H6*Assumptions!H45/100</f>
        <v>-898.399929107344</v>
      </c>
      <c r="I12" s="4" t="n">
        <f aca="false">-I6*Assumptions!I45/100</f>
        <v>-971.90537785249</v>
      </c>
      <c r="J12" s="4" t="n">
        <f aca="false">-J6*Assumptions!J45/100</f>
        <v>-1015.64111985585</v>
      </c>
      <c r="K12" s="4" t="n">
        <f aca="false">-K6*Assumptions!K45/100</f>
        <v>-1056.26676465009</v>
      </c>
      <c r="L12" s="4" t="n">
        <f aca="false">-L6*Assumptions!L45/100</f>
        <v>-1093.23610141284</v>
      </c>
    </row>
    <row r="13" customFormat="false" ht="15" hidden="false" customHeight="false" outlineLevel="0" collapsed="false">
      <c r="A13" s="0" t="s">
        <v>147</v>
      </c>
      <c r="C13" s="0" t="n">
        <f aca="false">C11+C12</f>
        <v>3899.012230908</v>
      </c>
      <c r="D13" s="0" t="n">
        <f aca="false">D11+D12</f>
        <v>4234.1643271071</v>
      </c>
      <c r="E13" s="0" t="n">
        <f aca="false">E11+E12</f>
        <v>4576.27284140727</v>
      </c>
      <c r="F13" s="0" t="n">
        <f aca="false">F11+F12</f>
        <v>4922.41919324258</v>
      </c>
      <c r="G13" s="0" t="n">
        <f aca="false">G11+G12</f>
        <v>5269.37427900961</v>
      </c>
      <c r="H13" s="0" t="n">
        <f aca="false">H11+H12</f>
        <v>5613.6383449071</v>
      </c>
      <c r="I13" s="0" t="n">
        <f aca="false">I11+I12</f>
        <v>5922.90571444223</v>
      </c>
      <c r="J13" s="0" t="n">
        <f aca="false">J11+J12</f>
        <v>6249.18006687777</v>
      </c>
      <c r="K13" s="0" t="n">
        <f aca="false">K11+K12</f>
        <v>6499.14726955289</v>
      </c>
      <c r="L13" s="0" t="n">
        <f aca="false">L11+L12</f>
        <v>6726.61742398723</v>
      </c>
    </row>
    <row r="14" customFormat="false" ht="15" hidden="false" customHeight="false" outlineLevel="0" collapsed="false">
      <c r="A14" s="0" t="s">
        <v>133</v>
      </c>
      <c r="C14" s="4" t="n">
        <f aca="false">Assumptions!C47</f>
        <v>23</v>
      </c>
      <c r="D14" s="4" t="n">
        <f aca="false">Assumptions!D47</f>
        <v>23</v>
      </c>
      <c r="E14" s="4" t="n">
        <f aca="false">Assumptions!E47</f>
        <v>23</v>
      </c>
      <c r="F14" s="4" t="n">
        <f aca="false">Assumptions!F47</f>
        <v>23</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148</v>
      </c>
      <c r="C15" s="0" t="n">
        <f aca="false">C13-MAX(0,C13)*C14/100</f>
        <v>3002.23941779916</v>
      </c>
      <c r="D15" s="0" t="n">
        <f aca="false">D13-MAX(0,D13)*D14/100</f>
        <v>3260.30653187247</v>
      </c>
      <c r="E15" s="0" t="n">
        <f aca="false">E13-MAX(0,E13)*E14/100</f>
        <v>3523.7300878836</v>
      </c>
      <c r="F15" s="0" t="n">
        <f aca="false">F13-MAX(0,F13)*F14/100</f>
        <v>3790.26277879679</v>
      </c>
      <c r="G15" s="0" t="n">
        <f aca="false">G13-MAX(0,G13)*G14/100</f>
        <v>4057.4181948374</v>
      </c>
      <c r="H15" s="0" t="n">
        <f aca="false">H13-MAX(0,H13)*H14/100</f>
        <v>4322.50152557847</v>
      </c>
      <c r="I15" s="0" t="n">
        <f aca="false">I13-MAX(0,I13)*I14/100</f>
        <v>4560.63740012052</v>
      </c>
      <c r="J15" s="0" t="n">
        <f aca="false">J13-MAX(0,J13)*J14/100</f>
        <v>4811.86865149588</v>
      </c>
      <c r="K15" s="0" t="n">
        <f aca="false">K13-MAX(0,K13)*K14/100</f>
        <v>5004.34339755572</v>
      </c>
      <c r="L15" s="0" t="n">
        <f aca="false">L13-MAX(0,L13)*L14/100</f>
        <v>5179.49541647017</v>
      </c>
    </row>
    <row r="16" customFormat="false" ht="15" hidden="false" customHeight="false" outlineLevel="0" collapsed="false">
      <c r="A16" s="0" t="s">
        <v>149</v>
      </c>
      <c r="C16" s="0" t="n">
        <f aca="false">-C12</f>
        <v>576.30659886</v>
      </c>
      <c r="D16" s="0" t="n">
        <f aca="false">-D12</f>
        <v>640.892683215</v>
      </c>
      <c r="E16" s="0" t="n">
        <f aca="false">-E12</f>
        <v>708.613676741385</v>
      </c>
      <c r="F16" s="0" t="n">
        <f aca="false">-F12</f>
        <v>779.017874301497</v>
      </c>
      <c r="G16" s="0" t="n">
        <f aca="false">-G12</f>
        <v>851.563913845824</v>
      </c>
      <c r="H16" s="0" t="n">
        <f aca="false">-H12</f>
        <v>898.399929107344</v>
      </c>
      <c r="I16" s="0" t="n">
        <f aca="false">-I12</f>
        <v>971.90537785249</v>
      </c>
      <c r="J16" s="0" t="n">
        <f aca="false">-J12</f>
        <v>1015.64111985585</v>
      </c>
      <c r="K16" s="0" t="n">
        <f aca="false">-K12</f>
        <v>1056.26676465009</v>
      </c>
      <c r="L16" s="0" t="n">
        <f aca="false">-L12</f>
        <v>1093.23610141284</v>
      </c>
    </row>
    <row r="17" customFormat="false" ht="15" hidden="false" customHeight="false" outlineLevel="0" collapsed="false">
      <c r="A17" s="0" t="s">
        <v>150</v>
      </c>
      <c r="C17" s="4" t="n">
        <f aca="false">-C6*Assumptions!C46/100</f>
        <v>-1391.0848938</v>
      </c>
      <c r="D17" s="4" t="n">
        <f aca="false">-D6*Assumptions!D46/100</f>
        <v>-1409.963903073</v>
      </c>
      <c r="E17" s="4" t="n">
        <f aca="false">-E6*Assumptions!E46/100</f>
        <v>-1417.22735348277</v>
      </c>
      <c r="F17" s="4" t="n">
        <f aca="false">-F6*Assumptions!F46/100</f>
        <v>-1436.31420574338</v>
      </c>
      <c r="G17" s="4" t="n">
        <f aca="false">-G6*Assumptions!G46/100</f>
        <v>-1470.88312391551</v>
      </c>
      <c r="H17" s="4" t="n">
        <f aca="false">-H6*Assumptions!H46/100</f>
        <v>-1497.33321517891</v>
      </c>
      <c r="I17" s="4" t="n">
        <f aca="false">-I6*Assumptions!I46/100</f>
        <v>-1543.61442364807</v>
      </c>
      <c r="J17" s="4" t="n">
        <f aca="false">-J6*Assumptions!J46/100</f>
        <v>-1583.20527506942</v>
      </c>
      <c r="K17" s="4" t="n">
        <f aca="false">-K6*Assumptions!K46/100</f>
        <v>-1615.46681652366</v>
      </c>
      <c r="L17" s="4" t="n">
        <f aca="false">-L6*Assumptions!L46/100</f>
        <v>-1672.00815510199</v>
      </c>
    </row>
    <row r="18" customFormat="false" ht="15" hidden="false" customHeight="false" outlineLevel="0" collapsed="false">
      <c r="A18" s="0" t="s">
        <v>151</v>
      </c>
      <c r="C18" s="4" t="n">
        <f aca="false">(C6-B6)*Assumptions!$B$51/100</f>
        <v>130.007934</v>
      </c>
      <c r="D18" s="4" t="n">
        <f aca="false">(D6-C6)*Assumptions!$B$51/100</f>
        <v>149.04481005</v>
      </c>
      <c r="E18" s="4" t="n">
        <f aca="false">(E6-D6)*Assumptions!$B$51/100</f>
        <v>149.5416260835</v>
      </c>
      <c r="F18" s="4" t="n">
        <f aca="false">(F6-E6)*Assumptions!$B$51/100</f>
        <v>148.580287058677</v>
      </c>
      <c r="G18" s="4" t="n">
        <f aca="false">(G6-F6)*Assumptions!$B$51/100</f>
        <v>146.065851431531</v>
      </c>
      <c r="H18" s="4" t="n">
        <f aca="false">(H6-G6)*Assumptions!$B$51/100</f>
        <v>141.927318974304</v>
      </c>
      <c r="I18" s="4" t="n">
        <f aca="false">(I6-H6)*Assumptions!$B$51/100</f>
        <v>136.121201379901</v>
      </c>
      <c r="J18" s="4" t="n">
        <f aca="false">(J6-I6)*Assumptions!$B$51/100</f>
        <v>128.634535304006</v>
      </c>
      <c r="K18" s="4" t="n">
        <f aca="false">(K6-J6)*Assumptions!$B$51/100</f>
        <v>119.487190571277</v>
      </c>
      <c r="L18" s="4" t="n">
        <f aca="false">(L6-K6)*Assumptions!$B$51/100</f>
        <v>108.733343419862</v>
      </c>
    </row>
    <row r="19" customFormat="false" ht="15" hidden="false" customHeight="false" outlineLevel="0" collapsed="false">
      <c r="A19" s="0" t="s">
        <v>152</v>
      </c>
      <c r="C19" s="0" t="n">
        <f aca="false">C15+C16+C17+C18</f>
        <v>2317.46905685916</v>
      </c>
      <c r="D19" s="0" t="n">
        <f aca="false">D15+D16+D17+D18</f>
        <v>2640.28012206447</v>
      </c>
      <c r="E19" s="0" t="n">
        <f aca="false">E15+E16+E17+E18</f>
        <v>2964.65803722571</v>
      </c>
      <c r="F19" s="0" t="n">
        <f aca="false">F15+F16+F17+F18</f>
        <v>3281.54673441358</v>
      </c>
      <c r="G19" s="0" t="n">
        <f aca="false">G15+G16+G17+G18</f>
        <v>3584.16483619924</v>
      </c>
      <c r="H19" s="0" t="n">
        <f aca="false">H15+H16+H17+H18</f>
        <v>3865.49555848121</v>
      </c>
      <c r="I19" s="0" t="n">
        <f aca="false">I15+I16+I17+I18</f>
        <v>4125.04955570484</v>
      </c>
      <c r="J19" s="0" t="n">
        <f aca="false">J15+J16+J17+J18</f>
        <v>4372.93903158633</v>
      </c>
      <c r="K19" s="0" t="n">
        <f aca="false">K15+K16+K17+K18</f>
        <v>4564.63053625342</v>
      </c>
      <c r="L19" s="0" t="n">
        <f aca="false">L15+L16+L17+L18</f>
        <v>4709.45670620088</v>
      </c>
    </row>
    <row r="20" customFormat="false" ht="15" hidden="false" customHeight="false" outlineLevel="0" collapsed="false">
      <c r="A20" s="0" t="s">
        <v>153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154</v>
      </c>
      <c r="C21" s="0" t="n">
        <f aca="false">C19*C20</f>
        <v>2155.78516917131</v>
      </c>
      <c r="D21" s="0" t="n">
        <f aca="false">D19*D20</f>
        <v>2284.72049502604</v>
      </c>
      <c r="E21" s="0" t="n">
        <f aca="false">E19*E20</f>
        <v>2386.43282204643</v>
      </c>
      <c r="F21" s="0" t="n">
        <f aca="false">F19*F20</f>
        <v>2457.22393321482</v>
      </c>
      <c r="G21" s="0" t="n">
        <f aca="false">G19*G20</f>
        <v>2496.58095642032</v>
      </c>
      <c r="H21" s="0" t="n">
        <f aca="false">H19*H20</f>
        <v>2504.69237169407</v>
      </c>
      <c r="I21" s="0" t="n">
        <f aca="false">I19*I20</f>
        <v>2486.39383614773</v>
      </c>
      <c r="J21" s="0" t="n">
        <f aca="false">J19*J20</f>
        <v>2451.91668150354</v>
      </c>
      <c r="K21" s="0" t="n">
        <f aca="false">K19*K20</f>
        <v>2380.83584771434</v>
      </c>
      <c r="L21" s="0" t="n">
        <f aca="false">L19*L20</f>
        <v>2284.99979944728</v>
      </c>
    </row>
    <row r="23" customFormat="false" ht="15" hidden="false" customHeight="false" outlineLevel="0" collapsed="false">
      <c r="A23" s="0" t="s">
        <v>130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155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156</v>
      </c>
    </row>
    <row r="27" customFormat="false" ht="15" hidden="false" customHeight="false" outlineLevel="0" collapsed="false">
      <c r="A27" s="0" t="s">
        <v>134</v>
      </c>
      <c r="B27" s="4" t="n">
        <f aca="false">Assumptions!$B$48</f>
        <v>7.5</v>
      </c>
    </row>
    <row r="28" customFormat="false" ht="15" hidden="false" customHeight="false" outlineLevel="0" collapsed="false">
      <c r="A28" s="0" t="s">
        <v>135</v>
      </c>
      <c r="B28" s="4" t="n">
        <f aca="false">Assumptions!$B$49</f>
        <v>3</v>
      </c>
    </row>
    <row r="29" customFormat="false" ht="15" hidden="false" customHeight="false" outlineLevel="0" collapsed="false">
      <c r="A29" s="0" t="s">
        <v>136</v>
      </c>
      <c r="B29" s="4" t="n">
        <f aca="false">Assumptions!$B$50</f>
        <v>20</v>
      </c>
    </row>
    <row r="30" customFormat="false" ht="15" hidden="false" customHeight="false" outlineLevel="0" collapsed="false">
      <c r="A30" s="0" t="s">
        <v>157</v>
      </c>
      <c r="B30" s="0" t="n">
        <f aca="false">SUM(C21:L21)</f>
        <v>23889.5819123859</v>
      </c>
    </row>
    <row r="31" customFormat="false" ht="15" hidden="false" customHeight="false" outlineLevel="0" collapsed="false">
      <c r="A31" s="0" t="s">
        <v>158</v>
      </c>
      <c r="B31" s="0" t="n">
        <f aca="false">L19</f>
        <v>4709.45670620088</v>
      </c>
    </row>
    <row r="32" customFormat="false" ht="15" hidden="false" customHeight="false" outlineLevel="0" collapsed="false">
      <c r="A32" s="0" t="s">
        <v>159</v>
      </c>
      <c r="B32" s="0" t="n">
        <f aca="false">IF(B27&gt;B28,B31*(1+B28/100)/((B27-B28)/100),B31*B29)</f>
        <v>107794.231275265</v>
      </c>
    </row>
    <row r="33" customFormat="false" ht="15" hidden="false" customHeight="false" outlineLevel="0" collapsed="false">
      <c r="A33" s="0" t="s">
        <v>160</v>
      </c>
      <c r="B33" s="0" t="n">
        <f aca="false">B31*B29</f>
        <v>94189.1341240176</v>
      </c>
    </row>
    <row r="34" customFormat="false" ht="15" hidden="false" customHeight="false" outlineLevel="0" collapsed="false">
      <c r="A34" s="0" t="s">
        <v>161</v>
      </c>
      <c r="B34" s="0" t="n">
        <f aca="false">MAX(0,MIN(B32,B33))</f>
        <v>94189.1341240176</v>
      </c>
    </row>
    <row r="35" customFormat="false" ht="15" hidden="false" customHeight="false" outlineLevel="0" collapsed="false">
      <c r="A35" s="0" t="s">
        <v>162</v>
      </c>
      <c r="B35" s="0" t="n">
        <f aca="false">B34/(1+B27/100)^L4</f>
        <v>45699.9959889456</v>
      </c>
    </row>
    <row r="36" customFormat="false" ht="15" hidden="false" customHeight="false" outlineLevel="0" collapsed="false">
      <c r="A36" s="0" t="s">
        <v>163</v>
      </c>
      <c r="B36" s="0" t="n">
        <f aca="false">B30+B35</f>
        <v>69589.5779013315</v>
      </c>
    </row>
    <row r="37" customFormat="false" ht="15" hidden="false" customHeight="false" outlineLevel="0" collapsed="false">
      <c r="A37" s="0" t="s">
        <v>164</v>
      </c>
      <c r="B37" s="0" t="n">
        <f aca="false">B36+Assumptions!$B$5-Assumptions!$B$4</f>
        <v>62837.2159013315</v>
      </c>
    </row>
    <row r="38" customFormat="false" ht="15" hidden="false" customHeight="false" outlineLevel="0" collapsed="false">
      <c r="A38" s="0" t="s">
        <v>165</v>
      </c>
      <c r="B38" s="0" t="n">
        <f aca="false">B37/Assumptions!$B$3*Assumptions!$B$10</f>
        <v>75.81024388639</v>
      </c>
    </row>
    <row r="39" customFormat="false" ht="15" hidden="false" customHeight="false" outlineLevel="0" collapsed="false">
      <c r="A39" s="0" t="s">
        <v>166</v>
      </c>
      <c r="B39" s="4" t="n">
        <f aca="false">B38/Assumptions!$B$2-1</f>
        <v>-0.108429449766083</v>
      </c>
    </row>
    <row r="41" customFormat="false" ht="15" hidden="false" customHeight="false" outlineLevel="0" collapsed="false">
      <c r="A41" s="0" t="s">
        <v>167</v>
      </c>
      <c r="B41" s="0" t="n">
        <f aca="false">SUMPRODUCT(-C10:L10/(1+$B$27/100)^C4:L4)</f>
        <v>315.000916349863</v>
      </c>
    </row>
    <row r="42" customFormat="false" ht="15" hidden="false" customHeight="false" outlineLevel="0" collapsed="false">
      <c r="A42" s="0" t="s">
        <v>168</v>
      </c>
      <c r="B42" s="0" t="n">
        <f aca="false">IF(B27&gt;B28,-L10*(1+B28/100)/((B27-B28)/100),-L10*20)/(1+B27/100)^L4</f>
        <v>642.758193133692</v>
      </c>
    </row>
    <row r="43" customFormat="false" ht="15" hidden="false" customHeight="false" outlineLevel="0" collapsed="false">
      <c r="A43" s="0" t="s">
        <v>169</v>
      </c>
      <c r="B43" s="0" t="n">
        <f aca="false">(B37+B41+B42)/Assumptions!$B$3*Assumptions!$B$10</f>
        <v>76.9657367043463</v>
      </c>
    </row>
    <row r="45" customFormat="false" ht="15" hidden="false" customHeight="false" outlineLevel="0" collapsed="false">
      <c r="A45" s="0" t="s">
        <v>109</v>
      </c>
      <c r="B45" s="4" t="n">
        <f aca="false">Assumptions!$B$6</f>
        <v>15</v>
      </c>
    </row>
    <row r="46" customFormat="false" ht="15" hidden="false" customHeight="false" outlineLevel="0" collapsed="false">
      <c r="A46" s="0" t="s">
        <v>170</v>
      </c>
      <c r="B46" s="0" t="n">
        <f aca="false">MAX(0,MIN(IF(B45&gt;B28,B31*(1+B28/100)/((B45-B28)/100),B31*B29),B31*B29))</f>
        <v>40422.8367282242</v>
      </c>
    </row>
    <row r="47" customFormat="false" ht="15" hidden="false" customHeight="false" outlineLevel="0" collapsed="false">
      <c r="A47" s="0" t="s">
        <v>171</v>
      </c>
      <c r="B47" s="0" t="n">
        <f aca="false">(SUMPRODUCT(C19:L19/(1+B45/100)^C4:L4)+B46/(1+B45/100)^L4+Assumptions!$B$5-Assumptions!$B$4)/Assumptions!$B$3*Assumptions!$B$10</f>
        <v>24.0950386399151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174</v>
      </c>
    </row>
    <row r="3" customFormat="false" ht="15" hidden="false" customHeight="false" outlineLevel="0" collapsed="false">
      <c r="A3" s="2" t="s">
        <v>175</v>
      </c>
      <c r="B3" s="2" t="s">
        <v>176</v>
      </c>
      <c r="C3" s="2" t="s">
        <v>166</v>
      </c>
      <c r="D3" s="2" t="s">
        <v>177</v>
      </c>
      <c r="E3" s="2" t="s">
        <v>169</v>
      </c>
      <c r="F3" s="2" t="s">
        <v>178</v>
      </c>
    </row>
    <row r="4" customFormat="false" ht="15" hidden="false" customHeight="false" outlineLevel="0" collapsed="false">
      <c r="A4" s="0" t="s">
        <v>179</v>
      </c>
      <c r="B4" s="4" t="n">
        <f aca="false">DCF_Bear!$B$38</f>
        <v>33.6401085138901</v>
      </c>
      <c r="C4" s="0" t="n">
        <f aca="false">B4/Assumptions!$B$2-1</f>
        <v>-0.604373650312947</v>
      </c>
      <c r="D4" s="4" t="n">
        <f aca="false">Assumptions!$B$24</f>
        <v>0.2</v>
      </c>
      <c r="E4" s="4" t="n">
        <f aca="false">DCF_Bear!$B$43</f>
        <v>34.4330063355417</v>
      </c>
      <c r="F4" s="4" t="n">
        <f aca="false">DCF_Bear!$B$47</f>
        <v>10.9821971121586</v>
      </c>
    </row>
    <row r="5" customFormat="false" ht="15" hidden="false" customHeight="false" outlineLevel="0" collapsed="false">
      <c r="A5" s="0" t="s">
        <v>180</v>
      </c>
      <c r="B5" s="4" t="n">
        <f aca="false">DCF_Base!$B$38</f>
        <v>60.4738851859862</v>
      </c>
      <c r="C5" s="0" t="n">
        <f aca="false">B5/Assumptions!$B$2-1</f>
        <v>-0.288793541267951</v>
      </c>
      <c r="D5" s="4" t="n">
        <f aca="false">Assumptions!$B$38</f>
        <v>0.5</v>
      </c>
      <c r="E5" s="4" t="n">
        <f aca="false">DCF_Base!$B$43</f>
        <v>61.4566146762381</v>
      </c>
      <c r="F5" s="4" t="n">
        <f aca="false">DCF_Base!$B$47</f>
        <v>18.4138837090659</v>
      </c>
    </row>
    <row r="6" customFormat="false" ht="15" hidden="false" customHeight="false" outlineLevel="0" collapsed="false">
      <c r="A6" s="0" t="s">
        <v>181</v>
      </c>
      <c r="B6" s="4" t="n">
        <f aca="false">DCF_Bull!$B$38</f>
        <v>75.81024388639</v>
      </c>
      <c r="C6" s="0" t="n">
        <f aca="false">B6/Assumptions!$B$2-1</f>
        <v>-0.108429449766083</v>
      </c>
      <c r="D6" s="4" t="n">
        <f aca="false">Assumptions!$B$52</f>
        <v>0.3</v>
      </c>
      <c r="E6" s="4" t="n">
        <f aca="false">DCF_Bull!$B$43</f>
        <v>76.9657367043463</v>
      </c>
      <c r="F6" s="4" t="n">
        <f aca="false">DCF_Bull!$B$47</f>
        <v>24.0950386399151</v>
      </c>
    </row>
    <row r="8" customFormat="false" ht="15" hidden="false" customHeight="false" outlineLevel="0" collapsed="false">
      <c r="A8" s="0" t="s">
        <v>182</v>
      </c>
      <c r="B8" s="0" t="n">
        <f aca="false">SUMPRODUCT(B4:B6,D4:D6)</f>
        <v>59.7080374616881</v>
      </c>
    </row>
    <row r="9" customFormat="false" ht="15" hidden="false" customHeight="false" outlineLevel="0" collapsed="false">
      <c r="A9" s="0" t="s">
        <v>183</v>
      </c>
      <c r="B9" s="0" t="n">
        <f aca="false">SUMPRODUCT(E4:E6,D4:D6)</f>
        <v>60.7046296165313</v>
      </c>
    </row>
    <row r="10" customFormat="false" ht="15" hidden="false" customHeight="false" outlineLevel="0" collapsed="false">
      <c r="A10" s="0" t="s">
        <v>184</v>
      </c>
      <c r="B10" s="0" t="n">
        <f aca="false">1-Assumptions!$B$2/B8</f>
        <v>-0.42409637989793</v>
      </c>
    </row>
    <row r="11" customFormat="false" ht="15" hidden="false" customHeight="false" outlineLevel="0" collapsed="false">
      <c r="A11" s="0" t="s">
        <v>185</v>
      </c>
      <c r="B11" s="0" t="n">
        <f aca="false">IF(ABS(B9-B8)&gt;0.01*ABS(B8),(Assumptions!$B$2-B8)/(B9-B8)*100,"n/a")</f>
        <v>2540.85509455933</v>
      </c>
    </row>
    <row r="12" customFormat="false" ht="15" hidden="false" customHeight="false" outlineLevel="0" collapsed="false">
      <c r="A12" s="0" t="s">
        <v>186</v>
      </c>
      <c r="B12" s="0" t="n">
        <f aca="false">SUMPRODUCT(F4:F6,D4:D6)</f>
        <v>18.6318928689392</v>
      </c>
    </row>
    <row r="14" customFormat="false" ht="15" hidden="false" customHeight="false" outlineLevel="0" collapsed="false">
      <c r="A14" s="2" t="s">
        <v>187</v>
      </c>
      <c r="C14" s="0" t="s">
        <v>188</v>
      </c>
    </row>
    <row r="15" customFormat="false" ht="15" hidden="false" customHeight="false" outlineLevel="0" collapsed="false">
      <c r="A15" s="0" t="s">
        <v>189</v>
      </c>
      <c r="B15" s="0" t="n">
        <f aca="false">(SUMPRODUCT(DCF_Base!$C$19:$L$19/(1+$C$15/100)^DCF_Base!$C$4:$L$4)+MAX(0,MIN(IF($C$15&gt;DCF_Base!$B$28,DCF_Base!$L$19*(1+DCF_Base!$B$28/100)/(($C$15-DCF_Base!$B$28)/100),DCF_Base!$L$19*DCF_Base!$B$29),DCF_Base!$L$19*DCF_Base!$B$29))/(1+$C$15/100)^DCF_Base!$L$4+Assumptions!$B$5-Assumptions!$B$4)/Assumptions!$B$3*Assumptions!$B$10</f>
        <v>60.4738851859862</v>
      </c>
      <c r="C15" s="3" t="n">
        <v>7.5</v>
      </c>
    </row>
    <row r="16" customFormat="false" ht="15" hidden="false" customHeight="false" outlineLevel="0" collapsed="false">
      <c r="A16" s="0" t="s">
        <v>190</v>
      </c>
      <c r="B16" s="0" t="n">
        <f aca="false">(SUMPRODUCT(DCF_Base!$C$19:$L$19/(1+$C$16/100)^DCF_Base!$C$4:$L$4)+MAX(0,MIN(IF($C$16&gt;DCF_Base!$B$28,DCF_Base!$L$19*(1+DCF_Base!$B$28/100)/(($C$16-DCF_Base!$B$28)/100),DCF_Base!$L$19*DCF_Base!$B$29),DCF_Base!$L$19*DCF_Base!$B$29))/(1+$C$16/100)^DCF_Base!$L$4+Assumptions!$B$5-Assumptions!$B$4)/Assumptions!$B$3*Assumptions!$B$10</f>
        <v>44.8978592400972</v>
      </c>
      <c r="C16" s="3" t="n">
        <v>9</v>
      </c>
    </row>
    <row r="17" customFormat="false" ht="15" hidden="false" customHeight="false" outlineLevel="0" collapsed="false">
      <c r="A17" s="0" t="s">
        <v>191</v>
      </c>
      <c r="B17" s="0" t="n">
        <f aca="false">(SUMPRODUCT(DCF_Base!$C$19:$L$19/(1+$C$17/100)^DCF_Base!$C$4:$L$4)+MAX(0,MIN(IF($C$17&gt;DCF_Base!$B$28,DCF_Base!$L$19*(1+DCF_Base!$B$28/100)/(($C$17-DCF_Base!$B$28)/100),DCF_Base!$L$19*DCF_Base!$B$29),DCF_Base!$L$19*DCF_Base!$B$29))/(1+$C$17/100)^DCF_Base!$L$4+Assumptions!$B$5-Assumptions!$B$4)/Assumptions!$B$3*Assumptions!$B$10</f>
        <v>37.5059969002645</v>
      </c>
      <c r="C17" s="3" t="n">
        <v>10</v>
      </c>
    </row>
    <row r="18" customFormat="false" ht="15" hidden="false" customHeight="false" outlineLevel="0" collapsed="false">
      <c r="A18" s="0" t="s">
        <v>192</v>
      </c>
      <c r="B18" s="0" t="n">
        <f aca="false">(SUMPRODUCT(DCF_Base!$C$19:$L$19/(1+$C$18/100)^DCF_Base!$C$4:$L$4)+MAX(0,MIN(IF($C$18&gt;DCF_Base!$B$28,DCF_Base!$L$19*(1+DCF_Base!$B$28/100)/(($C$18-DCF_Base!$B$28)/100),DCF_Base!$L$19*DCF_Base!$B$29),DCF_Base!$L$19*DCF_Base!$B$29))/(1+$C$18/100)^DCF_Base!$L$4+Assumptions!$B$5-Assumptions!$B$4)/Assumptions!$B$3*Assumptions!$B$10</f>
        <v>31.8668770102394</v>
      </c>
      <c r="C18" s="3" t="n">
        <v>11</v>
      </c>
    </row>
    <row r="19" customFormat="false" ht="15" hidden="false" customHeight="false" outlineLevel="0" collapsed="false">
      <c r="A19" s="0" t="s">
        <v>193</v>
      </c>
      <c r="B19" s="0" t="n">
        <f aca="false">(SUMPRODUCT(DCF_Base!$C$19:$L$19/(1+$C$19/100)^DCF_Base!$C$4:$L$4)+MAX(0,MIN(IF($C$19&gt;DCF_Base!$B$28,DCF_Base!$L$19*(1+DCF_Base!$B$28/100)/(($C$19-DCF_Base!$B$28)/100),DCF_Base!$L$19*DCF_Base!$B$29),DCF_Base!$L$19*DCF_Base!$B$29))/(1+$C$19/100)^DCF_Base!$L$4+Assumptions!$B$5-Assumptions!$B$4)/Assumptions!$B$3*Assumptions!$B$10</f>
        <v>27.4262526617857</v>
      </c>
      <c r="C19" s="3" t="n">
        <v>12</v>
      </c>
    </row>
    <row r="20" customFormat="false" ht="15" hidden="false" customHeight="false" outlineLevel="0" collapsed="false">
      <c r="A20" s="0" t="s">
        <v>194</v>
      </c>
      <c r="B20" s="0" t="n">
        <f aca="false">(SUMPRODUCT(DCF_Base!$C$19:$L$19/(1+$C$20/100)^DCF_Base!$C$4:$L$4)+MAX(0,MIN(IF($C$20&gt;DCF_Base!$B$28,DCF_Base!$L$19*(1+DCF_Base!$B$28/100)/(($C$20-DCF_Base!$B$28)/100),DCF_Base!$L$19*DCF_Base!$B$29),DCF_Base!$L$19*DCF_Base!$B$29))/(1+$C$20/100)^DCF_Base!$L$4+Assumptions!$B$5-Assumptions!$B$4)/Assumptions!$B$3*Assumptions!$B$10</f>
        <v>18.4138837090659</v>
      </c>
      <c r="C20" s="3" t="n">
        <v>15</v>
      </c>
    </row>
    <row r="22" customFormat="false" ht="15" hidden="false" customHeight="false" outlineLevel="0" collapsed="false">
      <c r="A22" s="2" t="s">
        <v>195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72.2414160091222</v>
      </c>
      <c r="C24" s="0" t="n">
        <f aca="false">(SUMPRODUCT(DCF_Base!$C$19:$L$19/(1+$A$24/100)^DCF_Base!$C$4:$L$4)+MAX(0,MIN(IF($A$24&gt;$C$23,DCF_Base!$L$19*(1+$C$23/100)/(($A$24-$C$23)/100),DCF_Base!$L$19*DCF_Base!$B$29),DCF_Base!$L$19*DCF_Base!$B$29))/(1+$A$24/100)^DCF_Base!$L$4+Assumptions!$B$5-Assumptions!$B$4)/Assumptions!$B$3*Assumptions!$B$10</f>
        <v>72.2414160091222</v>
      </c>
      <c r="D24" s="0" t="n">
        <f aca="false">(SUMPRODUCT(DCF_Base!$C$19:$L$19/(1+$A$24/100)^DCF_Base!$C$4:$L$4)+MAX(0,MIN(IF($A$24&gt;$D$23,DCF_Base!$L$19*(1+$D$23/100)/(($A$24-$D$23)/100),DCF_Base!$L$19*DCF_Base!$B$29),DCF_Base!$L$19*DCF_Base!$B$29))/(1+$A$24/100)^DCF_Base!$L$4+Assumptions!$B$5-Assumptions!$B$4)/Assumptions!$B$3*Assumptions!$B$10</f>
        <v>72.2414160091222</v>
      </c>
      <c r="E24" s="0" t="n">
        <f aca="false">(SUMPRODUCT(DCF_Base!$C$19:$L$19/(1+$A$24/100)^DCF_Base!$C$4:$L$4)+MAX(0,MIN(IF($A$24&gt;$E$23,DCF_Base!$L$19*(1+$E$23/100)/(($A$24-$E$23)/100),DCF_Base!$L$19*DCF_Base!$B$29),DCF_Base!$L$19*DCF_Base!$B$29))/(1+$A$24/100)^DCF_Base!$L$4+Assumptions!$B$5-Assumptions!$B$4)/Assumptions!$B$3*Assumptions!$B$10</f>
        <v>72.2414160091222</v>
      </c>
      <c r="F24" s="0" t="n">
        <f aca="false">(SUMPRODUCT(DCF_Base!$C$19:$L$19/(1+$A$24/100)^DCF_Base!$C$4:$L$4)+MAX(0,MIN(IF($A$24&gt;$F$23,DCF_Base!$L$19*(1+$F$23/100)/(($A$24-$F$23)/100),DCF_Base!$L$19*DCF_Base!$B$29),DCF_Base!$L$19*DCF_Base!$B$29))/(1+$A$24/100)^DCF_Base!$L$4+Assumptions!$B$5-Assumptions!$B$4)/Assumptions!$B$3*Assumptions!$B$10</f>
        <v>72.2414160091222</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66.0730908768617</v>
      </c>
      <c r="C25" s="0" t="n">
        <f aca="false">(SUMPRODUCT(DCF_Base!$C$19:$L$19/(1+$A$25/100)^DCF_Base!$C$4:$L$4)+MAX(0,MIN(IF($A$25&gt;$C$23,DCF_Base!$L$19*(1+$C$23/100)/(($A$25-$C$23)/100),DCF_Base!$L$19*DCF_Base!$B$29),DCF_Base!$L$19*DCF_Base!$B$29))/(1+$A$25/100)^DCF_Base!$L$4+Assumptions!$B$5-Assumptions!$B$4)/Assumptions!$B$3*Assumptions!$B$10</f>
        <v>66.0730908768617</v>
      </c>
      <c r="D25" s="0" t="n">
        <f aca="false">(SUMPRODUCT(DCF_Base!$C$19:$L$19/(1+$A$25/100)^DCF_Base!$C$4:$L$4)+MAX(0,MIN(IF($A$25&gt;$D$23,DCF_Base!$L$19*(1+$D$23/100)/(($A$25-$D$23)/100),DCF_Base!$L$19*DCF_Base!$B$29),DCF_Base!$L$19*DCF_Base!$B$29))/(1+$A$25/100)^DCF_Base!$L$4+Assumptions!$B$5-Assumptions!$B$4)/Assumptions!$B$3*Assumptions!$B$10</f>
        <v>66.0730908768617</v>
      </c>
      <c r="E25" s="0" t="n">
        <f aca="false">(SUMPRODUCT(DCF_Base!$C$19:$L$19/(1+$A$25/100)^DCF_Base!$C$4:$L$4)+MAX(0,MIN(IF($A$25&gt;$E$23,DCF_Base!$L$19*(1+$E$23/100)/(($A$25-$E$23)/100),DCF_Base!$L$19*DCF_Base!$B$29),DCF_Base!$L$19*DCF_Base!$B$29))/(1+$A$25/100)^DCF_Base!$L$4+Assumptions!$B$5-Assumptions!$B$4)/Assumptions!$B$3*Assumptions!$B$10</f>
        <v>66.0730908768617</v>
      </c>
      <c r="F25" s="0" t="n">
        <f aca="false">(SUMPRODUCT(DCF_Base!$C$19:$L$19/(1+$A$25/100)^DCF_Base!$C$4:$L$4)+MAX(0,MIN(IF($A$25&gt;$F$23,DCF_Base!$L$19*(1+$F$23/100)/(($A$25-$F$23)/100),DCF_Base!$L$19*DCF_Base!$B$29),DCF_Base!$L$19*DCF_Base!$B$29))/(1+$A$25/100)^DCF_Base!$L$4+Assumptions!$B$5-Assumptions!$B$4)/Assumptions!$B$3*Assumptions!$B$10</f>
        <v>66.0730908768617</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53.6779916705851</v>
      </c>
      <c r="C26" s="0" t="n">
        <f aca="false">(SUMPRODUCT(DCF_Base!$C$19:$L$19/(1+$A$26/100)^DCF_Base!$C$4:$L$4)+MAX(0,MIN(IF($A$26&gt;$C$23,DCF_Base!$L$19*(1+$C$23/100)/(($A$26-$C$23)/100),DCF_Base!$L$19*DCF_Base!$B$29),DCF_Base!$L$19*DCF_Base!$B$29))/(1+$A$26/100)^DCF_Base!$L$4+Assumptions!$B$5-Assumptions!$B$4)/Assumptions!$B$3*Assumptions!$B$10</f>
        <v>57.2679599895316</v>
      </c>
      <c r="D26" s="0" t="n">
        <f aca="false">(SUMPRODUCT(DCF_Base!$C$19:$L$19/(1+$A$26/100)^DCF_Base!$C$4:$L$4)+MAX(0,MIN(IF($A$26&gt;$D$23,DCF_Base!$L$19*(1+$D$23/100)/(($A$26-$D$23)/100),DCF_Base!$L$19*DCF_Base!$B$29),DCF_Base!$L$19*DCF_Base!$B$29))/(1+$A$26/100)^DCF_Base!$L$4+Assumptions!$B$5-Assumptions!$B$4)/Assumptions!$B$3*Assumptions!$B$10</f>
        <v>60.4738851859862</v>
      </c>
      <c r="E26" s="0" t="n">
        <f aca="false">(SUMPRODUCT(DCF_Base!$C$19:$L$19/(1+$A$26/100)^DCF_Base!$C$4:$L$4)+MAX(0,MIN(IF($A$26&gt;$E$23,DCF_Base!$L$19*(1+$E$23/100)/(($A$26-$E$23)/100),DCF_Base!$L$19*DCF_Base!$B$29),DCF_Base!$L$19*DCF_Base!$B$29))/(1+$A$26/100)^DCF_Base!$L$4+Assumptions!$B$5-Assumptions!$B$4)/Assumptions!$B$3*Assumptions!$B$10</f>
        <v>60.4738851859862</v>
      </c>
      <c r="F26" s="0" t="n">
        <f aca="false">(SUMPRODUCT(DCF_Base!$C$19:$L$19/(1+$A$26/100)^DCF_Base!$C$4:$L$4)+MAX(0,MIN(IF($A$26&gt;$F$23,DCF_Base!$L$19*(1+$F$23/100)/(($A$26-$F$23)/100),DCF_Base!$L$19*DCF_Base!$B$29),DCF_Base!$L$19*DCF_Base!$B$29))/(1+$A$26/100)^DCF_Base!$L$4+Assumptions!$B$5-Assumptions!$B$4)/Assumptions!$B$3*Assumptions!$B$10</f>
        <v>60.4738851859862</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44.3350158327062</v>
      </c>
      <c r="C27" s="0" t="n">
        <f aca="false">(SUMPRODUCT(DCF_Base!$C$19:$L$19/(1+$A$27/100)^DCF_Base!$C$4:$L$4)+MAX(0,MIN(IF($A$27&gt;$C$23,DCF_Base!$L$19*(1+$C$23/100)/(($A$27-$C$23)/100),DCF_Base!$L$19*DCF_Base!$B$29),DCF_Base!$L$19*DCF_Base!$B$29))/(1+$A$27/100)^DCF_Base!$L$4+Assumptions!$B$5-Assumptions!$B$4)/Assumptions!$B$3*Assumptions!$B$10</f>
        <v>46.7305462727783</v>
      </c>
      <c r="D27" s="0" t="n">
        <f aca="false">(SUMPRODUCT(DCF_Base!$C$19:$L$19/(1+$A$27/100)^DCF_Base!$C$4:$L$4)+MAX(0,MIN(IF($A$27&gt;$D$23,DCF_Base!$L$19*(1+$D$23/100)/(($A$27-$D$23)/100),DCF_Base!$L$19*DCF_Base!$B$29),DCF_Base!$L$19*DCF_Base!$B$29))/(1+$A$27/100)^DCF_Base!$L$4+Assumptions!$B$5-Assumptions!$B$4)/Assumptions!$B$3*Assumptions!$B$10</f>
        <v>49.5253317861958</v>
      </c>
      <c r="E27" s="0" t="n">
        <f aca="false">(SUMPRODUCT(DCF_Base!$C$19:$L$19/(1+$A$27/100)^DCF_Base!$C$4:$L$4)+MAX(0,MIN(IF($A$27&gt;$E$23,DCF_Base!$L$19*(1+$E$23/100)/(($A$27-$E$23)/100),DCF_Base!$L$19*DCF_Base!$B$29),DCF_Base!$L$19*DCF_Base!$B$29))/(1+$A$27/100)^DCF_Base!$L$4+Assumptions!$B$5-Assumptions!$B$4)/Assumptions!$B$3*Assumptions!$B$10</f>
        <v>52.8282601202346</v>
      </c>
      <c r="F27" s="0" t="n">
        <f aca="false">(SUMPRODUCT(DCF_Base!$C$19:$L$19/(1+$A$27/100)^DCF_Base!$C$4:$L$4)+MAX(0,MIN(IF($A$27&gt;$F$23,DCF_Base!$L$19*(1+$F$23/100)/(($A$27-$F$23)/100),DCF_Base!$L$19*DCF_Base!$B$29),DCF_Base!$L$19*DCF_Base!$B$29))/(1+$A$27/100)^DCF_Base!$L$4+Assumptions!$B$5-Assumptions!$B$4)/Assumptions!$B$3*Assumptions!$B$10</f>
        <v>55.3853659272324</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37.3515920830888</v>
      </c>
      <c r="C28" s="0" t="n">
        <f aca="false">(SUMPRODUCT(DCF_Base!$C$19:$L$19/(1+$A$28/100)^DCF_Base!$C$4:$L$4)+MAX(0,MIN(IF($A$28&gt;$C$23,DCF_Base!$L$19*(1+$C$23/100)/(($A$28-$C$23)/100),DCF_Base!$L$19*DCF_Base!$B$29),DCF_Base!$L$19*DCF_Base!$B$29))/(1+$A$28/100)^DCF_Base!$L$4+Assumptions!$B$5-Assumptions!$B$4)/Assumptions!$B$3*Assumptions!$B$10</f>
        <v>39.0242318240934</v>
      </c>
      <c r="D28" s="0" t="n">
        <f aca="false">(SUMPRODUCT(DCF_Base!$C$19:$L$19/(1+$A$28/100)^DCF_Base!$C$4:$L$4)+MAX(0,MIN(IF($A$28&gt;$D$23,DCF_Base!$L$19*(1+$D$23/100)/(($A$28-$D$23)/100),DCF_Base!$L$19*DCF_Base!$B$29),DCF_Base!$L$19*DCF_Base!$B$29))/(1+$A$28/100)^DCF_Base!$L$4+Assumptions!$B$5-Assumptions!$B$4)/Assumptions!$B$3*Assumptions!$B$10</f>
        <v>40.9358200995272</v>
      </c>
      <c r="E28" s="0" t="n">
        <f aca="false">(SUMPRODUCT(DCF_Base!$C$19:$L$19/(1+$A$28/100)^DCF_Base!$C$4:$L$4)+MAX(0,MIN(IF($A$28&gt;$E$23,DCF_Base!$L$19*(1+$E$23/100)/(($A$28-$E$23)/100),DCF_Base!$L$19*DCF_Base!$B$29),DCF_Base!$L$19*DCF_Base!$B$29))/(1+$A$28/100)^DCF_Base!$L$4+Assumptions!$B$5-Assumptions!$B$4)/Assumptions!$B$3*Assumptions!$B$10</f>
        <v>43.1414988788738</v>
      </c>
      <c r="F28" s="0" t="n">
        <f aca="false">(SUMPRODUCT(DCF_Base!$C$19:$L$19/(1+$A$28/100)^DCF_Base!$C$4:$L$4)+MAX(0,MIN(IF($A$28&gt;$F$23,DCF_Base!$L$19*(1+$F$23/100)/(($A$28-$F$23)/100),DCF_Base!$L$19*DCF_Base!$B$29),DCF_Base!$L$19*DCF_Base!$B$29))/(1+$A$28/100)^DCF_Base!$L$4+Assumptions!$B$5-Assumptions!$B$4)/Assumptions!$B$3*Assumptions!$B$10</f>
        <v>45.7147907881116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2026-10-02T06:39:23Z</dcterms:created>
  <dc:creator>openpyxl</dc:creator>
  <dc:description/>
  <dc:language>en-NZ</dc:language>
  <cp:lastModifiedBy/>
  <dcterms:modified xsi:type="dcterms:W3CDTF">2026-10-02T06:39:23Z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