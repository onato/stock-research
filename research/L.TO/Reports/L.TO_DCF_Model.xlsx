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<sst xmlns="http://schemas.openxmlformats.org/spreadsheetml/2006/main" count="366" uniqueCount="167">
  <si>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</si>
  <si>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L.TO</t>
  </si>
  <si>
    <t xml:space="preserve">Company</t>
  </si>
  <si>
    <t xml:space="preserve">Loblaw Companies Limited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</si>
  <si>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</si>
  <si>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</si>
  <si>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</si>
  <si>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</si>
  <si>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(Yahoo Finance chart API); 52-week range 54.44-69.59</t>
  </si>
  <si>
    <t xml:space="preserve">Balance sheet date</t>
  </si>
  <si>
    <t xml:space="preserve">2026-06-20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</si>
  <si>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</si>
  <si>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</si>
  <si>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</si>
  <si>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</si>
  <si>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</si>
  <si>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</si>
  <si>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</si>
  <si>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</si>
  <si>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</si>
  <si>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</si>
  <si>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2026-10-10T08:49:13Z</t>
  </si>
  <si>
    <t xml:space="preserve">Drivers file</t>
  </si>
  <si>
    <t xml:space="preserve">L.TO_Drivers.json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</si>
  <si>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</si>
  <si>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</si>
  <si>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</si>
  <si>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owner-FCF basis: adjusted EBITDA plus SBC, less SBC (charged once), less the full lease cash cost (principal and interest, treatment B), less D&amp;A ex right-of-use for a 26% cash tax on unlevered EBIT, plus D&amp;A, less gross capex (disposals not netted), less 5% of revenue growth for working capital. Lease liabilities are therefore excluded from net debt; the EQB stake is a bridge asset with its income excluded from the flows; NCI is capitalised in the bridge. Terminal value is the lower of Gordon and a scenario-specific FCF cap (15/18/20x) and is floored at zero. Share count is held flat because Loblaw is a funded repurchaser. All values in CAD, same currency as the TSX quote.
key_risks_to_valuation: Terminal value is ~60% of EV: the 18x owner-FCF cap versus the ~33x the market pays today is the whole gap between the model and the price; Lease cost held at 2.65% of sales; Choice Properties (controlled by George Weston) is the landlord for C$836m/yr of rent, so rent escalation is a related-party decision; Cash tax at 26% on unlevered EBIT ignores the interest shield on C$5.9bn of debt (handled in WACC); a lower Canadian corporate rate would add ~C$1.5/share; EQB stake marked at a listed price (C$119.33 on 2026-10-09); a rate-sensitive challenger bank, it moved 10% between close and valuation date; Regulatory intervention in grocery pricing (Code of Conduct, Competition Bureau) is the bear axis; the model prices it via scenario weights, not a WACC premium; Majority control by George Weston Limited: no takeover premium is possible and related-party leases/dividends to Weston (C$290m+/yr) are set by the controller</t>
  </si>
  <si>
    <t xml:space="preserve">Data sources</t>
  </si>
  <si>
    <t xml:space="preserve">price: Yahoo Finance chart API at inputs.price_as_of (regular close); 52-week range 54.44-69.59; EQB.TO price from the same endpoint for the bridge
financials: L.TO_Metrics.csv (metrics_normalized, CAD millions, FY2014-FY2025 plus quarters to Q2-2026); FY2025 Annual Report (FCF table s.6.1, total debt s.6.2, cash flow statement, notes 6, 22, 25, 27); Q2-2026 Quarterly Report (MD&amp;A s.1 PC Financial close, s.10 Outlook, balance sheet, cash flow statement, notes 4, 6, 9)
qualitative: L.TO_Analysis.json (bull/bear cases, growth drivers, recent developments incl. 1 Jul 2026 EQB close and Sep 2026 store-opening raise)</t>
  </si>
  <si>
    <t xml:space="preserve">Scenario narrative: bear</t>
  </si>
  <si>
    <t xml:space="preserve">Grocery pricing becomes a durable political target: the Grocery Code of Conduct, Competition Bureau scrutiny and bread-price-fixing litigation force visible price investment while Walmart Canada, Costco and Empire's discount banners take share; immigration-driven population growth slows so revenue grows ~2%; adjusted EBITDA margin compresses 80bp to 10.5%; lease cost drifts to 2.8% of sales on rent escalation and new-store leases; capex stays at 3.3% to defend the network. The loss of PC Financial's diversifying earnings leaves a pure Canadian retailer valued at 15x owner FCF with 2% terminal growth. This is a margin-compression case, not a solvency case - net debt ex leases is ~0.7x EBITDA.</t>
  </si>
  <si>
    <t xml:space="preserve">Scenario narrative: base</t>
  </si>
  <si>
    <t xml:space="preserve">Loblaw keeps doing what it has done since 2019: ~3.5% revenue growth from ~75 net new (mostly hard-discount and Shoppers) stores, food inflation around 2%, pharmacy scope-of-practice services and C$4.6bn e-commerce; adjusted EBITDA margin creeps from 11.3% to 11.8% as the automated DCs, Loblaw Advance retail media and discount mix deliver management's 'earnings faster than sales'; C$2.4bn/yr gross capex glides to ~3.1% of sales; leases stay ~2.65% of sales. Owner FCF (after rent, growth capex and tax, before interest) rises from ~C$2.2bn to ~C$3.4bn by FY2035; the PC Financial sale is already closed and the EQB stake sits in the bridge at market. Terminal value is capped at 18x owner FCF - the current ~33x is not carried forward.</t>
  </si>
  <si>
    <t xml:space="preserve">Scenario narrative: bull</t>
  </si>
  <si>
    <t xml:space="preserve">Discount-format share gains and the pharmacy/healthcare profit pool (clinics, prescribing, Connected Healthcare) compound at 4-4.5% while PC Optimum data, Loblaw Advance and DC automation lift adjusted EBITDA margin to 12.5%; capex normalises to 3.0% of sales once the 2030 C$10bn programme passes its peak; the Code of Conduct proves toothless and food-pricing politics fade. Exit at 20x owner FCF with 3% terminal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</si>
  <si>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</si>
  <si>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</si>
  <si>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</si>
  <si>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</si>
  <si>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</si>
  <si>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</si>
  <si>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</si>
  <si>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</si>
  <si>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</si>
  <si>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</si>
  <si>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</si>
  <si>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</si>
  <si>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</si>
  <si>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</si>
  <si>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</si>
  <si>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</si>
  <si>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</si>
  <si>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</si>
  <si>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</si>
  <si>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</si>
  <si>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</si>
  <si>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</si>
  <si>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</si>
  <si>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</si>
  <si>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</si>
  <si>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</si>
  <si>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</si>
  <si>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</si>
  <si>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</si>
  <si>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</si>
  <si>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</si>
  <si>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</si>
  <si>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</si>
  <si>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</si>
  <si>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</si>
  <si>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</si>
  <si>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</si>
  <si>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</si>
  <si>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</si>
  <si>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</si>
  <si>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</si>
  <si>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</si>
  <si>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</si>
  <si>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</si>
  <si>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</si>
  <si>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</si>
  <si>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</si>
  <si>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</si>
  <si>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</si>
  <si>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</si>
  <si>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</si>
  <si>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</si>
  <si>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</si>
  <si>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</si>
  <si>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</si>
  <si>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</si>
  <si>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</si>
  <si>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</si>
  <si>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</si>
  <si>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</si>
  <si>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</si>
  <si>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</si>
  <si>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</si>
  <si>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</si>
  <si>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</si>
  <si>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</si>
  <si>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</si>
  <si>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</si>
  <si>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</si>
  <si>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</si>
  <si>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</si>
  <si>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</si>
  <si>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</si>
  <si>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</si>
  <si>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</si>
  <si>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</si>
  <si>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L.TO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</si>
  <si>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</si>
  <si>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</si>
  <si>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</si>
  <si>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</si>
  <si>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</si>
  <si>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</si>
  <si>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</si>
  <si>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</si>
  <si>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</si>
  <si>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</si>
  <si>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</si>
  <si>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</si>
  <si>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</si>
  <si>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</si>
  <si>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</si>
  <si>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</si>
  <si>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</si>
  <si>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</si>
  <si>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</si>
  <si>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</si>
  <si>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</si>
  <si>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</si>
  <si>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</si>
  <si>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</si>
  <si>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</si>
  <si>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</si>
  <si>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</si>
  <si>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</si>
  <si>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</si>
  <si>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</si>
  <si>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L.TO owner-FCF component DCF: base case (millions, CAD)</t>
  </si>
  <si>
    <t xml:space="preserve">L.TO owner-FCF component DCF: bull case (millions, CAD)</t>
  </si>
  <si>
    <t xml:space="preserve">L.TO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</si>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</sst>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62.64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42611</v>
      </c>
      <c r="C2" s="0" t="n">
        <v>32063</v>
      </c>
      <c r="D2" s="0" t="n">
        <v>10548</v>
      </c>
      <c r="E2" s="0" t="n">
        <v>24.8</v>
      </c>
      <c r="F2" s="0" t="n">
        <v>662</v>
      </c>
      <c r="G2" s="0" t="n">
        <v>1.6</v>
      </c>
      <c r="H2" s="0" t="n">
        <v>2134</v>
      </c>
      <c r="I2" s="0" t="n">
        <v>53</v>
      </c>
      <c r="J2" s="0" t="n">
        <v>0.1</v>
      </c>
      <c r="K2" s="0" t="n">
        <v>0.035</v>
      </c>
      <c r="L2" s="0" t="n">
        <v>2569</v>
      </c>
      <c r="M2" s="0" t="n">
        <v>1086</v>
      </c>
      <c r="N2" s="0" t="n">
        <v>1483</v>
      </c>
      <c r="O2" s="0" t="n">
        <v>12779</v>
      </c>
      <c r="P2" s="0" t="n">
        <v>33684</v>
      </c>
      <c r="Q2" s="0" t="n">
        <v>20897</v>
      </c>
      <c r="R2" s="0" t="n">
        <v>12229</v>
      </c>
      <c r="S2" s="0" t="n">
        <v>1020</v>
      </c>
      <c r="T2" s="0" t="n">
        <v>1537.6</v>
      </c>
      <c r="U2" s="0" t="n">
        <v>73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45394</v>
      </c>
      <c r="C3" s="0" t="n">
        <v>32846</v>
      </c>
      <c r="D3" s="0" t="n">
        <v>12548</v>
      </c>
      <c r="E3" s="0" t="n">
        <v>27.6</v>
      </c>
      <c r="F3" s="0" t="n">
        <v>1601</v>
      </c>
      <c r="G3" s="0" t="n">
        <v>3.5</v>
      </c>
      <c r="H3" s="0" t="n">
        <v>3193</v>
      </c>
      <c r="I3" s="0" t="n">
        <v>632</v>
      </c>
      <c r="J3" s="0" t="n">
        <v>1.4</v>
      </c>
      <c r="K3" s="0" t="n">
        <v>0.378</v>
      </c>
      <c r="L3" s="0" t="n">
        <v>3079</v>
      </c>
      <c r="M3" s="0" t="n">
        <v>1241</v>
      </c>
      <c r="N3" s="0" t="n">
        <v>1838</v>
      </c>
      <c r="O3" s="0" t="n">
        <v>13151</v>
      </c>
      <c r="P3" s="0" t="n">
        <v>33939</v>
      </c>
      <c r="Q3" s="0" t="n">
        <v>20775</v>
      </c>
      <c r="R3" s="0" t="n">
        <v>11704</v>
      </c>
      <c r="S3" s="0" t="n">
        <v>1082</v>
      </c>
      <c r="T3" s="0" t="n">
        <v>1660.8</v>
      </c>
      <c r="U3" s="0" t="n">
        <v>71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46385</v>
      </c>
      <c r="C4" s="0" t="n">
        <v>33213</v>
      </c>
      <c r="D4" s="0" t="n">
        <v>13172</v>
      </c>
      <c r="E4" s="0" t="n">
        <v>28.4</v>
      </c>
      <c r="F4" s="0" t="n">
        <v>2092</v>
      </c>
      <c r="G4" s="0" t="n">
        <v>4.5</v>
      </c>
      <c r="H4" s="0" t="n">
        <v>3635</v>
      </c>
      <c r="I4" s="0" t="n">
        <v>983</v>
      </c>
      <c r="J4" s="0" t="n">
        <v>2.1</v>
      </c>
      <c r="K4" s="0" t="n">
        <v>0.593</v>
      </c>
      <c r="L4" s="0" t="n">
        <v>3519</v>
      </c>
      <c r="M4" s="0" t="n">
        <v>1224</v>
      </c>
      <c r="N4" s="0" t="n">
        <v>2295</v>
      </c>
      <c r="O4" s="0" t="n">
        <v>13002</v>
      </c>
      <c r="P4" s="0" t="n">
        <v>34436</v>
      </c>
      <c r="Q4" s="0" t="n">
        <v>21408</v>
      </c>
      <c r="R4" s="0" t="n">
        <v>11650</v>
      </c>
      <c r="S4" s="0" t="n">
        <v>1555</v>
      </c>
      <c r="T4" s="0" t="n">
        <v>1636.4</v>
      </c>
      <c r="U4" s="0" t="n">
        <v>63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46702</v>
      </c>
      <c r="C5" s="0" t="n">
        <v>32913</v>
      </c>
      <c r="D5" s="0" t="n">
        <v>13789</v>
      </c>
      <c r="E5" s="0" t="n">
        <v>29.5</v>
      </c>
      <c r="F5" s="0" t="n">
        <v>2494</v>
      </c>
      <c r="G5" s="0" t="n">
        <v>5.3</v>
      </c>
      <c r="H5" s="0" t="n">
        <v>4062</v>
      </c>
      <c r="I5" s="0" t="n">
        <v>1502</v>
      </c>
      <c r="J5" s="0" t="n">
        <v>3.2</v>
      </c>
      <c r="K5" s="0" t="n">
        <v>0.938</v>
      </c>
      <c r="L5" s="0" t="n">
        <v>3209</v>
      </c>
      <c r="M5" s="0" t="n">
        <v>1259</v>
      </c>
      <c r="N5" s="0" t="n">
        <v>1950</v>
      </c>
      <c r="O5" s="0" t="n">
        <v>13012</v>
      </c>
      <c r="P5" s="0" t="n">
        <v>35106</v>
      </c>
      <c r="Q5" s="0" t="n">
        <v>22054</v>
      </c>
      <c r="R5" s="0" t="n">
        <v>11927</v>
      </c>
      <c r="S5" s="0" t="n">
        <v>2344</v>
      </c>
      <c r="T5" s="0" t="n">
        <v>1589.2</v>
      </c>
      <c r="U5" s="0" t="n">
        <v>57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46693</v>
      </c>
      <c r="C6" s="0" t="n">
        <v>32537</v>
      </c>
      <c r="D6" s="0" t="n">
        <v>14156</v>
      </c>
      <c r="E6" s="0" t="n">
        <v>30.3</v>
      </c>
      <c r="F6" s="0" t="n">
        <v>1923</v>
      </c>
      <c r="G6" s="0" t="n">
        <v>4.1</v>
      </c>
      <c r="H6" s="0" t="n">
        <v>3515</v>
      </c>
      <c r="I6" s="0" t="n">
        <v>766</v>
      </c>
      <c r="J6" s="0" t="n">
        <v>1.6</v>
      </c>
      <c r="K6" s="0" t="n">
        <v>0.497</v>
      </c>
      <c r="L6" s="0" t="n">
        <v>2501</v>
      </c>
      <c r="M6" s="0" t="n">
        <v>1334</v>
      </c>
      <c r="N6" s="0" t="n">
        <v>1167</v>
      </c>
      <c r="O6" s="0" t="n">
        <v>12119</v>
      </c>
      <c r="P6" s="0" t="n">
        <v>30153</v>
      </c>
      <c r="Q6" s="0" t="n">
        <v>17975</v>
      </c>
      <c r="R6" s="0" t="n">
        <v>8997</v>
      </c>
      <c r="S6" s="0" t="n">
        <v>1159</v>
      </c>
      <c r="T6" s="0" t="n">
        <v>1517.2</v>
      </c>
      <c r="U6" s="0" t="n">
        <v>49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48037</v>
      </c>
      <c r="C7" s="0" t="n">
        <v>33281</v>
      </c>
      <c r="D7" s="0" t="n">
        <v>14756</v>
      </c>
      <c r="E7" s="0" t="n">
        <v>30.7</v>
      </c>
      <c r="F7" s="0" t="n">
        <v>2270</v>
      </c>
      <c r="G7" s="0" t="n">
        <v>4.7</v>
      </c>
      <c r="H7" s="0" t="n">
        <v>4794</v>
      </c>
      <c r="I7" s="0" t="n">
        <v>1081</v>
      </c>
      <c r="J7" s="0" t="n">
        <v>2.3</v>
      </c>
      <c r="K7" s="0" t="n">
        <v>0.725</v>
      </c>
      <c r="L7" s="0" t="n">
        <v>3960</v>
      </c>
      <c r="M7" s="0" t="n">
        <v>1193</v>
      </c>
      <c r="N7" s="0" t="n">
        <v>2767</v>
      </c>
      <c r="O7" s="0" t="n">
        <v>11234</v>
      </c>
      <c r="P7" s="0" t="n">
        <v>36309</v>
      </c>
      <c r="Q7" s="0" t="n">
        <v>24988</v>
      </c>
      <c r="R7" s="0" t="n">
        <v>7841</v>
      </c>
      <c r="S7" s="0" t="n">
        <v>1190</v>
      </c>
      <c r="T7" s="0" t="n">
        <v>1473.6</v>
      </c>
      <c r="U7" s="0" t="n">
        <v>45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52714</v>
      </c>
      <c r="C8" s="0" t="n">
        <v>36725</v>
      </c>
      <c r="D8" s="0" t="n">
        <v>15989</v>
      </c>
      <c r="E8" s="0" t="n">
        <v>30.3</v>
      </c>
      <c r="F8" s="0" t="n">
        <v>2365</v>
      </c>
      <c r="G8" s="0" t="n">
        <v>4.5</v>
      </c>
      <c r="H8" s="0" t="n">
        <v>4961</v>
      </c>
      <c r="I8" s="0" t="n">
        <v>1108</v>
      </c>
      <c r="J8" s="0" t="n">
        <v>2.1</v>
      </c>
      <c r="K8" s="0" t="n">
        <v>0.765</v>
      </c>
      <c r="L8" s="0" t="n">
        <v>5191</v>
      </c>
      <c r="M8" s="0" t="n">
        <v>1158</v>
      </c>
      <c r="N8" s="0" t="n">
        <v>4033</v>
      </c>
      <c r="O8" s="0" t="n">
        <v>10988</v>
      </c>
      <c r="P8" s="0" t="n">
        <v>35870</v>
      </c>
      <c r="Q8" s="0" t="n">
        <v>24751</v>
      </c>
      <c r="R8" s="0" t="n">
        <v>7707</v>
      </c>
      <c r="S8" s="0" t="n">
        <v>1937</v>
      </c>
      <c r="T8" s="0" t="n">
        <v>1432.8</v>
      </c>
      <c r="U8" s="0" t="n">
        <v>49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53170</v>
      </c>
      <c r="C9" s="0" t="n">
        <v>36436</v>
      </c>
      <c r="D9" s="0" t="n">
        <v>16734</v>
      </c>
      <c r="E9" s="0" t="n">
        <v>31.5</v>
      </c>
      <c r="F9" s="0" t="n">
        <v>2937</v>
      </c>
      <c r="G9" s="0" t="n">
        <v>5.5</v>
      </c>
      <c r="H9" s="0" t="n">
        <v>5601</v>
      </c>
      <c r="I9" s="0" t="n">
        <v>1875</v>
      </c>
      <c r="J9" s="0" t="n">
        <v>3.5</v>
      </c>
      <c r="K9" s="0" t="n">
        <v>1.363</v>
      </c>
      <c r="L9" s="0" t="n">
        <v>4827</v>
      </c>
      <c r="M9" s="0" t="n">
        <v>1182</v>
      </c>
      <c r="N9" s="0" t="n">
        <v>3645</v>
      </c>
      <c r="O9" s="0" t="n">
        <v>11573</v>
      </c>
      <c r="P9" s="0" t="n">
        <v>36614</v>
      </c>
      <c r="Q9" s="0" t="n">
        <v>24877</v>
      </c>
      <c r="R9" s="0" t="n">
        <v>7715</v>
      </c>
      <c r="S9" s="0" t="n">
        <v>2440</v>
      </c>
      <c r="T9" s="0" t="n">
        <v>1367.2</v>
      </c>
      <c r="U9" s="0" t="n">
        <v>59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56504</v>
      </c>
      <c r="C10" s="0" t="n">
        <v>38528</v>
      </c>
      <c r="D10" s="0" t="n">
        <v>17976</v>
      </c>
      <c r="E10" s="0" t="n">
        <v>31.8</v>
      </c>
      <c r="F10" s="0" t="n">
        <v>3342</v>
      </c>
      <c r="G10" s="0" t="n">
        <v>5.9</v>
      </c>
      <c r="H10" s="0" t="n">
        <v>6137</v>
      </c>
      <c r="I10" s="0" t="n">
        <v>1921</v>
      </c>
      <c r="J10" s="0" t="n">
        <v>3.4</v>
      </c>
      <c r="K10" s="0" t="n">
        <v>1.438</v>
      </c>
      <c r="L10" s="0" t="n">
        <v>4755</v>
      </c>
      <c r="M10" s="0" t="n">
        <v>1571</v>
      </c>
      <c r="N10" s="0" t="n">
        <v>3184</v>
      </c>
      <c r="O10" s="0" t="n">
        <v>11299</v>
      </c>
      <c r="P10" s="0" t="n">
        <v>38147</v>
      </c>
      <c r="Q10" s="0" t="n">
        <v>26691</v>
      </c>
      <c r="R10" s="0" t="n">
        <v>8491</v>
      </c>
      <c r="S10" s="0" t="n">
        <v>1934</v>
      </c>
      <c r="T10" s="0" t="n">
        <v>1326.8</v>
      </c>
      <c r="U10" s="0" t="n">
        <v>69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59529</v>
      </c>
      <c r="C11" s="0" t="n">
        <v>40492</v>
      </c>
      <c r="D11" s="0" t="n">
        <v>19037</v>
      </c>
      <c r="E11" s="0" t="n">
        <v>32</v>
      </c>
      <c r="F11" s="0" t="n">
        <v>3704</v>
      </c>
      <c r="G11" s="0" t="n">
        <v>6.2</v>
      </c>
      <c r="H11" s="0" t="n">
        <v>6610</v>
      </c>
      <c r="I11" s="0" t="n">
        <v>2100</v>
      </c>
      <c r="J11" s="0" t="n">
        <v>3.5</v>
      </c>
      <c r="K11" s="0" t="n">
        <v>1.63</v>
      </c>
      <c r="L11" s="0" t="n">
        <v>5654</v>
      </c>
      <c r="M11" s="0" t="n">
        <v>2072</v>
      </c>
      <c r="N11" s="0" t="n">
        <v>3582</v>
      </c>
      <c r="O11" s="0" t="n">
        <v>11464</v>
      </c>
      <c r="P11" s="0" t="n">
        <v>38979</v>
      </c>
      <c r="Q11" s="0" t="n">
        <v>27360</v>
      </c>
      <c r="R11" s="0" t="n">
        <v>8715</v>
      </c>
      <c r="S11" s="0" t="n">
        <v>1952</v>
      </c>
      <c r="T11" s="0" t="n">
        <v>1280</v>
      </c>
      <c r="U11" s="0" t="n">
        <v>72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61014</v>
      </c>
      <c r="C12" s="0" t="n">
        <v>41288</v>
      </c>
      <c r="D12" s="0" t="n">
        <v>19726</v>
      </c>
      <c r="E12" s="0" t="n">
        <v>32.3</v>
      </c>
      <c r="F12" s="0" t="n">
        <v>3902</v>
      </c>
      <c r="G12" s="0" t="n">
        <v>6.4</v>
      </c>
      <c r="H12" s="0" t="n">
        <v>6868</v>
      </c>
      <c r="I12" s="0" t="n">
        <v>2171</v>
      </c>
      <c r="J12" s="0" t="n">
        <v>3.6</v>
      </c>
      <c r="K12" s="0" t="n">
        <v>1.748</v>
      </c>
      <c r="L12" s="0" t="n">
        <v>5802</v>
      </c>
      <c r="M12" s="0" t="n">
        <v>2200</v>
      </c>
      <c r="N12" s="0" t="n">
        <v>3602</v>
      </c>
      <c r="O12" s="0" t="n">
        <v>11091</v>
      </c>
      <c r="P12" s="0" t="n">
        <v>40880</v>
      </c>
      <c r="Q12" s="0" t="n">
        <v>29614</v>
      </c>
      <c r="R12" s="0" t="n">
        <v>9001</v>
      </c>
      <c r="S12" s="0" t="n">
        <v>2110</v>
      </c>
      <c r="T12" s="0" t="n">
        <v>1234</v>
      </c>
      <c r="U12" s="0" t="n">
        <v>67</v>
      </c>
      <c r="X12" s="0" t="n">
        <v>60123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63903</v>
      </c>
      <c r="C13" s="0" t="n">
        <v>43871</v>
      </c>
      <c r="D13" s="0" t="n">
        <v>20032</v>
      </c>
      <c r="E13" s="0" t="n">
        <v>31.3</v>
      </c>
      <c r="F13" s="0" t="n">
        <v>4424</v>
      </c>
      <c r="G13" s="0" t="n">
        <v>6.9</v>
      </c>
      <c r="H13" s="0" t="n">
        <v>7158</v>
      </c>
      <c r="I13" s="0" t="n">
        <v>2667</v>
      </c>
      <c r="J13" s="0" t="n">
        <v>4.2</v>
      </c>
      <c r="K13" s="0" t="n">
        <v>2.224</v>
      </c>
      <c r="L13" s="0" t="n">
        <v>6264</v>
      </c>
      <c r="M13" s="0" t="n">
        <v>2062</v>
      </c>
      <c r="N13" s="0" t="n">
        <v>4202</v>
      </c>
      <c r="O13" s="0" t="n">
        <v>11028</v>
      </c>
      <c r="P13" s="0" t="n">
        <v>41577</v>
      </c>
      <c r="Q13" s="0" t="n">
        <v>30385</v>
      </c>
      <c r="R13" s="0" t="n">
        <v>5891</v>
      </c>
      <c r="S13" s="0" t="n">
        <v>1041</v>
      </c>
      <c r="T13" s="0" t="n">
        <v>1199.4</v>
      </c>
      <c r="U13" s="0" t="n">
        <v>69</v>
      </c>
      <c r="X13" s="0" t="n">
        <v>63903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62.64</v>
      </c>
    </row>
    <row r="3" customFormat="false" ht="15" hidden="false" customHeight="false" outlineLevel="0" collapsed="false">
      <c r="A3" s="0" t="s">
        <v>78</v>
      </c>
      <c r="B3" s="3" t="n">
        <v>1165.6</v>
      </c>
    </row>
    <row r="4" customFormat="false" ht="15" hidden="false" customHeight="false" outlineLevel="0" collapsed="false">
      <c r="A4" s="0" t="s">
        <v>79</v>
      </c>
      <c r="B4" s="3" t="n">
        <v>4944</v>
      </c>
    </row>
    <row r="5" customFormat="false" ht="15" hidden="false" customHeight="false" outlineLevel="0" collapsed="false">
      <c r="A5" s="0" t="s">
        <v>80</v>
      </c>
      <c r="B5" s="3" t="n">
        <v>59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63903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1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11.2</v>
      </c>
      <c r="D14" s="3" t="n">
        <v>11</v>
      </c>
      <c r="E14" s="3" t="n">
        <v>10.85</v>
      </c>
      <c r="F14" s="3" t="n">
        <v>10.7</v>
      </c>
      <c r="G14" s="3" t="n">
        <v>10.6</v>
      </c>
      <c r="H14" s="3" t="n">
        <v>10.5</v>
      </c>
      <c r="I14" s="3" t="n">
        <v>10.5</v>
      </c>
      <c r="J14" s="3" t="n">
        <v>10.5</v>
      </c>
      <c r="K14" s="3" t="n">
        <v>10.5</v>
      </c>
      <c r="L14" s="3" t="n">
        <v>10.5</v>
      </c>
    </row>
    <row r="15" customFormat="false" ht="15" hidden="false" customHeight="false" outlineLevel="0" collapsed="false">
      <c r="A15" s="0" t="s">
        <v>100</v>
      </c>
      <c r="C15" s="3" t="n">
        <v>0.11</v>
      </c>
      <c r="D15" s="3" t="n">
        <v>0.11</v>
      </c>
      <c r="E15" s="3" t="n">
        <v>0.11</v>
      </c>
      <c r="F15" s="3" t="n">
        <v>0.11</v>
      </c>
      <c r="G15" s="3" t="n">
        <v>0.11</v>
      </c>
      <c r="H15" s="3" t="n">
        <v>0.11</v>
      </c>
      <c r="I15" s="3" t="n">
        <v>0.11</v>
      </c>
      <c r="J15" s="3" t="n">
        <v>0.11</v>
      </c>
      <c r="K15" s="3" t="n">
        <v>0.11</v>
      </c>
      <c r="L15" s="3" t="n">
        <v>0.11</v>
      </c>
    </row>
    <row r="16" customFormat="false" ht="15" hidden="false" customHeight="false" outlineLevel="0" collapsed="false">
      <c r="A16" s="0" t="s">
        <v>101</v>
      </c>
      <c r="C16" s="3" t="n">
        <v>2.7</v>
      </c>
      <c r="D16" s="3" t="n">
        <v>2.75</v>
      </c>
      <c r="E16" s="3" t="n">
        <v>2.75</v>
      </c>
      <c r="F16" s="3" t="n">
        <v>2.8</v>
      </c>
      <c r="G16" s="3" t="n">
        <v>2.8</v>
      </c>
      <c r="H16" s="3" t="n">
        <v>2.8</v>
      </c>
      <c r="I16" s="3" t="n">
        <v>2.8</v>
      </c>
      <c r="J16" s="3" t="n">
        <v>2.8</v>
      </c>
      <c r="K16" s="3" t="n">
        <v>2.8</v>
      </c>
      <c r="L16" s="3" t="n">
        <v>2.8</v>
      </c>
    </row>
    <row r="17" customFormat="false" ht="15" hidden="false" customHeight="false" outlineLevel="0" collapsed="false">
      <c r="A17" s="0" t="s">
        <v>102</v>
      </c>
      <c r="C17" s="3" t="n">
        <v>2.25</v>
      </c>
      <c r="D17" s="3" t="n">
        <v>2.3</v>
      </c>
      <c r="E17" s="3" t="n">
        <v>2.35</v>
      </c>
      <c r="F17" s="3" t="n">
        <v>2.4</v>
      </c>
      <c r="G17" s="3" t="n">
        <v>2.45</v>
      </c>
      <c r="H17" s="3" t="n">
        <v>2.5</v>
      </c>
      <c r="I17" s="3" t="n">
        <v>2.55</v>
      </c>
      <c r="J17" s="3" t="n">
        <v>2.6</v>
      </c>
      <c r="K17" s="3" t="n">
        <v>2.65</v>
      </c>
      <c r="L17" s="3" t="n">
        <v>2.7</v>
      </c>
    </row>
    <row r="18" customFormat="false" ht="15" hidden="false" customHeight="false" outlineLevel="0" collapsed="false">
      <c r="A18" s="0" t="s">
        <v>103</v>
      </c>
      <c r="C18" s="3" t="n">
        <v>3.65</v>
      </c>
      <c r="D18" s="3" t="n">
        <v>3.6</v>
      </c>
      <c r="E18" s="3" t="n">
        <v>3.5</v>
      </c>
      <c r="F18" s="3" t="n">
        <v>3.45</v>
      </c>
      <c r="G18" s="3" t="n">
        <v>3.4</v>
      </c>
      <c r="H18" s="3" t="n">
        <v>3.35</v>
      </c>
      <c r="I18" s="3" t="n">
        <v>3.3</v>
      </c>
      <c r="J18" s="3" t="n">
        <v>3.3</v>
      </c>
      <c r="K18" s="3" t="n">
        <v>3.3</v>
      </c>
      <c r="L18" s="3" t="n">
        <v>3.3</v>
      </c>
    </row>
    <row r="19" customFormat="false" ht="15" hidden="false" customHeight="false" outlineLevel="0" collapsed="false">
      <c r="A19" s="0" t="s">
        <v>104</v>
      </c>
      <c r="C19" s="3" t="n">
        <v>26</v>
      </c>
      <c r="D19" s="3" t="n">
        <v>26.5</v>
      </c>
      <c r="E19" s="3" t="n">
        <v>26.5</v>
      </c>
      <c r="F19" s="3" t="n">
        <v>26.5</v>
      </c>
      <c r="G19" s="3" t="n">
        <v>26.5</v>
      </c>
      <c r="H19" s="3" t="n">
        <v>26.5</v>
      </c>
      <c r="I19" s="3" t="n">
        <v>26.5</v>
      </c>
      <c r="J19" s="3" t="n">
        <v>26.5</v>
      </c>
      <c r="K19" s="3" t="n">
        <v>26.5</v>
      </c>
      <c r="L19" s="3" t="n">
        <v>26.5</v>
      </c>
    </row>
    <row r="20" customFormat="false" ht="15" hidden="false" customHeight="false" outlineLevel="0" collapsed="false">
      <c r="A20" s="0" t="s">
        <v>105</v>
      </c>
      <c r="B20" s="3" t="n">
        <v>7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-5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</v>
      </c>
      <c r="D27" s="3" t="n">
        <v>3.5</v>
      </c>
      <c r="E27" s="3" t="n">
        <v>3.5</v>
      </c>
      <c r="F27" s="3" t="n">
        <v>3.5</v>
      </c>
      <c r="G27" s="3" t="n">
        <v>3.25</v>
      </c>
      <c r="H27" s="3" t="n">
        <v>3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11.4</v>
      </c>
      <c r="D28" s="3" t="n">
        <v>11.5</v>
      </c>
      <c r="E28" s="3" t="n">
        <v>11.6</v>
      </c>
      <c r="F28" s="3" t="n">
        <v>11.7</v>
      </c>
      <c r="G28" s="3" t="n">
        <v>11.75</v>
      </c>
      <c r="H28" s="3" t="n">
        <v>11.8</v>
      </c>
      <c r="I28" s="3" t="n">
        <v>11.8</v>
      </c>
      <c r="J28" s="3" t="n">
        <v>11.8</v>
      </c>
      <c r="K28" s="3" t="n">
        <v>11.8</v>
      </c>
      <c r="L28" s="3" t="n">
        <v>11.8</v>
      </c>
    </row>
    <row r="29" customFormat="false" ht="15" hidden="false" customHeight="false" outlineLevel="0" collapsed="false">
      <c r="A29" s="0" t="s">
        <v>100</v>
      </c>
      <c r="C29" s="3" t="n">
        <v>0.11</v>
      </c>
      <c r="D29" s="3" t="n">
        <v>0.11</v>
      </c>
      <c r="E29" s="3" t="n">
        <v>0.11</v>
      </c>
      <c r="F29" s="3" t="n">
        <v>0.11</v>
      </c>
      <c r="G29" s="3" t="n">
        <v>0.11</v>
      </c>
      <c r="H29" s="3" t="n">
        <v>0.11</v>
      </c>
      <c r="I29" s="3" t="n">
        <v>0.11</v>
      </c>
      <c r="J29" s="3" t="n">
        <v>0.11</v>
      </c>
      <c r="K29" s="3" t="n">
        <v>0.11</v>
      </c>
      <c r="L29" s="3" t="n">
        <v>0.11</v>
      </c>
    </row>
    <row r="30" customFormat="false" ht="15" hidden="false" customHeight="false" outlineLevel="0" collapsed="false">
      <c r="A30" s="0" t="s">
        <v>101</v>
      </c>
      <c r="C30" s="3" t="n">
        <v>2.65</v>
      </c>
      <c r="D30" s="3" t="n">
        <v>2.65</v>
      </c>
      <c r="E30" s="3" t="n">
        <v>2.65</v>
      </c>
      <c r="F30" s="3" t="n">
        <v>2.65</v>
      </c>
      <c r="G30" s="3" t="n">
        <v>2.65</v>
      </c>
      <c r="H30" s="3" t="n">
        <v>2.65</v>
      </c>
      <c r="I30" s="3" t="n">
        <v>2.65</v>
      </c>
      <c r="J30" s="3" t="n">
        <v>2.65</v>
      </c>
      <c r="K30" s="3" t="n">
        <v>2.65</v>
      </c>
      <c r="L30" s="3" t="n">
        <v>2.65</v>
      </c>
    </row>
    <row r="31" customFormat="false" ht="15" hidden="false" customHeight="false" outlineLevel="0" collapsed="false">
      <c r="A31" s="0" t="s">
        <v>102</v>
      </c>
      <c r="C31" s="3" t="n">
        <v>2.25</v>
      </c>
      <c r="D31" s="3" t="n">
        <v>2.3</v>
      </c>
      <c r="E31" s="3" t="n">
        <v>2.35</v>
      </c>
      <c r="F31" s="3" t="n">
        <v>2.4</v>
      </c>
      <c r="G31" s="3" t="n">
        <v>2.45</v>
      </c>
      <c r="H31" s="3" t="n">
        <v>2.5</v>
      </c>
      <c r="I31" s="3" t="n">
        <v>2.55</v>
      </c>
      <c r="J31" s="3" t="n">
        <v>2.6</v>
      </c>
      <c r="K31" s="3" t="n">
        <v>2.65</v>
      </c>
      <c r="L31" s="3" t="n">
        <v>2.7</v>
      </c>
    </row>
    <row r="32" customFormat="false" ht="15" hidden="false" customHeight="false" outlineLevel="0" collapsed="false">
      <c r="A32" s="0" t="s">
        <v>103</v>
      </c>
      <c r="C32" s="3" t="n">
        <v>3.65</v>
      </c>
      <c r="D32" s="3" t="n">
        <v>3.6</v>
      </c>
      <c r="E32" s="3" t="n">
        <v>3.5</v>
      </c>
      <c r="F32" s="3" t="n">
        <v>3.4</v>
      </c>
      <c r="G32" s="3" t="n">
        <v>3.35</v>
      </c>
      <c r="H32" s="3" t="n">
        <v>3.3</v>
      </c>
      <c r="I32" s="3" t="n">
        <v>3.25</v>
      </c>
      <c r="J32" s="3" t="n">
        <v>3.2</v>
      </c>
      <c r="K32" s="3" t="n">
        <v>3.15</v>
      </c>
      <c r="L32" s="3" t="n">
        <v>3.1</v>
      </c>
    </row>
    <row r="33" customFormat="false" ht="15" hidden="false" customHeight="false" outlineLevel="0" collapsed="false">
      <c r="A33" s="0" t="s">
        <v>104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105</v>
      </c>
      <c r="B34" s="3" t="n">
        <v>7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18</v>
      </c>
    </row>
    <row r="37" customFormat="false" ht="15" hidden="false" customHeight="false" outlineLevel="0" collapsed="false">
      <c r="A37" s="0" t="s">
        <v>108</v>
      </c>
      <c r="B37" s="3" t="n">
        <v>-5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3</v>
      </c>
      <c r="D41" s="3" t="n">
        <v>4.5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11.5</v>
      </c>
      <c r="D42" s="3" t="n">
        <v>11.7</v>
      </c>
      <c r="E42" s="3" t="n">
        <v>11.9</v>
      </c>
      <c r="F42" s="3" t="n">
        <v>12.1</v>
      </c>
      <c r="G42" s="3" t="n">
        <v>12.25</v>
      </c>
      <c r="H42" s="3" t="n">
        <v>12.4</v>
      </c>
      <c r="I42" s="3" t="n">
        <v>12.5</v>
      </c>
      <c r="J42" s="3" t="n">
        <v>12.5</v>
      </c>
      <c r="K42" s="3" t="n">
        <v>12.5</v>
      </c>
      <c r="L42" s="3" t="n">
        <v>12.5</v>
      </c>
    </row>
    <row r="43" customFormat="false" ht="15" hidden="false" customHeight="false" outlineLevel="0" collapsed="false">
      <c r="A43" s="0" t="s">
        <v>100</v>
      </c>
      <c r="C43" s="3" t="n">
        <v>0.11</v>
      </c>
      <c r="D43" s="3" t="n">
        <v>0.11</v>
      </c>
      <c r="E43" s="3" t="n">
        <v>0.11</v>
      </c>
      <c r="F43" s="3" t="n">
        <v>0.11</v>
      </c>
      <c r="G43" s="3" t="n">
        <v>0.11</v>
      </c>
      <c r="H43" s="3" t="n">
        <v>0.11</v>
      </c>
      <c r="I43" s="3" t="n">
        <v>0.11</v>
      </c>
      <c r="J43" s="3" t="n">
        <v>0.11</v>
      </c>
      <c r="K43" s="3" t="n">
        <v>0.11</v>
      </c>
      <c r="L43" s="3" t="n">
        <v>0.11</v>
      </c>
    </row>
    <row r="44" customFormat="false" ht="15" hidden="false" customHeight="false" outlineLevel="0" collapsed="false">
      <c r="A44" s="0" t="s">
        <v>101</v>
      </c>
      <c r="C44" s="3" t="n">
        <v>2.6</v>
      </c>
      <c r="D44" s="3" t="n">
        <v>2.6</v>
      </c>
      <c r="E44" s="3" t="n">
        <v>2.6</v>
      </c>
      <c r="F44" s="3" t="n">
        <v>2.6</v>
      </c>
      <c r="G44" s="3" t="n">
        <v>2.6</v>
      </c>
      <c r="H44" s="3" t="n">
        <v>2.6</v>
      </c>
      <c r="I44" s="3" t="n">
        <v>2.6</v>
      </c>
      <c r="J44" s="3" t="n">
        <v>2.6</v>
      </c>
      <c r="K44" s="3" t="n">
        <v>2.6</v>
      </c>
      <c r="L44" s="3" t="n">
        <v>2.6</v>
      </c>
    </row>
    <row r="45" customFormat="false" ht="15" hidden="false" customHeight="false" outlineLevel="0" collapsed="false">
      <c r="A45" s="0" t="s">
        <v>102</v>
      </c>
      <c r="C45" s="3" t="n">
        <v>2.25</v>
      </c>
      <c r="D45" s="3" t="n">
        <v>2.3</v>
      </c>
      <c r="E45" s="3" t="n">
        <v>2.35</v>
      </c>
      <c r="F45" s="3" t="n">
        <v>2.4</v>
      </c>
      <c r="G45" s="3" t="n">
        <v>2.45</v>
      </c>
      <c r="H45" s="3" t="n">
        <v>2.5</v>
      </c>
      <c r="I45" s="3" t="n">
        <v>2.55</v>
      </c>
      <c r="J45" s="3" t="n">
        <v>2.6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103</v>
      </c>
      <c r="C46" s="3" t="n">
        <v>3.6</v>
      </c>
      <c r="D46" s="3" t="n">
        <v>3.5</v>
      </c>
      <c r="E46" s="3" t="n">
        <v>3.4</v>
      </c>
      <c r="F46" s="3" t="n">
        <v>3.3</v>
      </c>
      <c r="G46" s="3" t="n">
        <v>3.2</v>
      </c>
      <c r="H46" s="3" t="n">
        <v>3.1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104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105</v>
      </c>
      <c r="B48" s="3" t="n">
        <v>7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20</v>
      </c>
    </row>
    <row r="51" customFormat="false" ht="15" hidden="false" customHeight="false" outlineLevel="0" collapsed="false">
      <c r="A51" s="0" t="s">
        <v>108</v>
      </c>
      <c r="B51" s="3" t="n">
        <v>-5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1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63903</v>
      </c>
      <c r="C6" s="0" t="n">
        <f aca="false">B6*(1+C5/100)</f>
        <v>64542.03</v>
      </c>
      <c r="D6" s="0" t="n">
        <f aca="false">C6*(1+D5/100)</f>
        <v>65832.8706</v>
      </c>
      <c r="E6" s="0" t="n">
        <f aca="false">D6*(1+E5/100)</f>
        <v>67149.528012</v>
      </c>
      <c r="F6" s="0" t="n">
        <f aca="false">E6*(1+F5/100)</f>
        <v>68492.51857224</v>
      </c>
      <c r="G6" s="0" t="n">
        <f aca="false">F6*(1+G5/100)</f>
        <v>69862.3689436848</v>
      </c>
      <c r="H6" s="0" t="n">
        <f aca="false">G6*(1+H5/100)</f>
        <v>71259.6163225585</v>
      </c>
      <c r="I6" s="0" t="n">
        <f aca="false">H6*(1+I5/100)</f>
        <v>72684.8086490097</v>
      </c>
      <c r="J6" s="0" t="n">
        <f aca="false">I6*(1+J5/100)</f>
        <v>74138.5048219899</v>
      </c>
      <c r="K6" s="0" t="n">
        <f aca="false">J6*(1+K5/100)</f>
        <v>75621.2749184297</v>
      </c>
      <c r="L6" s="0" t="n">
        <f aca="false">K6*(1+L5/100)</f>
        <v>77133.7004167983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11.2</v>
      </c>
      <c r="D7" s="4" t="n">
        <f aca="false">Assumptions!D14</f>
        <v>11</v>
      </c>
      <c r="E7" s="4" t="n">
        <f aca="false">Assumptions!E14</f>
        <v>10.85</v>
      </c>
      <c r="F7" s="4" t="n">
        <f aca="false">Assumptions!F14</f>
        <v>10.7</v>
      </c>
      <c r="G7" s="4" t="n">
        <f aca="false">Assumptions!G14</f>
        <v>10.6</v>
      </c>
      <c r="H7" s="4" t="n">
        <f aca="false">Assumptions!H14</f>
        <v>10.5</v>
      </c>
      <c r="I7" s="4" t="n">
        <f aca="false">Assumptions!I14</f>
        <v>10.5</v>
      </c>
      <c r="J7" s="4" t="n">
        <f aca="false">Assumptions!J14</f>
        <v>10.5</v>
      </c>
      <c r="K7" s="4" t="n">
        <f aca="false">Assumptions!K14</f>
        <v>10.5</v>
      </c>
      <c r="L7" s="4" t="n">
        <f aca="false">Assumptions!L14</f>
        <v>10.5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7228.70736</v>
      </c>
      <c r="D8" s="0" t="n">
        <f aca="false">D6*D7/100</f>
        <v>7241.615766</v>
      </c>
      <c r="E8" s="0" t="n">
        <f aca="false">E6*E7/100</f>
        <v>7285.723789302</v>
      </c>
      <c r="F8" s="0" t="n">
        <f aca="false">F6*F7/100</f>
        <v>7328.69948722968</v>
      </c>
      <c r="G8" s="0" t="n">
        <f aca="false">G6*G7/100</f>
        <v>7405.41110803059</v>
      </c>
      <c r="H8" s="0" t="n">
        <f aca="false">H6*H7/100</f>
        <v>7482.25971386864</v>
      </c>
      <c r="I8" s="0" t="n">
        <f aca="false">I6*I7/100</f>
        <v>7631.90490814601</v>
      </c>
      <c r="J8" s="0" t="n">
        <f aca="false">J6*J7/100</f>
        <v>7784.54300630894</v>
      </c>
      <c r="K8" s="0" t="n">
        <f aca="false">K6*K7/100</f>
        <v>7940.23386643511</v>
      </c>
      <c r="L8" s="0" t="n">
        <f aca="false">L6*L7/100</f>
        <v>8099.03854376382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0.11</v>
      </c>
      <c r="D9" s="4" t="n">
        <f aca="false">Assumptions!D15</f>
        <v>0.11</v>
      </c>
      <c r="E9" s="4" t="n">
        <f aca="false">Assumptions!E15</f>
        <v>0.11</v>
      </c>
      <c r="F9" s="4" t="n">
        <f aca="false">Assumptions!F15</f>
        <v>0.11</v>
      </c>
      <c r="G9" s="4" t="n">
        <f aca="false">Assumptions!G15</f>
        <v>0.11</v>
      </c>
      <c r="H9" s="4" t="n">
        <f aca="false">Assumptions!H15</f>
        <v>0.11</v>
      </c>
      <c r="I9" s="4" t="n">
        <f aca="false">Assumptions!I15</f>
        <v>0.11</v>
      </c>
      <c r="J9" s="4" t="n">
        <f aca="false">Assumptions!J15</f>
        <v>0.11</v>
      </c>
      <c r="K9" s="4" t="n">
        <f aca="false">Assumptions!K15</f>
        <v>0.11</v>
      </c>
      <c r="L9" s="4" t="n">
        <f aca="false">Assumptions!L15</f>
        <v>0.11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-70.996233</v>
      </c>
      <c r="D10" s="0" t="n">
        <f aca="false">-D6*D9/100</f>
        <v>-72.41615766</v>
      </c>
      <c r="E10" s="0" t="n">
        <f aca="false">-E6*E9/100</f>
        <v>-73.8644808132</v>
      </c>
      <c r="F10" s="0" t="n">
        <f aca="false">-F6*F9/100</f>
        <v>-75.341770429464</v>
      </c>
      <c r="G10" s="0" t="n">
        <f aca="false">-G6*G9/100</f>
        <v>-76.8486058380533</v>
      </c>
      <c r="H10" s="0" t="n">
        <f aca="false">-H6*H9/100</f>
        <v>-78.3855779548143</v>
      </c>
      <c r="I10" s="0" t="n">
        <f aca="false">-I6*I9/100</f>
        <v>-79.9532895139106</v>
      </c>
      <c r="J10" s="0" t="n">
        <f aca="false">-J6*J9/100</f>
        <v>-81.5523553041889</v>
      </c>
      <c r="K10" s="0" t="n">
        <f aca="false">-K6*K9/100</f>
        <v>-83.1834024102726</v>
      </c>
      <c r="L10" s="0" t="n">
        <f aca="false">-L6*L9/100</f>
        <v>-84.8470704584781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5415.076317</v>
      </c>
      <c r="D11" s="0" t="n">
        <f aca="false">D8+D10+D24</f>
        <v>5358.79566684</v>
      </c>
      <c r="E11" s="0" t="n">
        <f aca="false">E8+E10+E24</f>
        <v>5365.2472881588</v>
      </c>
      <c r="F11" s="0" t="n">
        <f aca="false">F8+F10+F24</f>
        <v>5335.5671967775</v>
      </c>
      <c r="G11" s="0" t="n">
        <f aca="false">G8+G10+G24</f>
        <v>5372.41617176936</v>
      </c>
      <c r="H11" s="0" t="n">
        <f aca="false">H8+H10+H24</f>
        <v>5408.60487888219</v>
      </c>
      <c r="I11" s="0" t="n">
        <f aca="false">I8+I10+I24</f>
        <v>5516.77697645983</v>
      </c>
      <c r="J11" s="0" t="n">
        <f aca="false">J8+J10+J24</f>
        <v>5627.11251598903</v>
      </c>
      <c r="K11" s="0" t="n">
        <f aca="false">K8+K10+K24</f>
        <v>5739.65476630881</v>
      </c>
      <c r="L11" s="0" t="n">
        <f aca="false">L8+L10+L24</f>
        <v>5854.44786163499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-1452.195675</v>
      </c>
      <c r="D12" s="4" t="n">
        <f aca="false">-D6*Assumptions!D17/100</f>
        <v>-1514.1560238</v>
      </c>
      <c r="E12" s="4" t="n">
        <f aca="false">-E6*Assumptions!E17/100</f>
        <v>-1578.013908282</v>
      </c>
      <c r="F12" s="4" t="n">
        <f aca="false">-F6*Assumptions!F17/100</f>
        <v>-1643.82044573376</v>
      </c>
      <c r="G12" s="4" t="n">
        <f aca="false">-G6*Assumptions!G17/100</f>
        <v>-1711.62803912028</v>
      </c>
      <c r="H12" s="4" t="n">
        <f aca="false">-H6*Assumptions!H17/100</f>
        <v>-1781.49040806396</v>
      </c>
      <c r="I12" s="4" t="n">
        <f aca="false">-I6*Assumptions!I17/100</f>
        <v>-1853.46262054975</v>
      </c>
      <c r="J12" s="4" t="n">
        <f aca="false">-J6*Assumptions!J17/100</f>
        <v>-1927.60112537174</v>
      </c>
      <c r="K12" s="4" t="n">
        <f aca="false">-K6*Assumptions!K17/100</f>
        <v>-2003.96378533839</v>
      </c>
      <c r="L12" s="4" t="n">
        <f aca="false">-L6*Assumptions!L17/100</f>
        <v>-2082.60991125355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3962.880642</v>
      </c>
      <c r="D13" s="0" t="n">
        <f aca="false">D11+D12</f>
        <v>3844.63964304</v>
      </c>
      <c r="E13" s="0" t="n">
        <f aca="false">E11+E12</f>
        <v>3787.2333798768</v>
      </c>
      <c r="F13" s="0" t="n">
        <f aca="false">F11+F12</f>
        <v>3691.74675104374</v>
      </c>
      <c r="G13" s="0" t="n">
        <f aca="false">G11+G12</f>
        <v>3660.78813264908</v>
      </c>
      <c r="H13" s="0" t="n">
        <f aca="false">H11+H12</f>
        <v>3627.11447081823</v>
      </c>
      <c r="I13" s="0" t="n">
        <f aca="false">I11+I12</f>
        <v>3663.31435591009</v>
      </c>
      <c r="J13" s="0" t="n">
        <f aca="false">J11+J12</f>
        <v>3699.51139061729</v>
      </c>
      <c r="K13" s="0" t="n">
        <f aca="false">K11+K12</f>
        <v>3735.69098097043</v>
      </c>
      <c r="L13" s="0" t="n">
        <f aca="false">L11+L12</f>
        <v>3771.83795038143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26</v>
      </c>
      <c r="D14" s="4" t="n">
        <f aca="false">Assumptions!D19</f>
        <v>26.5</v>
      </c>
      <c r="E14" s="4" t="n">
        <f aca="false">Assumptions!E19</f>
        <v>26.5</v>
      </c>
      <c r="F14" s="4" t="n">
        <f aca="false">Assumptions!F19</f>
        <v>26.5</v>
      </c>
      <c r="G14" s="4" t="n">
        <f aca="false">Assumptions!G19</f>
        <v>26.5</v>
      </c>
      <c r="H14" s="4" t="n">
        <f aca="false">Assumptions!H19</f>
        <v>26.5</v>
      </c>
      <c r="I14" s="4" t="n">
        <f aca="false">Assumptions!I19</f>
        <v>26.5</v>
      </c>
      <c r="J14" s="4" t="n">
        <f aca="false">Assumptions!J19</f>
        <v>26.5</v>
      </c>
      <c r="K14" s="4" t="n">
        <f aca="false">Assumptions!K19</f>
        <v>26.5</v>
      </c>
      <c r="L14" s="4" t="n">
        <f aca="false">Assumptions!L19</f>
        <v>26.5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2932.53167508</v>
      </c>
      <c r="D15" s="0" t="n">
        <f aca="false">D13-MAX(0,D13)*D14/100</f>
        <v>2825.8101376344</v>
      </c>
      <c r="E15" s="0" t="n">
        <f aca="false">E13-MAX(0,E13)*E14/100</f>
        <v>2783.61653420945</v>
      </c>
      <c r="F15" s="0" t="n">
        <f aca="false">F13-MAX(0,F13)*F14/100</f>
        <v>2713.43386201715</v>
      </c>
      <c r="G15" s="0" t="n">
        <f aca="false">G13-MAX(0,G13)*G14/100</f>
        <v>2690.67927749708</v>
      </c>
      <c r="H15" s="0" t="n">
        <f aca="false">H13-MAX(0,H13)*H14/100</f>
        <v>2665.9291360514</v>
      </c>
      <c r="I15" s="0" t="n">
        <f aca="false">I13-MAX(0,I13)*I14/100</f>
        <v>2692.53605159391</v>
      </c>
      <c r="J15" s="0" t="n">
        <f aca="false">J13-MAX(0,J13)*J14/100</f>
        <v>2719.14087210371</v>
      </c>
      <c r="K15" s="0" t="n">
        <f aca="false">K13-MAX(0,K13)*K14/100</f>
        <v>2745.73287101326</v>
      </c>
      <c r="L15" s="0" t="n">
        <f aca="false">L13-MAX(0,L13)*L14/100</f>
        <v>2772.30089353035</v>
      </c>
    </row>
    <row r="16" customFormat="false" ht="15" hidden="false" customHeight="false" outlineLevel="0" collapsed="false">
      <c r="A16" s="0" t="s">
        <v>120</v>
      </c>
      <c r="C16" s="0" t="n">
        <f aca="false">-C12</f>
        <v>1452.195675</v>
      </c>
      <c r="D16" s="0" t="n">
        <f aca="false">-D12</f>
        <v>1514.1560238</v>
      </c>
      <c r="E16" s="0" t="n">
        <f aca="false">-E12</f>
        <v>1578.013908282</v>
      </c>
      <c r="F16" s="0" t="n">
        <f aca="false">-F12</f>
        <v>1643.82044573376</v>
      </c>
      <c r="G16" s="0" t="n">
        <f aca="false">-G12</f>
        <v>1711.62803912028</v>
      </c>
      <c r="H16" s="0" t="n">
        <f aca="false">-H12</f>
        <v>1781.49040806396</v>
      </c>
      <c r="I16" s="0" t="n">
        <f aca="false">-I12</f>
        <v>1853.46262054975</v>
      </c>
      <c r="J16" s="0" t="n">
        <f aca="false">-J12</f>
        <v>1927.60112537174</v>
      </c>
      <c r="K16" s="0" t="n">
        <f aca="false">-K12</f>
        <v>2003.96378533839</v>
      </c>
      <c r="L16" s="0" t="n">
        <f aca="false">-L12</f>
        <v>2082.60991125355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-2355.784095</v>
      </c>
      <c r="D17" s="4" t="n">
        <f aca="false">-D6*Assumptions!D18/100</f>
        <v>-2369.9833416</v>
      </c>
      <c r="E17" s="4" t="n">
        <f aca="false">-E6*Assumptions!E18/100</f>
        <v>-2350.23348042</v>
      </c>
      <c r="F17" s="4" t="n">
        <f aca="false">-F6*Assumptions!F18/100</f>
        <v>-2362.99189074228</v>
      </c>
      <c r="G17" s="4" t="n">
        <f aca="false">-G6*Assumptions!G18/100</f>
        <v>-2375.32054408528</v>
      </c>
      <c r="H17" s="4" t="n">
        <f aca="false">-H6*Assumptions!H18/100</f>
        <v>-2387.19714680571</v>
      </c>
      <c r="I17" s="4" t="n">
        <f aca="false">-I6*Assumptions!I18/100</f>
        <v>-2398.59868541732</v>
      </c>
      <c r="J17" s="4" t="n">
        <f aca="false">-J6*Assumptions!J18/100</f>
        <v>-2446.57065912567</v>
      </c>
      <c r="K17" s="4" t="n">
        <f aca="false">-K6*Assumptions!K18/100</f>
        <v>-2495.50207230818</v>
      </c>
      <c r="L17" s="4" t="n">
        <f aca="false">-L6*Assumptions!L18/100</f>
        <v>-2545.41211375434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-31.9514999999999</v>
      </c>
      <c r="D18" s="4" t="n">
        <f aca="false">(D6-C6)*Assumptions!$B$23/100</f>
        <v>-64.5420299999998</v>
      </c>
      <c r="E18" s="4" t="n">
        <f aca="false">(E6-D6)*Assumptions!$B$23/100</f>
        <v>-65.8328706</v>
      </c>
      <c r="F18" s="4" t="n">
        <f aca="false">(F6-E6)*Assumptions!$B$23/100</f>
        <v>-67.1495280119998</v>
      </c>
      <c r="G18" s="4" t="n">
        <f aca="false">(G6-F6)*Assumptions!$B$23/100</f>
        <v>-68.4925185722401</v>
      </c>
      <c r="H18" s="4" t="n">
        <f aca="false">(H6-G6)*Assumptions!$B$23/100</f>
        <v>-69.8623689436849</v>
      </c>
      <c r="I18" s="4" t="n">
        <f aca="false">(I6-H6)*Assumptions!$B$23/100</f>
        <v>-71.2596163225586</v>
      </c>
      <c r="J18" s="4" t="n">
        <f aca="false">(J6-I6)*Assumptions!$B$23/100</f>
        <v>-72.6848086490099</v>
      </c>
      <c r="K18" s="4" t="n">
        <f aca="false">(K6-J6)*Assumptions!$B$23/100</f>
        <v>-74.1385048219898</v>
      </c>
      <c r="L18" s="4" t="n">
        <f aca="false">(L6-K6)*Assumptions!$B$23/100</f>
        <v>-75.6212749184299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1996.99175508</v>
      </c>
      <c r="D19" s="0" t="n">
        <f aca="false">D15+D16+D17+D18</f>
        <v>1905.4407898344</v>
      </c>
      <c r="E19" s="0" t="n">
        <f aca="false">E15+E16+E17+E18</f>
        <v>1945.56409147145</v>
      </c>
      <c r="F19" s="0" t="n">
        <f aca="false">F15+F16+F17+F18</f>
        <v>1927.11288899663</v>
      </c>
      <c r="G19" s="0" t="n">
        <f aca="false">G15+G16+G17+G18</f>
        <v>1958.49425395983</v>
      </c>
      <c r="H19" s="0" t="n">
        <f aca="false">H15+H16+H17+H18</f>
        <v>1990.36002836596</v>
      </c>
      <c r="I19" s="0" t="n">
        <f aca="false">I15+I16+I17+I18</f>
        <v>2076.14037040378</v>
      </c>
      <c r="J19" s="0" t="n">
        <f aca="false">J15+J16+J17+J18</f>
        <v>2127.48652970077</v>
      </c>
      <c r="K19" s="0" t="n">
        <f aca="false">K15+K16+K17+K18</f>
        <v>2180.05607922148</v>
      </c>
      <c r="L19" s="0" t="n">
        <f aca="false">L15+L16+L17+L18</f>
        <v>2233.87741611114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1866.34743465421</v>
      </c>
      <c r="D21" s="0" t="n">
        <f aca="false">D19*D20</f>
        <v>1664.28578027286</v>
      </c>
      <c r="E21" s="0" t="n">
        <f aca="false">E19*E20</f>
        <v>1588.15983722322</v>
      </c>
      <c r="F21" s="0" t="n">
        <f aca="false">F19*F20</f>
        <v>1470.1851960906</v>
      </c>
      <c r="G21" s="0" t="n">
        <f aca="false">G19*G20</f>
        <v>1396.37933567154</v>
      </c>
      <c r="H21" s="0" t="n">
        <f aca="false">H19*H20</f>
        <v>1326.26092749687</v>
      </c>
      <c r="I21" s="0" t="n">
        <f aca="false">I19*I20</f>
        <v>1292.91587978513</v>
      </c>
      <c r="J21" s="0" t="n">
        <f aca="false">J19*J20</f>
        <v>1238.21653012533</v>
      </c>
      <c r="K21" s="0" t="n">
        <f aca="false">K19*K20</f>
        <v>1185.80606221426</v>
      </c>
      <c r="L21" s="0" t="n">
        <f aca="false">L19*L20</f>
        <v>1135.59000319583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2.7</v>
      </c>
      <c r="D23" s="4" t="n">
        <f aca="false">Assumptions!D16</f>
        <v>2.75</v>
      </c>
      <c r="E23" s="4" t="n">
        <f aca="false">Assumptions!E16</f>
        <v>2.75</v>
      </c>
      <c r="F23" s="4" t="n">
        <f aca="false">Assumptions!F16</f>
        <v>2.8</v>
      </c>
      <c r="G23" s="4" t="n">
        <f aca="false">Assumptions!G16</f>
        <v>2.8</v>
      </c>
      <c r="H23" s="4" t="n">
        <f aca="false">Assumptions!H16</f>
        <v>2.8</v>
      </c>
      <c r="I23" s="4" t="n">
        <f aca="false">Assumptions!I16</f>
        <v>2.8</v>
      </c>
      <c r="J23" s="4" t="n">
        <f aca="false">Assumptions!J16</f>
        <v>2.8</v>
      </c>
      <c r="K23" s="4" t="n">
        <f aca="false">Assumptions!K16</f>
        <v>2.8</v>
      </c>
      <c r="L23" s="4" t="n">
        <f aca="false">Assumptions!L16</f>
        <v>2.8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-1742.63481</v>
      </c>
      <c r="D24" s="0" t="n">
        <f aca="false">-D6*D23/100</f>
        <v>-1810.4039415</v>
      </c>
      <c r="E24" s="0" t="n">
        <f aca="false">-E6*E23/100</f>
        <v>-1846.61202033</v>
      </c>
      <c r="F24" s="0" t="n">
        <f aca="false">-F6*F23/100</f>
        <v>-1917.79052002272</v>
      </c>
      <c r="G24" s="0" t="n">
        <f aca="false">-G6*G23/100</f>
        <v>-1956.14633042317</v>
      </c>
      <c r="H24" s="0" t="n">
        <f aca="false">-H6*H23/100</f>
        <v>-1995.26925703164</v>
      </c>
      <c r="I24" s="0" t="n">
        <f aca="false">-I6*I23/100</f>
        <v>-2035.17464217227</v>
      </c>
      <c r="J24" s="0" t="n">
        <f aca="false">-J6*J23/100</f>
        <v>-2075.87813501572</v>
      </c>
      <c r="K24" s="0" t="n">
        <f aca="false">-K6*K23/100</f>
        <v>-2117.39569771603</v>
      </c>
      <c r="L24" s="0" t="n">
        <f aca="false">-L6*L23/100</f>
        <v>-2159.74361167035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14164.1469867299</v>
      </c>
    </row>
    <row r="31" customFormat="false" ht="15" hidden="false" customHeight="false" outlineLevel="0" collapsed="false">
      <c r="A31" s="0" t="s">
        <v>129</v>
      </c>
      <c r="B31" s="0" t="n">
        <f aca="false">L19</f>
        <v>2233.87741611114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45571.0992886672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33508.161241667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33508.161241667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17033.8500479374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31197.9970346673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26312.9970346673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22.5746371265162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-0.639613072692909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540.032916571654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879.891743428346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23.7928291821099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17527.3458802566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8.13995991781176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3.25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63903</v>
      </c>
      <c r="C6" s="0" t="n">
        <f aca="false">B6*(1+C5/100)</f>
        <v>65181.06</v>
      </c>
      <c r="D6" s="0" t="n">
        <f aca="false">C6*(1+D5/100)</f>
        <v>67462.3971</v>
      </c>
      <c r="E6" s="0" t="n">
        <f aca="false">D6*(1+E5/100)</f>
        <v>69823.5809985</v>
      </c>
      <c r="F6" s="0" t="n">
        <f aca="false">E6*(1+F5/100)</f>
        <v>72267.4063334475</v>
      </c>
      <c r="G6" s="0" t="n">
        <f aca="false">F6*(1+G5/100)</f>
        <v>74616.0970392845</v>
      </c>
      <c r="H6" s="0" t="n">
        <f aca="false">G6*(1+H5/100)</f>
        <v>76854.5799504631</v>
      </c>
      <c r="I6" s="0" t="n">
        <f aca="false">H6*(1+I5/100)</f>
        <v>79160.217348977</v>
      </c>
      <c r="J6" s="0" t="n">
        <f aca="false">I6*(1+J5/100)</f>
        <v>81337.1233260738</v>
      </c>
      <c r="K6" s="0" t="n">
        <f aca="false">J6*(1+K5/100)</f>
        <v>83370.5514092257</v>
      </c>
      <c r="L6" s="0" t="n">
        <f aca="false">K6*(1+L5/100)</f>
        <v>85454.8151944563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11.4</v>
      </c>
      <c r="D7" s="4" t="n">
        <f aca="false">Assumptions!D28</f>
        <v>11.5</v>
      </c>
      <c r="E7" s="4" t="n">
        <f aca="false">Assumptions!E28</f>
        <v>11.6</v>
      </c>
      <c r="F7" s="4" t="n">
        <f aca="false">Assumptions!F28</f>
        <v>11.7</v>
      </c>
      <c r="G7" s="4" t="n">
        <f aca="false">Assumptions!G28</f>
        <v>11.75</v>
      </c>
      <c r="H7" s="4" t="n">
        <f aca="false">Assumptions!H28</f>
        <v>11.8</v>
      </c>
      <c r="I7" s="4" t="n">
        <f aca="false">Assumptions!I28</f>
        <v>11.8</v>
      </c>
      <c r="J7" s="4" t="n">
        <f aca="false">Assumptions!J28</f>
        <v>11.8</v>
      </c>
      <c r="K7" s="4" t="n">
        <f aca="false">Assumptions!K28</f>
        <v>11.8</v>
      </c>
      <c r="L7" s="4" t="n">
        <f aca="false">Assumptions!L28</f>
        <v>11.8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7430.64084</v>
      </c>
      <c r="D8" s="0" t="n">
        <f aca="false">D6*D7/100</f>
        <v>7758.1756665</v>
      </c>
      <c r="E8" s="0" t="n">
        <f aca="false">E6*E7/100</f>
        <v>8099.535395826</v>
      </c>
      <c r="F8" s="0" t="n">
        <f aca="false">F6*F7/100</f>
        <v>8455.28654101336</v>
      </c>
      <c r="G8" s="0" t="n">
        <f aca="false">G6*G7/100</f>
        <v>8767.39140211593</v>
      </c>
      <c r="H8" s="0" t="n">
        <f aca="false">H6*H7/100</f>
        <v>9068.84043415464</v>
      </c>
      <c r="I8" s="0" t="n">
        <f aca="false">I6*I7/100</f>
        <v>9340.90564717928</v>
      </c>
      <c r="J8" s="0" t="n">
        <f aca="false">J6*J7/100</f>
        <v>9597.78055247671</v>
      </c>
      <c r="K8" s="0" t="n">
        <f aca="false">K6*K7/100</f>
        <v>9837.72506628863</v>
      </c>
      <c r="L8" s="0" t="n">
        <f aca="false">L6*L7/100</f>
        <v>10083.6681929458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0.11</v>
      </c>
      <c r="D9" s="4" t="n">
        <f aca="false">Assumptions!D29</f>
        <v>0.11</v>
      </c>
      <c r="E9" s="4" t="n">
        <f aca="false">Assumptions!E29</f>
        <v>0.11</v>
      </c>
      <c r="F9" s="4" t="n">
        <f aca="false">Assumptions!F29</f>
        <v>0.11</v>
      </c>
      <c r="G9" s="4" t="n">
        <f aca="false">Assumptions!G29</f>
        <v>0.11</v>
      </c>
      <c r="H9" s="4" t="n">
        <f aca="false">Assumptions!H29</f>
        <v>0.11</v>
      </c>
      <c r="I9" s="4" t="n">
        <f aca="false">Assumptions!I29</f>
        <v>0.11</v>
      </c>
      <c r="J9" s="4" t="n">
        <f aca="false">Assumptions!J29</f>
        <v>0.11</v>
      </c>
      <c r="K9" s="4" t="n">
        <f aca="false">Assumptions!K29</f>
        <v>0.11</v>
      </c>
      <c r="L9" s="4" t="n">
        <f aca="false">Assumptions!L29</f>
        <v>0.11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-71.699166</v>
      </c>
      <c r="D10" s="0" t="n">
        <f aca="false">-D6*D9/100</f>
        <v>-74.20863681</v>
      </c>
      <c r="E10" s="0" t="n">
        <f aca="false">-E6*E9/100</f>
        <v>-76.80593909835</v>
      </c>
      <c r="F10" s="0" t="n">
        <f aca="false">-F6*F9/100</f>
        <v>-79.4941469667922</v>
      </c>
      <c r="G10" s="0" t="n">
        <f aca="false">-G6*G9/100</f>
        <v>-82.077706743213</v>
      </c>
      <c r="H10" s="0" t="n">
        <f aca="false">-H6*H9/100</f>
        <v>-84.5400379455094</v>
      </c>
      <c r="I10" s="0" t="n">
        <f aca="false">-I6*I9/100</f>
        <v>-87.0762390838746</v>
      </c>
      <c r="J10" s="0" t="n">
        <f aca="false">-J6*J9/100</f>
        <v>-89.4708356586812</v>
      </c>
      <c r="K10" s="0" t="n">
        <f aca="false">-K6*K9/100</f>
        <v>-91.7076065501482</v>
      </c>
      <c r="L10" s="0" t="n">
        <f aca="false">-L6*L9/100</f>
        <v>-94.0002967139019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5631.643584</v>
      </c>
      <c r="D11" s="0" t="n">
        <f aca="false">D8+D10+D24</f>
        <v>5896.21350654</v>
      </c>
      <c r="E11" s="0" t="n">
        <f aca="false">E8+E10+E24</f>
        <v>6172.4045602674</v>
      </c>
      <c r="F11" s="0" t="n">
        <f aca="false">F8+F10+F24</f>
        <v>6460.7061262102</v>
      </c>
      <c r="G11" s="0" t="n">
        <f aca="false">G8+G10+G24</f>
        <v>6707.98712383168</v>
      </c>
      <c r="H11" s="0" t="n">
        <f aca="false">H8+H10+H24</f>
        <v>6947.65402752186</v>
      </c>
      <c r="I11" s="0" t="n">
        <f aca="false">I8+I10+I24</f>
        <v>7156.08364834752</v>
      </c>
      <c r="J11" s="0" t="n">
        <f aca="false">J8+J10+J24</f>
        <v>7352.87594867707</v>
      </c>
      <c r="K11" s="0" t="n">
        <f aca="false">K8+K10+K24</f>
        <v>7536.697847394</v>
      </c>
      <c r="L11" s="0" t="n">
        <f aca="false">L8+L10+L24</f>
        <v>7725.11529357885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-1466.57385</v>
      </c>
      <c r="D12" s="4" t="n">
        <f aca="false">-D6*Assumptions!D31/100</f>
        <v>-1551.6351333</v>
      </c>
      <c r="E12" s="4" t="n">
        <f aca="false">-E6*Assumptions!E31/100</f>
        <v>-1640.85415346475</v>
      </c>
      <c r="F12" s="4" t="n">
        <f aca="false">-F6*Assumptions!F31/100</f>
        <v>-1734.41775200274</v>
      </c>
      <c r="G12" s="4" t="n">
        <f aca="false">-G6*Assumptions!G31/100</f>
        <v>-1828.09437746247</v>
      </c>
      <c r="H12" s="4" t="n">
        <f aca="false">-H6*Assumptions!H31/100</f>
        <v>-1921.36449876158</v>
      </c>
      <c r="I12" s="4" t="n">
        <f aca="false">-I6*Assumptions!I31/100</f>
        <v>-2018.58554239891</v>
      </c>
      <c r="J12" s="4" t="n">
        <f aca="false">-J6*Assumptions!J31/100</f>
        <v>-2114.76520647792</v>
      </c>
      <c r="K12" s="4" t="n">
        <f aca="false">-K6*Assumptions!K31/100</f>
        <v>-2209.31961234448</v>
      </c>
      <c r="L12" s="4" t="n">
        <f aca="false">-L6*Assumptions!L31/100</f>
        <v>-2307.28001025032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4165.069734</v>
      </c>
      <c r="D13" s="0" t="n">
        <f aca="false">D11+D12</f>
        <v>4344.57837324</v>
      </c>
      <c r="E13" s="0" t="n">
        <f aca="false">E11+E12</f>
        <v>4531.55040680265</v>
      </c>
      <c r="F13" s="0" t="n">
        <f aca="false">F11+F12</f>
        <v>4726.28837420747</v>
      </c>
      <c r="G13" s="0" t="n">
        <f aca="false">G11+G12</f>
        <v>4879.89274636921</v>
      </c>
      <c r="H13" s="0" t="n">
        <f aca="false">H11+H12</f>
        <v>5026.28952876028</v>
      </c>
      <c r="I13" s="0" t="n">
        <f aca="false">I11+I12</f>
        <v>5137.4981059486</v>
      </c>
      <c r="J13" s="0" t="n">
        <f aca="false">J11+J12</f>
        <v>5238.11074219916</v>
      </c>
      <c r="K13" s="0" t="n">
        <f aca="false">K11+K12</f>
        <v>5327.37823504952</v>
      </c>
      <c r="L13" s="0" t="n">
        <f aca="false">L11+L12</f>
        <v>5417.83528332853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3082.15160316</v>
      </c>
      <c r="D15" s="0" t="n">
        <f aca="false">D13-MAX(0,D13)*D14/100</f>
        <v>3214.9879961976</v>
      </c>
      <c r="E15" s="0" t="n">
        <f aca="false">E13-MAX(0,E13)*E14/100</f>
        <v>3353.34730103396</v>
      </c>
      <c r="F15" s="0" t="n">
        <f aca="false">F13-MAX(0,F13)*F14/100</f>
        <v>3497.45339691352</v>
      </c>
      <c r="G15" s="0" t="n">
        <f aca="false">G13-MAX(0,G13)*G14/100</f>
        <v>3611.12063231321</v>
      </c>
      <c r="H15" s="0" t="n">
        <f aca="false">H13-MAX(0,H13)*H14/100</f>
        <v>3719.45425128261</v>
      </c>
      <c r="I15" s="0" t="n">
        <f aca="false">I13-MAX(0,I13)*I14/100</f>
        <v>3801.74859840197</v>
      </c>
      <c r="J15" s="0" t="n">
        <f aca="false">J13-MAX(0,J13)*J14/100</f>
        <v>3876.20194922738</v>
      </c>
      <c r="K15" s="0" t="n">
        <f aca="false">K13-MAX(0,K13)*K14/100</f>
        <v>3942.25989393665</v>
      </c>
      <c r="L15" s="0" t="n">
        <f aca="false">L13-MAX(0,L13)*L14/100</f>
        <v>4009.19810966311</v>
      </c>
    </row>
    <row r="16" customFormat="false" ht="15" hidden="false" customHeight="false" outlineLevel="0" collapsed="false">
      <c r="A16" s="0" t="s">
        <v>120</v>
      </c>
      <c r="C16" s="0" t="n">
        <f aca="false">-C12</f>
        <v>1466.57385</v>
      </c>
      <c r="D16" s="0" t="n">
        <f aca="false">-D12</f>
        <v>1551.6351333</v>
      </c>
      <c r="E16" s="0" t="n">
        <f aca="false">-E12</f>
        <v>1640.85415346475</v>
      </c>
      <c r="F16" s="0" t="n">
        <f aca="false">-F12</f>
        <v>1734.41775200274</v>
      </c>
      <c r="G16" s="0" t="n">
        <f aca="false">-G12</f>
        <v>1828.09437746247</v>
      </c>
      <c r="H16" s="0" t="n">
        <f aca="false">-H12</f>
        <v>1921.36449876158</v>
      </c>
      <c r="I16" s="0" t="n">
        <f aca="false">-I12</f>
        <v>2018.58554239891</v>
      </c>
      <c r="J16" s="0" t="n">
        <f aca="false">-J12</f>
        <v>2114.76520647792</v>
      </c>
      <c r="K16" s="0" t="n">
        <f aca="false">-K12</f>
        <v>2209.31961234448</v>
      </c>
      <c r="L16" s="0" t="n">
        <f aca="false">-L12</f>
        <v>2307.28001025032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-2379.10869</v>
      </c>
      <c r="D17" s="4" t="n">
        <f aca="false">-D6*Assumptions!D32/100</f>
        <v>-2428.6462956</v>
      </c>
      <c r="E17" s="4" t="n">
        <f aca="false">-E6*Assumptions!E32/100</f>
        <v>-2443.8253349475</v>
      </c>
      <c r="F17" s="4" t="n">
        <f aca="false">-F6*Assumptions!F32/100</f>
        <v>-2457.09181533721</v>
      </c>
      <c r="G17" s="4" t="n">
        <f aca="false">-G6*Assumptions!G32/100</f>
        <v>-2499.63925081603</v>
      </c>
      <c r="H17" s="4" t="n">
        <f aca="false">-H6*Assumptions!H32/100</f>
        <v>-2536.20113836528</v>
      </c>
      <c r="I17" s="4" t="n">
        <f aca="false">-I6*Assumptions!I32/100</f>
        <v>-2572.70706384175</v>
      </c>
      <c r="J17" s="4" t="n">
        <f aca="false">-J6*Assumptions!J32/100</f>
        <v>-2602.78794643436</v>
      </c>
      <c r="K17" s="4" t="n">
        <f aca="false">-K6*Assumptions!K32/100</f>
        <v>-2626.17236939061</v>
      </c>
      <c r="L17" s="4" t="n">
        <f aca="false">-L6*Assumptions!L32/100</f>
        <v>-2649.09927102815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-63.9029999999999</v>
      </c>
      <c r="D18" s="4" t="n">
        <f aca="false">(D6-C6)*Assumptions!$B$37/100</f>
        <v>-114.066854999999</v>
      </c>
      <c r="E18" s="4" t="n">
        <f aca="false">(E6-D6)*Assumptions!$B$37/100</f>
        <v>-118.059194925</v>
      </c>
      <c r="F18" s="4" t="n">
        <f aca="false">(F6-E6)*Assumptions!$B$37/100</f>
        <v>-122.191266747375</v>
      </c>
      <c r="G18" s="4" t="n">
        <f aca="false">(G6-F6)*Assumptions!$B$37/100</f>
        <v>-117.434535291852</v>
      </c>
      <c r="H18" s="4" t="n">
        <f aca="false">(H6-G6)*Assumptions!$B$37/100</f>
        <v>-111.924145558927</v>
      </c>
      <c r="I18" s="4" t="n">
        <f aca="false">(I6-H6)*Assumptions!$B$37/100</f>
        <v>-115.281869925695</v>
      </c>
      <c r="J18" s="4" t="n">
        <f aca="false">(J6-I6)*Assumptions!$B$37/100</f>
        <v>-108.845298854844</v>
      </c>
      <c r="K18" s="4" t="n">
        <f aca="false">(K6-J6)*Assumptions!$B$37/100</f>
        <v>-101.671404157592</v>
      </c>
      <c r="L18" s="4" t="n">
        <f aca="false">(L6-K6)*Assumptions!$B$37/100</f>
        <v>-104.213189261532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2105.71376316</v>
      </c>
      <c r="D19" s="0" t="n">
        <f aca="false">D15+D16+D17+D18</f>
        <v>2223.9099788976</v>
      </c>
      <c r="E19" s="0" t="n">
        <f aca="false">E15+E16+E17+E18</f>
        <v>2432.31692462621</v>
      </c>
      <c r="F19" s="0" t="n">
        <f aca="false">F15+F16+F17+F18</f>
        <v>2652.58806683167</v>
      </c>
      <c r="G19" s="0" t="n">
        <f aca="false">G15+G16+G17+G18</f>
        <v>2822.1412236678</v>
      </c>
      <c r="H19" s="0" t="n">
        <f aca="false">H15+H16+H17+H18</f>
        <v>2992.69346611998</v>
      </c>
      <c r="I19" s="0" t="n">
        <f aca="false">I15+I16+I17+I18</f>
        <v>3132.34520703343</v>
      </c>
      <c r="J19" s="0" t="n">
        <f aca="false">J15+J16+J17+J18</f>
        <v>3279.33391041609</v>
      </c>
      <c r="K19" s="0" t="n">
        <f aca="false">K15+K16+K17+K18</f>
        <v>3423.73573273293</v>
      </c>
      <c r="L19" s="0" t="n">
        <f aca="false">L15+L16+L17+L18</f>
        <v>3563.16565962376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1967.956788</v>
      </c>
      <c r="D21" s="0" t="n">
        <f aca="false">D19*D20</f>
        <v>1942.44910376242</v>
      </c>
      <c r="E21" s="0" t="n">
        <f aca="false">E19*E20</f>
        <v>1985.49514149806</v>
      </c>
      <c r="F21" s="0" t="n">
        <f aca="false">F19*F20</f>
        <v>2023.64673572029</v>
      </c>
      <c r="G21" s="0" t="n">
        <f aca="false">G19*G20</f>
        <v>2012.14768902627</v>
      </c>
      <c r="H21" s="0" t="n">
        <f aca="false">H19*H20</f>
        <v>1994.15801941553</v>
      </c>
      <c r="I21" s="0" t="n">
        <f aca="false">I19*I20</f>
        <v>1950.66716917351</v>
      </c>
      <c r="J21" s="0" t="n">
        <f aca="false">J19*J20</f>
        <v>1908.60219277103</v>
      </c>
      <c r="K21" s="0" t="n">
        <f aca="false">K19*K20</f>
        <v>1862.2853907245</v>
      </c>
      <c r="L21" s="0" t="n">
        <f aca="false">L19*L20</f>
        <v>1811.33274082847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2.65</v>
      </c>
      <c r="D23" s="4" t="n">
        <f aca="false">Assumptions!D30</f>
        <v>2.65</v>
      </c>
      <c r="E23" s="4" t="n">
        <f aca="false">Assumptions!E30</f>
        <v>2.65</v>
      </c>
      <c r="F23" s="4" t="n">
        <f aca="false">Assumptions!F30</f>
        <v>2.65</v>
      </c>
      <c r="G23" s="4" t="n">
        <f aca="false">Assumptions!G30</f>
        <v>2.65</v>
      </c>
      <c r="H23" s="4" t="n">
        <f aca="false">Assumptions!H30</f>
        <v>2.65</v>
      </c>
      <c r="I23" s="4" t="n">
        <f aca="false">Assumptions!I30</f>
        <v>2.65</v>
      </c>
      <c r="J23" s="4" t="n">
        <f aca="false">Assumptions!J30</f>
        <v>2.65</v>
      </c>
      <c r="K23" s="4" t="n">
        <f aca="false">Assumptions!K30</f>
        <v>2.65</v>
      </c>
      <c r="L23" s="4" t="n">
        <f aca="false">Assumptions!L30</f>
        <v>2.65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-1727.29809</v>
      </c>
      <c r="D24" s="0" t="n">
        <f aca="false">-D6*D23/100</f>
        <v>-1787.75352315</v>
      </c>
      <c r="E24" s="0" t="n">
        <f aca="false">-E6*E23/100</f>
        <v>-1850.32489646025</v>
      </c>
      <c r="F24" s="0" t="n">
        <f aca="false">-F6*F23/100</f>
        <v>-1915.08626783636</v>
      </c>
      <c r="G24" s="0" t="n">
        <f aca="false">-G6*G23/100</f>
        <v>-1977.32657154104</v>
      </c>
      <c r="H24" s="0" t="n">
        <f aca="false">-H6*H23/100</f>
        <v>-2036.64636868727</v>
      </c>
      <c r="I24" s="0" t="n">
        <f aca="false">-I6*I23/100</f>
        <v>-2097.74575974789</v>
      </c>
      <c r="J24" s="0" t="n">
        <f aca="false">-J6*J23/100</f>
        <v>-2155.43376814096</v>
      </c>
      <c r="K24" s="0" t="n">
        <f aca="false">-K6*K23/100</f>
        <v>-2209.31961234448</v>
      </c>
      <c r="L24" s="0" t="n">
        <f aca="false">-L6*L23/100</f>
        <v>-2264.55260265309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19458.7409709201</v>
      </c>
    </row>
    <row r="31" customFormat="false" ht="15" hidden="false" customHeight="false" outlineLevel="0" collapsed="false">
      <c r="A31" s="0" t="s">
        <v>129</v>
      </c>
      <c r="B31" s="0" t="n">
        <f aca="false">L19</f>
        <v>3563.16565962376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81160.9955803189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64136.9818732276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64136.9818732276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32603.9893349125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52062.7303058326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47177.7303058326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40.4750603172894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-0.353846418944933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573.987752589863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1088.43575338532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41.9012987403979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29217.9584089148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13.5263452952485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3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63903</v>
      </c>
      <c r="C6" s="0" t="n">
        <f aca="false">B6*(1+C5/100)</f>
        <v>65820.09</v>
      </c>
      <c r="D6" s="0" t="n">
        <f aca="false">C6*(1+D5/100)</f>
        <v>68781.99405</v>
      </c>
      <c r="E6" s="0" t="n">
        <f aca="false">D6*(1+E5/100)</f>
        <v>71877.18378225</v>
      </c>
      <c r="F6" s="0" t="n">
        <f aca="false">E6*(1+F5/100)</f>
        <v>74752.27113354</v>
      </c>
      <c r="G6" s="0" t="n">
        <f aca="false">F6*(1+G5/100)</f>
        <v>77742.3619788816</v>
      </c>
      <c r="H6" s="0" t="n">
        <f aca="false">G6*(1+H5/100)</f>
        <v>80463.3446481425</v>
      </c>
      <c r="I6" s="0" t="n">
        <f aca="false">H6*(1+I5/100)</f>
        <v>83279.5617108274</v>
      </c>
      <c r="J6" s="0" t="n">
        <f aca="false">I6*(1+J5/100)</f>
        <v>85777.9485621523</v>
      </c>
      <c r="K6" s="0" t="n">
        <f aca="false">J6*(1+K5/100)</f>
        <v>88351.2870190168</v>
      </c>
      <c r="L6" s="0" t="n">
        <f aca="false">K6*(1+L5/100)</f>
        <v>91001.8256295873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11.5</v>
      </c>
      <c r="D7" s="4" t="n">
        <f aca="false">Assumptions!D42</f>
        <v>11.7</v>
      </c>
      <c r="E7" s="4" t="n">
        <f aca="false">Assumptions!E42</f>
        <v>11.9</v>
      </c>
      <c r="F7" s="4" t="n">
        <f aca="false">Assumptions!F42</f>
        <v>12.1</v>
      </c>
      <c r="G7" s="4" t="n">
        <f aca="false">Assumptions!G42</f>
        <v>12.25</v>
      </c>
      <c r="H7" s="4" t="n">
        <f aca="false">Assumptions!H42</f>
        <v>12.4</v>
      </c>
      <c r="I7" s="4" t="n">
        <f aca="false">Assumptions!I42</f>
        <v>12.5</v>
      </c>
      <c r="J7" s="4" t="n">
        <f aca="false">Assumptions!J42</f>
        <v>12.5</v>
      </c>
      <c r="K7" s="4" t="n">
        <f aca="false">Assumptions!K42</f>
        <v>12.5</v>
      </c>
      <c r="L7" s="4" t="n">
        <f aca="false">Assumptions!L42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7569.31035</v>
      </c>
      <c r="D8" s="0" t="n">
        <f aca="false">D6*D7/100</f>
        <v>8047.49330385</v>
      </c>
      <c r="E8" s="0" t="n">
        <f aca="false">E6*E7/100</f>
        <v>8553.38487008775</v>
      </c>
      <c r="F8" s="0" t="n">
        <f aca="false">F6*F7/100</f>
        <v>9045.02480715834</v>
      </c>
      <c r="G8" s="0" t="n">
        <f aca="false">G6*G7/100</f>
        <v>9523.439342413</v>
      </c>
      <c r="H8" s="0" t="n">
        <f aca="false">H6*H7/100</f>
        <v>9977.45473636966</v>
      </c>
      <c r="I8" s="0" t="n">
        <f aca="false">I6*I7/100</f>
        <v>10409.9452138534</v>
      </c>
      <c r="J8" s="0" t="n">
        <f aca="false">J6*J7/100</f>
        <v>10722.243570269</v>
      </c>
      <c r="K8" s="0" t="n">
        <f aca="false">K6*K7/100</f>
        <v>11043.9108773771</v>
      </c>
      <c r="L8" s="0" t="n">
        <f aca="false">L6*L7/100</f>
        <v>11375.2282036984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0.11</v>
      </c>
      <c r="D9" s="4" t="n">
        <f aca="false">Assumptions!D43</f>
        <v>0.11</v>
      </c>
      <c r="E9" s="4" t="n">
        <f aca="false">Assumptions!E43</f>
        <v>0.11</v>
      </c>
      <c r="F9" s="4" t="n">
        <f aca="false">Assumptions!F43</f>
        <v>0.11</v>
      </c>
      <c r="G9" s="4" t="n">
        <f aca="false">Assumptions!G43</f>
        <v>0.11</v>
      </c>
      <c r="H9" s="4" t="n">
        <f aca="false">Assumptions!H43</f>
        <v>0.11</v>
      </c>
      <c r="I9" s="4" t="n">
        <f aca="false">Assumptions!I43</f>
        <v>0.11</v>
      </c>
      <c r="J9" s="4" t="n">
        <f aca="false">Assumptions!J43</f>
        <v>0.11</v>
      </c>
      <c r="K9" s="4" t="n">
        <f aca="false">Assumptions!K43</f>
        <v>0.11</v>
      </c>
      <c r="L9" s="4" t="n">
        <f aca="false">Assumptions!L43</f>
        <v>0.11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-72.402099</v>
      </c>
      <c r="D10" s="0" t="n">
        <f aca="false">-D6*D9/100</f>
        <v>-75.660193455</v>
      </c>
      <c r="E10" s="0" t="n">
        <f aca="false">-E6*E9/100</f>
        <v>-79.064902160475</v>
      </c>
      <c r="F10" s="0" t="n">
        <f aca="false">-F6*F9/100</f>
        <v>-82.227498246894</v>
      </c>
      <c r="G10" s="0" t="n">
        <f aca="false">-G6*G9/100</f>
        <v>-85.5165981767698</v>
      </c>
      <c r="H10" s="0" t="n">
        <f aca="false">-H6*H9/100</f>
        <v>-88.5096791129567</v>
      </c>
      <c r="I10" s="0" t="n">
        <f aca="false">-I6*I9/100</f>
        <v>-91.6075178819102</v>
      </c>
      <c r="J10" s="0" t="n">
        <f aca="false">-J6*J9/100</f>
        <v>-94.3557434183675</v>
      </c>
      <c r="K10" s="0" t="n">
        <f aca="false">-K6*K9/100</f>
        <v>-97.1864157209185</v>
      </c>
      <c r="L10" s="0" t="n">
        <f aca="false">-L6*L9/100</f>
        <v>-100.102008192546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5785.585911</v>
      </c>
      <c r="D11" s="0" t="n">
        <f aca="false">D8+D10+D24</f>
        <v>6183.501265095</v>
      </c>
      <c r="E11" s="0" t="n">
        <f aca="false">E8+E10+E24</f>
        <v>6605.51318958878</v>
      </c>
      <c r="F11" s="0" t="n">
        <f aca="false">F8+F10+F24</f>
        <v>7019.23825943941</v>
      </c>
      <c r="G11" s="0" t="n">
        <f aca="false">G8+G10+G24</f>
        <v>7416.62133278531</v>
      </c>
      <c r="H11" s="0" t="n">
        <f aca="false">H8+H10+H24</f>
        <v>7796.898096405</v>
      </c>
      <c r="I11" s="0" t="n">
        <f aca="false">I8+I10+I24</f>
        <v>8153.06909149001</v>
      </c>
      <c r="J11" s="0" t="n">
        <f aca="false">J8+J10+J24</f>
        <v>8397.66116423471</v>
      </c>
      <c r="K11" s="0" t="n">
        <f aca="false">K8+K10+K24</f>
        <v>8649.59099916175</v>
      </c>
      <c r="L11" s="0" t="n">
        <f aca="false">L8+L10+L24</f>
        <v>8909.0787291366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-1480.952025</v>
      </c>
      <c r="D12" s="4" t="n">
        <f aca="false">-D6*Assumptions!D45/100</f>
        <v>-1581.98586315</v>
      </c>
      <c r="E12" s="4" t="n">
        <f aca="false">-E6*Assumptions!E45/100</f>
        <v>-1689.11381888288</v>
      </c>
      <c r="F12" s="4" t="n">
        <f aca="false">-F6*Assumptions!F45/100</f>
        <v>-1794.05450720496</v>
      </c>
      <c r="G12" s="4" t="n">
        <f aca="false">-G6*Assumptions!G45/100</f>
        <v>-1904.6878684826</v>
      </c>
      <c r="H12" s="4" t="n">
        <f aca="false">-H6*Assumptions!H45/100</f>
        <v>-2011.58361620356</v>
      </c>
      <c r="I12" s="4" t="n">
        <f aca="false">-I6*Assumptions!I45/100</f>
        <v>-2123.6288236261</v>
      </c>
      <c r="J12" s="4" t="n">
        <f aca="false">-J6*Assumptions!J45/100</f>
        <v>-2230.22666261596</v>
      </c>
      <c r="K12" s="4" t="n">
        <f aca="false">-K6*Assumptions!K45/100</f>
        <v>-2297.13346249444</v>
      </c>
      <c r="L12" s="4" t="n">
        <f aca="false">-L6*Assumptions!L45/100</f>
        <v>-2366.04746636927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4304.633886</v>
      </c>
      <c r="D13" s="0" t="n">
        <f aca="false">D11+D12</f>
        <v>4601.515401945</v>
      </c>
      <c r="E13" s="0" t="n">
        <f aca="false">E11+E12</f>
        <v>4916.3993707059</v>
      </c>
      <c r="F13" s="0" t="n">
        <f aca="false">F11+F12</f>
        <v>5225.18375223445</v>
      </c>
      <c r="G13" s="0" t="n">
        <f aca="false">G11+G12</f>
        <v>5511.93346430271</v>
      </c>
      <c r="H13" s="0" t="n">
        <f aca="false">H11+H12</f>
        <v>5785.31448020144</v>
      </c>
      <c r="I13" s="0" t="n">
        <f aca="false">I11+I12</f>
        <v>6029.44026786391</v>
      </c>
      <c r="J13" s="0" t="n">
        <f aca="false">J11+J12</f>
        <v>6167.43450161875</v>
      </c>
      <c r="K13" s="0" t="n">
        <f aca="false">K11+K12</f>
        <v>6352.45753666731</v>
      </c>
      <c r="L13" s="0" t="n">
        <f aca="false">L11+L12</f>
        <v>6543.03126276733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3185.42907564</v>
      </c>
      <c r="D15" s="0" t="n">
        <f aca="false">D13-MAX(0,D13)*D14/100</f>
        <v>3405.1213974393</v>
      </c>
      <c r="E15" s="0" t="n">
        <f aca="false">E13-MAX(0,E13)*E14/100</f>
        <v>3638.13553432237</v>
      </c>
      <c r="F15" s="0" t="n">
        <f aca="false">F13-MAX(0,F13)*F14/100</f>
        <v>3866.63597665349</v>
      </c>
      <c r="G15" s="0" t="n">
        <f aca="false">G13-MAX(0,G13)*G14/100</f>
        <v>4078.830763584</v>
      </c>
      <c r="H15" s="0" t="n">
        <f aca="false">H13-MAX(0,H13)*H14/100</f>
        <v>4281.13271534907</v>
      </c>
      <c r="I15" s="0" t="n">
        <f aca="false">I13-MAX(0,I13)*I14/100</f>
        <v>4461.78579821929</v>
      </c>
      <c r="J15" s="0" t="n">
        <f aca="false">J13-MAX(0,J13)*J14/100</f>
        <v>4563.90153119787</v>
      </c>
      <c r="K15" s="0" t="n">
        <f aca="false">K13-MAX(0,K13)*K14/100</f>
        <v>4700.81857713381</v>
      </c>
      <c r="L15" s="0" t="n">
        <f aca="false">L13-MAX(0,L13)*L14/100</f>
        <v>4841.84313444783</v>
      </c>
    </row>
    <row r="16" customFormat="false" ht="15" hidden="false" customHeight="false" outlineLevel="0" collapsed="false">
      <c r="A16" s="0" t="s">
        <v>120</v>
      </c>
      <c r="C16" s="0" t="n">
        <f aca="false">-C12</f>
        <v>1480.952025</v>
      </c>
      <c r="D16" s="0" t="n">
        <f aca="false">-D12</f>
        <v>1581.98586315</v>
      </c>
      <c r="E16" s="0" t="n">
        <f aca="false">-E12</f>
        <v>1689.11381888288</v>
      </c>
      <c r="F16" s="0" t="n">
        <f aca="false">-F12</f>
        <v>1794.05450720496</v>
      </c>
      <c r="G16" s="0" t="n">
        <f aca="false">-G12</f>
        <v>1904.6878684826</v>
      </c>
      <c r="H16" s="0" t="n">
        <f aca="false">-H12</f>
        <v>2011.58361620356</v>
      </c>
      <c r="I16" s="0" t="n">
        <f aca="false">-I12</f>
        <v>2123.6288236261</v>
      </c>
      <c r="J16" s="0" t="n">
        <f aca="false">-J12</f>
        <v>2230.22666261596</v>
      </c>
      <c r="K16" s="0" t="n">
        <f aca="false">-K12</f>
        <v>2297.13346249444</v>
      </c>
      <c r="L16" s="0" t="n">
        <f aca="false">-L12</f>
        <v>2366.04746636927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-2369.52324</v>
      </c>
      <c r="D17" s="4" t="n">
        <f aca="false">-D6*Assumptions!D46/100</f>
        <v>-2407.36979175</v>
      </c>
      <c r="E17" s="4" t="n">
        <f aca="false">-E6*Assumptions!E46/100</f>
        <v>-2443.8242485965</v>
      </c>
      <c r="F17" s="4" t="n">
        <f aca="false">-F6*Assumptions!F46/100</f>
        <v>-2466.82494740682</v>
      </c>
      <c r="G17" s="4" t="n">
        <f aca="false">-G6*Assumptions!G46/100</f>
        <v>-2487.75558332421</v>
      </c>
      <c r="H17" s="4" t="n">
        <f aca="false">-H6*Assumptions!H46/100</f>
        <v>-2494.36368409242</v>
      </c>
      <c r="I17" s="4" t="n">
        <f aca="false">-I6*Assumptions!I46/100</f>
        <v>-2498.38685132482</v>
      </c>
      <c r="J17" s="4" t="n">
        <f aca="false">-J6*Assumptions!J46/100</f>
        <v>-2573.33845686457</v>
      </c>
      <c r="K17" s="4" t="n">
        <f aca="false">-K6*Assumptions!K46/100</f>
        <v>-2650.53861057051</v>
      </c>
      <c r="L17" s="4" t="n">
        <f aca="false">-L6*Assumptions!L46/100</f>
        <v>-2730.05476888762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-95.8544999999998</v>
      </c>
      <c r="D18" s="4" t="n">
        <f aca="false">(D6-C6)*Assumptions!$B$51/100</f>
        <v>-148.0952025</v>
      </c>
      <c r="E18" s="4" t="n">
        <f aca="false">(E6-D6)*Assumptions!$B$51/100</f>
        <v>-154.7594866125</v>
      </c>
      <c r="F18" s="4" t="n">
        <f aca="false">(F6-E6)*Assumptions!$B$51/100</f>
        <v>-143.7543675645</v>
      </c>
      <c r="G18" s="4" t="n">
        <f aca="false">(G6-F6)*Assumptions!$B$51/100</f>
        <v>-149.50454226708</v>
      </c>
      <c r="H18" s="4" t="n">
        <f aca="false">(H6-G6)*Assumptions!$B$51/100</f>
        <v>-136.049133463042</v>
      </c>
      <c r="I18" s="4" t="n">
        <f aca="false">(I6-H6)*Assumptions!$B$51/100</f>
        <v>-140.810853134249</v>
      </c>
      <c r="J18" s="4" t="n">
        <f aca="false">(J6-I6)*Assumptions!$B$51/100</f>
        <v>-124.919342566242</v>
      </c>
      <c r="K18" s="4" t="n">
        <f aca="false">(K6-J6)*Assumptions!$B$51/100</f>
        <v>-128.666922843229</v>
      </c>
      <c r="L18" s="4" t="n">
        <f aca="false">(L6-K6)*Assumptions!$B$51/100</f>
        <v>-132.526930528526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2201.00336064</v>
      </c>
      <c r="D19" s="0" t="n">
        <f aca="false">D15+D16+D17+D18</f>
        <v>2431.6422663393</v>
      </c>
      <c r="E19" s="0" t="n">
        <f aca="false">E15+E16+E17+E18</f>
        <v>2728.66561799624</v>
      </c>
      <c r="F19" s="0" t="n">
        <f aca="false">F15+F16+F17+F18</f>
        <v>3050.11116888713</v>
      </c>
      <c r="G19" s="0" t="n">
        <f aca="false">G15+G16+G17+G18</f>
        <v>3346.25850647531</v>
      </c>
      <c r="H19" s="0" t="n">
        <f aca="false">H15+H16+H17+H18</f>
        <v>3662.30351399717</v>
      </c>
      <c r="I19" s="0" t="n">
        <f aca="false">I15+I16+I17+I18</f>
        <v>3946.21691738632</v>
      </c>
      <c r="J19" s="0" t="n">
        <f aca="false">J15+J16+J17+J18</f>
        <v>4095.87039438302</v>
      </c>
      <c r="K19" s="0" t="n">
        <f aca="false">K15+K16+K17+K18</f>
        <v>4218.74650621451</v>
      </c>
      <c r="L19" s="0" t="n">
        <f aca="false">L15+L16+L17+L18</f>
        <v>4345.30890140095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2057.01248657944</v>
      </c>
      <c r="D21" s="0" t="n">
        <f aca="false">D19*D20</f>
        <v>2123.89052872679</v>
      </c>
      <c r="E21" s="0" t="n">
        <f aca="false">E19*E20</f>
        <v>2227.4039507154</v>
      </c>
      <c r="F21" s="0" t="n">
        <f aca="false">F19*F20</f>
        <v>2326.91520695667</v>
      </c>
      <c r="G21" s="0" t="n">
        <f aca="false">G19*G20</f>
        <v>2385.83606809656</v>
      </c>
      <c r="H21" s="0" t="n">
        <f aca="false">H19*H20</f>
        <v>2440.3474678079</v>
      </c>
      <c r="I21" s="0" t="n">
        <f aca="false">I19*I20</f>
        <v>2457.50556672294</v>
      </c>
      <c r="J21" s="0" t="n">
        <f aca="false">J19*J20</f>
        <v>2383.83386064931</v>
      </c>
      <c r="K21" s="0" t="n">
        <f aca="false">K19*K20</f>
        <v>2294.71857613906</v>
      </c>
      <c r="L21" s="0" t="n">
        <f aca="false">L19*L20</f>
        <v>2208.93470413386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2.6</v>
      </c>
      <c r="D23" s="4" t="n">
        <f aca="false">Assumptions!D44</f>
        <v>2.6</v>
      </c>
      <c r="E23" s="4" t="n">
        <f aca="false">Assumptions!E44</f>
        <v>2.6</v>
      </c>
      <c r="F23" s="4" t="n">
        <f aca="false">Assumptions!F44</f>
        <v>2.6</v>
      </c>
      <c r="G23" s="4" t="n">
        <f aca="false">Assumptions!G44</f>
        <v>2.6</v>
      </c>
      <c r="H23" s="4" t="n">
        <f aca="false">Assumptions!H44</f>
        <v>2.6</v>
      </c>
      <c r="I23" s="4" t="n">
        <f aca="false">Assumptions!I44</f>
        <v>2.6</v>
      </c>
      <c r="J23" s="4" t="n">
        <f aca="false">Assumptions!J44</f>
        <v>2.6</v>
      </c>
      <c r="K23" s="4" t="n">
        <f aca="false">Assumptions!K44</f>
        <v>2.6</v>
      </c>
      <c r="L23" s="4" t="n">
        <f aca="false">Assumptions!L44</f>
        <v>2.6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-1711.32234</v>
      </c>
      <c r="D24" s="0" t="n">
        <f aca="false">-D6*D23/100</f>
        <v>-1788.3318453</v>
      </c>
      <c r="E24" s="0" t="n">
        <f aca="false">-E6*E23/100</f>
        <v>-1868.8067783385</v>
      </c>
      <c r="F24" s="0" t="n">
        <f aca="false">-F6*F23/100</f>
        <v>-1943.55904947204</v>
      </c>
      <c r="G24" s="0" t="n">
        <f aca="false">-G6*G23/100</f>
        <v>-2021.30141145092</v>
      </c>
      <c r="H24" s="0" t="n">
        <f aca="false">-H6*H23/100</f>
        <v>-2092.0469608517</v>
      </c>
      <c r="I24" s="0" t="n">
        <f aca="false">-I6*I23/100</f>
        <v>-2165.26860448151</v>
      </c>
      <c r="J24" s="0" t="n">
        <f aca="false">-J6*J23/100</f>
        <v>-2230.22666261596</v>
      </c>
      <c r="K24" s="0" t="n">
        <f aca="false">-K6*K23/100</f>
        <v>-2297.13346249444</v>
      </c>
      <c r="L24" s="0" t="n">
        <f aca="false">-L6*L23/100</f>
        <v>-2366.04746636927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22906.3984165279</v>
      </c>
    </row>
    <row r="31" customFormat="false" ht="15" hidden="false" customHeight="false" outlineLevel="0" collapsed="false">
      <c r="A31" s="0" t="s">
        <v>129</v>
      </c>
      <c r="B31" s="0" t="n">
        <f aca="false">L19</f>
        <v>4345.30890140095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111891.704211074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86906.178028019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86906.178028019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44178.6940826772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67085.0924992051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62200.0924992051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53.3631541688445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-0.148097794239392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596.685637434144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1310.33471390307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54.9992388903074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37297.2347370248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17.1308715598975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22.5746371265162</v>
      </c>
      <c r="C4" s="0" t="n">
        <f aca="false">B4/Assumptions!$B$2-1</f>
        <v>-0.639613072692909</v>
      </c>
      <c r="D4" s="4" t="n">
        <f aca="false">Assumptions!$B$24</f>
        <v>0.25</v>
      </c>
      <c r="E4" s="4" t="n">
        <f aca="false">DCF_Bear!$B$43</f>
        <v>23.7928291821099</v>
      </c>
      <c r="F4" s="4" t="n">
        <f aca="false">DCF_Bear!$B$47</f>
        <v>8.13995991781176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40.4750603172894</v>
      </c>
      <c r="C5" s="0" t="n">
        <f aca="false">B5/Assumptions!$B$2-1</f>
        <v>-0.353846418944933</v>
      </c>
      <c r="D5" s="4" t="n">
        <f aca="false">Assumptions!$B$38</f>
        <v>0.5</v>
      </c>
      <c r="E5" s="4" t="n">
        <f aca="false">DCF_Base!$B$43</f>
        <v>41.9012987403979</v>
      </c>
      <c r="F5" s="4" t="n">
        <f aca="false">DCF_Base!$B$47</f>
        <v>13.5263452952485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53.3631541688445</v>
      </c>
      <c r="C6" s="0" t="n">
        <f aca="false">B6/Assumptions!$B$2-1</f>
        <v>-0.148097794239392</v>
      </c>
      <c r="D6" s="4" t="n">
        <f aca="false">Assumptions!$B$52</f>
        <v>0.25</v>
      </c>
      <c r="E6" s="4" t="n">
        <f aca="false">DCF_Bull!$B$43</f>
        <v>54.9992388903074</v>
      </c>
      <c r="F6" s="4" t="n">
        <f aca="false">DCF_Bull!$B$47</f>
        <v>17.1308715598975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39.2219779824849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40.6486663883033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-0.597063769399207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1641.4251298329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13.0808805170516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40.4750603172894</v>
      </c>
      <c r="C15" s="3" t="n">
        <v>7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31.2886378197431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26.3260659496621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22.5422162171979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19.5641731090942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13.5263452952485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48.1126428868452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48.1126428868452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48.1126428868452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48.1126428868452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48.1126428868452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44.1088773996051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44.1088773996051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44.1088773996051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44.1088773996051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44.1088773996051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40.4750603172894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40.4750603172894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40.4750603172894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40.4750603172894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40.4750603172894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33.7966016757443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35.7571523560862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37.173105625222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37.173105625222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37.173105625222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28.4014610555643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29.7419359817902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31.2886378197431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33.0931232973548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34.1691926188664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2026-10-10T08:49:13Z</dcterms:created>
  <dc:creator>openpyxl</dc:creator>
  <dc:description/>
  <dc:language>en-NZ</dc:language>
  <cp:lastModifiedBy/>
  <dcterms:modified xsi:type="dcterms:W3CDTF">2026-10-10T08:49:13Z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