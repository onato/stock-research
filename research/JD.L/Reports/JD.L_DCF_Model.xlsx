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<sst xmlns="http://schemas.openxmlformats.org/spreadsheetml/2006/main" count="367" uniqueCount="171">
  <si>
    <t xml:space="preserve">Ticker</t>
  </si>
  <si>
    <t xml:space="preserve">JD.L</t>
  </si>
  <si>
    <t xml:space="preserve">Company</t>
  </si>
  <si>
    <t xml:space="preserve">JD Sports Fashion plc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</si>
  <si>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</si>
  <si>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</si>
  <si>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</si>
  <si>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</si>
  <si>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2026-10-09T15:36:23Z (LSE regular-session close; Yahoo chart API)</t>
  </si>
  <si>
    <t xml:space="preserve">Balance sheet date</t>
  </si>
  <si>
    <t xml:space="preserve">2026-08-01</t>
  </si>
  <si>
    <t xml:space="preserve">Model</t>
  </si>
  <si>
    <t xml:space="preserve">owner_fcf_dcf_component</t>
  </si>
  <si>
    <t xml:space="preserve">Currency (model)</t>
  </si>
  <si>
    <t xml:space="preserve">GBP</t>
  </si>
  <si>
    <t xml:space="preserve">Currency (quote)</t>
  </si>
  <si>
    <t xml:space="preserve">GBp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</si>
  <si>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</si>
  <si>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</si>
  <si>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</si>
  <si>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</si>
  <si>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</si>
  <si>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2026-10-10T00:58:28Z</t>
  </si>
  <si>
    <t xml:space="preserve">Drivers file</t>
  </si>
  <si>
    <t xml:space="preserve">JD.L_Drivers.json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</si>
  <si>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</si>
  <si>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</si>
  <si>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</si>
  <si>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on a lease-as-operating-cost basis: every pound of rent (principal and interest, GBP657m in FY26) is charged inside the flows and lease liabilities are kept out of net debt, so the GBP3.1bn IFRS-16 liability is neither ignored nor double-counted. The minorities' claim is taken at the GBP839m put/call liability the Group itself carries, not the GBP460m book NCI. The explicit FY27 year is tied to the reaffirmed FCF guidance; thereafter growth is the 2-3% market, not the M&amp;A-inflated history. Risk is carried in the scenarios and in a 30% bear weight, with one 9.5% GBP WACC across scenarios and a 12x cap on the terminal multiple for a cyclical, structurally slow-growth retailer. SBC is near zero so house and street values coincide.
key_risks_to_valuation: Brand-partner dependency: Nike reportedly &gt;40% of US revenue; allocation or DTC shifts are outside JD's control and hit margin before revenue; Operating leverage on a 4,800-store leased estate: a 1pp fall in sustained EBITDA margin is ~GBP130m of owner FCF, ~25% of the base FCF; Genesis put/call settles FY30/31 on an EBITDA-multiple formula: if JD US outperforms, the GBP774m liability grows (it was GBP993m at H1 FY26) and the bridge deduction is too small; if it underperforms the liability shrinks but so do the flows; FX translation: ~72% of revenue in USD/EUR against GBP reporting; FY26 carried a GBP154m translation loss; Governance: interim chair, reported board split over the CEO, Pentland's ~55% control; a strategy change (M&amp;A resumption, dividend policy) would alter the capital-allocation assumptions; Working-capital drag is modelled as a permanent 0.5pp margin haircut; if inventory discipline delivers the guided improvement the model is ~GBP60m/yr too conservative, if new-store inventory build continues at FY26's pace it is ~GBP150m/yr too generous</t>
  </si>
  <si>
    <t xml:space="preserve">Data sources</t>
  </si>
  <si>
    <t xml:space="preserve">price: Yahoo Finance chart API at inputs.price_as_of (LSE regular close, GBp); 52-week range 63.98-101.95
financials: JD.L_Metrics.csv (core_metrics, GBP millions, FY2016-FY2026 annuals + H1 FY27, 5:1 split restated); JD.L_Annual_FY2026.txt (cash-flow statement p142, free-cash-flow summary p41, adjusting items p39, note 8/15 lease interest, note 33 SBC, auditor's KAM on the Genesis option GBP787m); JD.L_HalfYear_H1-2027.txt (balance sheet 1 Aug 2026, note 8 put/call GBP839m, EPS note diluted 4,883m, FCF reconciliation); JD.L_Quarterly_Q2-2027.txt (guidance cut 20 Aug 2026)
qualitative: JD.L_Analysis.json (2026-10-10): business model, bull/bear axes, FY27 guidance, governance events</t>
  </si>
  <si>
    <t xml:space="preserve">Scenario narrative: bear</t>
  </si>
  <si>
    <t xml:space="preserve">Like-for-like decline is structural (brand DTC, allocation, consumer); a lease-heavy fixed-cost estate turns falling sales into margin compression to ~13%, a third guidance cut follows, and board instability slows the response. Cash generation holds but the exit multiple stays single-digit.</t>
  </si>
  <si>
    <t xml:space="preserve">Scenario narrative: base</t>
  </si>
  <si>
    <t xml:space="preserve">JD delivers the lowered FY27 guidance (PBTAI GBP700-800m, FCF GBP460-520m) at the trough of the footwear product cycle, then compounds organic revenue at the 2-3% market rate plus disciplined space growth, with adjusted EBITDA margin recovering from ~15% to FY26's ~15.8% as supply-chain and e-commerce investments annualise and the NA estate is rationalised. The GBP200m/yr buyback and progressive dividend absorb the cash. The Genesis minority is bought out in FY30/31 at the option formula, already deducted in the bridge.</t>
  </si>
  <si>
    <t xml:space="preserve">Scenario narrative: bull</t>
  </si>
  <si>
    <t xml:space="preserve">A NA consumer and 'heat' product recovery from FY28, successful Europe margin build toward high-single-digit operating margin, apparel mix gains and capital-light franchising (Mexico 140+ stores) lift organic growth to 4-4.5% and adjusted EBITDA back to ~17%; the market re-rates a net-cash retailer with a 10%+ FCF yield.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</si>
  <si>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</si>
  <si>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</si>
  <si>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</si>
  <si>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</si>
  <si>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</si>
  <si>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</si>
  <si>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</si>
  <si>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</si>
  <si>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</si>
  <si>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</si>
  <si>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</si>
  <si>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</si>
  <si>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</si>
  <si>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</si>
  <si>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</si>
  <si>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</si>
  <si>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</si>
  <si>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</si>
  <si>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</si>
  <si>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</si>
  <si>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</si>
  <si>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</si>
  <si>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</si>
  <si>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</si>
  <si>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</si>
  <si>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</si>
  <si>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</si>
  <si>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AdjustedOperatingProfit</t>
  </si>
  <si>
    <t xml:space="preserve">BasicEPS</t>
  </si>
  <si>
    <t xml:space="preserve">StoreCount</t>
  </si>
  <si>
    <t xml:space="preserve">TotalEquityInclNCI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</si>
  <si>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</si>
  <si>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</si>
  <si>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</si>
  <si>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</si>
  <si>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</si>
  <si>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</si>
  <si>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</si>
  <si>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</si>
  <si>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</si>
  <si>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</si>
  <si>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</si>
  <si>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</si>
  <si>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</si>
  <si>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</si>
  <si>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</si>
  <si>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</si>
  <si>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</si>
  <si>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</si>
  <si>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</si>
  <si>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</si>
  <si>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</si>
  <si>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GBP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</si>
  <si>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</si>
  <si>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</si>
  <si>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</si>
  <si>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</si>
  <si>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</si>
  <si>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</si>
  <si>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</si>
  <si>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</si>
  <si>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</si>
  <si>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</si>
  <si>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</si>
  <si>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</si>
  <si>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</si>
  <si>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</si>
  <si>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</si>
  <si>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</si>
  <si>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</si>
  <si>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</si>
  <si>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</si>
  <si>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</si>
  <si>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</si>
  <si>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</si>
  <si>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</si>
  <si>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</si>
  <si>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</si>
  <si>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</si>
  <si>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JD.L owner-FCF component DCF: bear case (millions, GBP)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</si>
  <si>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</si>
  <si>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</si>
  <si>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</si>
  <si>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</si>
  <si>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</si>
  <si>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</si>
  <si>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</si>
  <si>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</si>
  <si>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</si>
  <si>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</si>
  <si>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</si>
  <si>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</si>
  <si>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</si>
  <si>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</si>
  <si>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</si>
  <si>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</si>
  <si>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</si>
  <si>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</si>
  <si>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</si>
  <si>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</si>
  <si>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</si>
  <si>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</si>
  <si>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</si>
  <si>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</si>
  <si>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</si>
  <si>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</si>
  <si>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</si>
  <si>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</si>
  <si>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</si>
  <si>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</si>
  <si>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JD.L owner-FCF component DCF: base case (millions, GBP)</t>
  </si>
  <si>
    <t xml:space="preserve">JD.L owner-FCF component DCF: bull case (millions, GBP)</t>
  </si>
  <si>
    <t xml:space="preserve">JD.L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</si>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</sst>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84.5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</row>
    <row r="2" customFormat="false" ht="15" hidden="false" customHeight="false" outlineLevel="0" collapsed="false">
      <c r="A2" s="0" t="s">
        <v>68</v>
      </c>
      <c r="B2" s="0" t="n">
        <v>1821.652</v>
      </c>
      <c r="C2" s="0" t="n">
        <v>937.431</v>
      </c>
      <c r="D2" s="0" t="n">
        <v>884.221</v>
      </c>
      <c r="E2" s="0" t="n">
        <v>48.5</v>
      </c>
      <c r="F2" s="0" t="n">
        <v>133.406</v>
      </c>
      <c r="G2" s="0" t="n">
        <v>7.3</v>
      </c>
      <c r="H2" s="0" t="n">
        <v>182.184</v>
      </c>
      <c r="I2" s="0" t="n">
        <v>97.634</v>
      </c>
      <c r="J2" s="0" t="n">
        <v>5.4</v>
      </c>
      <c r="K2" s="0" t="n">
        <v>0.02006</v>
      </c>
      <c r="L2" s="0" t="n">
        <v>226.014</v>
      </c>
      <c r="M2" s="0" t="n">
        <v>77.166</v>
      </c>
      <c r="N2" s="0" t="n">
        <v>148.848</v>
      </c>
      <c r="O2" s="0" t="n">
        <v>382.42</v>
      </c>
      <c r="P2" s="0" t="n">
        <v>791.296</v>
      </c>
      <c r="Q2" s="0" t="n">
        <v>390.471</v>
      </c>
      <c r="R2" s="0" t="n">
        <v>6.575</v>
      </c>
      <c r="S2" s="0" t="n">
        <v>215.996</v>
      </c>
      <c r="T2" s="0" t="n">
        <v>4866.2</v>
      </c>
      <c r="U2" s="0" t="n">
        <v>0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69</v>
      </c>
      <c r="B3" s="0" t="n">
        <v>2378.694</v>
      </c>
      <c r="C3" s="0" t="n">
        <v>1215.053</v>
      </c>
      <c r="D3" s="0" t="n">
        <v>1163.641</v>
      </c>
      <c r="E3" s="0" t="n">
        <v>48.9</v>
      </c>
      <c r="F3" s="0" t="n">
        <v>239.793</v>
      </c>
      <c r="G3" s="0" t="n">
        <v>10.1</v>
      </c>
      <c r="H3" s="0" t="n">
        <v>302.163</v>
      </c>
      <c r="I3" s="0" t="n">
        <v>178.914</v>
      </c>
      <c r="J3" s="0" t="n">
        <v>7.5</v>
      </c>
      <c r="K3" s="0" t="n">
        <v>0.03676</v>
      </c>
      <c r="L3" s="0" t="n">
        <v>279.261</v>
      </c>
      <c r="M3" s="0" t="n">
        <v>81.072</v>
      </c>
      <c r="N3" s="0" t="n">
        <v>198.189</v>
      </c>
      <c r="O3" s="0" t="n">
        <v>552.25</v>
      </c>
      <c r="P3" s="0" t="n">
        <v>1178.936</v>
      </c>
      <c r="Q3" s="0" t="n">
        <v>600.094</v>
      </c>
      <c r="R3" s="0" t="n">
        <v>33.96</v>
      </c>
      <c r="S3" s="0" t="n">
        <v>247.56</v>
      </c>
      <c r="T3" s="0" t="n">
        <v>4866.2</v>
      </c>
      <c r="U3" s="0" t="n">
        <v>0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70</v>
      </c>
      <c r="B4" s="0" t="n">
        <v>3161.4</v>
      </c>
      <c r="C4" s="0" t="n">
        <v>1629.8</v>
      </c>
      <c r="D4" s="0" t="n">
        <v>1531.6</v>
      </c>
      <c r="E4" s="0" t="n">
        <v>48.4</v>
      </c>
      <c r="F4" s="0" t="n">
        <v>295.9</v>
      </c>
      <c r="G4" s="0" t="n">
        <v>9.4</v>
      </c>
      <c r="H4" s="0" t="n">
        <v>367.2</v>
      </c>
      <c r="I4" s="0" t="n">
        <v>231.9</v>
      </c>
      <c r="J4" s="0" t="n">
        <v>7.3</v>
      </c>
      <c r="K4" s="0" t="n">
        <v>0.04766</v>
      </c>
      <c r="L4" s="0" t="n">
        <v>338.8</v>
      </c>
      <c r="M4" s="0" t="n">
        <v>173.8</v>
      </c>
      <c r="N4" s="0" t="n">
        <v>165</v>
      </c>
      <c r="O4" s="0" t="n">
        <v>770.4</v>
      </c>
      <c r="P4" s="0" t="n">
        <v>1626.2</v>
      </c>
      <c r="Q4" s="0" t="n">
        <v>791.9</v>
      </c>
      <c r="R4" s="0" t="n">
        <v>37.8</v>
      </c>
      <c r="S4" s="0" t="n">
        <v>347.5</v>
      </c>
      <c r="T4" s="0" t="n">
        <v>4866.2</v>
      </c>
      <c r="U4" s="0" t="n">
        <v>0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71</v>
      </c>
      <c r="B5" s="0" t="n">
        <v>4717.8</v>
      </c>
      <c r="C5" s="0" t="n">
        <v>2474.5</v>
      </c>
      <c r="D5" s="0" t="n">
        <v>2243.3</v>
      </c>
      <c r="E5" s="0" t="n">
        <v>47.5</v>
      </c>
      <c r="F5" s="0" t="n">
        <v>346.2</v>
      </c>
      <c r="G5" s="0" t="n">
        <v>7.3</v>
      </c>
      <c r="H5" s="0" t="n">
        <v>461.2</v>
      </c>
      <c r="I5" s="0" t="n">
        <v>261.8</v>
      </c>
      <c r="J5" s="0" t="n">
        <v>5.5</v>
      </c>
      <c r="K5" s="0" t="n">
        <v>0.0538</v>
      </c>
      <c r="L5" s="0" t="n">
        <v>377.6</v>
      </c>
      <c r="M5" s="0" t="n">
        <v>185.9</v>
      </c>
      <c r="N5" s="0" t="n">
        <v>191.7</v>
      </c>
      <c r="O5" s="0" t="n">
        <v>1008.8</v>
      </c>
      <c r="P5" s="0" t="n">
        <v>2205.5</v>
      </c>
      <c r="Q5" s="0" t="n">
        <v>1128.7</v>
      </c>
      <c r="R5" s="0" t="n">
        <v>126</v>
      </c>
      <c r="S5" s="0" t="n">
        <v>251.2</v>
      </c>
      <c r="T5" s="0" t="n">
        <v>4866.2</v>
      </c>
      <c r="U5" s="0" t="n">
        <v>0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72</v>
      </c>
      <c r="B6" s="0" t="n">
        <v>6110.8</v>
      </c>
      <c r="C6" s="0" t="n">
        <v>3236</v>
      </c>
      <c r="D6" s="0" t="n">
        <v>2874.8</v>
      </c>
      <c r="E6" s="0" t="n">
        <v>47</v>
      </c>
      <c r="F6" s="0" t="n">
        <v>426.6</v>
      </c>
      <c r="G6" s="0" t="n">
        <v>7</v>
      </c>
      <c r="H6" s="0" t="n">
        <v>876.6</v>
      </c>
      <c r="I6" s="0" t="n">
        <v>246.1</v>
      </c>
      <c r="J6" s="0" t="n">
        <v>4</v>
      </c>
      <c r="K6" s="0" t="n">
        <v>0.05058</v>
      </c>
      <c r="L6" s="0" t="n">
        <v>854</v>
      </c>
      <c r="M6" s="0" t="n">
        <v>170.4</v>
      </c>
      <c r="N6" s="0" t="n">
        <v>683.6</v>
      </c>
      <c r="O6" s="0" t="n">
        <v>1219.2</v>
      </c>
      <c r="P6" s="0" t="n">
        <v>4345.9</v>
      </c>
      <c r="Q6" s="0" t="n">
        <v>3056.7</v>
      </c>
      <c r="R6" s="0" t="n">
        <v>36</v>
      </c>
      <c r="S6" s="0" t="n">
        <v>465.9</v>
      </c>
      <c r="T6" s="0" t="n">
        <v>4866.2</v>
      </c>
      <c r="U6" s="0" t="n">
        <v>0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73</v>
      </c>
      <c r="B7" s="0" t="n">
        <v>6167.3</v>
      </c>
      <c r="C7" s="0" t="n">
        <v>3205.7</v>
      </c>
      <c r="D7" s="0" t="n">
        <v>2961.6</v>
      </c>
      <c r="E7" s="0" t="n">
        <v>48</v>
      </c>
      <c r="F7" s="0" t="n">
        <v>385</v>
      </c>
      <c r="G7" s="0" t="n">
        <v>6.2</v>
      </c>
      <c r="H7" s="0" t="n">
        <v>884.2</v>
      </c>
      <c r="I7" s="0" t="n">
        <v>224.3</v>
      </c>
      <c r="J7" s="0" t="n">
        <v>3.6</v>
      </c>
      <c r="K7" s="0" t="n">
        <v>0.0461</v>
      </c>
      <c r="L7" s="0" t="n">
        <v>1061.3</v>
      </c>
      <c r="M7" s="0" t="n">
        <v>128.1</v>
      </c>
      <c r="N7" s="0" t="n">
        <v>933.2</v>
      </c>
      <c r="O7" s="0" t="n">
        <v>1238.7</v>
      </c>
      <c r="P7" s="0" t="n">
        <v>5161.9</v>
      </c>
      <c r="Q7" s="0" t="n">
        <v>3665.5</v>
      </c>
      <c r="R7" s="0" t="n">
        <v>169</v>
      </c>
      <c r="S7" s="0" t="n">
        <v>964.4</v>
      </c>
      <c r="T7" s="0" t="n">
        <v>4866.2</v>
      </c>
      <c r="U7" s="0" t="n">
        <v>0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74</v>
      </c>
      <c r="B8" s="0" t="n">
        <v>8563</v>
      </c>
      <c r="C8" s="0" t="n">
        <v>4355</v>
      </c>
      <c r="D8" s="0" t="n">
        <v>4208</v>
      </c>
      <c r="E8" s="0" t="n">
        <v>49.1</v>
      </c>
      <c r="F8" s="0" t="n">
        <v>721.2</v>
      </c>
      <c r="G8" s="0" t="n">
        <v>8.4</v>
      </c>
      <c r="H8" s="0" t="n">
        <v>1301.1</v>
      </c>
      <c r="I8" s="0" t="n">
        <v>369.7</v>
      </c>
      <c r="J8" s="0" t="n">
        <v>4.3</v>
      </c>
      <c r="K8" s="0" t="n">
        <v>0.0717</v>
      </c>
      <c r="L8" s="0" t="n">
        <v>1261.7</v>
      </c>
      <c r="M8" s="0" t="n">
        <v>247.4</v>
      </c>
      <c r="N8" s="0" t="n">
        <v>1014.3</v>
      </c>
      <c r="O8" s="0" t="n">
        <v>1872.8</v>
      </c>
      <c r="P8" s="0" t="n">
        <v>7153</v>
      </c>
      <c r="Q8" s="0" t="n">
        <v>4866.6</v>
      </c>
      <c r="R8" s="0" t="n">
        <v>128.1</v>
      </c>
      <c r="S8" s="0" t="n">
        <v>1314</v>
      </c>
      <c r="T8" s="0" t="n">
        <v>5158.1</v>
      </c>
      <c r="U8" s="0" t="n">
        <v>0.1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75</v>
      </c>
      <c r="B9" s="0" t="n">
        <v>10125</v>
      </c>
      <c r="C9" s="0" t="n">
        <v>5247.4</v>
      </c>
      <c r="D9" s="0" t="n">
        <v>4877.6</v>
      </c>
      <c r="E9" s="0" t="n">
        <v>48.2</v>
      </c>
      <c r="F9" s="0" t="n">
        <v>806</v>
      </c>
      <c r="G9" s="0" t="n">
        <v>8</v>
      </c>
      <c r="H9" s="0" t="n">
        <v>1439.2</v>
      </c>
      <c r="I9" s="0" t="n">
        <v>188.3</v>
      </c>
      <c r="J9" s="0" t="n">
        <v>1.9</v>
      </c>
      <c r="K9" s="0" t="n">
        <v>0.0365</v>
      </c>
      <c r="L9" s="0" t="n">
        <v>1081.5</v>
      </c>
      <c r="M9" s="0" t="n">
        <v>346.5</v>
      </c>
      <c r="N9" s="0" t="n">
        <v>735</v>
      </c>
      <c r="O9" s="0" t="n">
        <v>2117.1</v>
      </c>
      <c r="P9" s="0" t="n">
        <v>8110.6</v>
      </c>
      <c r="Q9" s="0" t="n">
        <v>5479.6</v>
      </c>
      <c r="R9" s="0" t="n">
        <v>113.2</v>
      </c>
      <c r="S9" s="0" t="n">
        <v>1508</v>
      </c>
      <c r="T9" s="0" t="n">
        <v>5158.6</v>
      </c>
      <c r="U9" s="0" t="n">
        <v>0.1</v>
      </c>
      <c r="AA9" s="0" t="s">
        <v>18</v>
      </c>
      <c r="AB9" s="0" t="s">
        <v>14</v>
      </c>
      <c r="AC9" s="0" t="n">
        <v>1060.3</v>
      </c>
    </row>
    <row r="10" customFormat="false" ht="15" hidden="false" customHeight="false" outlineLevel="0" collapsed="false">
      <c r="A10" s="0" t="s">
        <v>76</v>
      </c>
      <c r="B10" s="0" t="n">
        <v>10542</v>
      </c>
      <c r="C10" s="0" t="n">
        <v>5494</v>
      </c>
      <c r="D10" s="0" t="n">
        <v>5048</v>
      </c>
      <c r="E10" s="0" t="n">
        <v>47.9</v>
      </c>
      <c r="F10" s="0" t="n">
        <v>927.2</v>
      </c>
      <c r="G10" s="0" t="n">
        <v>8.8</v>
      </c>
      <c r="H10" s="0" t="n">
        <v>1591.3</v>
      </c>
      <c r="I10" s="0" t="n">
        <v>538.8</v>
      </c>
      <c r="J10" s="0" t="n">
        <v>5.1</v>
      </c>
      <c r="K10" s="0" t="n">
        <v>0.1045</v>
      </c>
      <c r="L10" s="0" t="n">
        <v>1140.8</v>
      </c>
      <c r="M10" s="0" t="n">
        <v>529.5</v>
      </c>
      <c r="N10" s="0" t="n">
        <v>611.3</v>
      </c>
      <c r="O10" s="0" t="n">
        <v>2456.2</v>
      </c>
      <c r="P10" s="0" t="n">
        <v>8046.2</v>
      </c>
      <c r="Q10" s="0" t="n">
        <v>5177.8</v>
      </c>
      <c r="R10" s="0" t="n">
        <v>129.5</v>
      </c>
      <c r="S10" s="0" t="n">
        <v>1152.7</v>
      </c>
      <c r="T10" s="0" t="n">
        <v>5158.9</v>
      </c>
      <c r="U10" s="0" t="n">
        <v>2.6</v>
      </c>
      <c r="AA10" s="0" t="s">
        <v>18</v>
      </c>
      <c r="AB10" s="0" t="s">
        <v>14</v>
      </c>
      <c r="AC10" s="0" t="n">
        <v>1029</v>
      </c>
      <c r="AE10" s="0" t="n">
        <v>3317</v>
      </c>
    </row>
    <row r="11" customFormat="false" ht="15" hidden="false" customHeight="false" outlineLevel="0" collapsed="false">
      <c r="A11" s="0" t="s">
        <v>77</v>
      </c>
      <c r="B11" s="0" t="n">
        <v>11458</v>
      </c>
      <c r="C11" s="0" t="n">
        <v>6086</v>
      </c>
      <c r="D11" s="0" t="n">
        <v>5372</v>
      </c>
      <c r="E11" s="0" t="n">
        <v>46.9</v>
      </c>
      <c r="F11" s="0" t="n">
        <v>903</v>
      </c>
      <c r="G11" s="0" t="n">
        <v>7.9</v>
      </c>
      <c r="H11" s="0" t="n">
        <v>1689</v>
      </c>
      <c r="I11" s="0" t="n">
        <v>490</v>
      </c>
      <c r="J11" s="0" t="n">
        <v>4.3</v>
      </c>
      <c r="K11" s="0" t="n">
        <v>0.095</v>
      </c>
      <c r="L11" s="0" t="n">
        <v>1228</v>
      </c>
      <c r="M11" s="0" t="n">
        <v>515</v>
      </c>
      <c r="N11" s="0" t="n">
        <v>713</v>
      </c>
      <c r="O11" s="0" t="n">
        <v>2922</v>
      </c>
      <c r="P11" s="0" t="n">
        <v>9959</v>
      </c>
      <c r="Q11" s="0" t="n">
        <v>6587</v>
      </c>
      <c r="R11" s="0" t="n">
        <v>679</v>
      </c>
      <c r="S11" s="0" t="n">
        <v>731</v>
      </c>
      <c r="T11" s="0" t="n">
        <v>5160</v>
      </c>
      <c r="U11" s="0" t="n">
        <v>1</v>
      </c>
      <c r="AA11" s="0" t="s">
        <v>18</v>
      </c>
      <c r="AB11" s="0" t="s">
        <v>14</v>
      </c>
      <c r="AC11" s="0" t="n">
        <v>1049</v>
      </c>
      <c r="AE11" s="0" t="n">
        <v>4850</v>
      </c>
      <c r="AF11" s="0" t="n">
        <v>3372</v>
      </c>
    </row>
    <row r="12" customFormat="false" ht="15" hidden="false" customHeight="false" outlineLevel="0" collapsed="false">
      <c r="A12" s="0" t="s">
        <v>78</v>
      </c>
      <c r="B12" s="0" t="n">
        <v>12662</v>
      </c>
      <c r="C12" s="0" t="n">
        <v>6711</v>
      </c>
      <c r="D12" s="0" t="n">
        <v>5951</v>
      </c>
      <c r="E12" s="0" t="n">
        <v>47</v>
      </c>
      <c r="F12" s="0" t="n">
        <v>787</v>
      </c>
      <c r="G12" s="0" t="n">
        <v>6.2</v>
      </c>
      <c r="H12" s="0" t="n">
        <v>1753</v>
      </c>
      <c r="I12" s="0" t="n">
        <v>436</v>
      </c>
      <c r="J12" s="0" t="n">
        <v>3.4</v>
      </c>
      <c r="K12" s="0" t="n">
        <v>0.0854</v>
      </c>
      <c r="L12" s="0" t="n">
        <v>1357</v>
      </c>
      <c r="M12" s="0" t="n">
        <v>401</v>
      </c>
      <c r="N12" s="0" t="n">
        <v>956</v>
      </c>
      <c r="O12" s="0" t="n">
        <v>2990</v>
      </c>
      <c r="P12" s="0" t="n">
        <v>9791</v>
      </c>
      <c r="Q12" s="0" t="n">
        <v>6351</v>
      </c>
      <c r="R12" s="0" t="n">
        <v>542</v>
      </c>
      <c r="S12" s="0" t="n">
        <v>854</v>
      </c>
      <c r="T12" s="0" t="n">
        <v>5112</v>
      </c>
      <c r="U12" s="0" t="n">
        <v>5</v>
      </c>
      <c r="AA12" s="0" t="s">
        <v>18</v>
      </c>
      <c r="AB12" s="0" t="s">
        <v>14</v>
      </c>
      <c r="AC12" s="0" t="n">
        <v>1035</v>
      </c>
      <c r="AD12" s="0" t="n">
        <v>0.0863</v>
      </c>
      <c r="AE12" s="0" t="n">
        <v>4811</v>
      </c>
      <c r="AF12" s="0" t="n">
        <v>3440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79</v>
      </c>
      <c r="B1" s="2" t="s">
        <v>80</v>
      </c>
    </row>
    <row r="2" customFormat="false" ht="15" hidden="false" customHeight="false" outlineLevel="0" collapsed="false">
      <c r="A2" s="0" t="s">
        <v>81</v>
      </c>
      <c r="B2" s="3" t="n">
        <v>84.5</v>
      </c>
    </row>
    <row r="3" customFormat="false" ht="15" hidden="false" customHeight="false" outlineLevel="0" collapsed="false">
      <c r="A3" s="0" t="s">
        <v>82</v>
      </c>
      <c r="B3" s="3" t="n">
        <v>4883</v>
      </c>
    </row>
    <row r="4" customFormat="false" ht="15" hidden="false" customHeight="false" outlineLevel="0" collapsed="false">
      <c r="A4" s="0" t="s">
        <v>83</v>
      </c>
      <c r="B4" s="3" t="n">
        <v>-168</v>
      </c>
    </row>
    <row r="5" customFormat="false" ht="15" hidden="false" customHeight="false" outlineLevel="0" collapsed="false">
      <c r="A5" s="0" t="s">
        <v>84</v>
      </c>
      <c r="B5" s="3" t="n">
        <v>-839</v>
      </c>
    </row>
    <row r="6" customFormat="false" ht="15" hidden="false" customHeight="false" outlineLevel="0" collapsed="false">
      <c r="A6" s="0" t="s">
        <v>85</v>
      </c>
      <c r="B6" s="3" t="n">
        <v>15</v>
      </c>
    </row>
    <row r="7" customFormat="false" ht="15" hidden="false" customHeight="false" outlineLevel="0" collapsed="false">
      <c r="A7" s="0" t="s">
        <v>86</v>
      </c>
      <c r="B7" s="3" t="n">
        <v>12662</v>
      </c>
    </row>
    <row r="8" customFormat="false" ht="15" hidden="false" customHeight="false" outlineLevel="0" collapsed="false">
      <c r="A8" s="0" t="s">
        <v>87</v>
      </c>
      <c r="B8" s="3" t="s">
        <v>78</v>
      </c>
    </row>
    <row r="9" customFormat="false" ht="15" hidden="false" customHeight="false" outlineLevel="0" collapsed="false">
      <c r="A9" s="0" t="s">
        <v>88</v>
      </c>
      <c r="B9" s="3" t="s">
        <v>89</v>
      </c>
    </row>
    <row r="10" customFormat="false" ht="15" hidden="false" customHeight="false" outlineLevel="0" collapsed="false">
      <c r="A10" s="0" t="s">
        <v>90</v>
      </c>
      <c r="B10" s="3" t="n">
        <v>100</v>
      </c>
    </row>
    <row r="12" customFormat="false" ht="15" hidden="false" customHeight="false" outlineLevel="0" collapsed="false">
      <c r="A12" s="2" t="s">
        <v>91</v>
      </c>
      <c r="C12" s="2" t="s">
        <v>92</v>
      </c>
      <c r="D12" s="2" t="s">
        <v>93</v>
      </c>
      <c r="E12" s="2" t="s">
        <v>94</v>
      </c>
      <c r="F12" s="2" t="s">
        <v>95</v>
      </c>
      <c r="G12" s="2" t="s">
        <v>96</v>
      </c>
      <c r="H12" s="2" t="s">
        <v>97</v>
      </c>
      <c r="I12" s="2" t="s">
        <v>98</v>
      </c>
      <c r="J12" s="2" t="s">
        <v>99</v>
      </c>
      <c r="K12" s="2" t="s">
        <v>100</v>
      </c>
      <c r="L12" s="2" t="s">
        <v>101</v>
      </c>
    </row>
    <row r="13" customFormat="false" ht="15" hidden="false" customHeight="false" outlineLevel="0" collapsed="false">
      <c r="A13" s="0" t="s">
        <v>102</v>
      </c>
      <c r="C13" s="3" t="n">
        <v>-3</v>
      </c>
      <c r="D13" s="3" t="n">
        <v>-2</v>
      </c>
      <c r="E13" s="3" t="n">
        <v>0</v>
      </c>
      <c r="F13" s="3" t="n">
        <v>1</v>
      </c>
      <c r="G13" s="3" t="n">
        <v>1.5</v>
      </c>
      <c r="H13" s="3" t="n">
        <v>1.5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103</v>
      </c>
      <c r="C14" s="3" t="n">
        <v>14</v>
      </c>
      <c r="D14" s="3" t="n">
        <v>13.5</v>
      </c>
      <c r="E14" s="3" t="n">
        <v>13.2</v>
      </c>
      <c r="F14" s="3" t="n">
        <v>13.2</v>
      </c>
      <c r="G14" s="3" t="n">
        <v>13.2</v>
      </c>
      <c r="H14" s="3" t="n">
        <v>13.2</v>
      </c>
      <c r="I14" s="3" t="n">
        <v>13.2</v>
      </c>
      <c r="J14" s="3" t="n">
        <v>13.2</v>
      </c>
      <c r="K14" s="3" t="n">
        <v>13.2</v>
      </c>
      <c r="L14" s="3" t="n">
        <v>13.2</v>
      </c>
    </row>
    <row r="15" customFormat="false" ht="15" hidden="false" customHeight="false" outlineLevel="0" collapsed="false">
      <c r="A15" s="0" t="s">
        <v>104</v>
      </c>
      <c r="C15" s="3" t="n">
        <v>0.05</v>
      </c>
      <c r="D15" s="3" t="n">
        <v>0.05</v>
      </c>
      <c r="E15" s="3" t="n">
        <v>0.05</v>
      </c>
      <c r="F15" s="3" t="n">
        <v>0.05</v>
      </c>
      <c r="G15" s="3" t="n">
        <v>0.05</v>
      </c>
      <c r="H15" s="3" t="n">
        <v>0.05</v>
      </c>
      <c r="I15" s="3" t="n">
        <v>0.05</v>
      </c>
      <c r="J15" s="3" t="n">
        <v>0.05</v>
      </c>
      <c r="K15" s="3" t="n">
        <v>0.05</v>
      </c>
      <c r="L15" s="3" t="n">
        <v>0.05</v>
      </c>
    </row>
    <row r="16" customFormat="false" ht="15" hidden="false" customHeight="false" outlineLevel="0" collapsed="false">
      <c r="A16" s="0" t="s">
        <v>105</v>
      </c>
      <c r="C16" s="3" t="n">
        <v>5.8</v>
      </c>
      <c r="D16" s="3" t="n">
        <v>6</v>
      </c>
      <c r="E16" s="3" t="n">
        <v>6</v>
      </c>
      <c r="F16" s="3" t="n">
        <v>6</v>
      </c>
      <c r="G16" s="3" t="n">
        <v>6</v>
      </c>
      <c r="H16" s="3" t="n">
        <v>6</v>
      </c>
      <c r="I16" s="3" t="n">
        <v>6</v>
      </c>
      <c r="J16" s="3" t="n">
        <v>6</v>
      </c>
      <c r="K16" s="3" t="n">
        <v>6</v>
      </c>
      <c r="L16" s="3" t="n">
        <v>6</v>
      </c>
    </row>
    <row r="17" customFormat="false" ht="15" hidden="false" customHeight="false" outlineLevel="0" collapsed="false">
      <c r="A17" s="0" t="s">
        <v>106</v>
      </c>
      <c r="C17" s="3" t="n">
        <v>3.2</v>
      </c>
      <c r="D17" s="3" t="n">
        <v>3.2</v>
      </c>
      <c r="E17" s="3" t="n">
        <v>3.2</v>
      </c>
      <c r="F17" s="3" t="n">
        <v>3.2</v>
      </c>
      <c r="G17" s="3" t="n">
        <v>3.2</v>
      </c>
      <c r="H17" s="3" t="n">
        <v>3.2</v>
      </c>
      <c r="I17" s="3" t="n">
        <v>3.2</v>
      </c>
      <c r="J17" s="3" t="n">
        <v>3.2</v>
      </c>
      <c r="K17" s="3" t="n">
        <v>3.2</v>
      </c>
      <c r="L17" s="3" t="n">
        <v>3.2</v>
      </c>
    </row>
    <row r="18" customFormat="false" ht="15" hidden="false" customHeight="false" outlineLevel="0" collapsed="false">
      <c r="A18" s="0" t="s">
        <v>107</v>
      </c>
      <c r="C18" s="3" t="n">
        <v>3</v>
      </c>
      <c r="D18" s="3" t="n">
        <v>3</v>
      </c>
      <c r="E18" s="3" t="n">
        <v>3</v>
      </c>
      <c r="F18" s="3" t="n">
        <v>3</v>
      </c>
      <c r="G18" s="3" t="n">
        <v>3</v>
      </c>
      <c r="H18" s="3" t="n">
        <v>3</v>
      </c>
      <c r="I18" s="3" t="n">
        <v>3</v>
      </c>
      <c r="J18" s="3" t="n">
        <v>3</v>
      </c>
      <c r="K18" s="3" t="n">
        <v>3</v>
      </c>
      <c r="L18" s="3" t="n">
        <v>3</v>
      </c>
    </row>
    <row r="19" customFormat="false" ht="15" hidden="false" customHeight="false" outlineLevel="0" collapsed="false">
      <c r="A19" s="0" t="s">
        <v>108</v>
      </c>
      <c r="C19" s="3" t="n">
        <v>26</v>
      </c>
      <c r="D19" s="3" t="n">
        <v>26</v>
      </c>
      <c r="E19" s="3" t="n">
        <v>26</v>
      </c>
      <c r="F19" s="3" t="n">
        <v>26</v>
      </c>
      <c r="G19" s="3" t="n">
        <v>26</v>
      </c>
      <c r="H19" s="3" t="n">
        <v>26</v>
      </c>
      <c r="I19" s="3" t="n">
        <v>26</v>
      </c>
      <c r="J19" s="3" t="n">
        <v>26</v>
      </c>
      <c r="K19" s="3" t="n">
        <v>26</v>
      </c>
      <c r="L19" s="3" t="n">
        <v>26</v>
      </c>
    </row>
    <row r="20" customFormat="false" ht="15" hidden="false" customHeight="false" outlineLevel="0" collapsed="false">
      <c r="A20" s="0" t="s">
        <v>109</v>
      </c>
      <c r="B20" s="3" t="n">
        <v>9.5</v>
      </c>
    </row>
    <row r="21" customFormat="false" ht="15" hidden="false" customHeight="false" outlineLevel="0" collapsed="false">
      <c r="A21" s="0" t="s">
        <v>110</v>
      </c>
      <c r="B21" s="3" t="n">
        <v>1.5</v>
      </c>
    </row>
    <row r="22" customFormat="false" ht="15" hidden="false" customHeight="false" outlineLevel="0" collapsed="false">
      <c r="A22" s="0" t="s">
        <v>111</v>
      </c>
      <c r="B22" s="3" t="n">
        <v>10</v>
      </c>
    </row>
    <row r="23" customFormat="false" ht="15" hidden="false" customHeight="false" outlineLevel="0" collapsed="false">
      <c r="A23" s="0" t="s">
        <v>112</v>
      </c>
      <c r="B23" s="3" t="n">
        <v>-5</v>
      </c>
    </row>
    <row r="24" customFormat="false" ht="15" hidden="false" customHeight="false" outlineLevel="0" collapsed="false">
      <c r="A24" s="0" t="s">
        <v>113</v>
      </c>
      <c r="B24" s="3" t="n">
        <v>0.3</v>
      </c>
    </row>
    <row r="26" customFormat="false" ht="15" hidden="false" customHeight="false" outlineLevel="0" collapsed="false">
      <c r="A26" s="2" t="s">
        <v>114</v>
      </c>
      <c r="C26" s="2" t="s">
        <v>92</v>
      </c>
      <c r="D26" s="2" t="s">
        <v>93</v>
      </c>
      <c r="E26" s="2" t="s">
        <v>94</v>
      </c>
      <c r="F26" s="2" t="s">
        <v>95</v>
      </c>
      <c r="G26" s="2" t="s">
        <v>96</v>
      </c>
      <c r="H26" s="2" t="s">
        <v>97</v>
      </c>
      <c r="I26" s="2" t="s">
        <v>98</v>
      </c>
      <c r="J26" s="2" t="s">
        <v>99</v>
      </c>
      <c r="K26" s="2" t="s">
        <v>100</v>
      </c>
      <c r="L26" s="2" t="s">
        <v>101</v>
      </c>
    </row>
    <row r="27" customFormat="false" ht="15" hidden="false" customHeight="false" outlineLevel="0" collapsed="false">
      <c r="A27" s="0" t="s">
        <v>102</v>
      </c>
      <c r="C27" s="3" t="n">
        <v>-1</v>
      </c>
      <c r="D27" s="3" t="n">
        <v>2</v>
      </c>
      <c r="E27" s="3" t="n">
        <v>3</v>
      </c>
      <c r="F27" s="3" t="n">
        <v>3</v>
      </c>
      <c r="G27" s="3" t="n">
        <v>3</v>
      </c>
      <c r="H27" s="3" t="n">
        <v>2.5</v>
      </c>
      <c r="I27" s="3" t="n">
        <v>2.5</v>
      </c>
      <c r="J27" s="3" t="n">
        <v>2.5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103</v>
      </c>
      <c r="C28" s="3" t="n">
        <v>14.5</v>
      </c>
      <c r="D28" s="3" t="n">
        <v>14.8</v>
      </c>
      <c r="E28" s="3" t="n">
        <v>15</v>
      </c>
      <c r="F28" s="3" t="n">
        <v>15.2</v>
      </c>
      <c r="G28" s="3" t="n">
        <v>15.3</v>
      </c>
      <c r="H28" s="3" t="n">
        <v>15.3</v>
      </c>
      <c r="I28" s="3" t="n">
        <v>15.3</v>
      </c>
      <c r="J28" s="3" t="n">
        <v>15.3</v>
      </c>
      <c r="K28" s="3" t="n">
        <v>15.3</v>
      </c>
      <c r="L28" s="3" t="n">
        <v>15.3</v>
      </c>
    </row>
    <row r="29" customFormat="false" ht="15" hidden="false" customHeight="false" outlineLevel="0" collapsed="false">
      <c r="A29" s="0" t="s">
        <v>104</v>
      </c>
      <c r="C29" s="3" t="n">
        <v>0.05</v>
      </c>
      <c r="D29" s="3" t="n">
        <v>0.05</v>
      </c>
      <c r="E29" s="3" t="n">
        <v>0.05</v>
      </c>
      <c r="F29" s="3" t="n">
        <v>0.05</v>
      </c>
      <c r="G29" s="3" t="n">
        <v>0.05</v>
      </c>
      <c r="H29" s="3" t="n">
        <v>0.05</v>
      </c>
      <c r="I29" s="3" t="n">
        <v>0.05</v>
      </c>
      <c r="J29" s="3" t="n">
        <v>0.05</v>
      </c>
      <c r="K29" s="3" t="n">
        <v>0.05</v>
      </c>
      <c r="L29" s="3" t="n">
        <v>0.05</v>
      </c>
    </row>
    <row r="30" customFormat="false" ht="15" hidden="false" customHeight="false" outlineLevel="0" collapsed="false">
      <c r="A30" s="0" t="s">
        <v>105</v>
      </c>
      <c r="C30" s="3" t="n">
        <v>5.7</v>
      </c>
      <c r="D30" s="3" t="n">
        <v>5.6</v>
      </c>
      <c r="E30" s="3" t="n">
        <v>5.6</v>
      </c>
      <c r="F30" s="3" t="n">
        <v>5.6</v>
      </c>
      <c r="G30" s="3" t="n">
        <v>5.6</v>
      </c>
      <c r="H30" s="3" t="n">
        <v>5.6</v>
      </c>
      <c r="I30" s="3" t="n">
        <v>5.6</v>
      </c>
      <c r="J30" s="3" t="n">
        <v>5.6</v>
      </c>
      <c r="K30" s="3" t="n">
        <v>5.6</v>
      </c>
      <c r="L30" s="3" t="n">
        <v>5.6</v>
      </c>
    </row>
    <row r="31" customFormat="false" ht="15" hidden="false" customHeight="false" outlineLevel="0" collapsed="false">
      <c r="A31" s="0" t="s">
        <v>106</v>
      </c>
      <c r="C31" s="3" t="n">
        <v>3.2</v>
      </c>
      <c r="D31" s="3" t="n">
        <v>3.2</v>
      </c>
      <c r="E31" s="3" t="n">
        <v>3.2</v>
      </c>
      <c r="F31" s="3" t="n">
        <v>3.2</v>
      </c>
      <c r="G31" s="3" t="n">
        <v>3.2</v>
      </c>
      <c r="H31" s="3" t="n">
        <v>3.2</v>
      </c>
      <c r="I31" s="3" t="n">
        <v>3.2</v>
      </c>
      <c r="J31" s="3" t="n">
        <v>3.2</v>
      </c>
      <c r="K31" s="3" t="n">
        <v>3.2</v>
      </c>
      <c r="L31" s="3" t="n">
        <v>3.2</v>
      </c>
    </row>
    <row r="32" customFormat="false" ht="15" hidden="false" customHeight="false" outlineLevel="0" collapsed="false">
      <c r="A32" s="0" t="s">
        <v>107</v>
      </c>
      <c r="C32" s="3" t="n">
        <v>3.2</v>
      </c>
      <c r="D32" s="3" t="n">
        <v>3.25</v>
      </c>
      <c r="E32" s="3" t="n">
        <v>3.25</v>
      </c>
      <c r="F32" s="3" t="n">
        <v>3.25</v>
      </c>
      <c r="G32" s="3" t="n">
        <v>3.25</v>
      </c>
      <c r="H32" s="3" t="n">
        <v>3.25</v>
      </c>
      <c r="I32" s="3" t="n">
        <v>3.25</v>
      </c>
      <c r="J32" s="3" t="n">
        <v>3.25</v>
      </c>
      <c r="K32" s="3" t="n">
        <v>3.25</v>
      </c>
      <c r="L32" s="3" t="n">
        <v>3.25</v>
      </c>
    </row>
    <row r="33" customFormat="false" ht="15" hidden="false" customHeight="false" outlineLevel="0" collapsed="false">
      <c r="A33" s="0" t="s">
        <v>108</v>
      </c>
      <c r="C33" s="3" t="n">
        <v>25</v>
      </c>
      <c r="D33" s="3" t="n">
        <v>25</v>
      </c>
      <c r="E33" s="3" t="n">
        <v>25</v>
      </c>
      <c r="F33" s="3" t="n">
        <v>25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109</v>
      </c>
      <c r="B34" s="3" t="n">
        <v>9.5</v>
      </c>
    </row>
    <row r="35" customFormat="false" ht="15" hidden="false" customHeight="false" outlineLevel="0" collapsed="false">
      <c r="A35" s="0" t="s">
        <v>110</v>
      </c>
      <c r="B35" s="3" t="n">
        <v>2</v>
      </c>
    </row>
    <row r="36" customFormat="false" ht="15" hidden="false" customHeight="false" outlineLevel="0" collapsed="false">
      <c r="A36" s="0" t="s">
        <v>111</v>
      </c>
      <c r="B36" s="3" t="n">
        <v>12</v>
      </c>
    </row>
    <row r="37" customFormat="false" ht="15" hidden="false" customHeight="false" outlineLevel="0" collapsed="false">
      <c r="A37" s="0" t="s">
        <v>112</v>
      </c>
      <c r="B37" s="3" t="n">
        <v>-5</v>
      </c>
    </row>
    <row r="38" customFormat="false" ht="15" hidden="false" customHeight="false" outlineLevel="0" collapsed="false">
      <c r="A38" s="0" t="s">
        <v>113</v>
      </c>
      <c r="B38" s="3" t="n">
        <v>0.5</v>
      </c>
    </row>
    <row r="40" customFormat="false" ht="15" hidden="false" customHeight="false" outlineLevel="0" collapsed="false">
      <c r="A40" s="2" t="s">
        <v>115</v>
      </c>
      <c r="C40" s="2" t="s">
        <v>92</v>
      </c>
      <c r="D40" s="2" t="s">
        <v>93</v>
      </c>
      <c r="E40" s="2" t="s">
        <v>94</v>
      </c>
      <c r="F40" s="2" t="s">
        <v>95</v>
      </c>
      <c r="G40" s="2" t="s">
        <v>96</v>
      </c>
      <c r="H40" s="2" t="s">
        <v>97</v>
      </c>
      <c r="I40" s="2" t="s">
        <v>98</v>
      </c>
      <c r="J40" s="2" t="s">
        <v>99</v>
      </c>
      <c r="K40" s="2" t="s">
        <v>100</v>
      </c>
      <c r="L40" s="2" t="s">
        <v>101</v>
      </c>
    </row>
    <row r="41" customFormat="false" ht="15" hidden="false" customHeight="false" outlineLevel="0" collapsed="false">
      <c r="A41" s="0" t="s">
        <v>102</v>
      </c>
      <c r="C41" s="3" t="n">
        <v>0</v>
      </c>
      <c r="D41" s="3" t="n">
        <v>3.5</v>
      </c>
      <c r="E41" s="3" t="n">
        <v>4.5</v>
      </c>
      <c r="F41" s="3" t="n">
        <v>4.5</v>
      </c>
      <c r="G41" s="3" t="n">
        <v>4</v>
      </c>
      <c r="H41" s="3" t="n">
        <v>3.5</v>
      </c>
      <c r="I41" s="3" t="n">
        <v>3</v>
      </c>
      <c r="J41" s="3" t="n">
        <v>3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103</v>
      </c>
      <c r="C42" s="3" t="n">
        <v>14.8</v>
      </c>
      <c r="D42" s="3" t="n">
        <v>15.3</v>
      </c>
      <c r="E42" s="3" t="n">
        <v>15.8</v>
      </c>
      <c r="F42" s="3" t="n">
        <v>16.2</v>
      </c>
      <c r="G42" s="3" t="n">
        <v>16.5</v>
      </c>
      <c r="H42" s="3" t="n">
        <v>16.5</v>
      </c>
      <c r="I42" s="3" t="n">
        <v>16.5</v>
      </c>
      <c r="J42" s="3" t="n">
        <v>16.5</v>
      </c>
      <c r="K42" s="3" t="n">
        <v>16.5</v>
      </c>
      <c r="L42" s="3" t="n">
        <v>16.5</v>
      </c>
    </row>
    <row r="43" customFormat="false" ht="15" hidden="false" customHeight="false" outlineLevel="0" collapsed="false">
      <c r="A43" s="0" t="s">
        <v>104</v>
      </c>
      <c r="C43" s="3" t="n">
        <v>0.05</v>
      </c>
      <c r="D43" s="3" t="n">
        <v>0.05</v>
      </c>
      <c r="E43" s="3" t="n">
        <v>0.05</v>
      </c>
      <c r="F43" s="3" t="n">
        <v>0.05</v>
      </c>
      <c r="G43" s="3" t="n">
        <v>0.05</v>
      </c>
      <c r="H43" s="3" t="n">
        <v>0.05</v>
      </c>
      <c r="I43" s="3" t="n">
        <v>0.05</v>
      </c>
      <c r="J43" s="3" t="n">
        <v>0.05</v>
      </c>
      <c r="K43" s="3" t="n">
        <v>0.05</v>
      </c>
      <c r="L43" s="3" t="n">
        <v>0.05</v>
      </c>
    </row>
    <row r="44" customFormat="false" ht="15" hidden="false" customHeight="false" outlineLevel="0" collapsed="false">
      <c r="A44" s="0" t="s">
        <v>105</v>
      </c>
      <c r="C44" s="3" t="n">
        <v>5.6</v>
      </c>
      <c r="D44" s="3" t="n">
        <v>5.5</v>
      </c>
      <c r="E44" s="3" t="n">
        <v>5.5</v>
      </c>
      <c r="F44" s="3" t="n">
        <v>5.4</v>
      </c>
      <c r="G44" s="3" t="n">
        <v>5.4</v>
      </c>
      <c r="H44" s="3" t="n">
        <v>5.4</v>
      </c>
      <c r="I44" s="3" t="n">
        <v>5.4</v>
      </c>
      <c r="J44" s="3" t="n">
        <v>5.4</v>
      </c>
      <c r="K44" s="3" t="n">
        <v>5.4</v>
      </c>
      <c r="L44" s="3" t="n">
        <v>5.4</v>
      </c>
    </row>
    <row r="45" customFormat="false" ht="15" hidden="false" customHeight="false" outlineLevel="0" collapsed="false">
      <c r="A45" s="0" t="s">
        <v>106</v>
      </c>
      <c r="C45" s="3" t="n">
        <v>3.2</v>
      </c>
      <c r="D45" s="3" t="n">
        <v>3.2</v>
      </c>
      <c r="E45" s="3" t="n">
        <v>3.2</v>
      </c>
      <c r="F45" s="3" t="n">
        <v>3.2</v>
      </c>
      <c r="G45" s="3" t="n">
        <v>3.2</v>
      </c>
      <c r="H45" s="3" t="n">
        <v>3.2</v>
      </c>
      <c r="I45" s="3" t="n">
        <v>3.2</v>
      </c>
      <c r="J45" s="3" t="n">
        <v>3.2</v>
      </c>
      <c r="K45" s="3" t="n">
        <v>3.2</v>
      </c>
      <c r="L45" s="3" t="n">
        <v>3.2</v>
      </c>
    </row>
    <row r="46" customFormat="false" ht="15" hidden="false" customHeight="false" outlineLevel="0" collapsed="false">
      <c r="A46" s="0" t="s">
        <v>107</v>
      </c>
      <c r="C46" s="3" t="n">
        <v>3.2</v>
      </c>
      <c r="D46" s="3" t="n">
        <v>3.25</v>
      </c>
      <c r="E46" s="3" t="n">
        <v>3.25</v>
      </c>
      <c r="F46" s="3" t="n">
        <v>3.25</v>
      </c>
      <c r="G46" s="3" t="n">
        <v>3.25</v>
      </c>
      <c r="H46" s="3" t="n">
        <v>3.25</v>
      </c>
      <c r="I46" s="3" t="n">
        <v>3.25</v>
      </c>
      <c r="J46" s="3" t="n">
        <v>3.25</v>
      </c>
      <c r="K46" s="3" t="n">
        <v>3.25</v>
      </c>
      <c r="L46" s="3" t="n">
        <v>3.25</v>
      </c>
    </row>
    <row r="47" customFormat="false" ht="15" hidden="false" customHeight="false" outlineLevel="0" collapsed="false">
      <c r="A47" s="0" t="s">
        <v>108</v>
      </c>
      <c r="C47" s="3" t="n">
        <v>25</v>
      </c>
      <c r="D47" s="3" t="n">
        <v>25</v>
      </c>
      <c r="E47" s="3" t="n">
        <v>25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109</v>
      </c>
      <c r="B48" s="3" t="n">
        <v>9.5</v>
      </c>
    </row>
    <row r="49" customFormat="false" ht="15" hidden="false" customHeight="false" outlineLevel="0" collapsed="false">
      <c r="A49" s="0" t="s">
        <v>110</v>
      </c>
      <c r="B49" s="3" t="n">
        <v>2.5</v>
      </c>
    </row>
    <row r="50" customFormat="false" ht="15" hidden="false" customHeight="false" outlineLevel="0" collapsed="false">
      <c r="A50" s="0" t="s">
        <v>111</v>
      </c>
      <c r="B50" s="3" t="n">
        <v>14</v>
      </c>
    </row>
    <row r="51" customFormat="false" ht="15" hidden="false" customHeight="false" outlineLevel="0" collapsed="false">
      <c r="A51" s="0" t="s">
        <v>112</v>
      </c>
      <c r="B51" s="3" t="n">
        <v>-5</v>
      </c>
    </row>
    <row r="52" customFormat="false" ht="15" hidden="false" customHeight="false" outlineLevel="0" collapsed="false">
      <c r="A52" s="0" t="s">
        <v>113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116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Assumptions!C13</f>
        <v>-3</v>
      </c>
      <c r="D5" s="4" t="n">
        <f aca="false">Assumptions!D13</f>
        <v>-2</v>
      </c>
      <c r="E5" s="4" t="n">
        <f aca="false">Assumptions!E13</f>
        <v>0</v>
      </c>
      <c r="F5" s="4" t="n">
        <f aca="false">Assumptions!F13</f>
        <v>1</v>
      </c>
      <c r="G5" s="4" t="n">
        <f aca="false">Assumptions!G13</f>
        <v>1.5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38</v>
      </c>
      <c r="B6" s="3" t="n">
        <v>12662</v>
      </c>
      <c r="C6" s="0" t="n">
        <f aca="false">B6*(1+C5/100)</f>
        <v>12282.14</v>
      </c>
      <c r="D6" s="0" t="n">
        <f aca="false">C6*(1+D5/100)</f>
        <v>12036.4972</v>
      </c>
      <c r="E6" s="0" t="n">
        <f aca="false">D6*(1+E5/100)</f>
        <v>12036.4972</v>
      </c>
      <c r="F6" s="0" t="n">
        <f aca="false">E6*(1+F5/100)</f>
        <v>12156.862172</v>
      </c>
      <c r="G6" s="0" t="n">
        <f aca="false">F6*(1+G5/100)</f>
        <v>12339.21510458</v>
      </c>
      <c r="H6" s="0" t="n">
        <f aca="false">G6*(1+H5/100)</f>
        <v>12524.3033311487</v>
      </c>
      <c r="I6" s="0" t="n">
        <f aca="false">H6*(1+I5/100)</f>
        <v>12712.1678811159</v>
      </c>
      <c r="J6" s="0" t="n">
        <f aca="false">I6*(1+J5/100)</f>
        <v>12902.8503993327</v>
      </c>
      <c r="K6" s="0" t="n">
        <f aca="false">J6*(1+K5/100)</f>
        <v>13096.3931553227</v>
      </c>
      <c r="L6" s="0" t="n">
        <f aca="false">K6*(1+L5/100)</f>
        <v>13292.8390526525</v>
      </c>
    </row>
    <row r="7" customFormat="false" ht="15" hidden="false" customHeight="false" outlineLevel="0" collapsed="false">
      <c r="A7" s="0" t="s">
        <v>103</v>
      </c>
      <c r="C7" s="4" t="n">
        <f aca="false">Assumptions!C14</f>
        <v>14</v>
      </c>
      <c r="D7" s="4" t="n">
        <f aca="false">Assumptions!D14</f>
        <v>13.5</v>
      </c>
      <c r="E7" s="4" t="n">
        <f aca="false">Assumptions!E14</f>
        <v>13.2</v>
      </c>
      <c r="F7" s="4" t="n">
        <f aca="false">Assumptions!F14</f>
        <v>13.2</v>
      </c>
      <c r="G7" s="4" t="n">
        <f aca="false">Assumptions!G14</f>
        <v>13.2</v>
      </c>
      <c r="H7" s="4" t="n">
        <f aca="false">Assumptions!H14</f>
        <v>13.2</v>
      </c>
      <c r="I7" s="4" t="n">
        <f aca="false">Assumptions!I14</f>
        <v>13.2</v>
      </c>
      <c r="J7" s="4" t="n">
        <f aca="false">Assumptions!J14</f>
        <v>13.2</v>
      </c>
      <c r="K7" s="4" t="n">
        <f aca="false">Assumptions!K14</f>
        <v>13.2</v>
      </c>
      <c r="L7" s="4" t="n">
        <f aca="false">Assumptions!L14</f>
        <v>13.2</v>
      </c>
    </row>
    <row r="8" customFormat="false" ht="15" hidden="false" customHeight="false" outlineLevel="0" collapsed="false">
      <c r="A8" s="0" t="s">
        <v>44</v>
      </c>
      <c r="C8" s="0" t="n">
        <f aca="false">C6*C7/100</f>
        <v>1719.4996</v>
      </c>
      <c r="D8" s="0" t="n">
        <f aca="false">D6*D7/100</f>
        <v>1624.927122</v>
      </c>
      <c r="E8" s="0" t="n">
        <f aca="false">E6*E7/100</f>
        <v>1588.8176304</v>
      </c>
      <c r="F8" s="0" t="n">
        <f aca="false">F6*F7/100</f>
        <v>1604.705806704</v>
      </c>
      <c r="G8" s="0" t="n">
        <f aca="false">G6*G7/100</f>
        <v>1628.77639380456</v>
      </c>
      <c r="H8" s="0" t="n">
        <f aca="false">H6*H7/100</f>
        <v>1653.20803971163</v>
      </c>
      <c r="I8" s="0" t="n">
        <f aca="false">I6*I7/100</f>
        <v>1678.0061603073</v>
      </c>
      <c r="J8" s="0" t="n">
        <f aca="false">J6*J7/100</f>
        <v>1703.17625271191</v>
      </c>
      <c r="K8" s="0" t="n">
        <f aca="false">K6*K7/100</f>
        <v>1728.72389650259</v>
      </c>
      <c r="L8" s="0" t="n">
        <f aca="false">L6*L7/100</f>
        <v>1754.65475495013</v>
      </c>
    </row>
    <row r="9" customFormat="false" ht="15" hidden="false" customHeight="false" outlineLevel="0" collapsed="false">
      <c r="A9" s="0" t="s">
        <v>104</v>
      </c>
      <c r="C9" s="4" t="n">
        <f aca="false">Assumptions!C15</f>
        <v>0.05</v>
      </c>
      <c r="D9" s="4" t="n">
        <f aca="false">Assumptions!D15</f>
        <v>0.05</v>
      </c>
      <c r="E9" s="4" t="n">
        <f aca="false">Assumptions!E15</f>
        <v>0.05</v>
      </c>
      <c r="F9" s="4" t="n">
        <f aca="false">Assumptions!F15</f>
        <v>0.05</v>
      </c>
      <c r="G9" s="4" t="n">
        <f aca="false">Assumptions!G15</f>
        <v>0.05</v>
      </c>
      <c r="H9" s="4" t="n">
        <f aca="false">Assumptions!H15</f>
        <v>0.05</v>
      </c>
      <c r="I9" s="4" t="n">
        <f aca="false">Assumptions!I15</f>
        <v>0.05</v>
      </c>
      <c r="J9" s="4" t="n">
        <f aca="false">Assumptions!J15</f>
        <v>0.05</v>
      </c>
      <c r="K9" s="4" t="n">
        <f aca="false">Assumptions!K15</f>
        <v>0.05</v>
      </c>
      <c r="L9" s="4" t="n">
        <f aca="false">Assumptions!L15</f>
        <v>0.05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-6.14107</v>
      </c>
      <c r="D10" s="0" t="n">
        <f aca="false">-D6*D9/100</f>
        <v>-6.0182486</v>
      </c>
      <c r="E10" s="0" t="n">
        <f aca="false">-E6*E9/100</f>
        <v>-6.0182486</v>
      </c>
      <c r="F10" s="0" t="n">
        <f aca="false">-F6*F9/100</f>
        <v>-6.078431086</v>
      </c>
      <c r="G10" s="0" t="n">
        <f aca="false">-G6*G9/100</f>
        <v>-6.16960755229</v>
      </c>
      <c r="H10" s="0" t="n">
        <f aca="false">-H6*H9/100</f>
        <v>-6.26215166557435</v>
      </c>
      <c r="I10" s="0" t="n">
        <f aca="false">-I6*I9/100</f>
        <v>-6.35608394055797</v>
      </c>
      <c r="J10" s="0" t="n">
        <f aca="false">-J6*J9/100</f>
        <v>-6.45142519966633</v>
      </c>
      <c r="K10" s="0" t="n">
        <f aca="false">-K6*K9/100</f>
        <v>-6.54819657766133</v>
      </c>
      <c r="L10" s="0" t="n">
        <f aca="false">-L6*L9/100</f>
        <v>-6.64641952632625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1000.99441</v>
      </c>
      <c r="D11" s="0" t="n">
        <f aca="false">D8+D10+D24</f>
        <v>896.7190414</v>
      </c>
      <c r="E11" s="0" t="n">
        <f aca="false">E8+E10+E24</f>
        <v>860.6095498</v>
      </c>
      <c r="F11" s="0" t="n">
        <f aca="false">F8+F10+F24</f>
        <v>869.215645298</v>
      </c>
      <c r="G11" s="0" t="n">
        <f aca="false">G8+G10+G24</f>
        <v>882.25387997747</v>
      </c>
      <c r="H11" s="0" t="n">
        <f aca="false">H8+H10+H24</f>
        <v>895.487688177132</v>
      </c>
      <c r="I11" s="0" t="n">
        <f aca="false">I8+I10+I24</f>
        <v>908.920003499789</v>
      </c>
      <c r="J11" s="0" t="n">
        <f aca="false">J8+J10+J24</f>
        <v>922.553803552286</v>
      </c>
      <c r="K11" s="0" t="n">
        <f aca="false">K8+K10+K24</f>
        <v>936.39211060557</v>
      </c>
      <c r="L11" s="0" t="n">
        <f aca="false">L8+L10+L24</f>
        <v>950.437992264653</v>
      </c>
    </row>
    <row r="12" customFormat="false" ht="15" hidden="false" customHeight="false" outlineLevel="0" collapsed="false">
      <c r="A12" s="0" t="s">
        <v>121</v>
      </c>
      <c r="C12" s="4" t="n">
        <f aca="false">-C6*Assumptions!C17/100</f>
        <v>-393.02848</v>
      </c>
      <c r="D12" s="4" t="n">
        <f aca="false">-D6*Assumptions!D17/100</f>
        <v>-385.1679104</v>
      </c>
      <c r="E12" s="4" t="n">
        <f aca="false">-E6*Assumptions!E17/100</f>
        <v>-385.1679104</v>
      </c>
      <c r="F12" s="4" t="n">
        <f aca="false">-F6*Assumptions!F17/100</f>
        <v>-389.019589504</v>
      </c>
      <c r="G12" s="4" t="n">
        <f aca="false">-G6*Assumptions!G17/100</f>
        <v>-394.85488334656</v>
      </c>
      <c r="H12" s="4" t="n">
        <f aca="false">-H6*Assumptions!H17/100</f>
        <v>-400.777706596758</v>
      </c>
      <c r="I12" s="4" t="n">
        <f aca="false">-I6*Assumptions!I17/100</f>
        <v>-406.78937219571</v>
      </c>
      <c r="J12" s="4" t="n">
        <f aca="false">-J6*Assumptions!J17/100</f>
        <v>-412.891212778645</v>
      </c>
      <c r="K12" s="4" t="n">
        <f aca="false">-K6*Assumptions!K17/100</f>
        <v>-419.084580970325</v>
      </c>
      <c r="L12" s="4" t="n">
        <f aca="false">-L6*Assumptions!L17/100</f>
        <v>-425.37084968488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607.96593</v>
      </c>
      <c r="D13" s="0" t="n">
        <f aca="false">D11+D12</f>
        <v>511.551131</v>
      </c>
      <c r="E13" s="0" t="n">
        <f aca="false">E11+E12</f>
        <v>475.4416394</v>
      </c>
      <c r="F13" s="0" t="n">
        <f aca="false">F11+F12</f>
        <v>480.196055794</v>
      </c>
      <c r="G13" s="0" t="n">
        <f aca="false">G11+G12</f>
        <v>487.39899663091</v>
      </c>
      <c r="H13" s="0" t="n">
        <f aca="false">H11+H12</f>
        <v>494.709981580373</v>
      </c>
      <c r="I13" s="0" t="n">
        <f aca="false">I11+I12</f>
        <v>502.130631304079</v>
      </c>
      <c r="J13" s="0" t="n">
        <f aca="false">J11+J12</f>
        <v>509.66259077364</v>
      </c>
      <c r="K13" s="0" t="n">
        <f aca="false">K11+K12</f>
        <v>517.307529635245</v>
      </c>
      <c r="L13" s="0" t="n">
        <f aca="false">L11+L12</f>
        <v>525.067142579773</v>
      </c>
    </row>
    <row r="14" customFormat="false" ht="15" hidden="false" customHeight="false" outlineLevel="0" collapsed="false">
      <c r="A14" s="0" t="s">
        <v>108</v>
      </c>
      <c r="C14" s="4" t="n">
        <f aca="false">Assumptions!C19</f>
        <v>26</v>
      </c>
      <c r="D14" s="4" t="n">
        <f aca="false">Assumptions!D19</f>
        <v>26</v>
      </c>
      <c r="E14" s="4" t="n">
        <f aca="false">Assumptions!E19</f>
        <v>26</v>
      </c>
      <c r="F14" s="4" t="n">
        <f aca="false">Assumptions!F19</f>
        <v>26</v>
      </c>
      <c r="G14" s="4" t="n">
        <f aca="false">Assumptions!G19</f>
        <v>26</v>
      </c>
      <c r="H14" s="4" t="n">
        <f aca="false">Assumptions!H19</f>
        <v>26</v>
      </c>
      <c r="I14" s="4" t="n">
        <f aca="false">Assumptions!I19</f>
        <v>26</v>
      </c>
      <c r="J14" s="4" t="n">
        <f aca="false">Assumptions!J19</f>
        <v>26</v>
      </c>
      <c r="K14" s="4" t="n">
        <f aca="false">Assumptions!K19</f>
        <v>26</v>
      </c>
      <c r="L14" s="4" t="n">
        <f aca="false">Assumptions!L19</f>
        <v>26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449.8947882</v>
      </c>
      <c r="D15" s="0" t="n">
        <f aca="false">D13-MAX(0,D13)*D14/100</f>
        <v>378.54783694</v>
      </c>
      <c r="E15" s="0" t="n">
        <f aca="false">E13-MAX(0,E13)*E14/100</f>
        <v>351.826813156</v>
      </c>
      <c r="F15" s="0" t="n">
        <f aca="false">F13-MAX(0,F13)*F14/100</f>
        <v>355.34508128756</v>
      </c>
      <c r="G15" s="0" t="n">
        <f aca="false">G13-MAX(0,G13)*G14/100</f>
        <v>360.675257506873</v>
      </c>
      <c r="H15" s="0" t="n">
        <f aca="false">H13-MAX(0,H13)*H14/100</f>
        <v>366.085386369476</v>
      </c>
      <c r="I15" s="0" t="n">
        <f aca="false">I13-MAX(0,I13)*I14/100</f>
        <v>371.576667165018</v>
      </c>
      <c r="J15" s="0" t="n">
        <f aca="false">J13-MAX(0,J13)*J14/100</f>
        <v>377.150317172494</v>
      </c>
      <c r="K15" s="0" t="n">
        <f aca="false">K13-MAX(0,K13)*K14/100</f>
        <v>382.807571930081</v>
      </c>
      <c r="L15" s="0" t="n">
        <f aca="false">L13-MAX(0,L13)*L14/100</f>
        <v>388.549685509032</v>
      </c>
    </row>
    <row r="16" customFormat="false" ht="15" hidden="false" customHeight="false" outlineLevel="0" collapsed="false">
      <c r="A16" s="0" t="s">
        <v>124</v>
      </c>
      <c r="C16" s="0" t="n">
        <f aca="false">-C12</f>
        <v>393.02848</v>
      </c>
      <c r="D16" s="0" t="n">
        <f aca="false">-D12</f>
        <v>385.1679104</v>
      </c>
      <c r="E16" s="0" t="n">
        <f aca="false">-E12</f>
        <v>385.1679104</v>
      </c>
      <c r="F16" s="0" t="n">
        <f aca="false">-F12</f>
        <v>389.019589504</v>
      </c>
      <c r="G16" s="0" t="n">
        <f aca="false">-G12</f>
        <v>394.85488334656</v>
      </c>
      <c r="H16" s="0" t="n">
        <f aca="false">-H12</f>
        <v>400.777706596758</v>
      </c>
      <c r="I16" s="0" t="n">
        <f aca="false">-I12</f>
        <v>406.78937219571</v>
      </c>
      <c r="J16" s="0" t="n">
        <f aca="false">-J12</f>
        <v>412.891212778645</v>
      </c>
      <c r="K16" s="0" t="n">
        <f aca="false">-K12</f>
        <v>419.084580970325</v>
      </c>
      <c r="L16" s="0" t="n">
        <f aca="false">-L12</f>
        <v>425.37084968488</v>
      </c>
    </row>
    <row r="17" customFormat="false" ht="15" hidden="false" customHeight="false" outlineLevel="0" collapsed="false">
      <c r="A17" s="0" t="s">
        <v>125</v>
      </c>
      <c r="C17" s="4" t="n">
        <f aca="false">-C6*Assumptions!C18/100</f>
        <v>-368.4642</v>
      </c>
      <c r="D17" s="4" t="n">
        <f aca="false">-D6*Assumptions!D18/100</f>
        <v>-361.094916</v>
      </c>
      <c r="E17" s="4" t="n">
        <f aca="false">-E6*Assumptions!E18/100</f>
        <v>-361.094916</v>
      </c>
      <c r="F17" s="4" t="n">
        <f aca="false">-F6*Assumptions!F18/100</f>
        <v>-364.70586516</v>
      </c>
      <c r="G17" s="4" t="n">
        <f aca="false">-G6*Assumptions!G18/100</f>
        <v>-370.1764531374</v>
      </c>
      <c r="H17" s="4" t="n">
        <f aca="false">-H6*Assumptions!H18/100</f>
        <v>-375.729099934461</v>
      </c>
      <c r="I17" s="4" t="n">
        <f aca="false">-I6*Assumptions!I18/100</f>
        <v>-381.365036433478</v>
      </c>
      <c r="J17" s="4" t="n">
        <f aca="false">-J6*Assumptions!J18/100</f>
        <v>-387.08551197998</v>
      </c>
      <c r="K17" s="4" t="n">
        <f aca="false">-K6*Assumptions!K18/100</f>
        <v>-392.89179465968</v>
      </c>
      <c r="L17" s="4" t="n">
        <f aca="false">-L6*Assumptions!L18/100</f>
        <v>-398.785171579575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(C6-B6)*Assumptions!$B$23/100</f>
        <v>18.993</v>
      </c>
      <c r="D18" s="4" t="n">
        <f aca="false">(D6-C6)*Assumptions!$B$23/100</f>
        <v>12.28214</v>
      </c>
      <c r="E18" s="4" t="n">
        <f aca="false">(E6-D6)*Assumptions!$B$23/100</f>
        <v>-0</v>
      </c>
      <c r="F18" s="4" t="n">
        <f aca="false">(F6-E6)*Assumptions!$B$23/100</f>
        <v>-6.01824859999997</v>
      </c>
      <c r="G18" s="4" t="n">
        <f aca="false">(G6-F6)*Assumptions!$B$23/100</f>
        <v>-9.11764662899996</v>
      </c>
      <c r="H18" s="4" t="n">
        <f aca="false">(H6-G6)*Assumptions!$B$23/100</f>
        <v>-9.25441132843498</v>
      </c>
      <c r="I18" s="4" t="n">
        <f aca="false">(I6-H6)*Assumptions!$B$23/100</f>
        <v>-9.39322749836147</v>
      </c>
      <c r="J18" s="4" t="n">
        <f aca="false">(J6-I6)*Assumptions!$B$23/100</f>
        <v>-9.53412591083688</v>
      </c>
      <c r="K18" s="4" t="n">
        <f aca="false">(K6-J6)*Assumptions!$B$23/100</f>
        <v>-9.67713779949945</v>
      </c>
      <c r="L18" s="4" t="n">
        <f aca="false">(L6-K6)*Assumptions!$B$23/100</f>
        <v>-9.82229486649194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493.4520682</v>
      </c>
      <c r="D19" s="0" t="n">
        <f aca="false">D15+D16+D17+D18</f>
        <v>414.90297134</v>
      </c>
      <c r="E19" s="0" t="n">
        <f aca="false">E15+E16+E17+E18</f>
        <v>375.899807556</v>
      </c>
      <c r="F19" s="0" t="n">
        <f aca="false">F15+F16+F17+F18</f>
        <v>373.64055703156</v>
      </c>
      <c r="G19" s="0" t="n">
        <f aca="false">G15+G16+G17+G18</f>
        <v>376.236041087033</v>
      </c>
      <c r="H19" s="0" t="n">
        <f aca="false">H15+H16+H17+H18</f>
        <v>381.879581703339</v>
      </c>
      <c r="I19" s="0" t="n">
        <f aca="false">I15+I16+I17+I18</f>
        <v>387.607775428889</v>
      </c>
      <c r="J19" s="0" t="n">
        <f aca="false">J15+J16+J17+J18</f>
        <v>393.421892060322</v>
      </c>
      <c r="K19" s="0" t="n">
        <f aca="false">K15+K16+K17+K18</f>
        <v>399.323220441227</v>
      </c>
      <c r="L19" s="0" t="n">
        <f aca="false">L15+L16+L17+L18</f>
        <v>405.313068747845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450.641158173516</v>
      </c>
      <c r="D21" s="0" t="n">
        <f aca="false">D19*D20</f>
        <v>346.033628439774</v>
      </c>
      <c r="E21" s="0" t="n">
        <f aca="false">E19*E20</f>
        <v>286.305536152233</v>
      </c>
      <c r="F21" s="0" t="n">
        <f aca="false">F19*F20</f>
        <v>259.89476647406</v>
      </c>
      <c r="G21" s="0" t="n">
        <f aca="false">G19*G20</f>
        <v>238.995541974607</v>
      </c>
      <c r="H21" s="0" t="n">
        <f aca="false">H19*H20</f>
        <v>221.53468046048</v>
      </c>
      <c r="I21" s="0" t="n">
        <f aca="false">I19*I20</f>
        <v>205.349498326381</v>
      </c>
      <c r="J21" s="0" t="n">
        <f aca="false">J19*J20</f>
        <v>190.346795252308</v>
      </c>
      <c r="K21" s="0" t="n">
        <f aca="false">K19*K20</f>
        <v>176.440180074057</v>
      </c>
      <c r="L21" s="0" t="n">
        <f aca="false">L19*L20</f>
        <v>163.549573310655</v>
      </c>
    </row>
    <row r="23" customFormat="false" ht="15" hidden="false" customHeight="false" outlineLevel="0" collapsed="false">
      <c r="A23" s="0" t="s">
        <v>105</v>
      </c>
      <c r="C23" s="4" t="n">
        <f aca="false">Assumptions!C16</f>
        <v>5.8</v>
      </c>
      <c r="D23" s="4" t="n">
        <f aca="false">Assumptions!D16</f>
        <v>6</v>
      </c>
      <c r="E23" s="4" t="n">
        <f aca="false">Assumptions!E16</f>
        <v>6</v>
      </c>
      <c r="F23" s="4" t="n">
        <f aca="false">Assumptions!F16</f>
        <v>6</v>
      </c>
      <c r="G23" s="4" t="n">
        <f aca="false">Assumptions!G16</f>
        <v>6</v>
      </c>
      <c r="H23" s="4" t="n">
        <f aca="false">Assumptions!H16</f>
        <v>6</v>
      </c>
      <c r="I23" s="4" t="n">
        <f aca="false">Assumptions!I16</f>
        <v>6</v>
      </c>
      <c r="J23" s="4" t="n">
        <f aca="false">Assumptions!J16</f>
        <v>6</v>
      </c>
      <c r="K23" s="4" t="n">
        <f aca="false">Assumptions!K16</f>
        <v>6</v>
      </c>
      <c r="L23" s="4" t="n">
        <f aca="false">Assumptions!L16</f>
        <v>6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-712.36412</v>
      </c>
      <c r="D24" s="0" t="n">
        <f aca="false">-D6*D23/100</f>
        <v>-722.189832</v>
      </c>
      <c r="E24" s="0" t="n">
        <f aca="false">-E6*E23/100</f>
        <v>-722.189832</v>
      </c>
      <c r="F24" s="0" t="n">
        <f aca="false">-F6*F23/100</f>
        <v>-729.41173032</v>
      </c>
      <c r="G24" s="0" t="n">
        <f aca="false">-G6*G23/100</f>
        <v>-740.3529062748</v>
      </c>
      <c r="H24" s="0" t="n">
        <f aca="false">-H6*H23/100</f>
        <v>-751.458199868922</v>
      </c>
      <c r="I24" s="0" t="n">
        <f aca="false">-I6*I23/100</f>
        <v>-762.730072866956</v>
      </c>
      <c r="J24" s="0" t="n">
        <f aca="false">-J6*J23/100</f>
        <v>-774.17102395996</v>
      </c>
      <c r="K24" s="0" t="n">
        <f aca="false">-K6*K23/100</f>
        <v>-785.783589319359</v>
      </c>
      <c r="L24" s="0" t="n">
        <f aca="false">-L6*L23/100</f>
        <v>-797.57034315915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110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111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2539.09135863807</v>
      </c>
    </row>
    <row r="31" customFormat="false" ht="15" hidden="false" customHeight="false" outlineLevel="0" collapsed="false">
      <c r="A31" s="0" t="s">
        <v>133</v>
      </c>
      <c r="B31" s="0" t="n">
        <f aca="false">L19</f>
        <v>405.313068747845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5142.40955973829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4053.13068747845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4053.13068747845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1635.49573310655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4174.58709174463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3503.58709174462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71.7507084117269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-0.150879190393764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39.0552282714719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34.026917980539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73.2473732950366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3047.35381317824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43.5397048592858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Assumptions!C27</f>
        <v>-1</v>
      </c>
      <c r="D5" s="4" t="n">
        <f aca="false">Assumptions!D27</f>
        <v>2</v>
      </c>
      <c r="E5" s="4" t="n">
        <f aca="false">Assumptions!E27</f>
        <v>3</v>
      </c>
      <c r="F5" s="4" t="n">
        <f aca="false">Assumptions!F27</f>
        <v>3</v>
      </c>
      <c r="G5" s="4" t="n">
        <f aca="false">Assumptions!G27</f>
        <v>3</v>
      </c>
      <c r="H5" s="4" t="n">
        <f aca="false">Assumptions!H27</f>
        <v>2.5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38</v>
      </c>
      <c r="B6" s="3" t="n">
        <v>12662</v>
      </c>
      <c r="C6" s="0" t="n">
        <f aca="false">B6*(1+C5/100)</f>
        <v>12535.38</v>
      </c>
      <c r="D6" s="0" t="n">
        <f aca="false">C6*(1+D5/100)</f>
        <v>12786.0876</v>
      </c>
      <c r="E6" s="0" t="n">
        <f aca="false">D6*(1+E5/100)</f>
        <v>13169.670228</v>
      </c>
      <c r="F6" s="0" t="n">
        <f aca="false">E6*(1+F5/100)</f>
        <v>13564.76033484</v>
      </c>
      <c r="G6" s="0" t="n">
        <f aca="false">F6*(1+G5/100)</f>
        <v>13971.7031448852</v>
      </c>
      <c r="H6" s="0" t="n">
        <f aca="false">G6*(1+H5/100)</f>
        <v>14320.9957235073</v>
      </c>
      <c r="I6" s="0" t="n">
        <f aca="false">H6*(1+I5/100)</f>
        <v>14679.020616595</v>
      </c>
      <c r="J6" s="0" t="n">
        <f aca="false">I6*(1+J5/100)</f>
        <v>15045.9961320099</v>
      </c>
      <c r="K6" s="0" t="n">
        <f aca="false">J6*(1+K5/100)</f>
        <v>15346.9160546501</v>
      </c>
      <c r="L6" s="0" t="n">
        <f aca="false">K6*(1+L5/100)</f>
        <v>15653.8543757431</v>
      </c>
    </row>
    <row r="7" customFormat="false" ht="15" hidden="false" customHeight="false" outlineLevel="0" collapsed="false">
      <c r="A7" s="0" t="s">
        <v>103</v>
      </c>
      <c r="C7" s="4" t="n">
        <f aca="false">Assumptions!C28</f>
        <v>14.5</v>
      </c>
      <c r="D7" s="4" t="n">
        <f aca="false">Assumptions!D28</f>
        <v>14.8</v>
      </c>
      <c r="E7" s="4" t="n">
        <f aca="false">Assumptions!E28</f>
        <v>15</v>
      </c>
      <c r="F7" s="4" t="n">
        <f aca="false">Assumptions!F28</f>
        <v>15.2</v>
      </c>
      <c r="G7" s="4" t="n">
        <f aca="false">Assumptions!G28</f>
        <v>15.3</v>
      </c>
      <c r="H7" s="4" t="n">
        <f aca="false">Assumptions!H28</f>
        <v>15.3</v>
      </c>
      <c r="I7" s="4" t="n">
        <f aca="false">Assumptions!I28</f>
        <v>15.3</v>
      </c>
      <c r="J7" s="4" t="n">
        <f aca="false">Assumptions!J28</f>
        <v>15.3</v>
      </c>
      <c r="K7" s="4" t="n">
        <f aca="false">Assumptions!K28</f>
        <v>15.3</v>
      </c>
      <c r="L7" s="4" t="n">
        <f aca="false">Assumptions!L28</f>
        <v>15.3</v>
      </c>
    </row>
    <row r="8" customFormat="false" ht="15" hidden="false" customHeight="false" outlineLevel="0" collapsed="false">
      <c r="A8" s="0" t="s">
        <v>44</v>
      </c>
      <c r="C8" s="0" t="n">
        <f aca="false">C6*C7/100</f>
        <v>1817.6301</v>
      </c>
      <c r="D8" s="0" t="n">
        <f aca="false">D6*D7/100</f>
        <v>1892.3409648</v>
      </c>
      <c r="E8" s="0" t="n">
        <f aca="false">E6*E7/100</f>
        <v>1975.4505342</v>
      </c>
      <c r="F8" s="0" t="n">
        <f aca="false">F6*F7/100</f>
        <v>2061.84357089568</v>
      </c>
      <c r="G8" s="0" t="n">
        <f aca="false">G6*G7/100</f>
        <v>2137.67058116744</v>
      </c>
      <c r="H8" s="0" t="n">
        <f aca="false">H6*H7/100</f>
        <v>2191.11234569662</v>
      </c>
      <c r="I8" s="0" t="n">
        <f aca="false">I6*I7/100</f>
        <v>2245.89015433904</v>
      </c>
      <c r="J8" s="0" t="n">
        <f aca="false">J6*J7/100</f>
        <v>2302.03740819751</v>
      </c>
      <c r="K8" s="0" t="n">
        <f aca="false">K6*K7/100</f>
        <v>2348.07815636146</v>
      </c>
      <c r="L8" s="0" t="n">
        <f aca="false">L6*L7/100</f>
        <v>2395.03971948869</v>
      </c>
    </row>
    <row r="9" customFormat="false" ht="15" hidden="false" customHeight="false" outlineLevel="0" collapsed="false">
      <c r="A9" s="0" t="s">
        <v>104</v>
      </c>
      <c r="C9" s="4" t="n">
        <f aca="false">Assumptions!C29</f>
        <v>0.05</v>
      </c>
      <c r="D9" s="4" t="n">
        <f aca="false">Assumptions!D29</f>
        <v>0.05</v>
      </c>
      <c r="E9" s="4" t="n">
        <f aca="false">Assumptions!E29</f>
        <v>0.05</v>
      </c>
      <c r="F9" s="4" t="n">
        <f aca="false">Assumptions!F29</f>
        <v>0.05</v>
      </c>
      <c r="G9" s="4" t="n">
        <f aca="false">Assumptions!G29</f>
        <v>0.05</v>
      </c>
      <c r="H9" s="4" t="n">
        <f aca="false">Assumptions!H29</f>
        <v>0.05</v>
      </c>
      <c r="I9" s="4" t="n">
        <f aca="false">Assumptions!I29</f>
        <v>0.05</v>
      </c>
      <c r="J9" s="4" t="n">
        <f aca="false">Assumptions!J29</f>
        <v>0.05</v>
      </c>
      <c r="K9" s="4" t="n">
        <f aca="false">Assumptions!K29</f>
        <v>0.05</v>
      </c>
      <c r="L9" s="4" t="n">
        <f aca="false">Assumptions!L29</f>
        <v>0.05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-6.26769</v>
      </c>
      <c r="D10" s="0" t="n">
        <f aca="false">-D6*D9/100</f>
        <v>-6.3930438</v>
      </c>
      <c r="E10" s="0" t="n">
        <f aca="false">-E6*E9/100</f>
        <v>-6.584835114</v>
      </c>
      <c r="F10" s="0" t="n">
        <f aca="false">-F6*F9/100</f>
        <v>-6.78238016742</v>
      </c>
      <c r="G10" s="0" t="n">
        <f aca="false">-G6*G9/100</f>
        <v>-6.9858515724426</v>
      </c>
      <c r="H10" s="0" t="n">
        <f aca="false">-H6*H9/100</f>
        <v>-7.16049786175367</v>
      </c>
      <c r="I10" s="0" t="n">
        <f aca="false">-I6*I9/100</f>
        <v>-7.33951030829751</v>
      </c>
      <c r="J10" s="0" t="n">
        <f aca="false">-J6*J9/100</f>
        <v>-7.52299806600494</v>
      </c>
      <c r="K10" s="0" t="n">
        <f aca="false">-K6*K9/100</f>
        <v>-7.67345802732504</v>
      </c>
      <c r="L10" s="0" t="n">
        <f aca="false">-L6*L9/100</f>
        <v>-7.82692718787154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1096.84575</v>
      </c>
      <c r="D11" s="0" t="n">
        <f aca="false">D8+D10+D24</f>
        <v>1169.9270154</v>
      </c>
      <c r="E11" s="0" t="n">
        <f aca="false">E8+E10+E24</f>
        <v>1231.364166318</v>
      </c>
      <c r="F11" s="0" t="n">
        <f aca="false">F8+F10+F24</f>
        <v>1295.43461197722</v>
      </c>
      <c r="G11" s="0" t="n">
        <f aca="false">G8+G10+G24</f>
        <v>1348.26935348142</v>
      </c>
      <c r="H11" s="0" t="n">
        <f aca="false">H8+H10+H24</f>
        <v>1381.97608731846</v>
      </c>
      <c r="I11" s="0" t="n">
        <f aca="false">I8+I10+I24</f>
        <v>1416.52548950142</v>
      </c>
      <c r="J11" s="0" t="n">
        <f aca="false">J8+J10+J24</f>
        <v>1451.93862673895</v>
      </c>
      <c r="K11" s="0" t="n">
        <f aca="false">K8+K10+K24</f>
        <v>1480.97739927373</v>
      </c>
      <c r="L11" s="0" t="n">
        <f aca="false">L8+L10+L24</f>
        <v>1510.59694725921</v>
      </c>
    </row>
    <row r="12" customFormat="false" ht="15" hidden="false" customHeight="false" outlineLevel="0" collapsed="false">
      <c r="A12" s="0" t="s">
        <v>121</v>
      </c>
      <c r="C12" s="4" t="n">
        <f aca="false">-C6*Assumptions!C31/100</f>
        <v>-401.13216</v>
      </c>
      <c r="D12" s="4" t="n">
        <f aca="false">-D6*Assumptions!D31/100</f>
        <v>-409.1548032</v>
      </c>
      <c r="E12" s="4" t="n">
        <f aca="false">-E6*Assumptions!E31/100</f>
        <v>-421.429447296</v>
      </c>
      <c r="F12" s="4" t="n">
        <f aca="false">-F6*Assumptions!F31/100</f>
        <v>-434.07233071488</v>
      </c>
      <c r="G12" s="4" t="n">
        <f aca="false">-G6*Assumptions!G31/100</f>
        <v>-447.094500636326</v>
      </c>
      <c r="H12" s="4" t="n">
        <f aca="false">-H6*Assumptions!H31/100</f>
        <v>-458.271863152235</v>
      </c>
      <c r="I12" s="4" t="n">
        <f aca="false">-I6*Assumptions!I31/100</f>
        <v>-469.72865973104</v>
      </c>
      <c r="J12" s="4" t="n">
        <f aca="false">-J6*Assumptions!J31/100</f>
        <v>-481.471876224316</v>
      </c>
      <c r="K12" s="4" t="n">
        <f aca="false">-K6*Assumptions!K31/100</f>
        <v>-491.101313748803</v>
      </c>
      <c r="L12" s="4" t="n">
        <f aca="false">-L6*Assumptions!L31/100</f>
        <v>-500.923340023779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695.71359</v>
      </c>
      <c r="D13" s="0" t="n">
        <f aca="false">D11+D12</f>
        <v>760.7722122</v>
      </c>
      <c r="E13" s="0" t="n">
        <f aca="false">E11+E12</f>
        <v>809.934719022</v>
      </c>
      <c r="F13" s="0" t="n">
        <f aca="false">F11+F12</f>
        <v>861.36228126234</v>
      </c>
      <c r="G13" s="0" t="n">
        <f aca="false">G11+G12</f>
        <v>901.174852845095</v>
      </c>
      <c r="H13" s="0" t="n">
        <f aca="false">H11+H12</f>
        <v>923.704224166223</v>
      </c>
      <c r="I13" s="0" t="n">
        <f aca="false">I11+I12</f>
        <v>946.796829770379</v>
      </c>
      <c r="J13" s="0" t="n">
        <f aca="false">J11+J12</f>
        <v>970.466750514638</v>
      </c>
      <c r="K13" s="0" t="n">
        <f aca="false">K11+K12</f>
        <v>989.876085524931</v>
      </c>
      <c r="L13" s="0" t="n">
        <f aca="false">L11+L12</f>
        <v>1009.67360723543</v>
      </c>
    </row>
    <row r="14" customFormat="false" ht="15" hidden="false" customHeight="false" outlineLevel="0" collapsed="false">
      <c r="A14" s="0" t="s">
        <v>108</v>
      </c>
      <c r="C14" s="4" t="n">
        <f aca="false">Assumptions!C33</f>
        <v>25</v>
      </c>
      <c r="D14" s="4" t="n">
        <f aca="false">Assumptions!D33</f>
        <v>25</v>
      </c>
      <c r="E14" s="4" t="n">
        <f aca="false">Assumptions!E33</f>
        <v>25</v>
      </c>
      <c r="F14" s="4" t="n">
        <f aca="false">Assumptions!F33</f>
        <v>25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521.7851925</v>
      </c>
      <c r="D15" s="0" t="n">
        <f aca="false">D13-MAX(0,D13)*D14/100</f>
        <v>570.57915915</v>
      </c>
      <c r="E15" s="0" t="n">
        <f aca="false">E13-MAX(0,E13)*E14/100</f>
        <v>607.4510392665</v>
      </c>
      <c r="F15" s="0" t="n">
        <f aca="false">F13-MAX(0,F13)*F14/100</f>
        <v>646.021710946755</v>
      </c>
      <c r="G15" s="0" t="n">
        <f aca="false">G13-MAX(0,G13)*G14/100</f>
        <v>675.881139633821</v>
      </c>
      <c r="H15" s="0" t="n">
        <f aca="false">H13-MAX(0,H13)*H14/100</f>
        <v>692.778168124667</v>
      </c>
      <c r="I15" s="0" t="n">
        <f aca="false">I13-MAX(0,I13)*I14/100</f>
        <v>710.097622327784</v>
      </c>
      <c r="J15" s="0" t="n">
        <f aca="false">J13-MAX(0,J13)*J14/100</f>
        <v>727.850062885978</v>
      </c>
      <c r="K15" s="0" t="n">
        <f aca="false">K13-MAX(0,K13)*K14/100</f>
        <v>742.407064143698</v>
      </c>
      <c r="L15" s="0" t="n">
        <f aca="false">L13-MAX(0,L13)*L14/100</f>
        <v>757.255205426572</v>
      </c>
    </row>
    <row r="16" customFormat="false" ht="15" hidden="false" customHeight="false" outlineLevel="0" collapsed="false">
      <c r="A16" s="0" t="s">
        <v>124</v>
      </c>
      <c r="C16" s="0" t="n">
        <f aca="false">-C12</f>
        <v>401.13216</v>
      </c>
      <c r="D16" s="0" t="n">
        <f aca="false">-D12</f>
        <v>409.1548032</v>
      </c>
      <c r="E16" s="0" t="n">
        <f aca="false">-E12</f>
        <v>421.429447296</v>
      </c>
      <c r="F16" s="0" t="n">
        <f aca="false">-F12</f>
        <v>434.07233071488</v>
      </c>
      <c r="G16" s="0" t="n">
        <f aca="false">-G12</f>
        <v>447.094500636326</v>
      </c>
      <c r="H16" s="0" t="n">
        <f aca="false">-H12</f>
        <v>458.271863152235</v>
      </c>
      <c r="I16" s="0" t="n">
        <f aca="false">-I12</f>
        <v>469.72865973104</v>
      </c>
      <c r="J16" s="0" t="n">
        <f aca="false">-J12</f>
        <v>481.471876224316</v>
      </c>
      <c r="K16" s="0" t="n">
        <f aca="false">-K12</f>
        <v>491.101313748803</v>
      </c>
      <c r="L16" s="0" t="n">
        <f aca="false">-L12</f>
        <v>500.923340023779</v>
      </c>
    </row>
    <row r="17" customFormat="false" ht="15" hidden="false" customHeight="false" outlineLevel="0" collapsed="false">
      <c r="A17" s="0" t="s">
        <v>125</v>
      </c>
      <c r="C17" s="4" t="n">
        <f aca="false">-C6*Assumptions!C32/100</f>
        <v>-401.13216</v>
      </c>
      <c r="D17" s="4" t="n">
        <f aca="false">-D6*Assumptions!D32/100</f>
        <v>-415.547847</v>
      </c>
      <c r="E17" s="4" t="n">
        <f aca="false">-E6*Assumptions!E32/100</f>
        <v>-428.01428241</v>
      </c>
      <c r="F17" s="4" t="n">
        <f aca="false">-F6*Assumptions!F32/100</f>
        <v>-440.8547108823</v>
      </c>
      <c r="G17" s="4" t="n">
        <f aca="false">-G6*Assumptions!G32/100</f>
        <v>-454.080352208769</v>
      </c>
      <c r="H17" s="4" t="n">
        <f aca="false">-H6*Assumptions!H32/100</f>
        <v>-465.432361013988</v>
      </c>
      <c r="I17" s="4" t="n">
        <f aca="false">-I6*Assumptions!I32/100</f>
        <v>-477.068170039338</v>
      </c>
      <c r="J17" s="4" t="n">
        <f aca="false">-J6*Assumptions!J32/100</f>
        <v>-488.994874290321</v>
      </c>
      <c r="K17" s="4" t="n">
        <f aca="false">-K6*Assumptions!K32/100</f>
        <v>-498.774771776128</v>
      </c>
      <c r="L17" s="4" t="n">
        <f aca="false">-L6*Assumptions!L32/100</f>
        <v>-508.75026721165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(C6-B6)*Assumptions!$B$37/100</f>
        <v>6.33100000000004</v>
      </c>
      <c r="D18" s="4" t="n">
        <f aca="false">(D6-C6)*Assumptions!$B$37/100</f>
        <v>-12.53538</v>
      </c>
      <c r="E18" s="4" t="n">
        <f aca="false">(E6-D6)*Assumptions!$B$37/100</f>
        <v>-19.1791314</v>
      </c>
      <c r="F18" s="4" t="n">
        <f aca="false">(F6-E6)*Assumptions!$B$37/100</f>
        <v>-19.754505342</v>
      </c>
      <c r="G18" s="4" t="n">
        <f aca="false">(G6-F6)*Assumptions!$B$37/100</f>
        <v>-20.34714050226</v>
      </c>
      <c r="H18" s="4" t="n">
        <f aca="false">(H6-G6)*Assumptions!$B$37/100</f>
        <v>-17.4646289311065</v>
      </c>
      <c r="I18" s="4" t="n">
        <f aca="false">(I6-H6)*Assumptions!$B$37/100</f>
        <v>-17.9012446543841</v>
      </c>
      <c r="J18" s="4" t="n">
        <f aca="false">(J6-I6)*Assumptions!$B$37/100</f>
        <v>-18.3487757707437</v>
      </c>
      <c r="K18" s="4" t="n">
        <f aca="false">(K6-J6)*Assumptions!$B$37/100</f>
        <v>-15.0459961320099</v>
      </c>
      <c r="L18" s="4" t="n">
        <f aca="false">(L6-K6)*Assumptions!$B$37/100</f>
        <v>-15.3469160546501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528.1161925</v>
      </c>
      <c r="D19" s="0" t="n">
        <f aca="false">D15+D16+D17+D18</f>
        <v>551.65073535</v>
      </c>
      <c r="E19" s="0" t="n">
        <f aca="false">E15+E16+E17+E18</f>
        <v>581.6870727525</v>
      </c>
      <c r="F19" s="0" t="n">
        <f aca="false">F15+F16+F17+F18</f>
        <v>619.484825437335</v>
      </c>
      <c r="G19" s="0" t="n">
        <f aca="false">G15+G16+G17+G18</f>
        <v>648.548147559119</v>
      </c>
      <c r="H19" s="0" t="n">
        <f aca="false">H15+H16+H17+H18</f>
        <v>668.153041331807</v>
      </c>
      <c r="I19" s="0" t="n">
        <f aca="false">I15+I16+I17+I18</f>
        <v>684.856867365102</v>
      </c>
      <c r="J19" s="0" t="n">
        <f aca="false">J15+J16+J17+J18</f>
        <v>701.978289049229</v>
      </c>
      <c r="K19" s="0" t="n">
        <f aca="false">K15+K16+K17+K18</f>
        <v>719.687609984363</v>
      </c>
      <c r="L19" s="0" t="n">
        <f aca="false">L15+L16+L17+L18</f>
        <v>734.08136218405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482.297892694064</v>
      </c>
      <c r="D21" s="0" t="n">
        <f aca="false">D19*D20</f>
        <v>460.082763370238</v>
      </c>
      <c r="E21" s="0" t="n">
        <f aca="false">E19*E20</f>
        <v>443.044199250932</v>
      </c>
      <c r="F21" s="0" t="n">
        <f aca="false">F19*F20</f>
        <v>430.897719777409</v>
      </c>
      <c r="G21" s="0" t="n">
        <f aca="false">G19*G20</f>
        <v>411.975725596855</v>
      </c>
      <c r="H21" s="0" t="n">
        <f aca="false">H19*H20</f>
        <v>387.60666346683</v>
      </c>
      <c r="I21" s="0" t="n">
        <f aca="false">I19*I20</f>
        <v>362.828155300001</v>
      </c>
      <c r="J21" s="0" t="n">
        <f aca="false">J19*J20</f>
        <v>339.633661353882</v>
      </c>
      <c r="K21" s="0" t="n">
        <f aca="false">K19*K20</f>
        <v>317.992555910978</v>
      </c>
      <c r="L21" s="0" t="n">
        <f aca="false">L19*L20</f>
        <v>296.212243862281</v>
      </c>
    </row>
    <row r="23" customFormat="false" ht="15" hidden="false" customHeight="false" outlineLevel="0" collapsed="false">
      <c r="A23" s="0" t="s">
        <v>105</v>
      </c>
      <c r="C23" s="4" t="n">
        <f aca="false">Assumptions!C30</f>
        <v>5.7</v>
      </c>
      <c r="D23" s="4" t="n">
        <f aca="false">Assumptions!D30</f>
        <v>5.6</v>
      </c>
      <c r="E23" s="4" t="n">
        <f aca="false">Assumptions!E30</f>
        <v>5.6</v>
      </c>
      <c r="F23" s="4" t="n">
        <f aca="false">Assumptions!F30</f>
        <v>5.6</v>
      </c>
      <c r="G23" s="4" t="n">
        <f aca="false">Assumptions!G30</f>
        <v>5.6</v>
      </c>
      <c r="H23" s="4" t="n">
        <f aca="false">Assumptions!H30</f>
        <v>5.6</v>
      </c>
      <c r="I23" s="4" t="n">
        <f aca="false">Assumptions!I30</f>
        <v>5.6</v>
      </c>
      <c r="J23" s="4" t="n">
        <f aca="false">Assumptions!J30</f>
        <v>5.6</v>
      </c>
      <c r="K23" s="4" t="n">
        <f aca="false">Assumptions!K30</f>
        <v>5.6</v>
      </c>
      <c r="L23" s="4" t="n">
        <f aca="false">Assumptions!L30</f>
        <v>5.6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-714.51666</v>
      </c>
      <c r="D24" s="0" t="n">
        <f aca="false">-D6*D23/100</f>
        <v>-716.0209056</v>
      </c>
      <c r="E24" s="0" t="n">
        <f aca="false">-E6*E23/100</f>
        <v>-737.501532768</v>
      </c>
      <c r="F24" s="0" t="n">
        <f aca="false">-F6*F23/100</f>
        <v>-759.62657875104</v>
      </c>
      <c r="G24" s="0" t="n">
        <f aca="false">-G6*G23/100</f>
        <v>-782.415376113571</v>
      </c>
      <c r="H24" s="0" t="n">
        <f aca="false">-H6*H23/100</f>
        <v>-801.97576051641</v>
      </c>
      <c r="I24" s="0" t="n">
        <f aca="false">-I6*I23/100</f>
        <v>-822.025154529321</v>
      </c>
      <c r="J24" s="0" t="n">
        <f aca="false">-J6*J23/100</f>
        <v>-842.575783392553</v>
      </c>
      <c r="K24" s="0" t="n">
        <f aca="false">-K6*K23/100</f>
        <v>-859.427299060405</v>
      </c>
      <c r="L24" s="0" t="n">
        <f aca="false">-L6*L23/100</f>
        <v>-876.615845041613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110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111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3932.57158058347</v>
      </c>
    </row>
    <row r="31" customFormat="false" ht="15" hidden="false" customHeight="false" outlineLevel="0" collapsed="false">
      <c r="A31" s="0" t="s">
        <v>133</v>
      </c>
      <c r="B31" s="0" t="n">
        <f aca="false">L19</f>
        <v>734.08136218405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9983.50652570308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8808.9763462086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8808.9763462086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3554.54692634737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7487.11850693084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6816.11850693084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139.588746814066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0.651937832119123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43.4572890175076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42.9525557608065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141.358352482268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5759.71530329024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78.8452232302022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Assumptions!C41</f>
        <v>0</v>
      </c>
      <c r="D5" s="4" t="n">
        <f aca="false">Assumptions!D41</f>
        <v>3.5</v>
      </c>
      <c r="E5" s="4" t="n">
        <f aca="false">Assumptions!E41</f>
        <v>4.5</v>
      </c>
      <c r="F5" s="4" t="n">
        <f aca="false">Assumptions!F41</f>
        <v>4.5</v>
      </c>
      <c r="G5" s="4" t="n">
        <f aca="false">Assumptions!G41</f>
        <v>4</v>
      </c>
      <c r="H5" s="4" t="n">
        <f aca="false">Assumptions!H41</f>
        <v>3.5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38</v>
      </c>
      <c r="B6" s="3" t="n">
        <v>12662</v>
      </c>
      <c r="C6" s="0" t="n">
        <f aca="false">B6*(1+C5/100)</f>
        <v>12662</v>
      </c>
      <c r="D6" s="0" t="n">
        <f aca="false">C6*(1+D5/100)</f>
        <v>13105.17</v>
      </c>
      <c r="E6" s="0" t="n">
        <f aca="false">D6*(1+E5/100)</f>
        <v>13694.90265</v>
      </c>
      <c r="F6" s="0" t="n">
        <f aca="false">E6*(1+F5/100)</f>
        <v>14311.17326925</v>
      </c>
      <c r="G6" s="0" t="n">
        <f aca="false">F6*(1+G5/100)</f>
        <v>14883.62020002</v>
      </c>
      <c r="H6" s="0" t="n">
        <f aca="false">G6*(1+H5/100)</f>
        <v>15404.5469070207</v>
      </c>
      <c r="I6" s="0" t="n">
        <f aca="false">H6*(1+I5/100)</f>
        <v>15866.6833142313</v>
      </c>
      <c r="J6" s="0" t="n">
        <f aca="false">I6*(1+J5/100)</f>
        <v>16342.6838136583</v>
      </c>
      <c r="K6" s="0" t="n">
        <f aca="false">J6*(1+K5/100)</f>
        <v>16751.2509089997</v>
      </c>
      <c r="L6" s="0" t="n">
        <f aca="false">K6*(1+L5/100)</f>
        <v>17170.0321817247</v>
      </c>
    </row>
    <row r="7" customFormat="false" ht="15" hidden="false" customHeight="false" outlineLevel="0" collapsed="false">
      <c r="A7" s="0" t="s">
        <v>103</v>
      </c>
      <c r="C7" s="4" t="n">
        <f aca="false">Assumptions!C42</f>
        <v>14.8</v>
      </c>
      <c r="D7" s="4" t="n">
        <f aca="false">Assumptions!D42</f>
        <v>15.3</v>
      </c>
      <c r="E7" s="4" t="n">
        <f aca="false">Assumptions!E42</f>
        <v>15.8</v>
      </c>
      <c r="F7" s="4" t="n">
        <f aca="false">Assumptions!F42</f>
        <v>16.2</v>
      </c>
      <c r="G7" s="4" t="n">
        <f aca="false">Assumptions!G42</f>
        <v>16.5</v>
      </c>
      <c r="H7" s="4" t="n">
        <f aca="false">Assumptions!H42</f>
        <v>16.5</v>
      </c>
      <c r="I7" s="4" t="n">
        <f aca="false">Assumptions!I42</f>
        <v>16.5</v>
      </c>
      <c r="J7" s="4" t="n">
        <f aca="false">Assumptions!J42</f>
        <v>16.5</v>
      </c>
      <c r="K7" s="4" t="n">
        <f aca="false">Assumptions!K42</f>
        <v>16.5</v>
      </c>
      <c r="L7" s="4" t="n">
        <f aca="false">Assumptions!L42</f>
        <v>16.5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1873.976</v>
      </c>
      <c r="D8" s="0" t="n">
        <f aca="false">D6*D7/100</f>
        <v>2005.09101</v>
      </c>
      <c r="E8" s="0" t="n">
        <f aca="false">E6*E7/100</f>
        <v>2163.7946187</v>
      </c>
      <c r="F8" s="0" t="n">
        <f aca="false">F6*F7/100</f>
        <v>2318.4100696185</v>
      </c>
      <c r="G8" s="0" t="n">
        <f aca="false">G6*G7/100</f>
        <v>2455.7973330033</v>
      </c>
      <c r="H8" s="0" t="n">
        <f aca="false">H6*H7/100</f>
        <v>2541.75023965841</v>
      </c>
      <c r="I8" s="0" t="n">
        <f aca="false">I6*I7/100</f>
        <v>2618.00274684817</v>
      </c>
      <c r="J8" s="0" t="n">
        <f aca="false">J6*J7/100</f>
        <v>2696.54282925361</v>
      </c>
      <c r="K8" s="0" t="n">
        <f aca="false">K6*K7/100</f>
        <v>2763.95639998495</v>
      </c>
      <c r="L8" s="0" t="n">
        <f aca="false">L6*L7/100</f>
        <v>2833.05530998458</v>
      </c>
    </row>
    <row r="9" customFormat="false" ht="15" hidden="false" customHeight="false" outlineLevel="0" collapsed="false">
      <c r="A9" s="0" t="s">
        <v>104</v>
      </c>
      <c r="C9" s="4" t="n">
        <f aca="false">Assumptions!C43</f>
        <v>0.05</v>
      </c>
      <c r="D9" s="4" t="n">
        <f aca="false">Assumptions!D43</f>
        <v>0.05</v>
      </c>
      <c r="E9" s="4" t="n">
        <f aca="false">Assumptions!E43</f>
        <v>0.05</v>
      </c>
      <c r="F9" s="4" t="n">
        <f aca="false">Assumptions!F43</f>
        <v>0.05</v>
      </c>
      <c r="G9" s="4" t="n">
        <f aca="false">Assumptions!G43</f>
        <v>0.05</v>
      </c>
      <c r="H9" s="4" t="n">
        <f aca="false">Assumptions!H43</f>
        <v>0.05</v>
      </c>
      <c r="I9" s="4" t="n">
        <f aca="false">Assumptions!I43</f>
        <v>0.05</v>
      </c>
      <c r="J9" s="4" t="n">
        <f aca="false">Assumptions!J43</f>
        <v>0.05</v>
      </c>
      <c r="K9" s="4" t="n">
        <f aca="false">Assumptions!K43</f>
        <v>0.05</v>
      </c>
      <c r="L9" s="4" t="n">
        <f aca="false">Assumptions!L43</f>
        <v>0.05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-6.331</v>
      </c>
      <c r="D10" s="0" t="n">
        <f aca="false">-D6*D9/100</f>
        <v>-6.552585</v>
      </c>
      <c r="E10" s="0" t="n">
        <f aca="false">-E6*E9/100</f>
        <v>-6.847451325</v>
      </c>
      <c r="F10" s="0" t="n">
        <f aca="false">-F6*F9/100</f>
        <v>-7.155586634625</v>
      </c>
      <c r="G10" s="0" t="n">
        <f aca="false">-G6*G9/100</f>
        <v>-7.44181010001</v>
      </c>
      <c r="H10" s="0" t="n">
        <f aca="false">-H6*H9/100</f>
        <v>-7.70227345351035</v>
      </c>
      <c r="I10" s="0" t="n">
        <f aca="false">-I6*I9/100</f>
        <v>-7.93334165711566</v>
      </c>
      <c r="J10" s="0" t="n">
        <f aca="false">-J6*J9/100</f>
        <v>-8.17134190682913</v>
      </c>
      <c r="K10" s="0" t="n">
        <f aca="false">-K6*K9/100</f>
        <v>-8.37562545449986</v>
      </c>
      <c r="L10" s="0" t="n">
        <f aca="false">-L6*L9/100</f>
        <v>-8.58501609086235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1158.573</v>
      </c>
      <c r="D11" s="0" t="n">
        <f aca="false">D8+D10+D24</f>
        <v>1277.754075</v>
      </c>
      <c r="E11" s="0" t="n">
        <f aca="false">E8+E10+E24</f>
        <v>1403.727521625</v>
      </c>
      <c r="F11" s="0" t="n">
        <f aca="false">F8+F10+F24</f>
        <v>1538.45112644437</v>
      </c>
      <c r="G11" s="0" t="n">
        <f aca="false">G8+G10+G24</f>
        <v>1644.64003210221</v>
      </c>
      <c r="H11" s="0" t="n">
        <f aca="false">H8+H10+H24</f>
        <v>1702.20243322579</v>
      </c>
      <c r="I11" s="0" t="n">
        <f aca="false">I8+I10+I24</f>
        <v>1753.26850622256</v>
      </c>
      <c r="J11" s="0" t="n">
        <f aca="false">J8+J10+J24</f>
        <v>1805.86656140924</v>
      </c>
      <c r="K11" s="0" t="n">
        <f aca="false">K8+K10+K24</f>
        <v>1851.01322544447</v>
      </c>
      <c r="L11" s="0" t="n">
        <f aca="false">L8+L10+L24</f>
        <v>1897.28855608058</v>
      </c>
    </row>
    <row r="12" customFormat="false" ht="15" hidden="false" customHeight="false" outlineLevel="0" collapsed="false">
      <c r="A12" s="0" t="s">
        <v>121</v>
      </c>
      <c r="C12" s="4" t="n">
        <f aca="false">-C6*Assumptions!C45/100</f>
        <v>-405.184</v>
      </c>
      <c r="D12" s="4" t="n">
        <f aca="false">-D6*Assumptions!D45/100</f>
        <v>-419.36544</v>
      </c>
      <c r="E12" s="4" t="n">
        <f aca="false">-E6*Assumptions!E45/100</f>
        <v>-438.2368848</v>
      </c>
      <c r="F12" s="4" t="n">
        <f aca="false">-F6*Assumptions!F45/100</f>
        <v>-457.957544616</v>
      </c>
      <c r="G12" s="4" t="n">
        <f aca="false">-G6*Assumptions!G45/100</f>
        <v>-476.27584640064</v>
      </c>
      <c r="H12" s="4" t="n">
        <f aca="false">-H6*Assumptions!H45/100</f>
        <v>-492.945501024662</v>
      </c>
      <c r="I12" s="4" t="n">
        <f aca="false">-I6*Assumptions!I45/100</f>
        <v>-507.733866055402</v>
      </c>
      <c r="J12" s="4" t="n">
        <f aca="false">-J6*Assumptions!J45/100</f>
        <v>-522.965882037064</v>
      </c>
      <c r="K12" s="4" t="n">
        <f aca="false">-K6*Assumptions!K45/100</f>
        <v>-536.040029087991</v>
      </c>
      <c r="L12" s="4" t="n">
        <f aca="false">-L6*Assumptions!L45/100</f>
        <v>-549.441029815191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753.389</v>
      </c>
      <c r="D13" s="0" t="n">
        <f aca="false">D11+D12</f>
        <v>858.388635</v>
      </c>
      <c r="E13" s="0" t="n">
        <f aca="false">E11+E12</f>
        <v>965.490636825</v>
      </c>
      <c r="F13" s="0" t="n">
        <f aca="false">F11+F12</f>
        <v>1080.49358182837</v>
      </c>
      <c r="G13" s="0" t="n">
        <f aca="false">G11+G12</f>
        <v>1168.36418570157</v>
      </c>
      <c r="H13" s="0" t="n">
        <f aca="false">H11+H12</f>
        <v>1209.25693220112</v>
      </c>
      <c r="I13" s="0" t="n">
        <f aca="false">I11+I12</f>
        <v>1245.53464016716</v>
      </c>
      <c r="J13" s="0" t="n">
        <f aca="false">J11+J12</f>
        <v>1282.90067937217</v>
      </c>
      <c r="K13" s="0" t="n">
        <f aca="false">K11+K12</f>
        <v>1314.97319635648</v>
      </c>
      <c r="L13" s="0" t="n">
        <f aca="false">L11+L12</f>
        <v>1347.84752626539</v>
      </c>
    </row>
    <row r="14" customFormat="false" ht="15" hidden="false" customHeight="false" outlineLevel="0" collapsed="false">
      <c r="A14" s="0" t="s">
        <v>108</v>
      </c>
      <c r="C14" s="4" t="n">
        <f aca="false">Assumptions!C47</f>
        <v>25</v>
      </c>
      <c r="D14" s="4" t="n">
        <f aca="false">Assumptions!D47</f>
        <v>25</v>
      </c>
      <c r="E14" s="4" t="n">
        <f aca="false">Assumptions!E47</f>
        <v>25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565.04175</v>
      </c>
      <c r="D15" s="0" t="n">
        <f aca="false">D13-MAX(0,D13)*D14/100</f>
        <v>643.79147625</v>
      </c>
      <c r="E15" s="0" t="n">
        <f aca="false">E13-MAX(0,E13)*E14/100</f>
        <v>724.11797761875</v>
      </c>
      <c r="F15" s="0" t="n">
        <f aca="false">F13-MAX(0,F13)*F14/100</f>
        <v>810.370186371281</v>
      </c>
      <c r="G15" s="0" t="n">
        <f aca="false">G13-MAX(0,G13)*G14/100</f>
        <v>876.273139276177</v>
      </c>
      <c r="H15" s="0" t="n">
        <f aca="false">H13-MAX(0,H13)*H14/100</f>
        <v>906.942699150843</v>
      </c>
      <c r="I15" s="0" t="n">
        <f aca="false">I13-MAX(0,I13)*I14/100</f>
        <v>934.150980125369</v>
      </c>
      <c r="J15" s="0" t="n">
        <f aca="false">J13-MAX(0,J13)*J14/100</f>
        <v>962.17550952913</v>
      </c>
      <c r="K15" s="0" t="n">
        <f aca="false">K13-MAX(0,K13)*K14/100</f>
        <v>986.229897267358</v>
      </c>
      <c r="L15" s="0" t="n">
        <f aca="false">L13-MAX(0,L13)*L14/100</f>
        <v>1010.88564469904</v>
      </c>
    </row>
    <row r="16" customFormat="false" ht="15" hidden="false" customHeight="false" outlineLevel="0" collapsed="false">
      <c r="A16" s="0" t="s">
        <v>124</v>
      </c>
      <c r="C16" s="0" t="n">
        <f aca="false">-C12</f>
        <v>405.184</v>
      </c>
      <c r="D16" s="0" t="n">
        <f aca="false">-D12</f>
        <v>419.36544</v>
      </c>
      <c r="E16" s="0" t="n">
        <f aca="false">-E12</f>
        <v>438.2368848</v>
      </c>
      <c r="F16" s="0" t="n">
        <f aca="false">-F12</f>
        <v>457.957544616</v>
      </c>
      <c r="G16" s="0" t="n">
        <f aca="false">-G12</f>
        <v>476.27584640064</v>
      </c>
      <c r="H16" s="0" t="n">
        <f aca="false">-H12</f>
        <v>492.945501024662</v>
      </c>
      <c r="I16" s="0" t="n">
        <f aca="false">-I12</f>
        <v>507.733866055402</v>
      </c>
      <c r="J16" s="0" t="n">
        <f aca="false">-J12</f>
        <v>522.965882037064</v>
      </c>
      <c r="K16" s="0" t="n">
        <f aca="false">-K12</f>
        <v>536.040029087991</v>
      </c>
      <c r="L16" s="0" t="n">
        <f aca="false">-L12</f>
        <v>549.441029815191</v>
      </c>
    </row>
    <row r="17" customFormat="false" ht="15" hidden="false" customHeight="false" outlineLevel="0" collapsed="false">
      <c r="A17" s="0" t="s">
        <v>125</v>
      </c>
      <c r="C17" s="4" t="n">
        <f aca="false">-C6*Assumptions!C46/100</f>
        <v>-405.184</v>
      </c>
      <c r="D17" s="4" t="n">
        <f aca="false">-D6*Assumptions!D46/100</f>
        <v>-425.918025</v>
      </c>
      <c r="E17" s="4" t="n">
        <f aca="false">-E6*Assumptions!E46/100</f>
        <v>-445.084336125</v>
      </c>
      <c r="F17" s="4" t="n">
        <f aca="false">-F6*Assumptions!F46/100</f>
        <v>-465.113131250625</v>
      </c>
      <c r="G17" s="4" t="n">
        <f aca="false">-G6*Assumptions!G46/100</f>
        <v>-483.71765650065</v>
      </c>
      <c r="H17" s="4" t="n">
        <f aca="false">-H6*Assumptions!H46/100</f>
        <v>-500.647774478173</v>
      </c>
      <c r="I17" s="4" t="n">
        <f aca="false">-I6*Assumptions!I46/100</f>
        <v>-515.667207712518</v>
      </c>
      <c r="J17" s="4" t="n">
        <f aca="false">-J6*Assumptions!J46/100</f>
        <v>-531.137223943893</v>
      </c>
      <c r="K17" s="4" t="n">
        <f aca="false">-K6*Assumptions!K46/100</f>
        <v>-544.415654542491</v>
      </c>
      <c r="L17" s="4" t="n">
        <f aca="false">-L6*Assumptions!L46/100</f>
        <v>-558.026045906053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(C6-B6)*Assumptions!$B$51/100</f>
        <v>-0</v>
      </c>
      <c r="D18" s="4" t="n">
        <f aca="false">(D6-C6)*Assumptions!$B$51/100</f>
        <v>-22.1584999999999</v>
      </c>
      <c r="E18" s="4" t="n">
        <f aca="false">(E6-D6)*Assumptions!$B$51/100</f>
        <v>-29.4866324999999</v>
      </c>
      <c r="F18" s="4" t="n">
        <f aca="false">(F6-E6)*Assumptions!$B$51/100</f>
        <v>-30.8135309625</v>
      </c>
      <c r="G18" s="4" t="n">
        <f aca="false">(G6-F6)*Assumptions!$B$51/100</f>
        <v>-28.6223465385</v>
      </c>
      <c r="H18" s="4" t="n">
        <f aca="false">(H6-G6)*Assumptions!$B$51/100</f>
        <v>-26.046335350035</v>
      </c>
      <c r="I18" s="4" t="n">
        <f aca="false">(I6-H6)*Assumptions!$B$51/100</f>
        <v>-23.106820360531</v>
      </c>
      <c r="J18" s="4" t="n">
        <f aca="false">(J6-I6)*Assumptions!$B$51/100</f>
        <v>-23.800024971347</v>
      </c>
      <c r="K18" s="4" t="n">
        <f aca="false">(K6-J6)*Assumptions!$B$51/100</f>
        <v>-20.4283547670728</v>
      </c>
      <c r="L18" s="4" t="n">
        <f aca="false">(L6-K6)*Assumptions!$B$51/100</f>
        <v>-20.9390636362496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565.04175</v>
      </c>
      <c r="D19" s="0" t="n">
        <f aca="false">D15+D16+D17+D18</f>
        <v>615.08039125</v>
      </c>
      <c r="E19" s="0" t="n">
        <f aca="false">E15+E16+E17+E18</f>
        <v>687.78389379375</v>
      </c>
      <c r="F19" s="0" t="n">
        <f aca="false">F15+F16+F17+F18</f>
        <v>772.401068774156</v>
      </c>
      <c r="G19" s="0" t="n">
        <f aca="false">G15+G16+G17+G18</f>
        <v>840.208982637667</v>
      </c>
      <c r="H19" s="0" t="n">
        <f aca="false">H15+H16+H17+H18</f>
        <v>873.194090347298</v>
      </c>
      <c r="I19" s="0" t="n">
        <f aca="false">I15+I16+I17+I18</f>
        <v>903.110818107722</v>
      </c>
      <c r="J19" s="0" t="n">
        <f aca="false">J15+J16+J17+J18</f>
        <v>930.204142650954</v>
      </c>
      <c r="K19" s="0" t="n">
        <f aca="false">K15+K16+K17+K18</f>
        <v>957.425917045786</v>
      </c>
      <c r="L19" s="0" t="n">
        <f aca="false">L15+L16+L17+L18</f>
        <v>981.36156497193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516.019863013699</v>
      </c>
      <c r="D21" s="0" t="n">
        <f aca="false">D19*D20</f>
        <v>512.983792039365</v>
      </c>
      <c r="E21" s="0" t="n">
        <f aca="false">E19*E20</f>
        <v>523.853251614539</v>
      </c>
      <c r="F21" s="0" t="n">
        <f aca="false">F19*F20</f>
        <v>537.262327698591</v>
      </c>
      <c r="G21" s="0" t="n">
        <f aca="false">G19*G20</f>
        <v>533.723990389774</v>
      </c>
      <c r="H21" s="0" t="n">
        <f aca="false">H19*H20</f>
        <v>506.554377487884</v>
      </c>
      <c r="I21" s="0" t="n">
        <f aca="false">I19*I20</f>
        <v>478.456226081491</v>
      </c>
      <c r="J21" s="0" t="n">
        <f aca="false">J19*J20</f>
        <v>450.054714944234</v>
      </c>
      <c r="K21" s="0" t="n">
        <f aca="false">K19*K20</f>
        <v>423.036759606597</v>
      </c>
      <c r="L21" s="0" t="n">
        <f aca="false">L19*L20</f>
        <v>395.993313786997</v>
      </c>
    </row>
    <row r="23" customFormat="false" ht="15" hidden="false" customHeight="false" outlineLevel="0" collapsed="false">
      <c r="A23" s="0" t="s">
        <v>105</v>
      </c>
      <c r="C23" s="4" t="n">
        <f aca="false">Assumptions!C44</f>
        <v>5.6</v>
      </c>
      <c r="D23" s="4" t="n">
        <f aca="false">Assumptions!D44</f>
        <v>5.5</v>
      </c>
      <c r="E23" s="4" t="n">
        <f aca="false">Assumptions!E44</f>
        <v>5.5</v>
      </c>
      <c r="F23" s="4" t="n">
        <f aca="false">Assumptions!F44</f>
        <v>5.4</v>
      </c>
      <c r="G23" s="4" t="n">
        <f aca="false">Assumptions!G44</f>
        <v>5.4</v>
      </c>
      <c r="H23" s="4" t="n">
        <f aca="false">Assumptions!H44</f>
        <v>5.4</v>
      </c>
      <c r="I23" s="4" t="n">
        <f aca="false">Assumptions!I44</f>
        <v>5.4</v>
      </c>
      <c r="J23" s="4" t="n">
        <f aca="false">Assumptions!J44</f>
        <v>5.4</v>
      </c>
      <c r="K23" s="4" t="n">
        <f aca="false">Assumptions!K44</f>
        <v>5.4</v>
      </c>
      <c r="L23" s="4" t="n">
        <f aca="false">Assumptions!L44</f>
        <v>5.4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-709.072</v>
      </c>
      <c r="D24" s="0" t="n">
        <f aca="false">-D6*D23/100</f>
        <v>-720.78435</v>
      </c>
      <c r="E24" s="0" t="n">
        <f aca="false">-E6*E23/100</f>
        <v>-753.21964575</v>
      </c>
      <c r="F24" s="0" t="n">
        <f aca="false">-F6*F23/100</f>
        <v>-772.8033565395</v>
      </c>
      <c r="G24" s="0" t="n">
        <f aca="false">-G6*G23/100</f>
        <v>-803.71549080108</v>
      </c>
      <c r="H24" s="0" t="n">
        <f aca="false">-H6*H23/100</f>
        <v>-831.845532979118</v>
      </c>
      <c r="I24" s="0" t="n">
        <f aca="false">-I6*I23/100</f>
        <v>-856.800898968491</v>
      </c>
      <c r="J24" s="0" t="n">
        <f aca="false">-J6*J23/100</f>
        <v>-882.504925937546</v>
      </c>
      <c r="K24" s="0" t="n">
        <f aca="false">-K6*K23/100</f>
        <v>-904.567549085985</v>
      </c>
      <c r="L24" s="0" t="n">
        <f aca="false">-L6*L23/100</f>
        <v>-927.181737813134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110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111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4877.93861666317</v>
      </c>
    </row>
    <row r="31" customFormat="false" ht="15" hidden="false" customHeight="false" outlineLevel="0" collapsed="false">
      <c r="A31" s="0" t="s">
        <v>133</v>
      </c>
      <c r="B31" s="0" t="n">
        <f aca="false">L19</f>
        <v>981.36156497193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14369.9372013747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13739.061909607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13739.061909607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5543.90639301795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10421.8450096811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9750.84500968113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199.689637716181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1.36319097888972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45.9561504402094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50.7254311528657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201.669600476637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8047.16483276982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104.894367910384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2" t="s">
        <v>150</v>
      </c>
      <c r="B3" s="2" t="s">
        <v>151</v>
      </c>
      <c r="C3" s="2" t="s">
        <v>141</v>
      </c>
      <c r="D3" s="2" t="s">
        <v>152</v>
      </c>
      <c r="E3" s="2" t="s">
        <v>144</v>
      </c>
      <c r="F3" s="2" t="s">
        <v>153</v>
      </c>
    </row>
    <row r="4" customFormat="false" ht="15" hidden="false" customHeight="false" outlineLevel="0" collapsed="false">
      <c r="A4" s="0" t="s">
        <v>154</v>
      </c>
      <c r="B4" s="4" t="n">
        <f aca="false">DCF_Bear!$B$38</f>
        <v>71.7507084117269</v>
      </c>
      <c r="C4" s="0" t="n">
        <f aca="false">B4/Assumptions!$B$2-1</f>
        <v>-0.150879190393764</v>
      </c>
      <c r="D4" s="4" t="n">
        <f aca="false">Assumptions!$B$24</f>
        <v>0.3</v>
      </c>
      <c r="E4" s="4" t="n">
        <f aca="false">DCF_Bear!$B$43</f>
        <v>73.2473732950366</v>
      </c>
      <c r="F4" s="4" t="n">
        <f aca="false">DCF_Bear!$B$47</f>
        <v>43.5397048592858</v>
      </c>
    </row>
    <row r="5" customFormat="false" ht="15" hidden="false" customHeight="false" outlineLevel="0" collapsed="false">
      <c r="A5" s="0" t="s">
        <v>155</v>
      </c>
      <c r="B5" s="4" t="n">
        <f aca="false">DCF_Base!$B$38</f>
        <v>139.588746814066</v>
      </c>
      <c r="C5" s="0" t="n">
        <f aca="false">B5/Assumptions!$B$2-1</f>
        <v>0.651937832119123</v>
      </c>
      <c r="D5" s="4" t="n">
        <f aca="false">Assumptions!$B$38</f>
        <v>0.5</v>
      </c>
      <c r="E5" s="4" t="n">
        <f aca="false">DCF_Base!$B$43</f>
        <v>141.358352482268</v>
      </c>
      <c r="F5" s="4" t="n">
        <f aca="false">DCF_Base!$B$47</f>
        <v>78.8452232302022</v>
      </c>
    </row>
    <row r="6" customFormat="false" ht="15" hidden="false" customHeight="false" outlineLevel="0" collapsed="false">
      <c r="A6" s="0" t="s">
        <v>156</v>
      </c>
      <c r="B6" s="4" t="n">
        <f aca="false">DCF_Bull!$B$38</f>
        <v>199.689637716181</v>
      </c>
      <c r="C6" s="0" t="n">
        <f aca="false">B6/Assumptions!$B$2-1</f>
        <v>1.36319097888972</v>
      </c>
      <c r="D6" s="4" t="n">
        <f aca="false">Assumptions!$B$52</f>
        <v>0.2</v>
      </c>
      <c r="E6" s="4" t="n">
        <f aca="false">DCF_Bull!$B$43</f>
        <v>201.669600476637</v>
      </c>
      <c r="F6" s="4" t="n">
        <f aca="false">DCF_Bull!$B$47</f>
        <v>104.894367910384</v>
      </c>
    </row>
    <row r="8" customFormat="false" ht="15" hidden="false" customHeight="false" outlineLevel="0" collapsed="false">
      <c r="A8" s="0" t="s">
        <v>157</v>
      </c>
      <c r="B8" s="0" t="n">
        <f aca="false">SUMPRODUCT(B4:B6,D4:D6)</f>
        <v>131.257513473787</v>
      </c>
    </row>
    <row r="9" customFormat="false" ht="15" hidden="false" customHeight="false" outlineLevel="0" collapsed="false">
      <c r="A9" s="0" t="s">
        <v>158</v>
      </c>
      <c r="B9" s="0" t="n">
        <f aca="false">SUMPRODUCT(E4:E6,D4:D6)</f>
        <v>132.987308324972</v>
      </c>
    </row>
    <row r="10" customFormat="false" ht="15" hidden="false" customHeight="false" outlineLevel="0" collapsed="false">
      <c r="A10" s="0" t="s">
        <v>159</v>
      </c>
      <c r="B10" s="0" t="n">
        <f aca="false">1-Assumptions!$B$2/B8</f>
        <v>0.356227329288277</v>
      </c>
    </row>
    <row r="11" customFormat="false" ht="15" hidden="false" customHeight="false" outlineLevel="0" collapsed="false">
      <c r="A11" s="0" t="s">
        <v>160</v>
      </c>
      <c r="B11" s="0" t="n">
        <f aca="false">IF(ABS(B9-B8)&gt;0.01*ABS(B8),(Assumptions!$B$2-B8)/(B9-B8)*100,"n/a")</f>
        <v>-2703.06698171456</v>
      </c>
    </row>
    <row r="12" customFormat="false" ht="15" hidden="false" customHeight="false" outlineLevel="0" collapsed="false">
      <c r="A12" s="0" t="s">
        <v>161</v>
      </c>
      <c r="B12" s="0" t="n">
        <f aca="false">SUMPRODUCT(F4:F6,D4:D6)</f>
        <v>73.4633966549636</v>
      </c>
    </row>
    <row r="14" customFormat="false" ht="15" hidden="false" customHeight="false" outlineLevel="0" collapsed="false">
      <c r="A14" s="2" t="s">
        <v>162</v>
      </c>
      <c r="C14" s="0" t="s">
        <v>163</v>
      </c>
    </row>
    <row r="15" customFormat="false" ht="15" hidden="false" customHeight="false" outlineLevel="0" collapsed="false">
      <c r="A15" s="0" t="s">
        <v>164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144.893617921594</v>
      </c>
      <c r="C15" s="3" t="n">
        <v>9</v>
      </c>
    </row>
    <row r="16" customFormat="false" ht="15" hidden="false" customHeight="false" outlineLevel="0" collapsed="false">
      <c r="A16" s="0" t="s">
        <v>165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139.588746814066</v>
      </c>
      <c r="C16" s="3" t="n">
        <v>9.5</v>
      </c>
    </row>
    <row r="17" customFormat="false" ht="15" hidden="false" customHeight="false" outlineLevel="0" collapsed="false">
      <c r="A17" s="0" t="s">
        <v>166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134.515908845976</v>
      </c>
      <c r="C17" s="3" t="n">
        <v>10</v>
      </c>
    </row>
    <row r="18" customFormat="false" ht="15" hidden="false" customHeight="false" outlineLevel="0" collapsed="false">
      <c r="A18" s="0" t="s">
        <v>167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121.490772146375</v>
      </c>
      <c r="C18" s="3" t="n">
        <v>11</v>
      </c>
    </row>
    <row r="19" customFormat="false" ht="15" hidden="false" customHeight="false" outlineLevel="0" collapsed="false">
      <c r="A19" s="0" t="s">
        <v>168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107.609095090139</v>
      </c>
      <c r="C19" s="3" t="n">
        <v>12</v>
      </c>
    </row>
    <row r="20" customFormat="false" ht="15" hidden="false" customHeight="false" outlineLevel="0" collapsed="false">
      <c r="A20" s="0" t="s">
        <v>169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78.8452232302022</v>
      </c>
      <c r="C20" s="3" t="n">
        <v>15</v>
      </c>
    </row>
    <row r="22" customFormat="false" ht="15" hidden="false" customHeight="false" outlineLevel="0" collapsed="false">
      <c r="A22" s="2" t="s">
        <v>170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162.327251476551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162.327251476551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162.327251476551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162.327251476551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162.327251476551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150.442835271539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150.442835271539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150.442835271539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150.442835271539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150.442835271539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138.875076953777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139.588746814066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139.588746814066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139.588746814066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139.588746814066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122.083733095109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125.663055846108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129.663475391342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129.663475391342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129.663475391342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108.524474201345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111.212072591629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114.182576075627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117.483135502292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120.576484920108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2026-10-10T00:58:28Z</dcterms:created>
  <dc:creator>openpyxl</dc:creator>
  <dc:description/>
  <dc:language>en-NZ</dc:language>
  <cp:lastModifiedBy/>
  <dcterms:modified xsi:type="dcterms:W3CDTF">2026-10-10T00:58:28Z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