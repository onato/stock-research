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AFFO_Bear" sheetId="4" state="visible" r:id="rId4"/>
    <sheet xmlns:r="http://schemas.openxmlformats.org/officeDocument/2006/relationships" name="AFFO_Base" sheetId="5" state="visible" r:id="rId5"/>
    <sheet xmlns:r="http://schemas.openxmlformats.org/officeDocument/2006/relationships" name="AFFO_Bull" sheetId="6" state="visible" r:id="rId6"/>
    <sheet xmlns:r="http://schemas.openxmlformats.org/officeDocument/2006/relationships" name="AFFO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0" fontId="2" fillId="2" borderId="0" pivotButton="0" quotePrefix="0" xfId="0"/>
    <xf numFmtId="0" fontId="3" fillId="0" borderId="0" pivotButton="0" quotePrefix="0" xfId="0"/>
    <xf numFmtId="10" fontId="0" fillId="0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VHP.NZ -- Vital Healthcare Property Trust -- AFFO capitalization model</t>
        </is>
      </c>
    </row>
    <row r="2">
      <c r="A2" t="inlineStr">
        <is>
          <t>Version 1.0, fresh build 2026-09-19. Supersedes nothing (first valuation of this ticker).</t>
        </is>
      </c>
    </row>
    <row r="3">
      <c r="A3" t="inlineStr">
        <is>
          <t>Built by the dcf-analyst agent (Claude Fable 5.1) on 2026-09-19 at the research orchestrator's request.</t>
        </is>
      </c>
    </row>
    <row r="4">
      <c r="A4" t="inlineStr"/>
    </row>
    <row r="5">
      <c r="A5" s="1" t="inlineStr">
        <is>
          <t>DATA VINTAGE</t>
        </is>
      </c>
    </row>
    <row r="6">
      <c r="A6" t="inlineStr">
        <is>
          <t>Price NZ$1.92 -- Yahoo Finance, NZX regular close Fri 18-Sep-2026 (2026-09-18T05:00:01Z). Figures go stale; refresh the price before use.</t>
        </is>
      </c>
    </row>
    <row r="7">
      <c r="A7" t="inlineStr">
        <is>
          <t>Balance sheet, units on issue (807.127m), NTA/unit ($2.41), borrowings, hedging: FY2026 annual report as at 30-Jun-2026, published 13-Aug-2026.</t>
        </is>
      </c>
    </row>
    <row r="8">
      <c r="A8" t="inlineStr">
        <is>
          <t>AFFO 86.918m / 11.50 cpu FY2026: annual report note 12 (struck on 755.951m weighted diluted units).</t>
        </is>
      </c>
    </row>
    <row r="9">
      <c r="A9" t="inlineStr">
        <is>
          <t>Guidance: FY2027 distribution 9.75 cpu (annual report, 13-Aug-2026).</t>
        </is>
      </c>
    </row>
    <row r="10">
      <c r="A10" t="inlineStr"/>
    </row>
    <row r="11">
      <c r="A11" s="1" t="inlineStr">
        <is>
          <t>METHODOLOGY</t>
        </is>
      </c>
    </row>
    <row r="12">
      <c r="A12" t="inlineStr">
        <is>
          <t>Model: AFFO capitalization at COST OF EQUITY. AFFO is post-interest and post-current-tax, so it is an equity flow -- net debt (1,414m) is never subtracted. Routed via dcf-methods SKILL.md REIT row.</t>
        </is>
      </c>
    </row>
    <row r="13">
      <c r="A13" t="inlineStr">
        <is>
          <t>Explicit path: five years built bottom-up (NPI, other income/add-backs, G&amp;A incl SBC, net finance cost, current tax, maintenance capex) -&gt; AFFO. Terminal value = MAX(0, MIN(Gordon, 16x AFFO_FY31)), end-of-year discounting.</t>
        </is>
      </c>
    </row>
    <row r="14">
      <c r="A14" t="inlineStr">
        <is>
          <t>Per-unit divisor is the 807.127m year-end unit count (not the 755.951m weighted average), held flat: DRP units are matched by retained cash; no raise assumed.</t>
        </is>
      </c>
    </row>
    <row r="15">
      <c r="A15" t="inlineStr">
        <is>
          <t>Tax: ~178m of internalisation tax losses (49.9m DTA) shelter current tax FY27-FY29; FY30 steps up; FY31 (terminal) is FULLY taxed. Do not perpetuate the shelter.</t>
        </is>
      </c>
    </row>
    <row r="16">
      <c r="A16" t="inlineStr">
        <is>
          <t>SBC: house basis charges ~1.0m/yr LTIP inside G&amp;A; street basis (Trust's own AFFO definition) adds it back -- Assumptions!B13.</t>
        </is>
      </c>
    </row>
    <row r="17">
      <c r="A17" t="inlineStr">
        <is>
          <t>Entry price: 15% IRR with the terminal value REBUILT at 15% (min(Gordon@15%, cap)). Required-return table rebuilds TV at each rate.</t>
        </is>
      </c>
    </row>
    <row r="18">
      <c r="A18" t="inlineStr">
        <is>
          <t>NTA cross-check (rows 42-46 on each scenario tab): PV of DPU + PV of FY31 NTA x exit P/NTA. Memo only -- NOT blended into the value.</t>
        </is>
      </c>
    </row>
    <row r="19">
      <c r="A19" t="inlineStr">
        <is>
          <t>Scenario drivers are the dcf-analyst agent's judgment as of 2026-09-19 (see Assumptions narratives). Weights 25/50/25.</t>
        </is>
      </c>
    </row>
    <row r="20">
      <c r="A20" t="inlineStr"/>
    </row>
    <row r="21">
      <c r="A21" s="1" t="inlineStr">
        <is>
          <t>REFRESH AFTER THE NEXT PRINT (H1 FY2027, ~Feb-2027)</t>
        </is>
      </c>
    </row>
    <row r="22">
      <c r="A22" t="inlineStr">
        <is>
          <t>Price + timestamp; H1 AFFO cpu vs base 11.65 cpu FY27 run-rate; net finance cost (capitalised-interest roll-off, hedge roll); current tax (shelter usage); units on issue (DRP); NTA/unit; gearing; any change to 9.75 cpu guidance.</t>
        </is>
      </c>
    </row>
    <row r="23">
      <c r="A23" t="inlineStr"/>
    </row>
    <row r="24">
      <c r="A24" s="1" t="inlineStr">
        <is>
          <t>CELL COLOURS</t>
        </is>
      </c>
    </row>
    <row r="25">
      <c r="A25" t="inlineStr">
        <is>
          <t>Blue font = hardcoded input. Yellow fill = key lever. Black = formula. Green font = cross-sheet link. Never paste a value over a formula; change inputs on Assumptions or the driver rows (5,7,8,9,10,11,42) of a scenario tab.</t>
        </is>
      </c>
    </row>
    <row r="26">
      <c r="A26" t="inlineStr"/>
    </row>
    <row r="27">
      <c r="A27" s="1" t="inlineStr">
        <is>
          <t>SCENARIO TAB ROW MAP</t>
        </is>
      </c>
    </row>
    <row r="28">
      <c r="A28" t="inlineStr">
        <is>
          <t>Row 3 headers; 4 year index; 5 NPI growth (driver); 6 NPI; 7 fee income + non-cash add-backs (driver); 8 G&amp;A incl SBC (driver); 9 net finance cost (driver); 10 current tax (driver); 11 maintenance capex (driver); 12 AFFO; 13 AFFO cpu; 14 discount factor; 15 PV AFFO; 17 gross property income (dashboard engine revenue); 18 AFFO margin; 20 SBC memo; 22-35 valuation block; 38-40 street memo; 42-46 NTA cross-check.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11" max="11"/>
  </cols>
  <sheetData>
    <row r="1">
      <c r="A1" s="1" t="inlineStr">
        <is>
          <t>Metric</t>
        </is>
      </c>
      <c r="B1" s="1" t="inlineStr">
        <is>
          <t>FY2018</t>
        </is>
      </c>
      <c r="C1" s="1" t="inlineStr">
        <is>
          <t>FY2019</t>
        </is>
      </c>
      <c r="D1" s="1" t="inlineStr">
        <is>
          <t>FY2020</t>
        </is>
      </c>
      <c r="E1" s="1" t="inlineStr">
        <is>
          <t>FY2021</t>
        </is>
      </c>
      <c r="F1" s="1" t="inlineStr">
        <is>
          <t>FY2022</t>
        </is>
      </c>
      <c r="G1" s="1" t="inlineStr">
        <is>
          <t>FY2023</t>
        </is>
      </c>
      <c r="H1" s="1" t="inlineStr">
        <is>
          <t>FY2024</t>
        </is>
      </c>
      <c r="I1" s="1" t="inlineStr">
        <is>
          <t>FY2025</t>
        </is>
      </c>
      <c r="J1" s="1" t="inlineStr">
        <is>
          <t>FY2026</t>
        </is>
      </c>
      <c r="K1" s="1" t="inlineStr">
        <is>
          <t>Source</t>
        </is>
      </c>
    </row>
    <row r="2">
      <c r="A2" t="inlineStr">
        <is>
          <t>AFFO (NZ$m)</t>
        </is>
      </c>
      <c r="B2" s="2" t="n">
        <v>47.074</v>
      </c>
      <c r="C2" s="2" t="n">
        <v>43.897</v>
      </c>
      <c r="D2" s="2" t="n">
        <v>47.211</v>
      </c>
      <c r="E2" s="2" t="n">
        <v>57.457</v>
      </c>
      <c r="F2" s="2" t="n">
        <v>67.824</v>
      </c>
      <c r="G2" s="2" t="n">
        <v>73.33499999999999</v>
      </c>
      <c r="H2" s="2" t="n">
        <v>72.899</v>
      </c>
      <c r="I2" s="2" t="n">
        <v>70.369</v>
      </c>
      <c r="J2" s="2" t="n">
        <v>86.91800000000001</v>
      </c>
      <c r="K2" t="inlineStr">
        <is>
          <t>Annual reports, 5-year summaries / note 12</t>
        </is>
      </c>
    </row>
    <row r="3">
      <c r="A3" t="inlineStr">
        <is>
          <t>AFFO per unit (cpu, weighted diluted)</t>
        </is>
      </c>
      <c r="B3" s="2" t="n">
        <v>10.84</v>
      </c>
      <c r="C3" s="2" t="n">
        <v>9.9</v>
      </c>
      <c r="D3" s="2" t="n">
        <v>10.45</v>
      </c>
      <c r="E3" s="2" t="n">
        <v>11.54</v>
      </c>
      <c r="F3" s="2" t="n">
        <v>11.92</v>
      </c>
      <c r="G3" s="2" t="n">
        <v>11.18</v>
      </c>
      <c r="H3" s="2" t="n">
        <v>10.9</v>
      </c>
      <c r="I3" s="2" t="n">
        <v>10.41</v>
      </c>
      <c r="J3" s="2" t="n">
        <v>11.5</v>
      </c>
      <c r="K3" t="inlineStr">
        <is>
          <t>same</t>
        </is>
      </c>
    </row>
    <row r="4">
      <c r="A4" t="inlineStr">
        <is>
          <t>Distribution per unit (cpu)</t>
        </is>
      </c>
      <c r="B4" s="2" t="n">
        <v>8.5</v>
      </c>
      <c r="C4" s="2" t="n">
        <v>8.75</v>
      </c>
      <c r="D4" s="2" t="n">
        <v>8.75</v>
      </c>
      <c r="E4" s="2" t="n">
        <v>8.880000000000001</v>
      </c>
      <c r="F4" s="2" t="n">
        <v>9.630000000000001</v>
      </c>
      <c r="G4" s="2" t="n">
        <v>9.75</v>
      </c>
      <c r="H4" s="2" t="n">
        <v>9.75</v>
      </c>
      <c r="I4" s="2" t="n">
        <v>9.75</v>
      </c>
      <c r="J4" s="2" t="n">
        <v>9.75</v>
      </c>
      <c r="K4" t="inlineStr">
        <is>
          <t>same</t>
        </is>
      </c>
    </row>
    <row r="5">
      <c r="A5" t="inlineStr">
        <is>
          <t>NTA per unit ($)</t>
        </is>
      </c>
      <c r="B5" s="2" t="n"/>
      <c r="C5" s="2" t="n"/>
      <c r="D5" s="2" t="n">
        <v>2.38</v>
      </c>
      <c r="E5" s="2" t="n">
        <v>2.89</v>
      </c>
      <c r="F5" s="2" t="n">
        <v>3.34</v>
      </c>
      <c r="G5" s="2" t="n">
        <v>2.96</v>
      </c>
      <c r="H5" s="2" t="n">
        <v>2.69</v>
      </c>
      <c r="I5" s="2" t="n">
        <v>2.47</v>
      </c>
      <c r="J5" s="2" t="n">
        <v>2.41</v>
      </c>
      <c r="K5" t="inlineStr">
        <is>
          <t>FY21 AR p.6; FY26 AR 5-yr summary</t>
        </is>
      </c>
    </row>
    <row r="6">
      <c r="A6" t="inlineStr">
        <is>
          <t>Net property income (NZ$m)</t>
        </is>
      </c>
      <c r="B6" s="2" t="n"/>
      <c r="C6" s="2" t="n"/>
      <c r="D6" s="2" t="n">
        <v>100.147</v>
      </c>
      <c r="E6" s="2" t="n">
        <v>109.663</v>
      </c>
      <c r="F6" s="2" t="n">
        <v>123.018</v>
      </c>
      <c r="G6" s="2" t="n">
        <v>145.224</v>
      </c>
      <c r="H6" s="2" t="n">
        <v>144.533</v>
      </c>
      <c r="I6" s="2" t="n">
        <v>148.834</v>
      </c>
      <c r="J6" s="2" t="n">
        <v>162.217</v>
      </c>
      <c r="K6" t="inlineStr">
        <is>
          <t>kpis / income statements</t>
        </is>
      </c>
    </row>
    <row r="7">
      <c r="A7" t="inlineStr">
        <is>
          <t>Gross property income (NZ$m)</t>
        </is>
      </c>
      <c r="B7" s="2" t="n"/>
      <c r="C7" s="2" t="n"/>
      <c r="D7" s="2" t="n">
        <v>114.419</v>
      </c>
      <c r="E7" s="2" t="n">
        <v>126.144</v>
      </c>
      <c r="F7" s="2" t="n">
        <v>143.633</v>
      </c>
      <c r="G7" s="2" t="n">
        <v>171.315</v>
      </c>
      <c r="H7" s="2" t="n">
        <v>168.788</v>
      </c>
      <c r="I7" s="2" t="n">
        <v>177.101</v>
      </c>
      <c r="J7" s="2" t="n">
        <v>192.988</v>
      </c>
      <c r="K7" t="inlineStr">
        <is>
          <t>Metrics.csv Revenue</t>
        </is>
      </c>
    </row>
    <row r="8">
      <c r="A8" t="inlineStr">
        <is>
          <t>Net interest expense (NZ$m)</t>
        </is>
      </c>
      <c r="B8" s="2" t="n"/>
      <c r="C8" s="2" t="n"/>
      <c r="D8" s="2" t="n"/>
      <c r="E8" s="2" t="n">
        <v>27.719</v>
      </c>
      <c r="F8" s="2" t="n">
        <v>28.983</v>
      </c>
      <c r="G8" s="2" t="n">
        <v>37.77</v>
      </c>
      <c r="H8" s="2" t="n">
        <v>40.606</v>
      </c>
      <c r="I8" s="2" t="n">
        <v>45.169</v>
      </c>
      <c r="J8" s="2" t="n">
        <v>54.255</v>
      </c>
      <c r="K8" t="inlineStr">
        <is>
          <t>FY26 AR 5-yr summary</t>
        </is>
      </c>
    </row>
    <row r="9">
      <c r="A9" t="inlineStr">
        <is>
          <t>Borrowings (NZ$m)</t>
        </is>
      </c>
      <c r="B9" s="2" t="n"/>
      <c r="C9" s="2" t="n"/>
      <c r="D9" s="2" t="n">
        <v>813.515</v>
      </c>
      <c r="E9" s="2" t="n">
        <v>929.3</v>
      </c>
      <c r="F9" s="2" t="n">
        <v>1018.777</v>
      </c>
      <c r="G9" s="2" t="n">
        <v>1239.156</v>
      </c>
      <c r="H9" s="2" t="n">
        <v>1287.477</v>
      </c>
      <c r="I9" s="2" t="n">
        <v>1363.639</v>
      </c>
      <c r="J9" s="2" t="n">
        <v>1427.838</v>
      </c>
      <c r="K9" t="inlineStr">
        <is>
          <t>balance sheets</t>
        </is>
      </c>
    </row>
    <row r="10">
      <c r="A10" t="inlineStr">
        <is>
          <t>Gearing (debt/total assets %, Trust Deed)</t>
        </is>
      </c>
      <c r="B10" s="2" t="n"/>
      <c r="C10" s="2" t="n"/>
      <c r="D10" s="2" t="n"/>
      <c r="E10" s="2" t="n"/>
      <c r="F10" s="2" t="n">
        <v>30</v>
      </c>
      <c r="G10" s="2" t="n">
        <v>36.3</v>
      </c>
      <c r="H10" s="2" t="n">
        <v>39.1</v>
      </c>
      <c r="I10" s="2" t="n">
        <v>42.1</v>
      </c>
      <c r="J10" s="2" t="n">
        <v>39.6</v>
      </c>
      <c r="K10" t="inlineStr">
        <is>
          <t>FY26 AR</t>
        </is>
      </c>
    </row>
    <row r="11">
      <c r="A11" t="inlineStr">
        <is>
          <t>Statutory net income (NZ$m) -- revaluation noise, NOT used</t>
        </is>
      </c>
      <c r="B11" s="2" t="n"/>
      <c r="C11" s="2" t="n"/>
      <c r="D11" s="2" t="n">
        <v>58.126</v>
      </c>
      <c r="E11" s="2" t="n">
        <v>278.392</v>
      </c>
      <c r="F11" s="2" t="n">
        <v>303.522</v>
      </c>
      <c r="G11" s="2" t="n">
        <v>-152.401</v>
      </c>
      <c r="H11" s="2" t="n">
        <v>-107.611</v>
      </c>
      <c r="I11" s="2" t="n">
        <v>-51.22</v>
      </c>
      <c r="J11" s="2" t="n">
        <v>-24.786</v>
      </c>
      <c r="K11" t="inlineStr">
        <is>
          <t>Metrics.csv</t>
        </is>
      </c>
    </row>
    <row r="12">
      <c r="A12" t="inlineStr">
        <is>
          <t>Units on issue at year end (m)</t>
        </is>
      </c>
      <c r="B12" s="2" t="n"/>
      <c r="C12" s="2" t="n"/>
      <c r="D12" s="2" t="n"/>
      <c r="E12" s="2" t="n"/>
      <c r="F12" s="2" t="n"/>
      <c r="G12" s="2" t="n"/>
      <c r="H12" s="2" t="n">
        <v>671.923</v>
      </c>
      <c r="I12" s="2" t="n">
        <v>678.896</v>
      </c>
      <c r="J12" s="2" t="n">
        <v>807.127</v>
      </c>
      <c r="K12" t="inlineStr">
        <is>
          <t>FY26 AR note 10</t>
        </is>
      </c>
    </row>
    <row r="13">
      <c r="A13" t="inlineStr">
        <is>
          <t>Current tax expense (NZ$m)</t>
        </is>
      </c>
      <c r="B13" s="2" t="n"/>
      <c r="C13" s="2" t="n"/>
      <c r="D13" s="2" t="n"/>
      <c r="E13" s="2" t="n"/>
      <c r="F13" s="2" t="n"/>
      <c r="G13" s="2" t="n"/>
      <c r="H13" s="2" t="n"/>
      <c r="I13" s="2" t="n">
        <v>15.546</v>
      </c>
      <c r="J13" s="2" t="n">
        <v>7.933</v>
      </c>
      <c r="K13" t="inlineStr">
        <is>
          <t>FY26 AR note 6</t>
        </is>
      </c>
    </row>
    <row r="14">
      <c r="A14" t="inlineStr">
        <is>
          <t>Northwest base management fee (NZ$m)</t>
        </is>
      </c>
      <c r="B14" s="2" t="n"/>
      <c r="C14" s="2" t="n"/>
      <c r="D14" s="2" t="n"/>
      <c r="E14" s="2" t="n"/>
      <c r="F14" s="2" t="n"/>
      <c r="G14" s="2" t="n"/>
      <c r="H14" s="2" t="n"/>
      <c r="I14" s="2" t="n">
        <v>17.652</v>
      </c>
      <c r="J14" s="2" t="n">
        <v>8.885</v>
      </c>
      <c r="K14" t="inlineStr">
        <is>
          <t>FY26 AR note 24 (H1 only in FY26)</t>
        </is>
      </c>
    </row>
    <row r="15">
      <c r="A15" t="inlineStr">
        <is>
          <t>FY-end price / NTA (x)</t>
        </is>
      </c>
      <c r="B15" s="2" t="n"/>
      <c r="C15" s="2" t="n"/>
      <c r="D15" s="2" t="n">
        <v>1.09</v>
      </c>
      <c r="E15" s="2" t="n">
        <v>1.09</v>
      </c>
      <c r="F15" s="2" t="n">
        <v>0.85</v>
      </c>
      <c r="G15" s="2" t="n">
        <v>0.8</v>
      </c>
      <c r="H15" s="2" t="n">
        <v>0.71</v>
      </c>
      <c r="I15" s="2" t="n">
        <v>0.82</v>
      </c>
      <c r="J15" s="2" t="n">
        <v>0.78</v>
      </c>
      <c r="K15" t="inlineStr">
        <is>
          <t>Yahoo June closes / NTA</t>
        </is>
      </c>
    </row>
    <row r="18">
      <c r="A18" t="inlineStr">
        <is>
          <t>Guidance: FY2027 distribution 9.75 cpu payable quarterly, 'reviewed as development leasing progresses' (13-Aug-2026). No numeric AFFO guidance.</t>
        </is>
      </c>
    </row>
    <row r="19">
      <c r="A19" t="inlineStr">
        <is>
          <t>Balance sheet 30-Jun-2026: borrowings 1,427.838m, cash 13.809m, net debt 1,414.029m (memo only), total assets 3,616.668m, unit holders funds 1,948.220m, investment property 3,512.6m at 5.54% cap rate.</t>
        </is>
      </c>
    </row>
    <row r="20">
      <c r="A20" t="inlineStr">
        <is>
          <t>Buybacks: none in any year. Units issued FY26: 7.265m DRP + 120.966m placement/UPP (235m at $1.95 / $1.9124).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3" max="3"/>
  </cols>
  <sheetData>
    <row r="1">
      <c r="A1" s="1" t="inlineStr">
        <is>
          <t>Global inputs</t>
        </is>
      </c>
    </row>
    <row r="3">
      <c r="A3" t="inlineStr">
        <is>
          <t>Current price (NZD)</t>
        </is>
      </c>
      <c r="B3" s="3" t="n">
        <v>1.92</v>
      </c>
      <c r="C3" t="inlineStr">
        <is>
          <t>Yahoo, NZX close 18-Sep-2026 05:00:01Z</t>
        </is>
      </c>
    </row>
    <row r="4">
      <c r="A4" t="inlineStr">
        <is>
          <t>Price timestamp</t>
        </is>
      </c>
      <c r="B4" s="2" t="inlineStr">
        <is>
          <t>2026-09-18T05:00:01Z regular close</t>
        </is>
      </c>
      <c r="C4" t="inlineStr"/>
    </row>
    <row r="5">
      <c r="A5" t="inlineStr">
        <is>
          <t>Units on issue (m)</t>
        </is>
      </c>
      <c r="B5" s="2" t="n">
        <v>807.127</v>
      </c>
      <c r="C5" t="inlineStr">
        <is>
          <t>FY26 AR note 10, 30-Jun-2026; flat across horizon</t>
        </is>
      </c>
    </row>
    <row r="6">
      <c r="A6" t="inlineStr">
        <is>
          <t>NTA per unit (NZD)</t>
        </is>
      </c>
      <c r="B6" s="2" t="n">
        <v>2.41</v>
      </c>
      <c r="C6" t="inlineStr">
        <is>
          <t>FY26 AR, 30-Jun-2026</t>
        </is>
      </c>
    </row>
    <row r="7">
      <c r="A7" t="inlineStr">
        <is>
          <t>Balance sheet date</t>
        </is>
      </c>
      <c r="B7" s="2" t="inlineStr">
        <is>
          <t>2026-06-30</t>
        </is>
      </c>
      <c r="C7" t="inlineStr"/>
    </row>
    <row r="8">
      <c r="A8" t="inlineStr">
        <is>
          <t>FY2026 AFFO (NZ$m)</t>
        </is>
      </c>
      <c r="B8" s="2" t="n">
        <v>86.91800000000001</v>
      </c>
      <c r="C8" t="inlineStr">
        <is>
          <t>note 12</t>
        </is>
      </c>
    </row>
    <row r="9">
      <c r="A9" t="inlineStr">
        <is>
          <t>FY2026 gross property income (NZ$m)</t>
        </is>
      </c>
      <c r="B9" s="2" t="n">
        <v>192.988</v>
      </c>
      <c r="C9" t="inlineStr">
        <is>
          <t>rentals 170.439 + recoveries 22.549</t>
        </is>
      </c>
    </row>
    <row r="10">
      <c r="A10" t="inlineStr">
        <is>
          <t>FY2026 net property income (NZ$m)</t>
        </is>
      </c>
      <c r="B10" s="2" t="n">
        <v>162.217</v>
      </c>
      <c r="C10" t="inlineStr">
        <is>
          <t>income statement</t>
        </is>
      </c>
    </row>
    <row r="11">
      <c r="A11" t="inlineStr">
        <is>
          <t>Hurdle rate for entry price</t>
        </is>
      </c>
      <c r="B11" s="2" t="n">
        <v>0.15</v>
      </c>
      <c r="C11" t="inlineStr">
        <is>
          <t>house standard</t>
        </is>
      </c>
    </row>
    <row r="12">
      <c r="A12" t="inlineStr">
        <is>
          <t>Terminal value cap (x AFFO_FY31)</t>
        </is>
      </c>
      <c r="B12" s="3" t="n">
        <v>16</v>
      </c>
      <c r="C12" t="inlineStr">
        <is>
          <t>6.25% exit AFFO yield; units traded 17-24x AFFO at FY22-FY25 year-ends, 16.7x now</t>
        </is>
      </c>
    </row>
    <row r="13">
      <c r="A13" t="inlineStr">
        <is>
          <t>SBC run-rate (NZ$m/yr, LTIP) -- street add-back</t>
        </is>
      </c>
      <c r="B13" s="2" t="n">
        <v>1</v>
      </c>
      <c r="C13" t="inlineStr">
        <is>
          <t>FY26 H2 SBP expense 0.533m annualised; grows 3%/yr</t>
        </is>
      </c>
    </row>
    <row r="14">
      <c r="A14" t="inlineStr">
        <is>
          <t>Net debt memo (NZ$m) -- NOT subtracted</t>
        </is>
      </c>
      <c r="B14" s="2" t="n">
        <v>1414.029</v>
      </c>
      <c r="C14" t="inlineStr">
        <is>
          <t>AFFO is post-interest</t>
        </is>
      </c>
    </row>
    <row r="15">
      <c r="A15" t="inlineStr">
        <is>
          <t>FY2026 distribution (cpu)</t>
        </is>
      </c>
      <c r="B15" s="2" t="n">
        <v>9.75</v>
      </c>
      <c r="C15" t="inlineStr">
        <is>
          <t>FY27 guidance also 9.75</t>
        </is>
      </c>
    </row>
    <row r="17">
      <c r="A17" s="1" t="inlineStr">
        <is>
          <t>Scenario inputs</t>
        </is>
      </c>
      <c r="B17" s="1" t="inlineStr">
        <is>
          <t>Bear</t>
        </is>
      </c>
      <c r="C17" s="1" t="inlineStr">
        <is>
          <t>Base</t>
        </is>
      </c>
      <c r="D17" s="1" t="inlineStr">
        <is>
          <t>Bull</t>
        </is>
      </c>
    </row>
    <row r="18">
      <c r="A18" t="inlineStr">
        <is>
          <t>Cost of equity</t>
        </is>
      </c>
      <c r="B18" s="3" t="n">
        <v>0.105</v>
      </c>
      <c r="C18" s="3" t="n">
        <v>0.095</v>
      </c>
      <c r="D18" s="3" t="n">
        <v>0.09</v>
      </c>
    </row>
    <row r="19">
      <c r="A19" t="inlineStr">
        <is>
          <t>Terminal growth</t>
        </is>
      </c>
      <c r="B19" s="3" t="n">
        <v>0.02</v>
      </c>
      <c r="C19" s="3" t="n">
        <v>0.025</v>
      </c>
      <c r="D19" s="3" t="n">
        <v>0.03</v>
      </c>
    </row>
    <row r="20">
      <c r="A20" t="inlineStr">
        <is>
          <t>Probability weight</t>
        </is>
      </c>
      <c r="B20" s="2" t="n">
        <v>0.25</v>
      </c>
      <c r="C20" s="2" t="n">
        <v>0.5</v>
      </c>
      <c r="D20" s="2" t="n">
        <v>0.25</v>
      </c>
    </row>
    <row r="21">
      <c r="A21" t="inlineStr">
        <is>
          <t>Exit P/NTA (cross-check)</t>
        </is>
      </c>
      <c r="B21" s="2" t="n">
        <v>0.65</v>
      </c>
      <c r="C21" s="2" t="n">
        <v>0.8</v>
      </c>
      <c r="D21" s="2" t="n">
        <v>0.95</v>
      </c>
    </row>
    <row r="22">
      <c r="A22" t="inlineStr">
        <is>
          <t>NTA growth p.a. (cross-check)</t>
        </is>
      </c>
      <c r="B22" s="2" t="n">
        <v>-0.02</v>
      </c>
      <c r="C22" s="2" t="n">
        <v>0.01</v>
      </c>
      <c r="D22" s="2" t="n">
        <v>0.02</v>
      </c>
    </row>
    <row r="23">
      <c r="A23" t="inlineStr">
        <is>
          <t>Weights sum (must be 1.00)</t>
        </is>
      </c>
      <c r="B23">
        <f>SUM(B20:D20)</f>
        <v/>
      </c>
    </row>
    <row r="25">
      <c r="A25" t="inlineStr">
        <is>
          <t>Cost of equity build: NZ 10yr ~4.5% + 0.75 beta x 6.0% ERP = 9.0%, +0.5% for 39.6% gearing / 20% unhedged debt, top-5 tenant concentration (65% of rent) and AUD translation = 9.5% base.</t>
        </is>
      </c>
    </row>
    <row r="27">
      <c r="A27" s="1" t="inlineStr">
        <is>
          <t>Scenario narratives</t>
        </is>
      </c>
    </row>
    <row r="28">
      <c r="A28" t="inlineStr">
        <is>
          <t>Bear: Australian hospital-operator stress leads to rent relief -- NPI +1.5%/yr; rates higher for longer, net finance cost +6%/yr to 71.5m; AFFO 8.8 cpu by FY31 and the distribution is cut from FY29. CoE 10.5%, g 2.0%.</t>
        </is>
      </c>
    </row>
    <row r="29">
      <c r="A29" t="inlineStr">
        <is>
          <t>Base: NPI +4.8% fading to +3.9% (CPI/market reviews + Grace/RDX/committed pipeline at 6.3%); internal G&amp;A 18.8m; net finance cost 58.0m rising to 68.5m as capitalised interest rolls off and hedges reprice; tax sheltered FY27-29 then fully taxed 17.0m in FY31. CoE 9.5%, g 2.5%.</t>
        </is>
      </c>
    </row>
    <row r="30">
      <c r="A30" t="inlineStr">
        <is>
          <t>Bull: NPI +5.7%/yr, fee income to 7.5m, G&amp;A flat, funding cost eases; AFFO 14.1 cpu by FY31, distribution lifted to 10.5 cpu. CoE 9.0%, g 3.0%; 16x cap binds.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VHP.NZ AFFO capitalization -- Bear (NZ$m unless stated)</t>
        </is>
      </c>
    </row>
    <row r="3">
      <c r="A3" t="inlineStr">
        <is>
          <t>Year</t>
        </is>
      </c>
      <c r="B3" s="1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A5" t="inlineStr">
        <is>
          <t>NPI growth YoY (driver)</t>
        </is>
      </c>
      <c r="C5" s="4" t="n">
        <v>0.017156</v>
      </c>
      <c r="D5" s="4" t="n">
        <v>0.015152</v>
      </c>
      <c r="E5" s="4" t="n">
        <v>0.014925</v>
      </c>
      <c r="F5" s="4" t="n">
        <v>0.014706</v>
      </c>
      <c r="G5" s="4" t="n">
        <v>0.014493</v>
      </c>
    </row>
    <row r="6">
      <c r="A6" t="inlineStr">
        <is>
          <t>Net property income</t>
        </is>
      </c>
      <c r="B6" s="5">
        <f>Assumptions!$B$10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</row>
    <row r="7">
      <c r="A7" t="inlineStr">
        <is>
          <t>Fee income + non-cash add-backs (driver)</t>
        </is>
      </c>
      <c r="B7" s="2" t="n">
        <v>5.3</v>
      </c>
      <c r="C7" s="2" t="n">
        <v>5</v>
      </c>
      <c r="D7" s="2" t="n">
        <v>5</v>
      </c>
      <c r="E7" s="2" t="n">
        <v>5</v>
      </c>
      <c r="F7" s="2" t="n">
        <v>5</v>
      </c>
      <c r="G7" s="2" t="n">
        <v>5</v>
      </c>
      <c r="I7" t="inlineStr">
        <is>
          <t>FY2026A components are memo values reconciling to note 12 (162.217+1.287 other+3.5 addbacks-20.355-52.1 net cash finance-5.118 net current tax-1.469 = 86.9).</t>
        </is>
      </c>
    </row>
    <row r="8">
      <c r="A8" t="inlineStr">
        <is>
          <t>G&amp;A incl SBC (driver, positive = cost)</t>
        </is>
      </c>
      <c r="B8" s="2" t="n">
        <v>20.355</v>
      </c>
      <c r="C8" s="2" t="n">
        <v>19</v>
      </c>
      <c r="D8" s="2" t="n">
        <v>19.6</v>
      </c>
      <c r="E8" s="2" t="n">
        <v>20.2</v>
      </c>
      <c r="F8" s="2" t="n">
        <v>20.8</v>
      </c>
      <c r="G8" s="2" t="n">
        <v>21.4</v>
      </c>
    </row>
    <row r="9">
      <c r="A9" t="inlineStr">
        <is>
          <t>Net finance cost, cash (driver)</t>
        </is>
      </c>
      <c r="B9" s="2" t="n">
        <v>52.1</v>
      </c>
      <c r="C9" s="3" t="n">
        <v>59</v>
      </c>
      <c r="D9" s="3" t="n">
        <v>62.5</v>
      </c>
      <c r="E9" s="3" t="n">
        <v>66</v>
      </c>
      <c r="F9" s="3" t="n">
        <v>69</v>
      </c>
      <c r="G9" s="3" t="n">
        <v>71.5</v>
      </c>
    </row>
    <row r="10">
      <c r="A10" t="inlineStr">
        <is>
          <t>Current tax (driver)</t>
        </is>
      </c>
      <c r="B10" s="2" t="n">
        <v>5.118</v>
      </c>
      <c r="C10" s="3" t="n">
        <v>3</v>
      </c>
      <c r="D10" s="3" t="n">
        <v>3.5</v>
      </c>
      <c r="E10" s="3" t="n">
        <v>4</v>
      </c>
      <c r="F10" s="3" t="n">
        <v>8</v>
      </c>
      <c r="G10" s="3" t="n">
        <v>14</v>
      </c>
    </row>
    <row r="11">
      <c r="A11" t="inlineStr">
        <is>
          <t>Maintenance capex (driver)</t>
        </is>
      </c>
      <c r="B11" s="2" t="n">
        <v>1.469</v>
      </c>
      <c r="C11" s="2" t="n">
        <v>1.5</v>
      </c>
      <c r="D11" s="2" t="n">
        <v>1.6</v>
      </c>
      <c r="E11" s="2" t="n">
        <v>1.7</v>
      </c>
      <c r="F11" s="2" t="n">
        <v>1.8</v>
      </c>
      <c r="G11" s="2" t="n">
        <v>1.9</v>
      </c>
    </row>
    <row r="12">
      <c r="A12" t="inlineStr">
        <is>
          <t>AFFO</t>
        </is>
      </c>
      <c r="B12" s="5">
        <f>Assumptions!$B$8</f>
        <v/>
      </c>
      <c r="C12">
        <f>C6+C7-C8-C9-C10-C11</f>
        <v/>
      </c>
      <c r="D12">
        <f>D6+D7-D8-D9-D10-D11</f>
        <v/>
      </c>
      <c r="E12">
        <f>E6+E7-E8-E9-E10-E11</f>
        <v/>
      </c>
      <c r="F12">
        <f>F6+F7-F8-F9-F10-F11</f>
        <v/>
      </c>
      <c r="G12">
        <f>G6+G7-G8-G9-G10-G11</f>
        <v/>
      </c>
    </row>
    <row r="13">
      <c r="A13" t="inlineStr">
        <is>
          <t>AFFO per unit (cpu)</t>
        </is>
      </c>
      <c r="B13">
        <f>B12/Assumptions!$B$5*100</f>
        <v/>
      </c>
      <c r="C13">
        <f>C12/Assumptions!$B$5*100</f>
        <v/>
      </c>
      <c r="D13">
        <f>D12/Assumptions!$B$5*100</f>
        <v/>
      </c>
      <c r="E13">
        <f>E12/Assumptions!$B$5*100</f>
        <v/>
      </c>
      <c r="F13">
        <f>F12/Assumptions!$B$5*100</f>
        <v/>
      </c>
      <c r="G13">
        <f>G12/Assumptions!$B$5*100</f>
        <v/>
      </c>
    </row>
    <row r="14">
      <c r="A14" t="inlineStr">
        <is>
          <t>Discount factor</t>
        </is>
      </c>
      <c r="C14">
        <f>1/(1+Assumptions!$B$18)^C4</f>
        <v/>
      </c>
      <c r="D14">
        <f>1/(1+Assumptions!$B$18)^D4</f>
        <v/>
      </c>
      <c r="E14">
        <f>1/(1+Assumptions!$B$18)^E4</f>
        <v/>
      </c>
      <c r="F14">
        <f>1/(1+Assumptions!$B$18)^F4</f>
        <v/>
      </c>
      <c r="G14">
        <f>1/(1+Assumptions!$B$18)^G4</f>
        <v/>
      </c>
    </row>
    <row r="15">
      <c r="A15" t="inlineStr">
        <is>
          <t>PV of AFFO</t>
        </is>
      </c>
      <c r="C15">
        <f>C12*C14</f>
        <v/>
      </c>
      <c r="D15">
        <f>D12*D14</f>
        <v/>
      </c>
      <c r="E15">
        <f>E12*E14</f>
        <v/>
      </c>
      <c r="F15">
        <f>F12*F14</f>
        <v/>
      </c>
      <c r="G15">
        <f>G12*G14</f>
        <v/>
      </c>
    </row>
    <row r="17">
      <c r="A17" t="inlineStr">
        <is>
          <t>Gross property income (engine revenue, grows with NPI)</t>
        </is>
      </c>
      <c r="B17" s="5">
        <f>Assumptions!$B$9</f>
        <v/>
      </c>
      <c r="C17">
        <f>B17*(1+C5)</f>
        <v/>
      </c>
      <c r="D17">
        <f>C17*(1+D5)</f>
        <v/>
      </c>
      <c r="E17">
        <f>D17*(1+E5)</f>
        <v/>
      </c>
      <c r="F17">
        <f>E17*(1+F5)</f>
        <v/>
      </c>
      <c r="G17">
        <f>F17*(1+G5)</f>
        <v/>
      </c>
    </row>
    <row r="18">
      <c r="A18" t="inlineStr">
        <is>
          <t>AFFO margin on gross property income</t>
        </is>
      </c>
      <c r="B18">
        <f>B12/B17</f>
        <v/>
      </c>
      <c r="C18" s="6">
        <f>C12/C17</f>
        <v/>
      </c>
      <c r="D18" s="6">
        <f>D12/D17</f>
        <v/>
      </c>
      <c r="E18" s="6">
        <f>E12/E17</f>
        <v/>
      </c>
      <c r="F18" s="6">
        <f>F12/F17</f>
        <v/>
      </c>
      <c r="G18" s="6">
        <f>G12/G17</f>
        <v/>
      </c>
    </row>
    <row r="20">
      <c r="A20" t="inlineStr">
        <is>
          <t>SBC memo (street add-back)</t>
        </is>
      </c>
      <c r="C20">
        <f>Assumptions!$B$13*1.03^(C4-1)</f>
        <v/>
      </c>
      <c r="D20">
        <f>Assumptions!$B$13*1.03^(D4-1)</f>
        <v/>
      </c>
      <c r="E20">
        <f>Assumptions!$B$13*1.03^(E4-1)</f>
        <v/>
      </c>
      <c r="F20">
        <f>Assumptions!$B$13*1.03^(F4-1)</f>
        <v/>
      </c>
      <c r="G20">
        <f>Assumptions!$B$13*1.03^(G4-1)</f>
        <v/>
      </c>
    </row>
    <row r="22">
      <c r="A22" t="inlineStr">
        <is>
          <t>Sum of PV of AFFO (FY27-FY31)</t>
        </is>
      </c>
      <c r="B22">
        <f>SUM(C15:G15)</f>
        <v/>
      </c>
    </row>
    <row r="23">
      <c r="A23" t="inlineStr">
        <is>
          <t>Terminal growth</t>
        </is>
      </c>
      <c r="B23" s="5">
        <f>Assumptions!$B$19</f>
        <v/>
      </c>
    </row>
    <row r="24">
      <c r="A24" t="inlineStr">
        <is>
          <t>Terminal-year AFFO x (1+g)</t>
        </is>
      </c>
      <c r="B24">
        <f>G12*(1+B23)</f>
        <v/>
      </c>
    </row>
    <row r="25">
      <c r="A25" t="inlineStr">
        <is>
          <t>Gordon terminal value</t>
        </is>
      </c>
      <c r="B25">
        <f>B24/(Assumptions!$B$18-B23)</f>
        <v/>
      </c>
    </row>
    <row r="26">
      <c r="A26" t="inlineStr">
        <is>
          <t>Capped terminal value (cap x AFFO_FY31)</t>
        </is>
      </c>
      <c r="B26">
        <f>Assumptions!$B$12*G12</f>
        <v/>
      </c>
    </row>
    <row r="27">
      <c r="A27" t="inlineStr">
        <is>
          <t>Terminal value used = MAX(0,MIN(Gordon,cap))</t>
        </is>
      </c>
      <c r="B27">
        <f>MAX(0,MIN(B25,B26))</f>
        <v/>
      </c>
    </row>
    <row r="28">
      <c r="A28" t="inlineStr">
        <is>
          <t>Implied exit multiple (x AFFO_FY31)</t>
        </is>
      </c>
      <c r="B28">
        <f>B27/G12</f>
        <v/>
      </c>
    </row>
    <row r="29">
      <c r="A29" t="inlineStr">
        <is>
          <t>Implied exit AFFO yield</t>
        </is>
      </c>
      <c r="B29" s="6">
        <f>1/B28</f>
        <v/>
      </c>
    </row>
    <row r="30">
      <c r="A30" t="inlineStr">
        <is>
          <t>PV of terminal value</t>
        </is>
      </c>
      <c r="B30">
        <f>B27*G14</f>
        <v/>
      </c>
    </row>
    <row r="31">
      <c r="A31" t="inlineStr">
        <is>
          <t>Equity value (no net-debt deduction: AFFO is post-interest)</t>
        </is>
      </c>
      <c r="B31">
        <f>B22+B30</f>
        <v/>
      </c>
    </row>
    <row r="32">
      <c r="A32" t="inlineStr">
        <is>
          <t>Units on issue (m)</t>
        </is>
      </c>
      <c r="B32" s="5">
        <f>Assumptions!$B$5</f>
        <v/>
      </c>
    </row>
    <row r="33">
      <c r="A33" t="inlineStr">
        <is>
          <t>VALUE PER UNIT (NZD)</t>
        </is>
      </c>
      <c r="B33" s="7">
        <f>B31/B32</f>
        <v/>
      </c>
    </row>
    <row r="34">
      <c r="A34" t="inlineStr">
        <is>
          <t>Upside vs price</t>
        </is>
      </c>
      <c r="B34" s="8">
        <f>B33/Assumptions!$B$3-1</f>
        <v/>
      </c>
    </row>
    <row r="35">
      <c r="A35" t="inlineStr">
        <is>
          <t>Terminal value % of equity value</t>
        </is>
      </c>
      <c r="B35" s="8">
        <f>B30/B31</f>
        <v/>
      </c>
    </row>
    <row r="38">
      <c r="A38" t="inlineStr">
        <is>
          <t>Street memo: PV of explicit-period SBC</t>
        </is>
      </c>
      <c r="B38">
        <f>SUMPRODUCT(C20:G20/(1+Assumptions!$B$18)^C4:G4)</f>
        <v/>
      </c>
    </row>
    <row r="39">
      <c r="A39" t="inlineStr">
        <is>
          <t>Street memo: PV of terminal SBC</t>
        </is>
      </c>
      <c r="B39">
        <f>MIN(G20*(1+B23)/(Assumptions!$B$18-B23),Assumptions!$B$12*G20)*G14</f>
        <v/>
      </c>
    </row>
    <row r="40">
      <c r="A40" t="inlineStr">
        <is>
          <t>Street value per unit (SBC added back)</t>
        </is>
      </c>
      <c r="B40">
        <f>(B31+B38+B39)/B32</f>
        <v/>
      </c>
    </row>
    <row r="42">
      <c r="A42" t="inlineStr">
        <is>
          <t>Distribution per unit (cpu, driver)</t>
        </is>
      </c>
      <c r="C42" s="2" t="n">
        <v>9.75</v>
      </c>
      <c r="D42" s="2" t="n">
        <v>9.75</v>
      </c>
      <c r="E42" s="2" t="n">
        <v>9</v>
      </c>
      <c r="F42" s="2" t="n">
        <v>8.5</v>
      </c>
      <c r="G42" s="2" t="n">
        <v>8</v>
      </c>
    </row>
    <row r="43">
      <c r="A43" t="inlineStr">
        <is>
          <t>NTA cross-check: PV of DPU (NZD)</t>
        </is>
      </c>
      <c r="B43">
        <f>SUMPRODUCT(C42:G42/100*C14:G14)</f>
        <v/>
      </c>
    </row>
    <row r="44">
      <c r="A44" t="inlineStr">
        <is>
          <t>NTA per unit FY2031</t>
        </is>
      </c>
      <c r="B44">
        <f>Assumptions!$B$6*(1+Assumptions!$B$22)^5</f>
        <v/>
      </c>
    </row>
    <row r="45">
      <c r="A45" t="inlineStr">
        <is>
          <t>Exit P/NTA</t>
        </is>
      </c>
      <c r="B45">
        <f>Assumptions!$B$21</f>
        <v/>
      </c>
    </row>
    <row r="46">
      <c r="A46" t="inlineStr">
        <is>
          <t>NTA cross-check value per unit (memo, not blended)</t>
        </is>
      </c>
      <c r="B46">
        <f>B43+B44*B45*G14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VHP.NZ AFFO capitalization -- Base (NZ$m unless stated)</t>
        </is>
      </c>
    </row>
    <row r="3">
      <c r="A3" t="inlineStr">
        <is>
          <t>Year</t>
        </is>
      </c>
      <c r="B3" s="1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A5" t="inlineStr">
        <is>
          <t>NPI growth YoY (driver)</t>
        </is>
      </c>
      <c r="C5" s="4" t="n">
        <v>0.047979</v>
      </c>
      <c r="D5" s="4" t="n">
        <v>0.044118</v>
      </c>
      <c r="E5" s="4" t="n">
        <v>0.042254</v>
      </c>
      <c r="F5" s="4" t="n">
        <v>0.040541</v>
      </c>
      <c r="G5" s="4" t="n">
        <v>0.038961</v>
      </c>
    </row>
    <row r="6">
      <c r="A6" t="inlineStr">
        <is>
          <t>Net property income</t>
        </is>
      </c>
      <c r="B6" s="5">
        <f>Assumptions!$B$10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</row>
    <row r="7">
      <c r="A7" t="inlineStr">
        <is>
          <t>Fee income + non-cash add-backs (driver)</t>
        </is>
      </c>
      <c r="B7" s="2" t="n">
        <v>5.3</v>
      </c>
      <c r="C7" s="2" t="n">
        <v>5.3</v>
      </c>
      <c r="D7" s="2" t="n">
        <v>5.4</v>
      </c>
      <c r="E7" s="2" t="n">
        <v>5.5</v>
      </c>
      <c r="F7" s="2" t="n">
        <v>5.6</v>
      </c>
      <c r="G7" s="2" t="n">
        <v>5.7</v>
      </c>
      <c r="I7" t="inlineStr">
        <is>
          <t>FY2026A components are memo values reconciling to note 12 (162.217+1.287 other+3.5 addbacks-20.355-52.1 net cash finance-5.118 net current tax-1.469 = 86.9).</t>
        </is>
      </c>
    </row>
    <row r="8">
      <c r="A8" t="inlineStr">
        <is>
          <t>G&amp;A incl SBC (driver, positive = cost)</t>
        </is>
      </c>
      <c r="B8" s="2" t="n">
        <v>20.355</v>
      </c>
      <c r="C8" s="2" t="n">
        <v>18.8</v>
      </c>
      <c r="D8" s="2" t="n">
        <v>19.4</v>
      </c>
      <c r="E8" s="2" t="n">
        <v>20</v>
      </c>
      <c r="F8" s="2" t="n">
        <v>20.6</v>
      </c>
      <c r="G8" s="2" t="n">
        <v>21.2</v>
      </c>
    </row>
    <row r="9">
      <c r="A9" t="inlineStr">
        <is>
          <t>Net finance cost, cash (driver)</t>
        </is>
      </c>
      <c r="B9" s="2" t="n">
        <v>52.1</v>
      </c>
      <c r="C9" s="3" t="n">
        <v>58</v>
      </c>
      <c r="D9" s="3" t="n">
        <v>61.5</v>
      </c>
      <c r="E9" s="3" t="n">
        <v>64.5</v>
      </c>
      <c r="F9" s="3" t="n">
        <v>66.5</v>
      </c>
      <c r="G9" s="3" t="n">
        <v>68.5</v>
      </c>
    </row>
    <row r="10">
      <c r="A10" t="inlineStr">
        <is>
          <t>Current tax (driver)</t>
        </is>
      </c>
      <c r="B10" s="2" t="n">
        <v>5.118</v>
      </c>
      <c r="C10" s="3" t="n">
        <v>3</v>
      </c>
      <c r="D10" s="3" t="n">
        <v>3.5</v>
      </c>
      <c r="E10" s="3" t="n">
        <v>4</v>
      </c>
      <c r="F10" s="3" t="n">
        <v>8</v>
      </c>
      <c r="G10" s="3" t="n">
        <v>17</v>
      </c>
    </row>
    <row r="11">
      <c r="A11" t="inlineStr">
        <is>
          <t>Maintenance capex (driver)</t>
        </is>
      </c>
      <c r="B11" s="2" t="n">
        <v>1.469</v>
      </c>
      <c r="C11" s="2" t="n">
        <v>1.5</v>
      </c>
      <c r="D11" s="2" t="n">
        <v>1.6</v>
      </c>
      <c r="E11" s="2" t="n">
        <v>1.7</v>
      </c>
      <c r="F11" s="2" t="n">
        <v>1.8</v>
      </c>
      <c r="G11" s="2" t="n">
        <v>1.9</v>
      </c>
    </row>
    <row r="12">
      <c r="A12" t="inlineStr">
        <is>
          <t>AFFO</t>
        </is>
      </c>
      <c r="B12" s="5">
        <f>Assumptions!$B$8</f>
        <v/>
      </c>
      <c r="C12">
        <f>C6+C7-C8-C9-C10-C11</f>
        <v/>
      </c>
      <c r="D12">
        <f>D6+D7-D8-D9-D10-D11</f>
        <v/>
      </c>
      <c r="E12">
        <f>E6+E7-E8-E9-E10-E11</f>
        <v/>
      </c>
      <c r="F12">
        <f>F6+F7-F8-F9-F10-F11</f>
        <v/>
      </c>
      <c r="G12">
        <f>G6+G7-G8-G9-G10-G11</f>
        <v/>
      </c>
    </row>
    <row r="13">
      <c r="A13" t="inlineStr">
        <is>
          <t>AFFO per unit (cpu)</t>
        </is>
      </c>
      <c r="B13">
        <f>B12/Assumptions!$B$5*100</f>
        <v/>
      </c>
      <c r="C13">
        <f>C12/Assumptions!$B$5*100</f>
        <v/>
      </c>
      <c r="D13">
        <f>D12/Assumptions!$B$5*100</f>
        <v/>
      </c>
      <c r="E13">
        <f>E12/Assumptions!$B$5*100</f>
        <v/>
      </c>
      <c r="F13">
        <f>F12/Assumptions!$B$5*100</f>
        <v/>
      </c>
      <c r="G13">
        <f>G12/Assumptions!$B$5*100</f>
        <v/>
      </c>
    </row>
    <row r="14">
      <c r="A14" t="inlineStr">
        <is>
          <t>Discount factor</t>
        </is>
      </c>
      <c r="C14">
        <f>1/(1+Assumptions!$C$18)^C4</f>
        <v/>
      </c>
      <c r="D14">
        <f>1/(1+Assumptions!$C$18)^D4</f>
        <v/>
      </c>
      <c r="E14">
        <f>1/(1+Assumptions!$C$18)^E4</f>
        <v/>
      </c>
      <c r="F14">
        <f>1/(1+Assumptions!$C$18)^F4</f>
        <v/>
      </c>
      <c r="G14">
        <f>1/(1+Assumptions!$C$18)^G4</f>
        <v/>
      </c>
    </row>
    <row r="15">
      <c r="A15" t="inlineStr">
        <is>
          <t>PV of AFFO</t>
        </is>
      </c>
      <c r="C15">
        <f>C12*C14</f>
        <v/>
      </c>
      <c r="D15">
        <f>D12*D14</f>
        <v/>
      </c>
      <c r="E15">
        <f>E12*E14</f>
        <v/>
      </c>
      <c r="F15">
        <f>F12*F14</f>
        <v/>
      </c>
      <c r="G15">
        <f>G12*G14</f>
        <v/>
      </c>
    </row>
    <row r="17">
      <c r="A17" t="inlineStr">
        <is>
          <t>Gross property income (engine revenue, grows with NPI)</t>
        </is>
      </c>
      <c r="B17" s="5">
        <f>Assumptions!$B$9</f>
        <v/>
      </c>
      <c r="C17">
        <f>B17*(1+C5)</f>
        <v/>
      </c>
      <c r="D17">
        <f>C17*(1+D5)</f>
        <v/>
      </c>
      <c r="E17">
        <f>D17*(1+E5)</f>
        <v/>
      </c>
      <c r="F17">
        <f>E17*(1+F5)</f>
        <v/>
      </c>
      <c r="G17">
        <f>F17*(1+G5)</f>
        <v/>
      </c>
    </row>
    <row r="18">
      <c r="A18" t="inlineStr">
        <is>
          <t>AFFO margin on gross property income</t>
        </is>
      </c>
      <c r="B18">
        <f>B12/B17</f>
        <v/>
      </c>
      <c r="C18" s="6">
        <f>C12/C17</f>
        <v/>
      </c>
      <c r="D18" s="6">
        <f>D12/D17</f>
        <v/>
      </c>
      <c r="E18" s="6">
        <f>E12/E17</f>
        <v/>
      </c>
      <c r="F18" s="6">
        <f>F12/F17</f>
        <v/>
      </c>
      <c r="G18" s="6">
        <f>G12/G17</f>
        <v/>
      </c>
    </row>
    <row r="20">
      <c r="A20" t="inlineStr">
        <is>
          <t>SBC memo (street add-back)</t>
        </is>
      </c>
      <c r="C20">
        <f>Assumptions!$B$13*1.03^(C4-1)</f>
        <v/>
      </c>
      <c r="D20">
        <f>Assumptions!$B$13*1.03^(D4-1)</f>
        <v/>
      </c>
      <c r="E20">
        <f>Assumptions!$B$13*1.03^(E4-1)</f>
        <v/>
      </c>
      <c r="F20">
        <f>Assumptions!$B$13*1.03^(F4-1)</f>
        <v/>
      </c>
      <c r="G20">
        <f>Assumptions!$B$13*1.03^(G4-1)</f>
        <v/>
      </c>
    </row>
    <row r="22">
      <c r="A22" t="inlineStr">
        <is>
          <t>Sum of PV of AFFO (FY27-FY31)</t>
        </is>
      </c>
      <c r="B22">
        <f>SUM(C15:G15)</f>
        <v/>
      </c>
    </row>
    <row r="23">
      <c r="A23" t="inlineStr">
        <is>
          <t>Terminal growth</t>
        </is>
      </c>
      <c r="B23" s="5">
        <f>Assumptions!$C$19</f>
        <v/>
      </c>
    </row>
    <row r="24">
      <c r="A24" t="inlineStr">
        <is>
          <t>Terminal-year AFFO x (1+g)</t>
        </is>
      </c>
      <c r="B24">
        <f>G12*(1+B23)</f>
        <v/>
      </c>
    </row>
    <row r="25">
      <c r="A25" t="inlineStr">
        <is>
          <t>Gordon terminal value</t>
        </is>
      </c>
      <c r="B25">
        <f>B24/(Assumptions!$C$18-B23)</f>
        <v/>
      </c>
    </row>
    <row r="26">
      <c r="A26" t="inlineStr">
        <is>
          <t>Capped terminal value (cap x AFFO_FY31)</t>
        </is>
      </c>
      <c r="B26">
        <f>Assumptions!$B$12*G12</f>
        <v/>
      </c>
    </row>
    <row r="27">
      <c r="A27" t="inlineStr">
        <is>
          <t>Terminal value used = MAX(0,MIN(Gordon,cap))</t>
        </is>
      </c>
      <c r="B27">
        <f>MAX(0,MIN(B25,B26))</f>
        <v/>
      </c>
    </row>
    <row r="28">
      <c r="A28" t="inlineStr">
        <is>
          <t>Implied exit multiple (x AFFO_FY31)</t>
        </is>
      </c>
      <c r="B28">
        <f>B27/G12</f>
        <v/>
      </c>
    </row>
    <row r="29">
      <c r="A29" t="inlineStr">
        <is>
          <t>Implied exit AFFO yield</t>
        </is>
      </c>
      <c r="B29" s="6">
        <f>1/B28</f>
        <v/>
      </c>
    </row>
    <row r="30">
      <c r="A30" t="inlineStr">
        <is>
          <t>PV of terminal value</t>
        </is>
      </c>
      <c r="B30">
        <f>B27*G14</f>
        <v/>
      </c>
    </row>
    <row r="31">
      <c r="A31" t="inlineStr">
        <is>
          <t>Equity value (no net-debt deduction: AFFO is post-interest)</t>
        </is>
      </c>
      <c r="B31">
        <f>B22+B30</f>
        <v/>
      </c>
    </row>
    <row r="32">
      <c r="A32" t="inlineStr">
        <is>
          <t>Units on issue (m)</t>
        </is>
      </c>
      <c r="B32" s="5">
        <f>Assumptions!$B$5</f>
        <v/>
      </c>
    </row>
    <row r="33">
      <c r="A33" t="inlineStr">
        <is>
          <t>VALUE PER UNIT (NZD)</t>
        </is>
      </c>
      <c r="B33" s="7">
        <f>B31/B32</f>
        <v/>
      </c>
    </row>
    <row r="34">
      <c r="A34" t="inlineStr">
        <is>
          <t>Upside vs price</t>
        </is>
      </c>
      <c r="B34" s="8">
        <f>B33/Assumptions!$B$3-1</f>
        <v/>
      </c>
    </row>
    <row r="35">
      <c r="A35" t="inlineStr">
        <is>
          <t>Terminal value % of equity value</t>
        </is>
      </c>
      <c r="B35" s="8">
        <f>B30/B31</f>
        <v/>
      </c>
    </row>
    <row r="38">
      <c r="A38" t="inlineStr">
        <is>
          <t>Street memo: PV of explicit-period SBC</t>
        </is>
      </c>
      <c r="B38">
        <f>SUMPRODUCT(C20:G20/(1+Assumptions!$C$18)^C4:G4)</f>
        <v/>
      </c>
    </row>
    <row r="39">
      <c r="A39" t="inlineStr">
        <is>
          <t>Street memo: PV of terminal SBC</t>
        </is>
      </c>
      <c r="B39">
        <f>MIN(G20*(1+B23)/(Assumptions!$C$18-B23),Assumptions!$B$12*G20)*G14</f>
        <v/>
      </c>
    </row>
    <row r="40">
      <c r="A40" t="inlineStr">
        <is>
          <t>Street value per unit (SBC added back)</t>
        </is>
      </c>
      <c r="B40">
        <f>(B31+B38+B39)/B32</f>
        <v/>
      </c>
    </row>
    <row r="42">
      <c r="A42" t="inlineStr">
        <is>
          <t>Distribution per unit (cpu, driver)</t>
        </is>
      </c>
      <c r="C42" s="2" t="n">
        <v>9.75</v>
      </c>
      <c r="D42" s="2" t="n">
        <v>9.75</v>
      </c>
      <c r="E42" s="2" t="n">
        <v>9.75</v>
      </c>
      <c r="F42" s="2" t="n">
        <v>9.75</v>
      </c>
      <c r="G42" s="2" t="n">
        <v>9.75</v>
      </c>
    </row>
    <row r="43">
      <c r="A43" t="inlineStr">
        <is>
          <t>NTA cross-check: PV of DPU (NZD)</t>
        </is>
      </c>
      <c r="B43">
        <f>SUMPRODUCT(C42:G42/100*C14:G14)</f>
        <v/>
      </c>
    </row>
    <row r="44">
      <c r="A44" t="inlineStr">
        <is>
          <t>NTA per unit FY2031</t>
        </is>
      </c>
      <c r="B44">
        <f>Assumptions!$B$6*(1+Assumptions!$C$22)^5</f>
        <v/>
      </c>
    </row>
    <row r="45">
      <c r="A45" t="inlineStr">
        <is>
          <t>Exit P/NTA</t>
        </is>
      </c>
      <c r="B45">
        <f>Assumptions!$C$21</f>
        <v/>
      </c>
    </row>
    <row r="46">
      <c r="A46" t="inlineStr">
        <is>
          <t>NTA cross-check value per unit (memo, not blended)</t>
        </is>
      </c>
      <c r="B46">
        <f>B43+B44*B45*G14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VHP.NZ AFFO capitalization -- Bull (NZ$m unless stated)</t>
        </is>
      </c>
    </row>
    <row r="3">
      <c r="A3" t="inlineStr">
        <is>
          <t>Year</t>
        </is>
      </c>
      <c r="B3" s="1" t="inlineStr">
        <is>
          <t>FY2026A</t>
        </is>
      </c>
      <c r="C3" s="1" t="inlineStr">
        <is>
          <t>FY2027E</t>
        </is>
      </c>
      <c r="D3" s="1" t="inlineStr">
        <is>
          <t>FY2028E</t>
        </is>
      </c>
      <c r="E3" s="1" t="inlineStr">
        <is>
          <t>FY2029E</t>
        </is>
      </c>
      <c r="F3" s="1" t="inlineStr">
        <is>
          <t>FY2030E</t>
        </is>
      </c>
      <c r="G3" s="1" t="inlineStr">
        <is>
          <t>FY2031E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A5" t="inlineStr">
        <is>
          <t>NPI growth YoY (driver)</t>
        </is>
      </c>
      <c r="C5" s="4" t="n">
        <v>0.057226</v>
      </c>
      <c r="D5" s="4" t="n">
        <v>0.050146</v>
      </c>
      <c r="E5" s="4" t="n">
        <v>0.049972</v>
      </c>
      <c r="F5" s="4" t="n">
        <v>0.049709</v>
      </c>
      <c r="G5" s="4" t="n">
        <v>0.050378</v>
      </c>
    </row>
    <row r="6">
      <c r="A6" t="inlineStr">
        <is>
          <t>Net property income</t>
        </is>
      </c>
      <c r="B6" s="5">
        <f>Assumptions!$B$10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</row>
    <row r="7">
      <c r="A7" t="inlineStr">
        <is>
          <t>Fee income + non-cash add-backs (driver)</t>
        </is>
      </c>
      <c r="B7" s="2" t="n">
        <v>5.3</v>
      </c>
      <c r="C7" s="2" t="n">
        <v>5.5</v>
      </c>
      <c r="D7" s="2" t="n">
        <v>6</v>
      </c>
      <c r="E7" s="2" t="n">
        <v>6.5</v>
      </c>
      <c r="F7" s="2" t="n">
        <v>7</v>
      </c>
      <c r="G7" s="2" t="n">
        <v>7.5</v>
      </c>
      <c r="I7" t="inlineStr">
        <is>
          <t>FY2026A components are memo values reconciling to note 12 (162.217+1.287 other+3.5 addbacks-20.355-52.1 net cash finance-5.118 net current tax-1.469 = 86.9).</t>
        </is>
      </c>
    </row>
    <row r="8">
      <c r="A8" t="inlineStr">
        <is>
          <t>G&amp;A incl SBC (driver, positive = cost)</t>
        </is>
      </c>
      <c r="B8" s="2" t="n">
        <v>20.355</v>
      </c>
      <c r="C8" s="2" t="n">
        <v>18.5</v>
      </c>
      <c r="D8" s="2" t="n">
        <v>18.9</v>
      </c>
      <c r="E8" s="2" t="n">
        <v>19.3</v>
      </c>
      <c r="F8" s="2" t="n">
        <v>19.7</v>
      </c>
      <c r="G8" s="2" t="n">
        <v>20.1</v>
      </c>
    </row>
    <row r="9">
      <c r="A9" t="inlineStr">
        <is>
          <t>Net finance cost, cash (driver)</t>
        </is>
      </c>
      <c r="B9" s="2" t="n">
        <v>52.1</v>
      </c>
      <c r="C9" s="3" t="n">
        <v>57</v>
      </c>
      <c r="D9" s="3" t="n">
        <v>59</v>
      </c>
      <c r="E9" s="3" t="n">
        <v>61</v>
      </c>
      <c r="F9" s="3" t="n">
        <v>62.5</v>
      </c>
      <c r="G9" s="3" t="n">
        <v>64</v>
      </c>
    </row>
    <row r="10">
      <c r="A10" t="inlineStr">
        <is>
          <t>Current tax (driver)</t>
        </is>
      </c>
      <c r="B10" s="2" t="n">
        <v>5.118</v>
      </c>
      <c r="C10" s="3" t="n">
        <v>3</v>
      </c>
      <c r="D10" s="3" t="n">
        <v>3.5</v>
      </c>
      <c r="E10" s="3" t="n">
        <v>4</v>
      </c>
      <c r="F10" s="3" t="n">
        <v>6</v>
      </c>
      <c r="G10" s="3" t="n">
        <v>16</v>
      </c>
    </row>
    <row r="11">
      <c r="A11" t="inlineStr">
        <is>
          <t>Maintenance capex (driver)</t>
        </is>
      </c>
      <c r="B11" s="2" t="n">
        <v>1.469</v>
      </c>
      <c r="C11" s="2" t="n">
        <v>1.5</v>
      </c>
      <c r="D11" s="2" t="n">
        <v>1.6</v>
      </c>
      <c r="E11" s="2" t="n">
        <v>1.7</v>
      </c>
      <c r="F11" s="2" t="n">
        <v>1.8</v>
      </c>
      <c r="G11" s="2" t="n">
        <v>1.9</v>
      </c>
    </row>
    <row r="12">
      <c r="A12" t="inlineStr">
        <is>
          <t>AFFO</t>
        </is>
      </c>
      <c r="B12" s="5">
        <f>Assumptions!$B$8</f>
        <v/>
      </c>
      <c r="C12">
        <f>C6+C7-C8-C9-C10-C11</f>
        <v/>
      </c>
      <c r="D12">
        <f>D6+D7-D8-D9-D10-D11</f>
        <v/>
      </c>
      <c r="E12">
        <f>E6+E7-E8-E9-E10-E11</f>
        <v/>
      </c>
      <c r="F12">
        <f>F6+F7-F8-F9-F10-F11</f>
        <v/>
      </c>
      <c r="G12">
        <f>G6+G7-G8-G9-G10-G11</f>
        <v/>
      </c>
    </row>
    <row r="13">
      <c r="A13" t="inlineStr">
        <is>
          <t>AFFO per unit (cpu)</t>
        </is>
      </c>
      <c r="B13">
        <f>B12/Assumptions!$B$5*100</f>
        <v/>
      </c>
      <c r="C13">
        <f>C12/Assumptions!$B$5*100</f>
        <v/>
      </c>
      <c r="D13">
        <f>D12/Assumptions!$B$5*100</f>
        <v/>
      </c>
      <c r="E13">
        <f>E12/Assumptions!$B$5*100</f>
        <v/>
      </c>
      <c r="F13">
        <f>F12/Assumptions!$B$5*100</f>
        <v/>
      </c>
      <c r="G13">
        <f>G12/Assumptions!$B$5*100</f>
        <v/>
      </c>
    </row>
    <row r="14">
      <c r="A14" t="inlineStr">
        <is>
          <t>Discount factor</t>
        </is>
      </c>
      <c r="C14">
        <f>1/(1+Assumptions!$D$18)^C4</f>
        <v/>
      </c>
      <c r="D14">
        <f>1/(1+Assumptions!$D$18)^D4</f>
        <v/>
      </c>
      <c r="E14">
        <f>1/(1+Assumptions!$D$18)^E4</f>
        <v/>
      </c>
      <c r="F14">
        <f>1/(1+Assumptions!$D$18)^F4</f>
        <v/>
      </c>
      <c r="G14">
        <f>1/(1+Assumptions!$D$18)^G4</f>
        <v/>
      </c>
    </row>
    <row r="15">
      <c r="A15" t="inlineStr">
        <is>
          <t>PV of AFFO</t>
        </is>
      </c>
      <c r="C15">
        <f>C12*C14</f>
        <v/>
      </c>
      <c r="D15">
        <f>D12*D14</f>
        <v/>
      </c>
      <c r="E15">
        <f>E12*E14</f>
        <v/>
      </c>
      <c r="F15">
        <f>F12*F14</f>
        <v/>
      </c>
      <c r="G15">
        <f>G12*G14</f>
        <v/>
      </c>
    </row>
    <row r="17">
      <c r="A17" t="inlineStr">
        <is>
          <t>Gross property income (engine revenue, grows with NPI)</t>
        </is>
      </c>
      <c r="B17" s="5">
        <f>Assumptions!$B$9</f>
        <v/>
      </c>
      <c r="C17">
        <f>B17*(1+C5)</f>
        <v/>
      </c>
      <c r="D17">
        <f>C17*(1+D5)</f>
        <v/>
      </c>
      <c r="E17">
        <f>D17*(1+E5)</f>
        <v/>
      </c>
      <c r="F17">
        <f>E17*(1+F5)</f>
        <v/>
      </c>
      <c r="G17">
        <f>F17*(1+G5)</f>
        <v/>
      </c>
    </row>
    <row r="18">
      <c r="A18" t="inlineStr">
        <is>
          <t>AFFO margin on gross property income</t>
        </is>
      </c>
      <c r="B18">
        <f>B12/B17</f>
        <v/>
      </c>
      <c r="C18" s="6">
        <f>C12/C17</f>
        <v/>
      </c>
      <c r="D18" s="6">
        <f>D12/D17</f>
        <v/>
      </c>
      <c r="E18" s="6">
        <f>E12/E17</f>
        <v/>
      </c>
      <c r="F18" s="6">
        <f>F12/F17</f>
        <v/>
      </c>
      <c r="G18" s="6">
        <f>G12/G17</f>
        <v/>
      </c>
    </row>
    <row r="20">
      <c r="A20" t="inlineStr">
        <is>
          <t>SBC memo (street add-back)</t>
        </is>
      </c>
      <c r="C20">
        <f>Assumptions!$B$13*1.03^(C4-1)</f>
        <v/>
      </c>
      <c r="D20">
        <f>Assumptions!$B$13*1.03^(D4-1)</f>
        <v/>
      </c>
      <c r="E20">
        <f>Assumptions!$B$13*1.03^(E4-1)</f>
        <v/>
      </c>
      <c r="F20">
        <f>Assumptions!$B$13*1.03^(F4-1)</f>
        <v/>
      </c>
      <c r="G20">
        <f>Assumptions!$B$13*1.03^(G4-1)</f>
        <v/>
      </c>
    </row>
    <row r="22">
      <c r="A22" t="inlineStr">
        <is>
          <t>Sum of PV of AFFO (FY27-FY31)</t>
        </is>
      </c>
      <c r="B22">
        <f>SUM(C15:G15)</f>
        <v/>
      </c>
    </row>
    <row r="23">
      <c r="A23" t="inlineStr">
        <is>
          <t>Terminal growth</t>
        </is>
      </c>
      <c r="B23" s="5">
        <f>Assumptions!$D$19</f>
        <v/>
      </c>
    </row>
    <row r="24">
      <c r="A24" t="inlineStr">
        <is>
          <t>Terminal-year AFFO x (1+g)</t>
        </is>
      </c>
      <c r="B24">
        <f>G12*(1+B23)</f>
        <v/>
      </c>
    </row>
    <row r="25">
      <c r="A25" t="inlineStr">
        <is>
          <t>Gordon terminal value</t>
        </is>
      </c>
      <c r="B25">
        <f>B24/(Assumptions!$D$18-B23)</f>
        <v/>
      </c>
    </row>
    <row r="26">
      <c r="A26" t="inlineStr">
        <is>
          <t>Capped terminal value (cap x AFFO_FY31)</t>
        </is>
      </c>
      <c r="B26">
        <f>Assumptions!$B$12*G12</f>
        <v/>
      </c>
    </row>
    <row r="27">
      <c r="A27" t="inlineStr">
        <is>
          <t>Terminal value used = MAX(0,MIN(Gordon,cap))</t>
        </is>
      </c>
      <c r="B27">
        <f>MAX(0,MIN(B25,B26))</f>
        <v/>
      </c>
    </row>
    <row r="28">
      <c r="A28" t="inlineStr">
        <is>
          <t>Implied exit multiple (x AFFO_FY31)</t>
        </is>
      </c>
      <c r="B28">
        <f>B27/G12</f>
        <v/>
      </c>
    </row>
    <row r="29">
      <c r="A29" t="inlineStr">
        <is>
          <t>Implied exit AFFO yield</t>
        </is>
      </c>
      <c r="B29" s="6">
        <f>1/B28</f>
        <v/>
      </c>
    </row>
    <row r="30">
      <c r="A30" t="inlineStr">
        <is>
          <t>PV of terminal value</t>
        </is>
      </c>
      <c r="B30">
        <f>B27*G14</f>
        <v/>
      </c>
    </row>
    <row r="31">
      <c r="A31" t="inlineStr">
        <is>
          <t>Equity value (no net-debt deduction: AFFO is post-interest)</t>
        </is>
      </c>
      <c r="B31">
        <f>B22+B30</f>
        <v/>
      </c>
    </row>
    <row r="32">
      <c r="A32" t="inlineStr">
        <is>
          <t>Units on issue (m)</t>
        </is>
      </c>
      <c r="B32" s="5">
        <f>Assumptions!$B$5</f>
        <v/>
      </c>
    </row>
    <row r="33">
      <c r="A33" t="inlineStr">
        <is>
          <t>VALUE PER UNIT (NZD)</t>
        </is>
      </c>
      <c r="B33" s="7">
        <f>B31/B32</f>
        <v/>
      </c>
    </row>
    <row r="34">
      <c r="A34" t="inlineStr">
        <is>
          <t>Upside vs price</t>
        </is>
      </c>
      <c r="B34" s="8">
        <f>B33/Assumptions!$B$3-1</f>
        <v/>
      </c>
    </row>
    <row r="35">
      <c r="A35" t="inlineStr">
        <is>
          <t>Terminal value % of equity value</t>
        </is>
      </c>
      <c r="B35" s="8">
        <f>B30/B31</f>
        <v/>
      </c>
    </row>
    <row r="38">
      <c r="A38" t="inlineStr">
        <is>
          <t>Street memo: PV of explicit-period SBC</t>
        </is>
      </c>
      <c r="B38">
        <f>SUMPRODUCT(C20:G20/(1+Assumptions!$D$18)^C4:G4)</f>
        <v/>
      </c>
    </row>
    <row r="39">
      <c r="A39" t="inlineStr">
        <is>
          <t>Street memo: PV of terminal SBC</t>
        </is>
      </c>
      <c r="B39">
        <f>MIN(G20*(1+B23)/(Assumptions!$D$18-B23),Assumptions!$B$12*G20)*G14</f>
        <v/>
      </c>
    </row>
    <row r="40">
      <c r="A40" t="inlineStr">
        <is>
          <t>Street value per unit (SBC added back)</t>
        </is>
      </c>
      <c r="B40">
        <f>(B31+B38+B39)/B32</f>
        <v/>
      </c>
    </row>
    <row r="42">
      <c r="A42" t="inlineStr">
        <is>
          <t>Distribution per unit (cpu, driver)</t>
        </is>
      </c>
      <c r="C42" s="2" t="n">
        <v>9.75</v>
      </c>
      <c r="D42" s="2" t="n">
        <v>9.75</v>
      </c>
      <c r="E42" s="2" t="n">
        <v>10</v>
      </c>
      <c r="F42" s="2" t="n">
        <v>10.25</v>
      </c>
      <c r="G42" s="2" t="n">
        <v>10.5</v>
      </c>
    </row>
    <row r="43">
      <c r="A43" t="inlineStr">
        <is>
          <t>NTA cross-check: PV of DPU (NZD)</t>
        </is>
      </c>
      <c r="B43">
        <f>SUMPRODUCT(C42:G42/100*C14:G14)</f>
        <v/>
      </c>
    </row>
    <row r="44">
      <c r="A44" t="inlineStr">
        <is>
          <t>NTA per unit FY2031</t>
        </is>
      </c>
      <c r="B44">
        <f>Assumptions!$B$6*(1+Assumptions!$D$22)^5</f>
        <v/>
      </c>
    </row>
    <row r="45">
      <c r="A45" t="inlineStr">
        <is>
          <t>Exit P/NTA</t>
        </is>
      </c>
      <c r="B45">
        <f>Assumptions!$D$21</f>
        <v/>
      </c>
    </row>
    <row r="46">
      <c r="A46" t="inlineStr">
        <is>
          <t>NTA cross-check value per unit (memo, not blended)</t>
        </is>
      </c>
      <c r="B46">
        <f>B43+B44*B45*G14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Statutory profit to AFFO reconciliation (FY26 AR note 12, NZ$000s)</t>
        </is>
      </c>
    </row>
    <row r="3">
      <c r="A3" t="inlineStr">
        <is>
          <t>Line</t>
        </is>
      </c>
      <c r="B3" t="inlineStr">
        <is>
          <t>FY2026</t>
        </is>
      </c>
      <c r="C3" t="inlineStr">
        <is>
          <t>FY2025</t>
        </is>
      </c>
    </row>
    <row r="4">
      <c r="A4" t="inlineStr">
        <is>
          <t>Operating (loss)/profit before tax and other gains and losses</t>
        </is>
      </c>
      <c r="B4" s="2" t="n">
        <v>-127248</v>
      </c>
      <c r="C4" s="2" t="n">
        <v>77438</v>
      </c>
    </row>
    <row r="5">
      <c r="A5" t="inlineStr">
        <is>
          <t>Current tax expense</t>
        </is>
      </c>
      <c r="B5" s="2" t="n">
        <v>-7933</v>
      </c>
      <c r="C5" s="2" t="n">
        <v>-15546</v>
      </c>
    </row>
    <row r="6">
      <c r="A6" t="inlineStr">
        <is>
          <t>Strategic and internalisation expenses</t>
        </is>
      </c>
      <c r="B6" s="2" t="n">
        <v>214653</v>
      </c>
      <c r="C6" s="2" t="n">
        <v>2848</v>
      </c>
    </row>
    <row r="7">
      <c r="A7" t="inlineStr">
        <is>
          <t>Current tax on translation of foreign currency funding</t>
        </is>
      </c>
      <c r="B7" s="2" t="n">
        <v>0</v>
      </c>
      <c r="C7" s="2" t="n">
        <v>-59</v>
      </c>
    </row>
    <row r="8">
      <c r="A8" t="inlineStr">
        <is>
          <t>Current tax on property disposals</t>
        </is>
      </c>
      <c r="B8" s="2" t="n">
        <v>2815</v>
      </c>
      <c r="C8" s="2" t="n">
        <v>1214</v>
      </c>
    </row>
    <row r="9">
      <c r="A9" t="inlineStr">
        <is>
          <t>Share based payments expense</t>
        </is>
      </c>
      <c r="B9" s="2" t="n">
        <v>429</v>
      </c>
      <c r="C9" s="2" t="n">
        <v>0</v>
      </c>
    </row>
    <row r="10">
      <c r="A10" t="inlineStr">
        <is>
          <t>Reduction of contract asset</t>
        </is>
      </c>
      <c r="B10" s="2" t="n">
        <v>417</v>
      </c>
      <c r="C10" s="2" t="n">
        <v>0</v>
      </c>
    </row>
    <row r="11">
      <c r="A11" t="inlineStr">
        <is>
          <t>Amortisation of borrowing costs</t>
        </is>
      </c>
      <c r="B11" s="2" t="n">
        <v>2140</v>
      </c>
      <c r="C11" s="2" t="n">
        <v>2094</v>
      </c>
    </row>
    <row r="12">
      <c r="A12" t="inlineStr">
        <is>
          <t>Amortisation of leasing costs &amp; tenant inducements</t>
        </is>
      </c>
      <c r="B12" s="2" t="n">
        <v>3651</v>
      </c>
      <c r="C12" s="2" t="n">
        <v>3604</v>
      </c>
    </row>
    <row r="13">
      <c r="A13" t="inlineStr">
        <is>
          <t>IFRS 16 operating lease accounting</t>
        </is>
      </c>
      <c r="B13" s="2" t="n">
        <v>-537</v>
      </c>
      <c r="C13" s="2" t="n">
        <v>-117</v>
      </c>
    </row>
    <row r="14">
      <c r="A14" t="inlineStr">
        <is>
          <t>Funds from operations (FFO) -- formula</t>
        </is>
      </c>
      <c r="B14">
        <f>SUM(B4:B13)</f>
        <v/>
      </c>
      <c r="C14">
        <f>SUM(C4:C13)</f>
        <v/>
      </c>
    </row>
    <row r="15">
      <c r="A15" t="inlineStr">
        <is>
          <t>Actual capex from continuing operations</t>
        </is>
      </c>
      <c r="B15" s="2" t="n">
        <v>-1469</v>
      </c>
      <c r="C15" s="2" t="n">
        <v>-1108</v>
      </c>
    </row>
    <row r="16">
      <c r="A16" t="inlineStr">
        <is>
          <t>AFFO -- formula (must equal 86,918 / 70,368)</t>
        </is>
      </c>
      <c r="B16">
        <f>B14+B15</f>
        <v/>
      </c>
      <c r="C16">
        <f>C14+C15</f>
        <v/>
      </c>
    </row>
    <row r="17">
      <c r="A17" t="inlineStr">
        <is>
          <t>Weighted diluted units (000s)</t>
        </is>
      </c>
      <c r="B17" t="n">
        <v>755951</v>
      </c>
      <c r="C17" t="n">
        <v>675899</v>
      </c>
    </row>
    <row r="18">
      <c r="A18" t="inlineStr">
        <is>
          <t>AFFO per unit (cpu) -- formula</t>
        </is>
      </c>
      <c r="B18">
        <f>B16/B17*100</f>
        <v/>
      </c>
      <c r="C18">
        <f>C16/C17*100</f>
        <v/>
      </c>
    </row>
    <row r="19">
      <c r="A19" t="inlineStr">
        <is>
          <t>Units on issue at year end (000s)</t>
        </is>
      </c>
      <c r="B19" t="n">
        <v>807127</v>
      </c>
      <c r="C19" t="n">
        <v>678896</v>
      </c>
    </row>
    <row r="20">
      <c r="A20" t="inlineStr">
        <is>
          <t>AFFO per YEAR-END unit (cpu) -- the forward divisor</t>
        </is>
      </c>
      <c r="B20">
        <f>B16/B19*100</f>
        <v/>
      </c>
      <c r="C20">
        <f>C16/C19*100</f>
        <v/>
      </c>
    </row>
    <row r="22">
      <c r="A22" t="inlineStr">
        <is>
          <t>Memo: house basis treats the SBP add-back (429k FY26, ~1.0m/yr run-rate) as a cash cost; street basis keeps the Trust's definition.</t>
        </is>
      </c>
    </row>
    <row r="23">
      <c r="A23" t="inlineStr">
        <is>
          <t>Memo: current tax fell 15.5m -&gt; 7.9m on the internalisation deduction (49.9m DTA on ~178m of losses). Shelter is finite -- see scenario tabs row 10.</t>
        </is>
      </c>
    </row>
    <row r="24">
      <c r="A24" t="inlineStr">
        <is>
          <t>Memo: reported OCF 85.191m less investing capex 75.818m = 9.4m 'free cash flow' -- development capex is growth capital and this figure is not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VHP.NZ valuation summary (NZD per unit)</t>
        </is>
      </c>
    </row>
    <row r="3">
      <c r="A3" s="1" t="inlineStr">
        <is>
          <t>Scenario</t>
        </is>
      </c>
      <c r="B3" s="1" t="inlineStr">
        <is>
          <t>Value per unit</t>
        </is>
      </c>
      <c r="C3" s="1" t="inlineStr">
        <is>
          <t>Upside vs price</t>
        </is>
      </c>
      <c r="D3" s="1" t="inlineStr">
        <is>
          <t>Weight</t>
        </is>
      </c>
      <c r="E3" s="1" t="inlineStr">
        <is>
          <t>Street value per unit</t>
        </is>
      </c>
      <c r="F3" s="1" t="inlineStr">
        <is>
          <t>NTA cross-check</t>
        </is>
      </c>
      <c r="G3" s="1" t="inlineStr">
        <is>
          <t>Entry price @ hurdle</t>
        </is>
      </c>
      <c r="H3" s="1" t="inlineStr">
        <is>
          <t>Entry discount</t>
        </is>
      </c>
    </row>
    <row r="4">
      <c r="A4" t="inlineStr">
        <is>
          <t>Bear</t>
        </is>
      </c>
      <c r="B4" s="5">
        <f>AFFO_Bear!B33</f>
        <v/>
      </c>
      <c r="C4" s="8">
        <f>B4/Assumptions!$B$3-1</f>
        <v/>
      </c>
      <c r="D4" s="5">
        <f>Assumptions!B20</f>
        <v/>
      </c>
      <c r="E4" s="5">
        <f>AFFO_Bear!B40</f>
        <v/>
      </c>
      <c r="F4" s="5">
        <f>AFFO_Bear!B46</f>
        <v/>
      </c>
      <c r="G4">
        <f>(SUMPRODUCT(AFFO_Bear!C12:G12/(1+Assumptions!$B$11)^AFFO_Bear!C4:G4)+MAX(0,MIN(AFFO_Bear!G12*(1+Assumptions!$B$19)/(Assumptions!$B$11-Assumptions!$B$19),Assumptions!$B$12*AFFO_Bear!G12))/(1+Assumptions!$B$11)^5)/Assumptions!$B$5</f>
        <v/>
      </c>
      <c r="H4" s="8">
        <f>G4/Assumptions!$B$3-1</f>
        <v/>
      </c>
    </row>
    <row r="5">
      <c r="A5" t="inlineStr">
        <is>
          <t>Base</t>
        </is>
      </c>
      <c r="B5" s="5">
        <f>AFFO_Base!B33</f>
        <v/>
      </c>
      <c r="C5" s="8">
        <f>B5/Assumptions!$B$3-1</f>
        <v/>
      </c>
      <c r="D5" s="5">
        <f>Assumptions!C20</f>
        <v/>
      </c>
      <c r="E5" s="5">
        <f>AFFO_Base!B40</f>
        <v/>
      </c>
      <c r="F5" s="5">
        <f>AFFO_Base!B46</f>
        <v/>
      </c>
      <c r="G5">
        <f>(SUMPRODUCT(AFFO_Base!C12:G12/(1+Assumptions!$B$11)^AFFO_Base!C4:G4)+MAX(0,MIN(AFFO_Base!G12*(1+Assumptions!$C$19)/(Assumptions!$B$11-Assumptions!$C$19),Assumptions!$B$12*AFFO_Base!G12))/(1+Assumptions!$B$11)^5)/Assumptions!$B$5</f>
        <v/>
      </c>
      <c r="H5" s="8">
        <f>G5/Assumptions!$B$3-1</f>
        <v/>
      </c>
    </row>
    <row r="6">
      <c r="A6" t="inlineStr">
        <is>
          <t>Bull</t>
        </is>
      </c>
      <c r="B6" s="5">
        <f>AFFO_Bull!B33</f>
        <v/>
      </c>
      <c r="C6" s="8">
        <f>B6/Assumptions!$B$3-1</f>
        <v/>
      </c>
      <c r="D6" s="5">
        <f>Assumptions!D20</f>
        <v/>
      </c>
      <c r="E6" s="5">
        <f>AFFO_Bull!B40</f>
        <v/>
      </c>
      <c r="F6" s="5">
        <f>AFFO_Bull!B46</f>
        <v/>
      </c>
      <c r="G6">
        <f>(SUMPRODUCT(AFFO_Bull!C12:G12/(1+Assumptions!$B$11)^AFFO_Bull!C4:G4)+MAX(0,MIN(AFFO_Bull!G12*(1+Assumptions!$D$19)/(Assumptions!$B$11-Assumptions!$D$19),Assumptions!$B$12*AFFO_Bull!G12))/(1+Assumptions!$B$11)^5)/Assumptions!$B$5</f>
        <v/>
      </c>
      <c r="H6" s="8">
        <f>G6/Assumptions!$B$3-1</f>
        <v/>
      </c>
    </row>
    <row r="8">
      <c r="A8" t="inlineStr">
        <is>
          <t>Probability-weighted value per unit</t>
        </is>
      </c>
      <c r="B8" s="7">
        <f>SUMPRODUCT(B4:B6,D4:D6)</f>
        <v/>
      </c>
    </row>
    <row r="9">
      <c r="A9" t="inlineStr">
        <is>
          <t>Margin of safety vs price (1 - price/weighted)</t>
        </is>
      </c>
      <c r="B9" s="8">
        <f>1-Assumptions!$B$3/B8</f>
        <v/>
      </c>
    </row>
    <row r="10">
      <c r="A10" t="inlineStr">
        <is>
          <t>Street weighted value per unit</t>
        </is>
      </c>
      <c r="B10">
        <f>SUMPRODUCT(E4:E6,D4:D6)</f>
        <v/>
      </c>
    </row>
    <row r="11">
      <c r="A11" t="inlineStr">
        <is>
          <t>Band position (0% = house, 100% = street)</t>
        </is>
      </c>
      <c r="B11" s="8">
        <f>(Assumptions!$B$3-B8)/(B10-B8)</f>
        <v/>
      </c>
    </row>
    <row r="12">
      <c r="A12" t="inlineStr">
        <is>
          <t>Weighted entry price (buy-below at 15% IRR)</t>
        </is>
      </c>
      <c r="B12" s="9">
        <f>SUMPRODUCT(G4:G6,D4:D6)</f>
        <v/>
      </c>
    </row>
    <row r="13">
      <c r="A13" t="inlineStr">
        <is>
          <t>Current price</t>
        </is>
      </c>
      <c r="B13" s="5">
        <f>Assumptions!$B$3</f>
        <v/>
      </c>
    </row>
    <row r="14">
      <c r="A14" t="inlineStr">
        <is>
          <t>Price / NTA</t>
        </is>
      </c>
      <c r="B14">
        <f>Assumptions!$B$3/Assumptions!$B$6</f>
        <v/>
      </c>
    </row>
    <row r="15">
      <c r="A15" t="inlineStr">
        <is>
          <t>Price / FY2026 AFFO (11.50 cpu)</t>
        </is>
      </c>
      <c r="B15">
        <f>Assumptions!$B$3/0.115</f>
        <v/>
      </c>
    </row>
    <row r="17">
      <c r="A17" s="1" t="inlineStr">
        <is>
          <t>Required-return table (Base case; TV rebuilt at each rate, capped at 16x)</t>
        </is>
      </c>
    </row>
    <row r="18">
      <c r="A18" t="inlineStr">
        <is>
          <t>Required return</t>
        </is>
      </c>
      <c r="B18" t="inlineStr">
        <is>
          <t>Value per unit</t>
        </is>
      </c>
    </row>
    <row r="19">
      <c r="A19" s="10" t="n">
        <v>0.09</v>
      </c>
      <c r="B19">
        <f>(SUMPRODUCT(AFFO_Base!C12:G12/(1+A19)^AFFO_Base!C4:G4)+MAX(0,MIN(AFFO_Base!G12*(1+Assumptions!$C$19)/(A19-Assumptions!$C$19),Assumptions!$B$12*AFFO_Base!G12))/(1+A19)^5)/Assumptions!$B$5</f>
        <v/>
      </c>
    </row>
    <row r="20">
      <c r="A20" s="10" t="n">
        <v>0.095</v>
      </c>
      <c r="B20">
        <f>(SUMPRODUCT(AFFO_Base!C12:G12/(1+A20)^AFFO_Base!C4:G4)+MAX(0,MIN(AFFO_Base!G12*(1+Assumptions!$C$19)/(A20-Assumptions!$C$19),Assumptions!$B$12*AFFO_Base!G12))/(1+A20)^5)/Assumptions!$B$5</f>
        <v/>
      </c>
      <c r="C20" t="inlineStr">
        <is>
          <t>Base cost-of-equity row: must equal AFFO_Base!B33</t>
        </is>
      </c>
    </row>
    <row r="21">
      <c r="A21" s="10" t="n">
        <v>0.1</v>
      </c>
      <c r="B21">
        <f>(SUMPRODUCT(AFFO_Base!C12:G12/(1+A21)^AFFO_Base!C4:G4)+MAX(0,MIN(AFFO_Base!G12*(1+Assumptions!$C$19)/(A21-Assumptions!$C$19),Assumptions!$B$12*AFFO_Base!G12))/(1+A21)^5)/Assumptions!$B$5</f>
        <v/>
      </c>
    </row>
    <row r="22">
      <c r="A22" s="10" t="n">
        <v>0.11</v>
      </c>
      <c r="B22">
        <f>(SUMPRODUCT(AFFO_Base!C12:G12/(1+A22)^AFFO_Base!C4:G4)+MAX(0,MIN(AFFO_Base!G12*(1+Assumptions!$C$19)/(A22-Assumptions!$C$19),Assumptions!$B$12*AFFO_Base!G12))/(1+A22)^5)/Assumptions!$B$5</f>
        <v/>
      </c>
    </row>
    <row r="23">
      <c r="A23" s="10" t="n">
        <v>0.12</v>
      </c>
      <c r="B23">
        <f>(SUMPRODUCT(AFFO_Base!C12:G12/(1+A23)^AFFO_Base!C4:G4)+MAX(0,MIN(AFFO_Base!G12*(1+Assumptions!$C$19)/(A23-Assumptions!$C$19),Assumptions!$B$12*AFFO_Base!G12))/(1+A23)^5)/Assumptions!$B$5</f>
        <v/>
      </c>
    </row>
    <row r="24">
      <c r="A24" s="10" t="n">
        <v>0.15</v>
      </c>
      <c r="B24">
        <f>(SUMPRODUCT(AFFO_Base!C12:G12/(1+A24)^AFFO_Base!C4:G4)+MAX(0,MIN(AFFO_Base!G12*(1+Assumptions!$C$19)/(A24-Assumptions!$C$19),Assumptions!$B$12*AFFO_Base!G12))/(1+A24)^5)/Assumptions!$B$5</f>
        <v/>
      </c>
      <c r="C24" t="inlineStr">
        <is>
          <t>Hurdle row: must equal the Base entry price in G5</t>
        </is>
      </c>
    </row>
    <row r="27">
      <c r="A27" s="1" t="inlineStr">
        <is>
          <t>Sensitivity: Base value per unit -- rows = cost of equity, columns = terminal growth</t>
        </is>
      </c>
    </row>
    <row r="28">
      <c r="B28" s="10" t="n">
        <v>0.015</v>
      </c>
      <c r="C28" s="10" t="n">
        <v>0.02</v>
      </c>
      <c r="D28" s="10" t="n">
        <v>0.025</v>
      </c>
      <c r="E28" s="10" t="n">
        <v>0.03</v>
      </c>
      <c r="F28" s="10" t="n">
        <v>0.035</v>
      </c>
    </row>
    <row r="29">
      <c r="A29" s="10" t="n">
        <v>0.075</v>
      </c>
      <c r="B29">
        <f>IF($A29&gt;B$28,(SUMPRODUCT(AFFO_Base!$C$12:$G$12/(1+$A29)^AFFO_Base!$C$4:$G$4)+MAX(0,MIN(AFFO_Base!$G$12*(1+B$28)/($A29-B$28),Assumptions!$B$12*AFFO_Base!$G$12))/(1+$A29)^5)/Assumptions!$B$5,"n/a")</f>
        <v/>
      </c>
      <c r="C29">
        <f>IF($A29&gt;C$28,(SUMPRODUCT(AFFO_Base!$C$12:$G$12/(1+$A29)^AFFO_Base!$C$4:$G$4)+MAX(0,MIN(AFFO_Base!$G$12*(1+C$28)/($A29-C$28),Assumptions!$B$12*AFFO_Base!$G$12))/(1+$A29)^5)/Assumptions!$B$5,"n/a")</f>
        <v/>
      </c>
      <c r="D29">
        <f>IF($A29&gt;D$28,(SUMPRODUCT(AFFO_Base!$C$12:$G$12/(1+$A29)^AFFO_Base!$C$4:$G$4)+MAX(0,MIN(AFFO_Base!$G$12*(1+D$28)/($A29-D$28),Assumptions!$B$12*AFFO_Base!$G$12))/(1+$A29)^5)/Assumptions!$B$5,"n/a")</f>
        <v/>
      </c>
      <c r="E29">
        <f>IF($A29&gt;E$28,(SUMPRODUCT(AFFO_Base!$C$12:$G$12/(1+$A29)^AFFO_Base!$C$4:$G$4)+MAX(0,MIN(AFFO_Base!$G$12*(1+E$28)/($A29-E$28),Assumptions!$B$12*AFFO_Base!$G$12))/(1+$A29)^5)/Assumptions!$B$5,"n/a")</f>
        <v/>
      </c>
      <c r="F29">
        <f>IF($A29&gt;F$28,(SUMPRODUCT(AFFO_Base!$C$12:$G$12/(1+$A29)^AFFO_Base!$C$4:$G$4)+MAX(0,MIN(AFFO_Base!$G$12*(1+F$28)/($A29-F$28),Assumptions!$B$12*AFFO_Base!$G$12))/(1+$A29)^5)/Assumptions!$B$5,"n/a")</f>
        <v/>
      </c>
    </row>
    <row r="30">
      <c r="A30" s="10" t="n">
        <v>0.08500000000000001</v>
      </c>
      <c r="B30">
        <f>IF($A30&gt;B$28,(SUMPRODUCT(AFFO_Base!$C$12:$G$12/(1+$A30)^AFFO_Base!$C$4:$G$4)+MAX(0,MIN(AFFO_Base!$G$12*(1+B$28)/($A30-B$28),Assumptions!$B$12*AFFO_Base!$G$12))/(1+$A30)^5)/Assumptions!$B$5,"n/a")</f>
        <v/>
      </c>
      <c r="C30">
        <f>IF($A30&gt;C$28,(SUMPRODUCT(AFFO_Base!$C$12:$G$12/(1+$A30)^AFFO_Base!$C$4:$G$4)+MAX(0,MIN(AFFO_Base!$G$12*(1+C$28)/($A30-C$28),Assumptions!$B$12*AFFO_Base!$G$12))/(1+$A30)^5)/Assumptions!$B$5,"n/a")</f>
        <v/>
      </c>
      <c r="D30">
        <f>IF($A30&gt;D$28,(SUMPRODUCT(AFFO_Base!$C$12:$G$12/(1+$A30)^AFFO_Base!$C$4:$G$4)+MAX(0,MIN(AFFO_Base!$G$12*(1+D$28)/($A30-D$28),Assumptions!$B$12*AFFO_Base!$G$12))/(1+$A30)^5)/Assumptions!$B$5,"n/a")</f>
        <v/>
      </c>
      <c r="E30">
        <f>IF($A30&gt;E$28,(SUMPRODUCT(AFFO_Base!$C$12:$G$12/(1+$A30)^AFFO_Base!$C$4:$G$4)+MAX(0,MIN(AFFO_Base!$G$12*(1+E$28)/($A30-E$28),Assumptions!$B$12*AFFO_Base!$G$12))/(1+$A30)^5)/Assumptions!$B$5,"n/a")</f>
        <v/>
      </c>
      <c r="F30">
        <f>IF($A30&gt;F$28,(SUMPRODUCT(AFFO_Base!$C$12:$G$12/(1+$A30)^AFFO_Base!$C$4:$G$4)+MAX(0,MIN(AFFO_Base!$G$12*(1+F$28)/($A30-F$28),Assumptions!$B$12*AFFO_Base!$G$12))/(1+$A30)^5)/Assumptions!$B$5,"n/a")</f>
        <v/>
      </c>
    </row>
    <row r="31">
      <c r="A31" s="10" t="n">
        <v>0.095</v>
      </c>
      <c r="B31">
        <f>IF($A31&gt;B$28,(SUMPRODUCT(AFFO_Base!$C$12:$G$12/(1+$A31)^AFFO_Base!$C$4:$G$4)+MAX(0,MIN(AFFO_Base!$G$12*(1+B$28)/($A31-B$28),Assumptions!$B$12*AFFO_Base!$G$12))/(1+$A31)^5)/Assumptions!$B$5,"n/a")</f>
        <v/>
      </c>
      <c r="C31">
        <f>IF($A31&gt;C$28,(SUMPRODUCT(AFFO_Base!$C$12:$G$12/(1+$A31)^AFFO_Base!$C$4:$G$4)+MAX(0,MIN(AFFO_Base!$G$12*(1+C$28)/($A31-C$28),Assumptions!$B$12*AFFO_Base!$G$12))/(1+$A31)^5)/Assumptions!$B$5,"n/a")</f>
        <v/>
      </c>
      <c r="D31" s="9">
        <f>IF($A31&gt;D$28,(SUMPRODUCT(AFFO_Base!$C$12:$G$12/(1+$A31)^AFFO_Base!$C$4:$G$4)+MAX(0,MIN(AFFO_Base!$G$12*(1+D$28)/($A31-D$28),Assumptions!$B$12*AFFO_Base!$G$12))/(1+$A31)^5)/Assumptions!$B$5,"n/a")</f>
        <v/>
      </c>
      <c r="E31">
        <f>IF($A31&gt;E$28,(SUMPRODUCT(AFFO_Base!$C$12:$G$12/(1+$A31)^AFFO_Base!$C$4:$G$4)+MAX(0,MIN(AFFO_Base!$G$12*(1+E$28)/($A31-E$28),Assumptions!$B$12*AFFO_Base!$G$12))/(1+$A31)^5)/Assumptions!$B$5,"n/a")</f>
        <v/>
      </c>
      <c r="F31">
        <f>IF($A31&gt;F$28,(SUMPRODUCT(AFFO_Base!$C$12:$G$12/(1+$A31)^AFFO_Base!$C$4:$G$4)+MAX(0,MIN(AFFO_Base!$G$12*(1+F$28)/($A31-F$28),Assumptions!$B$12*AFFO_Base!$G$12))/(1+$A31)^5)/Assumptions!$B$5,"n/a")</f>
        <v/>
      </c>
    </row>
    <row r="32">
      <c r="A32" s="10" t="n">
        <v>0.105</v>
      </c>
      <c r="B32">
        <f>IF($A32&gt;B$28,(SUMPRODUCT(AFFO_Base!$C$12:$G$12/(1+$A32)^AFFO_Base!$C$4:$G$4)+MAX(0,MIN(AFFO_Base!$G$12*(1+B$28)/($A32-B$28),Assumptions!$B$12*AFFO_Base!$G$12))/(1+$A32)^5)/Assumptions!$B$5,"n/a")</f>
        <v/>
      </c>
      <c r="C32">
        <f>IF($A32&gt;C$28,(SUMPRODUCT(AFFO_Base!$C$12:$G$12/(1+$A32)^AFFO_Base!$C$4:$G$4)+MAX(0,MIN(AFFO_Base!$G$12*(1+C$28)/($A32-C$28),Assumptions!$B$12*AFFO_Base!$G$12))/(1+$A32)^5)/Assumptions!$B$5,"n/a")</f>
        <v/>
      </c>
      <c r="D32">
        <f>IF($A32&gt;D$28,(SUMPRODUCT(AFFO_Base!$C$12:$G$12/(1+$A32)^AFFO_Base!$C$4:$G$4)+MAX(0,MIN(AFFO_Base!$G$12*(1+D$28)/($A32-D$28),Assumptions!$B$12*AFFO_Base!$G$12))/(1+$A32)^5)/Assumptions!$B$5,"n/a")</f>
        <v/>
      </c>
      <c r="E32">
        <f>IF($A32&gt;E$28,(SUMPRODUCT(AFFO_Base!$C$12:$G$12/(1+$A32)^AFFO_Base!$C$4:$G$4)+MAX(0,MIN(AFFO_Base!$G$12*(1+E$28)/($A32-E$28),Assumptions!$B$12*AFFO_Base!$G$12))/(1+$A32)^5)/Assumptions!$B$5,"n/a")</f>
        <v/>
      </c>
      <c r="F32">
        <f>IF($A32&gt;F$28,(SUMPRODUCT(AFFO_Base!$C$12:$G$12/(1+$A32)^AFFO_Base!$C$4:$G$4)+MAX(0,MIN(AFFO_Base!$G$12*(1+F$28)/($A32-F$28),Assumptions!$B$12*AFFO_Base!$G$12))/(1+$A32)^5)/Assumptions!$B$5,"n/a")</f>
        <v/>
      </c>
    </row>
    <row r="33">
      <c r="A33" s="10" t="n">
        <v>0.115</v>
      </c>
      <c r="B33">
        <f>IF($A33&gt;B$28,(SUMPRODUCT(AFFO_Base!$C$12:$G$12/(1+$A33)^AFFO_Base!$C$4:$G$4)+MAX(0,MIN(AFFO_Base!$G$12*(1+B$28)/($A33-B$28),Assumptions!$B$12*AFFO_Base!$G$12))/(1+$A33)^5)/Assumptions!$B$5,"n/a")</f>
        <v/>
      </c>
      <c r="C33">
        <f>IF($A33&gt;C$28,(SUMPRODUCT(AFFO_Base!$C$12:$G$12/(1+$A33)^AFFO_Base!$C$4:$G$4)+MAX(0,MIN(AFFO_Base!$G$12*(1+C$28)/($A33-C$28),Assumptions!$B$12*AFFO_Base!$G$12))/(1+$A33)^5)/Assumptions!$B$5,"n/a")</f>
        <v/>
      </c>
      <c r="D33">
        <f>IF($A33&gt;D$28,(SUMPRODUCT(AFFO_Base!$C$12:$G$12/(1+$A33)^AFFO_Base!$C$4:$G$4)+MAX(0,MIN(AFFO_Base!$G$12*(1+D$28)/($A33-D$28),Assumptions!$B$12*AFFO_Base!$G$12))/(1+$A33)^5)/Assumptions!$B$5,"n/a")</f>
        <v/>
      </c>
      <c r="E33">
        <f>IF($A33&gt;E$28,(SUMPRODUCT(AFFO_Base!$C$12:$G$12/(1+$A33)^AFFO_Base!$C$4:$G$4)+MAX(0,MIN(AFFO_Base!$G$12*(1+E$28)/($A33-E$28),Assumptions!$B$12*AFFO_Base!$G$12))/(1+$A33)^5)/Assumptions!$B$5,"n/a")</f>
        <v/>
      </c>
      <c r="F33">
        <f>IF($A33&gt;F$28,(SUMPRODUCT(AFFO_Base!$C$12:$G$12/(1+$A33)^AFFO_Base!$C$4:$G$4)+MAX(0,MIN(AFFO_Base!$G$12*(1+F$28)/($A33-F$28),Assumptions!$B$12*AFFO_Base!$G$12))/(1+$A33)^5)/Assumptions!$B$5,"n/a")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2026-09-19T09:51:43Z</dcterms:created>
  <dcterms:modified xmlns:dcterms="http://purl.org/dc/terms/" xmlns:xsi="http://www.w3.org/2001/XMLSchema-instance" xsi:type="dcterms:W3CDTF">2026-09-19T09:51:43Z</dcterms:modified>
</cp:coreProperties>
</file>