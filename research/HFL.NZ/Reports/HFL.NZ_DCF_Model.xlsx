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V Model" sheetId="1" r:id="rId1"/>
    <sheet name="Scenarios" sheetId="2" r:id="rId2"/>
    <sheet name="Sensitivity" sheetId="3" r:id="rId3"/>
    <sheet name="FCF Quality" sheetId="4" r:id="rId4"/>
    <sheet name="Model_Info" sheetId="5" r:id="rId5"/>
  </sheets>
  <calcPr calcId="124519" fullCalcOnLoad="1"/>
</workbook>
</file>

<file path=xl/sharedStrings.xml><?xml version="1.0" encoding="utf-8"?>
<sst xmlns="http://schemas.openxmlformats.org/spreadsheetml/2006/main" count="150" uniqueCount="131">
  <si>
    <t>HFL.NZ NAV-Compounding Valuation Model</t>
  </si>
  <si>
    <t>Henderson Far East Income Limited -- closed-end investment trust. NOT an FCF DCF.</t>
  </si>
  <si>
    <t>Gray cells are INPUTS - adjust to see valuation change. Model is built in GBP PENCE, converted to NZD at the live FX rate.</t>
  </si>
  <si>
    <t>CURRENCY &amp; PRICE</t>
  </si>
  <si>
    <t>GBP/NZD FX Rate</t>
  </si>
  <si>
    <t>Current Price (NZD, HFL.NZ quote)</t>
  </si>
  <si>
    <t>Implied Current Price (GBP pence)</t>
  </si>
  <si>
    <t>HFEL.L Live Price (GBP pence, reference only)</t>
  </si>
  <si>
    <t>KEY INPUTS (GBP pence)</t>
  </si>
  <si>
    <t>NAV/share FY2025 year-end (audited)</t>
  </si>
  <si>
    <t>NAV/share H1-2026 (most recent published)</t>
  </si>
  <si>
    <t>Blend weight on FY2025 (vs H1-2026)</t>
  </si>
  <si>
    <t>Blended Starting NAV/share</t>
  </si>
  <si>
    <t>Dividend/share, starting (FY2026 run-rate)</t>
  </si>
  <si>
    <t>Dividend cover FY2025 (revenue return / DPS)</t>
  </si>
  <si>
    <t>Ongoing charge ratio FY2025</t>
  </si>
  <si>
    <t>Gross gearing (% of net assets)</t>
  </si>
  <si>
    <t>Net gearing (% of net assets)</t>
  </si>
  <si>
    <t>NOTE: NAV per share is already NET of the trusts own debt (gearing).</t>
  </si>
  <si>
    <t>No separate net-debt subtraction is applied (unlike an operating-company DCF).</t>
  </si>
  <si>
    <t>BASE CASE ASSUMPTIONS</t>
  </si>
  <si>
    <t>NAV price growth, %/yr</t>
  </si>
  <si>
    <t>Dividend growth, %/yr</t>
  </si>
  <si>
    <t>Exit premium/(discount) to NAV, Year 5</t>
  </si>
  <si>
    <t>Cost of Equity</t>
  </si>
  <si>
    <t>PROJECTIONS (Base Case, GBP pence)</t>
  </si>
  <si>
    <t>FY2027</t>
  </si>
  <si>
    <t>FY2028</t>
  </si>
  <si>
    <t>FY2029</t>
  </si>
  <si>
    <t>FY2030</t>
  </si>
  <si>
    <t>FY2031</t>
  </si>
  <si>
    <t>NAV per share (pence)</t>
  </si>
  <si>
    <t>Dividend per share (pence)</t>
  </si>
  <si>
    <t>Discount factor</t>
  </si>
  <si>
    <t>PV of dividend</t>
  </si>
  <si>
    <t>VALUATION (Base Case)</t>
  </si>
  <si>
    <t>Sum of PV of Dividends (pence)</t>
  </si>
  <si>
    <t>Year-5 NAV per share (pence)</t>
  </si>
  <si>
    <t>Exit Value (Year-5 NAV x (1+premium/discount))</t>
  </si>
  <si>
    <t>PV of Exit Value</t>
  </si>
  <si>
    <t>INTRINSIC VALUE (GBP pence)</t>
  </si>
  <si>
    <t>INTRINSIC VALUE (NZD)</t>
  </si>
  <si>
    <t>Upside/(Downside) vs Current Price</t>
  </si>
  <si>
    <t>ENTRY PRICE (15% IRR Target)</t>
  </si>
  <si>
    <t>Hurdle rate</t>
  </si>
  <si>
    <t>PV of Dividends @15% hurdle</t>
  </si>
  <si>
    <t>PV of Exit Value @15% hurdle</t>
  </si>
  <si>
    <t>Entry Price (GBP pence)</t>
  </si>
  <si>
    <t>Entry Price (NZD)</t>
  </si>
  <si>
    <t>Entry Discount from Current Price</t>
  </si>
  <si>
    <t>IMPORTANT: This is a NAV-compounding + exit-premium model, NOT an FCF/WACC DCF.</t>
  </si>
  <si>
    <t>HFL.NZ is a closed-end investment trust with no operating FCF, EBITDA or capex.</t>
  </si>
  <si>
    <t>See the Model_Info sheet for full methodology and provenance.</t>
  </si>
  <si>
    <t>Scenario Comparison</t>
  </si>
  <si>
    <t>Bear</t>
  </si>
  <si>
    <t>Base</t>
  </si>
  <si>
    <t>Bull</t>
  </si>
  <si>
    <t>NAV price growth %/yr</t>
  </si>
  <si>
    <t>Dividend growth %/yr</t>
  </si>
  <si>
    <t>Exit premium/(discount) %</t>
  </si>
  <si>
    <t>Cost of equity %</t>
  </si>
  <si>
    <t>Intrinsic Value (GBP pence)</t>
  </si>
  <si>
    <t>Intrinsic Value (NZD)</t>
  </si>
  <si>
    <t>Upside/(Downside) %</t>
  </si>
  <si>
    <t>Probability-Weighted IV (NZD)</t>
  </si>
  <si>
    <t>Probability-Weighted Upside %</t>
  </si>
  <si>
    <t>Weights: Bull 25% / Base 50% / Bear 25%</t>
  </si>
  <si>
    <t>NAV per share path (pence)</t>
  </si>
  <si>
    <t>Year</t>
  </si>
  <si>
    <t>Dividend per share path (pence)</t>
  </si>
  <si>
    <t>Sensitivity Analysis</t>
  </si>
  <si>
    <t>Intrinsic Value (NZD) by Cost of Equity &amp; Exit Premium/Discount</t>
  </si>
  <si>
    <t>CoE \ Exit Prem</t>
  </si>
  <si>
    <t>Note: matrix values are pre-computed from the JSON (not live Excel formulas) for the</t>
  </si>
  <si>
    <t>cross-scenario grid; the NAV Model sheet (Sheet 1) uses live formulas for the single base case.</t>
  </si>
  <si>
    <t>FCF Quality -- NOT APPLICABLE</t>
  </si>
  <si>
    <t>HFL.NZ is a closed-end investment trust with no free cash flow concept.</t>
  </si>
  <si>
    <t>FreeCashFlow, EBITDA, OperatingIncome and OperatingCashFlow are all NULL in the source Metrics CSV.</t>
  </si>
  <si>
    <t>The cash flow statement records portfolio buying/selling activity, not operating cash generation.</t>
  </si>
  <si>
    <t>This sheet instead reconciles the NAV / Dividend / Premium-Discount history, the equivalent quality check for a trust.</t>
  </si>
  <si>
    <t>NAV, Dividend &amp; Premium/Discount History (10yr, GBP pence)</t>
  </si>
  <si>
    <t>Fiscal Year</t>
  </si>
  <si>
    <t>FY2016</t>
  </si>
  <si>
    <t>FY2017</t>
  </si>
  <si>
    <t>FY2018</t>
  </si>
  <si>
    <t>FY2019</t>
  </si>
  <si>
    <t>FY2020</t>
  </si>
  <si>
    <t>FY2021</t>
  </si>
  <si>
    <t>FY2022</t>
  </si>
  <si>
    <t>FY2023</t>
  </si>
  <si>
    <t>FY2024</t>
  </si>
  <si>
    <t>FY2025</t>
  </si>
  <si>
    <t>H1_2026</t>
  </si>
  <si>
    <t>Dividend cover (x)</t>
  </si>
  <si>
    <t>Premium/(Discount) to NAV %</t>
  </si>
  <si>
    <t>Key memo: NAV bare CAGR FY16-FY25 (9yr)</t>
  </si>
  <si>
    <t>Key memo: NAV TOTAL RETURN CAGR 10yr (dividends reinvested)</t>
  </si>
  <si>
    <t>Key memo: Dividend cover FY2023 trough</t>
  </si>
  <si>
    <t>Key memo: Ongoing charge ratio FY2025</t>
  </si>
  <si>
    <t>THE CENTRAL QUESTION: is the ~10% headline yield funded by capital erosion?</t>
  </si>
  <si>
    <t>Answer: partly. Bare NAV fell -4.5%/yr for 9 years while DPS rose every year and cover</t>
  </si>
  <si>
    <t>sat at/below 1.0x in several years -- but NAV TOTAL RETURN (+6.1%/yr) was still positive.</t>
  </si>
  <si>
    <t>Model Provenance &amp; Methodology</t>
  </si>
  <si>
    <t>Ticker</t>
  </si>
  <si>
    <t>HFL.NZ (Henderson Far East Income Limited) -- NZX secondary listing of LSE-primary HFEL</t>
  </si>
  <si>
    <t>Built by</t>
  </si>
  <si>
    <t>Claude Agent (dcf-analyst), Stocks Research project, per /research-stock and DCF-agent skill instructions</t>
  </si>
  <si>
    <t>Build date</t>
  </si>
  <si>
    <t>2026-08-11</t>
  </si>
  <si>
    <t>Price data vintage</t>
  </si>
  <si>
    <t>HFL.NZ NZD price NZ$6.01 verified 2026-08-11; HFEL.L GBP price 264.0p live same date; GBPNZD FX rate 2.2972 live 2026-08-11 live quote (Yahoo Finance GBPNZD=X)</t>
  </si>
  <si>
    <t>Fundamental data vintage</t>
  </si>
  <si>
    <t>FY2025 Annual Report (year end 31-Aug-2025, published 10-Nov-2025); H1 FY2026 Half-Year Report (period end 28-Feb-2026, published 14-Apr-2026)</t>
  </si>
  <si>
    <t>Model type</t>
  </si>
  <si>
    <t>NAV-per-share compounding + dividend stream + exit premium/discount, discounted at cost of equity. NOT an FCF/WACC/Gordon-growth DCF -- HFL is a closed-end investment trust with no operating cash flow, EBITDA, capex or working-capital cycle.</t>
  </si>
  <si>
    <t>Why not FCF DCF</t>
  </si>
  <si>
    <t>See valuation_philosophy in the JSON and the Analysis JSON valuation_approach block. FreeCashFlow, EBITDA, OperatingIncome, OperatingCashFlow are deliberately NULL in the Metrics CSV; the cash flow statement is portfolio trading activity, not free cash flow available to a claimant on an operating business.</t>
  </si>
  <si>
    <t>Starting NAV methodology</t>
  </si>
  <si>
    <t>Blended 55% FY2025 year-end NAV (223.32p) / 45% H1-2026 most recent published NAV (261.38p) = 240.447p. This avoids extrapolating the H1-2026 Korean-semiconductor-rally peak as a new baseline while still reflecting the real, published gain. See sanity_check.peak_extrapolation_check in the JSON.</t>
  </si>
  <si>
    <t>Cost of equity build</t>
  </si>
  <si>
    <t>Built up additively: UK gilt risk-free (4.3%) + Asia-Pacific equity risk premium (5.5%) + gearing premium (0.5%) + concentration premium (0.75%) + key-person premium (0.35%) + illiquidity premium (0.6%) = 12.0% base case. See cost_of_equity_build block in the JSON for full rationale per component.</t>
  </si>
  <si>
    <t>Currency handling</t>
  </si>
  <si>
    <t>Entire model built in GBP pence (native fundamental currency). Converted to NZD at the live spot GBPNZD rate (2.2972) ONLY at the final output stage. current_price is set to the NZX quote (NZ$6.01) directly, per project convention -- never divide an NZD price by a pence NAV without first converting.</t>
  </si>
  <si>
    <t>What to refresh after next earnings/NAV update</t>
  </si>
  <si>
    <t>Re-pull live HFL.NZ price, HFEL.L price and GBPNZD rate; update nav_per_share_pence_h1_2026 (or replace with next FY/H1 NAV) and dividend_start_pence with the latest declared interim run-rate; re-check dividend cover and premium/discount history for the latest period; re-run the peak-extrapolation sanity check against whatever the latest NAV print is.</t>
  </si>
  <si>
    <t>Cell colour conventions</t>
  </si>
  <si>
    <t>Gray cells (light blue-gray, #dfe6e9) = editable inputs. White cells with formulas = calculated, do not hand-edit. Green cells = key valuation outputs (GBP pence). Blue cells = key valuation outputs (NZD). Red/bold italic text = warnings.</t>
  </si>
  <si>
    <t>Staleness warning</t>
  </si>
  <si>
    <t>All figures in this model go stale as soon as a new NAV, dividend declaration, or price print is published. HFL/HFEL publishes NAV daily (via LSE RNS/website) but this model only refreshes NAV at FY/H1 report dates by design (audited/board-reported figures only, consistent with the BIT.NZ precedent in this repo) -- always check research/HFL.NZ/Reports/HFL.NZ_Metrics.csv and the duckdb kpis table for more recent data before trusting this file.</t>
  </si>
  <si>
    <t>Reference model used</t>
  </si>
  <si>
    <t>research/BIT.NZ/Reports/BIT.NZ_DCF.json (The Bankers Investment Trust) -- closest analogue: UK closed-end trust with NZX secondary listing, same NAV-compounding + exit-discount + GBP/NZD conversion framework.</t>
  </si>
</sst>
</file>

<file path=xl/styles.xml><?xml version="1.0" encoding="utf-8"?>
<styleSheet xmlns="http://schemas.openxmlformats.org/spreadsheetml/2006/main">
  <numFmts count="5">
    <numFmt numFmtId="164" formatCode="#,##0.000"/>
    <numFmt numFmtId="165" formatCode="0.00%"/>
    <numFmt numFmtId="166" formatCode="0.000&quot;p&quot;"/>
    <numFmt numFmtId="167" formatCode="&quot;NZ$&quot;#,##0.0000"/>
    <numFmt numFmtId="168" formatCode="0%"/>
  </numFmts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D6303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0984E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0" fillId="2" borderId="2" xfId="0" applyNumberFormat="1" applyFill="1" applyBorder="1"/>
    <xf numFmtId="164" fontId="0" fillId="0" borderId="2" xfId="0" applyNumberFormat="1" applyBorder="1"/>
    <xf numFmtId="165" fontId="0" fillId="2" borderId="2" xfId="0" applyNumberFormat="1" applyFill="1" applyBorder="1"/>
    <xf numFmtId="166" fontId="0" fillId="0" borderId="2" xfId="0" applyNumberFormat="1" applyBorder="1"/>
    <xf numFmtId="0" fontId="4" fillId="3" borderId="2" xfId="0" applyFont="1" applyFill="1" applyBorder="1"/>
    <xf numFmtId="0" fontId="5" fillId="0" borderId="0" xfId="0" applyFont="1"/>
    <xf numFmtId="166" fontId="4" fillId="4" borderId="2" xfId="0" applyNumberFormat="1" applyFont="1" applyFill="1" applyBorder="1"/>
    <xf numFmtId="167" fontId="4" fillId="5" borderId="2" xfId="0" applyNumberFormat="1" applyFont="1" applyFill="1" applyBorder="1"/>
    <xf numFmtId="165" fontId="0" fillId="0" borderId="2" xfId="0" applyNumberFormat="1" applyBorder="1"/>
    <xf numFmtId="0" fontId="6" fillId="0" borderId="0" xfId="0" applyFont="1"/>
    <xf numFmtId="167" fontId="0" fillId="0" borderId="2" xfId="0" applyNumberFormat="1" applyBorder="1"/>
    <xf numFmtId="168" fontId="4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tabSelected="1" workbookViewId="0"/>
  </sheetViews>
  <sheetFormatPr defaultRowHeight="15"/>
  <cols>
    <col min="1" max="1" width="32.7109375" customWidth="1"/>
    <col min="2" max="8" width="14.7109375" customWidth="1"/>
  </cols>
  <sheetData>
    <row r="1" spans="1:2">
      <c r="A1" s="1" t="s">
        <v>0</v>
      </c>
    </row>
    <row r="2" spans="1:2">
      <c r="A2" s="2" t="s">
        <v>1</v>
      </c>
    </row>
    <row r="3" spans="1:2">
      <c r="A3" s="2" t="s">
        <v>2</v>
      </c>
    </row>
    <row r="5" spans="1:2">
      <c r="A5" s="3" t="s">
        <v>3</v>
      </c>
    </row>
    <row r="6" spans="1:2">
      <c r="A6" t="s">
        <v>4</v>
      </c>
      <c r="B6" s="4">
        <v>2.2972</v>
      </c>
    </row>
    <row r="7" spans="1:2">
      <c r="A7" t="s">
        <v>5</v>
      </c>
      <c r="B7" s="4">
        <v>6.01</v>
      </c>
    </row>
    <row r="8" spans="1:2">
      <c r="A8" t="s">
        <v>6</v>
      </c>
      <c r="B8" s="5">
        <f>B7/B6*100</f>
        <v>0</v>
      </c>
    </row>
    <row r="9" spans="1:2">
      <c r="A9" t="s">
        <v>7</v>
      </c>
      <c r="B9" s="4">
        <v>264</v>
      </c>
    </row>
    <row r="11" spans="1:2">
      <c r="A11" s="3" t="s">
        <v>8</v>
      </c>
    </row>
    <row r="12" spans="1:2">
      <c r="A12" t="s">
        <v>9</v>
      </c>
      <c r="B12" s="4">
        <v>223.32</v>
      </c>
    </row>
    <row r="13" spans="1:2">
      <c r="A13" t="s">
        <v>10</v>
      </c>
      <c r="B13" s="4">
        <v>261.38</v>
      </c>
    </row>
    <row r="14" spans="1:2">
      <c r="A14" t="s">
        <v>11</v>
      </c>
      <c r="B14" s="6">
        <v>0.55</v>
      </c>
    </row>
    <row r="15" spans="1:2">
      <c r="A15" t="s">
        <v>12</v>
      </c>
      <c r="B15" s="7">
        <f>B12*B14+B13*(1-B14)</f>
        <v>0</v>
      </c>
    </row>
    <row r="16" spans="1:2">
      <c r="A16" t="s">
        <v>13</v>
      </c>
      <c r="B16" s="4">
        <v>25</v>
      </c>
    </row>
    <row r="17" spans="1:6">
      <c r="A17" t="s">
        <v>14</v>
      </c>
      <c r="B17" s="4">
        <v>1.003</v>
      </c>
    </row>
    <row r="18" spans="1:6">
      <c r="A18" t="s">
        <v>15</v>
      </c>
      <c r="B18" s="6">
        <v>0.0112</v>
      </c>
    </row>
    <row r="19" spans="1:6">
      <c r="A19" t="s">
        <v>16</v>
      </c>
      <c r="B19" s="6">
        <v>0.12</v>
      </c>
    </row>
    <row r="20" spans="1:6">
      <c r="A20" t="s">
        <v>17</v>
      </c>
      <c r="B20" s="6">
        <v>0.06</v>
      </c>
    </row>
    <row r="22" spans="1:6">
      <c r="A22" s="2" t="s">
        <v>18</v>
      </c>
    </row>
    <row r="23" spans="1:6">
      <c r="A23" s="2" t="s">
        <v>19</v>
      </c>
    </row>
    <row r="25" spans="1:6">
      <c r="A25" s="3" t="s">
        <v>20</v>
      </c>
    </row>
    <row r="26" spans="1:6">
      <c r="A26" t="s">
        <v>21</v>
      </c>
      <c r="B26" s="6">
        <v>0.01</v>
      </c>
    </row>
    <row r="27" spans="1:6">
      <c r="A27" t="s">
        <v>22</v>
      </c>
      <c r="B27" s="6">
        <v>0.008</v>
      </c>
    </row>
    <row r="28" spans="1:6">
      <c r="A28" t="s">
        <v>23</v>
      </c>
      <c r="B28" s="6">
        <v>0</v>
      </c>
    </row>
    <row r="29" spans="1:6">
      <c r="A29" t="s">
        <v>24</v>
      </c>
      <c r="B29" s="6">
        <v>0.12</v>
      </c>
    </row>
    <row r="31" spans="1:6">
      <c r="A31" s="3" t="s">
        <v>25</v>
      </c>
    </row>
    <row r="32" spans="1:6">
      <c r="A32" s="8"/>
      <c r="B32" s="8" t="s">
        <v>26</v>
      </c>
      <c r="C32" s="8" t="s">
        <v>27</v>
      </c>
      <c r="D32" s="8" t="s">
        <v>28</v>
      </c>
      <c r="E32" s="8" t="s">
        <v>29</v>
      </c>
      <c r="F32" s="8" t="s">
        <v>30</v>
      </c>
    </row>
    <row r="33" spans="1:6">
      <c r="A33" t="s">
        <v>31</v>
      </c>
      <c r="B33" s="5">
        <f>$B$15*(1+$B$26)</f>
        <v>0</v>
      </c>
      <c r="C33" s="5">
        <f>B33*(1+$B$26)</f>
        <v>0</v>
      </c>
      <c r="D33" s="5">
        <f>C33*(1+$B$26)</f>
        <v>0</v>
      </c>
      <c r="E33" s="5">
        <f>D33*(1+$B$26)</f>
        <v>0</v>
      </c>
      <c r="F33" s="5">
        <f>E33*(1+$B$26)</f>
        <v>0</v>
      </c>
    </row>
    <row r="34" spans="1:6">
      <c r="A34" t="s">
        <v>32</v>
      </c>
      <c r="B34" s="5">
        <f>$B$16*(1+$B$27)</f>
        <v>0</v>
      </c>
      <c r="C34" s="5">
        <f>B34*(1+$B$27)</f>
        <v>0</v>
      </c>
      <c r="D34" s="5">
        <f>C34*(1+$B$27)</f>
        <v>0</v>
      </c>
      <c r="E34" s="5">
        <f>D34*(1+$B$27)</f>
        <v>0</v>
      </c>
      <c r="F34" s="5">
        <f>E34*(1+$B$27)</f>
        <v>0</v>
      </c>
    </row>
    <row r="35" spans="1:6">
      <c r="A35" t="s">
        <v>33</v>
      </c>
      <c r="B35" s="5">
        <f>1/(1+$B$29)^1</f>
        <v>0</v>
      </c>
      <c r="C35" s="5">
        <f>1/(1+$B$29)^2</f>
        <v>0</v>
      </c>
      <c r="D35" s="5">
        <f>1/(1+$B$29)^3</f>
        <v>0</v>
      </c>
      <c r="E35" s="5">
        <f>1/(1+$B$29)^4</f>
        <v>0</v>
      </c>
      <c r="F35" s="5">
        <f>1/(1+$B$29)^5</f>
        <v>0</v>
      </c>
    </row>
    <row r="36" spans="1:6">
      <c r="A36" t="s">
        <v>34</v>
      </c>
      <c r="B36" s="5">
        <f>B34*B35</f>
        <v>0</v>
      </c>
      <c r="C36" s="5">
        <f>C34*C35</f>
        <v>0</v>
      </c>
      <c r="D36" s="5">
        <f>D34*D35</f>
        <v>0</v>
      </c>
      <c r="E36" s="5">
        <f>E34*E35</f>
        <v>0</v>
      </c>
      <c r="F36" s="5">
        <f>F34*F35</f>
        <v>0</v>
      </c>
    </row>
    <row r="38" spans="1:6">
      <c r="A38" s="3" t="s">
        <v>35</v>
      </c>
    </row>
    <row r="39" spans="1:6">
      <c r="A39" t="s">
        <v>36</v>
      </c>
      <c r="B39" s="5">
        <f>SUM(B36:F36)</f>
        <v>0</v>
      </c>
    </row>
    <row r="40" spans="1:6">
      <c r="A40" t="s">
        <v>37</v>
      </c>
      <c r="B40" s="5">
        <f>F33</f>
        <v>0</v>
      </c>
    </row>
    <row r="41" spans="1:6">
      <c r="A41" t="s">
        <v>38</v>
      </c>
      <c r="B41" s="5">
        <f>B40*(1+$B$28)</f>
        <v>0</v>
      </c>
    </row>
    <row r="42" spans="1:6">
      <c r="A42" t="s">
        <v>39</v>
      </c>
      <c r="B42" s="5">
        <f>B41*F35</f>
        <v>0</v>
      </c>
    </row>
    <row r="43" spans="1:6">
      <c r="A43" s="9" t="s">
        <v>40</v>
      </c>
      <c r="B43" s="10">
        <f>B39+B42</f>
        <v>0</v>
      </c>
    </row>
    <row r="44" spans="1:6">
      <c r="A44" s="9" t="s">
        <v>41</v>
      </c>
      <c r="B44" s="11">
        <f>B43/100*$B$6</f>
        <v>0</v>
      </c>
    </row>
    <row r="45" spans="1:6">
      <c r="A45" t="s">
        <v>42</v>
      </c>
      <c r="B45" s="12">
        <f>(B44-B7)/B7</f>
        <v>0</v>
      </c>
    </row>
    <row r="47" spans="1:6">
      <c r="A47" s="3" t="s">
        <v>43</v>
      </c>
    </row>
    <row r="48" spans="1:6">
      <c r="A48" t="s">
        <v>44</v>
      </c>
      <c r="B48" s="6">
        <v>0.15</v>
      </c>
    </row>
    <row r="49" spans="1:2">
      <c r="A49" t="s">
        <v>45</v>
      </c>
      <c r="B49" s="5">
        <f>NPV($B$48,B34:F34)</f>
        <v>0</v>
      </c>
    </row>
    <row r="50" spans="1:2">
      <c r="A50" t="s">
        <v>46</v>
      </c>
      <c r="B50" s="5">
        <f>B41/(1+$B$48)^5</f>
        <v>0</v>
      </c>
    </row>
    <row r="51" spans="1:2">
      <c r="A51" t="s">
        <v>47</v>
      </c>
      <c r="B51" s="10">
        <f>B49+B50</f>
        <v>0</v>
      </c>
    </row>
    <row r="52" spans="1:2">
      <c r="A52" t="s">
        <v>48</v>
      </c>
      <c r="B52" s="11">
        <f>B51/100*$B$6</f>
        <v>0</v>
      </c>
    </row>
    <row r="53" spans="1:2">
      <c r="A53" t="s">
        <v>49</v>
      </c>
      <c r="B53" s="12">
        <f>(B52-B7)/B7</f>
        <v>0</v>
      </c>
    </row>
    <row r="55" spans="1:2">
      <c r="A55" s="13" t="s">
        <v>50</v>
      </c>
    </row>
    <row r="56" spans="1:2">
      <c r="A56" s="13" t="s">
        <v>51</v>
      </c>
    </row>
    <row r="57" spans="1:2">
      <c r="A57" s="13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cols>
    <col min="1" max="1" width="30.7109375" customWidth="1"/>
    <col min="2" max="4" width="16.7109375" customWidth="1"/>
  </cols>
  <sheetData>
    <row r="1" spans="1:4">
      <c r="A1" s="1" t="s">
        <v>53</v>
      </c>
    </row>
    <row r="3" spans="1:4">
      <c r="A3" s="8"/>
      <c r="B3" s="8" t="s">
        <v>54</v>
      </c>
      <c r="C3" s="8" t="s">
        <v>55</v>
      </c>
      <c r="D3" s="8" t="s">
        <v>56</v>
      </c>
    </row>
    <row r="5" spans="1:4">
      <c r="A5" t="s">
        <v>57</v>
      </c>
      <c r="B5" s="12">
        <v>-0.04</v>
      </c>
      <c r="C5" s="12">
        <v>0.01</v>
      </c>
      <c r="D5" s="12">
        <v>0.06</v>
      </c>
    </row>
    <row r="6" spans="1:4">
      <c r="A6" t="s">
        <v>58</v>
      </c>
      <c r="B6" s="12">
        <v>-0.03</v>
      </c>
      <c r="C6" s="12">
        <v>0.008</v>
      </c>
      <c r="D6" s="12">
        <v>0.02</v>
      </c>
    </row>
    <row r="7" spans="1:4">
      <c r="A7" t="s">
        <v>59</v>
      </c>
      <c r="B7" s="12">
        <v>-0.1</v>
      </c>
      <c r="C7" s="12">
        <v>0</v>
      </c>
      <c r="D7" s="12">
        <v>0.05</v>
      </c>
    </row>
    <row r="8" spans="1:4">
      <c r="A8" t="s">
        <v>60</v>
      </c>
      <c r="B8" s="12">
        <v>0.13</v>
      </c>
      <c r="C8" s="12">
        <v>0.12</v>
      </c>
      <c r="D8" s="12">
        <v>0.11</v>
      </c>
    </row>
    <row r="10" spans="1:4">
      <c r="A10" s="9" t="s">
        <v>61</v>
      </c>
      <c r="B10" s="7">
        <v>169.3344</v>
      </c>
      <c r="C10" s="7">
        <v>235.5354</v>
      </c>
      <c r="D10" s="7">
        <v>298.1922</v>
      </c>
    </row>
    <row r="11" spans="1:4">
      <c r="A11" s="9" t="s">
        <v>62</v>
      </c>
      <c r="B11" s="14">
        <v>3.89</v>
      </c>
      <c r="C11" s="14">
        <v>5.4107</v>
      </c>
      <c r="D11" s="14">
        <v>6.8501</v>
      </c>
    </row>
    <row r="12" spans="1:4">
      <c r="A12" s="9" t="s">
        <v>63</v>
      </c>
      <c r="B12" s="12">
        <v>-0.3528</v>
      </c>
      <c r="C12" s="12">
        <v>-0.09970000000000001</v>
      </c>
      <c r="D12" s="12">
        <v>0.1398</v>
      </c>
    </row>
    <row r="14" spans="1:4">
      <c r="A14" s="9" t="s">
        <v>64</v>
      </c>
      <c r="B14" s="14">
        <v>5.39</v>
      </c>
    </row>
    <row r="15" spans="1:4">
      <c r="A15" s="9" t="s">
        <v>65</v>
      </c>
      <c r="B15" s="12">
        <v>-0.1031</v>
      </c>
    </row>
    <row r="17" spans="1:4">
      <c r="A17" s="2" t="s">
        <v>66</v>
      </c>
    </row>
    <row r="20" spans="1:4">
      <c r="A20" s="3" t="s">
        <v>67</v>
      </c>
    </row>
    <row r="21" spans="1:4">
      <c r="A21" s="8" t="s">
        <v>68</v>
      </c>
      <c r="B21" s="8" t="s">
        <v>54</v>
      </c>
      <c r="C21" s="8" t="s">
        <v>55</v>
      </c>
      <c r="D21" s="8" t="s">
        <v>56</v>
      </c>
    </row>
    <row r="22" spans="1:4">
      <c r="A22" t="s">
        <v>26</v>
      </c>
      <c r="B22" s="5">
        <v>230.8291</v>
      </c>
      <c r="C22" s="5">
        <v>242.8515</v>
      </c>
      <c r="D22" s="5">
        <v>254.8738</v>
      </c>
    </row>
    <row r="23" spans="1:4">
      <c r="A23" t="s">
        <v>27</v>
      </c>
      <c r="B23" s="5">
        <v>221.596</v>
      </c>
      <c r="C23" s="5">
        <v>245.28</v>
      </c>
      <c r="D23" s="5">
        <v>270.1662</v>
      </c>
    </row>
    <row r="24" spans="1:4">
      <c r="A24" t="s">
        <v>28</v>
      </c>
      <c r="B24" s="5">
        <v>212.7321</v>
      </c>
      <c r="C24" s="5">
        <v>247.7328</v>
      </c>
      <c r="D24" s="5">
        <v>286.3762</v>
      </c>
    </row>
    <row r="25" spans="1:4">
      <c r="A25" t="s">
        <v>29</v>
      </c>
      <c r="B25" s="5">
        <v>204.2228</v>
      </c>
      <c r="C25" s="5">
        <v>250.2101</v>
      </c>
      <c r="D25" s="5">
        <v>303.5588</v>
      </c>
    </row>
    <row r="26" spans="1:4">
      <c r="A26" t="s">
        <v>30</v>
      </c>
      <c r="B26" s="5">
        <v>196.0539</v>
      </c>
      <c r="C26" s="5">
        <v>252.7122</v>
      </c>
      <c r="D26" s="5">
        <v>321.7723</v>
      </c>
    </row>
    <row r="28" spans="1:4">
      <c r="A28" s="3" t="s">
        <v>69</v>
      </c>
    </row>
    <row r="29" spans="1:4">
      <c r="A29" s="8" t="s">
        <v>68</v>
      </c>
      <c r="B29" s="8" t="s">
        <v>54</v>
      </c>
      <c r="C29" s="8" t="s">
        <v>55</v>
      </c>
      <c r="D29" s="8" t="s">
        <v>56</v>
      </c>
    </row>
    <row r="30" spans="1:4">
      <c r="A30" t="s">
        <v>26</v>
      </c>
      <c r="B30" s="5">
        <v>24.25</v>
      </c>
      <c r="C30" s="5">
        <v>25.2</v>
      </c>
      <c r="D30" s="5">
        <v>25.5</v>
      </c>
    </row>
    <row r="31" spans="1:4">
      <c r="A31" t="s">
        <v>27</v>
      </c>
      <c r="B31" s="5">
        <v>20.6125</v>
      </c>
      <c r="C31" s="5">
        <v>25.4016</v>
      </c>
      <c r="D31" s="5">
        <v>26.01</v>
      </c>
    </row>
    <row r="32" spans="1:4">
      <c r="A32" t="s">
        <v>28</v>
      </c>
      <c r="B32" s="5">
        <v>19.9941</v>
      </c>
      <c r="C32" s="5">
        <v>25.6048</v>
      </c>
      <c r="D32" s="5">
        <v>26.5302</v>
      </c>
    </row>
    <row r="33" spans="1:4">
      <c r="A33" t="s">
        <v>29</v>
      </c>
      <c r="B33" s="5">
        <v>19.3943</v>
      </c>
      <c r="C33" s="5">
        <v>25.8097</v>
      </c>
      <c r="D33" s="5">
        <v>27.0608</v>
      </c>
    </row>
    <row r="34" spans="1:4">
      <c r="A34" t="s">
        <v>30</v>
      </c>
      <c r="B34" s="5">
        <v>18.8125</v>
      </c>
      <c r="C34" s="5">
        <v>26.0161</v>
      </c>
      <c r="D34" s="5">
        <v>27.602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cols>
    <col min="1" max="1" width="20.7109375" customWidth="1"/>
    <col min="2" max="6" width="12.7109375" customWidth="1"/>
  </cols>
  <sheetData>
    <row r="1" spans="1:6">
      <c r="A1" s="1" t="s">
        <v>70</v>
      </c>
    </row>
    <row r="2" spans="1:6">
      <c r="A2" t="s">
        <v>71</v>
      </c>
    </row>
    <row r="4" spans="1:6">
      <c r="A4" s="8" t="s">
        <v>72</v>
      </c>
      <c r="B4" s="15">
        <v>-0.1</v>
      </c>
      <c r="C4" s="15">
        <v>-0.05</v>
      </c>
      <c r="D4" s="15">
        <v>0</v>
      </c>
      <c r="E4" s="15">
        <v>0.05</v>
      </c>
      <c r="F4" s="15">
        <v>0.1</v>
      </c>
    </row>
    <row r="5" spans="1:6">
      <c r="A5" s="15">
        <v>0.1</v>
      </c>
      <c r="B5" s="14">
        <v>5.4707</v>
      </c>
      <c r="C5" s="14">
        <v>5.6509</v>
      </c>
      <c r="D5" s="14">
        <v>5.8311</v>
      </c>
      <c r="E5" s="14">
        <v>6.0114</v>
      </c>
      <c r="F5" s="14">
        <v>6.1916</v>
      </c>
    </row>
    <row r="6" spans="1:6">
      <c r="A6" s="15">
        <v>0.11</v>
      </c>
      <c r="B6" s="14">
        <v>5.2711</v>
      </c>
      <c r="C6" s="14">
        <v>5.4434</v>
      </c>
      <c r="D6" s="14">
        <v>5.6156</v>
      </c>
      <c r="E6" s="14">
        <v>5.7879</v>
      </c>
      <c r="F6" s="14">
        <v>5.9601</v>
      </c>
    </row>
    <row r="7" spans="1:6">
      <c r="A7" s="15">
        <v>0.12</v>
      </c>
      <c r="B7" s="14">
        <v>5.0813</v>
      </c>
      <c r="C7" s="14">
        <v>5.246</v>
      </c>
      <c r="D7" s="14">
        <v>5.4107</v>
      </c>
      <c r="E7" s="14">
        <v>5.5754</v>
      </c>
      <c r="F7" s="14">
        <v>5.7401</v>
      </c>
    </row>
    <row r="8" spans="1:6">
      <c r="A8" s="15">
        <v>0.13</v>
      </c>
      <c r="B8" s="14">
        <v>4.9007</v>
      </c>
      <c r="C8" s="14">
        <v>5.0583</v>
      </c>
      <c r="D8" s="14">
        <v>5.2158</v>
      </c>
      <c r="E8" s="14">
        <v>5.3734</v>
      </c>
      <c r="F8" s="14">
        <v>5.5309</v>
      </c>
    </row>
    <row r="9" spans="1:6">
      <c r="A9" s="15">
        <v>0.14</v>
      </c>
      <c r="B9" s="14">
        <v>4.7288</v>
      </c>
      <c r="C9" s="14">
        <v>4.8796</v>
      </c>
      <c r="D9" s="14">
        <v>5.0304</v>
      </c>
      <c r="E9" s="14">
        <v>5.1811</v>
      </c>
      <c r="F9" s="14">
        <v>5.3319</v>
      </c>
    </row>
    <row r="11" spans="1:6">
      <c r="A11" s="2" t="s">
        <v>73</v>
      </c>
    </row>
    <row r="12" spans="1:6">
      <c r="A12" s="2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3"/>
  <sheetViews>
    <sheetView workbookViewId="0"/>
  </sheetViews>
  <sheetFormatPr defaultRowHeight="15"/>
  <cols>
    <col min="1" max="1" width="30.7109375" customWidth="1"/>
    <col min="2" max="12" width="11.7109375" customWidth="1"/>
  </cols>
  <sheetData>
    <row r="1" spans="1:12">
      <c r="A1" s="1" t="s">
        <v>75</v>
      </c>
    </row>
    <row r="2" spans="1:12">
      <c r="A2" s="13" t="s">
        <v>76</v>
      </c>
    </row>
    <row r="3" spans="1:12">
      <c r="A3" t="s">
        <v>77</v>
      </c>
    </row>
    <row r="4" spans="1:12">
      <c r="A4" t="s">
        <v>78</v>
      </c>
    </row>
    <row r="5" spans="1:12">
      <c r="A5" t="s">
        <v>79</v>
      </c>
    </row>
    <row r="7" spans="1:12">
      <c r="A7" s="3" t="s">
        <v>80</v>
      </c>
    </row>
    <row r="9" spans="1:12">
      <c r="A9" s="8" t="s">
        <v>81</v>
      </c>
      <c r="B9" s="8" t="s">
        <v>82</v>
      </c>
      <c r="C9" s="8" t="s">
        <v>83</v>
      </c>
      <c r="D9" s="8" t="s">
        <v>84</v>
      </c>
      <c r="E9" s="8" t="s">
        <v>85</v>
      </c>
      <c r="F9" s="8" t="s">
        <v>86</v>
      </c>
      <c r="G9" s="8" t="s">
        <v>87</v>
      </c>
      <c r="H9" s="8" t="s">
        <v>88</v>
      </c>
      <c r="I9" s="8" t="s">
        <v>89</v>
      </c>
      <c r="J9" s="8" t="s">
        <v>90</v>
      </c>
      <c r="K9" s="8" t="s">
        <v>91</v>
      </c>
      <c r="L9" s="8" t="s">
        <v>92</v>
      </c>
    </row>
    <row r="10" spans="1:12">
      <c r="A10" t="s">
        <v>31</v>
      </c>
      <c r="B10" s="5">
        <v>337.76</v>
      </c>
      <c r="C10" s="5">
        <v>375.19</v>
      </c>
      <c r="D10" s="5">
        <v>359.26</v>
      </c>
      <c r="E10" s="5">
        <v>358.99</v>
      </c>
      <c r="F10" s="5">
        <v>301.02</v>
      </c>
      <c r="G10" s="5">
        <v>299.58</v>
      </c>
      <c r="H10" s="5">
        <v>281.11</v>
      </c>
      <c r="I10" s="5">
        <v>222.12</v>
      </c>
      <c r="J10" s="5">
        <v>221.97</v>
      </c>
      <c r="K10" s="5">
        <v>223.32</v>
      </c>
      <c r="L10" s="5">
        <v>261.38</v>
      </c>
    </row>
    <row r="11" spans="1:12">
      <c r="A11" t="s">
        <v>32</v>
      </c>
      <c r="B11" s="5">
        <v>20</v>
      </c>
      <c r="C11" s="5">
        <v>20.8</v>
      </c>
      <c r="D11" s="5">
        <v>21.6</v>
      </c>
      <c r="E11" s="5">
        <v>22.4</v>
      </c>
      <c r="F11" s="5">
        <v>23</v>
      </c>
      <c r="G11" s="5">
        <v>23.4</v>
      </c>
      <c r="H11" s="5">
        <v>23.8</v>
      </c>
      <c r="I11" s="5">
        <v>24.2</v>
      </c>
      <c r="J11" s="5">
        <v>24.6</v>
      </c>
      <c r="K11" s="5">
        <v>24.9</v>
      </c>
    </row>
    <row r="12" spans="1:12">
      <c r="A12" t="s">
        <v>93</v>
      </c>
      <c r="B12" s="5">
        <v>1.056</v>
      </c>
      <c r="C12" s="5">
        <v>1.055</v>
      </c>
      <c r="D12" s="5">
        <v>1.028</v>
      </c>
      <c r="E12" s="5">
        <v>1.044</v>
      </c>
      <c r="F12" s="5">
        <v>1.031</v>
      </c>
      <c r="G12" s="5">
        <v>0.992</v>
      </c>
      <c r="H12" s="5">
        <v>1.026</v>
      </c>
      <c r="I12" s="5">
        <v>0.864</v>
      </c>
      <c r="J12" s="5">
        <v>1.131</v>
      </c>
      <c r="K12" s="5">
        <v>1.003</v>
      </c>
    </row>
    <row r="13" spans="1:12">
      <c r="A13" t="s">
        <v>94</v>
      </c>
      <c r="B13" s="12">
        <v>0.016</v>
      </c>
      <c r="C13" s="12">
        <v>0.013</v>
      </c>
      <c r="D13" s="12">
        <v>-0.006</v>
      </c>
      <c r="E13" s="12">
        <v>0.006</v>
      </c>
      <c r="F13" s="12">
        <v>0.033</v>
      </c>
      <c r="G13" s="12">
        <v>0.006</v>
      </c>
      <c r="H13" s="12">
        <v>0</v>
      </c>
      <c r="I13" s="12">
        <v>-0.019</v>
      </c>
      <c r="J13" s="12">
        <v>0.023</v>
      </c>
      <c r="K13" s="12">
        <v>0.034</v>
      </c>
    </row>
    <row r="16" spans="1:12">
      <c r="A16" s="9" t="s">
        <v>95</v>
      </c>
      <c r="B16" s="12">
        <v>-0.0449</v>
      </c>
    </row>
    <row r="17" spans="1:2">
      <c r="A17" s="9" t="s">
        <v>96</v>
      </c>
      <c r="B17" s="12">
        <v>0.0611</v>
      </c>
    </row>
    <row r="18" spans="1:2">
      <c r="A18" s="9" t="s">
        <v>97</v>
      </c>
      <c r="B18" s="5">
        <v>0.864</v>
      </c>
    </row>
    <row r="19" spans="1:2">
      <c r="A19" s="9" t="s">
        <v>98</v>
      </c>
      <c r="B19" s="12">
        <v>0.0112</v>
      </c>
    </row>
    <row r="21" spans="1:2">
      <c r="A21" s="13" t="s">
        <v>99</v>
      </c>
    </row>
    <row r="22" spans="1:2">
      <c r="A22" t="s">
        <v>100</v>
      </c>
    </row>
    <row r="23" spans="1:2">
      <c r="A23" t="s">
        <v>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cols>
    <col min="1" max="1" width="28.7109375" customWidth="1"/>
    <col min="2" max="2" width="90.7109375" customWidth="1"/>
  </cols>
  <sheetData>
    <row r="1" spans="1:2">
      <c r="A1" s="1" t="s">
        <v>102</v>
      </c>
    </row>
    <row r="4" spans="1:2">
      <c r="A4" s="9" t="s">
        <v>103</v>
      </c>
      <c r="B4" t="s">
        <v>104</v>
      </c>
    </row>
    <row r="5" spans="1:2">
      <c r="A5" s="9" t="s">
        <v>105</v>
      </c>
      <c r="B5" t="s">
        <v>106</v>
      </c>
    </row>
    <row r="6" spans="1:2">
      <c r="A6" s="9" t="s">
        <v>107</v>
      </c>
      <c r="B6" t="s">
        <v>108</v>
      </c>
    </row>
    <row r="7" spans="1:2">
      <c r="A7" s="9" t="s">
        <v>109</v>
      </c>
      <c r="B7" t="s">
        <v>110</v>
      </c>
    </row>
    <row r="8" spans="1:2">
      <c r="A8" s="9" t="s">
        <v>111</v>
      </c>
      <c r="B8" t="s">
        <v>112</v>
      </c>
    </row>
    <row r="9" spans="1:2">
      <c r="A9" s="9" t="s">
        <v>113</v>
      </c>
      <c r="B9" t="s">
        <v>114</v>
      </c>
    </row>
    <row r="10" spans="1:2">
      <c r="A10" s="9" t="s">
        <v>115</v>
      </c>
      <c r="B10" t="s">
        <v>116</v>
      </c>
    </row>
    <row r="11" spans="1:2">
      <c r="A11" s="9" t="s">
        <v>117</v>
      </c>
      <c r="B11" t="s">
        <v>118</v>
      </c>
    </row>
    <row r="12" spans="1:2">
      <c r="A12" s="9" t="s">
        <v>119</v>
      </c>
      <c r="B12" t="s">
        <v>120</v>
      </c>
    </row>
    <row r="13" spans="1:2">
      <c r="A13" s="9" t="s">
        <v>121</v>
      </c>
      <c r="B13" t="s">
        <v>122</v>
      </c>
    </row>
    <row r="14" spans="1:2">
      <c r="A14" s="9" t="s">
        <v>123</v>
      </c>
      <c r="B14" t="s">
        <v>124</v>
      </c>
    </row>
    <row r="15" spans="1:2">
      <c r="A15" s="9" t="s">
        <v>125</v>
      </c>
      <c r="B15" t="s">
        <v>126</v>
      </c>
    </row>
    <row r="16" spans="1:2">
      <c r="A16" s="9" t="s">
        <v>127</v>
      </c>
      <c r="B16" t="s">
        <v>128</v>
      </c>
    </row>
    <row r="17" spans="1:2">
      <c r="A17" s="9" t="s">
        <v>129</v>
      </c>
      <c r="B17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NAV Model</vt:lpstr>
      <vt:lpstr>Scenarios</vt:lpstr>
      <vt:lpstr>Sensitivity</vt:lpstr>
      <vt:lpstr>FCF Quality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2026-08-11T07:21:35Z</dcterms:created>
  <dcterms:modified xsi:type="dcterms:W3CDTF">2026-08-11T07:21:35Z</dcterms:modified>
</cp:coreProperties>
</file>