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<sst xmlns="http://schemas.openxmlformats.org/spreadsheetml/2006/main" count="360" uniqueCount="165">
  <si>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</si>
  <si>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WN.TO</t>
  </si>
  <si>
    <t xml:space="preserve">Company</t>
  </si>
  <si>
    <t xml:space="preserve">George Weston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</si>
  <si>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</si>
  <si>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</si>
  <si>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</si>
  <si>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</si>
  <si>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2026-10-09T20:00:00Z regular close (Yahoo regularMarketTime 1791576000)</t>
  </si>
  <si>
    <t xml:space="preserve">Balance sheet date</t>
  </si>
  <si>
    <t xml:space="preserve">2025-12-31</t>
  </si>
  <si>
    <t xml:space="preserve">Model</t>
  </si>
  <si>
    <t xml:space="preserve">Holdco look-through sum-of-the-parts NAV: proportionate Loblaw and Choice Properties equity cash flows capitalised at cost of equity (engine route)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</si>
  <si>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</si>
  <si>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</si>
  <si>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</si>
  <si>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</si>
  <si>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</si>
  <si>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</si>
  <si>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</si>
  <si>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</si>
  <si>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2026-10-10T11:15:44Z</t>
  </si>
  <si>
    <t xml:space="preserve">Drivers file</t>
  </si>
  <si>
    <t xml:space="preserve">WN.TO_Drivers.json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</si>
  <si>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</si>
  <si>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</si>
  <si>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</si>
  <si>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George Weston is valued as what it is: a holding company whose shareholders own 52.6% of Loblaw's and ~61.7% of Choice Properties' equity cash flows, less a holdco cost and leakage layer and GWL Corporate's own debt and preferred shares. The C$64.5bn of consolidated revenue is a consolidation artifact. MARKET SOTP (management's NAV method, live prices at inputs.price_as_of, 2025-12-31 holdings): Loblaw 618.7M sh x C$62.64 = C$38,755M + Choice Properties 446.4M units x C$14.77 = C$6,593M - GWL Corporate debt 498 - preferred shares 835 + cash 301 (= -1,032) = C$44,317M / 379.5M shares = C$116.78 NAV/share (company's own FY2025-end figure: C$115.86). The stock at the current price trades ~13% below that market NAV (18% at FY2025-end). INTRINSIC SOTP (this model): instead of trusting the subsidiaries' share prices, the proportionate equity cash flows of both are capitalised at a 7.5% CAD cost of equity: FY0 look-through adjusted earnings C$1,668M (Loblaw 1,437 + Choice 446 - consolidation 76 - corporate 140) on C$33,852M of proportionate revenue, converted to owner FCF at 70% during the 2026-2030 capex plan and 85% terminal, less GWL Corporate net debt and prefs (C$1,032M), plus GWL's share of PC Financial sale proceeds (C$421M). The two NAVs answer different questions: the market NAV says how wide the holdco discount is; the intrinsic NAV says whether the underlying Loblaw/Choice prices are themselves justified. Loblaw at ~26x adjusted earnings is priced richly; the intrinsic look-through value comes in BELOW the market NAV, so most of the observed 'holdco discount' is the market declining to pay Loblaw's own multiple twice, plus the capitalised corporate drag (~C$140M/yr is ~C$2.5bn, ~C$6.5/share at 7.5%/2% growth), rather than a free mispricing.
key_risks_to_valuation: Look-through conversion of earnings to owner FCF (70% -&gt; 85%) is an estimate: Loblaw's standalone FCF is not in the extracted GWL filings, and every 5pp of terminal conversion is worth roughly C$4-5/share.; The stream is valued at one cost of equity for a blend of grocery (~85% of value) and REIT equity (~15%); Choice Properties would merit a similar rate given its 7.0x Debt/EBITDAFV leverage.; Holdings vintage: stakes, corporate net debt and GWL share count are all 2025-12-31; 2026 interims are not extracted. Mutually consistent, but a re-anchor to Q3-2026 is needed.; Capital-gains tax on GWL's NCIB participation (low tax basis in Loblaw) is a permanent leakage; if GWL sold larger blocks the tax drag would rise.; Grocery affordability politics: a code of conduct with pricing teeth or windfall-tax rhetoric hits ~85% of the value at once.; Controlled company (Wittington ~59%): no takeover or activist path to close the discount; the only lever is the buyback.</t>
  </si>
  <si>
    <t xml:space="preserve">Data sources</t>
  </si>
  <si>
    <t xml:space="preserve">price: Yahoo Finance chart API at inputs.price_as_of (WN.TO regular close; L.TO and CHP-UN.TO closes at the same timestamp for the market SOTP); 52-week range 83.18-107.94.
financials: GWL FY2025 Annual Report (research/WN.TO/Extracted/WN.TO_Annual_FY2025.txt): segment highlights and adjusted net earnings contribution table (lines ~1110-1330), GWL Corporate free cash flow (lines 557-576), Net Asset Value table (lines 2310-2375), Loblaw NCIB participation (line ~1611), Outlook (line 4508). Metrics.csv for consolidated history (post-split share basis).
qualitative: research/WN.TO/Reports/WN.TO_Analysis.json</t>
  </si>
  <si>
    <t xml:space="preserve">Scenario narrative: bear</t>
  </si>
  <si>
    <t xml:space="preserve">Political and competitive pressure caps grocery margins: a federal grocery code of conduct with teeth or price-control rhetoric, Costco/Walmart/Metro matching on price, and hard-discount stores cannibalising conventional banners leave the look-through earnings margin drifting down to 4.7%. Sales growth slows to ~2-3% in a weak Canadian consumer environment, the capex plan earns near its cost of capital (80% terminal conversion), and higher Canadian rates widen Choice Properties' cap rates. The bread price-fixing legacy produces further civil claims (Metro/Sobeys).</t>
  </si>
  <si>
    <t xml:space="preserve">Scenario narrative: base</t>
  </si>
  <si>
    <t xml:space="preserve">Loblaw executes its 2026 guide: ~4% sales growth as ~75 mostly hard-discount stores open each year, earnings outgrowing sales on private label, PC Optimum retail media and pharmacy-services mix, while the C$10bn 2026-2030 capex plan holds owner-FCF conversion near 70% before it normalises to 85%. Choice Properties delivers 2-3% same-asset NOI and FFO/unit of C$1.08-1.10. GWL keeps its stake percentages flat by selling into Loblaw's NCIB and pays ~C$140M/yr of corporate cost and cash tax on those disposals. The holdco discount is an observation about price, not a cash flow; it is not charged in the value beyond that corporate leakage.</t>
  </si>
  <si>
    <t xml:space="preserve">Scenario narrative: bull</t>
  </si>
  <si>
    <t xml:space="preserve">The discount-format land grab works: No Frills/Maxi maturation and pharmacy scope-of-practice expansion lift look-through sales growth toward 5% and the earnings margin to ~5.7%, PC Optimum data monetisation scales, and once the network build is done reinvestment needs fall (88% conversion). Choice Properties' First Capital deal (with KingSett) is accretive and lifts NAV growth. GWL's own NCIB, including Wittington participation, keeps shrinking the share count at a discount to NAV, which is accretive per share.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</si>
  <si>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</si>
  <si>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</si>
  <si>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</si>
  <si>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</si>
  <si>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</si>
  <si>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</si>
  <si>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</si>
  <si>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</si>
  <si>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</si>
  <si>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</si>
  <si>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</si>
  <si>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</si>
  <si>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</si>
  <si>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</si>
  <si>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</si>
  <si>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</si>
  <si>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</si>
  <si>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</si>
  <si>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</si>
  <si>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</si>
  <si>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</si>
  <si>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</si>
  <si>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</si>
  <si>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</si>
  <si>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</si>
  <si>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</si>
  <si>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</si>
  <si>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</si>
  <si>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</si>
  <si>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</si>
  <si>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</si>
  <si>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</si>
  <si>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</si>
  <si>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</si>
  <si>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</si>
  <si>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</si>
  <si>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</si>
  <si>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</si>
  <si>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</si>
  <si>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</si>
  <si>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</si>
  <si>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</si>
  <si>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</si>
  <si>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</si>
  <si>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</si>
  <si>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</si>
  <si>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</si>
  <si>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</si>
  <si>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</si>
  <si>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</si>
  <si>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</si>
  <si>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</si>
  <si>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</si>
  <si>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</si>
  <si>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</si>
  <si>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</si>
  <si>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</si>
  <si>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</si>
  <si>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</si>
  <si>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</si>
  <si>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</si>
  <si>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</si>
  <si>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</si>
  <si>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</si>
  <si>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</si>
  <si>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</si>
  <si>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</si>
  <si>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</si>
  <si>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</si>
  <si>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</si>
  <si>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</si>
  <si>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</si>
  <si>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</si>
  <si>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</si>
  <si>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WN.TO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</si>
  <si>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</si>
  <si>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</si>
  <si>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</si>
  <si>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</si>
  <si>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</si>
  <si>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</si>
  <si>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</si>
  <si>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</si>
  <si>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</si>
  <si>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</si>
  <si>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</si>
  <si>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</si>
  <si>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</si>
  <si>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</si>
  <si>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</si>
  <si>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</si>
  <si>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</si>
  <si>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</si>
  <si>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</si>
  <si>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</si>
  <si>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</si>
  <si>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</si>
  <si>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</si>
  <si>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</si>
  <si>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</si>
  <si>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</si>
  <si>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</si>
  <si>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</si>
  <si>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</si>
  <si>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</si>
  <si>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WN.TO owner-FCF component DCF: base case (millions, CAD)</t>
  </si>
  <si>
    <t xml:space="preserve">WN.TO owner-FCF component DCF: bull case (millions, CAD)</t>
  </si>
  <si>
    <t xml:space="preserve">WN.TO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</si>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</sst>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101.19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47999</v>
      </c>
      <c r="F2" s="0" t="n">
        <v>2255</v>
      </c>
      <c r="G2" s="0" t="n">
        <v>4.7</v>
      </c>
      <c r="H2" s="0" t="n">
        <v>3909</v>
      </c>
      <c r="I2" s="0" t="n">
        <v>550</v>
      </c>
      <c r="J2" s="0" t="n">
        <v>1.1</v>
      </c>
      <c r="K2" s="0" t="n">
        <v>1.3</v>
      </c>
      <c r="L2" s="0" t="n">
        <v>3760</v>
      </c>
      <c r="M2" s="0" t="n">
        <v>1465</v>
      </c>
      <c r="N2" s="0" t="n">
        <v>2295</v>
      </c>
      <c r="O2" s="0" t="n">
        <v>7764</v>
      </c>
      <c r="P2" s="0" t="n">
        <v>37946</v>
      </c>
      <c r="Q2" s="0" t="n">
        <v>23156</v>
      </c>
      <c r="R2" s="0" t="n">
        <v>13141</v>
      </c>
      <c r="S2" s="0" t="n">
        <v>2571</v>
      </c>
      <c r="T2" s="0" t="n">
        <v>384.1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48292</v>
      </c>
      <c r="F3" s="0" t="n">
        <v>2540</v>
      </c>
      <c r="G3" s="0" t="n">
        <v>5.3</v>
      </c>
      <c r="H3" s="0" t="n">
        <v>4225</v>
      </c>
      <c r="I3" s="0" t="n">
        <v>759</v>
      </c>
      <c r="J3" s="0" t="n">
        <v>1.6</v>
      </c>
      <c r="K3" s="0" t="n">
        <v>1.8433</v>
      </c>
      <c r="L3" s="0" t="n">
        <v>3425</v>
      </c>
      <c r="M3" s="0" t="n">
        <v>1474</v>
      </c>
      <c r="N3" s="0" t="n">
        <v>1951</v>
      </c>
      <c r="O3" s="0" t="n">
        <v>7894</v>
      </c>
      <c r="P3" s="0" t="n">
        <v>38499</v>
      </c>
      <c r="Q3" s="0" t="n">
        <v>23786</v>
      </c>
      <c r="R3" s="0" t="n">
        <v>13460</v>
      </c>
      <c r="S3" s="0" t="n">
        <v>3147</v>
      </c>
      <c r="T3" s="0" t="n">
        <v>383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48568</v>
      </c>
      <c r="F4" s="0" t="n">
        <v>2585</v>
      </c>
      <c r="G4" s="0" t="n">
        <v>5.3</v>
      </c>
      <c r="H4" s="0" t="n">
        <v>4331</v>
      </c>
      <c r="I4" s="0" t="n">
        <v>574</v>
      </c>
      <c r="J4" s="0" t="n">
        <v>1.2</v>
      </c>
      <c r="K4" s="0" t="n">
        <v>1.33</v>
      </c>
      <c r="L4" s="0" t="n">
        <v>2719</v>
      </c>
      <c r="M4" s="0" t="n">
        <v>1593</v>
      </c>
      <c r="N4" s="0" t="n">
        <v>1126</v>
      </c>
      <c r="O4" s="0" t="n">
        <v>8040</v>
      </c>
      <c r="P4" s="0" t="n">
        <v>43814</v>
      </c>
      <c r="Q4" s="0" t="n">
        <v>29610</v>
      </c>
      <c r="R4" s="0" t="n">
        <v>16953</v>
      </c>
      <c r="S4" s="0" t="n">
        <v>1802</v>
      </c>
      <c r="T4" s="0" t="n">
        <v>395.5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50109</v>
      </c>
      <c r="F5" s="0" t="n">
        <v>2958</v>
      </c>
      <c r="G5" s="0" t="n">
        <v>5.9</v>
      </c>
      <c r="H5" s="0" t="n">
        <v>5276</v>
      </c>
      <c r="I5" s="0" t="n">
        <v>242</v>
      </c>
      <c r="J5" s="0" t="n">
        <v>0.5</v>
      </c>
      <c r="K5" s="0" t="n">
        <v>0.42</v>
      </c>
      <c r="L5" s="0" t="n">
        <v>4555</v>
      </c>
      <c r="M5" s="0" t="n">
        <v>1558</v>
      </c>
      <c r="N5" s="0" t="n">
        <v>2997</v>
      </c>
      <c r="O5" s="0" t="n">
        <v>7609</v>
      </c>
      <c r="P5" s="0" t="n">
        <v>47813</v>
      </c>
      <c r="Q5" s="0" t="n">
        <v>34638</v>
      </c>
      <c r="R5" s="0" t="n">
        <v>16061</v>
      </c>
      <c r="S5" s="0" t="n">
        <v>2063</v>
      </c>
      <c r="T5" s="0" t="n">
        <v>460.5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54705</v>
      </c>
      <c r="F6" s="0" t="n">
        <v>2888</v>
      </c>
      <c r="G6" s="0" t="n">
        <v>5.3</v>
      </c>
      <c r="H6" s="0" t="n">
        <v>5315</v>
      </c>
      <c r="I6" s="0" t="n">
        <v>963</v>
      </c>
      <c r="J6" s="0" t="n">
        <v>1.8</v>
      </c>
      <c r="K6" s="0" t="n">
        <v>1.9867</v>
      </c>
      <c r="L6" s="0" t="n">
        <v>5521</v>
      </c>
      <c r="M6" s="0" t="n">
        <v>1592</v>
      </c>
      <c r="N6" s="0" t="n">
        <v>3929</v>
      </c>
      <c r="O6" s="0" t="n">
        <v>7811</v>
      </c>
      <c r="P6" s="0" t="n">
        <v>48075</v>
      </c>
      <c r="Q6" s="0" t="n">
        <v>34657</v>
      </c>
      <c r="R6" s="0" t="n">
        <v>15864</v>
      </c>
      <c r="S6" s="0" t="n">
        <v>3156</v>
      </c>
      <c r="T6" s="0" t="n">
        <v>460.3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53748</v>
      </c>
      <c r="F7" s="0" t="n">
        <v>4027</v>
      </c>
      <c r="G7" s="0" t="n">
        <v>7.5</v>
      </c>
      <c r="H7" s="0" t="n">
        <v>6446</v>
      </c>
      <c r="I7" s="0" t="n">
        <v>431</v>
      </c>
      <c r="J7" s="0" t="n">
        <v>0.8</v>
      </c>
      <c r="K7" s="0" t="n">
        <v>0.84</v>
      </c>
      <c r="L7" s="0" t="n">
        <v>5107</v>
      </c>
      <c r="M7" s="0" t="n">
        <v>1456</v>
      </c>
      <c r="N7" s="0" t="n">
        <v>3651</v>
      </c>
      <c r="O7" s="0" t="n">
        <v>6959</v>
      </c>
      <c r="P7" s="0" t="n">
        <v>47083</v>
      </c>
      <c r="Q7" s="0" t="n">
        <v>33946</v>
      </c>
      <c r="R7" s="0" t="n">
        <v>14512</v>
      </c>
      <c r="S7" s="0" t="n">
        <v>3863</v>
      </c>
      <c r="T7" s="0" t="n">
        <v>448.3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57048</v>
      </c>
      <c r="F8" s="0" t="n">
        <v>4553</v>
      </c>
      <c r="G8" s="0" t="n">
        <v>8</v>
      </c>
      <c r="H8" s="0" t="n">
        <v>6960</v>
      </c>
      <c r="I8" s="0" t="n">
        <v>1816</v>
      </c>
      <c r="J8" s="0" t="n">
        <v>3.2</v>
      </c>
      <c r="K8" s="0" t="n">
        <v>4.0533</v>
      </c>
      <c r="L8" s="0" t="n">
        <v>4877</v>
      </c>
      <c r="M8" s="0" t="n">
        <v>1893</v>
      </c>
      <c r="N8" s="0" t="n">
        <v>2984</v>
      </c>
      <c r="O8" s="0" t="n">
        <v>6841</v>
      </c>
      <c r="P8" s="0" t="n">
        <v>48958</v>
      </c>
      <c r="Q8" s="0" t="n">
        <v>35778</v>
      </c>
      <c r="R8" s="0" t="n">
        <v>15492</v>
      </c>
      <c r="S8" s="0" t="n">
        <v>2816</v>
      </c>
      <c r="T8" s="0" t="n">
        <v>432.5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60124</v>
      </c>
      <c r="F9" s="0" t="n">
        <v>4363</v>
      </c>
      <c r="G9" s="0" t="n">
        <v>7.3</v>
      </c>
      <c r="H9" s="0" t="n">
        <v>6895</v>
      </c>
      <c r="I9" s="0" t="n">
        <v>1540</v>
      </c>
      <c r="J9" s="0" t="n">
        <v>2.6</v>
      </c>
      <c r="K9" s="0" t="n">
        <v>3.5833</v>
      </c>
      <c r="L9" s="0" t="n">
        <v>5851</v>
      </c>
      <c r="M9" s="0" t="n">
        <v>2342</v>
      </c>
      <c r="N9" s="0" t="n">
        <v>3509</v>
      </c>
      <c r="O9" s="0" t="n">
        <v>6675</v>
      </c>
      <c r="P9" s="0" t="n">
        <v>49770</v>
      </c>
      <c r="Q9" s="0" t="n">
        <v>36307</v>
      </c>
      <c r="R9" s="0" t="n">
        <v>15859</v>
      </c>
      <c r="S9" s="0" t="n">
        <v>2923</v>
      </c>
      <c r="T9" s="0" t="n">
        <v>412.5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61608</v>
      </c>
      <c r="F10" s="0" t="n">
        <v>4376</v>
      </c>
      <c r="G10" s="0" t="n">
        <v>7.1</v>
      </c>
      <c r="H10" s="0" t="n">
        <v>6987</v>
      </c>
      <c r="I10" s="0" t="n">
        <v>1359</v>
      </c>
      <c r="J10" s="0" t="n">
        <v>2.2</v>
      </c>
      <c r="K10" s="0" t="n">
        <v>3.2667</v>
      </c>
      <c r="L10" s="0" t="n">
        <v>6065</v>
      </c>
      <c r="M10" s="0" t="n">
        <v>2395</v>
      </c>
      <c r="N10" s="0" t="n">
        <v>3670</v>
      </c>
      <c r="O10" s="0" t="n">
        <v>6242</v>
      </c>
      <c r="P10" s="0" t="n">
        <v>51436</v>
      </c>
      <c r="Q10" s="0" t="n">
        <v>38299</v>
      </c>
      <c r="R10" s="0" t="n">
        <v>16184</v>
      </c>
      <c r="S10" s="0" t="n">
        <v>2696</v>
      </c>
      <c r="T10" s="0" t="n">
        <v>396.5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64511</v>
      </c>
      <c r="F11" s="0" t="n">
        <v>5100</v>
      </c>
      <c r="G11" s="0" t="n">
        <v>7.9</v>
      </c>
      <c r="H11" s="0" t="n">
        <v>7480</v>
      </c>
      <c r="I11" s="0" t="n">
        <v>1142</v>
      </c>
      <c r="J11" s="0" t="n">
        <v>1.8</v>
      </c>
      <c r="K11" s="0" t="n">
        <v>2.8</v>
      </c>
      <c r="L11" s="0" t="n">
        <v>6262</v>
      </c>
      <c r="M11" s="0" t="n">
        <v>2411</v>
      </c>
      <c r="N11" s="0" t="n">
        <v>3851</v>
      </c>
      <c r="O11" s="0" t="n">
        <v>5280</v>
      </c>
      <c r="P11" s="0" t="n">
        <v>52167</v>
      </c>
      <c r="Q11" s="0" t="n">
        <v>39557</v>
      </c>
      <c r="R11" s="0" t="n">
        <v>13194</v>
      </c>
      <c r="S11" s="0" t="n">
        <v>1493</v>
      </c>
      <c r="T11" s="0" t="n">
        <v>383.9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101.19</v>
      </c>
    </row>
    <row r="3" customFormat="false" ht="15" hidden="false" customHeight="false" outlineLevel="0" collapsed="false">
      <c r="A3" s="0" t="s">
        <v>76</v>
      </c>
      <c r="B3" s="3" t="n">
        <v>380.5</v>
      </c>
    </row>
    <row r="4" customFormat="false" ht="15" hidden="false" customHeight="false" outlineLevel="0" collapsed="false">
      <c r="A4" s="0" t="s">
        <v>77</v>
      </c>
      <c r="B4" s="3" t="n">
        <v>1032</v>
      </c>
    </row>
    <row r="5" customFormat="false" ht="15" hidden="false" customHeight="false" outlineLevel="0" collapsed="false">
      <c r="A5" s="0" t="s">
        <v>78</v>
      </c>
      <c r="B5" s="3" t="n">
        <v>421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33852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3</v>
      </c>
      <c r="D13" s="3" t="n">
        <v>2.8</v>
      </c>
      <c r="E13" s="3" t="n">
        <v>2.6</v>
      </c>
      <c r="F13" s="3" t="n">
        <v>2.5</v>
      </c>
      <c r="G13" s="3" t="n">
        <v>2.4</v>
      </c>
      <c r="H13" s="3" t="n">
        <v>2.3</v>
      </c>
      <c r="I13" s="3" t="n">
        <v>2.2</v>
      </c>
      <c r="J13" s="3" t="n">
        <v>2.1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4.9</v>
      </c>
      <c r="D14" s="3" t="n">
        <v>4.85</v>
      </c>
      <c r="E14" s="3" t="n">
        <v>4.8</v>
      </c>
      <c r="F14" s="3" t="n">
        <v>4.78</v>
      </c>
      <c r="G14" s="3" t="n">
        <v>4.75</v>
      </c>
      <c r="H14" s="3" t="n">
        <v>4.72</v>
      </c>
      <c r="I14" s="3" t="n">
        <v>4.7</v>
      </c>
      <c r="J14" s="3" t="n">
        <v>4.7</v>
      </c>
      <c r="K14" s="3" t="n">
        <v>4.7</v>
      </c>
      <c r="L14" s="3" t="n">
        <v>4.7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101</v>
      </c>
      <c r="C18" s="3" t="n">
        <v>1.57</v>
      </c>
      <c r="D18" s="3" t="n">
        <v>1.55</v>
      </c>
      <c r="E18" s="3" t="n">
        <v>1.44</v>
      </c>
      <c r="F18" s="3" t="n">
        <v>1.34</v>
      </c>
      <c r="G18" s="3" t="n">
        <v>1.24</v>
      </c>
      <c r="H18" s="3" t="n">
        <v>1.13</v>
      </c>
      <c r="I18" s="3" t="n">
        <v>1.03</v>
      </c>
      <c r="J18" s="3" t="n">
        <v>0.94</v>
      </c>
      <c r="K18" s="3" t="n">
        <v>0.94</v>
      </c>
      <c r="L18" s="3" t="n">
        <v>0.94</v>
      </c>
    </row>
    <row r="19" customFormat="false" ht="15" hidden="false" customHeight="false" outlineLevel="0" collapsed="false">
      <c r="A19" s="0" t="s">
        <v>102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103</v>
      </c>
      <c r="B20" s="3" t="n">
        <v>7.5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20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0.2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4</v>
      </c>
      <c r="D27" s="3" t="n">
        <v>4</v>
      </c>
      <c r="E27" s="3" t="n">
        <v>3.8</v>
      </c>
      <c r="F27" s="3" t="n">
        <v>3.6</v>
      </c>
      <c r="G27" s="3" t="n">
        <v>3.4</v>
      </c>
      <c r="H27" s="3" t="n">
        <v>3.2</v>
      </c>
      <c r="I27" s="3" t="n">
        <v>3</v>
      </c>
      <c r="J27" s="3" t="n">
        <v>2.8</v>
      </c>
      <c r="K27" s="3" t="n">
        <v>2.6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5</v>
      </c>
      <c r="D28" s="3" t="n">
        <v>5.08</v>
      </c>
      <c r="E28" s="3" t="n">
        <v>5.15</v>
      </c>
      <c r="F28" s="3" t="n">
        <v>5.21</v>
      </c>
      <c r="G28" s="3" t="n">
        <v>5.26</v>
      </c>
      <c r="H28" s="3" t="n">
        <v>5.3</v>
      </c>
      <c r="I28" s="3" t="n">
        <v>5.33</v>
      </c>
      <c r="J28" s="3" t="n">
        <v>5.35</v>
      </c>
      <c r="K28" s="3" t="n">
        <v>5.36</v>
      </c>
      <c r="L28" s="3" t="n">
        <v>5.36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101</v>
      </c>
      <c r="C32" s="3" t="n">
        <v>1.5</v>
      </c>
      <c r="D32" s="3" t="n">
        <v>1.52</v>
      </c>
      <c r="E32" s="3" t="n">
        <v>1.44</v>
      </c>
      <c r="F32" s="3" t="n">
        <v>1.35</v>
      </c>
      <c r="G32" s="3" t="n">
        <v>1.21</v>
      </c>
      <c r="H32" s="3" t="n">
        <v>1.06</v>
      </c>
      <c r="I32" s="3" t="n">
        <v>0.96</v>
      </c>
      <c r="J32" s="3" t="n">
        <v>0.86</v>
      </c>
      <c r="K32" s="3" t="n">
        <v>0.8</v>
      </c>
      <c r="L32" s="3" t="n">
        <v>0.8</v>
      </c>
    </row>
    <row r="33" customFormat="false" ht="15" hidden="false" customHeight="false" outlineLevel="0" collapsed="false">
      <c r="A33" s="0" t="s">
        <v>102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103</v>
      </c>
      <c r="B34" s="3" t="n">
        <v>7.5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20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4.8</v>
      </c>
      <c r="D41" s="3" t="n">
        <v>4.8</v>
      </c>
      <c r="E41" s="3" t="n">
        <v>4.6</v>
      </c>
      <c r="F41" s="3" t="n">
        <v>4.4</v>
      </c>
      <c r="G41" s="3" t="n">
        <v>4.2</v>
      </c>
      <c r="H41" s="3" t="n">
        <v>4</v>
      </c>
      <c r="I41" s="3" t="n">
        <v>3.7</v>
      </c>
      <c r="J41" s="3" t="n">
        <v>3.4</v>
      </c>
      <c r="K41" s="3" t="n">
        <v>3.1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5.02</v>
      </c>
      <c r="D42" s="3" t="n">
        <v>5.15</v>
      </c>
      <c r="E42" s="3" t="n">
        <v>5.28</v>
      </c>
      <c r="F42" s="3" t="n">
        <v>5.4</v>
      </c>
      <c r="G42" s="3" t="n">
        <v>5.5</v>
      </c>
      <c r="H42" s="3" t="n">
        <v>5.58</v>
      </c>
      <c r="I42" s="3" t="n">
        <v>5.64</v>
      </c>
      <c r="J42" s="3" t="n">
        <v>5.68</v>
      </c>
      <c r="K42" s="3" t="n">
        <v>5.7</v>
      </c>
      <c r="L42" s="3" t="n">
        <v>5.7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101</v>
      </c>
      <c r="C46" s="3" t="n">
        <v>1.51</v>
      </c>
      <c r="D46" s="3" t="n">
        <v>1.49</v>
      </c>
      <c r="E46" s="3" t="n">
        <v>1.43</v>
      </c>
      <c r="F46" s="3" t="n">
        <v>1.3</v>
      </c>
      <c r="G46" s="3" t="n">
        <v>1.16</v>
      </c>
      <c r="H46" s="3" t="n">
        <v>1</v>
      </c>
      <c r="I46" s="3" t="n">
        <v>0.85</v>
      </c>
      <c r="J46" s="3" t="n">
        <v>0.74</v>
      </c>
      <c r="K46" s="3" t="n">
        <v>0.68</v>
      </c>
      <c r="L46" s="3" t="n">
        <v>0.68</v>
      </c>
    </row>
    <row r="47" customFormat="false" ht="15" hidden="false" customHeight="false" outlineLevel="0" collapsed="false">
      <c r="A47" s="0" t="s">
        <v>102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103</v>
      </c>
      <c r="B48" s="3" t="n">
        <v>7.5</v>
      </c>
    </row>
    <row r="49" customFormat="false" ht="15" hidden="false" customHeight="false" outlineLevel="0" collapsed="false">
      <c r="A49" s="0" t="s">
        <v>104</v>
      </c>
      <c r="B49" s="3" t="n">
        <v>2.75</v>
      </c>
    </row>
    <row r="50" customFormat="false" ht="15" hidden="false" customHeight="false" outlineLevel="0" collapsed="false">
      <c r="A50" s="0" t="s">
        <v>105</v>
      </c>
      <c r="B50" s="3" t="n">
        <v>20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3</v>
      </c>
      <c r="D5" s="4" t="n">
        <f aca="false">Assumptions!D13</f>
        <v>2.8</v>
      </c>
      <c r="E5" s="4" t="n">
        <f aca="false">Assumptions!E13</f>
        <v>2.6</v>
      </c>
      <c r="F5" s="4" t="n">
        <f aca="false">Assumptions!F13</f>
        <v>2.5</v>
      </c>
      <c r="G5" s="4" t="n">
        <f aca="false">Assumptions!G13</f>
        <v>2.4</v>
      </c>
      <c r="H5" s="4" t="n">
        <f aca="false">Assumptions!H13</f>
        <v>2.3</v>
      </c>
      <c r="I5" s="4" t="n">
        <f aca="false">Assumptions!I13</f>
        <v>2.2</v>
      </c>
      <c r="J5" s="4" t="n">
        <f aca="false">Assumptions!J13</f>
        <v>2.1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33852</v>
      </c>
      <c r="C6" s="0" t="n">
        <f aca="false">B6*(1+C5/100)</f>
        <v>34867.56</v>
      </c>
      <c r="D6" s="0" t="n">
        <f aca="false">C6*(1+D5/100)</f>
        <v>35843.85168</v>
      </c>
      <c r="E6" s="0" t="n">
        <f aca="false">D6*(1+E5/100)</f>
        <v>36775.79182368</v>
      </c>
      <c r="F6" s="0" t="n">
        <f aca="false">E6*(1+F5/100)</f>
        <v>37695.186619272</v>
      </c>
      <c r="G6" s="0" t="n">
        <f aca="false">F6*(1+G5/100)</f>
        <v>38599.8710981345</v>
      </c>
      <c r="H6" s="0" t="n">
        <f aca="false">G6*(1+H5/100)</f>
        <v>39487.6681333916</v>
      </c>
      <c r="I6" s="0" t="n">
        <f aca="false">H6*(1+I5/100)</f>
        <v>40356.3968323262</v>
      </c>
      <c r="J6" s="0" t="n">
        <f aca="false">I6*(1+J5/100)</f>
        <v>41203.8811658051</v>
      </c>
      <c r="K6" s="0" t="n">
        <f aca="false">J6*(1+K5/100)</f>
        <v>42027.9587891212</v>
      </c>
      <c r="L6" s="0" t="n">
        <f aca="false">K6*(1+L5/100)</f>
        <v>42868.5179649036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4.9</v>
      </c>
      <c r="D7" s="4" t="n">
        <f aca="false">Assumptions!D14</f>
        <v>4.85</v>
      </c>
      <c r="E7" s="4" t="n">
        <f aca="false">Assumptions!E14</f>
        <v>4.8</v>
      </c>
      <c r="F7" s="4" t="n">
        <f aca="false">Assumptions!F14</f>
        <v>4.78</v>
      </c>
      <c r="G7" s="4" t="n">
        <f aca="false">Assumptions!G14</f>
        <v>4.75</v>
      </c>
      <c r="H7" s="4" t="n">
        <f aca="false">Assumptions!H14</f>
        <v>4.72</v>
      </c>
      <c r="I7" s="4" t="n">
        <f aca="false">Assumptions!I14</f>
        <v>4.7</v>
      </c>
      <c r="J7" s="4" t="n">
        <f aca="false">Assumptions!J14</f>
        <v>4.7</v>
      </c>
      <c r="K7" s="4" t="n">
        <f aca="false">Assumptions!K14</f>
        <v>4.7</v>
      </c>
      <c r="L7" s="4" t="n">
        <f aca="false">Assumptions!L14</f>
        <v>4.7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1708.51044</v>
      </c>
      <c r="D8" s="0" t="n">
        <f aca="false">D6*D7/100</f>
        <v>1738.42680648</v>
      </c>
      <c r="E8" s="0" t="n">
        <f aca="false">E6*E7/100</f>
        <v>1765.23800753664</v>
      </c>
      <c r="F8" s="0" t="n">
        <f aca="false">F6*F7/100</f>
        <v>1801.8299204012</v>
      </c>
      <c r="G8" s="0" t="n">
        <f aca="false">G6*G7/100</f>
        <v>1833.49387716139</v>
      </c>
      <c r="H8" s="0" t="n">
        <f aca="false">H6*H7/100</f>
        <v>1863.81793589608</v>
      </c>
      <c r="I8" s="0" t="n">
        <f aca="false">I6*I7/100</f>
        <v>1896.75065111933</v>
      </c>
      <c r="J8" s="0" t="n">
        <f aca="false">J6*J7/100</f>
        <v>1936.58241479284</v>
      </c>
      <c r="K8" s="0" t="n">
        <f aca="false">K6*K7/100</f>
        <v>1975.3140630887</v>
      </c>
      <c r="L8" s="0" t="n">
        <f aca="false">L6*L7/100</f>
        <v>2014.82034435047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1708.51044</v>
      </c>
      <c r="D11" s="0" t="n">
        <f aca="false">D8+D10+D24</f>
        <v>1738.42680648</v>
      </c>
      <c r="E11" s="0" t="n">
        <f aca="false">E8+E10+E24</f>
        <v>1765.23800753664</v>
      </c>
      <c r="F11" s="0" t="n">
        <f aca="false">F8+F10+F24</f>
        <v>1801.8299204012</v>
      </c>
      <c r="G11" s="0" t="n">
        <f aca="false">G8+G10+G24</f>
        <v>1833.49387716139</v>
      </c>
      <c r="H11" s="0" t="n">
        <f aca="false">H8+H10+H24</f>
        <v>1863.81793589608</v>
      </c>
      <c r="I11" s="0" t="n">
        <f aca="false">I8+I10+I24</f>
        <v>1896.75065111933</v>
      </c>
      <c r="J11" s="0" t="n">
        <f aca="false">J8+J10+J24</f>
        <v>1936.58241479284</v>
      </c>
      <c r="K11" s="0" t="n">
        <f aca="false">K8+K10+K24</f>
        <v>1975.3140630887</v>
      </c>
      <c r="L11" s="0" t="n">
        <f aca="false">L8+L10+L24</f>
        <v>2014.82034435047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1708.51044</v>
      </c>
      <c r="D13" s="0" t="n">
        <f aca="false">D11+D12</f>
        <v>1738.42680648</v>
      </c>
      <c r="E13" s="0" t="n">
        <f aca="false">E11+E12</f>
        <v>1765.23800753664</v>
      </c>
      <c r="F13" s="0" t="n">
        <f aca="false">F11+F12</f>
        <v>1801.8299204012</v>
      </c>
      <c r="G13" s="0" t="n">
        <f aca="false">G11+G12</f>
        <v>1833.49387716139</v>
      </c>
      <c r="H13" s="0" t="n">
        <f aca="false">H11+H12</f>
        <v>1863.81793589608</v>
      </c>
      <c r="I13" s="0" t="n">
        <f aca="false">I11+I12</f>
        <v>1896.75065111933</v>
      </c>
      <c r="J13" s="0" t="n">
        <f aca="false">J11+J12</f>
        <v>1936.58241479284</v>
      </c>
      <c r="K13" s="0" t="n">
        <f aca="false">K11+K12</f>
        <v>1975.3140630887</v>
      </c>
      <c r="L13" s="0" t="n">
        <f aca="false">L11+L12</f>
        <v>2014.82034435047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1708.51044</v>
      </c>
      <c r="D15" s="0" t="n">
        <f aca="false">D13-MAX(0,D13)*D14/100</f>
        <v>1738.42680648</v>
      </c>
      <c r="E15" s="0" t="n">
        <f aca="false">E13-MAX(0,E13)*E14/100</f>
        <v>1765.23800753664</v>
      </c>
      <c r="F15" s="0" t="n">
        <f aca="false">F13-MAX(0,F13)*F14/100</f>
        <v>1801.8299204012</v>
      </c>
      <c r="G15" s="0" t="n">
        <f aca="false">G13-MAX(0,G13)*G14/100</f>
        <v>1833.49387716139</v>
      </c>
      <c r="H15" s="0" t="n">
        <f aca="false">H13-MAX(0,H13)*H14/100</f>
        <v>1863.81793589608</v>
      </c>
      <c r="I15" s="0" t="n">
        <f aca="false">I13-MAX(0,I13)*I14/100</f>
        <v>1896.75065111933</v>
      </c>
      <c r="J15" s="0" t="n">
        <f aca="false">J13-MAX(0,J13)*J14/100</f>
        <v>1936.58241479284</v>
      </c>
      <c r="K15" s="0" t="n">
        <f aca="false">K13-MAX(0,K13)*K14/100</f>
        <v>1975.3140630887</v>
      </c>
      <c r="L15" s="0" t="n">
        <f aca="false">L13-MAX(0,L13)*L14/100</f>
        <v>2014.82034435047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-547.420692</v>
      </c>
      <c r="D17" s="4" t="n">
        <f aca="false">-D6*Assumptions!D18/100</f>
        <v>-555.57970104</v>
      </c>
      <c r="E17" s="4" t="n">
        <f aca="false">-E6*Assumptions!E18/100</f>
        <v>-529.571402260992</v>
      </c>
      <c r="F17" s="4" t="n">
        <f aca="false">-F6*Assumptions!F18/100</f>
        <v>-505.115500698245</v>
      </c>
      <c r="G17" s="4" t="n">
        <f aca="false">-G6*Assumptions!G18/100</f>
        <v>-478.638401616868</v>
      </c>
      <c r="H17" s="4" t="n">
        <f aca="false">-H6*Assumptions!H18/100</f>
        <v>-446.210649907325</v>
      </c>
      <c r="I17" s="4" t="n">
        <f aca="false">-I6*Assumptions!I18/100</f>
        <v>-415.67088737296</v>
      </c>
      <c r="J17" s="4" t="n">
        <f aca="false">-J6*Assumptions!J18/100</f>
        <v>-387.316482958568</v>
      </c>
      <c r="K17" s="4" t="n">
        <f aca="false">-K6*Assumptions!K18/100</f>
        <v>-395.062812617739</v>
      </c>
      <c r="L17" s="4" t="n">
        <f aca="false">-L6*Assumptions!L18/100</f>
        <v>-402.964068870094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1161.089748</v>
      </c>
      <c r="D19" s="0" t="n">
        <f aca="false">D15+D16+D17+D18</f>
        <v>1182.84710544</v>
      </c>
      <c r="E19" s="0" t="n">
        <f aca="false">E15+E16+E17+E18</f>
        <v>1235.66660527565</v>
      </c>
      <c r="F19" s="0" t="n">
        <f aca="false">F15+F16+F17+F18</f>
        <v>1296.71441970296</v>
      </c>
      <c r="G19" s="0" t="n">
        <f aca="false">G15+G16+G17+G18</f>
        <v>1354.85547554452</v>
      </c>
      <c r="H19" s="0" t="n">
        <f aca="false">H15+H16+H17+H18</f>
        <v>1417.60728598876</v>
      </c>
      <c r="I19" s="0" t="n">
        <f aca="false">I15+I16+I17+I18</f>
        <v>1481.07976374637</v>
      </c>
      <c r="J19" s="0" t="n">
        <f aca="false">J15+J16+J17+J18</f>
        <v>1549.26593183427</v>
      </c>
      <c r="K19" s="0" t="n">
        <f aca="false">K15+K16+K17+K18</f>
        <v>1580.25125047096</v>
      </c>
      <c r="L19" s="0" t="n">
        <f aca="false">L15+L16+L17+L18</f>
        <v>1611.85627548038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1080.08348651163</v>
      </c>
      <c r="D21" s="0" t="n">
        <f aca="false">D19*D20</f>
        <v>1023.5561756106</v>
      </c>
      <c r="E21" s="0" t="n">
        <f aca="false">E19*E20</f>
        <v>994.662894306684</v>
      </c>
      <c r="F21" s="0" t="n">
        <f aca="false">F19*F20</f>
        <v>970.980444442238</v>
      </c>
      <c r="G21" s="0" t="n">
        <f aca="false">G19*G20</f>
        <v>943.736277077359</v>
      </c>
      <c r="H21" s="0" t="n">
        <f aca="false">H19*H20</f>
        <v>918.554969616642</v>
      </c>
      <c r="I21" s="0" t="n">
        <f aca="false">I19*I20</f>
        <v>892.728086218805</v>
      </c>
      <c r="J21" s="0" t="n">
        <f aca="false">J19*J20</f>
        <v>868.676868099752</v>
      </c>
      <c r="K21" s="0" t="n">
        <f aca="false">K19*K20</f>
        <v>824.232935313253</v>
      </c>
      <c r="L21" s="0" t="n">
        <f aca="false">L19*L20</f>
        <v>782.062878157691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9299.27501535465</v>
      </c>
    </row>
    <row r="31" customFormat="false" ht="15" hidden="false" customHeight="false" outlineLevel="0" collapsed="false">
      <c r="A31" s="0" t="s">
        <v>127</v>
      </c>
      <c r="B31" s="0" t="n">
        <f aca="false">L19</f>
        <v>1611.85627548038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29892.607290727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32237.1255096075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29892.607290727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14503.7115585608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23802.9865739155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23191.9865739155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60.9513444780958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-0.397654467061016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60.9513444780958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12646.8723153076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24.1008848889818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3.8</v>
      </c>
      <c r="F5" s="4" t="n">
        <f aca="false">Assumptions!F27</f>
        <v>3.6</v>
      </c>
      <c r="G5" s="4" t="n">
        <f aca="false">Assumptions!G27</f>
        <v>3.4</v>
      </c>
      <c r="H5" s="4" t="n">
        <f aca="false">Assumptions!H27</f>
        <v>3.2</v>
      </c>
      <c r="I5" s="4" t="n">
        <f aca="false">Assumptions!I27</f>
        <v>3</v>
      </c>
      <c r="J5" s="4" t="n">
        <f aca="false">Assumptions!J27</f>
        <v>2.8</v>
      </c>
      <c r="K5" s="4" t="n">
        <f aca="false">Assumptions!K27</f>
        <v>2.6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33852</v>
      </c>
      <c r="C6" s="0" t="n">
        <f aca="false">B6*(1+C5/100)</f>
        <v>35206.08</v>
      </c>
      <c r="D6" s="0" t="n">
        <f aca="false">C6*(1+D5/100)</f>
        <v>36614.3232</v>
      </c>
      <c r="E6" s="0" t="n">
        <f aca="false">D6*(1+E5/100)</f>
        <v>38005.6674816</v>
      </c>
      <c r="F6" s="0" t="n">
        <f aca="false">E6*(1+F5/100)</f>
        <v>39373.8715109376</v>
      </c>
      <c r="G6" s="0" t="n">
        <f aca="false">F6*(1+G5/100)</f>
        <v>40712.5831423095</v>
      </c>
      <c r="H6" s="0" t="n">
        <f aca="false">G6*(1+H5/100)</f>
        <v>42015.3858028634</v>
      </c>
      <c r="I6" s="0" t="n">
        <f aca="false">H6*(1+I5/100)</f>
        <v>43275.8473769493</v>
      </c>
      <c r="J6" s="0" t="n">
        <f aca="false">I6*(1+J5/100)</f>
        <v>44487.5711035039</v>
      </c>
      <c r="K6" s="0" t="n">
        <f aca="false">J6*(1+K5/100)</f>
        <v>45644.247952195</v>
      </c>
      <c r="L6" s="0" t="n">
        <f aca="false">K6*(1+L5/100)</f>
        <v>46785.3541509999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5</v>
      </c>
      <c r="D7" s="4" t="n">
        <f aca="false">Assumptions!D28</f>
        <v>5.08</v>
      </c>
      <c r="E7" s="4" t="n">
        <f aca="false">Assumptions!E28</f>
        <v>5.15</v>
      </c>
      <c r="F7" s="4" t="n">
        <f aca="false">Assumptions!F28</f>
        <v>5.21</v>
      </c>
      <c r="G7" s="4" t="n">
        <f aca="false">Assumptions!G28</f>
        <v>5.26</v>
      </c>
      <c r="H7" s="4" t="n">
        <f aca="false">Assumptions!H28</f>
        <v>5.3</v>
      </c>
      <c r="I7" s="4" t="n">
        <f aca="false">Assumptions!I28</f>
        <v>5.33</v>
      </c>
      <c r="J7" s="4" t="n">
        <f aca="false">Assumptions!J28</f>
        <v>5.35</v>
      </c>
      <c r="K7" s="4" t="n">
        <f aca="false">Assumptions!K28</f>
        <v>5.36</v>
      </c>
      <c r="L7" s="4" t="n">
        <f aca="false">Assumptions!L28</f>
        <v>5.36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1760.304</v>
      </c>
      <c r="D8" s="0" t="n">
        <f aca="false">D6*D7/100</f>
        <v>1860.00761856</v>
      </c>
      <c r="E8" s="0" t="n">
        <f aca="false">E6*E7/100</f>
        <v>1957.2918753024</v>
      </c>
      <c r="F8" s="0" t="n">
        <f aca="false">F6*F7/100</f>
        <v>2051.37870571985</v>
      </c>
      <c r="G8" s="0" t="n">
        <f aca="false">G6*G7/100</f>
        <v>2141.48187328548</v>
      </c>
      <c r="H8" s="0" t="n">
        <f aca="false">H6*H7/100</f>
        <v>2226.81544755176</v>
      </c>
      <c r="I8" s="0" t="n">
        <f aca="false">I6*I7/100</f>
        <v>2306.6026651914</v>
      </c>
      <c r="J8" s="0" t="n">
        <f aca="false">J6*J7/100</f>
        <v>2380.08505403746</v>
      </c>
      <c r="K8" s="0" t="n">
        <f aca="false">K6*K7/100</f>
        <v>2446.53169023765</v>
      </c>
      <c r="L8" s="0" t="n">
        <f aca="false">L6*L7/100</f>
        <v>2507.69498249359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1760.304</v>
      </c>
      <c r="D11" s="0" t="n">
        <f aca="false">D8+D10+D24</f>
        <v>1860.00761856</v>
      </c>
      <c r="E11" s="0" t="n">
        <f aca="false">E8+E10+E24</f>
        <v>1957.2918753024</v>
      </c>
      <c r="F11" s="0" t="n">
        <f aca="false">F8+F10+F24</f>
        <v>2051.37870571985</v>
      </c>
      <c r="G11" s="0" t="n">
        <f aca="false">G8+G10+G24</f>
        <v>2141.48187328548</v>
      </c>
      <c r="H11" s="0" t="n">
        <f aca="false">H8+H10+H24</f>
        <v>2226.81544755176</v>
      </c>
      <c r="I11" s="0" t="n">
        <f aca="false">I8+I10+I24</f>
        <v>2306.6026651914</v>
      </c>
      <c r="J11" s="0" t="n">
        <f aca="false">J8+J10+J24</f>
        <v>2380.08505403746</v>
      </c>
      <c r="K11" s="0" t="n">
        <f aca="false">K8+K10+K24</f>
        <v>2446.53169023765</v>
      </c>
      <c r="L11" s="0" t="n">
        <f aca="false">L8+L10+L24</f>
        <v>2507.69498249359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1760.304</v>
      </c>
      <c r="D13" s="0" t="n">
        <f aca="false">D11+D12</f>
        <v>1860.00761856</v>
      </c>
      <c r="E13" s="0" t="n">
        <f aca="false">E11+E12</f>
        <v>1957.2918753024</v>
      </c>
      <c r="F13" s="0" t="n">
        <f aca="false">F11+F12</f>
        <v>2051.37870571985</v>
      </c>
      <c r="G13" s="0" t="n">
        <f aca="false">G11+G12</f>
        <v>2141.48187328548</v>
      </c>
      <c r="H13" s="0" t="n">
        <f aca="false">H11+H12</f>
        <v>2226.81544755176</v>
      </c>
      <c r="I13" s="0" t="n">
        <f aca="false">I11+I12</f>
        <v>2306.6026651914</v>
      </c>
      <c r="J13" s="0" t="n">
        <f aca="false">J11+J12</f>
        <v>2380.08505403746</v>
      </c>
      <c r="K13" s="0" t="n">
        <f aca="false">K11+K12</f>
        <v>2446.53169023765</v>
      </c>
      <c r="L13" s="0" t="n">
        <f aca="false">L11+L12</f>
        <v>2507.69498249359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1760.304</v>
      </c>
      <c r="D15" s="0" t="n">
        <f aca="false">D13-MAX(0,D13)*D14/100</f>
        <v>1860.00761856</v>
      </c>
      <c r="E15" s="0" t="n">
        <f aca="false">E13-MAX(0,E13)*E14/100</f>
        <v>1957.2918753024</v>
      </c>
      <c r="F15" s="0" t="n">
        <f aca="false">F13-MAX(0,F13)*F14/100</f>
        <v>2051.37870571985</v>
      </c>
      <c r="G15" s="0" t="n">
        <f aca="false">G13-MAX(0,G13)*G14/100</f>
        <v>2141.48187328548</v>
      </c>
      <c r="H15" s="0" t="n">
        <f aca="false">H13-MAX(0,H13)*H14/100</f>
        <v>2226.81544755176</v>
      </c>
      <c r="I15" s="0" t="n">
        <f aca="false">I13-MAX(0,I13)*I14/100</f>
        <v>2306.6026651914</v>
      </c>
      <c r="J15" s="0" t="n">
        <f aca="false">J13-MAX(0,J13)*J14/100</f>
        <v>2380.08505403746</v>
      </c>
      <c r="K15" s="0" t="n">
        <f aca="false">K13-MAX(0,K13)*K14/100</f>
        <v>2446.53169023765</v>
      </c>
      <c r="L15" s="0" t="n">
        <f aca="false">L13-MAX(0,L13)*L14/100</f>
        <v>2507.69498249359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-528.0912</v>
      </c>
      <c r="D17" s="4" t="n">
        <f aca="false">-D6*Assumptions!D32/100</f>
        <v>-556.53771264</v>
      </c>
      <c r="E17" s="4" t="n">
        <f aca="false">-E6*Assumptions!E32/100</f>
        <v>-547.28161173504</v>
      </c>
      <c r="F17" s="4" t="n">
        <f aca="false">-F6*Assumptions!F32/100</f>
        <v>-531.547265397658</v>
      </c>
      <c r="G17" s="4" t="n">
        <f aca="false">-G6*Assumptions!G32/100</f>
        <v>-492.622256021945</v>
      </c>
      <c r="H17" s="4" t="n">
        <f aca="false">-H6*Assumptions!H32/100</f>
        <v>-445.363089510352</v>
      </c>
      <c r="I17" s="4" t="n">
        <f aca="false">-I6*Assumptions!I32/100</f>
        <v>-415.448134818713</v>
      </c>
      <c r="J17" s="4" t="n">
        <f aca="false">-J6*Assumptions!J32/100</f>
        <v>-382.593111490133</v>
      </c>
      <c r="K17" s="4" t="n">
        <f aca="false">-K6*Assumptions!K32/100</f>
        <v>-365.15398361756</v>
      </c>
      <c r="L17" s="4" t="n">
        <f aca="false">-L6*Assumptions!L32/100</f>
        <v>-374.282833207999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1232.2128</v>
      </c>
      <c r="D19" s="0" t="n">
        <f aca="false">D15+D16+D17+D18</f>
        <v>1303.46990592</v>
      </c>
      <c r="E19" s="0" t="n">
        <f aca="false">E15+E16+E17+E18</f>
        <v>1410.01026356736</v>
      </c>
      <c r="F19" s="0" t="n">
        <f aca="false">F15+F16+F17+F18</f>
        <v>1519.83144032219</v>
      </c>
      <c r="G19" s="0" t="n">
        <f aca="false">G15+G16+G17+G18</f>
        <v>1648.85961726353</v>
      </c>
      <c r="H19" s="0" t="n">
        <f aca="false">H15+H16+H17+H18</f>
        <v>1781.45235804141</v>
      </c>
      <c r="I19" s="0" t="n">
        <f aca="false">I15+I16+I17+I18</f>
        <v>1891.15453037268</v>
      </c>
      <c r="J19" s="0" t="n">
        <f aca="false">J15+J16+J17+J18</f>
        <v>1997.49194254732</v>
      </c>
      <c r="K19" s="0" t="n">
        <f aca="false">K15+K16+K17+K18</f>
        <v>2081.37770662009</v>
      </c>
      <c r="L19" s="0" t="n">
        <f aca="false">L15+L16+L17+L18</f>
        <v>2133.41214928559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1146.24446511628</v>
      </c>
      <c r="D21" s="0" t="n">
        <f aca="false">D19*D20</f>
        <v>1127.93501864359</v>
      </c>
      <c r="E21" s="0" t="n">
        <f aca="false">E19*E20</f>
        <v>1135.00266477557</v>
      </c>
      <c r="F21" s="0" t="n">
        <f aca="false">F19*F20</f>
        <v>1138.05058768405</v>
      </c>
      <c r="G21" s="0" t="n">
        <f aca="false">G19*G20</f>
        <v>1148.52739993842</v>
      </c>
      <c r="H21" s="0" t="n">
        <f aca="false">H19*H20</f>
        <v>1154.31257498997</v>
      </c>
      <c r="I21" s="0" t="n">
        <f aca="false">I19*I20</f>
        <v>1139.90266153737</v>
      </c>
      <c r="J21" s="0" t="n">
        <f aca="false">J19*J20</f>
        <v>1119.99819337157</v>
      </c>
      <c r="K21" s="0" t="n">
        <f aca="false">K19*K20</f>
        <v>1085.61221268565</v>
      </c>
      <c r="L21" s="0" t="n">
        <f aca="false">L19*L20</f>
        <v>1035.11862139795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11230.7044001404</v>
      </c>
    </row>
    <row r="31" customFormat="false" ht="15" hidden="false" customHeight="false" outlineLevel="0" collapsed="false">
      <c r="A31" s="0" t="s">
        <v>127</v>
      </c>
      <c r="B31" s="0" t="n">
        <f aca="false">L19</f>
        <v>2133.41214928559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43734.9490603547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42668.2429857119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42668.2429857119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20702.3724279589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31933.0768280994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31322.0768280994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82.318204541654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-0.186498620993635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82.318204541654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17493.9796241419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30.5895032008888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4.8</v>
      </c>
      <c r="D5" s="4" t="n">
        <f aca="false">Assumptions!D41</f>
        <v>4.8</v>
      </c>
      <c r="E5" s="4" t="n">
        <f aca="false">Assumptions!E41</f>
        <v>4.6</v>
      </c>
      <c r="F5" s="4" t="n">
        <f aca="false">Assumptions!F41</f>
        <v>4.4</v>
      </c>
      <c r="G5" s="4" t="n">
        <f aca="false">Assumptions!G41</f>
        <v>4.2</v>
      </c>
      <c r="H5" s="4" t="n">
        <f aca="false">Assumptions!H41</f>
        <v>4</v>
      </c>
      <c r="I5" s="4" t="n">
        <f aca="false">Assumptions!I41</f>
        <v>3.7</v>
      </c>
      <c r="J5" s="4" t="n">
        <f aca="false">Assumptions!J41</f>
        <v>3.4</v>
      </c>
      <c r="K5" s="4" t="n">
        <f aca="false">Assumptions!K41</f>
        <v>3.1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33852</v>
      </c>
      <c r="C6" s="0" t="n">
        <f aca="false">B6*(1+C5/100)</f>
        <v>35476.896</v>
      </c>
      <c r="D6" s="0" t="n">
        <f aca="false">C6*(1+D5/100)</f>
        <v>37179.787008</v>
      </c>
      <c r="E6" s="0" t="n">
        <f aca="false">D6*(1+E5/100)</f>
        <v>38890.057210368</v>
      </c>
      <c r="F6" s="0" t="n">
        <f aca="false">E6*(1+F5/100)</f>
        <v>40601.2197276242</v>
      </c>
      <c r="G6" s="0" t="n">
        <f aca="false">F6*(1+G5/100)</f>
        <v>42306.4709561844</v>
      </c>
      <c r="H6" s="0" t="n">
        <f aca="false">G6*(1+H5/100)</f>
        <v>43998.7297944318</v>
      </c>
      <c r="I6" s="0" t="n">
        <f aca="false">H6*(1+I5/100)</f>
        <v>45626.6827968258</v>
      </c>
      <c r="J6" s="0" t="n">
        <f aca="false">I6*(1+J5/100)</f>
        <v>47177.9900119178</v>
      </c>
      <c r="K6" s="0" t="n">
        <f aca="false">J6*(1+K5/100)</f>
        <v>48640.5077022873</v>
      </c>
      <c r="L6" s="0" t="n">
        <f aca="false">K6*(1+L5/100)</f>
        <v>50099.7229333559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5.02</v>
      </c>
      <c r="D7" s="4" t="n">
        <f aca="false">Assumptions!D42</f>
        <v>5.15</v>
      </c>
      <c r="E7" s="4" t="n">
        <f aca="false">Assumptions!E42</f>
        <v>5.28</v>
      </c>
      <c r="F7" s="4" t="n">
        <f aca="false">Assumptions!F42</f>
        <v>5.4</v>
      </c>
      <c r="G7" s="4" t="n">
        <f aca="false">Assumptions!G42</f>
        <v>5.5</v>
      </c>
      <c r="H7" s="4" t="n">
        <f aca="false">Assumptions!H42</f>
        <v>5.58</v>
      </c>
      <c r="I7" s="4" t="n">
        <f aca="false">Assumptions!I42</f>
        <v>5.64</v>
      </c>
      <c r="J7" s="4" t="n">
        <f aca="false">Assumptions!J42</f>
        <v>5.68</v>
      </c>
      <c r="K7" s="4" t="n">
        <f aca="false">Assumptions!K42</f>
        <v>5.7</v>
      </c>
      <c r="L7" s="4" t="n">
        <f aca="false">Assumptions!L42</f>
        <v>5.7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1780.9401792</v>
      </c>
      <c r="D8" s="0" t="n">
        <f aca="false">D6*D7/100</f>
        <v>1914.759030912</v>
      </c>
      <c r="E8" s="0" t="n">
        <f aca="false">E6*E7/100</f>
        <v>2053.39502070743</v>
      </c>
      <c r="F8" s="0" t="n">
        <f aca="false">F6*F7/100</f>
        <v>2192.46586529171</v>
      </c>
      <c r="G8" s="0" t="n">
        <f aca="false">G6*G7/100</f>
        <v>2326.85590259014</v>
      </c>
      <c r="H8" s="0" t="n">
        <f aca="false">H6*H7/100</f>
        <v>2455.12912252929</v>
      </c>
      <c r="I8" s="0" t="n">
        <f aca="false">I6*I7/100</f>
        <v>2573.34490974097</v>
      </c>
      <c r="J8" s="0" t="n">
        <f aca="false">J6*J7/100</f>
        <v>2679.70983267693</v>
      </c>
      <c r="K8" s="0" t="n">
        <f aca="false">K6*K7/100</f>
        <v>2772.50893903038</v>
      </c>
      <c r="L8" s="0" t="n">
        <f aca="false">L6*L7/100</f>
        <v>2855.68420720129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1780.9401792</v>
      </c>
      <c r="D11" s="0" t="n">
        <f aca="false">D8+D10+D24</f>
        <v>1914.759030912</v>
      </c>
      <c r="E11" s="0" t="n">
        <f aca="false">E8+E10+E24</f>
        <v>2053.39502070743</v>
      </c>
      <c r="F11" s="0" t="n">
        <f aca="false">F8+F10+F24</f>
        <v>2192.46586529171</v>
      </c>
      <c r="G11" s="0" t="n">
        <f aca="false">G8+G10+G24</f>
        <v>2326.85590259014</v>
      </c>
      <c r="H11" s="0" t="n">
        <f aca="false">H8+H10+H24</f>
        <v>2455.12912252929</v>
      </c>
      <c r="I11" s="0" t="n">
        <f aca="false">I8+I10+I24</f>
        <v>2573.34490974097</v>
      </c>
      <c r="J11" s="0" t="n">
        <f aca="false">J8+J10+J24</f>
        <v>2679.70983267693</v>
      </c>
      <c r="K11" s="0" t="n">
        <f aca="false">K8+K10+K24</f>
        <v>2772.50893903038</v>
      </c>
      <c r="L11" s="0" t="n">
        <f aca="false">L8+L10+L24</f>
        <v>2855.68420720129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1780.9401792</v>
      </c>
      <c r="D13" s="0" t="n">
        <f aca="false">D11+D12</f>
        <v>1914.759030912</v>
      </c>
      <c r="E13" s="0" t="n">
        <f aca="false">E11+E12</f>
        <v>2053.39502070743</v>
      </c>
      <c r="F13" s="0" t="n">
        <f aca="false">F11+F12</f>
        <v>2192.46586529171</v>
      </c>
      <c r="G13" s="0" t="n">
        <f aca="false">G11+G12</f>
        <v>2326.85590259014</v>
      </c>
      <c r="H13" s="0" t="n">
        <f aca="false">H11+H12</f>
        <v>2455.12912252929</v>
      </c>
      <c r="I13" s="0" t="n">
        <f aca="false">I11+I12</f>
        <v>2573.34490974097</v>
      </c>
      <c r="J13" s="0" t="n">
        <f aca="false">J11+J12</f>
        <v>2679.70983267693</v>
      </c>
      <c r="K13" s="0" t="n">
        <f aca="false">K11+K12</f>
        <v>2772.50893903038</v>
      </c>
      <c r="L13" s="0" t="n">
        <f aca="false">L11+L12</f>
        <v>2855.68420720129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1780.9401792</v>
      </c>
      <c r="D15" s="0" t="n">
        <f aca="false">D13-MAX(0,D13)*D14/100</f>
        <v>1914.759030912</v>
      </c>
      <c r="E15" s="0" t="n">
        <f aca="false">E13-MAX(0,E13)*E14/100</f>
        <v>2053.39502070743</v>
      </c>
      <c r="F15" s="0" t="n">
        <f aca="false">F13-MAX(0,F13)*F14/100</f>
        <v>2192.46586529171</v>
      </c>
      <c r="G15" s="0" t="n">
        <f aca="false">G13-MAX(0,G13)*G14/100</f>
        <v>2326.85590259014</v>
      </c>
      <c r="H15" s="0" t="n">
        <f aca="false">H13-MAX(0,H13)*H14/100</f>
        <v>2455.12912252929</v>
      </c>
      <c r="I15" s="0" t="n">
        <f aca="false">I13-MAX(0,I13)*I14/100</f>
        <v>2573.34490974097</v>
      </c>
      <c r="J15" s="0" t="n">
        <f aca="false">J13-MAX(0,J13)*J14/100</f>
        <v>2679.70983267693</v>
      </c>
      <c r="K15" s="0" t="n">
        <f aca="false">K13-MAX(0,K13)*K14/100</f>
        <v>2772.50893903038</v>
      </c>
      <c r="L15" s="0" t="n">
        <f aca="false">L13-MAX(0,L13)*L14/100</f>
        <v>2855.68420720129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-535.7011296</v>
      </c>
      <c r="D17" s="4" t="n">
        <f aca="false">-D6*Assumptions!D46/100</f>
        <v>-553.9788264192</v>
      </c>
      <c r="E17" s="4" t="n">
        <f aca="false">-E6*Assumptions!E46/100</f>
        <v>-556.127818108262</v>
      </c>
      <c r="F17" s="4" t="n">
        <f aca="false">-F6*Assumptions!F46/100</f>
        <v>-527.815856459115</v>
      </c>
      <c r="G17" s="4" t="n">
        <f aca="false">-G6*Assumptions!G46/100</f>
        <v>-490.755063091739</v>
      </c>
      <c r="H17" s="4" t="n">
        <f aca="false">-H6*Assumptions!H46/100</f>
        <v>-439.987297944318</v>
      </c>
      <c r="I17" s="4" t="n">
        <f aca="false">-I6*Assumptions!I46/100</f>
        <v>-387.826803773019</v>
      </c>
      <c r="J17" s="4" t="n">
        <f aca="false">-J6*Assumptions!J46/100</f>
        <v>-349.117126088192</v>
      </c>
      <c r="K17" s="4" t="n">
        <f aca="false">-K6*Assumptions!K46/100</f>
        <v>-330.755452375554</v>
      </c>
      <c r="L17" s="4" t="n">
        <f aca="false">-L6*Assumptions!L46/100</f>
        <v>-340.67811594682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1245.2390496</v>
      </c>
      <c r="D19" s="0" t="n">
        <f aca="false">D15+D16+D17+D18</f>
        <v>1360.7802044928</v>
      </c>
      <c r="E19" s="0" t="n">
        <f aca="false">E15+E16+E17+E18</f>
        <v>1497.26720259917</v>
      </c>
      <c r="F19" s="0" t="n">
        <f aca="false">F15+F16+F17+F18</f>
        <v>1664.65000883259</v>
      </c>
      <c r="G19" s="0" t="n">
        <f aca="false">G15+G16+G17+G18</f>
        <v>1836.1008394984</v>
      </c>
      <c r="H19" s="0" t="n">
        <f aca="false">H15+H16+H17+H18</f>
        <v>2015.14182458498</v>
      </c>
      <c r="I19" s="0" t="n">
        <f aca="false">I15+I16+I17+I18</f>
        <v>2185.51810596795</v>
      </c>
      <c r="J19" s="0" t="n">
        <f aca="false">J15+J16+J17+J18</f>
        <v>2330.59270658874</v>
      </c>
      <c r="K19" s="0" t="n">
        <f aca="false">K15+K16+K17+K18</f>
        <v>2441.75348665482</v>
      </c>
      <c r="L19" s="0" t="n">
        <f aca="false">L15+L16+L17+L18</f>
        <v>2515.00609125447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1158.36190660465</v>
      </c>
      <c r="D21" s="0" t="n">
        <f aca="false">D19*D20</f>
        <v>1177.52748901486</v>
      </c>
      <c r="E21" s="0" t="n">
        <f aca="false">E19*E20</f>
        <v>1205.24106011228</v>
      </c>
      <c r="F21" s="0" t="n">
        <f aca="false">F19*F20</f>
        <v>1246.49080850609</v>
      </c>
      <c r="G21" s="0" t="n">
        <f aca="false">G19*G20</f>
        <v>1278.95188961791</v>
      </c>
      <c r="H21" s="0" t="n">
        <f aca="false">H19*H20</f>
        <v>1305.73435658086</v>
      </c>
      <c r="I21" s="0" t="n">
        <f aca="false">I19*I20</f>
        <v>1317.33174937324</v>
      </c>
      <c r="J21" s="0" t="n">
        <f aca="false">J19*J20</f>
        <v>1306.76853571463</v>
      </c>
      <c r="K21" s="0" t="n">
        <f aca="false">K19*K20</f>
        <v>1273.57826359389</v>
      </c>
      <c r="L21" s="0" t="n">
        <f aca="false">L19*L20</f>
        <v>1220.26568511787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12490.2517442363</v>
      </c>
    </row>
    <row r="31" customFormat="false" ht="15" hidden="false" customHeight="false" outlineLevel="0" collapsed="false">
      <c r="A31" s="0" t="s">
        <v>127</v>
      </c>
      <c r="B31" s="0" t="n">
        <f aca="false">L19</f>
        <v>2515.00609125447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54403.5528160835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50300.1218250893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50300.1218250893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24405.3137023573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36895.5654465936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36284.5654465936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95.360224563978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-0.0576121695426628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95.360224563978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21095.2551735834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35.045368728497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60.9513444780958</v>
      </c>
      <c r="C4" s="0" t="n">
        <f aca="false">B4/Assumptions!$B$2-1</f>
        <v>-0.397654467061016</v>
      </c>
      <c r="D4" s="4" t="n">
        <f aca="false">Assumptions!$B$24</f>
        <v>0.2</v>
      </c>
      <c r="E4" s="4" t="n">
        <f aca="false">DCF_Bear!$B$43</f>
        <v>60.9513444780958</v>
      </c>
      <c r="F4" s="4" t="n">
        <f aca="false">DCF_Bear!$B$47</f>
        <v>24.1008848889818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82.318204541654</v>
      </c>
      <c r="C5" s="0" t="n">
        <f aca="false">B5/Assumptions!$B$2-1</f>
        <v>-0.186498620993635</v>
      </c>
      <c r="D5" s="4" t="n">
        <f aca="false">Assumptions!$B$38</f>
        <v>0.55</v>
      </c>
      <c r="E5" s="4" t="n">
        <f aca="false">DCF_Base!$B$43</f>
        <v>82.318204541654</v>
      </c>
      <c r="F5" s="4" t="n">
        <f aca="false">DCF_Base!$B$47</f>
        <v>30.5895032008888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95.360224563978</v>
      </c>
      <c r="C6" s="0" t="n">
        <f aca="false">B6/Assumptions!$B$2-1</f>
        <v>-0.0576121695426628</v>
      </c>
      <c r="D6" s="4" t="n">
        <f aca="false">Assumptions!$B$52</f>
        <v>0.25</v>
      </c>
      <c r="E6" s="4" t="n">
        <f aca="false">DCF_Bull!$B$43</f>
        <v>95.360224563978</v>
      </c>
      <c r="F6" s="4" t="n">
        <f aca="false">DCF_Bull!$B$47</f>
        <v>35.045368728497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81.3053375345234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81.3053375345234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-0.244567737721196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30.4057459204094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82.318204541654</v>
      </c>
      <c r="C15" s="3" t="n">
        <v>7.5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63.1360693392762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54.0392743898667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47.1044797406457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41.6476804514119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30.5895032008888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96.7797076555363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96.7797076555363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96.7797076555363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96.7797076555363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96.7797076555363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89.1985852332743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89.1985852332743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89.1985852332743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89.1985852332743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89.1985852332743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73.9302525066728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78.3612345398939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82.318204541654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82.318204541654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82.318204541654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62.4274632834188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65.3841891921055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68.8337027522399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72.9104005960353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76.0665537654252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53.8355010747361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55.8999863241819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58.2593980378342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60.9817961689714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64.1579273219649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2026-10-10T11:15:44Z</dcterms:created>
  <dc:creator>openpyxl</dc:creator>
  <dc:description/>
  <dc:language>en-NZ</dc:language>
  <cp:lastModifiedBy/>
  <dcterms:modified xsi:type="dcterms:W3CDTF">2026-10-10T11:15:44Z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