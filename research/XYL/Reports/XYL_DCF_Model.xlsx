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<sst xmlns="http://schemas.openxmlformats.org/spreadsheetml/2006/main" count="383" uniqueCount="172">
  <si>
    <t xml:space="preserve">Ticker</t>
  </si>
  <si>
    <t xml:space="preserve">XYL</t>
  </si>
  <si>
    <t xml:space="preserve">Company</t>
  </si>
  <si>
    <t xml:space="preserve">Xylem Inc.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</si>
  <si>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</si>
  <si>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</si>
  <si>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</si>
  <si>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</si>
  <si>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2026-10-02T20:03:07Z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</si>
  <si>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</si>
  <si>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</si>
  <si>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</si>
  <si>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</si>
  <si>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</si>
  <si>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</si>
  <si>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</si>
  <si>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</si>
  <si>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</si>
  <si>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</si>
  <si>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</si>
  <si>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</si>
  <si>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2026-10-02T22:04:36Z</t>
  </si>
  <si>
    <t xml:space="preserve">Drivers file</t>
  </si>
  <si>
    <t xml:space="preserve">XYL_Drivers.json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</si>
  <si>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</si>
  <si>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</si>
  <si>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</si>
  <si>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Xylem on owner FCF from a component build calibrated to the cash it actually converts, not to adjusted EBITDA. The company's adjusted figures exclude ~2pp of recurring restructuring and special charges that have been cash every year since the Evoqua deal; capitalizing adjusted EBITDA would overstate the business. Acquisitions are treated as NPV-neutral and excluded from both flows and bridge.
key_risks_to_valuation: Cash conversion: if restructuring/special cash charges do not fade, the 250bp margin ramp in base does not happen; Data-center order durability (Q2-26 orders +42% vs revenue +2%); M&amp;A integration and leverage: Cornell/Roper ($1.46bn) not yet in net debt; if overpaid, value falls by the excess; D&amp;A glide: falling acquired-intangible amortization raises cash tax over the horizon; Terminal value share is high for a 9% WACC / 3% growth build; the 18x cap is close to binding</t>
  </si>
  <si>
    <t xml:space="preserve">Data sources</t>
  </si>
  <si>
    <t xml:space="preserve">price: Yahoo Finance chart API at inputs.price_as_of; 52-week range 98.58-154.27
financials: XYL_Metrics.csv (SEC XBRL companyfacts, FY2008-Q2 2026, USD millions); kpis table for buybacks, cash taxes and D&amp;A
qualitative: XYL_Analysis.json (2026-10-03): Q2-26 results and raised FY26 guidance, Cornell/Roper, TriOS, WaterFleet, AURELIUS metering sale, CFO transition</t>
  </si>
  <si>
    <t xml:space="preserve">Scenario narrative: bear</t>
  </si>
  <si>
    <t xml:space="preserve">The order surge is AI-capex pull-forward that fades with a hyperscaler slowdown; FY2026's trimmed revenue guide proves the leading indicator, with gains margin-only. Municipal funding slips, Applied Water tracks a weak industrial cycle, and a dense M&amp;A calendar (TriOS, WaterFleet, Cornell/Roper on top of Evoqua) under a new CFO soaks up management bandwidth and rising leverage, leaving margins flat and growth at 2-3%.</t>
  </si>
  <si>
    <t xml:space="preserve">Scenario narrative: base</t>
  </si>
  <si>
    <t xml:space="preserve">Xylem delivers its FY2026 guide (~$9.2bn revenue, adj. EBITDA margin 23.1-23.5%) and converts the record Q2-26 backlog (orders +42%) into mid-single-digit organic growth through FY2028, carried by non-discretionary US municipal replacement, PFAS treatment upgrades and data-center cooling/water reuse. The margin program (price, productivity, divesting the dilutive international metering business) lifts cash conversion steadily as restructuring cash fades. Growth decays to GDP-plus by year 10.</t>
  </si>
  <si>
    <t xml:space="preserve">Scenario narrative: bull</t>
  </si>
  <si>
    <t xml:space="preserve">Data-center, semiconductor and life-sciences water demand becomes a durable second engine rather than a cyclical spike, PFAS deadlines drive a multi-year treatment capex wave, and Xylem's unique pumps-treatment-metering-analytics breadth wins system-level contracts. Organic growth runs 7-8% for three years and portfolio simplification plus software attach (Xylem Vue) push margins ~150bp above base.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</si>
  <si>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</si>
  <si>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</si>
  <si>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</si>
  <si>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</si>
  <si>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</si>
  <si>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</si>
  <si>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</si>
  <si>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</si>
  <si>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</si>
  <si>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</si>
  <si>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</si>
  <si>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</si>
  <si>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</si>
  <si>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</si>
  <si>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</si>
  <si>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</si>
  <si>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</si>
  <si>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</si>
  <si>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</si>
  <si>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</si>
  <si>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</si>
  <si>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</si>
  <si>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</si>
  <si>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</si>
  <si>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</si>
  <si>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</si>
  <si>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</si>
  <si>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</si>
  <si>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</si>
  <si>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</si>
  <si>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</si>
  <si>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</si>
  <si>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</si>
  <si>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</si>
  <si>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</si>
  <si>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</si>
  <si>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</si>
  <si>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</si>
  <si>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</si>
  <si>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</si>
  <si>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</si>
  <si>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</si>
  <si>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</si>
  <si>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</si>
  <si>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</si>
  <si>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</si>
  <si>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</si>
  <si>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</si>
  <si>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</si>
  <si>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</si>
  <si>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</si>
  <si>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</si>
  <si>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</si>
  <si>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</si>
  <si>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</si>
  <si>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</si>
  <si>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</si>
  <si>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</si>
  <si>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</si>
  <si>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</si>
  <si>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</si>
  <si>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</si>
  <si>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</si>
  <si>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</si>
  <si>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</si>
  <si>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</si>
  <si>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</si>
  <si>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</si>
  <si>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</si>
  <si>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</si>
  <si>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</si>
  <si>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</si>
  <si>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</si>
  <si>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</si>
  <si>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</si>
  <si>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</si>
  <si>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</si>
  <si>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</si>
  <si>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</si>
  <si>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</si>
  <si>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</si>
  <si>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</si>
  <si>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XYL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</si>
  <si>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</si>
  <si>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</si>
  <si>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</si>
  <si>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</si>
  <si>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</si>
  <si>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</si>
  <si>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</si>
  <si>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</si>
  <si>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</si>
  <si>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</si>
  <si>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</si>
  <si>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</si>
  <si>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</si>
  <si>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</si>
  <si>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</si>
  <si>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</si>
  <si>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</si>
  <si>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</si>
  <si>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</si>
  <si>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</si>
  <si>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</si>
  <si>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</si>
  <si>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</si>
  <si>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</si>
  <si>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</si>
  <si>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</si>
  <si>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</si>
  <si>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</si>
  <si>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</si>
  <si>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</si>
  <si>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XYL owner-FCF component DCF: base case (millions, USD)</t>
  </si>
  <si>
    <t xml:space="preserve">XYL owner-FCF component DCF: bull case (millions, USD)</t>
  </si>
  <si>
    <t xml:space="preserve">XYL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</si>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</sst>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101.79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1636</v>
      </c>
      <c r="S2" s="0" t="n">
        <v>81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2849</v>
      </c>
      <c r="C3" s="0" t="n">
        <v>1812</v>
      </c>
      <c r="D3" s="0" t="n">
        <v>1037</v>
      </c>
      <c r="E3" s="0" t="n">
        <v>36.3987363987364</v>
      </c>
      <c r="F3" s="0" t="n">
        <v>276</v>
      </c>
      <c r="G3" s="0" t="n">
        <v>9.68760968760969</v>
      </c>
      <c r="H3" s="0" t="n">
        <v>346</v>
      </c>
      <c r="I3" s="0" t="n">
        <v>263</v>
      </c>
      <c r="J3" s="0" t="n">
        <v>9.23130923130923</v>
      </c>
      <c r="K3" s="0" t="n">
        <v>1.42</v>
      </c>
      <c r="L3" s="0" t="n">
        <v>370</v>
      </c>
      <c r="M3" s="0" t="n">
        <v>62</v>
      </c>
      <c r="N3" s="0" t="n">
        <v>308</v>
      </c>
      <c r="O3" s="0" t="n">
        <v>1691</v>
      </c>
      <c r="S3" s="0" t="n">
        <v>131</v>
      </c>
      <c r="T3" s="0" t="n">
        <v>184.6</v>
      </c>
      <c r="U3" s="0" t="n">
        <v>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3202</v>
      </c>
      <c r="C4" s="0" t="n">
        <v>1988</v>
      </c>
      <c r="D4" s="0" t="n">
        <v>1214</v>
      </c>
      <c r="E4" s="0" t="n">
        <v>37.9138038725796</v>
      </c>
      <c r="F4" s="0" t="n">
        <v>388</v>
      </c>
      <c r="G4" s="0" t="n">
        <v>12.1174266083698</v>
      </c>
      <c r="H4" s="0" t="n">
        <v>480</v>
      </c>
      <c r="I4" s="0" t="n">
        <v>329</v>
      </c>
      <c r="J4" s="0" t="n">
        <v>10.2748282323548</v>
      </c>
      <c r="K4" s="0" t="n">
        <v>1.78</v>
      </c>
      <c r="L4" s="0" t="n">
        <v>395</v>
      </c>
      <c r="M4" s="0" t="n">
        <v>94</v>
      </c>
      <c r="N4" s="0" t="n">
        <v>301</v>
      </c>
      <c r="O4" s="0" t="n">
        <v>2723</v>
      </c>
      <c r="P4" s="0" t="n">
        <v>3735</v>
      </c>
      <c r="Q4" s="0" t="n">
        <v>1016</v>
      </c>
      <c r="R4" s="0" t="n">
        <v>4</v>
      </c>
      <c r="S4" s="0" t="n">
        <v>131</v>
      </c>
      <c r="T4" s="0" t="n">
        <v>0</v>
      </c>
      <c r="U4" s="0" t="n">
        <v>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3803</v>
      </c>
      <c r="C5" s="0" t="n">
        <v>2342</v>
      </c>
      <c r="D5" s="0" t="n">
        <v>1461</v>
      </c>
      <c r="E5" s="0" t="n">
        <v>38.4170391795951</v>
      </c>
      <c r="F5" s="0" t="n">
        <v>395</v>
      </c>
      <c r="G5" s="0" t="n">
        <v>10.3865369445175</v>
      </c>
      <c r="H5" s="0" t="n">
        <v>532</v>
      </c>
      <c r="I5" s="0" t="n">
        <v>220</v>
      </c>
      <c r="J5" s="0" t="n">
        <v>5.78490665264265</v>
      </c>
      <c r="K5" s="0" t="n">
        <v>1.51</v>
      </c>
      <c r="L5" s="0" t="n">
        <v>449</v>
      </c>
      <c r="M5" s="0" t="n">
        <v>126</v>
      </c>
      <c r="N5" s="0" t="n">
        <v>323</v>
      </c>
      <c r="O5" s="0" t="n">
        <v>1831</v>
      </c>
      <c r="P5" s="0" t="n">
        <v>4400</v>
      </c>
      <c r="Q5" s="0" t="n">
        <v>2569</v>
      </c>
      <c r="R5" s="0" t="n">
        <v>1206</v>
      </c>
      <c r="S5" s="0" t="n">
        <v>318</v>
      </c>
      <c r="T5" s="0" t="n">
        <v>184.641</v>
      </c>
      <c r="U5" s="0" t="n">
        <v>13</v>
      </c>
      <c r="V5" s="0" t="n">
        <v>0.1012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3791</v>
      </c>
      <c r="C6" s="0" t="n">
        <v>2289</v>
      </c>
      <c r="D6" s="0" t="n">
        <v>1502</v>
      </c>
      <c r="E6" s="0" t="n">
        <v>39.620152993933</v>
      </c>
      <c r="F6" s="0" t="n">
        <v>443</v>
      </c>
      <c r="G6" s="0" t="n">
        <v>11.6855710894223</v>
      </c>
      <c r="H6" s="0" t="n">
        <v>585</v>
      </c>
      <c r="I6" s="0" t="n">
        <v>297</v>
      </c>
      <c r="J6" s="0" t="n">
        <v>7.83434450013189</v>
      </c>
      <c r="K6" s="0" t="n">
        <v>1.6</v>
      </c>
      <c r="L6" s="0" t="n">
        <v>396</v>
      </c>
      <c r="M6" s="0" t="n">
        <v>112</v>
      </c>
      <c r="N6" s="0" t="n">
        <v>284</v>
      </c>
      <c r="O6" s="0" t="n">
        <v>2074</v>
      </c>
      <c r="P6" s="0" t="n">
        <v>4679</v>
      </c>
      <c r="Q6" s="0" t="n">
        <v>2605</v>
      </c>
      <c r="R6" s="0" t="n">
        <v>1199</v>
      </c>
      <c r="S6" s="0" t="n">
        <v>504</v>
      </c>
      <c r="T6" s="0" t="n">
        <v>185.658</v>
      </c>
      <c r="U6" s="0" t="n">
        <v>22</v>
      </c>
      <c r="V6" s="0" t="n">
        <v>0.004048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3837</v>
      </c>
      <c r="C7" s="0" t="n">
        <v>2338</v>
      </c>
      <c r="D7" s="0" t="n">
        <v>1499</v>
      </c>
      <c r="E7" s="0" t="n">
        <v>39.0669794109982</v>
      </c>
      <c r="F7" s="0" t="n">
        <v>363</v>
      </c>
      <c r="G7" s="0" t="n">
        <v>9.46051602814699</v>
      </c>
      <c r="H7" s="0" t="n">
        <v>513</v>
      </c>
      <c r="I7" s="0" t="n">
        <v>228</v>
      </c>
      <c r="J7" s="0" t="n">
        <v>5.94214229867084</v>
      </c>
      <c r="K7" s="0" t="n">
        <v>1.23</v>
      </c>
      <c r="L7" s="0" t="n">
        <v>324</v>
      </c>
      <c r="M7" s="0" t="n">
        <v>126</v>
      </c>
      <c r="N7" s="0" t="n">
        <v>198</v>
      </c>
      <c r="O7" s="0" t="n">
        <v>2241</v>
      </c>
      <c r="P7" s="0" t="n">
        <v>4857</v>
      </c>
      <c r="Q7" s="0" t="n">
        <v>2655</v>
      </c>
      <c r="R7" s="0" t="n">
        <v>1241</v>
      </c>
      <c r="S7" s="0" t="n">
        <v>533</v>
      </c>
      <c r="T7" s="0" t="n">
        <v>184.557</v>
      </c>
      <c r="U7" s="0" t="n">
        <v>27</v>
      </c>
      <c r="V7" s="0" t="n">
        <v>0.004656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3916</v>
      </c>
      <c r="C8" s="0" t="n">
        <v>2403</v>
      </c>
      <c r="D8" s="0" t="n">
        <v>1513</v>
      </c>
      <c r="E8" s="0" t="n">
        <v>38.6363636363636</v>
      </c>
      <c r="F8" s="0" t="n">
        <v>463</v>
      </c>
      <c r="G8" s="0" t="n">
        <v>11.8232890704801</v>
      </c>
      <c r="H8" s="0" t="n">
        <v>605</v>
      </c>
      <c r="I8" s="0" t="n">
        <v>337</v>
      </c>
      <c r="J8" s="0" t="n">
        <v>8.60572012257406</v>
      </c>
      <c r="K8" s="0" t="n">
        <v>1.84</v>
      </c>
      <c r="L8" s="0" t="n">
        <v>416</v>
      </c>
      <c r="M8" s="0" t="n">
        <v>119</v>
      </c>
      <c r="N8" s="0" t="n">
        <v>297</v>
      </c>
      <c r="O8" s="0" t="n">
        <v>2127</v>
      </c>
      <c r="P8" s="0" t="n">
        <v>4833</v>
      </c>
      <c r="Q8" s="0" t="n">
        <v>2706</v>
      </c>
      <c r="R8" s="0" t="n">
        <v>1284</v>
      </c>
      <c r="S8" s="0" t="n">
        <v>663</v>
      </c>
      <c r="T8" s="0" t="n">
        <v>182.3</v>
      </c>
      <c r="U8" s="0" t="n">
        <v>18</v>
      </c>
      <c r="V8" s="0" t="n">
        <v>0.00512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3653</v>
      </c>
      <c r="C9" s="0" t="n">
        <v>2249</v>
      </c>
      <c r="D9" s="0" t="n">
        <v>1404</v>
      </c>
      <c r="E9" s="0" t="n">
        <v>38.4341637010676</v>
      </c>
      <c r="F9" s="0" t="n">
        <v>449</v>
      </c>
      <c r="G9" s="0" t="n">
        <v>12.2912674514098</v>
      </c>
      <c r="H9" s="0" t="n">
        <v>582</v>
      </c>
      <c r="I9" s="0" t="n">
        <v>340</v>
      </c>
      <c r="J9" s="0" t="n">
        <v>9.3074185600876</v>
      </c>
      <c r="K9" s="0" t="n">
        <v>1.88</v>
      </c>
      <c r="L9" s="0" t="n">
        <v>464</v>
      </c>
      <c r="M9" s="0" t="n">
        <v>117</v>
      </c>
      <c r="N9" s="0" t="n">
        <v>347</v>
      </c>
      <c r="O9" s="0" t="n">
        <v>2084</v>
      </c>
      <c r="P9" s="0" t="n">
        <v>4657</v>
      </c>
      <c r="Q9" s="0" t="n">
        <v>2573</v>
      </c>
      <c r="R9" s="0" t="n">
        <v>1274</v>
      </c>
      <c r="S9" s="0" t="n">
        <v>680</v>
      </c>
      <c r="T9" s="0" t="n">
        <v>178.377</v>
      </c>
      <c r="U9" s="0" t="n">
        <v>15</v>
      </c>
      <c r="V9" s="0" t="n">
        <v>0.5632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3771</v>
      </c>
      <c r="C10" s="0" t="n">
        <v>2309</v>
      </c>
      <c r="D10" s="0" t="n">
        <v>1462</v>
      </c>
      <c r="E10" s="0" t="n">
        <v>38.7695571466455</v>
      </c>
      <c r="F10" s="0" t="n">
        <v>408</v>
      </c>
      <c r="G10" s="0" t="n">
        <v>10.8194112967383</v>
      </c>
      <c r="H10" s="0" t="n">
        <v>559</v>
      </c>
      <c r="I10" s="0" t="n">
        <v>260</v>
      </c>
      <c r="J10" s="0" t="n">
        <v>6.89472288517635</v>
      </c>
      <c r="K10" s="0" t="n">
        <v>1.45</v>
      </c>
      <c r="L10" s="0" t="n">
        <v>497</v>
      </c>
      <c r="M10" s="0" t="n">
        <v>124</v>
      </c>
      <c r="N10" s="0" t="n">
        <v>373</v>
      </c>
      <c r="O10" s="0" t="n">
        <v>2207</v>
      </c>
      <c r="P10" s="0" t="n">
        <v>6474</v>
      </c>
      <c r="Q10" s="0" t="n">
        <v>4267</v>
      </c>
      <c r="R10" s="0" t="n">
        <v>2368</v>
      </c>
      <c r="S10" s="0" t="n">
        <v>308</v>
      </c>
      <c r="T10" s="0" t="n">
        <v>179.367</v>
      </c>
      <c r="U10" s="0" t="n">
        <v>18</v>
      </c>
      <c r="V10" s="0" t="n">
        <v>0.6196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4707</v>
      </c>
      <c r="C11" s="0" t="n">
        <v>2860</v>
      </c>
      <c r="D11" s="0" t="n">
        <v>1847</v>
      </c>
      <c r="E11" s="0" t="n">
        <v>39.2394306352241</v>
      </c>
      <c r="F11" s="0" t="n">
        <v>552</v>
      </c>
      <c r="G11" s="0" t="n">
        <v>11.7272147864882</v>
      </c>
      <c r="H11" s="0" t="n">
        <v>786</v>
      </c>
      <c r="I11" s="0" t="n">
        <v>331</v>
      </c>
      <c r="J11" s="0" t="n">
        <v>7.03207988102826</v>
      </c>
      <c r="K11" s="0" t="n">
        <v>1.84</v>
      </c>
      <c r="L11" s="0" t="n">
        <v>686</v>
      </c>
      <c r="M11" s="0" t="n">
        <v>170</v>
      </c>
      <c r="N11" s="0" t="n">
        <v>516</v>
      </c>
      <c r="O11" s="0" t="n">
        <v>2519</v>
      </c>
      <c r="P11" s="0" t="n">
        <v>6860</v>
      </c>
      <c r="Q11" s="0" t="n">
        <v>4341</v>
      </c>
      <c r="R11" s="0" t="n">
        <v>2200</v>
      </c>
      <c r="S11" s="0" t="n">
        <v>414</v>
      </c>
      <c r="T11" s="0" t="n">
        <v>179.862</v>
      </c>
      <c r="U11" s="0" t="n">
        <v>21</v>
      </c>
      <c r="V11" s="0" t="n">
        <v>0.72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5207</v>
      </c>
      <c r="C12" s="0" t="n">
        <v>3181</v>
      </c>
      <c r="D12" s="0" t="n">
        <v>2026</v>
      </c>
      <c r="E12" s="0" t="n">
        <v>38.9091607451508</v>
      </c>
      <c r="F12" s="0" t="n">
        <v>654</v>
      </c>
      <c r="G12" s="0" t="n">
        <v>12.5600153639332</v>
      </c>
      <c r="H12" s="0" t="n">
        <v>915</v>
      </c>
      <c r="I12" s="0" t="n">
        <v>549</v>
      </c>
      <c r="J12" s="0" t="n">
        <v>10.5434991357788</v>
      </c>
      <c r="K12" s="0" t="n">
        <v>3.05</v>
      </c>
      <c r="L12" s="0" t="n">
        <v>586</v>
      </c>
      <c r="M12" s="0" t="n">
        <v>237</v>
      </c>
      <c r="N12" s="0" t="n">
        <v>349</v>
      </c>
      <c r="O12" s="0" t="n">
        <v>2782</v>
      </c>
      <c r="P12" s="0" t="n">
        <v>7222</v>
      </c>
      <c r="Q12" s="0" t="n">
        <v>4440</v>
      </c>
      <c r="R12" s="0" t="n">
        <v>2308</v>
      </c>
      <c r="S12" s="0" t="n">
        <v>296</v>
      </c>
      <c r="T12" s="0" t="n">
        <v>179.724</v>
      </c>
      <c r="U12" s="0" t="n">
        <v>30</v>
      </c>
      <c r="V12" s="0" t="n">
        <v>0.84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5249</v>
      </c>
      <c r="C13" s="0" t="n">
        <v>3203</v>
      </c>
      <c r="D13" s="0" t="n">
        <v>2046</v>
      </c>
      <c r="E13" s="0" t="n">
        <v>38.978853114879</v>
      </c>
      <c r="F13" s="0" t="n">
        <v>486</v>
      </c>
      <c r="G13" s="0" t="n">
        <v>9.25890645837302</v>
      </c>
      <c r="H13" s="0" t="n">
        <v>743</v>
      </c>
      <c r="I13" s="0" t="n">
        <v>401</v>
      </c>
      <c r="J13" s="0" t="n">
        <v>7.63955039055058</v>
      </c>
      <c r="K13" s="0" t="n">
        <v>2.23</v>
      </c>
      <c r="L13" s="0" t="n">
        <v>839</v>
      </c>
      <c r="M13" s="0" t="n">
        <v>226</v>
      </c>
      <c r="N13" s="0" t="n">
        <v>613</v>
      </c>
      <c r="O13" s="0" t="n">
        <v>2967</v>
      </c>
      <c r="P13" s="0" t="n">
        <v>7710</v>
      </c>
      <c r="Q13" s="0" t="n">
        <v>4743</v>
      </c>
      <c r="R13" s="0" t="n">
        <v>2316</v>
      </c>
      <c r="S13" s="0" t="n">
        <v>724</v>
      </c>
      <c r="T13" s="0" t="n">
        <v>180.14</v>
      </c>
      <c r="U13" s="0" t="n">
        <v>29</v>
      </c>
      <c r="V13" s="0" t="n">
        <v>0.96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4876</v>
      </c>
      <c r="C14" s="0" t="n">
        <v>3046</v>
      </c>
      <c r="D14" s="0" t="n">
        <v>1830</v>
      </c>
      <c r="E14" s="0" t="n">
        <v>37.5307629204266</v>
      </c>
      <c r="F14" s="0" t="n">
        <v>367</v>
      </c>
      <c r="G14" s="0" t="n">
        <v>7.52666119770304</v>
      </c>
      <c r="H14" s="0" t="n">
        <v>618</v>
      </c>
      <c r="I14" s="0" t="n">
        <v>254</v>
      </c>
      <c r="J14" s="0" t="n">
        <v>5.20918785890074</v>
      </c>
      <c r="K14" s="0" t="n">
        <v>1.41</v>
      </c>
      <c r="L14" s="0" t="n">
        <v>824</v>
      </c>
      <c r="M14" s="0" t="n">
        <v>183</v>
      </c>
      <c r="N14" s="0" t="n">
        <v>641</v>
      </c>
      <c r="O14" s="0" t="n">
        <v>2976</v>
      </c>
      <c r="P14" s="0" t="n">
        <v>8750</v>
      </c>
      <c r="Q14" s="0" t="n">
        <v>5774</v>
      </c>
      <c r="R14" s="0" t="n">
        <v>3084</v>
      </c>
      <c r="S14" s="0" t="n">
        <v>1875</v>
      </c>
      <c r="T14" s="0" t="n">
        <v>180.354</v>
      </c>
      <c r="U14" s="0" t="n">
        <v>26</v>
      </c>
      <c r="V14" s="0" t="n">
        <v>1.04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5195</v>
      </c>
      <c r="C15" s="0" t="n">
        <v>3220</v>
      </c>
      <c r="D15" s="0" t="n">
        <v>1975</v>
      </c>
      <c r="E15" s="0" t="n">
        <v>38.0173243503369</v>
      </c>
      <c r="F15" s="0" t="n">
        <v>585</v>
      </c>
      <c r="G15" s="0" t="n">
        <v>11.2608277189605</v>
      </c>
      <c r="H15" s="0" t="n">
        <v>830</v>
      </c>
      <c r="I15" s="0" t="n">
        <v>427</v>
      </c>
      <c r="J15" s="0" t="n">
        <v>8.21944177093359</v>
      </c>
      <c r="K15" s="0" t="n">
        <v>2.37</v>
      </c>
      <c r="L15" s="0" t="n">
        <v>538</v>
      </c>
      <c r="M15" s="0" t="n">
        <v>208</v>
      </c>
      <c r="N15" s="0" t="n">
        <v>330</v>
      </c>
      <c r="O15" s="0" t="n">
        <v>3226</v>
      </c>
      <c r="P15" s="0" t="n">
        <v>8276</v>
      </c>
      <c r="Q15" s="0" t="n">
        <v>5050</v>
      </c>
      <c r="R15" s="0" t="n">
        <v>2440</v>
      </c>
      <c r="S15" s="0" t="n">
        <v>1349</v>
      </c>
      <c r="T15" s="0" t="n">
        <v>180.392</v>
      </c>
      <c r="U15" s="0" t="n">
        <v>33</v>
      </c>
      <c r="V15" s="0" t="n">
        <v>1.12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5522</v>
      </c>
      <c r="C16" s="0" t="n">
        <v>3438</v>
      </c>
      <c r="D16" s="0" t="n">
        <v>2084</v>
      </c>
      <c r="E16" s="0" t="n">
        <v>37.7399492937342</v>
      </c>
      <c r="F16" s="0" t="n">
        <v>622</v>
      </c>
      <c r="G16" s="0" t="n">
        <v>11.2640347700109</v>
      </c>
      <c r="H16" s="0" t="n">
        <v>858</v>
      </c>
      <c r="I16" s="0" t="n">
        <v>355</v>
      </c>
      <c r="J16" s="0" t="n">
        <v>6.42883013400942</v>
      </c>
      <c r="K16" s="0" t="n">
        <v>1.97</v>
      </c>
      <c r="L16" s="0" t="n">
        <v>596</v>
      </c>
      <c r="M16" s="0" t="n">
        <v>208</v>
      </c>
      <c r="N16" s="0" t="n">
        <v>388</v>
      </c>
      <c r="O16" s="0" t="n">
        <v>3503</v>
      </c>
      <c r="P16" s="0" t="n">
        <v>7952</v>
      </c>
      <c r="Q16" s="0" t="n">
        <v>4449</v>
      </c>
      <c r="R16" s="0" t="n">
        <v>1880</v>
      </c>
      <c r="S16" s="0" t="n">
        <v>944</v>
      </c>
      <c r="T16" s="0" t="n">
        <v>180.253</v>
      </c>
      <c r="U16" s="0" t="n">
        <v>37</v>
      </c>
      <c r="V16" s="0" t="n">
        <v>1.2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7364</v>
      </c>
      <c r="C17" s="0" t="n">
        <v>4647</v>
      </c>
      <c r="D17" s="0" t="n">
        <v>2717</v>
      </c>
      <c r="E17" s="0" t="n">
        <v>36.8957088538838</v>
      </c>
      <c r="F17" s="0" t="n">
        <v>652</v>
      </c>
      <c r="G17" s="0" t="n">
        <v>8.85388375882673</v>
      </c>
      <c r="H17" s="0" t="n">
        <v>1088</v>
      </c>
      <c r="I17" s="0" t="n">
        <v>609</v>
      </c>
      <c r="J17" s="0" t="n">
        <v>8.26996197718631</v>
      </c>
      <c r="K17" s="0" t="n">
        <v>2.81</v>
      </c>
      <c r="L17" s="0" t="n">
        <v>837</v>
      </c>
      <c r="M17" s="0" t="n">
        <v>271</v>
      </c>
      <c r="N17" s="0" t="n">
        <v>566</v>
      </c>
      <c r="O17" s="0" t="n">
        <v>10176</v>
      </c>
      <c r="P17" s="0" t="n">
        <v>16112</v>
      </c>
      <c r="Q17" s="0" t="n">
        <v>5936</v>
      </c>
      <c r="R17" s="0" t="n">
        <v>2284</v>
      </c>
      <c r="S17" s="0" t="n">
        <v>1019</v>
      </c>
      <c r="T17" s="0" t="n">
        <v>241.504</v>
      </c>
      <c r="U17" s="0" t="n">
        <v>60</v>
      </c>
      <c r="V17" s="0" t="n">
        <v>1.32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8562</v>
      </c>
      <c r="C18" s="0" t="n">
        <v>5350</v>
      </c>
      <c r="D18" s="0" t="n">
        <v>3212</v>
      </c>
      <c r="E18" s="0" t="n">
        <v>37.5145993926653</v>
      </c>
      <c r="F18" s="0" t="n">
        <v>1009</v>
      </c>
      <c r="G18" s="0" t="n">
        <v>11.784629759402</v>
      </c>
      <c r="H18" s="0" t="n">
        <v>1571</v>
      </c>
      <c r="I18" s="0" t="n">
        <v>890</v>
      </c>
      <c r="J18" s="0" t="n">
        <v>10.3947675776688</v>
      </c>
      <c r="K18" s="0" t="n">
        <v>3.67</v>
      </c>
      <c r="L18" s="0" t="n">
        <v>1263</v>
      </c>
      <c r="M18" s="0" t="n">
        <v>321</v>
      </c>
      <c r="N18" s="0" t="n">
        <v>942</v>
      </c>
      <c r="O18" s="0" t="n">
        <v>10647</v>
      </c>
      <c r="P18" s="0" t="n">
        <v>16493</v>
      </c>
      <c r="Q18" s="0" t="n">
        <v>5611</v>
      </c>
      <c r="R18" s="0" t="n">
        <v>2016</v>
      </c>
      <c r="S18" s="0" t="n">
        <v>1121</v>
      </c>
      <c r="T18" s="0" t="n">
        <v>243.521</v>
      </c>
      <c r="U18" s="0" t="n">
        <v>56</v>
      </c>
      <c r="V18" s="0" t="n">
        <v>1.44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9035</v>
      </c>
      <c r="C19" s="0" t="n">
        <v>5560</v>
      </c>
      <c r="D19" s="0" t="n">
        <v>3475</v>
      </c>
      <c r="E19" s="0" t="n">
        <v>38.4615384615385</v>
      </c>
      <c r="F19" s="0" t="n">
        <v>1223</v>
      </c>
      <c r="G19" s="0" t="n">
        <v>13.5362479247371</v>
      </c>
      <c r="H19" s="0" t="n">
        <v>1798</v>
      </c>
      <c r="I19" s="0" t="n">
        <v>957</v>
      </c>
      <c r="J19" s="0" t="n">
        <v>10.5921416712784</v>
      </c>
      <c r="K19" s="0" t="n">
        <v>3.93</v>
      </c>
      <c r="L19" s="0" t="n">
        <v>1241</v>
      </c>
      <c r="M19" s="0" t="n">
        <v>331</v>
      </c>
      <c r="N19" s="0" t="n">
        <v>910</v>
      </c>
      <c r="O19" s="0" t="n">
        <v>11491</v>
      </c>
      <c r="P19" s="0" t="n">
        <v>17634</v>
      </c>
      <c r="Q19" s="0" t="n">
        <v>5885</v>
      </c>
      <c r="R19" s="0" t="n">
        <v>1942</v>
      </c>
      <c r="S19" s="0" t="n">
        <v>1479</v>
      </c>
      <c r="T19" s="0" t="n">
        <v>243.994</v>
      </c>
      <c r="U19" s="0" t="n">
        <v>53</v>
      </c>
      <c r="V19" s="0" t="n">
        <v>1.6</v>
      </c>
      <c r="AA19" s="0" t="s">
        <v>17</v>
      </c>
      <c r="AB1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101.79</v>
      </c>
    </row>
    <row r="3" customFormat="false" ht="15" hidden="false" customHeight="false" outlineLevel="0" collapsed="false">
      <c r="A3" s="0" t="s">
        <v>84</v>
      </c>
      <c r="B3" s="3" t="n">
        <v>236.574</v>
      </c>
    </row>
    <row r="4" customFormat="false" ht="15" hidden="false" customHeight="false" outlineLevel="0" collapsed="false">
      <c r="A4" s="0" t="s">
        <v>85</v>
      </c>
      <c r="B4" s="3" t="n">
        <v>1650</v>
      </c>
    </row>
    <row r="5" customFormat="false" ht="15" hidden="false" customHeight="false" outlineLevel="0" collapsed="false">
      <c r="A5" s="0" t="s">
        <v>86</v>
      </c>
      <c r="B5" s="3" t="n">
        <v>0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9035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1</v>
      </c>
      <c r="D13" s="3" t="n">
        <v>2</v>
      </c>
      <c r="E13" s="3" t="n">
        <v>2.5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105</v>
      </c>
      <c r="C14" s="3" t="n">
        <v>18</v>
      </c>
      <c r="D14" s="3" t="n">
        <v>18</v>
      </c>
      <c r="E14" s="3" t="n">
        <v>18.2</v>
      </c>
      <c r="F14" s="3" t="n">
        <v>18.3</v>
      </c>
      <c r="G14" s="3" t="n">
        <v>18.5</v>
      </c>
      <c r="H14" s="3" t="n">
        <v>18.5</v>
      </c>
      <c r="I14" s="3" t="n">
        <v>18.5</v>
      </c>
      <c r="J14" s="3" t="n">
        <v>18.5</v>
      </c>
      <c r="K14" s="3" t="n">
        <v>18.5</v>
      </c>
      <c r="L14" s="3" t="n">
        <v>18.5</v>
      </c>
    </row>
    <row r="15" customFormat="false" ht="15" hidden="false" customHeight="false" outlineLevel="0" collapsed="false">
      <c r="A15" s="0" t="s">
        <v>106</v>
      </c>
      <c r="C15" s="3" t="n">
        <v>0.75</v>
      </c>
      <c r="D15" s="3" t="n">
        <v>0.75</v>
      </c>
      <c r="E15" s="3" t="n">
        <v>0.75</v>
      </c>
      <c r="F15" s="3" t="n">
        <v>0.75</v>
      </c>
      <c r="G15" s="3" t="n">
        <v>0.75</v>
      </c>
      <c r="H15" s="3" t="n">
        <v>0.75</v>
      </c>
      <c r="I15" s="3" t="n">
        <v>0.75</v>
      </c>
      <c r="J15" s="3" t="n">
        <v>0.75</v>
      </c>
      <c r="K15" s="3" t="n">
        <v>0.75</v>
      </c>
      <c r="L15" s="3" t="n">
        <v>0.75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6.3</v>
      </c>
      <c r="D17" s="3" t="n">
        <v>6</v>
      </c>
      <c r="E17" s="3" t="n">
        <v>5.7</v>
      </c>
      <c r="F17" s="3" t="n">
        <v>5.4</v>
      </c>
      <c r="G17" s="3" t="n">
        <v>5.1</v>
      </c>
      <c r="H17" s="3" t="n">
        <v>4.9</v>
      </c>
      <c r="I17" s="3" t="n">
        <v>4.7</v>
      </c>
      <c r="J17" s="3" t="n">
        <v>4.6</v>
      </c>
      <c r="K17" s="3" t="n">
        <v>4.5</v>
      </c>
      <c r="L17" s="3" t="n">
        <v>4.5</v>
      </c>
    </row>
    <row r="18" customFormat="false" ht="15" hidden="false" customHeight="false" outlineLevel="0" collapsed="false">
      <c r="A18" s="0" t="s">
        <v>109</v>
      </c>
      <c r="C18" s="3" t="n">
        <v>3.7</v>
      </c>
      <c r="D18" s="3" t="n">
        <v>3.7</v>
      </c>
      <c r="E18" s="3" t="n">
        <v>3.7</v>
      </c>
      <c r="F18" s="3" t="n">
        <v>3.7</v>
      </c>
      <c r="G18" s="3" t="n">
        <v>3.7</v>
      </c>
      <c r="H18" s="3" t="n">
        <v>3.7</v>
      </c>
      <c r="I18" s="3" t="n">
        <v>3.7</v>
      </c>
      <c r="J18" s="3" t="n">
        <v>3.7</v>
      </c>
      <c r="K18" s="3" t="n">
        <v>3.7</v>
      </c>
      <c r="L18" s="3" t="n">
        <v>3.7</v>
      </c>
    </row>
    <row r="19" customFormat="false" ht="15" hidden="false" customHeight="false" outlineLevel="0" collapsed="false">
      <c r="A19" s="0" t="s">
        <v>110</v>
      </c>
      <c r="C19" s="3" t="n">
        <v>22</v>
      </c>
      <c r="D19" s="3" t="n">
        <v>22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111</v>
      </c>
      <c r="B20" s="3" t="n">
        <v>9</v>
      </c>
    </row>
    <row r="21" customFormat="false" ht="15" hidden="false" customHeight="false" outlineLevel="0" collapsed="false">
      <c r="A21" s="0" t="s">
        <v>112</v>
      </c>
      <c r="B21" s="3" t="n">
        <v>2.5</v>
      </c>
    </row>
    <row r="22" customFormat="false" ht="15" hidden="false" customHeight="false" outlineLevel="0" collapsed="false">
      <c r="A22" s="0" t="s">
        <v>113</v>
      </c>
      <c r="B22" s="3" t="n">
        <v>15</v>
      </c>
    </row>
    <row r="23" customFormat="false" ht="15" hidden="false" customHeight="false" outlineLevel="0" collapsed="false">
      <c r="A23" s="0" t="s">
        <v>114</v>
      </c>
      <c r="B23" s="3" t="n">
        <v>-18</v>
      </c>
    </row>
    <row r="24" customFormat="false" ht="15" hidden="false" customHeight="false" outlineLevel="0" collapsed="false">
      <c r="A24" s="0" t="s">
        <v>115</v>
      </c>
      <c r="B24" s="3" t="n">
        <v>0.2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1.8</v>
      </c>
      <c r="D27" s="3" t="n">
        <v>5</v>
      </c>
      <c r="E27" s="3" t="n">
        <v>5.5</v>
      </c>
      <c r="F27" s="3" t="n">
        <v>5</v>
      </c>
      <c r="G27" s="3" t="n">
        <v>5</v>
      </c>
      <c r="H27" s="3" t="n">
        <v>4.5</v>
      </c>
      <c r="I27" s="3" t="n">
        <v>4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105</v>
      </c>
      <c r="C28" s="3" t="n">
        <v>18.5</v>
      </c>
      <c r="D28" s="3" t="n">
        <v>19.2</v>
      </c>
      <c r="E28" s="3" t="n">
        <v>19.8</v>
      </c>
      <c r="F28" s="3" t="n">
        <v>20.3</v>
      </c>
      <c r="G28" s="3" t="n">
        <v>20.7</v>
      </c>
      <c r="H28" s="3" t="n">
        <v>21</v>
      </c>
      <c r="I28" s="3" t="n">
        <v>21</v>
      </c>
      <c r="J28" s="3" t="n">
        <v>21</v>
      </c>
      <c r="K28" s="3" t="n">
        <v>21</v>
      </c>
      <c r="L28" s="3" t="n">
        <v>21</v>
      </c>
    </row>
    <row r="29" customFormat="false" ht="15" hidden="false" customHeight="false" outlineLevel="0" collapsed="false">
      <c r="A29" s="0" t="s">
        <v>106</v>
      </c>
      <c r="C29" s="3" t="n">
        <v>0.75</v>
      </c>
      <c r="D29" s="3" t="n">
        <v>0.75</v>
      </c>
      <c r="E29" s="3" t="n">
        <v>0.75</v>
      </c>
      <c r="F29" s="3" t="n">
        <v>0.75</v>
      </c>
      <c r="G29" s="3" t="n">
        <v>0.75</v>
      </c>
      <c r="H29" s="3" t="n">
        <v>0.75</v>
      </c>
      <c r="I29" s="3" t="n">
        <v>0.75</v>
      </c>
      <c r="J29" s="3" t="n">
        <v>0.75</v>
      </c>
      <c r="K29" s="3" t="n">
        <v>0.75</v>
      </c>
      <c r="L29" s="3" t="n">
        <v>0.75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6.3</v>
      </c>
      <c r="D31" s="3" t="n">
        <v>6</v>
      </c>
      <c r="E31" s="3" t="n">
        <v>5.7</v>
      </c>
      <c r="F31" s="3" t="n">
        <v>5.4</v>
      </c>
      <c r="G31" s="3" t="n">
        <v>5.1</v>
      </c>
      <c r="H31" s="3" t="n">
        <v>4.9</v>
      </c>
      <c r="I31" s="3" t="n">
        <v>4.7</v>
      </c>
      <c r="J31" s="3" t="n">
        <v>4.6</v>
      </c>
      <c r="K31" s="3" t="n">
        <v>4.5</v>
      </c>
      <c r="L31" s="3" t="n">
        <v>4.5</v>
      </c>
    </row>
    <row r="32" customFormat="false" ht="15" hidden="false" customHeight="false" outlineLevel="0" collapsed="false">
      <c r="A32" s="0" t="s">
        <v>109</v>
      </c>
      <c r="C32" s="3" t="n">
        <v>3.7</v>
      </c>
      <c r="D32" s="3" t="n">
        <v>3.7</v>
      </c>
      <c r="E32" s="3" t="n">
        <v>3.7</v>
      </c>
      <c r="F32" s="3" t="n">
        <v>3.7</v>
      </c>
      <c r="G32" s="3" t="n">
        <v>3.7</v>
      </c>
      <c r="H32" s="3" t="n">
        <v>3.7</v>
      </c>
      <c r="I32" s="3" t="n">
        <v>3.7</v>
      </c>
      <c r="J32" s="3" t="n">
        <v>3.7</v>
      </c>
      <c r="K32" s="3" t="n">
        <v>3.7</v>
      </c>
      <c r="L32" s="3" t="n">
        <v>3.7</v>
      </c>
    </row>
    <row r="33" customFormat="false" ht="15" hidden="false" customHeight="false" outlineLevel="0" collapsed="false">
      <c r="A33" s="0" t="s">
        <v>110</v>
      </c>
      <c r="C33" s="3" t="n">
        <v>22</v>
      </c>
      <c r="D33" s="3" t="n">
        <v>22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111</v>
      </c>
      <c r="B34" s="3" t="n">
        <v>9</v>
      </c>
    </row>
    <row r="35" customFormat="false" ht="15" hidden="false" customHeight="false" outlineLevel="0" collapsed="false">
      <c r="A35" s="0" t="s">
        <v>112</v>
      </c>
      <c r="B35" s="3" t="n">
        <v>3</v>
      </c>
    </row>
    <row r="36" customFormat="false" ht="15" hidden="false" customHeight="false" outlineLevel="0" collapsed="false">
      <c r="A36" s="0" t="s">
        <v>113</v>
      </c>
      <c r="B36" s="3" t="n">
        <v>18</v>
      </c>
    </row>
    <row r="37" customFormat="false" ht="15" hidden="false" customHeight="false" outlineLevel="0" collapsed="false">
      <c r="A37" s="0" t="s">
        <v>114</v>
      </c>
      <c r="B37" s="3" t="n">
        <v>-18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2.5</v>
      </c>
      <c r="D41" s="3" t="n">
        <v>7.5</v>
      </c>
      <c r="E41" s="3" t="n">
        <v>8</v>
      </c>
      <c r="F41" s="3" t="n">
        <v>7.5</v>
      </c>
      <c r="G41" s="3" t="n">
        <v>7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105</v>
      </c>
      <c r="C42" s="3" t="n">
        <v>18.8</v>
      </c>
      <c r="D42" s="3" t="n">
        <v>19.8</v>
      </c>
      <c r="E42" s="3" t="n">
        <v>20.7</v>
      </c>
      <c r="F42" s="3" t="n">
        <v>21.5</v>
      </c>
      <c r="G42" s="3" t="n">
        <v>22</v>
      </c>
      <c r="H42" s="3" t="n">
        <v>22.4</v>
      </c>
      <c r="I42" s="3" t="n">
        <v>22.6</v>
      </c>
      <c r="J42" s="3" t="n">
        <v>22.6</v>
      </c>
      <c r="K42" s="3" t="n">
        <v>22.6</v>
      </c>
      <c r="L42" s="3" t="n">
        <v>22.6</v>
      </c>
    </row>
    <row r="43" customFormat="false" ht="15" hidden="false" customHeight="false" outlineLevel="0" collapsed="false">
      <c r="A43" s="0" t="s">
        <v>106</v>
      </c>
      <c r="C43" s="3" t="n">
        <v>0.75</v>
      </c>
      <c r="D43" s="3" t="n">
        <v>0.75</v>
      </c>
      <c r="E43" s="3" t="n">
        <v>0.75</v>
      </c>
      <c r="F43" s="3" t="n">
        <v>0.75</v>
      </c>
      <c r="G43" s="3" t="n">
        <v>0.75</v>
      </c>
      <c r="H43" s="3" t="n">
        <v>0.75</v>
      </c>
      <c r="I43" s="3" t="n">
        <v>0.75</v>
      </c>
      <c r="J43" s="3" t="n">
        <v>0.75</v>
      </c>
      <c r="K43" s="3" t="n">
        <v>0.75</v>
      </c>
      <c r="L43" s="3" t="n">
        <v>0.75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6.3</v>
      </c>
      <c r="D45" s="3" t="n">
        <v>6</v>
      </c>
      <c r="E45" s="3" t="n">
        <v>5.7</v>
      </c>
      <c r="F45" s="3" t="n">
        <v>5.4</v>
      </c>
      <c r="G45" s="3" t="n">
        <v>5.1</v>
      </c>
      <c r="H45" s="3" t="n">
        <v>4.9</v>
      </c>
      <c r="I45" s="3" t="n">
        <v>4.7</v>
      </c>
      <c r="J45" s="3" t="n">
        <v>4.6</v>
      </c>
      <c r="K45" s="3" t="n">
        <v>4.5</v>
      </c>
      <c r="L45" s="3" t="n">
        <v>4.5</v>
      </c>
    </row>
    <row r="46" customFormat="false" ht="15" hidden="false" customHeight="false" outlineLevel="0" collapsed="false">
      <c r="A46" s="0" t="s">
        <v>109</v>
      </c>
      <c r="C46" s="3" t="n">
        <v>3.7</v>
      </c>
      <c r="D46" s="3" t="n">
        <v>3.8</v>
      </c>
      <c r="E46" s="3" t="n">
        <v>3.8</v>
      </c>
      <c r="F46" s="3" t="n">
        <v>3.8</v>
      </c>
      <c r="G46" s="3" t="n">
        <v>3.8</v>
      </c>
      <c r="H46" s="3" t="n">
        <v>3.8</v>
      </c>
      <c r="I46" s="3" t="n">
        <v>3.8</v>
      </c>
      <c r="J46" s="3" t="n">
        <v>3.7</v>
      </c>
      <c r="K46" s="3" t="n">
        <v>3.7</v>
      </c>
      <c r="L46" s="3" t="n">
        <v>3.7</v>
      </c>
    </row>
    <row r="47" customFormat="false" ht="15" hidden="false" customHeight="false" outlineLevel="0" collapsed="false">
      <c r="A47" s="0" t="s">
        <v>110</v>
      </c>
      <c r="C47" s="3" t="n">
        <v>22</v>
      </c>
      <c r="D47" s="3" t="n">
        <v>22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111</v>
      </c>
      <c r="B48" s="3" t="n">
        <v>9</v>
      </c>
    </row>
    <row r="49" customFormat="false" ht="15" hidden="false" customHeight="false" outlineLevel="0" collapsed="false">
      <c r="A49" s="0" t="s">
        <v>112</v>
      </c>
      <c r="B49" s="3" t="n">
        <v>3</v>
      </c>
    </row>
    <row r="50" customFormat="false" ht="15" hidden="false" customHeight="false" outlineLevel="0" collapsed="false">
      <c r="A50" s="0" t="s">
        <v>113</v>
      </c>
      <c r="B50" s="3" t="n">
        <v>20</v>
      </c>
    </row>
    <row r="51" customFormat="false" ht="15" hidden="false" customHeight="false" outlineLevel="0" collapsed="false">
      <c r="A51" s="0" t="s">
        <v>114</v>
      </c>
      <c r="B51" s="3" t="n">
        <v>-18</v>
      </c>
    </row>
    <row r="52" customFormat="false" ht="15" hidden="false" customHeight="false" outlineLevel="0" collapsed="false">
      <c r="A52" s="0" t="s">
        <v>115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1</v>
      </c>
      <c r="D5" s="4" t="n">
        <f aca="false">Assumptions!D13</f>
        <v>2</v>
      </c>
      <c r="E5" s="4" t="n">
        <f aca="false">Assumptions!E13</f>
        <v>2.5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9035</v>
      </c>
      <c r="C6" s="0" t="n">
        <f aca="false">B6*(1+C5/100)</f>
        <v>9125.35</v>
      </c>
      <c r="D6" s="0" t="n">
        <f aca="false">C6*(1+D5/100)</f>
        <v>9307.857</v>
      </c>
      <c r="E6" s="0" t="n">
        <f aca="false">D6*(1+E5/100)</f>
        <v>9540.553425</v>
      </c>
      <c r="F6" s="0" t="n">
        <f aca="false">E6*(1+F5/100)</f>
        <v>9826.77002775</v>
      </c>
      <c r="G6" s="0" t="n">
        <f aca="false">F6*(1+G5/100)</f>
        <v>10121.5731285825</v>
      </c>
      <c r="H6" s="0" t="n">
        <f aca="false">G6*(1+H5/100)</f>
        <v>10425.22032244</v>
      </c>
      <c r="I6" s="0" t="n">
        <f aca="false">H6*(1+I5/100)</f>
        <v>10737.9769321132</v>
      </c>
      <c r="J6" s="0" t="n">
        <f aca="false">I6*(1+J5/100)</f>
        <v>11006.426355416</v>
      </c>
      <c r="K6" s="0" t="n">
        <f aca="false">J6*(1+K5/100)</f>
        <v>11281.5870143014</v>
      </c>
      <c r="L6" s="0" t="n">
        <f aca="false">K6*(1+L5/100)</f>
        <v>11563.6266896589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18</v>
      </c>
      <c r="D7" s="4" t="n">
        <f aca="false">Assumptions!D14</f>
        <v>18</v>
      </c>
      <c r="E7" s="4" t="n">
        <f aca="false">Assumptions!E14</f>
        <v>18.2</v>
      </c>
      <c r="F7" s="4" t="n">
        <f aca="false">Assumptions!F14</f>
        <v>18.3</v>
      </c>
      <c r="G7" s="4" t="n">
        <f aca="false">Assumptions!G14</f>
        <v>18.5</v>
      </c>
      <c r="H7" s="4" t="n">
        <f aca="false">Assumptions!H14</f>
        <v>18.5</v>
      </c>
      <c r="I7" s="4" t="n">
        <f aca="false">Assumptions!I14</f>
        <v>18.5</v>
      </c>
      <c r="J7" s="4" t="n">
        <f aca="false">Assumptions!J14</f>
        <v>18.5</v>
      </c>
      <c r="K7" s="4" t="n">
        <f aca="false">Assumptions!K14</f>
        <v>18.5</v>
      </c>
      <c r="L7" s="4" t="n">
        <f aca="false">Assumptions!L14</f>
        <v>18.5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1642.563</v>
      </c>
      <c r="D8" s="0" t="n">
        <f aca="false">D6*D7/100</f>
        <v>1675.41426</v>
      </c>
      <c r="E8" s="0" t="n">
        <f aca="false">E6*E7/100</f>
        <v>1736.38072335</v>
      </c>
      <c r="F8" s="0" t="n">
        <f aca="false">F6*F7/100</f>
        <v>1798.29891507825</v>
      </c>
      <c r="G8" s="0" t="n">
        <f aca="false">G6*G7/100</f>
        <v>1872.49102878776</v>
      </c>
      <c r="H8" s="0" t="n">
        <f aca="false">H6*H7/100</f>
        <v>1928.6657596514</v>
      </c>
      <c r="I8" s="0" t="n">
        <f aca="false">I6*I7/100</f>
        <v>1986.52573244094</v>
      </c>
      <c r="J8" s="0" t="n">
        <f aca="false">J6*J7/100</f>
        <v>2036.18887575196</v>
      </c>
      <c r="K8" s="0" t="n">
        <f aca="false">K6*K7/100</f>
        <v>2087.09359764576</v>
      </c>
      <c r="L8" s="0" t="n">
        <f aca="false">L6*L7/100</f>
        <v>2139.2709375869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0.75</v>
      </c>
      <c r="D9" s="4" t="n">
        <f aca="false">Assumptions!D15</f>
        <v>0.75</v>
      </c>
      <c r="E9" s="4" t="n">
        <f aca="false">Assumptions!E15</f>
        <v>0.75</v>
      </c>
      <c r="F9" s="4" t="n">
        <f aca="false">Assumptions!F15</f>
        <v>0.75</v>
      </c>
      <c r="G9" s="4" t="n">
        <f aca="false">Assumptions!G15</f>
        <v>0.75</v>
      </c>
      <c r="H9" s="4" t="n">
        <f aca="false">Assumptions!H15</f>
        <v>0.75</v>
      </c>
      <c r="I9" s="4" t="n">
        <f aca="false">Assumptions!I15</f>
        <v>0.75</v>
      </c>
      <c r="J9" s="4" t="n">
        <f aca="false">Assumptions!J15</f>
        <v>0.75</v>
      </c>
      <c r="K9" s="4" t="n">
        <f aca="false">Assumptions!K15</f>
        <v>0.75</v>
      </c>
      <c r="L9" s="4" t="n">
        <f aca="false">Assumptions!L15</f>
        <v>0.75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-68.440125</v>
      </c>
      <c r="D10" s="0" t="n">
        <f aca="false">-D6*D9/100</f>
        <v>-69.8089275</v>
      </c>
      <c r="E10" s="0" t="n">
        <f aca="false">-E6*E9/100</f>
        <v>-71.5541506875</v>
      </c>
      <c r="F10" s="0" t="n">
        <f aca="false">-F6*F9/100</f>
        <v>-73.700775208125</v>
      </c>
      <c r="G10" s="0" t="n">
        <f aca="false">-G6*G9/100</f>
        <v>-75.9117984643687</v>
      </c>
      <c r="H10" s="0" t="n">
        <f aca="false">-H6*H9/100</f>
        <v>-78.1891524182998</v>
      </c>
      <c r="I10" s="0" t="n">
        <f aca="false">-I6*I9/100</f>
        <v>-80.5348269908488</v>
      </c>
      <c r="J10" s="0" t="n">
        <f aca="false">-J6*J9/100</f>
        <v>-82.54819766562</v>
      </c>
      <c r="K10" s="0" t="n">
        <f aca="false">-K6*K9/100</f>
        <v>-84.6119026072605</v>
      </c>
      <c r="L10" s="0" t="n">
        <f aca="false">-L6*L9/100</f>
        <v>-86.727200172442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1574.122875</v>
      </c>
      <c r="D11" s="0" t="n">
        <f aca="false">D8+D10+D24</f>
        <v>1605.6053325</v>
      </c>
      <c r="E11" s="0" t="n">
        <f aca="false">E8+E10+E24</f>
        <v>1664.8265726625</v>
      </c>
      <c r="F11" s="0" t="n">
        <f aca="false">F8+F10+F24</f>
        <v>1724.59813987013</v>
      </c>
      <c r="G11" s="0" t="n">
        <f aca="false">G8+G10+G24</f>
        <v>1796.57923032339</v>
      </c>
      <c r="H11" s="0" t="n">
        <f aca="false">H8+H10+H24</f>
        <v>1850.4766072331</v>
      </c>
      <c r="I11" s="0" t="n">
        <f aca="false">I8+I10+I24</f>
        <v>1905.99090545009</v>
      </c>
      <c r="J11" s="0" t="n">
        <f aca="false">J8+J10+J24</f>
        <v>1953.64067808634</v>
      </c>
      <c r="K11" s="0" t="n">
        <f aca="false">K8+K10+K24</f>
        <v>2002.4816950385</v>
      </c>
      <c r="L11" s="0" t="n">
        <f aca="false">L8+L10+L24</f>
        <v>2052.54373741446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-574.89705</v>
      </c>
      <c r="D12" s="4" t="n">
        <f aca="false">-D6*Assumptions!D17/100</f>
        <v>-558.47142</v>
      </c>
      <c r="E12" s="4" t="n">
        <f aca="false">-E6*Assumptions!E17/100</f>
        <v>-543.811545225</v>
      </c>
      <c r="F12" s="4" t="n">
        <f aca="false">-F6*Assumptions!F17/100</f>
        <v>-530.6455814985</v>
      </c>
      <c r="G12" s="4" t="n">
        <f aca="false">-G6*Assumptions!G17/100</f>
        <v>-516.200229557707</v>
      </c>
      <c r="H12" s="4" t="n">
        <f aca="false">-H6*Assumptions!H17/100</f>
        <v>-510.835795799559</v>
      </c>
      <c r="I12" s="4" t="n">
        <f aca="false">-I6*Assumptions!I17/100</f>
        <v>-504.684915809319</v>
      </c>
      <c r="J12" s="4" t="n">
        <f aca="false">-J6*Assumptions!J17/100</f>
        <v>-506.295612349136</v>
      </c>
      <c r="K12" s="4" t="n">
        <f aca="false">-K6*Assumptions!K17/100</f>
        <v>-507.671415643563</v>
      </c>
      <c r="L12" s="4" t="n">
        <f aca="false">-L6*Assumptions!L17/100</f>
        <v>-520.363201034652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999.225825</v>
      </c>
      <c r="D13" s="0" t="n">
        <f aca="false">D11+D12</f>
        <v>1047.1339125</v>
      </c>
      <c r="E13" s="0" t="n">
        <f aca="false">E11+E12</f>
        <v>1121.0150274375</v>
      </c>
      <c r="F13" s="0" t="n">
        <f aca="false">F11+F12</f>
        <v>1193.95255837163</v>
      </c>
      <c r="G13" s="0" t="n">
        <f aca="false">G11+G12</f>
        <v>1280.37900076569</v>
      </c>
      <c r="H13" s="0" t="n">
        <f aca="false">H11+H12</f>
        <v>1339.64081143354</v>
      </c>
      <c r="I13" s="0" t="n">
        <f aca="false">I11+I12</f>
        <v>1401.30598964077</v>
      </c>
      <c r="J13" s="0" t="n">
        <f aca="false">J11+J12</f>
        <v>1447.3450657372</v>
      </c>
      <c r="K13" s="0" t="n">
        <f aca="false">K11+K12</f>
        <v>1494.81027939494</v>
      </c>
      <c r="L13" s="0" t="n">
        <f aca="false">L11+L12</f>
        <v>1532.18053637981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22</v>
      </c>
      <c r="D14" s="4" t="n">
        <f aca="false">Assumptions!D19</f>
        <v>22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779.3961435</v>
      </c>
      <c r="D15" s="0" t="n">
        <f aca="false">D13-MAX(0,D13)*D14/100</f>
        <v>816.76445175</v>
      </c>
      <c r="E15" s="0" t="n">
        <f aca="false">E13-MAX(0,E13)*E14/100</f>
        <v>874.39172140125</v>
      </c>
      <c r="F15" s="0" t="n">
        <f aca="false">F13-MAX(0,F13)*F14/100</f>
        <v>931.282995529868</v>
      </c>
      <c r="G15" s="0" t="n">
        <f aca="false">G13-MAX(0,G13)*G14/100</f>
        <v>998.695620597235</v>
      </c>
      <c r="H15" s="0" t="n">
        <f aca="false">H13-MAX(0,H13)*H14/100</f>
        <v>1044.91983291816</v>
      </c>
      <c r="I15" s="0" t="n">
        <f aca="false">I13-MAX(0,I13)*I14/100</f>
        <v>1093.0186719198</v>
      </c>
      <c r="J15" s="0" t="n">
        <f aca="false">J13-MAX(0,J13)*J14/100</f>
        <v>1128.92915127502</v>
      </c>
      <c r="K15" s="0" t="n">
        <f aca="false">K13-MAX(0,K13)*K14/100</f>
        <v>1165.95201792805</v>
      </c>
      <c r="L15" s="0" t="n">
        <f aca="false">L13-MAX(0,L13)*L14/100</f>
        <v>1195.10081837625</v>
      </c>
    </row>
    <row r="16" customFormat="false" ht="15" hidden="false" customHeight="false" outlineLevel="0" collapsed="false">
      <c r="A16" s="0" t="s">
        <v>126</v>
      </c>
      <c r="C16" s="0" t="n">
        <f aca="false">-C12</f>
        <v>574.89705</v>
      </c>
      <c r="D16" s="0" t="n">
        <f aca="false">-D12</f>
        <v>558.47142</v>
      </c>
      <c r="E16" s="0" t="n">
        <f aca="false">-E12</f>
        <v>543.811545225</v>
      </c>
      <c r="F16" s="0" t="n">
        <f aca="false">-F12</f>
        <v>530.6455814985</v>
      </c>
      <c r="G16" s="0" t="n">
        <f aca="false">-G12</f>
        <v>516.200229557707</v>
      </c>
      <c r="H16" s="0" t="n">
        <f aca="false">-H12</f>
        <v>510.835795799559</v>
      </c>
      <c r="I16" s="0" t="n">
        <f aca="false">-I12</f>
        <v>504.684915809319</v>
      </c>
      <c r="J16" s="0" t="n">
        <f aca="false">-J12</f>
        <v>506.295612349136</v>
      </c>
      <c r="K16" s="0" t="n">
        <f aca="false">-K12</f>
        <v>507.671415643563</v>
      </c>
      <c r="L16" s="0" t="n">
        <f aca="false">-L12</f>
        <v>520.363201034652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-337.63795</v>
      </c>
      <c r="D17" s="4" t="n">
        <f aca="false">-D6*Assumptions!D18/100</f>
        <v>-344.390709</v>
      </c>
      <c r="E17" s="4" t="n">
        <f aca="false">-E6*Assumptions!E18/100</f>
        <v>-353.000476725</v>
      </c>
      <c r="F17" s="4" t="n">
        <f aca="false">-F6*Assumptions!F18/100</f>
        <v>-363.59049102675</v>
      </c>
      <c r="G17" s="4" t="n">
        <f aca="false">-G6*Assumptions!G18/100</f>
        <v>-374.498205757553</v>
      </c>
      <c r="H17" s="4" t="n">
        <f aca="false">-H6*Assumptions!H18/100</f>
        <v>-385.733151930279</v>
      </c>
      <c r="I17" s="4" t="n">
        <f aca="false">-I6*Assumptions!I18/100</f>
        <v>-397.305146488187</v>
      </c>
      <c r="J17" s="4" t="n">
        <f aca="false">-J6*Assumptions!J18/100</f>
        <v>-407.237775150392</v>
      </c>
      <c r="K17" s="4" t="n">
        <f aca="false">-K6*Assumptions!K18/100</f>
        <v>-417.418719529152</v>
      </c>
      <c r="L17" s="4" t="n">
        <f aca="false">-L6*Assumptions!L18/100</f>
        <v>-427.854187517381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-16.2630000000001</v>
      </c>
      <c r="D18" s="4" t="n">
        <f aca="false">(D6-C6)*Assumptions!$B$23/100</f>
        <v>-32.8512599999999</v>
      </c>
      <c r="E18" s="4" t="n">
        <f aca="false">(E6-D6)*Assumptions!$B$23/100</f>
        <v>-41.8853564999997</v>
      </c>
      <c r="F18" s="4" t="n">
        <f aca="false">(F6-E6)*Assumptions!$B$23/100</f>
        <v>-51.5189884950001</v>
      </c>
      <c r="G18" s="4" t="n">
        <f aca="false">(G6-F6)*Assumptions!$B$23/100</f>
        <v>-53.0645581498499</v>
      </c>
      <c r="H18" s="4" t="n">
        <f aca="false">(H6-G6)*Assumptions!$B$23/100</f>
        <v>-54.6564948943457</v>
      </c>
      <c r="I18" s="4" t="n">
        <f aca="false">(I6-H6)*Assumptions!$B$23/100</f>
        <v>-56.2961897411758</v>
      </c>
      <c r="J18" s="4" t="n">
        <f aca="false">(J6-I6)*Assumptions!$B$23/100</f>
        <v>-48.3208961945092</v>
      </c>
      <c r="K18" s="4" t="n">
        <f aca="false">(K6-J6)*Assumptions!$B$23/100</f>
        <v>-49.5289185993719</v>
      </c>
      <c r="L18" s="4" t="n">
        <f aca="false">(L6-K6)*Assumptions!$B$23/100</f>
        <v>-50.767141564356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1000.3922435</v>
      </c>
      <c r="D19" s="0" t="n">
        <f aca="false">D15+D16+D17+D18</f>
        <v>997.99390275</v>
      </c>
      <c r="E19" s="0" t="n">
        <f aca="false">E15+E16+E17+E18</f>
        <v>1023.31743340125</v>
      </c>
      <c r="F19" s="0" t="n">
        <f aca="false">F15+F16+F17+F18</f>
        <v>1046.81909750662</v>
      </c>
      <c r="G19" s="0" t="n">
        <f aca="false">G15+G16+G17+G18</f>
        <v>1087.33308624754</v>
      </c>
      <c r="H19" s="0" t="n">
        <f aca="false">H15+H16+H17+H18</f>
        <v>1115.36598189309</v>
      </c>
      <c r="I19" s="0" t="n">
        <f aca="false">I15+I16+I17+I18</f>
        <v>1144.10225149976</v>
      </c>
      <c r="J19" s="0" t="n">
        <f aca="false">J15+J16+J17+J18</f>
        <v>1179.66609227925</v>
      </c>
      <c r="K19" s="0" t="n">
        <f aca="false">K15+K16+K17+K18</f>
        <v>1206.67579544309</v>
      </c>
      <c r="L19" s="0" t="n">
        <f aca="false">L15+L16+L17+L18</f>
        <v>1236.84269032917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917.791049082569</v>
      </c>
      <c r="D21" s="0" t="n">
        <f aca="false">D19*D20</f>
        <v>839.991501346688</v>
      </c>
      <c r="E21" s="0" t="n">
        <f aca="false">E19*E20</f>
        <v>790.188816930934</v>
      </c>
      <c r="F21" s="0" t="n">
        <f aca="false">F19*F20</f>
        <v>741.593040098204</v>
      </c>
      <c r="G21" s="0" t="n">
        <f aca="false">G19*G20</f>
        <v>706.691900112922</v>
      </c>
      <c r="H21" s="0" t="n">
        <f aca="false">H19*H20</f>
        <v>665.056292515406</v>
      </c>
      <c r="I21" s="0" t="n">
        <f aca="false">I19*I20</f>
        <v>625.863111172708</v>
      </c>
      <c r="J21" s="0" t="n">
        <f aca="false">J19*J20</f>
        <v>592.034632988302</v>
      </c>
      <c r="K21" s="0" t="n">
        <f aca="false">K19*K20</f>
        <v>555.587057091928</v>
      </c>
      <c r="L21" s="0" t="n">
        <f aca="false">L19*L20</f>
        <v>522.455718824978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6957.25312016464</v>
      </c>
    </row>
    <row r="31" customFormat="false" ht="15" hidden="false" customHeight="false" outlineLevel="0" collapsed="false">
      <c r="A31" s="0" t="s">
        <v>135</v>
      </c>
      <c r="B31" s="0" t="n">
        <f aca="false">L19</f>
        <v>1236.84269032917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19504.0578090369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18552.6403549375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18552.6403549375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7836.83578237467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14794.0889025393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13144.0889025393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55.5601583544232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-0.454168795024824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486.045042937083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577.697988765558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60.0566078023872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10142.1100606992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26.3772195233958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1.8</v>
      </c>
      <c r="D5" s="4" t="n">
        <f aca="false">Assumptions!D27</f>
        <v>5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9035</v>
      </c>
      <c r="C6" s="0" t="n">
        <f aca="false">B6*(1+C5/100)</f>
        <v>9197.63</v>
      </c>
      <c r="D6" s="0" t="n">
        <f aca="false">C6*(1+D5/100)</f>
        <v>9657.5115</v>
      </c>
      <c r="E6" s="0" t="n">
        <f aca="false">D6*(1+E5/100)</f>
        <v>10188.6746325</v>
      </c>
      <c r="F6" s="0" t="n">
        <f aca="false">E6*(1+F5/100)</f>
        <v>10698.108364125</v>
      </c>
      <c r="G6" s="0" t="n">
        <f aca="false">F6*(1+G5/100)</f>
        <v>11233.0137823313</v>
      </c>
      <c r="H6" s="0" t="n">
        <f aca="false">G6*(1+H5/100)</f>
        <v>11738.4994025362</v>
      </c>
      <c r="I6" s="0" t="n">
        <f aca="false">H6*(1+I5/100)</f>
        <v>12208.0393786376</v>
      </c>
      <c r="J6" s="0" t="n">
        <f aca="false">I6*(1+J5/100)</f>
        <v>12696.3609537831</v>
      </c>
      <c r="K6" s="0" t="n">
        <f aca="false">J6*(1+K5/100)</f>
        <v>13140.7335871655</v>
      </c>
      <c r="L6" s="0" t="n">
        <f aca="false">K6*(1+L5/100)</f>
        <v>13534.9555947805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18.5</v>
      </c>
      <c r="D7" s="4" t="n">
        <f aca="false">Assumptions!D28</f>
        <v>19.2</v>
      </c>
      <c r="E7" s="4" t="n">
        <f aca="false">Assumptions!E28</f>
        <v>19.8</v>
      </c>
      <c r="F7" s="4" t="n">
        <f aca="false">Assumptions!F28</f>
        <v>20.3</v>
      </c>
      <c r="G7" s="4" t="n">
        <f aca="false">Assumptions!G28</f>
        <v>20.7</v>
      </c>
      <c r="H7" s="4" t="n">
        <f aca="false">Assumptions!H28</f>
        <v>21</v>
      </c>
      <c r="I7" s="4" t="n">
        <f aca="false">Assumptions!I28</f>
        <v>21</v>
      </c>
      <c r="J7" s="4" t="n">
        <f aca="false">Assumptions!J28</f>
        <v>21</v>
      </c>
      <c r="K7" s="4" t="n">
        <f aca="false">Assumptions!K28</f>
        <v>21</v>
      </c>
      <c r="L7" s="4" t="n">
        <f aca="false">Assumptions!L28</f>
        <v>21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1701.56155</v>
      </c>
      <c r="D8" s="0" t="n">
        <f aca="false">D6*D7/100</f>
        <v>1854.242208</v>
      </c>
      <c r="E8" s="0" t="n">
        <f aca="false">E6*E7/100</f>
        <v>2017.357577235</v>
      </c>
      <c r="F8" s="0" t="n">
        <f aca="false">F6*F7/100</f>
        <v>2171.71599791738</v>
      </c>
      <c r="G8" s="0" t="n">
        <f aca="false">G6*G7/100</f>
        <v>2325.23385294257</v>
      </c>
      <c r="H8" s="0" t="n">
        <f aca="false">H6*H7/100</f>
        <v>2465.08487453259</v>
      </c>
      <c r="I8" s="0" t="n">
        <f aca="false">I6*I7/100</f>
        <v>2563.6882695139</v>
      </c>
      <c r="J8" s="0" t="n">
        <f aca="false">J6*J7/100</f>
        <v>2666.23580029445</v>
      </c>
      <c r="K8" s="0" t="n">
        <f aca="false">K6*K7/100</f>
        <v>2759.55405330476</v>
      </c>
      <c r="L8" s="0" t="n">
        <f aca="false">L6*L7/100</f>
        <v>2842.3406749039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0.75</v>
      </c>
      <c r="D9" s="4" t="n">
        <f aca="false">Assumptions!D29</f>
        <v>0.75</v>
      </c>
      <c r="E9" s="4" t="n">
        <f aca="false">Assumptions!E29</f>
        <v>0.75</v>
      </c>
      <c r="F9" s="4" t="n">
        <f aca="false">Assumptions!F29</f>
        <v>0.75</v>
      </c>
      <c r="G9" s="4" t="n">
        <f aca="false">Assumptions!G29</f>
        <v>0.75</v>
      </c>
      <c r="H9" s="4" t="n">
        <f aca="false">Assumptions!H29</f>
        <v>0.75</v>
      </c>
      <c r="I9" s="4" t="n">
        <f aca="false">Assumptions!I29</f>
        <v>0.75</v>
      </c>
      <c r="J9" s="4" t="n">
        <f aca="false">Assumptions!J29</f>
        <v>0.75</v>
      </c>
      <c r="K9" s="4" t="n">
        <f aca="false">Assumptions!K29</f>
        <v>0.75</v>
      </c>
      <c r="L9" s="4" t="n">
        <f aca="false">Assumptions!L29</f>
        <v>0.75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-68.982225</v>
      </c>
      <c r="D10" s="0" t="n">
        <f aca="false">-D6*D9/100</f>
        <v>-72.43133625</v>
      </c>
      <c r="E10" s="0" t="n">
        <f aca="false">-E6*E9/100</f>
        <v>-76.41505974375</v>
      </c>
      <c r="F10" s="0" t="n">
        <f aca="false">-F6*F9/100</f>
        <v>-80.2358127309375</v>
      </c>
      <c r="G10" s="0" t="n">
        <f aca="false">-G6*G9/100</f>
        <v>-84.2476033674844</v>
      </c>
      <c r="H10" s="0" t="n">
        <f aca="false">-H6*H9/100</f>
        <v>-88.0387455190212</v>
      </c>
      <c r="I10" s="0" t="n">
        <f aca="false">-I6*I9/100</f>
        <v>-91.560295339782</v>
      </c>
      <c r="J10" s="0" t="n">
        <f aca="false">-J6*J9/100</f>
        <v>-95.2227071533733</v>
      </c>
      <c r="K10" s="0" t="n">
        <f aca="false">-K6*K9/100</f>
        <v>-98.5555019037414</v>
      </c>
      <c r="L10" s="0" t="n">
        <f aca="false">-L6*L9/100</f>
        <v>-101.512166960854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1632.579325</v>
      </c>
      <c r="D11" s="0" t="n">
        <f aca="false">D8+D10+D24</f>
        <v>1781.81087175</v>
      </c>
      <c r="E11" s="0" t="n">
        <f aca="false">E8+E10+E24</f>
        <v>1940.94251749125</v>
      </c>
      <c r="F11" s="0" t="n">
        <f aca="false">F8+F10+F24</f>
        <v>2091.48018518644</v>
      </c>
      <c r="G11" s="0" t="n">
        <f aca="false">G8+G10+G24</f>
        <v>2240.98624957509</v>
      </c>
      <c r="H11" s="0" t="n">
        <f aca="false">H8+H10+H24</f>
        <v>2377.04612901357</v>
      </c>
      <c r="I11" s="0" t="n">
        <f aca="false">I8+I10+I24</f>
        <v>2472.12797417412</v>
      </c>
      <c r="J11" s="0" t="n">
        <f aca="false">J8+J10+J24</f>
        <v>2571.01309314108</v>
      </c>
      <c r="K11" s="0" t="n">
        <f aca="false">K8+K10+K24</f>
        <v>2660.99855140102</v>
      </c>
      <c r="L11" s="0" t="n">
        <f aca="false">L8+L10+L24</f>
        <v>2740.82850794305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-579.45069</v>
      </c>
      <c r="D12" s="4" t="n">
        <f aca="false">-D6*Assumptions!D31/100</f>
        <v>-579.45069</v>
      </c>
      <c r="E12" s="4" t="n">
        <f aca="false">-E6*Assumptions!E31/100</f>
        <v>-580.7544540525</v>
      </c>
      <c r="F12" s="4" t="n">
        <f aca="false">-F6*Assumptions!F31/100</f>
        <v>-577.69785166275</v>
      </c>
      <c r="G12" s="4" t="n">
        <f aca="false">-G6*Assumptions!G31/100</f>
        <v>-572.883702898894</v>
      </c>
      <c r="H12" s="4" t="n">
        <f aca="false">-H6*Assumptions!H31/100</f>
        <v>-575.186470724272</v>
      </c>
      <c r="I12" s="4" t="n">
        <f aca="false">-I6*Assumptions!I31/100</f>
        <v>-573.777850795967</v>
      </c>
      <c r="J12" s="4" t="n">
        <f aca="false">-J6*Assumptions!J31/100</f>
        <v>-584.032603874023</v>
      </c>
      <c r="K12" s="4" t="n">
        <f aca="false">-K6*Assumptions!K31/100</f>
        <v>-591.333011422448</v>
      </c>
      <c r="L12" s="4" t="n">
        <f aca="false">-L6*Assumptions!L31/100</f>
        <v>-609.073001765122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1053.128635</v>
      </c>
      <c r="D13" s="0" t="n">
        <f aca="false">D11+D12</f>
        <v>1202.36018175</v>
      </c>
      <c r="E13" s="0" t="n">
        <f aca="false">E11+E12</f>
        <v>1360.18806343875</v>
      </c>
      <c r="F13" s="0" t="n">
        <f aca="false">F11+F12</f>
        <v>1513.78233352369</v>
      </c>
      <c r="G13" s="0" t="n">
        <f aca="false">G11+G12</f>
        <v>1668.10254667619</v>
      </c>
      <c r="H13" s="0" t="n">
        <f aca="false">H11+H12</f>
        <v>1801.8596582893</v>
      </c>
      <c r="I13" s="0" t="n">
        <f aca="false">I11+I12</f>
        <v>1898.35012337815</v>
      </c>
      <c r="J13" s="0" t="n">
        <f aca="false">J11+J12</f>
        <v>1986.98048926706</v>
      </c>
      <c r="K13" s="0" t="n">
        <f aca="false">K11+K12</f>
        <v>2069.66553997857</v>
      </c>
      <c r="L13" s="0" t="n">
        <f aca="false">L11+L12</f>
        <v>2131.75550617793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821.4403353</v>
      </c>
      <c r="D15" s="0" t="n">
        <f aca="false">D13-MAX(0,D13)*D14/100</f>
        <v>937.840941765</v>
      </c>
      <c r="E15" s="0" t="n">
        <f aca="false">E13-MAX(0,E13)*E14/100</f>
        <v>1060.94668948223</v>
      </c>
      <c r="F15" s="0" t="n">
        <f aca="false">F13-MAX(0,F13)*F14/100</f>
        <v>1180.75022014848</v>
      </c>
      <c r="G15" s="0" t="n">
        <f aca="false">G13-MAX(0,G13)*G14/100</f>
        <v>1301.11998640743</v>
      </c>
      <c r="H15" s="0" t="n">
        <f aca="false">H13-MAX(0,H13)*H14/100</f>
        <v>1405.45053346565</v>
      </c>
      <c r="I15" s="0" t="n">
        <f aca="false">I13-MAX(0,I13)*I14/100</f>
        <v>1480.71309623496</v>
      </c>
      <c r="J15" s="0" t="n">
        <f aca="false">J13-MAX(0,J13)*J14/100</f>
        <v>1549.8447816283</v>
      </c>
      <c r="K15" s="0" t="n">
        <f aca="false">K13-MAX(0,K13)*K14/100</f>
        <v>1614.33912118328</v>
      </c>
      <c r="L15" s="0" t="n">
        <f aca="false">L13-MAX(0,L13)*L14/100</f>
        <v>1662.76929481878</v>
      </c>
    </row>
    <row r="16" customFormat="false" ht="15" hidden="false" customHeight="false" outlineLevel="0" collapsed="false">
      <c r="A16" s="0" t="s">
        <v>126</v>
      </c>
      <c r="C16" s="0" t="n">
        <f aca="false">-C12</f>
        <v>579.45069</v>
      </c>
      <c r="D16" s="0" t="n">
        <f aca="false">-D12</f>
        <v>579.45069</v>
      </c>
      <c r="E16" s="0" t="n">
        <f aca="false">-E12</f>
        <v>580.7544540525</v>
      </c>
      <c r="F16" s="0" t="n">
        <f aca="false">-F12</f>
        <v>577.69785166275</v>
      </c>
      <c r="G16" s="0" t="n">
        <f aca="false">-G12</f>
        <v>572.883702898894</v>
      </c>
      <c r="H16" s="0" t="n">
        <f aca="false">-H12</f>
        <v>575.186470724272</v>
      </c>
      <c r="I16" s="0" t="n">
        <f aca="false">-I12</f>
        <v>573.777850795967</v>
      </c>
      <c r="J16" s="0" t="n">
        <f aca="false">-J12</f>
        <v>584.032603874023</v>
      </c>
      <c r="K16" s="0" t="n">
        <f aca="false">-K12</f>
        <v>591.333011422448</v>
      </c>
      <c r="L16" s="0" t="n">
        <f aca="false">-L12</f>
        <v>609.073001765122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-340.31231</v>
      </c>
      <c r="D17" s="4" t="n">
        <f aca="false">-D6*Assumptions!D32/100</f>
        <v>-357.3279255</v>
      </c>
      <c r="E17" s="4" t="n">
        <f aca="false">-E6*Assumptions!E32/100</f>
        <v>-376.9809614025</v>
      </c>
      <c r="F17" s="4" t="n">
        <f aca="false">-F6*Assumptions!F32/100</f>
        <v>-395.830009472625</v>
      </c>
      <c r="G17" s="4" t="n">
        <f aca="false">-G6*Assumptions!G32/100</f>
        <v>-415.621509946256</v>
      </c>
      <c r="H17" s="4" t="n">
        <f aca="false">-H6*Assumptions!H32/100</f>
        <v>-434.324477893838</v>
      </c>
      <c r="I17" s="4" t="n">
        <f aca="false">-I6*Assumptions!I32/100</f>
        <v>-451.697457009591</v>
      </c>
      <c r="J17" s="4" t="n">
        <f aca="false">-J6*Assumptions!J32/100</f>
        <v>-469.765355289975</v>
      </c>
      <c r="K17" s="4" t="n">
        <f aca="false">-K6*Assumptions!K32/100</f>
        <v>-486.207142725124</v>
      </c>
      <c r="L17" s="4" t="n">
        <f aca="false">-L6*Assumptions!L32/100</f>
        <v>-500.793357006878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-29.2734000000002</v>
      </c>
      <c r="D18" s="4" t="n">
        <f aca="false">(D6-C6)*Assumptions!$B$37/100</f>
        <v>-82.7786700000002</v>
      </c>
      <c r="E18" s="4" t="n">
        <f aca="false">(E6-D6)*Assumptions!$B$37/100</f>
        <v>-95.60936385</v>
      </c>
      <c r="F18" s="4" t="n">
        <f aca="false">(F6-E6)*Assumptions!$B$37/100</f>
        <v>-91.6980716925001</v>
      </c>
      <c r="G18" s="4" t="n">
        <f aca="false">(G6-F6)*Assumptions!$B$37/100</f>
        <v>-96.282975277125</v>
      </c>
      <c r="H18" s="4" t="n">
        <f aca="false">(H6-G6)*Assumptions!$B$37/100</f>
        <v>-90.9874116368829</v>
      </c>
      <c r="I18" s="4" t="n">
        <f aca="false">(I6-H6)*Assumptions!$B$37/100</f>
        <v>-84.5171956982604</v>
      </c>
      <c r="J18" s="4" t="n">
        <f aca="false">(J6-I6)*Assumptions!$B$37/100</f>
        <v>-87.8978835261908</v>
      </c>
      <c r="K18" s="4" t="n">
        <f aca="false">(K6-J6)*Assumptions!$B$37/100</f>
        <v>-79.9870740088333</v>
      </c>
      <c r="L18" s="4" t="n">
        <f aca="false">(L6-K6)*Assumptions!$B$37/100</f>
        <v>-70.9599613706939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1031.3053153</v>
      </c>
      <c r="D19" s="0" t="n">
        <f aca="false">D15+D16+D17+D18</f>
        <v>1077.185036265</v>
      </c>
      <c r="E19" s="0" t="n">
        <f aca="false">E15+E16+E17+E18</f>
        <v>1169.11081828223</v>
      </c>
      <c r="F19" s="0" t="n">
        <f aca="false">F15+F16+F17+F18</f>
        <v>1270.9199906461</v>
      </c>
      <c r="G19" s="0" t="n">
        <f aca="false">G15+G16+G17+G18</f>
        <v>1362.09920408294</v>
      </c>
      <c r="H19" s="0" t="n">
        <f aca="false">H15+H16+H17+H18</f>
        <v>1455.32511465921</v>
      </c>
      <c r="I19" s="0" t="n">
        <f aca="false">I15+I16+I17+I18</f>
        <v>1518.27629432307</v>
      </c>
      <c r="J19" s="0" t="n">
        <f aca="false">J15+J16+J17+J18</f>
        <v>1576.21414668616</v>
      </c>
      <c r="K19" s="0" t="n">
        <f aca="false">K15+K16+K17+K18</f>
        <v>1639.47791587177</v>
      </c>
      <c r="L19" s="0" t="n">
        <f aca="false">L15+L16+L17+L18</f>
        <v>1700.08897820633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946.151665412844</v>
      </c>
      <c r="D21" s="0" t="n">
        <f aca="false">D19*D20</f>
        <v>906.645094070365</v>
      </c>
      <c r="E21" s="0" t="n">
        <f aca="false">E19*E20</f>
        <v>902.768060238207</v>
      </c>
      <c r="F21" s="0" t="n">
        <f aca="false">F19*F20</f>
        <v>900.351762620442</v>
      </c>
      <c r="G21" s="0" t="n">
        <f aca="false">G19*G20</f>
        <v>885.271023985499</v>
      </c>
      <c r="H21" s="0" t="n">
        <f aca="false">H19*H20</f>
        <v>867.762815858033</v>
      </c>
      <c r="I21" s="0" t="n">
        <f aca="false">I19*I20</f>
        <v>830.549126128531</v>
      </c>
      <c r="J21" s="0" t="n">
        <f aca="false">J19*J20</f>
        <v>791.04872976497</v>
      </c>
      <c r="K21" s="0" t="n">
        <f aca="false">K19*K20</f>
        <v>754.861176370854</v>
      </c>
      <c r="L21" s="0" t="n">
        <f aca="false">L19*L20</f>
        <v>718.135957078604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8503.54541152835</v>
      </c>
    </row>
    <row r="31" customFormat="false" ht="15" hidden="false" customHeight="false" outlineLevel="0" collapsed="false">
      <c r="A31" s="0" t="s">
        <v>135</v>
      </c>
      <c r="B31" s="0" t="n">
        <f aca="false">L19</f>
        <v>1700.08897820633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29184.860792542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30601.601607714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29184.860792542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12328.000596516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20831.5460080444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19181.5460080444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81.0805329750707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-0.20345286398398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533.48097004817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736.1038574389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86.4470771747168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14592.430396271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35.6860185175884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2.5</v>
      </c>
      <c r="D5" s="4" t="n">
        <f aca="false">Assumptions!D41</f>
        <v>7.5</v>
      </c>
      <c r="E5" s="4" t="n">
        <f aca="false">Assumptions!E41</f>
        <v>8</v>
      </c>
      <c r="F5" s="4" t="n">
        <f aca="false">Assumptions!F41</f>
        <v>7.5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9035</v>
      </c>
      <c r="C6" s="0" t="n">
        <f aca="false">B6*(1+C5/100)</f>
        <v>9260.875</v>
      </c>
      <c r="D6" s="0" t="n">
        <f aca="false">C6*(1+D5/100)</f>
        <v>9955.440625</v>
      </c>
      <c r="E6" s="0" t="n">
        <f aca="false">D6*(1+E5/100)</f>
        <v>10751.875875</v>
      </c>
      <c r="F6" s="0" t="n">
        <f aca="false">E6*(1+F5/100)</f>
        <v>11558.266565625</v>
      </c>
      <c r="G6" s="0" t="n">
        <f aca="false">F6*(1+G5/100)</f>
        <v>12367.3452252187</v>
      </c>
      <c r="H6" s="0" t="n">
        <f aca="false">G6*(1+H5/100)</f>
        <v>13109.3859387319</v>
      </c>
      <c r="I6" s="0" t="n">
        <f aca="false">H6*(1+I5/100)</f>
        <v>13764.8552356685</v>
      </c>
      <c r="J6" s="0" t="n">
        <f aca="false">I6*(1+J5/100)</f>
        <v>14384.2737212736</v>
      </c>
      <c r="K6" s="0" t="n">
        <f aca="false">J6*(1+K5/100)</f>
        <v>14959.6446701245</v>
      </c>
      <c r="L6" s="0" t="n">
        <f aca="false">K6*(1+L5/100)</f>
        <v>15483.2322335788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18.8</v>
      </c>
      <c r="D7" s="4" t="n">
        <f aca="false">Assumptions!D42</f>
        <v>19.8</v>
      </c>
      <c r="E7" s="4" t="n">
        <f aca="false">Assumptions!E42</f>
        <v>20.7</v>
      </c>
      <c r="F7" s="4" t="n">
        <f aca="false">Assumptions!F42</f>
        <v>21.5</v>
      </c>
      <c r="G7" s="4" t="n">
        <f aca="false">Assumptions!G42</f>
        <v>22</v>
      </c>
      <c r="H7" s="4" t="n">
        <f aca="false">Assumptions!H42</f>
        <v>22.4</v>
      </c>
      <c r="I7" s="4" t="n">
        <f aca="false">Assumptions!I42</f>
        <v>22.6</v>
      </c>
      <c r="J7" s="4" t="n">
        <f aca="false">Assumptions!J42</f>
        <v>22.6</v>
      </c>
      <c r="K7" s="4" t="n">
        <f aca="false">Assumptions!K42</f>
        <v>22.6</v>
      </c>
      <c r="L7" s="4" t="n">
        <f aca="false">Assumptions!L42</f>
        <v>22.6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1741.0445</v>
      </c>
      <c r="D8" s="0" t="n">
        <f aca="false">D6*D7/100</f>
        <v>1971.17724375</v>
      </c>
      <c r="E8" s="0" t="n">
        <f aca="false">E6*E7/100</f>
        <v>2225.638306125</v>
      </c>
      <c r="F8" s="0" t="n">
        <f aca="false">F6*F7/100</f>
        <v>2485.02731160938</v>
      </c>
      <c r="G8" s="0" t="n">
        <f aca="false">G6*G7/100</f>
        <v>2720.81594954813</v>
      </c>
      <c r="H8" s="0" t="n">
        <f aca="false">H6*H7/100</f>
        <v>2936.50245027594</v>
      </c>
      <c r="I8" s="0" t="n">
        <f aca="false">I6*I7/100</f>
        <v>3110.85728326107</v>
      </c>
      <c r="J8" s="0" t="n">
        <f aca="false">J6*J7/100</f>
        <v>3250.84586100782</v>
      </c>
      <c r="K8" s="0" t="n">
        <f aca="false">K6*K7/100</f>
        <v>3380.87969544814</v>
      </c>
      <c r="L8" s="0" t="n">
        <f aca="false">L6*L7/100</f>
        <v>3499.21048478882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0.75</v>
      </c>
      <c r="D9" s="4" t="n">
        <f aca="false">Assumptions!D43</f>
        <v>0.75</v>
      </c>
      <c r="E9" s="4" t="n">
        <f aca="false">Assumptions!E43</f>
        <v>0.75</v>
      </c>
      <c r="F9" s="4" t="n">
        <f aca="false">Assumptions!F43</f>
        <v>0.75</v>
      </c>
      <c r="G9" s="4" t="n">
        <f aca="false">Assumptions!G43</f>
        <v>0.75</v>
      </c>
      <c r="H9" s="4" t="n">
        <f aca="false">Assumptions!H43</f>
        <v>0.75</v>
      </c>
      <c r="I9" s="4" t="n">
        <f aca="false">Assumptions!I43</f>
        <v>0.75</v>
      </c>
      <c r="J9" s="4" t="n">
        <f aca="false">Assumptions!J43</f>
        <v>0.75</v>
      </c>
      <c r="K9" s="4" t="n">
        <f aca="false">Assumptions!K43</f>
        <v>0.75</v>
      </c>
      <c r="L9" s="4" t="n">
        <f aca="false">Assumptions!L43</f>
        <v>0.75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-69.4565625</v>
      </c>
      <c r="D10" s="0" t="n">
        <f aca="false">-D6*D9/100</f>
        <v>-74.6658046875</v>
      </c>
      <c r="E10" s="0" t="n">
        <f aca="false">-E6*E9/100</f>
        <v>-80.6390690625</v>
      </c>
      <c r="F10" s="0" t="n">
        <f aca="false">-F6*F9/100</f>
        <v>-86.6869992421875</v>
      </c>
      <c r="G10" s="0" t="n">
        <f aca="false">-G6*G9/100</f>
        <v>-92.7550891891406</v>
      </c>
      <c r="H10" s="0" t="n">
        <f aca="false">-H6*H9/100</f>
        <v>-98.3203945404891</v>
      </c>
      <c r="I10" s="0" t="n">
        <f aca="false">-I6*I9/100</f>
        <v>-103.236414267514</v>
      </c>
      <c r="J10" s="0" t="n">
        <f aca="false">-J6*J9/100</f>
        <v>-107.882052909552</v>
      </c>
      <c r="K10" s="0" t="n">
        <f aca="false">-K6*K9/100</f>
        <v>-112.197335025934</v>
      </c>
      <c r="L10" s="0" t="n">
        <f aca="false">-L6*L9/100</f>
        <v>-116.124241751841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1671.5879375</v>
      </c>
      <c r="D11" s="0" t="n">
        <f aca="false">D8+D10+D24</f>
        <v>1896.5114390625</v>
      </c>
      <c r="E11" s="0" t="n">
        <f aca="false">E8+E10+E24</f>
        <v>2144.9992370625</v>
      </c>
      <c r="F11" s="0" t="n">
        <f aca="false">F8+F10+F24</f>
        <v>2398.34031236719</v>
      </c>
      <c r="G11" s="0" t="n">
        <f aca="false">G8+G10+G24</f>
        <v>2628.06086035898</v>
      </c>
      <c r="H11" s="0" t="n">
        <f aca="false">H8+H10+H24</f>
        <v>2838.18205573545</v>
      </c>
      <c r="I11" s="0" t="n">
        <f aca="false">I8+I10+I24</f>
        <v>3007.62086899356</v>
      </c>
      <c r="J11" s="0" t="n">
        <f aca="false">J8+J10+J24</f>
        <v>3142.96380809827</v>
      </c>
      <c r="K11" s="0" t="n">
        <f aca="false">K8+K10+K24</f>
        <v>3268.6823604222</v>
      </c>
      <c r="L11" s="0" t="n">
        <f aca="false">L8+L10+L24</f>
        <v>3383.08624303698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-583.435125</v>
      </c>
      <c r="D12" s="4" t="n">
        <f aca="false">-D6*Assumptions!D45/100</f>
        <v>-597.3264375</v>
      </c>
      <c r="E12" s="4" t="n">
        <f aca="false">-E6*Assumptions!E45/100</f>
        <v>-612.856924875</v>
      </c>
      <c r="F12" s="4" t="n">
        <f aca="false">-F6*Assumptions!F45/100</f>
        <v>-624.14639454375</v>
      </c>
      <c r="G12" s="4" t="n">
        <f aca="false">-G6*Assumptions!G45/100</f>
        <v>-630.734606486156</v>
      </c>
      <c r="H12" s="4" t="n">
        <f aca="false">-H6*Assumptions!H45/100</f>
        <v>-642.359910997862</v>
      </c>
      <c r="I12" s="4" t="n">
        <f aca="false">-I6*Assumptions!I45/100</f>
        <v>-646.948196076418</v>
      </c>
      <c r="J12" s="4" t="n">
        <f aca="false">-J6*Assumptions!J45/100</f>
        <v>-661.676591178583</v>
      </c>
      <c r="K12" s="4" t="n">
        <f aca="false">-K6*Assumptions!K45/100</f>
        <v>-673.184010155602</v>
      </c>
      <c r="L12" s="4" t="n">
        <f aca="false">-L6*Assumptions!L45/100</f>
        <v>-696.745450511048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1088.1528125</v>
      </c>
      <c r="D13" s="0" t="n">
        <f aca="false">D11+D12</f>
        <v>1299.1850015625</v>
      </c>
      <c r="E13" s="0" t="n">
        <f aca="false">E11+E12</f>
        <v>1532.1423121875</v>
      </c>
      <c r="F13" s="0" t="n">
        <f aca="false">F11+F12</f>
        <v>1774.19391782344</v>
      </c>
      <c r="G13" s="0" t="n">
        <f aca="false">G11+G12</f>
        <v>1997.32625387283</v>
      </c>
      <c r="H13" s="0" t="n">
        <f aca="false">H11+H12</f>
        <v>2195.82214473759</v>
      </c>
      <c r="I13" s="0" t="n">
        <f aca="false">I11+I12</f>
        <v>2360.67267291714</v>
      </c>
      <c r="J13" s="0" t="n">
        <f aca="false">J11+J12</f>
        <v>2481.28721691969</v>
      </c>
      <c r="K13" s="0" t="n">
        <f aca="false">K11+K12</f>
        <v>2595.4983502666</v>
      </c>
      <c r="L13" s="0" t="n">
        <f aca="false">L11+L12</f>
        <v>2686.34079252593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848.75919375</v>
      </c>
      <c r="D15" s="0" t="n">
        <f aca="false">D13-MAX(0,D13)*D14/100</f>
        <v>1013.36430121875</v>
      </c>
      <c r="E15" s="0" t="n">
        <f aca="false">E13-MAX(0,E13)*E14/100</f>
        <v>1195.07100350625</v>
      </c>
      <c r="F15" s="0" t="n">
        <f aca="false">F13-MAX(0,F13)*F14/100</f>
        <v>1383.87125590228</v>
      </c>
      <c r="G15" s="0" t="n">
        <f aca="false">G13-MAX(0,G13)*G14/100</f>
        <v>1557.91447802081</v>
      </c>
      <c r="H15" s="0" t="n">
        <f aca="false">H13-MAX(0,H13)*H14/100</f>
        <v>1712.74127289532</v>
      </c>
      <c r="I15" s="0" t="n">
        <f aca="false">I13-MAX(0,I13)*I14/100</f>
        <v>1841.32468487537</v>
      </c>
      <c r="J15" s="0" t="n">
        <f aca="false">J13-MAX(0,J13)*J14/100</f>
        <v>1935.40402919736</v>
      </c>
      <c r="K15" s="0" t="n">
        <f aca="false">K13-MAX(0,K13)*K14/100</f>
        <v>2024.48871320795</v>
      </c>
      <c r="L15" s="0" t="n">
        <f aca="false">L13-MAX(0,L13)*L14/100</f>
        <v>2095.34581817023</v>
      </c>
    </row>
    <row r="16" customFormat="false" ht="15" hidden="false" customHeight="false" outlineLevel="0" collapsed="false">
      <c r="A16" s="0" t="s">
        <v>126</v>
      </c>
      <c r="C16" s="0" t="n">
        <f aca="false">-C12</f>
        <v>583.435125</v>
      </c>
      <c r="D16" s="0" t="n">
        <f aca="false">-D12</f>
        <v>597.3264375</v>
      </c>
      <c r="E16" s="0" t="n">
        <f aca="false">-E12</f>
        <v>612.856924875</v>
      </c>
      <c r="F16" s="0" t="n">
        <f aca="false">-F12</f>
        <v>624.14639454375</v>
      </c>
      <c r="G16" s="0" t="n">
        <f aca="false">-G12</f>
        <v>630.734606486156</v>
      </c>
      <c r="H16" s="0" t="n">
        <f aca="false">-H12</f>
        <v>642.359910997862</v>
      </c>
      <c r="I16" s="0" t="n">
        <f aca="false">-I12</f>
        <v>646.948196076418</v>
      </c>
      <c r="J16" s="0" t="n">
        <f aca="false">-J12</f>
        <v>661.676591178583</v>
      </c>
      <c r="K16" s="0" t="n">
        <f aca="false">-K12</f>
        <v>673.184010155602</v>
      </c>
      <c r="L16" s="0" t="n">
        <f aca="false">-L12</f>
        <v>696.745450511048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-342.652375</v>
      </c>
      <c r="D17" s="4" t="n">
        <f aca="false">-D6*Assumptions!D46/100</f>
        <v>-378.30674375</v>
      </c>
      <c r="E17" s="4" t="n">
        <f aca="false">-E6*Assumptions!E46/100</f>
        <v>-408.57128325</v>
      </c>
      <c r="F17" s="4" t="n">
        <f aca="false">-F6*Assumptions!F46/100</f>
        <v>-439.21412949375</v>
      </c>
      <c r="G17" s="4" t="n">
        <f aca="false">-G6*Assumptions!G46/100</f>
        <v>-469.959118558312</v>
      </c>
      <c r="H17" s="4" t="n">
        <f aca="false">-H6*Assumptions!H46/100</f>
        <v>-498.156665671811</v>
      </c>
      <c r="I17" s="4" t="n">
        <f aca="false">-I6*Assumptions!I46/100</f>
        <v>-523.064498955402</v>
      </c>
      <c r="J17" s="4" t="n">
        <f aca="false">-J6*Assumptions!J46/100</f>
        <v>-532.218127687121</v>
      </c>
      <c r="K17" s="4" t="n">
        <f aca="false">-K6*Assumptions!K46/100</f>
        <v>-553.506852794606</v>
      </c>
      <c r="L17" s="4" t="n">
        <f aca="false">-L6*Assumptions!L46/100</f>
        <v>-572.879592642417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-40.6575</v>
      </c>
      <c r="D18" s="4" t="n">
        <f aca="false">(D6-C6)*Assumptions!$B$51/100</f>
        <v>-125.0218125</v>
      </c>
      <c r="E18" s="4" t="n">
        <f aca="false">(E6-D6)*Assumptions!$B$51/100</f>
        <v>-143.358345</v>
      </c>
      <c r="F18" s="4" t="n">
        <f aca="false">(F6-E6)*Assumptions!$B$51/100</f>
        <v>-145.1503243125</v>
      </c>
      <c r="G18" s="4" t="n">
        <f aca="false">(G6-F6)*Assumptions!$B$51/100</f>
        <v>-145.634158726875</v>
      </c>
      <c r="H18" s="4" t="n">
        <f aca="false">(H6-G6)*Assumptions!$B$51/100</f>
        <v>-133.567328432363</v>
      </c>
      <c r="I18" s="4" t="n">
        <f aca="false">(I6-H6)*Assumptions!$B$51/100</f>
        <v>-117.984473448587</v>
      </c>
      <c r="J18" s="4" t="n">
        <f aca="false">(J6-I6)*Assumptions!$B$51/100</f>
        <v>-111.495327408914</v>
      </c>
      <c r="K18" s="4" t="n">
        <f aca="false">(K6-J6)*Assumptions!$B$51/100</f>
        <v>-103.56677079317</v>
      </c>
      <c r="L18" s="4" t="n">
        <f aca="false">(L6-K6)*Assumptions!$B$51/100</f>
        <v>-94.245761421784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1048.88444375</v>
      </c>
      <c r="D19" s="0" t="n">
        <f aca="false">D15+D16+D17+D18</f>
        <v>1107.36218246875</v>
      </c>
      <c r="E19" s="0" t="n">
        <f aca="false">E15+E16+E17+E18</f>
        <v>1255.99830013125</v>
      </c>
      <c r="F19" s="0" t="n">
        <f aca="false">F15+F16+F17+F18</f>
        <v>1423.65319663978</v>
      </c>
      <c r="G19" s="0" t="n">
        <f aca="false">G15+G16+G17+G18</f>
        <v>1573.05580722177</v>
      </c>
      <c r="H19" s="0" t="n">
        <f aca="false">H15+H16+H17+H18</f>
        <v>1723.37718978901</v>
      </c>
      <c r="I19" s="0" t="n">
        <f aca="false">I15+I16+I17+I18</f>
        <v>1847.2239085478</v>
      </c>
      <c r="J19" s="0" t="n">
        <f aca="false">J15+J16+J17+J18</f>
        <v>1953.3671652799</v>
      </c>
      <c r="K19" s="0" t="n">
        <f aca="false">K15+K16+K17+K18</f>
        <v>2040.59909977577</v>
      </c>
      <c r="L19" s="0" t="n">
        <f aca="false">L15+L16+L17+L18</f>
        <v>2124.96591461707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962.27930619266</v>
      </c>
      <c r="D21" s="0" t="n">
        <f aca="false">D19*D20</f>
        <v>932.044594283941</v>
      </c>
      <c r="E21" s="0" t="n">
        <f aca="false">E19*E20</f>
        <v>969.86113834613</v>
      </c>
      <c r="F21" s="0" t="n">
        <f aca="false">F19*F20</f>
        <v>1008.55181631318</v>
      </c>
      <c r="G21" s="0" t="n">
        <f aca="false">G19*G20</f>
        <v>1022.37834151231</v>
      </c>
      <c r="H21" s="0" t="n">
        <f aca="false">H19*H20</f>
        <v>1027.59351016011</v>
      </c>
      <c r="I21" s="0" t="n">
        <f aca="false">I19*I20</f>
        <v>1010.49473586897</v>
      </c>
      <c r="J21" s="0" t="n">
        <f aca="false">J19*J20</f>
        <v>980.329112073966</v>
      </c>
      <c r="K21" s="0" t="n">
        <f aca="false">K19*K20</f>
        <v>939.548512392722</v>
      </c>
      <c r="L21" s="0" t="n">
        <f aca="false">L19*L20</f>
        <v>897.608566619233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9750.68963376322</v>
      </c>
    </row>
    <row r="31" customFormat="false" ht="15" hidden="false" customHeight="false" outlineLevel="0" collapsed="false">
      <c r="A31" s="0" t="s">
        <v>135</v>
      </c>
      <c r="B31" s="0" t="n">
        <f aca="false">L19</f>
        <v>2124.96591461707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36478.5815342598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42499.3182923415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36478.5815342598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15408.9470602968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25159.6366940601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23509.6366940601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99.3754034427285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-0.0237213533477898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580.482549153228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842.061644971695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105.388507985598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18239.2907671299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43.1711164792745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55.5601583544232</v>
      </c>
      <c r="C4" s="0" t="n">
        <f aca="false">B4/Assumptions!$B$2-1</f>
        <v>-0.454168795024824</v>
      </c>
      <c r="D4" s="4" t="n">
        <f aca="false">Assumptions!$B$24</f>
        <v>0.2</v>
      </c>
      <c r="E4" s="4" t="n">
        <f aca="false">DCF_Bear!$B$43</f>
        <v>60.0566078023872</v>
      </c>
      <c r="F4" s="4" t="n">
        <f aca="false">DCF_Bear!$B$47</f>
        <v>26.3772195233958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81.0805329750707</v>
      </c>
      <c r="C5" s="0" t="n">
        <f aca="false">B5/Assumptions!$B$2-1</f>
        <v>-0.20345286398398</v>
      </c>
      <c r="D5" s="4" t="n">
        <f aca="false">Assumptions!$B$38</f>
        <v>0.5</v>
      </c>
      <c r="E5" s="4" t="n">
        <f aca="false">DCF_Base!$B$43</f>
        <v>86.4470771747168</v>
      </c>
      <c r="F5" s="4" t="n">
        <f aca="false">DCF_Base!$B$47</f>
        <v>35.6860185175884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99.3754034427285</v>
      </c>
      <c r="C6" s="0" t="n">
        <f aca="false">B6/Assumptions!$B$2-1</f>
        <v>-0.0237213533477898</v>
      </c>
      <c r="D6" s="4" t="n">
        <f aca="false">Assumptions!$B$52</f>
        <v>0.3</v>
      </c>
      <c r="E6" s="4" t="n">
        <f aca="false">DCF_Bull!$B$43</f>
        <v>105.388507985598</v>
      </c>
      <c r="F6" s="4" t="n">
        <f aca="false">DCF_Bull!$B$47</f>
        <v>43.1711164792745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81.4649191912385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86.8514125435154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-0.249494887008338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377.334185331728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36.0697881072557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81.0805329750707</v>
      </c>
      <c r="C15" s="3" t="n">
        <v>9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68.06007330217</v>
      </c>
      <c r="C16" s="3" t="n">
        <v>10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58.3139977867457</v>
      </c>
      <c r="C17" s="3" t="n">
        <v>11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50.7497436091512</v>
      </c>
      <c r="C18" s="3" t="n">
        <v>12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35.6860185175884</v>
      </c>
      <c r="C19" s="3" t="n">
        <v>15</v>
      </c>
    </row>
    <row r="21" customFormat="false" ht="15" hidden="false" customHeight="false" outlineLevel="0" collapsed="false">
      <c r="A21" s="2" t="s">
        <v>171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98.4668723705717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98.4668723705717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98.4668723705717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98.4668723705717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98.4668723705717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87.3590470837505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90.6876890472365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90.6876890472365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90.6876890472365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90.6876890472365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73.2025168221094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76.8385242773223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81.0805329750707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83.6101711893243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83.6101711893243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62.6177737115359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65.1575135204985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68.06007330217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71.4091807425602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75.3164727563488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54.4121948317836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56.2483373988246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58.3139977867457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60.655079559723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63.3306015859828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2026-10-02T22:04:36Z</dcterms:created>
  <dc:creator>openpyxl</dc:creator>
  <dc:description/>
  <dc:language>en-NZ</dc:language>
  <cp:lastModifiedBy/>
  <dcterms:modified xsi:type="dcterms:W3CDTF">2026-10-02T22:04:36Z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