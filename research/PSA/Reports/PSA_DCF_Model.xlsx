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<sst xmlns="http://schemas.openxmlformats.org/spreadsheetml/2006/main" count="389" uniqueCount="175">
  <si>
    <t xml:space="preserve">Ticker</t>
  </si>
  <si>
    <t xml:space="preserve">PSA</t>
  </si>
  <si>
    <t xml:space="preserve">Company</t>
  </si>
  <si>
    <t xml:space="preserve">Public Storage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</si>
  <si>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</si>
  <si>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</si>
  <si>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</si>
  <si>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</si>
  <si>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API)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</si>
  <si>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</si>
  <si>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</si>
  <si>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</si>
  <si>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</si>
  <si>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</si>
  <si>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</si>
  <si>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</si>
  <si>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</si>
  <si>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</si>
  <si>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</si>
  <si>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</si>
  <si>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</si>
  <si>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2026-10-02T07:43:11Z</t>
  </si>
  <si>
    <t xml:space="preserve">Drivers file</t>
  </si>
  <si>
    <t xml:space="preserve">PSA_Drivers.json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</si>
  <si>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</si>
  <si>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</si>
  <si>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</si>
  <si>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PSA is valued as the stream of AFFO (Core FFO after maintenance capex and with SBC charged as a real cost) that belongs to common and OP-unit holders, capitalised at a 9% cost of equity. Debt and preferreds are not subtracted: their cost is already inside the flow. The 2026 acquisitions are captured by re-basing FY0 to a pro forma run-rate on the enlarged 195M-unit count, not by projecting the reported revenue jump. Growth is organic only, so the valuation does not pay twice for retained cash.
key_risks_to_valuation: Cost of equity: the 10y Treasury at ~5.24% is the single biggest lever; +/-50bp on CoE moves base IV ~+/-9%.; Pro forma FY0 is an estimate: NSA consolidated revenue and assumed debt were not in the documents read; the Q3-26 10-Q (first quarter with NSA) should be used to re-anchor revenue, margin and units.; Refinancing drag: ~$1B/yr of 3%-ish debt rolling to ~5% is a contractual headwind that offsets most of the synergy upside.; Integration under new leadership: synergy shortfall at NSA (1,000+ properties, lower margins) is the bear axis.; Same-store demand: month-to-month leases reprice quickly in either direction; housing turnover is the driver.; Excluded upside: PS Canada earn-out (only paid if NOI outperforms) and future acquisitions/developments funded by retained AFFO at spreads above the cost of equity.</t>
  </si>
  <si>
    <t xml:space="preserve">Data sources</t>
  </si>
  <si>
    <t xml:space="preserve">price: Yahoo Finance chart API at inputs.price_as_of; 52-week range 256.54-335.55
financials: PSA_Metrics.csv (SEC XBRL FY2006-Q2 2026); Q2-2026 earnings release 8-K ex99.1 (filed 2026-07-29) for Core FFO, FAD, maintenance capex, SBC, balance sheet and FY2026 guidance; 10-Q Q2-2026 cover (175,621,134 shares at 2026-07-21); NSA merger close 8-K (2026-07-22: 0.1400 exchange ratio, 4.10M OP units, Series T/U/T-1 preferred); NSA 10-Q Q1-2026 cover (77,212,533 NSA common at 2026-05-01); PS Canada close release 8-K ex99.1 (2026-09-01: 2.76M OP units at $321.98, $310M cash, earn-out up to $288M at $375/unit).
qualitative: PSA_Analysis.json (2026-10-02)</t>
  </si>
  <si>
    <t xml:space="preserve">Scenario narrative: bear</t>
  </si>
  <si>
    <t xml:space="preserve">Housing mobility stays depressed and Sunbelt oversupply lingers, so same-store revenue stays near flat for two more years; NSA integration under a brand-new CEO/CFO and a California-to-Texas HQ move delivers well under the synergy target while NSA's weaker portfolio needs reinvestment; legacy low-coupon debt and the new acquisition debt reprice at ~5%+, and property-tax reassessment keeps expense growth above revenue growth. Core FFO per unit is flat-to-down through 2028 and margins erode ~2pp; the market settles at ~14x AFFO, where storage REITs traded in the 2022-24 de-rating.</t>
  </si>
  <si>
    <t xml:space="preserve">Scenario narrative: base</t>
  </si>
  <si>
    <t xml:space="preserve">Self-storage troughs in 2026 as management says: positive move-in rent growth and collapsing new-supply starts lift same-store revenue to +2-3% from 2027, the non-same-store pool and committed developments lease up, and NSA integration delivers most of the $110-130M synergy target over three to four years. That synergy uplift is largely consumed by refinancing 3.3%-coupon debt into a ~5% market, so Core FFO per unit grows ~4-5% a year through 2030 and then settles at an inflation-plus rate. No credit for future acquisitions beyond what retained AFFO would fund, because the full AFFO is already counted as owner cash.</t>
  </si>
  <si>
    <t xml:space="preserve">Scenario narrative: bull</t>
  </si>
  <si>
    <t xml:space="preserve">Supply starvation plus a housing-turnover recovery (mortgage rates easing, existing-home sales normalising) gives PSA several years of pricing power: same-store revenue +4-5%, NSA's ~70% property margins converge toward PSA's ~78% under PS Next (the top of the synergy range and then some), PS Canada's high-single-digit NOI growth materialises, and tenant reinsurance and third-party management scale on the larger base. The market re-rates to ~19x terminal AFFO on a visibly re-accelerating sector leader.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</si>
  <si>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</si>
  <si>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</si>
  <si>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</si>
  <si>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</si>
  <si>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</si>
  <si>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</si>
  <si>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</si>
  <si>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</si>
  <si>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</si>
  <si>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</si>
  <si>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</si>
  <si>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</si>
  <si>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</si>
  <si>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</si>
  <si>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</si>
  <si>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</si>
  <si>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</si>
  <si>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</si>
  <si>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</si>
  <si>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</si>
  <si>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</si>
  <si>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</si>
  <si>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</si>
  <si>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</si>
  <si>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</si>
  <si>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</si>
  <si>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</si>
  <si>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</si>
  <si>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</si>
  <si>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</si>
  <si>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</si>
  <si>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</si>
  <si>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</si>
  <si>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</si>
  <si>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</si>
  <si>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</si>
  <si>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</si>
  <si>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</si>
  <si>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</si>
  <si>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</si>
  <si>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</si>
  <si>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</si>
  <si>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</si>
  <si>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</si>
  <si>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</si>
  <si>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</si>
  <si>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</si>
  <si>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</si>
  <si>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</si>
  <si>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</si>
  <si>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</si>
  <si>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</si>
  <si>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</si>
  <si>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</si>
  <si>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</si>
  <si>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</si>
  <si>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 (pro forma run-rate incl. NSA and PS Canada)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</si>
  <si>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</si>
  <si>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</si>
  <si>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</si>
  <si>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</si>
  <si>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</si>
  <si>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</si>
  <si>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</si>
  <si>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</si>
  <si>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</si>
  <si>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</si>
  <si>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</si>
  <si>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</si>
  <si>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</si>
  <si>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</si>
  <si>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</si>
  <si>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</si>
  <si>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</si>
  <si>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</si>
  <si>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</si>
  <si>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</si>
  <si>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</si>
  <si>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</si>
  <si>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</si>
  <si>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</si>
  <si>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</si>
  <si>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</si>
  <si>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</si>
  <si>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</si>
  <si>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PSA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</si>
  <si>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</si>
  <si>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</si>
  <si>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</si>
  <si>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</si>
  <si>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</si>
  <si>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</si>
  <si>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</si>
  <si>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</si>
  <si>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</si>
  <si>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</si>
  <si>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</si>
  <si>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</si>
  <si>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</si>
  <si>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</si>
  <si>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</si>
  <si>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</si>
  <si>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</si>
  <si>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</si>
  <si>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</si>
  <si>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</si>
  <si>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</si>
  <si>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</si>
  <si>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</si>
  <si>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</si>
  <si>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</si>
  <si>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</si>
  <si>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</si>
  <si>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</si>
  <si>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</si>
  <si>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</si>
  <si>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PSA owner-FCF component DCF: base case (millions, USD)</t>
  </si>
  <si>
    <t xml:space="preserve">PSA owner-FCF component DCF: bull case (millions, USD)</t>
  </si>
  <si>
    <t xml:space="preserve">PSA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</si>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</sst>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284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8707.223</v>
      </c>
      <c r="S2" s="0" t="n">
        <v>535.684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1787.202</v>
      </c>
      <c r="I3" s="0" t="n">
        <v>487.078</v>
      </c>
      <c r="J3" s="0" t="n">
        <v>27.2536624287574</v>
      </c>
      <c r="K3" s="0" t="n">
        <v>1.18</v>
      </c>
      <c r="L3" s="0" t="n">
        <v>1047.652</v>
      </c>
      <c r="O3" s="0" t="n">
        <v>9263.256</v>
      </c>
      <c r="S3" s="0" t="n">
        <v>245.444</v>
      </c>
      <c r="T3" s="0" t="n">
        <v>169.85</v>
      </c>
      <c r="V3" s="0" t="n">
        <v>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1720.488</v>
      </c>
      <c r="I4" s="0" t="n">
        <v>973.872</v>
      </c>
      <c r="J4" s="0" t="n">
        <v>56.6044052617629</v>
      </c>
      <c r="K4" s="0" t="n">
        <v>4.19</v>
      </c>
      <c r="L4" s="0" t="n">
        <v>1076.971</v>
      </c>
      <c r="O4" s="0" t="n">
        <v>9067.104</v>
      </c>
      <c r="P4" s="0" t="n">
        <v>9936.045</v>
      </c>
      <c r="Q4" s="0" t="n">
        <v>856.164</v>
      </c>
      <c r="S4" s="0" t="n">
        <v>680.701</v>
      </c>
      <c r="T4" s="0" t="n">
        <v>168.675</v>
      </c>
      <c r="V4" s="0" t="n">
        <v>2.8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1622.92</v>
      </c>
      <c r="I5" s="0" t="n">
        <v>834.621</v>
      </c>
      <c r="J5" s="0" t="n">
        <v>51.427119020038</v>
      </c>
      <c r="K5" s="0" t="n">
        <v>3.48</v>
      </c>
      <c r="L5" s="0" t="n">
        <v>1112.857</v>
      </c>
      <c r="O5" s="0" t="n">
        <v>9061.381</v>
      </c>
      <c r="P5" s="0" t="n">
        <v>9805.645</v>
      </c>
      <c r="Q5" s="0" t="n">
        <v>731.142</v>
      </c>
      <c r="S5" s="0" t="n">
        <v>763.789</v>
      </c>
      <c r="T5" s="0" t="n">
        <v>168.768</v>
      </c>
      <c r="V5" s="0" t="n">
        <v>2.2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1613.777</v>
      </c>
      <c r="F6" s="0" t="n">
        <v>692.647</v>
      </c>
      <c r="G6" s="0" t="n">
        <v>42.9208620521919</v>
      </c>
      <c r="H6" s="0" t="n">
        <v>1045.892</v>
      </c>
      <c r="I6" s="0" t="n">
        <v>696.114</v>
      </c>
      <c r="J6" s="0" t="n">
        <v>43.1356996660629</v>
      </c>
      <c r="K6" s="0" t="n">
        <v>2.36</v>
      </c>
      <c r="L6" s="0" t="n">
        <v>1093.221</v>
      </c>
      <c r="O6" s="0" t="n">
        <v>8708.934</v>
      </c>
      <c r="P6" s="0" t="n">
        <v>9495.333</v>
      </c>
      <c r="Q6" s="0" t="n">
        <v>774.186</v>
      </c>
      <c r="S6" s="0" t="n">
        <v>456.252</v>
      </c>
      <c r="T6" s="0" t="n">
        <v>169.772</v>
      </c>
      <c r="V6" s="0" t="n">
        <v>3.05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1735.888</v>
      </c>
      <c r="F7" s="0" t="n">
        <v>762.814</v>
      </c>
      <c r="G7" s="0" t="n">
        <v>43.9437336971049</v>
      </c>
      <c r="H7" s="0" t="n">
        <v>1120.783</v>
      </c>
      <c r="I7" s="0" t="n">
        <v>836.459</v>
      </c>
      <c r="J7" s="0" t="n">
        <v>48.1862309089066</v>
      </c>
      <c r="K7" s="0" t="n">
        <v>3.31</v>
      </c>
      <c r="L7" s="0" t="n">
        <v>1203.452</v>
      </c>
      <c r="O7" s="0" t="n">
        <v>8310.927</v>
      </c>
      <c r="P7" s="0" t="n">
        <v>8932.562</v>
      </c>
      <c r="Q7" s="0" t="n">
        <v>609.28</v>
      </c>
      <c r="S7" s="0" t="n">
        <v>139.008</v>
      </c>
      <c r="T7" s="0" t="n">
        <v>170.75</v>
      </c>
      <c r="V7" s="0" t="n">
        <v>3.65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1842.504</v>
      </c>
      <c r="F8" s="0" t="n">
        <v>871.982</v>
      </c>
      <c r="G8" s="0" t="n">
        <v>47.3259216804957</v>
      </c>
      <c r="H8" s="0" t="n">
        <v>1229.763</v>
      </c>
      <c r="I8" s="0" t="n">
        <v>943.035</v>
      </c>
      <c r="J8" s="0" t="n">
        <v>51.1822498078702</v>
      </c>
      <c r="K8" s="0" t="n">
        <v>3.93</v>
      </c>
      <c r="L8" s="0" t="n">
        <v>1285.659</v>
      </c>
      <c r="O8" s="0" t="n">
        <v>8122.864</v>
      </c>
      <c r="P8" s="0" t="n">
        <v>8793.403</v>
      </c>
      <c r="Q8" s="0" t="n">
        <v>670.539</v>
      </c>
      <c r="S8" s="0" t="n">
        <v>17.239</v>
      </c>
      <c r="T8" s="0" t="n">
        <v>171.664</v>
      </c>
      <c r="V8" s="0" t="n">
        <v>4.4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1964.942</v>
      </c>
      <c r="C9" s="0" t="n">
        <v>559.759</v>
      </c>
      <c r="D9" s="0" t="n">
        <v>1405.183</v>
      </c>
      <c r="E9" s="0" t="n">
        <v>71.5126960490437</v>
      </c>
      <c r="F9" s="0" t="n">
        <v>951.102</v>
      </c>
      <c r="G9" s="0" t="n">
        <v>48.4035661103483</v>
      </c>
      <c r="H9" s="0" t="n">
        <v>1338.504</v>
      </c>
      <c r="I9" s="0" t="n">
        <v>1057.531</v>
      </c>
      <c r="J9" s="0" t="n">
        <v>53.8199600802466</v>
      </c>
      <c r="K9" s="0" t="n">
        <v>4.92</v>
      </c>
      <c r="L9" s="0" t="n">
        <v>1430.339</v>
      </c>
      <c r="O9" s="0" t="n">
        <v>8818.855</v>
      </c>
      <c r="P9" s="0" t="n">
        <v>9876.266</v>
      </c>
      <c r="Q9" s="0" t="n">
        <v>1057.411</v>
      </c>
      <c r="S9" s="0" t="n">
        <v>19.169</v>
      </c>
      <c r="T9" s="0" t="n">
        <v>172.688</v>
      </c>
      <c r="V9" s="0" t="n">
        <v>5.15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2177.296</v>
      </c>
      <c r="C10" s="0" t="n">
        <v>613.324</v>
      </c>
      <c r="D10" s="0" t="n">
        <v>1563.972</v>
      </c>
      <c r="E10" s="0" t="n">
        <v>71.8309315775163</v>
      </c>
      <c r="F10" s="0" t="n">
        <v>1055.399</v>
      </c>
      <c r="G10" s="0" t="n">
        <v>48.4729223771136</v>
      </c>
      <c r="H10" s="0" t="n">
        <v>1492.513</v>
      </c>
      <c r="I10" s="0" t="n">
        <v>1149.955</v>
      </c>
      <c r="J10" s="0" t="n">
        <v>52.8157402576407</v>
      </c>
      <c r="K10" s="0" t="n">
        <v>5.27</v>
      </c>
      <c r="O10" s="0" t="n">
        <v>9507.171</v>
      </c>
      <c r="P10" s="0" t="n">
        <v>9818.676</v>
      </c>
      <c r="Q10" s="0" t="n">
        <v>311.505</v>
      </c>
      <c r="S10" s="0" t="n">
        <v>187.7</v>
      </c>
      <c r="T10" s="0" t="n">
        <v>173.138</v>
      </c>
      <c r="U10" s="0" t="n">
        <v>29.541</v>
      </c>
      <c r="V10" s="0" t="n">
        <v>5.6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2381.696</v>
      </c>
      <c r="C11" s="0" t="n">
        <v>635.502</v>
      </c>
      <c r="D11" s="0" t="n">
        <v>1746.194</v>
      </c>
      <c r="E11" s="0" t="n">
        <v>73.3172495566185</v>
      </c>
      <c r="F11" s="0" t="n">
        <v>1232.009</v>
      </c>
      <c r="G11" s="0" t="n">
        <v>51.7282222416295</v>
      </c>
      <c r="H11" s="0" t="n">
        <v>1658.017</v>
      </c>
      <c r="I11" s="0" t="n">
        <v>1317.689</v>
      </c>
      <c r="J11" s="0" t="n">
        <v>55.3256586902779</v>
      </c>
      <c r="K11" s="0" t="n">
        <v>6.1</v>
      </c>
      <c r="L11" s="0" t="n">
        <v>1748.279</v>
      </c>
      <c r="O11" s="0" t="n">
        <v>9197.638</v>
      </c>
      <c r="P11" s="0" t="n">
        <v>9778.232</v>
      </c>
      <c r="Q11" s="0" t="n">
        <v>580.594</v>
      </c>
      <c r="S11" s="0" t="n">
        <v>104.285</v>
      </c>
      <c r="T11" s="0" t="n">
        <v>173.51</v>
      </c>
      <c r="U11" s="0" t="n">
        <v>32.57</v>
      </c>
      <c r="V11" s="0" t="n">
        <v>6.5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2560.549</v>
      </c>
      <c r="C12" s="0" t="n">
        <v>669.083</v>
      </c>
      <c r="D12" s="0" t="n">
        <v>1891.466</v>
      </c>
      <c r="E12" s="0" t="n">
        <v>73.8695490693597</v>
      </c>
      <c r="F12" s="0" t="n">
        <v>1374.496</v>
      </c>
      <c r="G12" s="0" t="n">
        <v>53.6797382123912</v>
      </c>
      <c r="H12" s="0" t="n">
        <v>1807.81</v>
      </c>
      <c r="I12" s="0" t="n">
        <v>1460.439</v>
      </c>
      <c r="J12" s="0" t="n">
        <v>57.0361668532803</v>
      </c>
      <c r="K12" s="0" t="n">
        <v>6.84</v>
      </c>
      <c r="L12" s="0" t="n">
        <v>1945.336</v>
      </c>
      <c r="O12" s="0" t="n">
        <v>9441.654</v>
      </c>
      <c r="P12" s="0" t="n">
        <v>10130.338</v>
      </c>
      <c r="Q12" s="0" t="n">
        <v>688.684</v>
      </c>
      <c r="R12" s="0" t="n">
        <v>390.749</v>
      </c>
      <c r="S12" s="0" t="n">
        <v>183.688</v>
      </c>
      <c r="T12" s="0" t="n">
        <v>173.878</v>
      </c>
      <c r="U12" s="0" t="n">
        <v>37.483</v>
      </c>
      <c r="V12" s="0" t="n">
        <v>7.3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2668.528</v>
      </c>
      <c r="C13" s="0" t="n">
        <v>707.978</v>
      </c>
      <c r="D13" s="0" t="n">
        <v>1960.55</v>
      </c>
      <c r="E13" s="0" t="n">
        <v>73.469343398308</v>
      </c>
      <c r="F13" s="0" t="n">
        <v>1423.142</v>
      </c>
      <c r="G13" s="0" t="n">
        <v>53.3306002410318</v>
      </c>
      <c r="H13" s="0" t="n">
        <v>1877.668</v>
      </c>
      <c r="I13" s="0" t="n">
        <v>1448.465</v>
      </c>
      <c r="J13" s="0" t="n">
        <v>54.2795503738391</v>
      </c>
      <c r="K13" s="0" t="n">
        <v>6.75</v>
      </c>
      <c r="L13" s="0" t="n">
        <v>1972.889</v>
      </c>
      <c r="O13" s="0" t="n">
        <v>8964.369</v>
      </c>
      <c r="P13" s="0" t="n">
        <v>10732.892</v>
      </c>
      <c r="Q13" s="0" t="n">
        <v>1768.523</v>
      </c>
      <c r="R13" s="0" t="n">
        <v>1431.322</v>
      </c>
      <c r="S13" s="0" t="n">
        <v>433.376</v>
      </c>
      <c r="T13" s="0" t="n">
        <v>174.151</v>
      </c>
      <c r="U13" s="0" t="n">
        <v>37.548</v>
      </c>
      <c r="V13" s="0" t="n">
        <v>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2759.523</v>
      </c>
      <c r="C14" s="0" t="n">
        <v>739.722</v>
      </c>
      <c r="D14" s="0" t="n">
        <v>2014.558</v>
      </c>
      <c r="E14" s="0" t="n">
        <v>73.0038488535881</v>
      </c>
      <c r="I14" s="0" t="n">
        <v>1717.223</v>
      </c>
      <c r="J14" s="0" t="n">
        <v>62.2289794286911</v>
      </c>
      <c r="K14" s="0" t="n">
        <v>8.56</v>
      </c>
      <c r="L14" s="0" t="n">
        <v>2063.646</v>
      </c>
      <c r="O14" s="0" t="n">
        <v>9144.728</v>
      </c>
      <c r="P14" s="0" t="n">
        <v>10928.27</v>
      </c>
      <c r="Q14" s="0" t="n">
        <v>1783.542</v>
      </c>
      <c r="R14" s="0" t="n">
        <v>1412.283</v>
      </c>
      <c r="S14" s="0" t="n">
        <v>361.218</v>
      </c>
      <c r="T14" s="0" t="n">
        <v>174.297</v>
      </c>
      <c r="U14" s="0" t="n">
        <v>69.936</v>
      </c>
      <c r="V14" s="0" t="n">
        <v>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2855.108</v>
      </c>
      <c r="I15" s="0" t="n">
        <v>1525.651</v>
      </c>
      <c r="J15" s="0" t="n">
        <v>53.4358420066772</v>
      </c>
      <c r="K15" s="0" t="n">
        <v>7.3</v>
      </c>
      <c r="L15" s="0" t="n">
        <v>2067.634</v>
      </c>
      <c r="O15" s="0" t="n">
        <v>9079.667</v>
      </c>
      <c r="P15" s="0" t="n">
        <v>11365.444</v>
      </c>
      <c r="Q15" s="0" t="n">
        <v>2285.777</v>
      </c>
      <c r="R15" s="0" t="n">
        <v>1902.493</v>
      </c>
      <c r="S15" s="0" t="n">
        <v>409.743</v>
      </c>
      <c r="T15" s="0" t="n">
        <v>174.53</v>
      </c>
      <c r="U15" s="0" t="n">
        <v>25.833</v>
      </c>
      <c r="V15" s="0" t="n">
        <v>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2915.068</v>
      </c>
      <c r="I16" s="0" t="n">
        <v>1361.227</v>
      </c>
      <c r="J16" s="0" t="n">
        <v>46.6962348734232</v>
      </c>
      <c r="K16" s="0" t="n">
        <v>6.29</v>
      </c>
      <c r="L16" s="0" t="n">
        <v>2042.902</v>
      </c>
      <c r="O16" s="0" t="n">
        <v>8576.899</v>
      </c>
      <c r="P16" s="0" t="n">
        <v>11816.546</v>
      </c>
      <c r="Q16" s="0" t="n">
        <v>3239.647</v>
      </c>
      <c r="R16" s="0" t="n">
        <v>2544.992</v>
      </c>
      <c r="S16" s="0" t="n">
        <v>257.56</v>
      </c>
      <c r="T16" s="0" t="n">
        <v>174.642</v>
      </c>
      <c r="U16" s="0" t="n">
        <v>33.49</v>
      </c>
      <c r="V16" s="0" t="n">
        <v>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3415.824</v>
      </c>
      <c r="I17" s="0" t="n">
        <v>1959.639</v>
      </c>
      <c r="J17" s="0" t="n">
        <v>57.3694370670152</v>
      </c>
      <c r="K17" s="0" t="n">
        <v>9.91</v>
      </c>
      <c r="L17" s="0" t="n">
        <v>2543.555</v>
      </c>
      <c r="O17" s="0" t="n">
        <v>9355.289</v>
      </c>
      <c r="P17" s="0" t="n">
        <v>17380.908</v>
      </c>
      <c r="Q17" s="0" t="n">
        <v>7957.37</v>
      </c>
      <c r="R17" s="0" t="n">
        <v>7475.279</v>
      </c>
      <c r="S17" s="0" t="n">
        <v>734.599</v>
      </c>
      <c r="T17" s="0" t="n">
        <v>175.568</v>
      </c>
      <c r="U17" s="0" t="n">
        <v>59.865</v>
      </c>
      <c r="V17" s="0" t="n">
        <v>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4182.163</v>
      </c>
      <c r="I18" s="0" t="n">
        <v>4366.274</v>
      </c>
      <c r="J18" s="0" t="n">
        <v>104.402291350194</v>
      </c>
      <c r="K18" s="0" t="n">
        <v>23.64</v>
      </c>
      <c r="L18" s="0" t="n">
        <v>3117.141</v>
      </c>
      <c r="O18" s="0" t="n">
        <v>10166.801</v>
      </c>
      <c r="P18" s="0" t="n">
        <v>17552.307</v>
      </c>
      <c r="Q18" s="0" t="n">
        <v>7385.506</v>
      </c>
      <c r="R18" s="0" t="n">
        <v>6870.826</v>
      </c>
      <c r="S18" s="0" t="n">
        <v>775.253</v>
      </c>
      <c r="T18" s="0" t="n">
        <v>176.28</v>
      </c>
      <c r="U18" s="0" t="n">
        <v>56.703</v>
      </c>
      <c r="V18" s="0" t="n">
        <v>21.15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4517.69</v>
      </c>
      <c r="I19" s="0" t="n">
        <v>2160.12</v>
      </c>
      <c r="J19" s="0" t="n">
        <v>47.8147017612984</v>
      </c>
      <c r="K19" s="0" t="n">
        <v>11.11</v>
      </c>
      <c r="L19" s="0" t="n">
        <v>3246.648</v>
      </c>
      <c r="O19" s="0" t="n">
        <v>10106.946</v>
      </c>
      <c r="P19" s="0" t="n">
        <v>19809.216</v>
      </c>
      <c r="Q19" s="0" t="n">
        <v>9702.27</v>
      </c>
      <c r="R19" s="0" t="n">
        <v>9103.277</v>
      </c>
      <c r="S19" s="0" t="n">
        <v>370.002</v>
      </c>
      <c r="T19" s="0" t="n">
        <v>176.143</v>
      </c>
      <c r="U19" s="0" t="n">
        <v>41.566</v>
      </c>
      <c r="V19" s="0" t="n">
        <v>12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4695.616</v>
      </c>
      <c r="I20" s="0" t="n">
        <v>2084.41</v>
      </c>
      <c r="J20" s="0" t="n">
        <v>44.3905549346454</v>
      </c>
      <c r="K20" s="0" t="n">
        <v>10.68</v>
      </c>
      <c r="L20" s="0" t="n">
        <v>3128.255</v>
      </c>
      <c r="O20" s="0" t="n">
        <v>9813.652</v>
      </c>
      <c r="P20" s="0" t="n">
        <v>19754.934</v>
      </c>
      <c r="Q20" s="0" t="n">
        <v>9941.282</v>
      </c>
      <c r="R20" s="0" t="n">
        <v>9353.034</v>
      </c>
      <c r="S20" s="0" t="n">
        <v>447.416</v>
      </c>
      <c r="T20" s="0" t="n">
        <v>176.038</v>
      </c>
      <c r="U20" s="0" t="n">
        <v>44.747</v>
      </c>
      <c r="V20" s="0" t="n">
        <v>12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4824.113</v>
      </c>
      <c r="I21" s="0" t="n">
        <v>1797.032</v>
      </c>
      <c r="J21" s="0" t="n">
        <v>37.2510345425159</v>
      </c>
      <c r="K21" s="0" t="n">
        <v>9.04</v>
      </c>
      <c r="L21" s="0" t="n">
        <v>3186.449</v>
      </c>
      <c r="O21" s="0" t="n">
        <v>9341.834</v>
      </c>
      <c r="P21" s="0" t="n">
        <v>20208.604</v>
      </c>
      <c r="Q21" s="0" t="n">
        <v>10866.77</v>
      </c>
      <c r="R21" s="0" t="n">
        <v>10253.881</v>
      </c>
      <c r="S21" s="0" t="n">
        <v>318.095</v>
      </c>
      <c r="T21" s="0" t="n">
        <v>175.902</v>
      </c>
      <c r="U21" s="0" t="n">
        <v>39.902</v>
      </c>
      <c r="V21" s="0" t="n">
        <v>12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284</v>
      </c>
    </row>
    <row r="3" customFormat="false" ht="15" hidden="false" customHeight="false" outlineLevel="0" collapsed="false">
      <c r="A3" s="0" t="s">
        <v>86</v>
      </c>
      <c r="B3" s="3" t="n">
        <v>195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5650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1</v>
      </c>
      <c r="D13" s="3" t="n">
        <v>1.5</v>
      </c>
      <c r="E13" s="3" t="n">
        <v>2</v>
      </c>
      <c r="F13" s="3" t="n">
        <v>2.5</v>
      </c>
      <c r="G13" s="3" t="n">
        <v>2.5</v>
      </c>
      <c r="H13" s="3" t="n">
        <v>2.5</v>
      </c>
      <c r="I13" s="3" t="n">
        <v>2.25</v>
      </c>
      <c r="J13" s="3" t="n">
        <v>2.25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108</v>
      </c>
      <c r="C14" s="3" t="n">
        <v>59</v>
      </c>
      <c r="D14" s="3" t="n">
        <v>58.6</v>
      </c>
      <c r="E14" s="3" t="n">
        <v>58.3</v>
      </c>
      <c r="F14" s="3" t="n">
        <v>58</v>
      </c>
      <c r="G14" s="3" t="n">
        <v>57.8</v>
      </c>
      <c r="H14" s="3" t="n">
        <v>57.6</v>
      </c>
      <c r="I14" s="3" t="n">
        <v>57.5</v>
      </c>
      <c r="J14" s="3" t="n">
        <v>57.5</v>
      </c>
      <c r="K14" s="3" t="n">
        <v>57.5</v>
      </c>
      <c r="L14" s="3" t="n">
        <v>57.5</v>
      </c>
    </row>
    <row r="15" customFormat="false" ht="15" hidden="false" customHeight="false" outlineLevel="0" collapsed="false">
      <c r="A15" s="0" t="s">
        <v>109</v>
      </c>
      <c r="C15" s="3" t="n">
        <v>1.17</v>
      </c>
      <c r="D15" s="3" t="n">
        <v>1.15</v>
      </c>
      <c r="E15" s="3" t="n">
        <v>1.13</v>
      </c>
      <c r="F15" s="3" t="n">
        <v>1.1</v>
      </c>
      <c r="G15" s="3" t="n">
        <v>1.1</v>
      </c>
      <c r="H15" s="3" t="n">
        <v>1.1</v>
      </c>
      <c r="I15" s="3" t="n">
        <v>1.1</v>
      </c>
      <c r="J15" s="3" t="n">
        <v>1.1</v>
      </c>
      <c r="K15" s="3" t="n">
        <v>1.1</v>
      </c>
      <c r="L15" s="3" t="n">
        <v>1.1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112</v>
      </c>
      <c r="C18" s="3" t="n">
        <v>7.5</v>
      </c>
      <c r="D18" s="3" t="n">
        <v>6</v>
      </c>
      <c r="E18" s="3" t="n">
        <v>4.1</v>
      </c>
      <c r="F18" s="3" t="n">
        <v>4.1</v>
      </c>
      <c r="G18" s="3" t="n">
        <v>4.1</v>
      </c>
      <c r="H18" s="3" t="n">
        <v>4.1</v>
      </c>
      <c r="I18" s="3" t="n">
        <v>4.1</v>
      </c>
      <c r="J18" s="3" t="n">
        <v>4.1</v>
      </c>
      <c r="K18" s="3" t="n">
        <v>4.1</v>
      </c>
      <c r="L18" s="3" t="n">
        <v>4.1</v>
      </c>
    </row>
    <row r="19" customFormat="false" ht="15" hidden="false" customHeight="false" outlineLevel="0" collapsed="false">
      <c r="A19" s="0" t="s">
        <v>113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114</v>
      </c>
      <c r="B20" s="3" t="n">
        <v>9</v>
      </c>
    </row>
    <row r="21" customFormat="false" ht="15" hidden="false" customHeight="false" outlineLevel="0" collapsed="false">
      <c r="A21" s="0" t="s">
        <v>115</v>
      </c>
      <c r="B21" s="3" t="n">
        <v>2</v>
      </c>
    </row>
    <row r="22" customFormat="false" ht="15" hidden="false" customHeight="false" outlineLevel="0" collapsed="false">
      <c r="A22" s="0" t="s">
        <v>116</v>
      </c>
      <c r="B22" s="3" t="n">
        <v>14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3</v>
      </c>
      <c r="D27" s="3" t="n">
        <v>3.5</v>
      </c>
      <c r="E27" s="3" t="n">
        <v>3.5</v>
      </c>
      <c r="F27" s="3" t="n">
        <v>3.25</v>
      </c>
      <c r="G27" s="3" t="n">
        <v>3</v>
      </c>
      <c r="H27" s="3" t="n">
        <v>3</v>
      </c>
      <c r="I27" s="3" t="n">
        <v>2.75</v>
      </c>
      <c r="J27" s="3" t="n">
        <v>2.75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108</v>
      </c>
      <c r="C28" s="3" t="n">
        <v>59.8</v>
      </c>
      <c r="D28" s="3" t="n">
        <v>60.4</v>
      </c>
      <c r="E28" s="3" t="n">
        <v>61</v>
      </c>
      <c r="F28" s="3" t="n">
        <v>61.3</v>
      </c>
      <c r="G28" s="3" t="n">
        <v>61.4</v>
      </c>
      <c r="H28" s="3" t="n">
        <v>61.4</v>
      </c>
      <c r="I28" s="3" t="n">
        <v>61.4</v>
      </c>
      <c r="J28" s="3" t="n">
        <v>61.4</v>
      </c>
      <c r="K28" s="3" t="n">
        <v>61.4</v>
      </c>
      <c r="L28" s="3" t="n">
        <v>61.4</v>
      </c>
    </row>
    <row r="29" customFormat="false" ht="15" hidden="false" customHeight="false" outlineLevel="0" collapsed="false">
      <c r="A29" s="0" t="s">
        <v>109</v>
      </c>
      <c r="C29" s="3" t="n">
        <v>1.17</v>
      </c>
      <c r="D29" s="3" t="n">
        <v>1.15</v>
      </c>
      <c r="E29" s="3" t="n">
        <v>1.13</v>
      </c>
      <c r="F29" s="3" t="n">
        <v>1.1</v>
      </c>
      <c r="G29" s="3" t="n">
        <v>1.1</v>
      </c>
      <c r="H29" s="3" t="n">
        <v>1.1</v>
      </c>
      <c r="I29" s="3" t="n">
        <v>1.1</v>
      </c>
      <c r="J29" s="3" t="n">
        <v>1.1</v>
      </c>
      <c r="K29" s="3" t="n">
        <v>1.1</v>
      </c>
      <c r="L29" s="3" t="n">
        <v>1.1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112</v>
      </c>
      <c r="C32" s="3" t="n">
        <v>7.5</v>
      </c>
      <c r="D32" s="3" t="n">
        <v>6</v>
      </c>
      <c r="E32" s="3" t="n">
        <v>4.1</v>
      </c>
      <c r="F32" s="3" t="n">
        <v>4.1</v>
      </c>
      <c r="G32" s="3" t="n">
        <v>4.1</v>
      </c>
      <c r="H32" s="3" t="n">
        <v>4.1</v>
      </c>
      <c r="I32" s="3" t="n">
        <v>4.1</v>
      </c>
      <c r="J32" s="3" t="n">
        <v>4.1</v>
      </c>
      <c r="K32" s="3" t="n">
        <v>4.1</v>
      </c>
      <c r="L32" s="3" t="n">
        <v>4.1</v>
      </c>
    </row>
    <row r="33" customFormat="false" ht="15" hidden="false" customHeight="false" outlineLevel="0" collapsed="false">
      <c r="A33" s="0" t="s">
        <v>113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114</v>
      </c>
      <c r="B34" s="3" t="n">
        <v>9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17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4</v>
      </c>
      <c r="D41" s="3" t="n">
        <v>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108</v>
      </c>
      <c r="C42" s="3" t="n">
        <v>60.2</v>
      </c>
      <c r="D42" s="3" t="n">
        <v>61.2</v>
      </c>
      <c r="E42" s="3" t="n">
        <v>62.2</v>
      </c>
      <c r="F42" s="3" t="n">
        <v>62.8</v>
      </c>
      <c r="G42" s="3" t="n">
        <v>63</v>
      </c>
      <c r="H42" s="3" t="n">
        <v>63</v>
      </c>
      <c r="I42" s="3" t="n">
        <v>63</v>
      </c>
      <c r="J42" s="3" t="n">
        <v>63</v>
      </c>
      <c r="K42" s="3" t="n">
        <v>63</v>
      </c>
      <c r="L42" s="3" t="n">
        <v>63</v>
      </c>
    </row>
    <row r="43" customFormat="false" ht="15" hidden="false" customHeight="false" outlineLevel="0" collapsed="false">
      <c r="A43" s="0" t="s">
        <v>109</v>
      </c>
      <c r="C43" s="3" t="n">
        <v>1.17</v>
      </c>
      <c r="D43" s="3" t="n">
        <v>1.15</v>
      </c>
      <c r="E43" s="3" t="n">
        <v>1.13</v>
      </c>
      <c r="F43" s="3" t="n">
        <v>1.1</v>
      </c>
      <c r="G43" s="3" t="n">
        <v>1.1</v>
      </c>
      <c r="H43" s="3" t="n">
        <v>1.1</v>
      </c>
      <c r="I43" s="3" t="n">
        <v>1.1</v>
      </c>
      <c r="J43" s="3" t="n">
        <v>1.1</v>
      </c>
      <c r="K43" s="3" t="n">
        <v>1.1</v>
      </c>
      <c r="L43" s="3" t="n">
        <v>1.1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112</v>
      </c>
      <c r="C46" s="3" t="n">
        <v>7.5</v>
      </c>
      <c r="D46" s="3" t="n">
        <v>6</v>
      </c>
      <c r="E46" s="3" t="n">
        <v>4.1</v>
      </c>
      <c r="F46" s="3" t="n">
        <v>4.1</v>
      </c>
      <c r="G46" s="3" t="n">
        <v>4.1</v>
      </c>
      <c r="H46" s="3" t="n">
        <v>4.1</v>
      </c>
      <c r="I46" s="3" t="n">
        <v>4.1</v>
      </c>
      <c r="J46" s="3" t="n">
        <v>4.1</v>
      </c>
      <c r="K46" s="3" t="n">
        <v>4.1</v>
      </c>
      <c r="L46" s="3" t="n">
        <v>4.1</v>
      </c>
    </row>
    <row r="47" customFormat="false" ht="15" hidden="false" customHeight="false" outlineLevel="0" collapsed="false">
      <c r="A47" s="0" t="s">
        <v>113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114</v>
      </c>
      <c r="B48" s="3" t="n">
        <v>9</v>
      </c>
    </row>
    <row r="49" customFormat="false" ht="15" hidden="false" customHeight="false" outlineLevel="0" collapsed="false">
      <c r="A49" s="0" t="s">
        <v>115</v>
      </c>
      <c r="B49" s="3" t="n">
        <v>3.25</v>
      </c>
    </row>
    <row r="50" customFormat="false" ht="15" hidden="false" customHeight="false" outlineLevel="0" collapsed="false">
      <c r="A50" s="0" t="s">
        <v>116</v>
      </c>
      <c r="B50" s="3" t="n">
        <v>19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1</v>
      </c>
      <c r="D5" s="4" t="n">
        <f aca="false">Assumptions!D13</f>
        <v>1.5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2.25</v>
      </c>
      <c r="J5" s="4" t="n">
        <f aca="false">Assumptions!J13</f>
        <v>2.25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5650</v>
      </c>
      <c r="C6" s="0" t="n">
        <f aca="false">B6*(1+C5/100)</f>
        <v>5706.5</v>
      </c>
      <c r="D6" s="0" t="n">
        <f aca="false">C6*(1+D5/100)</f>
        <v>5792.0975</v>
      </c>
      <c r="E6" s="0" t="n">
        <f aca="false">D6*(1+E5/100)</f>
        <v>5907.93945</v>
      </c>
      <c r="F6" s="0" t="n">
        <f aca="false">E6*(1+F5/100)</f>
        <v>6055.63793625</v>
      </c>
      <c r="G6" s="0" t="n">
        <f aca="false">F6*(1+G5/100)</f>
        <v>6207.02888465625</v>
      </c>
      <c r="H6" s="0" t="n">
        <f aca="false">G6*(1+H5/100)</f>
        <v>6362.20460677265</v>
      </c>
      <c r="I6" s="0" t="n">
        <f aca="false">H6*(1+I5/100)</f>
        <v>6505.35421042504</v>
      </c>
      <c r="J6" s="0" t="n">
        <f aca="false">I6*(1+J5/100)</f>
        <v>6651.7246801596</v>
      </c>
      <c r="K6" s="0" t="n">
        <f aca="false">J6*(1+K5/100)</f>
        <v>6784.75917376279</v>
      </c>
      <c r="L6" s="0" t="n">
        <f aca="false">K6*(1+L5/100)</f>
        <v>6920.45435723805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59</v>
      </c>
      <c r="D7" s="4" t="n">
        <f aca="false">Assumptions!D14</f>
        <v>58.6</v>
      </c>
      <c r="E7" s="4" t="n">
        <f aca="false">Assumptions!E14</f>
        <v>58.3</v>
      </c>
      <c r="F7" s="4" t="n">
        <f aca="false">Assumptions!F14</f>
        <v>58</v>
      </c>
      <c r="G7" s="4" t="n">
        <f aca="false">Assumptions!G14</f>
        <v>57.8</v>
      </c>
      <c r="H7" s="4" t="n">
        <f aca="false">Assumptions!H14</f>
        <v>57.6</v>
      </c>
      <c r="I7" s="4" t="n">
        <f aca="false">Assumptions!I14</f>
        <v>57.5</v>
      </c>
      <c r="J7" s="4" t="n">
        <f aca="false">Assumptions!J14</f>
        <v>57.5</v>
      </c>
      <c r="K7" s="4" t="n">
        <f aca="false">Assumptions!K14</f>
        <v>57.5</v>
      </c>
      <c r="L7" s="4" t="n">
        <f aca="false">Assumptions!L14</f>
        <v>57.5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3366.835</v>
      </c>
      <c r="D8" s="0" t="n">
        <f aca="false">D6*D7/100</f>
        <v>3394.169135</v>
      </c>
      <c r="E8" s="0" t="n">
        <f aca="false">E6*E7/100</f>
        <v>3444.32869935</v>
      </c>
      <c r="F8" s="0" t="n">
        <f aca="false">F6*F7/100</f>
        <v>3512.270003025</v>
      </c>
      <c r="G8" s="0" t="n">
        <f aca="false">G6*G7/100</f>
        <v>3587.66269533131</v>
      </c>
      <c r="H8" s="0" t="n">
        <f aca="false">H6*H7/100</f>
        <v>3664.62985350105</v>
      </c>
      <c r="I8" s="0" t="n">
        <f aca="false">I6*I7/100</f>
        <v>3740.5786709944</v>
      </c>
      <c r="J8" s="0" t="n">
        <f aca="false">J6*J7/100</f>
        <v>3824.74169109177</v>
      </c>
      <c r="K8" s="0" t="n">
        <f aca="false">K6*K7/100</f>
        <v>3901.23652491361</v>
      </c>
      <c r="L8" s="0" t="n">
        <f aca="false">L6*L7/100</f>
        <v>3979.26125541188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1.17</v>
      </c>
      <c r="D9" s="4" t="n">
        <f aca="false">Assumptions!D15</f>
        <v>1.15</v>
      </c>
      <c r="E9" s="4" t="n">
        <f aca="false">Assumptions!E15</f>
        <v>1.13</v>
      </c>
      <c r="F9" s="4" t="n">
        <f aca="false">Assumptions!F15</f>
        <v>1.1</v>
      </c>
      <c r="G9" s="4" t="n">
        <f aca="false">Assumptions!G15</f>
        <v>1.1</v>
      </c>
      <c r="H9" s="4" t="n">
        <f aca="false">Assumptions!H15</f>
        <v>1.1</v>
      </c>
      <c r="I9" s="4" t="n">
        <f aca="false">Assumptions!I15</f>
        <v>1.1</v>
      </c>
      <c r="J9" s="4" t="n">
        <f aca="false">Assumptions!J15</f>
        <v>1.1</v>
      </c>
      <c r="K9" s="4" t="n">
        <f aca="false">Assumptions!K15</f>
        <v>1.1</v>
      </c>
      <c r="L9" s="4" t="n">
        <f aca="false">Assumptions!L15</f>
        <v>1.1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-66.76605</v>
      </c>
      <c r="D10" s="0" t="n">
        <f aca="false">-D6*D9/100</f>
        <v>-66.60912125</v>
      </c>
      <c r="E10" s="0" t="n">
        <f aca="false">-E6*E9/100</f>
        <v>-66.759715785</v>
      </c>
      <c r="F10" s="0" t="n">
        <f aca="false">-F6*F9/100</f>
        <v>-66.61201729875</v>
      </c>
      <c r="G10" s="0" t="n">
        <f aca="false">-G6*G9/100</f>
        <v>-68.2773177312187</v>
      </c>
      <c r="H10" s="0" t="n">
        <f aca="false">-H6*H9/100</f>
        <v>-69.9842506744992</v>
      </c>
      <c r="I10" s="0" t="n">
        <f aca="false">-I6*I9/100</f>
        <v>-71.5588963146754</v>
      </c>
      <c r="J10" s="0" t="n">
        <f aca="false">-J6*J9/100</f>
        <v>-73.1689714817556</v>
      </c>
      <c r="K10" s="0" t="n">
        <f aca="false">-K6*K9/100</f>
        <v>-74.6323509113907</v>
      </c>
      <c r="L10" s="0" t="n">
        <f aca="false">-L6*L9/100</f>
        <v>-76.1249979296186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3300.06895</v>
      </c>
      <c r="D11" s="0" t="n">
        <f aca="false">D8+D10+D24</f>
        <v>3327.56001375</v>
      </c>
      <c r="E11" s="0" t="n">
        <f aca="false">E8+E10+E24</f>
        <v>3377.568983565</v>
      </c>
      <c r="F11" s="0" t="n">
        <f aca="false">F8+F10+F24</f>
        <v>3445.65798572625</v>
      </c>
      <c r="G11" s="0" t="n">
        <f aca="false">G8+G10+G24</f>
        <v>3519.38537760009</v>
      </c>
      <c r="H11" s="0" t="n">
        <f aca="false">H8+H10+H24</f>
        <v>3594.64560282655</v>
      </c>
      <c r="I11" s="0" t="n">
        <f aca="false">I8+I10+I24</f>
        <v>3669.01977467972</v>
      </c>
      <c r="J11" s="0" t="n">
        <f aca="false">J8+J10+J24</f>
        <v>3751.57271961002</v>
      </c>
      <c r="K11" s="0" t="n">
        <f aca="false">K8+K10+K24</f>
        <v>3826.60417400222</v>
      </c>
      <c r="L11" s="0" t="n">
        <f aca="false">L8+L10+L24</f>
        <v>3903.13625748226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3300.06895</v>
      </c>
      <c r="D13" s="0" t="n">
        <f aca="false">D11+D12</f>
        <v>3327.56001375</v>
      </c>
      <c r="E13" s="0" t="n">
        <f aca="false">E11+E12</f>
        <v>3377.568983565</v>
      </c>
      <c r="F13" s="0" t="n">
        <f aca="false">F11+F12</f>
        <v>3445.65798572625</v>
      </c>
      <c r="G13" s="0" t="n">
        <f aca="false">G11+G12</f>
        <v>3519.38537760009</v>
      </c>
      <c r="H13" s="0" t="n">
        <f aca="false">H11+H12</f>
        <v>3594.64560282655</v>
      </c>
      <c r="I13" s="0" t="n">
        <f aca="false">I11+I12</f>
        <v>3669.01977467972</v>
      </c>
      <c r="J13" s="0" t="n">
        <f aca="false">J11+J12</f>
        <v>3751.57271961002</v>
      </c>
      <c r="K13" s="0" t="n">
        <f aca="false">K11+K12</f>
        <v>3826.60417400222</v>
      </c>
      <c r="L13" s="0" t="n">
        <f aca="false">L11+L12</f>
        <v>3903.13625748226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3300.06895</v>
      </c>
      <c r="D15" s="0" t="n">
        <f aca="false">D13-MAX(0,D13)*D14/100</f>
        <v>3327.56001375</v>
      </c>
      <c r="E15" s="0" t="n">
        <f aca="false">E13-MAX(0,E13)*E14/100</f>
        <v>3377.568983565</v>
      </c>
      <c r="F15" s="0" t="n">
        <f aca="false">F13-MAX(0,F13)*F14/100</f>
        <v>3445.65798572625</v>
      </c>
      <c r="G15" s="0" t="n">
        <f aca="false">G13-MAX(0,G13)*G14/100</f>
        <v>3519.38537760009</v>
      </c>
      <c r="H15" s="0" t="n">
        <f aca="false">H13-MAX(0,H13)*H14/100</f>
        <v>3594.64560282655</v>
      </c>
      <c r="I15" s="0" t="n">
        <f aca="false">I13-MAX(0,I13)*I14/100</f>
        <v>3669.01977467972</v>
      </c>
      <c r="J15" s="0" t="n">
        <f aca="false">J13-MAX(0,J13)*J14/100</f>
        <v>3751.57271961002</v>
      </c>
      <c r="K15" s="0" t="n">
        <f aca="false">K13-MAX(0,K13)*K14/100</f>
        <v>3826.60417400222</v>
      </c>
      <c r="L15" s="0" t="n">
        <f aca="false">L13-MAX(0,L13)*L14/100</f>
        <v>3903.13625748226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-427.9875</v>
      </c>
      <c r="D17" s="4" t="n">
        <f aca="false">-D6*Assumptions!D18/100</f>
        <v>-347.52585</v>
      </c>
      <c r="E17" s="4" t="n">
        <f aca="false">-E6*Assumptions!E18/100</f>
        <v>-242.22551745</v>
      </c>
      <c r="F17" s="4" t="n">
        <f aca="false">-F6*Assumptions!F18/100</f>
        <v>-248.28115538625</v>
      </c>
      <c r="G17" s="4" t="n">
        <f aca="false">-G6*Assumptions!G18/100</f>
        <v>-254.488184270906</v>
      </c>
      <c r="H17" s="4" t="n">
        <f aca="false">-H6*Assumptions!H18/100</f>
        <v>-260.850388877679</v>
      </c>
      <c r="I17" s="4" t="n">
        <f aca="false">-I6*Assumptions!I18/100</f>
        <v>-266.719522627427</v>
      </c>
      <c r="J17" s="4" t="n">
        <f aca="false">-J6*Assumptions!J18/100</f>
        <v>-272.720711886544</v>
      </c>
      <c r="K17" s="4" t="n">
        <f aca="false">-K6*Assumptions!K18/100</f>
        <v>-278.175126124275</v>
      </c>
      <c r="L17" s="4" t="n">
        <f aca="false">-L6*Assumptions!L18/100</f>
        <v>-283.73862864676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2872.08145</v>
      </c>
      <c r="D19" s="0" t="n">
        <f aca="false">D15+D16+D17+D18</f>
        <v>2980.03416375</v>
      </c>
      <c r="E19" s="0" t="n">
        <f aca="false">E15+E16+E17+E18</f>
        <v>3135.343466115</v>
      </c>
      <c r="F19" s="0" t="n">
        <f aca="false">F15+F16+F17+F18</f>
        <v>3197.37683034</v>
      </c>
      <c r="G19" s="0" t="n">
        <f aca="false">G15+G16+G17+G18</f>
        <v>3264.89719332919</v>
      </c>
      <c r="H19" s="0" t="n">
        <f aca="false">H15+H16+H17+H18</f>
        <v>3333.79521394887</v>
      </c>
      <c r="I19" s="0" t="n">
        <f aca="false">I15+I16+I17+I18</f>
        <v>3402.3002520523</v>
      </c>
      <c r="J19" s="0" t="n">
        <f aca="false">J15+J16+J17+J18</f>
        <v>3478.85200772347</v>
      </c>
      <c r="K19" s="0" t="n">
        <f aca="false">K15+K16+K17+K18</f>
        <v>3548.42904787794</v>
      </c>
      <c r="L19" s="0" t="n">
        <f aca="false">L15+L16+L17+L18</f>
        <v>3619.3976288355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2634.93711009174</v>
      </c>
      <c r="D21" s="0" t="n">
        <f aca="false">D19*D20</f>
        <v>2508.23513487922</v>
      </c>
      <c r="E21" s="0" t="n">
        <f aca="false">E19*E20</f>
        <v>2421.0604288514</v>
      </c>
      <c r="F21" s="0" t="n">
        <f aca="false">F19*F20</f>
        <v>2265.10235588858</v>
      </c>
      <c r="G21" s="0" t="n">
        <f aca="false">G19*G20</f>
        <v>2121.95915898201</v>
      </c>
      <c r="H21" s="0" t="n">
        <f aca="false">H19*H20</f>
        <v>1987.83316058402</v>
      </c>
      <c r="I21" s="0" t="n">
        <f aca="false">I19*I20</f>
        <v>1861.17474911166</v>
      </c>
      <c r="J21" s="0" t="n">
        <f aca="false">J19*J20</f>
        <v>1745.91851464832</v>
      </c>
      <c r="K21" s="0" t="n">
        <f aca="false">K19*K20</f>
        <v>1633.79530728558</v>
      </c>
      <c r="L21" s="0" t="n">
        <f aca="false">L19*L20</f>
        <v>1528.87267287275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20708.8885931953</v>
      </c>
    </row>
    <row r="31" customFormat="false" ht="15" hidden="false" customHeight="false" outlineLevel="0" collapsed="false">
      <c r="A31" s="0" t="s">
        <v>138</v>
      </c>
      <c r="B31" s="0" t="n">
        <f aca="false">L19</f>
        <v>3619.3976288355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52739.7940201744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50671.566803697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50671.566803697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21404.2174202185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42113.1060134137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42113.1060134137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215.964646222635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-0.239561104849878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444.547133245079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468.559174805578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220.647242674176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28398.3506262478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118.175614174279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3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3.25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2.75</v>
      </c>
      <c r="J5" s="4" t="n">
        <f aca="false">Assumptions!J27</f>
        <v>2.75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5650</v>
      </c>
      <c r="C6" s="0" t="n">
        <f aca="false">B6*(1+C5/100)</f>
        <v>5819.5</v>
      </c>
      <c r="D6" s="0" t="n">
        <f aca="false">C6*(1+D5/100)</f>
        <v>6023.1825</v>
      </c>
      <c r="E6" s="0" t="n">
        <f aca="false">D6*(1+E5/100)</f>
        <v>6233.9938875</v>
      </c>
      <c r="F6" s="0" t="n">
        <f aca="false">E6*(1+F5/100)</f>
        <v>6436.59868884375</v>
      </c>
      <c r="G6" s="0" t="n">
        <f aca="false">F6*(1+G5/100)</f>
        <v>6629.69664950906</v>
      </c>
      <c r="H6" s="0" t="n">
        <f aca="false">G6*(1+H5/100)</f>
        <v>6828.58754899433</v>
      </c>
      <c r="I6" s="0" t="n">
        <f aca="false">H6*(1+I5/100)</f>
        <v>7016.37370659168</v>
      </c>
      <c r="J6" s="0" t="n">
        <f aca="false">I6*(1+J5/100)</f>
        <v>7209.32398352295</v>
      </c>
      <c r="K6" s="0" t="n">
        <f aca="false">J6*(1+K5/100)</f>
        <v>7389.55708311102</v>
      </c>
      <c r="L6" s="0" t="n">
        <f aca="false">K6*(1+L5/100)</f>
        <v>7574.2960101888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59.8</v>
      </c>
      <c r="D7" s="4" t="n">
        <f aca="false">Assumptions!D28</f>
        <v>60.4</v>
      </c>
      <c r="E7" s="4" t="n">
        <f aca="false">Assumptions!E28</f>
        <v>61</v>
      </c>
      <c r="F7" s="4" t="n">
        <f aca="false">Assumptions!F28</f>
        <v>61.3</v>
      </c>
      <c r="G7" s="4" t="n">
        <f aca="false">Assumptions!G28</f>
        <v>61.4</v>
      </c>
      <c r="H7" s="4" t="n">
        <f aca="false">Assumptions!H28</f>
        <v>61.4</v>
      </c>
      <c r="I7" s="4" t="n">
        <f aca="false">Assumptions!I28</f>
        <v>61.4</v>
      </c>
      <c r="J7" s="4" t="n">
        <f aca="false">Assumptions!J28</f>
        <v>61.4</v>
      </c>
      <c r="K7" s="4" t="n">
        <f aca="false">Assumptions!K28</f>
        <v>61.4</v>
      </c>
      <c r="L7" s="4" t="n">
        <f aca="false">Assumptions!L28</f>
        <v>61.4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3480.061</v>
      </c>
      <c r="D8" s="0" t="n">
        <f aca="false">D6*D7/100</f>
        <v>3638.00223</v>
      </c>
      <c r="E8" s="0" t="n">
        <f aca="false">E6*E7/100</f>
        <v>3802.736271375</v>
      </c>
      <c r="F8" s="0" t="n">
        <f aca="false">F6*F7/100</f>
        <v>3945.63499626122</v>
      </c>
      <c r="G8" s="0" t="n">
        <f aca="false">G6*G7/100</f>
        <v>4070.63374279856</v>
      </c>
      <c r="H8" s="0" t="n">
        <f aca="false">H6*H7/100</f>
        <v>4192.75275508252</v>
      </c>
      <c r="I8" s="0" t="n">
        <f aca="false">I6*I7/100</f>
        <v>4308.05345584729</v>
      </c>
      <c r="J8" s="0" t="n">
        <f aca="false">J6*J7/100</f>
        <v>4426.52492588309</v>
      </c>
      <c r="K8" s="0" t="n">
        <f aca="false">K6*K7/100</f>
        <v>4537.18804903017</v>
      </c>
      <c r="L8" s="0" t="n">
        <f aca="false">L6*L7/100</f>
        <v>4650.61775025592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1.17</v>
      </c>
      <c r="D9" s="4" t="n">
        <f aca="false">Assumptions!D29</f>
        <v>1.15</v>
      </c>
      <c r="E9" s="4" t="n">
        <f aca="false">Assumptions!E29</f>
        <v>1.13</v>
      </c>
      <c r="F9" s="4" t="n">
        <f aca="false">Assumptions!F29</f>
        <v>1.1</v>
      </c>
      <c r="G9" s="4" t="n">
        <f aca="false">Assumptions!G29</f>
        <v>1.1</v>
      </c>
      <c r="H9" s="4" t="n">
        <f aca="false">Assumptions!H29</f>
        <v>1.1</v>
      </c>
      <c r="I9" s="4" t="n">
        <f aca="false">Assumptions!I29</f>
        <v>1.1</v>
      </c>
      <c r="J9" s="4" t="n">
        <f aca="false">Assumptions!J29</f>
        <v>1.1</v>
      </c>
      <c r="K9" s="4" t="n">
        <f aca="false">Assumptions!K29</f>
        <v>1.1</v>
      </c>
      <c r="L9" s="4" t="n">
        <f aca="false">Assumptions!L29</f>
        <v>1.1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-68.08815</v>
      </c>
      <c r="D10" s="0" t="n">
        <f aca="false">-D6*D9/100</f>
        <v>-69.26659875</v>
      </c>
      <c r="E10" s="0" t="n">
        <f aca="false">-E6*E9/100</f>
        <v>-70.44413092875</v>
      </c>
      <c r="F10" s="0" t="n">
        <f aca="false">-F6*F9/100</f>
        <v>-70.8025855772813</v>
      </c>
      <c r="G10" s="0" t="n">
        <f aca="false">-G6*G9/100</f>
        <v>-72.9266631445997</v>
      </c>
      <c r="H10" s="0" t="n">
        <f aca="false">-H6*H9/100</f>
        <v>-75.1144630389377</v>
      </c>
      <c r="I10" s="0" t="n">
        <f aca="false">-I6*I9/100</f>
        <v>-77.1801107725085</v>
      </c>
      <c r="J10" s="0" t="n">
        <f aca="false">-J6*J9/100</f>
        <v>-79.3025638187525</v>
      </c>
      <c r="K10" s="0" t="n">
        <f aca="false">-K6*K9/100</f>
        <v>-81.2851279142213</v>
      </c>
      <c r="L10" s="0" t="n">
        <f aca="false">-L6*L9/100</f>
        <v>-83.3172561120768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3411.97285</v>
      </c>
      <c r="D11" s="0" t="n">
        <f aca="false">D8+D10+D24</f>
        <v>3568.73563125</v>
      </c>
      <c r="E11" s="0" t="n">
        <f aca="false">E8+E10+E24</f>
        <v>3732.29214044625</v>
      </c>
      <c r="F11" s="0" t="n">
        <f aca="false">F8+F10+F24</f>
        <v>3874.83241068394</v>
      </c>
      <c r="G11" s="0" t="n">
        <f aca="false">G8+G10+G24</f>
        <v>3997.70707965396</v>
      </c>
      <c r="H11" s="0" t="n">
        <f aca="false">H8+H10+H24</f>
        <v>4117.63829204358</v>
      </c>
      <c r="I11" s="0" t="n">
        <f aca="false">I8+I10+I24</f>
        <v>4230.87334507478</v>
      </c>
      <c r="J11" s="0" t="n">
        <f aca="false">J8+J10+J24</f>
        <v>4347.22236206434</v>
      </c>
      <c r="K11" s="0" t="n">
        <f aca="false">K8+K10+K24</f>
        <v>4455.90292111595</v>
      </c>
      <c r="L11" s="0" t="n">
        <f aca="false">L8+L10+L24</f>
        <v>4567.30049414385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3411.97285</v>
      </c>
      <c r="D13" s="0" t="n">
        <f aca="false">D11+D12</f>
        <v>3568.73563125</v>
      </c>
      <c r="E13" s="0" t="n">
        <f aca="false">E11+E12</f>
        <v>3732.29214044625</v>
      </c>
      <c r="F13" s="0" t="n">
        <f aca="false">F11+F12</f>
        <v>3874.83241068394</v>
      </c>
      <c r="G13" s="0" t="n">
        <f aca="false">G11+G12</f>
        <v>3997.70707965396</v>
      </c>
      <c r="H13" s="0" t="n">
        <f aca="false">H11+H12</f>
        <v>4117.63829204358</v>
      </c>
      <c r="I13" s="0" t="n">
        <f aca="false">I11+I12</f>
        <v>4230.87334507478</v>
      </c>
      <c r="J13" s="0" t="n">
        <f aca="false">J11+J12</f>
        <v>4347.22236206434</v>
      </c>
      <c r="K13" s="0" t="n">
        <f aca="false">K11+K12</f>
        <v>4455.90292111595</v>
      </c>
      <c r="L13" s="0" t="n">
        <f aca="false">L11+L12</f>
        <v>4567.30049414385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3411.97285</v>
      </c>
      <c r="D15" s="0" t="n">
        <f aca="false">D13-MAX(0,D13)*D14/100</f>
        <v>3568.73563125</v>
      </c>
      <c r="E15" s="0" t="n">
        <f aca="false">E13-MAX(0,E13)*E14/100</f>
        <v>3732.29214044625</v>
      </c>
      <c r="F15" s="0" t="n">
        <f aca="false">F13-MAX(0,F13)*F14/100</f>
        <v>3874.83241068394</v>
      </c>
      <c r="G15" s="0" t="n">
        <f aca="false">G13-MAX(0,G13)*G14/100</f>
        <v>3997.70707965396</v>
      </c>
      <c r="H15" s="0" t="n">
        <f aca="false">H13-MAX(0,H13)*H14/100</f>
        <v>4117.63829204358</v>
      </c>
      <c r="I15" s="0" t="n">
        <f aca="false">I13-MAX(0,I13)*I14/100</f>
        <v>4230.87334507478</v>
      </c>
      <c r="J15" s="0" t="n">
        <f aca="false">J13-MAX(0,J13)*J14/100</f>
        <v>4347.22236206434</v>
      </c>
      <c r="K15" s="0" t="n">
        <f aca="false">K13-MAX(0,K13)*K14/100</f>
        <v>4455.90292111595</v>
      </c>
      <c r="L15" s="0" t="n">
        <f aca="false">L13-MAX(0,L13)*L14/100</f>
        <v>4567.30049414385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-436.4625</v>
      </c>
      <c r="D17" s="4" t="n">
        <f aca="false">-D6*Assumptions!D32/100</f>
        <v>-361.39095</v>
      </c>
      <c r="E17" s="4" t="n">
        <f aca="false">-E6*Assumptions!E32/100</f>
        <v>-255.5937493875</v>
      </c>
      <c r="F17" s="4" t="n">
        <f aca="false">-F6*Assumptions!F32/100</f>
        <v>-263.900546242594</v>
      </c>
      <c r="G17" s="4" t="n">
        <f aca="false">-G6*Assumptions!G32/100</f>
        <v>-271.817562629872</v>
      </c>
      <c r="H17" s="4" t="n">
        <f aca="false">-H6*Assumptions!H32/100</f>
        <v>-279.972089508768</v>
      </c>
      <c r="I17" s="4" t="n">
        <f aca="false">-I6*Assumptions!I32/100</f>
        <v>-287.671321970259</v>
      </c>
      <c r="J17" s="4" t="n">
        <f aca="false">-J6*Assumptions!J32/100</f>
        <v>-295.582283324441</v>
      </c>
      <c r="K17" s="4" t="n">
        <f aca="false">-K6*Assumptions!K32/100</f>
        <v>-302.971840407552</v>
      </c>
      <c r="L17" s="4" t="n">
        <f aca="false">-L6*Assumptions!L32/100</f>
        <v>-310.546136417741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2975.51035</v>
      </c>
      <c r="D19" s="0" t="n">
        <f aca="false">D15+D16+D17+D18</f>
        <v>3207.34468125</v>
      </c>
      <c r="E19" s="0" t="n">
        <f aca="false">E15+E16+E17+E18</f>
        <v>3476.69839105875</v>
      </c>
      <c r="F19" s="0" t="n">
        <f aca="false">F15+F16+F17+F18</f>
        <v>3610.93186444134</v>
      </c>
      <c r="G19" s="0" t="n">
        <f aca="false">G15+G16+G17+G18</f>
        <v>3725.88951702409</v>
      </c>
      <c r="H19" s="0" t="n">
        <f aca="false">H15+H16+H17+H18</f>
        <v>3837.66620253482</v>
      </c>
      <c r="I19" s="0" t="n">
        <f aca="false">I15+I16+I17+I18</f>
        <v>3943.20202310452</v>
      </c>
      <c r="J19" s="0" t="n">
        <f aca="false">J15+J16+J17+J18</f>
        <v>4051.6400787399</v>
      </c>
      <c r="K19" s="0" t="n">
        <f aca="false">K15+K16+K17+K18</f>
        <v>4152.9310807084</v>
      </c>
      <c r="L19" s="0" t="n">
        <f aca="false">L15+L16+L17+L18</f>
        <v>4256.75435772611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2729.82600917431</v>
      </c>
      <c r="D21" s="0" t="n">
        <f aca="false">D19*D20</f>
        <v>2699.55784971804</v>
      </c>
      <c r="E21" s="0" t="n">
        <f aca="false">E19*E20</f>
        <v>2684.64906273045</v>
      </c>
      <c r="F21" s="0" t="n">
        <f aca="false">F19*F20</f>
        <v>2558.0751682089</v>
      </c>
      <c r="G21" s="0" t="n">
        <f aca="false">G19*G20</f>
        <v>2421.57253899394</v>
      </c>
      <c r="H21" s="0" t="n">
        <f aca="false">H19*H20</f>
        <v>2288.27496804015</v>
      </c>
      <c r="I21" s="0" t="n">
        <f aca="false">I19*I20</f>
        <v>2157.06654097362</v>
      </c>
      <c r="J21" s="0" t="n">
        <f aca="false">J19*J20</f>
        <v>2033.38153289027</v>
      </c>
      <c r="K21" s="0" t="n">
        <f aca="false">K19*K20</f>
        <v>1912.1248359748</v>
      </c>
      <c r="L21" s="0" t="n">
        <f aca="false">L19*L20</f>
        <v>1798.09904300382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17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23282.6275497083</v>
      </c>
    </row>
    <row r="31" customFormat="false" ht="15" hidden="false" customHeight="false" outlineLevel="0" collapsed="false">
      <c r="A31" s="0" t="s">
        <v>138</v>
      </c>
      <c r="B31" s="0" t="n">
        <f aca="false">L19</f>
        <v>4256.75435772611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73074.2831409648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72364.8240813438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72364.8240813438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30567.683731065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53850.3112807733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53850.3112807733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276.155442465504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-0.0276216814594926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472.145747815384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604.165544401937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281.674987553798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36537.1415704824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138.183329802835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4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5650</v>
      </c>
      <c r="C6" s="0" t="n">
        <f aca="false">B6*(1+C5/100)</f>
        <v>5876</v>
      </c>
      <c r="D6" s="0" t="n">
        <f aca="false">C6*(1+D5/100)</f>
        <v>6169.8</v>
      </c>
      <c r="E6" s="0" t="n">
        <f aca="false">D6*(1+E5/100)</f>
        <v>6478.29</v>
      </c>
      <c r="F6" s="0" t="n">
        <f aca="false">E6*(1+F5/100)</f>
        <v>6769.81305</v>
      </c>
      <c r="G6" s="0" t="n">
        <f aca="false">F6*(1+G5/100)</f>
        <v>7040.605572</v>
      </c>
      <c r="H6" s="0" t="n">
        <f aca="false">G6*(1+H5/100)</f>
        <v>7287.02676702</v>
      </c>
      <c r="I6" s="0" t="n">
        <f aca="false">H6*(1+I5/100)</f>
        <v>7542.0727038657</v>
      </c>
      <c r="J6" s="0" t="n">
        <f aca="false">I6*(1+J5/100)</f>
        <v>7768.33488498167</v>
      </c>
      <c r="K6" s="0" t="n">
        <f aca="false">J6*(1+K5/100)</f>
        <v>8001.38493153112</v>
      </c>
      <c r="L6" s="0" t="n">
        <f aca="false">K6*(1+L5/100)</f>
        <v>8241.42647947706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60.2</v>
      </c>
      <c r="D7" s="4" t="n">
        <f aca="false">Assumptions!D42</f>
        <v>61.2</v>
      </c>
      <c r="E7" s="4" t="n">
        <f aca="false">Assumptions!E42</f>
        <v>62.2</v>
      </c>
      <c r="F7" s="4" t="n">
        <f aca="false">Assumptions!F42</f>
        <v>62.8</v>
      </c>
      <c r="G7" s="4" t="n">
        <f aca="false">Assumptions!G42</f>
        <v>63</v>
      </c>
      <c r="H7" s="4" t="n">
        <f aca="false">Assumptions!H42</f>
        <v>63</v>
      </c>
      <c r="I7" s="4" t="n">
        <f aca="false">Assumptions!I42</f>
        <v>63</v>
      </c>
      <c r="J7" s="4" t="n">
        <f aca="false">Assumptions!J42</f>
        <v>63</v>
      </c>
      <c r="K7" s="4" t="n">
        <f aca="false">Assumptions!K42</f>
        <v>63</v>
      </c>
      <c r="L7" s="4" t="n">
        <f aca="false">Assumptions!L42</f>
        <v>63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3537.352</v>
      </c>
      <c r="D8" s="0" t="n">
        <f aca="false">D6*D7/100</f>
        <v>3775.9176</v>
      </c>
      <c r="E8" s="0" t="n">
        <f aca="false">E6*E7/100</f>
        <v>4029.49638</v>
      </c>
      <c r="F8" s="0" t="n">
        <f aca="false">F6*F7/100</f>
        <v>4251.4425954</v>
      </c>
      <c r="G8" s="0" t="n">
        <f aca="false">G6*G7/100</f>
        <v>4435.58151036</v>
      </c>
      <c r="H8" s="0" t="n">
        <f aca="false">H6*H7/100</f>
        <v>4590.8268632226</v>
      </c>
      <c r="I8" s="0" t="n">
        <f aca="false">I6*I7/100</f>
        <v>4751.50580343539</v>
      </c>
      <c r="J8" s="0" t="n">
        <f aca="false">J6*J7/100</f>
        <v>4894.05097753845</v>
      </c>
      <c r="K8" s="0" t="n">
        <f aca="false">K6*K7/100</f>
        <v>5040.87250686461</v>
      </c>
      <c r="L8" s="0" t="n">
        <f aca="false">L6*L7/100</f>
        <v>5192.09868207055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1.17</v>
      </c>
      <c r="D9" s="4" t="n">
        <f aca="false">Assumptions!D43</f>
        <v>1.15</v>
      </c>
      <c r="E9" s="4" t="n">
        <f aca="false">Assumptions!E43</f>
        <v>1.13</v>
      </c>
      <c r="F9" s="4" t="n">
        <f aca="false">Assumptions!F43</f>
        <v>1.1</v>
      </c>
      <c r="G9" s="4" t="n">
        <f aca="false">Assumptions!G43</f>
        <v>1.1</v>
      </c>
      <c r="H9" s="4" t="n">
        <f aca="false">Assumptions!H43</f>
        <v>1.1</v>
      </c>
      <c r="I9" s="4" t="n">
        <f aca="false">Assumptions!I43</f>
        <v>1.1</v>
      </c>
      <c r="J9" s="4" t="n">
        <f aca="false">Assumptions!J43</f>
        <v>1.1</v>
      </c>
      <c r="K9" s="4" t="n">
        <f aca="false">Assumptions!K43</f>
        <v>1.1</v>
      </c>
      <c r="L9" s="4" t="n">
        <f aca="false">Assumptions!L43</f>
        <v>1.1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-68.7492</v>
      </c>
      <c r="D10" s="0" t="n">
        <f aca="false">-D6*D9/100</f>
        <v>-70.9527</v>
      </c>
      <c r="E10" s="0" t="n">
        <f aca="false">-E6*E9/100</f>
        <v>-73.204677</v>
      </c>
      <c r="F10" s="0" t="n">
        <f aca="false">-F6*F9/100</f>
        <v>-74.46794355</v>
      </c>
      <c r="G10" s="0" t="n">
        <f aca="false">-G6*G9/100</f>
        <v>-77.446661292</v>
      </c>
      <c r="H10" s="0" t="n">
        <f aca="false">-H6*H9/100</f>
        <v>-80.15729443722</v>
      </c>
      <c r="I10" s="0" t="n">
        <f aca="false">-I6*I9/100</f>
        <v>-82.9627997425227</v>
      </c>
      <c r="J10" s="0" t="n">
        <f aca="false">-J6*J9/100</f>
        <v>-85.4516837347984</v>
      </c>
      <c r="K10" s="0" t="n">
        <f aca="false">-K6*K9/100</f>
        <v>-88.0152342468424</v>
      </c>
      <c r="L10" s="0" t="n">
        <f aca="false">-L6*L9/100</f>
        <v>-90.6556912742476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3468.6028</v>
      </c>
      <c r="D11" s="0" t="n">
        <f aca="false">D8+D10+D24</f>
        <v>3704.9649</v>
      </c>
      <c r="E11" s="0" t="n">
        <f aca="false">E8+E10+E24</f>
        <v>3956.291703</v>
      </c>
      <c r="F11" s="0" t="n">
        <f aca="false">F8+F10+F24</f>
        <v>4176.97465185</v>
      </c>
      <c r="G11" s="0" t="n">
        <f aca="false">G8+G10+G24</f>
        <v>4358.134849068</v>
      </c>
      <c r="H11" s="0" t="n">
        <f aca="false">H8+H10+H24</f>
        <v>4510.66956878538</v>
      </c>
      <c r="I11" s="0" t="n">
        <f aca="false">I8+I10+I24</f>
        <v>4668.54300369287</v>
      </c>
      <c r="J11" s="0" t="n">
        <f aca="false">J8+J10+J24</f>
        <v>4808.59929380366</v>
      </c>
      <c r="K11" s="0" t="n">
        <f aca="false">K8+K10+K24</f>
        <v>4952.85727261776</v>
      </c>
      <c r="L11" s="0" t="n">
        <f aca="false">L8+L10+L24</f>
        <v>5101.4429907963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3468.6028</v>
      </c>
      <c r="D13" s="0" t="n">
        <f aca="false">D11+D12</f>
        <v>3704.9649</v>
      </c>
      <c r="E13" s="0" t="n">
        <f aca="false">E11+E12</f>
        <v>3956.291703</v>
      </c>
      <c r="F13" s="0" t="n">
        <f aca="false">F11+F12</f>
        <v>4176.97465185</v>
      </c>
      <c r="G13" s="0" t="n">
        <f aca="false">G11+G12</f>
        <v>4358.134849068</v>
      </c>
      <c r="H13" s="0" t="n">
        <f aca="false">H11+H12</f>
        <v>4510.66956878538</v>
      </c>
      <c r="I13" s="0" t="n">
        <f aca="false">I11+I12</f>
        <v>4668.54300369287</v>
      </c>
      <c r="J13" s="0" t="n">
        <f aca="false">J11+J12</f>
        <v>4808.59929380366</v>
      </c>
      <c r="K13" s="0" t="n">
        <f aca="false">K11+K12</f>
        <v>4952.85727261776</v>
      </c>
      <c r="L13" s="0" t="n">
        <f aca="false">L11+L12</f>
        <v>5101.4429907963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3468.6028</v>
      </c>
      <c r="D15" s="0" t="n">
        <f aca="false">D13-MAX(0,D13)*D14/100</f>
        <v>3704.9649</v>
      </c>
      <c r="E15" s="0" t="n">
        <f aca="false">E13-MAX(0,E13)*E14/100</f>
        <v>3956.291703</v>
      </c>
      <c r="F15" s="0" t="n">
        <f aca="false">F13-MAX(0,F13)*F14/100</f>
        <v>4176.97465185</v>
      </c>
      <c r="G15" s="0" t="n">
        <f aca="false">G13-MAX(0,G13)*G14/100</f>
        <v>4358.134849068</v>
      </c>
      <c r="H15" s="0" t="n">
        <f aca="false">H13-MAX(0,H13)*H14/100</f>
        <v>4510.66956878538</v>
      </c>
      <c r="I15" s="0" t="n">
        <f aca="false">I13-MAX(0,I13)*I14/100</f>
        <v>4668.54300369287</v>
      </c>
      <c r="J15" s="0" t="n">
        <f aca="false">J13-MAX(0,J13)*J14/100</f>
        <v>4808.59929380366</v>
      </c>
      <c r="K15" s="0" t="n">
        <f aca="false">K13-MAX(0,K13)*K14/100</f>
        <v>4952.85727261776</v>
      </c>
      <c r="L15" s="0" t="n">
        <f aca="false">L13-MAX(0,L13)*L14/100</f>
        <v>5101.4429907963</v>
      </c>
    </row>
    <row r="16" customFormat="false" ht="15" hidden="false" customHeight="false" outlineLevel="0" collapsed="false">
      <c r="A16" s="0" t="s">
        <v>129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-440.7</v>
      </c>
      <c r="D17" s="4" t="n">
        <f aca="false">-D6*Assumptions!D46/100</f>
        <v>-370.188</v>
      </c>
      <c r="E17" s="4" t="n">
        <f aca="false">-E6*Assumptions!E46/100</f>
        <v>-265.60989</v>
      </c>
      <c r="F17" s="4" t="n">
        <f aca="false">-F6*Assumptions!F46/100</f>
        <v>-277.56233505</v>
      </c>
      <c r="G17" s="4" t="n">
        <f aca="false">-G6*Assumptions!G46/100</f>
        <v>-288.664828452</v>
      </c>
      <c r="H17" s="4" t="n">
        <f aca="false">-H6*Assumptions!H46/100</f>
        <v>-298.76809744782</v>
      </c>
      <c r="I17" s="4" t="n">
        <f aca="false">-I6*Assumptions!I46/100</f>
        <v>-309.224980858494</v>
      </c>
      <c r="J17" s="4" t="n">
        <f aca="false">-J6*Assumptions!J46/100</f>
        <v>-318.501730284249</v>
      </c>
      <c r="K17" s="4" t="n">
        <f aca="false">-K6*Assumptions!K46/100</f>
        <v>-328.056782192776</v>
      </c>
      <c r="L17" s="4" t="n">
        <f aca="false">-L6*Assumptions!L46/100</f>
        <v>-337.898485658559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3027.9028</v>
      </c>
      <c r="D19" s="0" t="n">
        <f aca="false">D15+D16+D17+D18</f>
        <v>3334.7769</v>
      </c>
      <c r="E19" s="0" t="n">
        <f aca="false">E15+E16+E17+E18</f>
        <v>3690.681813</v>
      </c>
      <c r="F19" s="0" t="n">
        <f aca="false">F15+F16+F17+F18</f>
        <v>3899.4123168</v>
      </c>
      <c r="G19" s="0" t="n">
        <f aca="false">G15+G16+G17+G18</f>
        <v>4069.470020616</v>
      </c>
      <c r="H19" s="0" t="n">
        <f aca="false">H15+H16+H17+H18</f>
        <v>4211.90147133756</v>
      </c>
      <c r="I19" s="0" t="n">
        <f aca="false">I15+I16+I17+I18</f>
        <v>4359.31802283438</v>
      </c>
      <c r="J19" s="0" t="n">
        <f aca="false">J15+J16+J17+J18</f>
        <v>4490.09756351941</v>
      </c>
      <c r="K19" s="0" t="n">
        <f aca="false">K15+K16+K17+K18</f>
        <v>4624.80049042499</v>
      </c>
      <c r="L19" s="0" t="n">
        <f aca="false">L15+L16+L17+L18</f>
        <v>4763.54450513774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2777.89247706422</v>
      </c>
      <c r="D21" s="0" t="n">
        <f aca="false">D19*D20</f>
        <v>2806.81499873748</v>
      </c>
      <c r="E21" s="0" t="n">
        <f aca="false">E19*E20</f>
        <v>2849.88352616042</v>
      </c>
      <c r="F21" s="0" t="n">
        <f aca="false">F19*F20</f>
        <v>2762.44199355927</v>
      </c>
      <c r="G21" s="0" t="n">
        <f aca="false">G19*G20</f>
        <v>2644.87629199851</v>
      </c>
      <c r="H21" s="0" t="n">
        <f aca="false">H19*H20</f>
        <v>2511.41923139308</v>
      </c>
      <c r="I21" s="0" t="n">
        <f aca="false">I19*I20</f>
        <v>2384.69624265307</v>
      </c>
      <c r="J21" s="0" t="n">
        <f aca="false">J19*J20</f>
        <v>2253.42855957124</v>
      </c>
      <c r="K21" s="0" t="n">
        <f aca="false">K19*K20</f>
        <v>2129.38662051228</v>
      </c>
      <c r="L21" s="0" t="n">
        <f aca="false">L19*L20</f>
        <v>2012.17267809876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3.25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19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25133.0126197483</v>
      </c>
    </row>
    <row r="31" customFormat="false" ht="15" hidden="false" customHeight="false" outlineLevel="0" collapsed="false">
      <c r="A31" s="0" t="s">
        <v>138</v>
      </c>
      <c r="B31" s="0" t="n">
        <f aca="false">L19</f>
        <v>4763.54450513774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85536.6904618211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90507.345597617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85536.6904618211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36131.6224371646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61264.635056913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61264.635056913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314.177615676477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0.106259210128439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497.292144783666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687.626032541196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320.254119149938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41858.3804387635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151.797000139714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215.964646222635</v>
      </c>
      <c r="C4" s="0" t="n">
        <f aca="false">B4/Assumptions!$B$2-1</f>
        <v>-0.239561104849878</v>
      </c>
      <c r="D4" s="4" t="n">
        <f aca="false">Assumptions!$B$24</f>
        <v>0.2</v>
      </c>
      <c r="E4" s="4" t="n">
        <f aca="false">DCF_Bear!$B$43</f>
        <v>220.647242674176</v>
      </c>
      <c r="F4" s="4" t="n">
        <f aca="false">DCF_Bear!$B$47</f>
        <v>118.175614174279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276.155442465504</v>
      </c>
      <c r="C5" s="0" t="n">
        <f aca="false">B5/Assumptions!$B$2-1</f>
        <v>-0.0276216814594926</v>
      </c>
      <c r="D5" s="4" t="n">
        <f aca="false">Assumptions!$B$38</f>
        <v>0.55</v>
      </c>
      <c r="E5" s="4" t="n">
        <f aca="false">DCF_Base!$B$43</f>
        <v>281.674987553798</v>
      </c>
      <c r="F5" s="4" t="n">
        <f aca="false">DCF_Base!$B$47</f>
        <v>138.183329802835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314.177615676477</v>
      </c>
      <c r="C6" s="0" t="n">
        <f aca="false">B6/Assumptions!$B$2-1</f>
        <v>0.106259210128439</v>
      </c>
      <c r="D6" s="4" t="n">
        <f aca="false">Assumptions!$B$52</f>
        <v>0.25</v>
      </c>
      <c r="E6" s="4" t="n">
        <f aca="false">DCF_Bull!$B$43</f>
        <v>320.254119149938</v>
      </c>
      <c r="F6" s="4" t="n">
        <f aca="false">DCF_Bull!$B$47</f>
        <v>151.797000139714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273.622826519673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279.114221476909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-0.037925101543312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188.971537489834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137.585204261344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276.155442465504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237.838072230413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207.944731560168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184.692524010881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138.183329802835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320.061152444248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320.061152444248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320.061152444248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320.061152444248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320.061152444248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297.08210762893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297.08210762893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297.08210762893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297.08210762893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297.08210762893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253.761534970218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264.806493870608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276.155442465504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276.155442465504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276.155442465504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221.306209729421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229.021078896551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237.838072230413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248.011526077178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257.075148595204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196.092375973496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201.669955073106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207.944731560168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215.056144912172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223.183474457319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2026-10-02T07:43:11Z</dcterms:created>
  <dc:creator>openpyxl</dc:creator>
  <dc:description/>
  <dc:language>en-NZ</dc:language>
  <cp:lastModifiedBy/>
  <dcterms:modified xsi:type="dcterms:W3CDTF">2026-10-02T07:43:11Z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