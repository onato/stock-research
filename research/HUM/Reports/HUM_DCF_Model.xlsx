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<sst xmlns="http://schemas.openxmlformats.org/spreadsheetml/2006/main" count="389" uniqueCount="174">
  <si>
    <t xml:space="preserve">Ticker</t>
  </si>
  <si>
    <t xml:space="preserve">HUM</t>
  </si>
  <si>
    <t xml:space="preserve">Company</t>
  </si>
  <si>
    <t xml:space="preserve">Humana Inc.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</si>
  <si>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</si>
  <si>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</si>
  <si>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</si>
  <si>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</si>
  <si>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2026-09-28T20:04:27Z regular close</t>
  </si>
  <si>
    <t xml:space="preserve">Balance sheet date</t>
  </si>
  <si>
    <t xml:space="preserve">2026-03-31</t>
  </si>
  <si>
    <t xml:space="preserve">Model</t>
  </si>
  <si>
    <t xml:space="preserve">FCFE at cost of equity, managed-care insurer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</si>
  <si>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</si>
  <si>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</si>
  <si>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</si>
  <si>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</si>
  <si>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</si>
  <si>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</si>
  <si>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</si>
  <si>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</si>
  <si>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2026-09-28T21:37:12Z</t>
  </si>
  <si>
    <t xml:space="preserve">Drivers file</t>
  </si>
  <si>
    <t xml:space="preserve">HUM_Drivers.json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</si>
  <si>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</si>
  <si>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</si>
  <si>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</si>
  <si>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Humana is valued as an equity stream: net income after interest, less the equity retained for statutory capital as MA revenue grows, capitalised at a 9% cost of equity with no net-debt deduction (holding-company debt is charged through interest expense). The valuation deliberately neither extrapolates the FY2026 trough (GAAP EPS at least $6.52) nor adopts management's 2028 EPS target of $38-42; base settles at a 3.0% consolidated pretax margin in 2030, roughly two-thirds of Humana's FY2019-FY2023 average, reflecting structural CMS rate pressure. The scenario spread is wide because the Star Ratings outcome is binary and arrives in the Oct-2026 release; the current price sits near the probability-weighted value, meaning the market is already paying for a partial recovery and offers little margin of safety against the bear path.
key_risks_to_valuation: Oct-2026 Star Ratings release: H5216 failing to return to 4 stars pushes the bonus recovery beyond payment-year 2028 and moves the base toward the bear path (roughly $180/share of value between the two); Medical and pharmacy cost trend (7-8%, double-digit drug) proving structural rather than transitory, so repricing continually lags cost; CMS 2027-2028 rate notices and V28 risk-model phase-in setting benchmarks below trend industry-wide; Statutory capital retention on the 2026 membership surge (~5% of incremental revenue assumed) is a judgment; a higher RBC requirement or a capital contribution to subsidiaries would reduce distributable earnings further; DOJ False Claims Act broker-payment complaint and RADV audit exposure, which are not reserved in the margin paths; Terminal value is capped at 15x FCFE; the valuation is terminal-heavy because years 1-3 contribute almost no distributable cash</t>
  </si>
  <si>
    <t xml:space="preserve">Data sources</t>
  </si>
  <si>
    <t xml:space="preserve">price: Yahoo Finance chart API at inputs.price_as_of; 52-week range 163.11-428.88
financials: SEC XBRL companyfacts via scripts/build_facts_xbrl.py, FY2006 to Q1 2026, exported to HUM_Metrics.csv; balance sheet and share count from the Q1 2026 10-Q; buybacks and cash taxes from the kpis table
qualitative: HUM_Analysis.json (2026-09-29): Q2 2026 earnings guidance (GAAP EPS at least $6.52, adjusted at least $9.00, benefit ratio 92.5-93.0%, cost trend 7-8%, MA pretax margin at least 3% by 2028, 2028 EPS $38-42 reference), Star Ratings history for H5216, CenterWell/MaxHealth and Gentiva transactions, DOJ litigation</t>
  </si>
  <si>
    <t xml:space="preserve">Scenario narrative: bear</t>
  </si>
  <si>
    <t xml:space="preserve">H5216 misses 4 stars again, CMS benchmark increases keep lagging a 7-8% cost trend with double-digit drug inflation, RADV and the DOJ FCA case add cost, and Humana sheds membership to reprice. Margin recovers only to 2.0%, growth reverts to demographics. Year-1 FCFE is negative; the business survives comfortably (no solvency question) but earns roughly FY2023-FY2024 economics in perpetuity.</t>
  </si>
  <si>
    <t xml:space="preserve">Scenario narrative: base</t>
  </si>
  <si>
    <t xml:space="preserve">Two-year earnings trough on the H5216 Star Ratings loss, then a partial recovery to a 3.0% consolidated pretax margin by 2030, which is mid-cycle for Humana in a post-V28 world where CMS rates run below cost trend. FY2026 revenue +22% on AEP share gains, decelerating to 5% then 3% as the company prices for margin. The value is almost entirely in years 4-10 and the terminal: the FY2026 revenue jump consumes ~$1.4bn of statutory capital, so near-term FCFE is roughly nil.</t>
  </si>
  <si>
    <t xml:space="preserve">Scenario narrative: bull</t>
  </si>
  <si>
    <t xml:space="preserve">Management's plan delivered a year or two late: H5216 returns to 4 stars in the Oct-2026 release, restoring the bonus in payment-year 2028; cost trend moderates on value-based care; Humana becomes the largest MA carrier with 7-8% growth through 2028; consolidated pretax reaches 3.8% by 2030 (EPS around management's $38-42 2028 target). Bull needs three independent things to go right (Stars, trend, CMS rates), so it is not over-weighted.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</si>
  <si>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</si>
  <si>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</si>
  <si>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</si>
  <si>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</si>
  <si>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</si>
  <si>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</si>
  <si>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</si>
  <si>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</si>
  <si>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</si>
  <si>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</si>
  <si>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</si>
  <si>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</si>
  <si>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</si>
  <si>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</si>
  <si>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</si>
  <si>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</si>
  <si>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</si>
  <si>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</si>
  <si>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</si>
  <si>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</si>
  <si>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</si>
  <si>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</si>
  <si>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</si>
  <si>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</si>
  <si>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</si>
  <si>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</si>
  <si>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</si>
  <si>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</si>
  <si>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</si>
  <si>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</si>
  <si>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</si>
  <si>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</si>
  <si>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</si>
  <si>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</si>
  <si>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</si>
  <si>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</si>
  <si>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</si>
  <si>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</si>
  <si>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</si>
  <si>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</si>
  <si>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</si>
  <si>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</si>
  <si>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</si>
  <si>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</si>
  <si>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</si>
  <si>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</si>
  <si>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</si>
  <si>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</si>
  <si>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</si>
  <si>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</si>
  <si>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</si>
  <si>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</si>
  <si>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</si>
  <si>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</si>
  <si>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</si>
  <si>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</si>
  <si>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</si>
  <si>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</si>
  <si>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</si>
  <si>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</si>
  <si>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</si>
  <si>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</si>
  <si>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</si>
  <si>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</si>
  <si>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</si>
  <si>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</si>
  <si>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</si>
  <si>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</si>
  <si>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</si>
  <si>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</si>
  <si>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</si>
  <si>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</si>
  <si>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</si>
  <si>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</si>
  <si>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</si>
  <si>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</si>
  <si>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</si>
  <si>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</si>
  <si>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</si>
  <si>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</si>
  <si>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</si>
  <si>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</si>
  <si>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</si>
  <si>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</si>
  <si>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HUM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</si>
  <si>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</si>
  <si>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</si>
  <si>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</si>
  <si>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</si>
  <si>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</si>
  <si>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</si>
  <si>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</si>
  <si>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</si>
  <si>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</si>
  <si>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</si>
  <si>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</si>
  <si>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</si>
  <si>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</si>
  <si>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</si>
  <si>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</si>
  <si>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</si>
  <si>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</si>
  <si>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</si>
  <si>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</si>
  <si>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</si>
  <si>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</si>
  <si>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</si>
  <si>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</si>
  <si>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</si>
  <si>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</si>
  <si>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</si>
  <si>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</si>
  <si>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</si>
  <si>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</si>
  <si>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</si>
  <si>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HUM owner-FCF component DCF: base case (millions, USD)</t>
  </si>
  <si>
    <t xml:space="preserve">HUM owner-FCF component DCF: bull case (millions, USD)</t>
  </si>
  <si>
    <t xml:space="preserve">HUM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</si>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</sst>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389.63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3053.886</v>
      </c>
      <c r="S2" s="0" t="n">
        <v>1740.304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25289.989</v>
      </c>
      <c r="F3" s="0" t="n">
        <v>1358.178</v>
      </c>
      <c r="G3" s="0" t="n">
        <v>5.37041751975456</v>
      </c>
      <c r="H3" s="0" t="n">
        <v>1542.99</v>
      </c>
      <c r="I3" s="0" t="n">
        <v>833.684</v>
      </c>
      <c r="J3" s="0" t="n">
        <v>3.2964980728145</v>
      </c>
      <c r="K3" s="0" t="n">
        <v>5</v>
      </c>
      <c r="L3" s="0" t="n">
        <v>1224.262</v>
      </c>
      <c r="M3" s="0" t="n">
        <v>239.244</v>
      </c>
      <c r="N3" s="0" t="n">
        <v>985.018</v>
      </c>
      <c r="O3" s="0" t="n">
        <v>4028.937</v>
      </c>
      <c r="S3" s="0" t="n">
        <v>2040.453</v>
      </c>
      <c r="U3" s="0" t="n">
        <v>42.132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28946.372</v>
      </c>
      <c r="F4" s="0" t="n">
        <v>1073.137</v>
      </c>
      <c r="G4" s="0" t="n">
        <v>3.70732815843036</v>
      </c>
      <c r="H4" s="0" t="n">
        <v>1293.487</v>
      </c>
      <c r="I4" s="0" t="n">
        <v>647.154</v>
      </c>
      <c r="J4" s="0" t="n">
        <v>2.2356998659452</v>
      </c>
      <c r="K4" s="0" t="n">
        <v>3.87</v>
      </c>
      <c r="L4" s="0" t="n">
        <v>982.31</v>
      </c>
      <c r="M4" s="0" t="n">
        <v>261.572</v>
      </c>
      <c r="N4" s="0" t="n">
        <v>720.738</v>
      </c>
      <c r="O4" s="0" t="n">
        <v>4457</v>
      </c>
      <c r="P4" s="0" t="n">
        <v>13041.76</v>
      </c>
      <c r="Q4" s="0" t="n">
        <v>8584.57</v>
      </c>
      <c r="R4" s="0" t="n">
        <v>1937.032</v>
      </c>
      <c r="S4" s="0" t="n">
        <v>1970</v>
      </c>
      <c r="T4" s="0" t="n">
        <v>169.187</v>
      </c>
      <c r="U4" s="0" t="n">
        <v>55.369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30743</v>
      </c>
      <c r="F5" s="0" t="n">
        <v>1708</v>
      </c>
      <c r="G5" s="0" t="n">
        <v>5.55573626516605</v>
      </c>
      <c r="H5" s="0" t="n">
        <v>1958</v>
      </c>
      <c r="I5" s="0" t="n">
        <v>1040</v>
      </c>
      <c r="J5" s="0" t="n">
        <v>3.38288390853202</v>
      </c>
      <c r="K5" s="0" t="n">
        <v>6.21</v>
      </c>
      <c r="L5" s="0" t="n">
        <v>1422</v>
      </c>
      <c r="M5" s="0" t="n">
        <v>185</v>
      </c>
      <c r="N5" s="0" t="n">
        <v>1237</v>
      </c>
      <c r="O5" s="0" t="n">
        <v>5776</v>
      </c>
      <c r="P5" s="0" t="n">
        <v>14153.494</v>
      </c>
      <c r="Q5" s="0" t="n">
        <v>8377.491</v>
      </c>
      <c r="R5" s="0" t="n">
        <v>1678.166</v>
      </c>
      <c r="S5" s="0" t="n">
        <v>1613</v>
      </c>
      <c r="T5" s="0" t="n">
        <v>169.071</v>
      </c>
      <c r="U5" s="0" t="n">
        <v>66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33596</v>
      </c>
      <c r="F6" s="0" t="n">
        <v>1854</v>
      </c>
      <c r="G6" s="0" t="n">
        <v>5.51851410882248</v>
      </c>
      <c r="H6" s="0" t="n">
        <v>2117</v>
      </c>
      <c r="I6" s="0" t="n">
        <v>1099</v>
      </c>
      <c r="J6" s="0" t="n">
        <v>3.27122276461484</v>
      </c>
      <c r="K6" s="0" t="n">
        <v>6.55</v>
      </c>
      <c r="L6" s="0" t="n">
        <v>2242</v>
      </c>
      <c r="M6" s="0" t="n">
        <v>222</v>
      </c>
      <c r="N6" s="0" t="n">
        <v>2020</v>
      </c>
      <c r="O6" s="0" t="n">
        <v>6924</v>
      </c>
      <c r="P6" s="0" t="n">
        <v>16103</v>
      </c>
      <c r="Q6" s="0" t="n">
        <v>9179</v>
      </c>
      <c r="R6" s="0" t="n">
        <v>1669</v>
      </c>
      <c r="S6" s="0" t="n">
        <v>1673</v>
      </c>
      <c r="T6" s="0" t="n">
        <v>169.798</v>
      </c>
      <c r="U6" s="0" t="n">
        <v>63</v>
      </c>
      <c r="V6" s="0" t="n">
        <v>0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36832</v>
      </c>
      <c r="F7" s="0" t="n">
        <v>2344</v>
      </c>
      <c r="G7" s="0" t="n">
        <v>6.3640312771503</v>
      </c>
      <c r="H7" s="0" t="n">
        <v>2647</v>
      </c>
      <c r="I7" s="0" t="n">
        <v>1419</v>
      </c>
      <c r="J7" s="0" t="n">
        <v>3.85262814943527</v>
      </c>
      <c r="K7" s="0" t="n">
        <v>8.58</v>
      </c>
      <c r="L7" s="0" t="n">
        <v>2079</v>
      </c>
      <c r="M7" s="0" t="n">
        <v>346</v>
      </c>
      <c r="N7" s="0" t="n">
        <v>1733</v>
      </c>
      <c r="O7" s="0" t="n">
        <v>8063</v>
      </c>
      <c r="P7" s="0" t="n">
        <v>17708</v>
      </c>
      <c r="Q7" s="0" t="n">
        <v>9645</v>
      </c>
      <c r="R7" s="0" t="n">
        <v>1659</v>
      </c>
      <c r="S7" s="0" t="n">
        <v>1377</v>
      </c>
      <c r="T7" s="0" t="n">
        <v>167.827</v>
      </c>
      <c r="U7" s="0" t="n">
        <v>67</v>
      </c>
      <c r="V7" s="0" t="n">
        <v>0.75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39126</v>
      </c>
      <c r="F8" s="0" t="n">
        <v>2016</v>
      </c>
      <c r="G8" s="0" t="n">
        <v>5.15258395951541</v>
      </c>
      <c r="H8" s="0" t="n">
        <v>2354</v>
      </c>
      <c r="I8" s="0" t="n">
        <v>1222</v>
      </c>
      <c r="J8" s="0" t="n">
        <v>3.12324285641262</v>
      </c>
      <c r="K8" s="0" t="n">
        <v>7.56</v>
      </c>
      <c r="L8" s="0" t="n">
        <v>1923</v>
      </c>
      <c r="M8" s="0" t="n">
        <v>410</v>
      </c>
      <c r="N8" s="0" t="n">
        <v>1513</v>
      </c>
      <c r="O8" s="0" t="n">
        <v>8847</v>
      </c>
      <c r="P8" s="0" t="n">
        <v>19979</v>
      </c>
      <c r="Q8" s="0" t="n">
        <v>11132</v>
      </c>
      <c r="R8" s="0" t="n">
        <v>2611</v>
      </c>
      <c r="S8" s="0" t="n">
        <v>1306</v>
      </c>
      <c r="T8" s="0" t="n">
        <v>163.457</v>
      </c>
      <c r="U8" s="0" t="n">
        <v>82</v>
      </c>
      <c r="V8" s="0" t="n">
        <v>1.03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41313</v>
      </c>
      <c r="F9" s="0" t="n">
        <v>2061</v>
      </c>
      <c r="G9" s="0" t="n">
        <v>4.98874446300196</v>
      </c>
      <c r="H9" s="0" t="n">
        <v>2370</v>
      </c>
      <c r="I9" s="0" t="n">
        <v>1231</v>
      </c>
      <c r="J9" s="0" t="n">
        <v>2.97969162249171</v>
      </c>
      <c r="K9" s="0" t="n">
        <v>7.81</v>
      </c>
      <c r="L9" s="0" t="n">
        <v>1716</v>
      </c>
      <c r="M9" s="0" t="n">
        <v>441</v>
      </c>
      <c r="N9" s="0" t="n">
        <v>1275</v>
      </c>
      <c r="O9" s="0" t="n">
        <v>9316</v>
      </c>
      <c r="P9" s="0" t="n">
        <v>20735</v>
      </c>
      <c r="Q9" s="0" t="n">
        <v>11419</v>
      </c>
      <c r="R9" s="0" t="n">
        <v>2600</v>
      </c>
      <c r="S9" s="0" t="n">
        <v>1138</v>
      </c>
      <c r="T9" s="0" t="n">
        <v>159.151</v>
      </c>
      <c r="U9" s="0" t="n">
        <v>92</v>
      </c>
      <c r="V9" s="0" t="n">
        <v>1.07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48500</v>
      </c>
      <c r="F10" s="0" t="n">
        <v>2362</v>
      </c>
      <c r="G10" s="0" t="n">
        <v>4.87010309278351</v>
      </c>
      <c r="H10" s="0" t="n">
        <v>2690</v>
      </c>
      <c r="I10" s="0" t="n">
        <v>1147</v>
      </c>
      <c r="J10" s="0" t="n">
        <v>2.36494845360825</v>
      </c>
      <c r="K10" s="0" t="n">
        <v>7.44</v>
      </c>
      <c r="L10" s="0" t="n">
        <v>1618</v>
      </c>
      <c r="M10" s="0" t="n">
        <v>528</v>
      </c>
      <c r="N10" s="0" t="n">
        <v>1090</v>
      </c>
      <c r="O10" s="0" t="n">
        <v>9646</v>
      </c>
      <c r="P10" s="0" t="n">
        <v>23527</v>
      </c>
      <c r="Q10" s="0" t="n">
        <v>13881</v>
      </c>
      <c r="R10" s="0" t="n">
        <v>3825</v>
      </c>
      <c r="S10" s="0" t="n">
        <v>1935</v>
      </c>
      <c r="T10" s="0" t="n">
        <v>155.874</v>
      </c>
      <c r="U10" s="0" t="n">
        <v>98</v>
      </c>
      <c r="V10" s="0" t="n">
        <v>1.11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54289</v>
      </c>
      <c r="F11" s="0" t="n">
        <v>2347</v>
      </c>
      <c r="G11" s="0" t="n">
        <v>4.32315938772127</v>
      </c>
      <c r="H11" s="0" t="n">
        <v>2701</v>
      </c>
      <c r="I11" s="0" t="n">
        <v>1276</v>
      </c>
      <c r="J11" s="0" t="n">
        <v>2.35038405570189</v>
      </c>
      <c r="K11" s="0" t="n">
        <v>8.54</v>
      </c>
      <c r="L11" s="0" t="n">
        <v>868</v>
      </c>
      <c r="M11" s="0" t="n">
        <v>523</v>
      </c>
      <c r="N11" s="0" t="n">
        <v>345</v>
      </c>
      <c r="O11" s="0" t="n">
        <v>10346</v>
      </c>
      <c r="P11" s="0" t="n">
        <v>24678</v>
      </c>
      <c r="Q11" s="0" t="n">
        <v>14332</v>
      </c>
      <c r="R11" s="0" t="n">
        <v>3794</v>
      </c>
      <c r="S11" s="0" t="n">
        <v>2571</v>
      </c>
      <c r="T11" s="0" t="n">
        <v>151.142</v>
      </c>
      <c r="U11" s="0" t="n">
        <v>109</v>
      </c>
      <c r="V11" s="0" t="n">
        <v>1.15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54379</v>
      </c>
      <c r="F12" s="0" t="n">
        <v>1741</v>
      </c>
      <c r="G12" s="0" t="n">
        <v>3.20160356019787</v>
      </c>
      <c r="H12" s="0" t="n">
        <v>2129</v>
      </c>
      <c r="I12" s="0" t="n">
        <v>614</v>
      </c>
      <c r="J12" s="0" t="n">
        <v>1.12911234116111</v>
      </c>
      <c r="K12" s="0" t="n">
        <v>4.11</v>
      </c>
      <c r="L12" s="0" t="n">
        <v>1936</v>
      </c>
      <c r="M12" s="0" t="n">
        <v>527</v>
      </c>
      <c r="N12" s="0" t="n">
        <v>1409</v>
      </c>
      <c r="O12" s="0" t="n">
        <v>10685</v>
      </c>
      <c r="P12" s="0" t="n">
        <v>25396</v>
      </c>
      <c r="Q12" s="0" t="n">
        <v>14711</v>
      </c>
      <c r="R12" s="0" t="n">
        <v>3792</v>
      </c>
      <c r="S12" s="0" t="n">
        <v>3877</v>
      </c>
      <c r="T12" s="0" t="n">
        <v>150.917</v>
      </c>
      <c r="U12" s="0" t="n">
        <v>115</v>
      </c>
      <c r="V12" s="0" t="n">
        <v>1.16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53767</v>
      </c>
      <c r="F13" s="0" t="n">
        <v>4262</v>
      </c>
      <c r="G13" s="0" t="n">
        <v>7.9267952461547</v>
      </c>
      <c r="H13" s="0" t="n">
        <v>4672</v>
      </c>
      <c r="I13" s="0" t="n">
        <v>2448</v>
      </c>
      <c r="J13" s="0" t="n">
        <v>4.55297859281716</v>
      </c>
      <c r="K13" s="0" t="n">
        <v>16.94</v>
      </c>
      <c r="L13" s="0" t="n">
        <v>4051</v>
      </c>
      <c r="M13" s="0" t="n">
        <v>524</v>
      </c>
      <c r="N13" s="0" t="n">
        <v>3527</v>
      </c>
      <c r="O13" s="0" t="n">
        <v>9842</v>
      </c>
      <c r="P13" s="0" t="n">
        <v>27178</v>
      </c>
      <c r="Q13" s="0" t="n">
        <v>17336</v>
      </c>
      <c r="R13" s="0" t="n">
        <v>4770</v>
      </c>
      <c r="S13" s="0" t="n">
        <v>4042</v>
      </c>
      <c r="T13" s="0" t="n">
        <v>145.585</v>
      </c>
      <c r="U13" s="0" t="n">
        <v>157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56912</v>
      </c>
      <c r="F14" s="0" t="n">
        <v>3100</v>
      </c>
      <c r="G14" s="0" t="n">
        <v>5.44700590385156</v>
      </c>
      <c r="H14" s="0" t="n">
        <v>3544</v>
      </c>
      <c r="I14" s="0" t="n">
        <v>1683</v>
      </c>
      <c r="J14" s="0" t="n">
        <v>2.9571970761878</v>
      </c>
      <c r="K14" s="0" t="n">
        <v>12.24</v>
      </c>
      <c r="L14" s="0" t="n">
        <v>2173</v>
      </c>
      <c r="M14" s="0" t="n">
        <v>612</v>
      </c>
      <c r="N14" s="0" t="n">
        <v>1561</v>
      </c>
      <c r="O14" s="0" t="n">
        <v>10161</v>
      </c>
      <c r="P14" s="0" t="n">
        <v>25413</v>
      </c>
      <c r="Q14" s="0" t="n">
        <v>15252</v>
      </c>
      <c r="R14" s="0" t="n">
        <v>6069</v>
      </c>
      <c r="S14" s="0" t="n">
        <v>2343</v>
      </c>
      <c r="T14" s="0" t="n">
        <v>138.403</v>
      </c>
      <c r="U14" s="0" t="n">
        <v>137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64888</v>
      </c>
      <c r="F15" s="0" t="n">
        <v>3192</v>
      </c>
      <c r="G15" s="0" t="n">
        <v>4.91924546911602</v>
      </c>
      <c r="I15" s="0" t="n">
        <v>2707</v>
      </c>
      <c r="J15" s="0" t="n">
        <v>4.17180372333868</v>
      </c>
      <c r="K15" s="0" t="n">
        <v>20.2</v>
      </c>
      <c r="L15" s="0" t="n">
        <v>5284</v>
      </c>
      <c r="M15" s="0" t="n">
        <v>736</v>
      </c>
      <c r="N15" s="0" t="n">
        <v>4548</v>
      </c>
      <c r="O15" s="0" t="n">
        <v>12037</v>
      </c>
      <c r="P15" s="0" t="n">
        <v>29074</v>
      </c>
      <c r="Q15" s="0" t="n">
        <v>17037</v>
      </c>
      <c r="R15" s="0" t="n">
        <v>5666</v>
      </c>
      <c r="S15" s="0" t="n">
        <v>4054</v>
      </c>
      <c r="T15" s="0" t="n">
        <v>134.727</v>
      </c>
      <c r="U15" s="0" t="n">
        <v>163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77155</v>
      </c>
      <c r="F16" s="0" t="n">
        <v>4986</v>
      </c>
      <c r="G16" s="0" t="n">
        <v>6.46231611690752</v>
      </c>
      <c r="I16" s="0" t="n">
        <v>3367</v>
      </c>
      <c r="J16" s="0" t="n">
        <v>4.36394271272115</v>
      </c>
      <c r="K16" s="0" t="n">
        <v>25.47</v>
      </c>
      <c r="L16" s="0" t="n">
        <v>5639</v>
      </c>
      <c r="M16" s="0" t="n">
        <v>964</v>
      </c>
      <c r="N16" s="0" t="n">
        <v>4675</v>
      </c>
      <c r="O16" s="0" t="n">
        <v>13728</v>
      </c>
      <c r="P16" s="0" t="n">
        <v>34969</v>
      </c>
      <c r="Q16" s="0" t="n">
        <v>21241</v>
      </c>
      <c r="R16" s="0" t="n">
        <v>6660</v>
      </c>
      <c r="S16" s="0" t="n">
        <v>4673</v>
      </c>
      <c r="T16" s="0" t="n">
        <v>133.012</v>
      </c>
      <c r="U16" s="0" t="n">
        <v>181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83064</v>
      </c>
      <c r="F17" s="0" t="n">
        <v>3148</v>
      </c>
      <c r="G17" s="0" t="n">
        <v>3.78984879129346</v>
      </c>
      <c r="H17" s="0" t="n">
        <v>3744</v>
      </c>
      <c r="I17" s="0" t="n">
        <v>2934</v>
      </c>
      <c r="J17" s="0" t="n">
        <v>3.53221612250795</v>
      </c>
      <c r="K17" s="0" t="n">
        <v>22.79</v>
      </c>
      <c r="L17" s="0" t="n">
        <v>2262</v>
      </c>
      <c r="M17" s="0" t="n">
        <v>1342</v>
      </c>
      <c r="N17" s="0" t="n">
        <v>920</v>
      </c>
      <c r="O17" s="0" t="n">
        <v>16103</v>
      </c>
      <c r="P17" s="0" t="n">
        <v>44358</v>
      </c>
      <c r="Q17" s="0" t="n">
        <v>28255</v>
      </c>
      <c r="R17" s="0" t="n">
        <v>12494</v>
      </c>
      <c r="S17" s="0" t="n">
        <v>3394</v>
      </c>
      <c r="T17" s="0" t="n">
        <v>129.396</v>
      </c>
      <c r="U17" s="0" t="n">
        <v>180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92870</v>
      </c>
      <c r="F18" s="0" t="n">
        <v>3800</v>
      </c>
      <c r="G18" s="0" t="n">
        <v>4.09174114353397</v>
      </c>
      <c r="H18" s="0" t="n">
        <v>4509</v>
      </c>
      <c r="I18" s="0" t="n">
        <v>2806</v>
      </c>
      <c r="J18" s="0" t="n">
        <v>3.0214278023043</v>
      </c>
      <c r="K18" s="0" t="n">
        <v>22.2</v>
      </c>
      <c r="L18" s="0" t="n">
        <v>4587</v>
      </c>
      <c r="M18" s="0" t="n">
        <v>1137</v>
      </c>
      <c r="N18" s="0" t="n">
        <v>3450</v>
      </c>
      <c r="O18" s="0" t="n">
        <v>15370</v>
      </c>
      <c r="P18" s="0" t="n">
        <v>43055</v>
      </c>
      <c r="Q18" s="0" t="n">
        <v>27685</v>
      </c>
      <c r="R18" s="0" t="n">
        <v>11126</v>
      </c>
      <c r="S18" s="0" t="n">
        <v>5061</v>
      </c>
      <c r="T18" s="0" t="n">
        <v>127.094</v>
      </c>
      <c r="U18" s="0" t="n">
        <v>216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106374</v>
      </c>
      <c r="F19" s="0" t="n">
        <v>4013</v>
      </c>
      <c r="G19" s="0" t="n">
        <v>3.77253840224115</v>
      </c>
      <c r="H19" s="0" t="n">
        <v>4792</v>
      </c>
      <c r="I19" s="0" t="n">
        <v>2489</v>
      </c>
      <c r="J19" s="0" t="n">
        <v>2.33985748397165</v>
      </c>
      <c r="K19" s="0" t="n">
        <v>20.09</v>
      </c>
      <c r="L19" s="0" t="n">
        <v>3981</v>
      </c>
      <c r="M19" s="0" t="n">
        <v>1004</v>
      </c>
      <c r="N19" s="0" t="n">
        <v>2977</v>
      </c>
      <c r="O19" s="0" t="n">
        <v>16318</v>
      </c>
      <c r="P19" s="0" t="n">
        <v>47065</v>
      </c>
      <c r="Q19" s="0" t="n">
        <v>30747</v>
      </c>
      <c r="R19" s="0" t="n">
        <v>11656</v>
      </c>
      <c r="S19" s="0" t="n">
        <v>4694</v>
      </c>
      <c r="T19" s="0" t="n">
        <v>124.441</v>
      </c>
      <c r="U19" s="0" t="n">
        <v>175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117761</v>
      </c>
      <c r="F20" s="0" t="n">
        <v>2562</v>
      </c>
      <c r="G20" s="0" t="n">
        <v>2.17559293823932</v>
      </c>
      <c r="H20" s="0" t="n">
        <v>3401</v>
      </c>
      <c r="I20" s="0" t="n">
        <v>1214</v>
      </c>
      <c r="J20" s="0" t="n">
        <v>1.03090157182769</v>
      </c>
      <c r="K20" s="0" t="n">
        <v>10.01</v>
      </c>
      <c r="L20" s="0" t="n">
        <v>2966</v>
      </c>
      <c r="M20" s="0" t="n">
        <v>575</v>
      </c>
      <c r="N20" s="0" t="n">
        <v>2391</v>
      </c>
      <c r="O20" s="0" t="n">
        <v>16445</v>
      </c>
      <c r="P20" s="0" t="n">
        <v>46479</v>
      </c>
      <c r="Q20" s="0" t="n">
        <v>30034</v>
      </c>
      <c r="R20" s="0" t="n">
        <v>11721</v>
      </c>
      <c r="S20" s="0" t="n">
        <v>2221</v>
      </c>
      <c r="T20" s="0" t="n">
        <v>120.869</v>
      </c>
      <c r="U20" s="0" t="n">
        <v>207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129664</v>
      </c>
      <c r="F21" s="0" t="n">
        <v>2704</v>
      </c>
      <c r="G21" s="0" t="n">
        <v>2.08538993089832</v>
      </c>
      <c r="H21" s="0" t="n">
        <v>3402</v>
      </c>
      <c r="I21" s="0" t="n">
        <v>1203</v>
      </c>
      <c r="J21" s="0" t="n">
        <v>0.927782576505429</v>
      </c>
      <c r="K21" s="0" t="n">
        <v>9.87</v>
      </c>
      <c r="L21" s="0" t="n">
        <v>921</v>
      </c>
      <c r="M21" s="0" t="n">
        <v>546</v>
      </c>
      <c r="N21" s="0" t="n">
        <v>375</v>
      </c>
      <c r="O21" s="0" t="n">
        <v>17737</v>
      </c>
      <c r="P21" s="0" t="n">
        <v>48909</v>
      </c>
      <c r="Q21" s="0" t="n">
        <v>31172</v>
      </c>
      <c r="R21" s="0" t="n">
        <v>12369</v>
      </c>
      <c r="S21" s="0" t="n">
        <v>4200</v>
      </c>
      <c r="T21" s="0" t="n">
        <v>120.826</v>
      </c>
      <c r="U21" s="0" t="n">
        <v>241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389.63</v>
      </c>
    </row>
    <row r="3" customFormat="false" ht="15" hidden="false" customHeight="false" outlineLevel="0" collapsed="false">
      <c r="A3" s="0" t="s">
        <v>86</v>
      </c>
      <c r="B3" s="3" t="n">
        <v>121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129664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20</v>
      </c>
      <c r="D13" s="3" t="n">
        <v>3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3</v>
      </c>
      <c r="K13" s="3" t="n">
        <v>3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0.89</v>
      </c>
      <c r="D14" s="3" t="n">
        <v>1.19</v>
      </c>
      <c r="E14" s="3" t="n">
        <v>1.69</v>
      </c>
      <c r="F14" s="3" t="n">
        <v>2.09</v>
      </c>
      <c r="G14" s="3" t="n">
        <v>2.19</v>
      </c>
      <c r="H14" s="3" t="n">
        <v>2.19</v>
      </c>
      <c r="I14" s="3" t="n">
        <v>2.19</v>
      </c>
      <c r="J14" s="3" t="n">
        <v>2.19</v>
      </c>
      <c r="K14" s="3" t="n">
        <v>2.19</v>
      </c>
      <c r="L14" s="3" t="n">
        <v>2.19</v>
      </c>
    </row>
    <row r="15" customFormat="false" ht="15" hidden="false" customHeight="false" outlineLevel="0" collapsed="false">
      <c r="A15" s="0" t="s">
        <v>108</v>
      </c>
      <c r="C15" s="3" t="n">
        <v>0.19</v>
      </c>
      <c r="D15" s="3" t="n">
        <v>0.19</v>
      </c>
      <c r="E15" s="3" t="n">
        <v>0.19</v>
      </c>
      <c r="F15" s="3" t="n">
        <v>0.19</v>
      </c>
      <c r="G15" s="3" t="n">
        <v>0.19</v>
      </c>
      <c r="H15" s="3" t="n">
        <v>0.19</v>
      </c>
      <c r="I15" s="3" t="n">
        <v>0.19</v>
      </c>
      <c r="J15" s="3" t="n">
        <v>0.19</v>
      </c>
      <c r="K15" s="3" t="n">
        <v>0.19</v>
      </c>
      <c r="L15" s="3" t="n">
        <v>0.19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111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112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13</v>
      </c>
    </row>
    <row r="23" customFormat="false" ht="15" hidden="false" customHeight="false" outlineLevel="0" collapsed="false">
      <c r="A23" s="0" t="s">
        <v>116</v>
      </c>
      <c r="B23" s="3" t="n">
        <v>-5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22</v>
      </c>
      <c r="D27" s="3" t="n">
        <v>6</v>
      </c>
      <c r="E27" s="3" t="n">
        <v>5</v>
      </c>
      <c r="F27" s="3" t="n">
        <v>5</v>
      </c>
      <c r="G27" s="3" t="n">
        <v>4.5</v>
      </c>
      <c r="H27" s="3" t="n">
        <v>4</v>
      </c>
      <c r="I27" s="3" t="n">
        <v>4</v>
      </c>
      <c r="J27" s="3" t="n">
        <v>3.5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1.04</v>
      </c>
      <c r="D28" s="3" t="n">
        <v>1.79</v>
      </c>
      <c r="E28" s="3" t="n">
        <v>2.69</v>
      </c>
      <c r="F28" s="3" t="n">
        <v>3.09</v>
      </c>
      <c r="G28" s="3" t="n">
        <v>3.19</v>
      </c>
      <c r="H28" s="3" t="n">
        <v>3.19</v>
      </c>
      <c r="I28" s="3" t="n">
        <v>3.19</v>
      </c>
      <c r="J28" s="3" t="n">
        <v>3.19</v>
      </c>
      <c r="K28" s="3" t="n">
        <v>3.19</v>
      </c>
      <c r="L28" s="3" t="n">
        <v>3.19</v>
      </c>
    </row>
    <row r="29" customFormat="false" ht="15" hidden="false" customHeight="false" outlineLevel="0" collapsed="false">
      <c r="A29" s="0" t="s">
        <v>108</v>
      </c>
      <c r="C29" s="3" t="n">
        <v>0.19</v>
      </c>
      <c r="D29" s="3" t="n">
        <v>0.19</v>
      </c>
      <c r="E29" s="3" t="n">
        <v>0.19</v>
      </c>
      <c r="F29" s="3" t="n">
        <v>0.19</v>
      </c>
      <c r="G29" s="3" t="n">
        <v>0.19</v>
      </c>
      <c r="H29" s="3" t="n">
        <v>0.19</v>
      </c>
      <c r="I29" s="3" t="n">
        <v>0.19</v>
      </c>
      <c r="J29" s="3" t="n">
        <v>0.19</v>
      </c>
      <c r="K29" s="3" t="n">
        <v>0.19</v>
      </c>
      <c r="L29" s="3" t="n">
        <v>0.19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111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112</v>
      </c>
      <c r="C33" s="3" t="n">
        <v>24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15</v>
      </c>
    </row>
    <row r="37" customFormat="false" ht="15" hidden="false" customHeight="false" outlineLevel="0" collapsed="false">
      <c r="A37" s="0" t="s">
        <v>116</v>
      </c>
      <c r="B37" s="3" t="n">
        <v>-5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23</v>
      </c>
      <c r="D41" s="3" t="n">
        <v>8</v>
      </c>
      <c r="E41" s="3" t="n">
        <v>7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1.14</v>
      </c>
      <c r="D42" s="3" t="n">
        <v>2.19</v>
      </c>
      <c r="E42" s="3" t="n">
        <v>3.49</v>
      </c>
      <c r="F42" s="3" t="n">
        <v>3.89</v>
      </c>
      <c r="G42" s="3" t="n">
        <v>3.99</v>
      </c>
      <c r="H42" s="3" t="n">
        <v>3.99</v>
      </c>
      <c r="I42" s="3" t="n">
        <v>3.99</v>
      </c>
      <c r="J42" s="3" t="n">
        <v>3.99</v>
      </c>
      <c r="K42" s="3" t="n">
        <v>3.99</v>
      </c>
      <c r="L42" s="3" t="n">
        <v>3.99</v>
      </c>
    </row>
    <row r="43" customFormat="false" ht="15" hidden="false" customHeight="false" outlineLevel="0" collapsed="false">
      <c r="A43" s="0" t="s">
        <v>108</v>
      </c>
      <c r="C43" s="3" t="n">
        <v>0.19</v>
      </c>
      <c r="D43" s="3" t="n">
        <v>0.19</v>
      </c>
      <c r="E43" s="3" t="n">
        <v>0.19</v>
      </c>
      <c r="F43" s="3" t="n">
        <v>0.19</v>
      </c>
      <c r="G43" s="3" t="n">
        <v>0.19</v>
      </c>
      <c r="H43" s="3" t="n">
        <v>0.19</v>
      </c>
      <c r="I43" s="3" t="n">
        <v>0.19</v>
      </c>
      <c r="J43" s="3" t="n">
        <v>0.19</v>
      </c>
      <c r="K43" s="3" t="n">
        <v>0.19</v>
      </c>
      <c r="L43" s="3" t="n">
        <v>0.19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111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112</v>
      </c>
      <c r="C47" s="3" t="n">
        <v>24</v>
      </c>
      <c r="D47" s="3" t="n">
        <v>24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16</v>
      </c>
    </row>
    <row r="51" customFormat="false" ht="15" hidden="false" customHeight="false" outlineLevel="0" collapsed="false">
      <c r="A51" s="0" t="s">
        <v>116</v>
      </c>
      <c r="B51" s="3" t="n">
        <v>-5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20</v>
      </c>
      <c r="D5" s="4" t="n">
        <f aca="false">Assumptions!D13</f>
        <v>3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129664</v>
      </c>
      <c r="C6" s="0" t="n">
        <f aca="false">B6*(1+C5/100)</f>
        <v>155596.8</v>
      </c>
      <c r="D6" s="0" t="n">
        <f aca="false">C6*(1+D5/100)</f>
        <v>160264.704</v>
      </c>
      <c r="E6" s="0" t="n">
        <f aca="false">D6*(1+E5/100)</f>
        <v>163469.99808</v>
      </c>
      <c r="F6" s="0" t="n">
        <f aca="false">E6*(1+F5/100)</f>
        <v>168374.0980224</v>
      </c>
      <c r="G6" s="0" t="n">
        <f aca="false">F6*(1+G5/100)</f>
        <v>173425.320963072</v>
      </c>
      <c r="H6" s="0" t="n">
        <f aca="false">G6*(1+H5/100)</f>
        <v>178628.080591964</v>
      </c>
      <c r="I6" s="0" t="n">
        <f aca="false">H6*(1+I5/100)</f>
        <v>183986.923009723</v>
      </c>
      <c r="J6" s="0" t="n">
        <f aca="false">I6*(1+J5/100)</f>
        <v>189506.530700015</v>
      </c>
      <c r="K6" s="0" t="n">
        <f aca="false">J6*(1+K5/100)</f>
        <v>195191.726621015</v>
      </c>
      <c r="L6" s="0" t="n">
        <f aca="false">K6*(1+L5/100)</f>
        <v>200071.519786541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0.89</v>
      </c>
      <c r="D7" s="4" t="n">
        <f aca="false">Assumptions!D14</f>
        <v>1.19</v>
      </c>
      <c r="E7" s="4" t="n">
        <f aca="false">Assumptions!E14</f>
        <v>1.69</v>
      </c>
      <c r="F7" s="4" t="n">
        <f aca="false">Assumptions!F14</f>
        <v>2.09</v>
      </c>
      <c r="G7" s="4" t="n">
        <f aca="false">Assumptions!G14</f>
        <v>2.19</v>
      </c>
      <c r="H7" s="4" t="n">
        <f aca="false">Assumptions!H14</f>
        <v>2.19</v>
      </c>
      <c r="I7" s="4" t="n">
        <f aca="false">Assumptions!I14</f>
        <v>2.19</v>
      </c>
      <c r="J7" s="4" t="n">
        <f aca="false">Assumptions!J14</f>
        <v>2.19</v>
      </c>
      <c r="K7" s="4" t="n">
        <f aca="false">Assumptions!K14</f>
        <v>2.19</v>
      </c>
      <c r="L7" s="4" t="n">
        <f aca="false">Assumptions!L14</f>
        <v>2.19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1384.81152</v>
      </c>
      <c r="D8" s="0" t="n">
        <f aca="false">D6*D7/100</f>
        <v>1907.1499776</v>
      </c>
      <c r="E8" s="0" t="n">
        <f aca="false">E6*E7/100</f>
        <v>2762.642967552</v>
      </c>
      <c r="F8" s="0" t="n">
        <f aca="false">F6*F7/100</f>
        <v>3519.01864866816</v>
      </c>
      <c r="G8" s="0" t="n">
        <f aca="false">G6*G7/100</f>
        <v>3798.01452909128</v>
      </c>
      <c r="H8" s="0" t="n">
        <f aca="false">H6*H7/100</f>
        <v>3911.95496496402</v>
      </c>
      <c r="I8" s="0" t="n">
        <f aca="false">I6*I7/100</f>
        <v>4029.31361391294</v>
      </c>
      <c r="J8" s="0" t="n">
        <f aca="false">J6*J7/100</f>
        <v>4150.19302233032</v>
      </c>
      <c r="K8" s="0" t="n">
        <f aca="false">K6*K7/100</f>
        <v>4274.69881300023</v>
      </c>
      <c r="L8" s="0" t="n">
        <f aca="false">L6*L7/100</f>
        <v>4381.56628332524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0.19</v>
      </c>
      <c r="D9" s="4" t="n">
        <f aca="false">Assumptions!D15</f>
        <v>0.19</v>
      </c>
      <c r="E9" s="4" t="n">
        <f aca="false">Assumptions!E15</f>
        <v>0.19</v>
      </c>
      <c r="F9" s="4" t="n">
        <f aca="false">Assumptions!F15</f>
        <v>0.19</v>
      </c>
      <c r="G9" s="4" t="n">
        <f aca="false">Assumptions!G15</f>
        <v>0.19</v>
      </c>
      <c r="H9" s="4" t="n">
        <f aca="false">Assumptions!H15</f>
        <v>0.19</v>
      </c>
      <c r="I9" s="4" t="n">
        <f aca="false">Assumptions!I15</f>
        <v>0.19</v>
      </c>
      <c r="J9" s="4" t="n">
        <f aca="false">Assumptions!J15</f>
        <v>0.19</v>
      </c>
      <c r="K9" s="4" t="n">
        <f aca="false">Assumptions!K15</f>
        <v>0.19</v>
      </c>
      <c r="L9" s="4" t="n">
        <f aca="false">Assumptions!L15</f>
        <v>0.19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-295.63392</v>
      </c>
      <c r="D10" s="0" t="n">
        <f aca="false">-D6*D9/100</f>
        <v>-304.5029376</v>
      </c>
      <c r="E10" s="0" t="n">
        <f aca="false">-E6*E9/100</f>
        <v>-310.592996352</v>
      </c>
      <c r="F10" s="0" t="n">
        <f aca="false">-F6*F9/100</f>
        <v>-319.91078624256</v>
      </c>
      <c r="G10" s="0" t="n">
        <f aca="false">-G6*G9/100</f>
        <v>-329.508109829837</v>
      </c>
      <c r="H10" s="0" t="n">
        <f aca="false">-H6*H9/100</f>
        <v>-339.393353124732</v>
      </c>
      <c r="I10" s="0" t="n">
        <f aca="false">-I6*I9/100</f>
        <v>-349.575153718474</v>
      </c>
      <c r="J10" s="0" t="n">
        <f aca="false">-J6*J9/100</f>
        <v>-360.062408330028</v>
      </c>
      <c r="K10" s="0" t="n">
        <f aca="false">-K6*K9/100</f>
        <v>-370.864280579929</v>
      </c>
      <c r="L10" s="0" t="n">
        <f aca="false">-L6*L9/100</f>
        <v>-380.135887594427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1089.1776</v>
      </c>
      <c r="D11" s="0" t="n">
        <f aca="false">D8+D10+D24</f>
        <v>1602.64704</v>
      </c>
      <c r="E11" s="0" t="n">
        <f aca="false">E8+E10+E24</f>
        <v>2452.0499712</v>
      </c>
      <c r="F11" s="0" t="n">
        <f aca="false">F8+F10+F24</f>
        <v>3199.1078624256</v>
      </c>
      <c r="G11" s="0" t="n">
        <f aca="false">G8+G10+G24</f>
        <v>3468.50641926144</v>
      </c>
      <c r="H11" s="0" t="n">
        <f aca="false">H8+H10+H24</f>
        <v>3572.56161183928</v>
      </c>
      <c r="I11" s="0" t="n">
        <f aca="false">I8+I10+I24</f>
        <v>3679.73846019446</v>
      </c>
      <c r="J11" s="0" t="n">
        <f aca="false">J8+J10+J24</f>
        <v>3790.1306140003</v>
      </c>
      <c r="K11" s="0" t="n">
        <f aca="false">K8+K10+K24</f>
        <v>3903.8345324203</v>
      </c>
      <c r="L11" s="0" t="n">
        <f aca="false">L8+L10+L24</f>
        <v>4001.43039573081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1089.1776</v>
      </c>
      <c r="D13" s="0" t="n">
        <f aca="false">D11+D12</f>
        <v>1602.64704</v>
      </c>
      <c r="E13" s="0" t="n">
        <f aca="false">E11+E12</f>
        <v>2452.0499712</v>
      </c>
      <c r="F13" s="0" t="n">
        <f aca="false">F11+F12</f>
        <v>3199.1078624256</v>
      </c>
      <c r="G13" s="0" t="n">
        <f aca="false">G11+G12</f>
        <v>3468.50641926144</v>
      </c>
      <c r="H13" s="0" t="n">
        <f aca="false">H11+H12</f>
        <v>3572.56161183928</v>
      </c>
      <c r="I13" s="0" t="n">
        <f aca="false">I11+I12</f>
        <v>3679.73846019446</v>
      </c>
      <c r="J13" s="0" t="n">
        <f aca="false">J11+J12</f>
        <v>3790.1306140003</v>
      </c>
      <c r="K13" s="0" t="n">
        <f aca="false">K11+K12</f>
        <v>3903.8345324203</v>
      </c>
      <c r="L13" s="0" t="n">
        <f aca="false">L11+L12</f>
        <v>4001.43039573081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827.774976</v>
      </c>
      <c r="D15" s="0" t="n">
        <f aca="false">D13-MAX(0,D13)*D14/100</f>
        <v>1218.0117504</v>
      </c>
      <c r="E15" s="0" t="n">
        <f aca="false">E13-MAX(0,E13)*E14/100</f>
        <v>1863.557978112</v>
      </c>
      <c r="F15" s="0" t="n">
        <f aca="false">F13-MAX(0,F13)*F14/100</f>
        <v>2431.32197544346</v>
      </c>
      <c r="G15" s="0" t="n">
        <f aca="false">G13-MAX(0,G13)*G14/100</f>
        <v>2636.06487863869</v>
      </c>
      <c r="H15" s="0" t="n">
        <f aca="false">H13-MAX(0,H13)*H14/100</f>
        <v>2715.14682499786</v>
      </c>
      <c r="I15" s="0" t="n">
        <f aca="false">I13-MAX(0,I13)*I14/100</f>
        <v>2796.60122974779</v>
      </c>
      <c r="J15" s="0" t="n">
        <f aca="false">J13-MAX(0,J13)*J14/100</f>
        <v>2880.49926664023</v>
      </c>
      <c r="K15" s="0" t="n">
        <f aca="false">K13-MAX(0,K13)*K14/100</f>
        <v>2966.91424463943</v>
      </c>
      <c r="L15" s="0" t="n">
        <f aca="false">L13-MAX(0,L13)*L14/100</f>
        <v>3041.08710075542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-1296.64</v>
      </c>
      <c r="D18" s="4" t="n">
        <f aca="false">(D6-C6)*Assumptions!$B$23/100</f>
        <v>-233.3952</v>
      </c>
      <c r="E18" s="4" t="n">
        <f aca="false">(E6-D6)*Assumptions!$B$23/100</f>
        <v>-160.264704</v>
      </c>
      <c r="F18" s="4" t="n">
        <f aca="false">(F6-E6)*Assumptions!$B$23/100</f>
        <v>-245.20499712</v>
      </c>
      <c r="G18" s="4" t="n">
        <f aca="false">(G6-F6)*Assumptions!$B$23/100</f>
        <v>-252.561147033601</v>
      </c>
      <c r="H18" s="4" t="n">
        <f aca="false">(H6-G6)*Assumptions!$B$23/100</f>
        <v>-260.137981444609</v>
      </c>
      <c r="I18" s="4" t="n">
        <f aca="false">(I6-H6)*Assumptions!$B$23/100</f>
        <v>-267.942120887946</v>
      </c>
      <c r="J18" s="4" t="n">
        <f aca="false">(J6-I6)*Assumptions!$B$23/100</f>
        <v>-275.980384514586</v>
      </c>
      <c r="K18" s="4" t="n">
        <f aca="false">(K6-J6)*Assumptions!$B$23/100</f>
        <v>-284.259796050022</v>
      </c>
      <c r="L18" s="4" t="n">
        <f aca="false">(L6-K6)*Assumptions!$B$23/100</f>
        <v>-243.989658276268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-468.865024</v>
      </c>
      <c r="D19" s="0" t="n">
        <f aca="false">D15+D16+D17+D18</f>
        <v>984.6165504</v>
      </c>
      <c r="E19" s="0" t="n">
        <f aca="false">E15+E16+E17+E18</f>
        <v>1703.293274112</v>
      </c>
      <c r="F19" s="0" t="n">
        <f aca="false">F15+F16+F17+F18</f>
        <v>2186.11697832346</v>
      </c>
      <c r="G19" s="0" t="n">
        <f aca="false">G15+G16+G17+G18</f>
        <v>2383.50373160509</v>
      </c>
      <c r="H19" s="0" t="n">
        <f aca="false">H15+H16+H17+H18</f>
        <v>2455.00884355325</v>
      </c>
      <c r="I19" s="0" t="n">
        <f aca="false">I15+I16+I17+I18</f>
        <v>2528.65910885985</v>
      </c>
      <c r="J19" s="0" t="n">
        <f aca="false">J15+J16+J17+J18</f>
        <v>2604.51888212564</v>
      </c>
      <c r="K19" s="0" t="n">
        <f aca="false">K15+K16+K17+K18</f>
        <v>2682.65444858941</v>
      </c>
      <c r="L19" s="0" t="n">
        <f aca="false">L15+L16+L17+L18</f>
        <v>2797.09744247915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-430.151398165137</v>
      </c>
      <c r="D21" s="0" t="n">
        <f aca="false">D19*D20</f>
        <v>828.732051510815</v>
      </c>
      <c r="E21" s="0" t="n">
        <f aca="false">E19*E20</f>
        <v>1315.25492796841</v>
      </c>
      <c r="F21" s="0" t="n">
        <f aca="false">F19*F20</f>
        <v>1548.700381782</v>
      </c>
      <c r="G21" s="0" t="n">
        <f aca="false">G19*G20</f>
        <v>1549.11388452938</v>
      </c>
      <c r="H21" s="0" t="n">
        <f aca="false">H19*H20</f>
        <v>1463.84156061033</v>
      </c>
      <c r="I21" s="0" t="n">
        <f aca="false">I19*I20</f>
        <v>1383.26312608132</v>
      </c>
      <c r="J21" s="0" t="n">
        <f aca="false">J19*J20</f>
        <v>1307.12020170987</v>
      </c>
      <c r="K21" s="0" t="n">
        <f aca="false">K19*K20</f>
        <v>1235.16863097355</v>
      </c>
      <c r="L21" s="0" t="n">
        <f aca="false">L19*L20</f>
        <v>1181.52418764349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11382.567554644</v>
      </c>
    </row>
    <row r="31" customFormat="false" ht="15" hidden="false" customHeight="false" outlineLevel="0" collapsed="false">
      <c r="A31" s="0" t="s">
        <v>137</v>
      </c>
      <c r="B31" s="0" t="n">
        <f aca="false">L19</f>
        <v>2797.09744247915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44108.0750544789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36362.266752229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36362.266752229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15359.8144393653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26742.3819940093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26742.3819940093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221.011421438094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-0.432765902425138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2113.77477317052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2532.120687446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259.407251691123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22936.199028329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114.698756980824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22</v>
      </c>
      <c r="D5" s="4" t="n">
        <f aca="false">Assumptions!D27</f>
        <v>6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129664</v>
      </c>
      <c r="C6" s="0" t="n">
        <f aca="false">B6*(1+C5/100)</f>
        <v>158190.08</v>
      </c>
      <c r="D6" s="0" t="n">
        <f aca="false">C6*(1+D5/100)</f>
        <v>167681.4848</v>
      </c>
      <c r="E6" s="0" t="n">
        <f aca="false">D6*(1+E5/100)</f>
        <v>176065.55904</v>
      </c>
      <c r="F6" s="0" t="n">
        <f aca="false">E6*(1+F5/100)</f>
        <v>184868.836992</v>
      </c>
      <c r="G6" s="0" t="n">
        <f aca="false">F6*(1+G5/100)</f>
        <v>193187.93465664</v>
      </c>
      <c r="H6" s="0" t="n">
        <f aca="false">G6*(1+H5/100)</f>
        <v>200915.452042906</v>
      </c>
      <c r="I6" s="0" t="n">
        <f aca="false">H6*(1+I5/100)</f>
        <v>208952.070124622</v>
      </c>
      <c r="J6" s="0" t="n">
        <f aca="false">I6*(1+J5/100)</f>
        <v>216265.392578984</v>
      </c>
      <c r="K6" s="0" t="n">
        <f aca="false">J6*(1+K5/100)</f>
        <v>223834.681319248</v>
      </c>
      <c r="L6" s="0" t="n">
        <f aca="false">K6*(1+L5/100)</f>
        <v>230549.721758825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1.04</v>
      </c>
      <c r="D7" s="4" t="n">
        <f aca="false">Assumptions!D28</f>
        <v>1.79</v>
      </c>
      <c r="E7" s="4" t="n">
        <f aca="false">Assumptions!E28</f>
        <v>2.69</v>
      </c>
      <c r="F7" s="4" t="n">
        <f aca="false">Assumptions!F28</f>
        <v>3.09</v>
      </c>
      <c r="G7" s="4" t="n">
        <f aca="false">Assumptions!G28</f>
        <v>3.19</v>
      </c>
      <c r="H7" s="4" t="n">
        <f aca="false">Assumptions!H28</f>
        <v>3.19</v>
      </c>
      <c r="I7" s="4" t="n">
        <f aca="false">Assumptions!I28</f>
        <v>3.19</v>
      </c>
      <c r="J7" s="4" t="n">
        <f aca="false">Assumptions!J28</f>
        <v>3.19</v>
      </c>
      <c r="K7" s="4" t="n">
        <f aca="false">Assumptions!K28</f>
        <v>3.19</v>
      </c>
      <c r="L7" s="4" t="n">
        <f aca="false">Assumptions!L28</f>
        <v>3.19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1645.176832</v>
      </c>
      <c r="D8" s="0" t="n">
        <f aca="false">D6*D7/100</f>
        <v>3001.49857792</v>
      </c>
      <c r="E8" s="0" t="n">
        <f aca="false">E6*E7/100</f>
        <v>4736.163538176</v>
      </c>
      <c r="F8" s="0" t="n">
        <f aca="false">F6*F7/100</f>
        <v>5712.4470630528</v>
      </c>
      <c r="G8" s="0" t="n">
        <f aca="false">G6*G7/100</f>
        <v>6162.69511554682</v>
      </c>
      <c r="H8" s="0" t="n">
        <f aca="false">H6*H7/100</f>
        <v>6409.20292016869</v>
      </c>
      <c r="I8" s="0" t="n">
        <f aca="false">I6*I7/100</f>
        <v>6665.57103697544</v>
      </c>
      <c r="J8" s="0" t="n">
        <f aca="false">J6*J7/100</f>
        <v>6898.86602326958</v>
      </c>
      <c r="K8" s="0" t="n">
        <f aca="false">K6*K7/100</f>
        <v>7140.32633408401</v>
      </c>
      <c r="L8" s="0" t="n">
        <f aca="false">L6*L7/100</f>
        <v>7354.53612410653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0.19</v>
      </c>
      <c r="D9" s="4" t="n">
        <f aca="false">Assumptions!D29</f>
        <v>0.19</v>
      </c>
      <c r="E9" s="4" t="n">
        <f aca="false">Assumptions!E29</f>
        <v>0.19</v>
      </c>
      <c r="F9" s="4" t="n">
        <f aca="false">Assumptions!F29</f>
        <v>0.19</v>
      </c>
      <c r="G9" s="4" t="n">
        <f aca="false">Assumptions!G29</f>
        <v>0.19</v>
      </c>
      <c r="H9" s="4" t="n">
        <f aca="false">Assumptions!H29</f>
        <v>0.19</v>
      </c>
      <c r="I9" s="4" t="n">
        <f aca="false">Assumptions!I29</f>
        <v>0.19</v>
      </c>
      <c r="J9" s="4" t="n">
        <f aca="false">Assumptions!J29</f>
        <v>0.19</v>
      </c>
      <c r="K9" s="4" t="n">
        <f aca="false">Assumptions!K29</f>
        <v>0.19</v>
      </c>
      <c r="L9" s="4" t="n">
        <f aca="false">Assumptions!L29</f>
        <v>0.19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-300.561152</v>
      </c>
      <c r="D10" s="0" t="n">
        <f aca="false">-D6*D9/100</f>
        <v>-318.59482112</v>
      </c>
      <c r="E10" s="0" t="n">
        <f aca="false">-E6*E9/100</f>
        <v>-334.524562176</v>
      </c>
      <c r="F10" s="0" t="n">
        <f aca="false">-F6*F9/100</f>
        <v>-351.2507902848</v>
      </c>
      <c r="G10" s="0" t="n">
        <f aca="false">-G6*G9/100</f>
        <v>-367.057075847616</v>
      </c>
      <c r="H10" s="0" t="n">
        <f aca="false">-H6*H9/100</f>
        <v>-381.739358881521</v>
      </c>
      <c r="I10" s="0" t="n">
        <f aca="false">-I6*I9/100</f>
        <v>-397.008933236782</v>
      </c>
      <c r="J10" s="0" t="n">
        <f aca="false">-J6*J9/100</f>
        <v>-410.904245900069</v>
      </c>
      <c r="K10" s="0" t="n">
        <f aca="false">-K6*K9/100</f>
        <v>-425.285894506571</v>
      </c>
      <c r="L10" s="0" t="n">
        <f aca="false">-L6*L9/100</f>
        <v>-438.044471341768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1344.61568</v>
      </c>
      <c r="D11" s="0" t="n">
        <f aca="false">D8+D10+D24</f>
        <v>2682.9037568</v>
      </c>
      <c r="E11" s="0" t="n">
        <f aca="false">E8+E10+E24</f>
        <v>4401.638976</v>
      </c>
      <c r="F11" s="0" t="n">
        <f aca="false">F8+F10+F24</f>
        <v>5361.196272768</v>
      </c>
      <c r="G11" s="0" t="n">
        <f aca="false">G8+G10+G24</f>
        <v>5795.6380396992</v>
      </c>
      <c r="H11" s="0" t="n">
        <f aca="false">H8+H10+H24</f>
        <v>6027.46356128717</v>
      </c>
      <c r="I11" s="0" t="n">
        <f aca="false">I8+I10+I24</f>
        <v>6268.56210373866</v>
      </c>
      <c r="J11" s="0" t="n">
        <f aca="false">J8+J10+J24</f>
        <v>6487.96177736951</v>
      </c>
      <c r="K11" s="0" t="n">
        <f aca="false">K8+K10+K24</f>
        <v>6715.04043957744</v>
      </c>
      <c r="L11" s="0" t="n">
        <f aca="false">L8+L10+L24</f>
        <v>6916.49165276476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1344.61568</v>
      </c>
      <c r="D13" s="0" t="n">
        <f aca="false">D11+D12</f>
        <v>2682.9037568</v>
      </c>
      <c r="E13" s="0" t="n">
        <f aca="false">E11+E12</f>
        <v>4401.638976</v>
      </c>
      <c r="F13" s="0" t="n">
        <f aca="false">F11+F12</f>
        <v>5361.196272768</v>
      </c>
      <c r="G13" s="0" t="n">
        <f aca="false">G11+G12</f>
        <v>5795.6380396992</v>
      </c>
      <c r="H13" s="0" t="n">
        <f aca="false">H11+H12</f>
        <v>6027.46356128717</v>
      </c>
      <c r="I13" s="0" t="n">
        <f aca="false">I11+I12</f>
        <v>6268.56210373866</v>
      </c>
      <c r="J13" s="0" t="n">
        <f aca="false">J11+J12</f>
        <v>6487.96177736951</v>
      </c>
      <c r="K13" s="0" t="n">
        <f aca="false">K11+K12</f>
        <v>6715.04043957744</v>
      </c>
      <c r="L13" s="0" t="n">
        <f aca="false">L11+L12</f>
        <v>6916.49165276476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1021.9079168</v>
      </c>
      <c r="D15" s="0" t="n">
        <f aca="false">D13-MAX(0,D13)*D14/100</f>
        <v>2039.006855168</v>
      </c>
      <c r="E15" s="0" t="n">
        <f aca="false">E13-MAX(0,E13)*E14/100</f>
        <v>3345.24562176</v>
      </c>
      <c r="F15" s="0" t="n">
        <f aca="false">F13-MAX(0,F13)*F14/100</f>
        <v>4074.50916730368</v>
      </c>
      <c r="G15" s="0" t="n">
        <f aca="false">G13-MAX(0,G13)*G14/100</f>
        <v>4404.68491017139</v>
      </c>
      <c r="H15" s="0" t="n">
        <f aca="false">H13-MAX(0,H13)*H14/100</f>
        <v>4580.87230657825</v>
      </c>
      <c r="I15" s="0" t="n">
        <f aca="false">I13-MAX(0,I13)*I14/100</f>
        <v>4764.10719884138</v>
      </c>
      <c r="J15" s="0" t="n">
        <f aca="false">J13-MAX(0,J13)*J14/100</f>
        <v>4930.85095080083</v>
      </c>
      <c r="K15" s="0" t="n">
        <f aca="false">K13-MAX(0,K13)*K14/100</f>
        <v>5103.43073407885</v>
      </c>
      <c r="L15" s="0" t="n">
        <f aca="false">L13-MAX(0,L13)*L14/100</f>
        <v>5256.53365610122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-1426.304</v>
      </c>
      <c r="D18" s="4" t="n">
        <f aca="false">(D6-C6)*Assumptions!$B$37/100</f>
        <v>-474.570240000001</v>
      </c>
      <c r="E18" s="4" t="n">
        <f aca="false">(E6-D6)*Assumptions!$B$37/100</f>
        <v>-419.203712000001</v>
      </c>
      <c r="F18" s="4" t="n">
        <f aca="false">(F6-E6)*Assumptions!$B$37/100</f>
        <v>-440.1638976</v>
      </c>
      <c r="G18" s="4" t="n">
        <f aca="false">(G6-F6)*Assumptions!$B$37/100</f>
        <v>-415.954883232</v>
      </c>
      <c r="H18" s="4" t="n">
        <f aca="false">(H6-G6)*Assumptions!$B$37/100</f>
        <v>-386.37586931328</v>
      </c>
      <c r="I18" s="4" t="n">
        <f aca="false">(I6-H6)*Assumptions!$B$37/100</f>
        <v>-401.830904085812</v>
      </c>
      <c r="J18" s="4" t="n">
        <f aca="false">(J6-I6)*Assumptions!$B$37/100</f>
        <v>-365.666122718087</v>
      </c>
      <c r="K18" s="4" t="n">
        <f aca="false">(K6-J6)*Assumptions!$B$37/100</f>
        <v>-378.46443701322</v>
      </c>
      <c r="L18" s="4" t="n">
        <f aca="false">(L6-K6)*Assumptions!$B$37/100</f>
        <v>-335.752021978873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-404.396083199999</v>
      </c>
      <c r="D19" s="0" t="n">
        <f aca="false">D15+D16+D17+D18</f>
        <v>1564.436615168</v>
      </c>
      <c r="E19" s="0" t="n">
        <f aca="false">E15+E16+E17+E18</f>
        <v>2926.04190976</v>
      </c>
      <c r="F19" s="0" t="n">
        <f aca="false">F15+F16+F17+F18</f>
        <v>3634.34526970368</v>
      </c>
      <c r="G19" s="0" t="n">
        <f aca="false">G15+G16+G17+G18</f>
        <v>3988.73002693939</v>
      </c>
      <c r="H19" s="0" t="n">
        <f aca="false">H15+H16+H17+H18</f>
        <v>4194.49643726497</v>
      </c>
      <c r="I19" s="0" t="n">
        <f aca="false">I15+I16+I17+I18</f>
        <v>4362.27629475557</v>
      </c>
      <c r="J19" s="0" t="n">
        <f aca="false">J15+J16+J17+J18</f>
        <v>4565.18482808274</v>
      </c>
      <c r="K19" s="0" t="n">
        <f aca="false">K15+K16+K17+K18</f>
        <v>4724.96629706563</v>
      </c>
      <c r="L19" s="0" t="n">
        <f aca="false">L15+L16+L17+L18</f>
        <v>4920.78163412235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-371.005580917431</v>
      </c>
      <c r="D21" s="0" t="n">
        <f aca="false">D19*D20</f>
        <v>1316.75499972056</v>
      </c>
      <c r="E21" s="0" t="n">
        <f aca="false">E19*E20</f>
        <v>2259.441224683</v>
      </c>
      <c r="F21" s="0" t="n">
        <f aca="false">F19*F20</f>
        <v>2574.66181477363</v>
      </c>
      <c r="G21" s="0" t="n">
        <f aca="false">G19*G20</f>
        <v>2592.40083597856</v>
      </c>
      <c r="H21" s="0" t="n">
        <f aca="false">H19*H20</f>
        <v>2501.04117825238</v>
      </c>
      <c r="I21" s="0" t="n">
        <f aca="false">I19*I20</f>
        <v>2386.31451869952</v>
      </c>
      <c r="J21" s="0" t="n">
        <f aca="false">J19*J20</f>
        <v>2291.11232568845</v>
      </c>
      <c r="K21" s="0" t="n">
        <f aca="false">K19*K20</f>
        <v>2175.50574044729</v>
      </c>
      <c r="L21" s="0" t="n">
        <f aca="false">L19*L20</f>
        <v>2078.59134062711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19804.818397953</v>
      </c>
    </row>
    <row r="31" customFormat="false" ht="15" hidden="false" customHeight="false" outlineLevel="0" collapsed="false">
      <c r="A31" s="0" t="s">
        <v>137</v>
      </c>
      <c r="B31" s="0" t="n">
        <f aca="false">L19</f>
        <v>4920.78163412235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84473.4180524336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73811.7245118352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73811.7245118352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31178.8701094066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50983.6885073597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50983.6885073597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421.352797581485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0.0814177490991062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2321.47356595804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3176.42933589237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466.790011646364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42236.7090262168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204.642216558321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23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129664</v>
      </c>
      <c r="C6" s="0" t="n">
        <f aca="false">B6*(1+C5/100)</f>
        <v>159486.72</v>
      </c>
      <c r="D6" s="0" t="n">
        <f aca="false">C6*(1+D5/100)</f>
        <v>172245.6576</v>
      </c>
      <c r="E6" s="0" t="n">
        <f aca="false">D6*(1+E5/100)</f>
        <v>184302.853632</v>
      </c>
      <c r="F6" s="0" t="n">
        <f aca="false">E6*(1+F5/100)</f>
        <v>195361.02484992</v>
      </c>
      <c r="G6" s="0" t="n">
        <f aca="false">F6*(1+G5/100)</f>
        <v>206105.881216666</v>
      </c>
      <c r="H6" s="0" t="n">
        <f aca="false">G6*(1+H5/100)</f>
        <v>216411.175277499</v>
      </c>
      <c r="I6" s="0" t="n">
        <f aca="false">H6*(1+I5/100)</f>
        <v>226149.678164986</v>
      </c>
      <c r="J6" s="0" t="n">
        <f aca="false">I6*(1+J5/100)</f>
        <v>235195.665291586</v>
      </c>
      <c r="K6" s="0" t="n">
        <f aca="false">J6*(1+K5/100)</f>
        <v>243427.513576791</v>
      </c>
      <c r="L6" s="0" t="n">
        <f aca="false">K6*(1+L5/100)</f>
        <v>250730.338984095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1.14</v>
      </c>
      <c r="D7" s="4" t="n">
        <f aca="false">Assumptions!D42</f>
        <v>2.19</v>
      </c>
      <c r="E7" s="4" t="n">
        <f aca="false">Assumptions!E42</f>
        <v>3.49</v>
      </c>
      <c r="F7" s="4" t="n">
        <f aca="false">Assumptions!F42</f>
        <v>3.89</v>
      </c>
      <c r="G7" s="4" t="n">
        <f aca="false">Assumptions!G42</f>
        <v>3.99</v>
      </c>
      <c r="H7" s="4" t="n">
        <f aca="false">Assumptions!H42</f>
        <v>3.99</v>
      </c>
      <c r="I7" s="4" t="n">
        <f aca="false">Assumptions!I42</f>
        <v>3.99</v>
      </c>
      <c r="J7" s="4" t="n">
        <f aca="false">Assumptions!J42</f>
        <v>3.99</v>
      </c>
      <c r="K7" s="4" t="n">
        <f aca="false">Assumptions!K42</f>
        <v>3.99</v>
      </c>
      <c r="L7" s="4" t="n">
        <f aca="false">Assumptions!L42</f>
        <v>3.99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1818.148608</v>
      </c>
      <c r="D8" s="0" t="n">
        <f aca="false">D6*D7/100</f>
        <v>3772.17990144</v>
      </c>
      <c r="E8" s="0" t="n">
        <f aca="false">E6*E7/100</f>
        <v>6432.1695917568</v>
      </c>
      <c r="F8" s="0" t="n">
        <f aca="false">F6*F7/100</f>
        <v>7599.54386666189</v>
      </c>
      <c r="G8" s="0" t="n">
        <f aca="false">G6*G7/100</f>
        <v>8223.62466054496</v>
      </c>
      <c r="H8" s="0" t="n">
        <f aca="false">H6*H7/100</f>
        <v>8634.80589357221</v>
      </c>
      <c r="I8" s="0" t="n">
        <f aca="false">I6*I7/100</f>
        <v>9023.37215878296</v>
      </c>
      <c r="J8" s="0" t="n">
        <f aca="false">J6*J7/100</f>
        <v>9384.30704513427</v>
      </c>
      <c r="K8" s="0" t="n">
        <f aca="false">K6*K7/100</f>
        <v>9712.75779171397</v>
      </c>
      <c r="L8" s="0" t="n">
        <f aca="false">L6*L7/100</f>
        <v>10004.1405254654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0.19</v>
      </c>
      <c r="D9" s="4" t="n">
        <f aca="false">Assumptions!D43</f>
        <v>0.19</v>
      </c>
      <c r="E9" s="4" t="n">
        <f aca="false">Assumptions!E43</f>
        <v>0.19</v>
      </c>
      <c r="F9" s="4" t="n">
        <f aca="false">Assumptions!F43</f>
        <v>0.19</v>
      </c>
      <c r="G9" s="4" t="n">
        <f aca="false">Assumptions!G43</f>
        <v>0.19</v>
      </c>
      <c r="H9" s="4" t="n">
        <f aca="false">Assumptions!H43</f>
        <v>0.19</v>
      </c>
      <c r="I9" s="4" t="n">
        <f aca="false">Assumptions!I43</f>
        <v>0.19</v>
      </c>
      <c r="J9" s="4" t="n">
        <f aca="false">Assumptions!J43</f>
        <v>0.19</v>
      </c>
      <c r="K9" s="4" t="n">
        <f aca="false">Assumptions!K43</f>
        <v>0.19</v>
      </c>
      <c r="L9" s="4" t="n">
        <f aca="false">Assumptions!L43</f>
        <v>0.19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-303.024768</v>
      </c>
      <c r="D10" s="0" t="n">
        <f aca="false">-D6*D9/100</f>
        <v>-327.26674944</v>
      </c>
      <c r="E10" s="0" t="n">
        <f aca="false">-E6*E9/100</f>
        <v>-350.1754219008</v>
      </c>
      <c r="F10" s="0" t="n">
        <f aca="false">-F6*F9/100</f>
        <v>-371.185947214848</v>
      </c>
      <c r="G10" s="0" t="n">
        <f aca="false">-G6*G9/100</f>
        <v>-391.601174311665</v>
      </c>
      <c r="H10" s="0" t="n">
        <f aca="false">-H6*H9/100</f>
        <v>-411.181233027248</v>
      </c>
      <c r="I10" s="0" t="n">
        <f aca="false">-I6*I9/100</f>
        <v>-429.684388513474</v>
      </c>
      <c r="J10" s="0" t="n">
        <f aca="false">-J6*J9/100</f>
        <v>-446.871764054013</v>
      </c>
      <c r="K10" s="0" t="n">
        <f aca="false">-K6*K9/100</f>
        <v>-462.512275795903</v>
      </c>
      <c r="L10" s="0" t="n">
        <f aca="false">-L6*L9/100</f>
        <v>-476.387644069781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1515.12384</v>
      </c>
      <c r="D11" s="0" t="n">
        <f aca="false">D8+D10+D24</f>
        <v>3444.913152</v>
      </c>
      <c r="E11" s="0" t="n">
        <f aca="false">E8+E10+E24</f>
        <v>6081.994169856</v>
      </c>
      <c r="F11" s="0" t="n">
        <f aca="false">F8+F10+F24</f>
        <v>7228.35791944704</v>
      </c>
      <c r="G11" s="0" t="n">
        <f aca="false">G8+G10+G24</f>
        <v>7832.02348623329</v>
      </c>
      <c r="H11" s="0" t="n">
        <f aca="false">H8+H10+H24</f>
        <v>8223.62466054496</v>
      </c>
      <c r="I11" s="0" t="n">
        <f aca="false">I8+I10+I24</f>
        <v>8593.68777026948</v>
      </c>
      <c r="J11" s="0" t="n">
        <f aca="false">J8+J10+J24</f>
        <v>8937.43528108026</v>
      </c>
      <c r="K11" s="0" t="n">
        <f aca="false">K8+K10+K24</f>
        <v>9250.24551591807</v>
      </c>
      <c r="L11" s="0" t="n">
        <f aca="false">L8+L10+L24</f>
        <v>9527.75288139561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1515.12384</v>
      </c>
      <c r="D13" s="0" t="n">
        <f aca="false">D11+D12</f>
        <v>3444.913152</v>
      </c>
      <c r="E13" s="0" t="n">
        <f aca="false">E11+E12</f>
        <v>6081.994169856</v>
      </c>
      <c r="F13" s="0" t="n">
        <f aca="false">F11+F12</f>
        <v>7228.35791944704</v>
      </c>
      <c r="G13" s="0" t="n">
        <f aca="false">G11+G12</f>
        <v>7832.02348623329</v>
      </c>
      <c r="H13" s="0" t="n">
        <f aca="false">H11+H12</f>
        <v>8223.62466054496</v>
      </c>
      <c r="I13" s="0" t="n">
        <f aca="false">I11+I12</f>
        <v>8593.68777026948</v>
      </c>
      <c r="J13" s="0" t="n">
        <f aca="false">J11+J12</f>
        <v>8937.43528108026</v>
      </c>
      <c r="K13" s="0" t="n">
        <f aca="false">K11+K12</f>
        <v>9250.24551591807</v>
      </c>
      <c r="L13" s="0" t="n">
        <f aca="false">L11+L12</f>
        <v>9527.75288139561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1151.4941184</v>
      </c>
      <c r="D15" s="0" t="n">
        <f aca="false">D13-MAX(0,D13)*D14/100</f>
        <v>2618.13399552</v>
      </c>
      <c r="E15" s="0" t="n">
        <f aca="false">E13-MAX(0,E13)*E14/100</f>
        <v>4622.31556909056</v>
      </c>
      <c r="F15" s="0" t="n">
        <f aca="false">F13-MAX(0,F13)*F14/100</f>
        <v>5493.55201877975</v>
      </c>
      <c r="G15" s="0" t="n">
        <f aca="false">G13-MAX(0,G13)*G14/100</f>
        <v>5952.3378495373</v>
      </c>
      <c r="H15" s="0" t="n">
        <f aca="false">H13-MAX(0,H13)*H14/100</f>
        <v>6249.95474201417</v>
      </c>
      <c r="I15" s="0" t="n">
        <f aca="false">I13-MAX(0,I13)*I14/100</f>
        <v>6531.20270540481</v>
      </c>
      <c r="J15" s="0" t="n">
        <f aca="false">J13-MAX(0,J13)*J14/100</f>
        <v>6792.450813621</v>
      </c>
      <c r="K15" s="0" t="n">
        <f aca="false">K13-MAX(0,K13)*K14/100</f>
        <v>7030.18659209773</v>
      </c>
      <c r="L15" s="0" t="n">
        <f aca="false">L13-MAX(0,L13)*L14/100</f>
        <v>7241.09218986067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-1491.136</v>
      </c>
      <c r="D18" s="4" t="n">
        <f aca="false">(D6-C6)*Assumptions!$B$51/100</f>
        <v>-637.94688</v>
      </c>
      <c r="E18" s="4" t="n">
        <f aca="false">(E6-D6)*Assumptions!$B$51/100</f>
        <v>-602.8598016</v>
      </c>
      <c r="F18" s="4" t="n">
        <f aca="false">(F6-E6)*Assumptions!$B$51/100</f>
        <v>-552.908560896</v>
      </c>
      <c r="G18" s="4" t="n">
        <f aca="false">(G6-F6)*Assumptions!$B$51/100</f>
        <v>-537.242818337279</v>
      </c>
      <c r="H18" s="4" t="n">
        <f aca="false">(H6-G6)*Assumptions!$B$51/100</f>
        <v>-515.264703041664</v>
      </c>
      <c r="I18" s="4" t="n">
        <f aca="false">(I6-H6)*Assumptions!$B$51/100</f>
        <v>-486.925144374372</v>
      </c>
      <c r="J18" s="4" t="n">
        <f aca="false">(J6-I6)*Assumptions!$B$51/100</f>
        <v>-452.299356329974</v>
      </c>
      <c r="K18" s="4" t="n">
        <f aca="false">(K6-J6)*Assumptions!$B$51/100</f>
        <v>-411.592414260274</v>
      </c>
      <c r="L18" s="4" t="n">
        <f aca="false">(L6-K6)*Assumptions!$B$51/100</f>
        <v>-365.141270365188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-339.6418816</v>
      </c>
      <c r="D19" s="0" t="n">
        <f aca="false">D15+D16+D17+D18</f>
        <v>1980.18711552</v>
      </c>
      <c r="E19" s="0" t="n">
        <f aca="false">E15+E16+E17+E18</f>
        <v>4019.45576749056</v>
      </c>
      <c r="F19" s="0" t="n">
        <f aca="false">F15+F16+F17+F18</f>
        <v>4940.64345788375</v>
      </c>
      <c r="G19" s="0" t="n">
        <f aca="false">G15+G16+G17+G18</f>
        <v>5415.09503120003</v>
      </c>
      <c r="H19" s="0" t="n">
        <f aca="false">H15+H16+H17+H18</f>
        <v>5734.6900389725</v>
      </c>
      <c r="I19" s="0" t="n">
        <f aca="false">I15+I16+I17+I18</f>
        <v>6044.27756103043</v>
      </c>
      <c r="J19" s="0" t="n">
        <f aca="false">J15+J16+J17+J18</f>
        <v>6340.15145729103</v>
      </c>
      <c r="K19" s="0" t="n">
        <f aca="false">K15+K16+K17+K18</f>
        <v>6618.59417783746</v>
      </c>
      <c r="L19" s="0" t="n">
        <f aca="false">L15+L16+L17+L18</f>
        <v>6875.95091949548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-311.598056513762</v>
      </c>
      <c r="D21" s="0" t="n">
        <f aca="false">D19*D20</f>
        <v>1666.6838780574</v>
      </c>
      <c r="E21" s="0" t="n">
        <f aca="false">E19*E20</f>
        <v>3103.75734249238</v>
      </c>
      <c r="F21" s="0" t="n">
        <f aca="false">F19*F20</f>
        <v>3500.07638444918</v>
      </c>
      <c r="G21" s="0" t="n">
        <f aca="false">G19*G20</f>
        <v>3519.44022056511</v>
      </c>
      <c r="H21" s="0" t="n">
        <f aca="false">H19*H20</f>
        <v>3419.408300019</v>
      </c>
      <c r="I21" s="0" t="n">
        <f aca="false">I19*I20</f>
        <v>3306.42681122169</v>
      </c>
      <c r="J21" s="0" t="n">
        <f aca="false">J19*J20</f>
        <v>3181.90822443253</v>
      </c>
      <c r="K21" s="0" t="n">
        <f aca="false">K19*K20</f>
        <v>3047.38462082122</v>
      </c>
      <c r="L21" s="0" t="n">
        <f aca="false">L19*L20</f>
        <v>2904.47597607924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27337.963701624</v>
      </c>
    </row>
    <row r="31" customFormat="false" ht="15" hidden="false" customHeight="false" outlineLevel="0" collapsed="false">
      <c r="A31" s="0" t="s">
        <v>137</v>
      </c>
      <c r="B31" s="0" t="n">
        <f aca="false">L19</f>
        <v>6875.95091949548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118037.157451339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110015.214711928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110015.214711928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46471.6156172678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73809.5793188918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73809.5793188918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609.996523296626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0.565578942321244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2460.00997144719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3454.47046334086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658.876526889916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59018.5787256695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283.93047616503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221.011421438094</v>
      </c>
      <c r="C4" s="0" t="n">
        <f aca="false">B4/Assumptions!$B$2-1</f>
        <v>-0.432765902425138</v>
      </c>
      <c r="D4" s="4" t="n">
        <f aca="false">Assumptions!$B$24</f>
        <v>0.25</v>
      </c>
      <c r="E4" s="4" t="n">
        <f aca="false">DCF_Bear!$B$43</f>
        <v>259.407251691123</v>
      </c>
      <c r="F4" s="4" t="n">
        <f aca="false">DCF_Bear!$B$47</f>
        <v>114.698756980824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421.352797581485</v>
      </c>
      <c r="C5" s="0" t="n">
        <f aca="false">B5/Assumptions!$B$2-1</f>
        <v>0.0814177490991062</v>
      </c>
      <c r="D5" s="4" t="n">
        <f aca="false">Assumptions!$B$38</f>
        <v>0.5</v>
      </c>
      <c r="E5" s="4" t="n">
        <f aca="false">DCF_Base!$B$43</f>
        <v>466.790011646364</v>
      </c>
      <c r="F5" s="4" t="n">
        <f aca="false">DCF_Base!$B$47</f>
        <v>204.642216558321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609.996523296626</v>
      </c>
      <c r="C6" s="0" t="n">
        <f aca="false">B6/Assumptions!$B$2-1</f>
        <v>0.565578942321244</v>
      </c>
      <c r="D6" s="4" t="n">
        <f aca="false">Assumptions!$B$52</f>
        <v>0.25</v>
      </c>
      <c r="E6" s="4" t="n">
        <f aca="false">DCF_Bull!$B$43</f>
        <v>658.876526889916</v>
      </c>
      <c r="F6" s="4" t="n">
        <f aca="false">DCF_Bull!$B$47</f>
        <v>283.93047616503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418.428384974422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462.965950468442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0.0688251227893698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-64.6608871746468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201.978416565624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421.352797581485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385.414571945556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330.772816004958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288.465133990798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204.642216558321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493.849529527661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493.849529527661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493.849529527661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493.849529527661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493.849529527661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455.88987007803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455.88987007803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455.88987007803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455.88987007803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455.88987007803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413.990608653644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421.352797581485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421.352797581485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421.352797581485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421.352797581485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354.616287241271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368.988820103271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385.414571945556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389.894322447997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389.894322447997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308.692289884391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319.083125705834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330.772816004958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344.021131677298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359.162063874257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2026-09-28T21:37:12Z</dcterms:created>
  <dc:creator>openpyxl</dc:creator>
  <dc:description/>
  <dc:language>en-NZ</dc:language>
  <cp:lastModifiedBy/>
  <dcterms:modified xsi:type="dcterms:W3CDTF">2026-09-28T21:37:12Z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