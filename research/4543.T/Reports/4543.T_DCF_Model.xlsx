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<sst xmlns="http://schemas.openxmlformats.org/spreadsheetml/2006/main" count="391" uniqueCount="176">
  <si>
    <t xml:space="preserve">Ticker</t>
  </si>
  <si>
    <t xml:space="preserve">4543.T</t>
  </si>
  <si>
    <t xml:space="preserve">Company</t>
  </si>
  <si>
    <t xml:space="preserve">Terumo Corporation</t>
  </si>
  <si>
    <t xml:space="preserve">Valuation date</t>
  </si>
  <si>
    <t xml:space="preserve">2026-10-31</t>
  </si>
  <si>
    <t xml:space="preserve">Current price</t>
  </si>
  <si>
    <t xml:space="preserve">Price as of</t>
  </si>
  <si>
    <t xml:space="preserve">2026-10-30T06:30:00Z (TSE regular close 15:30 JST)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</si>
  <si>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</si>
  <si>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</si>
  <si>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</si>
  <si>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</si>
  <si>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</si>
  <si>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</si>
  <si>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</si>
  <si>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</si>
  <si>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</si>
  <si>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</si>
  <si>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</si>
  <si>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</si>
  <si>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2026-10-31T04:10:26Z</t>
  </si>
  <si>
    <t xml:space="preserve">Drivers file</t>
  </si>
  <si>
    <t xml:space="preserve">4543.T_Drivers.json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</si>
  <si>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</si>
  <si>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</si>
  <si>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</si>
  <si>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Terumo on normalised owner FCF, not on the FY2027 reported-OP guidance print: the ¥72bn impairment is non-cash and excluded, the ~¥25.5bn transition cost is charged once in year 1, and the lasting cost of CSL is a revenue roll-off and a lower mature margin than management's pre-CSL guidance implied. Leases are an operating cost (treatment B), SBC is immaterial so house and street bases coincide, and one JPY WACC of 7% is used across scenarios with risk carried in the flows and the 25/50/25 weights.
key_risks_to_valuation: Blood &amp; Cell Technologies customer concentration: further plasma fractionator migration to Haemonetics NexSys would compound the CSL revenue loss; Yen appreciation: ~80% overseas revenue; FY2027 guidance assumes USD/JPY 155; Margin step-up not delivered: FY2027 guided underlying EBITDA ~27% vs 23-26% history; base credits 26.5%; OrganOx (¥230.6bn, debt-funded) fails to scale or its intangibles are impaired; Japan NHI biennial device price revisions and US tariffs (~¥10bn flagged); Terminal value is capped at 20x FCF and is ~65-70% of EV; a lower exit multiple moves value materially (see sensitivity grid)</t>
  </si>
  <si>
    <t xml:space="preserve">Data sources</t>
  </si>
  <si>
    <t xml:space="preserve">price: Yahoo Finance chart API at inputs.price_as_of; 52-week range 1,900-2,689
financials: 4543.T_Metrics.csv (FY2007-FY2026 annual, Q1 FY2027 interim) derived from IFRS tanshin; FY2026 annual tanshin (4543.T_Annual_FY2026.txt) for D&amp;A, lease repayments, SBC, tax; Q1 FY2027 tanshin (4543.T_Quarterly_Q1-FY2027.txt) for the 30 Jun 2026 balance sheet, share count and August FY2027 guidance
qualitative: 4543.T_Analysis.json (2026-10-31), including the 8 Oct 2026 CSL Plasma termination disclosure (secondary sources; the October tanshin was not yet extracted)</t>
  </si>
  <si>
    <t xml:space="preserve">Scenario narrative: bear</t>
  </si>
  <si>
    <t xml:space="preserve">CSL is a leading indicator for BCT (other fractionators follow Haemonetics), the yen appreciates, Japan reimbursement cuts and tariffs compress margins to 24%, and growth converges to low single digits with elevated capex to redeploy the impaired US plasma capacity.</t>
  </si>
  <si>
    <t xml:space="preserve">Scenario narrative: base</t>
  </si>
  <si>
    <t xml:space="preserve">Terumo absorbs the CSL Plasma termination as a one-year cost event and a ~¥30-35bn revenue roll-off, then compounds revenue at 5-7% on Cardiac &amp; Vascular (TIS, Neuro), plasma ex-CSL and OrganOx, with EBITDA margin maturing at 26.5%. Axes: BCT customer concentration, yen translation, GS26 margin delivery, OrganOx scale-up.</t>
  </si>
  <si>
    <t xml:space="preserve">Scenario narrative: bull</t>
  </si>
  <si>
    <t xml:space="preserve">Q1 FY2027 momentum carries: guided ~27% underlying margin is delivered and extended to 28.5%, CSL drag is partial, OrganOx becomes a second growth engine (liver NMP today, kidney ~2030), weak-yen translation persists.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</si>
  <si>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</si>
  <si>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</si>
  <si>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</si>
  <si>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</si>
  <si>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</si>
  <si>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</si>
  <si>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</si>
  <si>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</si>
  <si>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</si>
  <si>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</si>
  <si>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</si>
  <si>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</si>
  <si>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</si>
  <si>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</si>
  <si>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</si>
  <si>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</si>
  <si>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</si>
  <si>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</si>
  <si>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</si>
  <si>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</si>
  <si>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</si>
  <si>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</si>
  <si>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</si>
  <si>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</si>
  <si>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</si>
  <si>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</si>
  <si>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</si>
  <si>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</si>
  <si>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</si>
  <si>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</si>
  <si>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</si>
  <si>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</si>
  <si>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</si>
  <si>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</si>
  <si>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</si>
  <si>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</si>
  <si>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</si>
  <si>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</si>
  <si>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</si>
  <si>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</si>
  <si>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</si>
  <si>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</si>
  <si>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</si>
  <si>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</si>
  <si>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</si>
  <si>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</si>
  <si>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</si>
  <si>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</si>
  <si>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</si>
  <si>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</si>
  <si>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</si>
  <si>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</si>
  <si>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</si>
  <si>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</si>
  <si>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</si>
  <si>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</si>
  <si>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</si>
  <si>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</si>
  <si>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</si>
  <si>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</si>
  <si>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</si>
  <si>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</si>
  <si>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</si>
  <si>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</si>
  <si>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</si>
  <si>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</si>
  <si>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</si>
  <si>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</si>
  <si>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</si>
  <si>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</si>
  <si>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</si>
  <si>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</si>
  <si>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</si>
  <si>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</si>
  <si>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</si>
  <si>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</si>
  <si>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</si>
  <si>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</si>
  <si>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</si>
  <si>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</si>
  <si>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</si>
  <si>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</si>
  <si>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</si>
  <si>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</si>
  <si>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</si>
  <si>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4543.T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</si>
  <si>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</si>
  <si>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</si>
  <si>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</si>
  <si>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</si>
  <si>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</si>
  <si>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</si>
  <si>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</si>
  <si>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</si>
  <si>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</si>
  <si>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</si>
  <si>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</si>
  <si>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</si>
  <si>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</si>
  <si>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</si>
  <si>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</si>
  <si>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</si>
  <si>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</si>
  <si>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</si>
  <si>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</si>
  <si>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</si>
  <si>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</si>
  <si>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</si>
  <si>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</si>
  <si>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</si>
  <si>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</si>
  <si>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</si>
  <si>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</si>
  <si>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</si>
  <si>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</si>
  <si>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</si>
  <si>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4543.T owner-FCF component DCF: base case (millions, JPY)</t>
  </si>
  <si>
    <t xml:space="preserve">4543.T owner-FCF component DCF: bull case (millions, JPY)</t>
  </si>
  <si>
    <t xml:space="preserve">4543.T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</si>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</sst>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2404.5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276439</v>
      </c>
      <c r="C2" s="0" t="n">
        <v>123112</v>
      </c>
      <c r="D2" s="0" t="n">
        <v>153327</v>
      </c>
      <c r="E2" s="0" t="n">
        <v>55.5</v>
      </c>
      <c r="F2" s="0" t="n">
        <v>58455</v>
      </c>
      <c r="G2" s="0" t="n">
        <v>21.1</v>
      </c>
      <c r="H2" s="0" t="n">
        <v>72795</v>
      </c>
      <c r="I2" s="0" t="n">
        <v>37232</v>
      </c>
      <c r="J2" s="0" t="n">
        <v>13.5</v>
      </c>
      <c r="K2" s="0" t="n">
        <v>23.125</v>
      </c>
      <c r="L2" s="0" t="n">
        <v>43123</v>
      </c>
      <c r="M2" s="0" t="n">
        <v>17649</v>
      </c>
      <c r="N2" s="0" t="n">
        <v>25474</v>
      </c>
      <c r="O2" s="0" t="n">
        <v>289248</v>
      </c>
      <c r="P2" s="0" t="n">
        <v>367147</v>
      </c>
      <c r="Q2" s="0" t="n">
        <v>77899</v>
      </c>
      <c r="R2" s="0" t="n">
        <v>236</v>
      </c>
      <c r="S2" s="0" t="n">
        <v>43049</v>
      </c>
      <c r="T2" s="0" t="n">
        <v>1610</v>
      </c>
      <c r="AA2" s="0" t="s">
        <v>17</v>
      </c>
      <c r="AB2" s="0" t="s">
        <v>14</v>
      </c>
      <c r="AC2" s="0" t="n">
        <v>23.125</v>
      </c>
    </row>
    <row r="3" customFormat="false" ht="15" hidden="false" customHeight="false" outlineLevel="0" collapsed="false">
      <c r="A3" s="0" t="s">
        <v>65</v>
      </c>
      <c r="B3" s="0" t="n">
        <v>306381</v>
      </c>
      <c r="C3" s="0" t="n">
        <v>138179</v>
      </c>
      <c r="D3" s="0" t="n">
        <v>168202</v>
      </c>
      <c r="E3" s="0" t="n">
        <v>54.9</v>
      </c>
      <c r="F3" s="0" t="n">
        <v>66942</v>
      </c>
      <c r="G3" s="0" t="n">
        <v>21.8</v>
      </c>
      <c r="H3" s="0" t="n">
        <v>83581</v>
      </c>
      <c r="I3" s="0" t="n">
        <v>43382</v>
      </c>
      <c r="J3" s="0" t="n">
        <v>14.2</v>
      </c>
      <c r="K3" s="0" t="n">
        <v>27.538</v>
      </c>
      <c r="L3" s="0" t="n">
        <v>69683</v>
      </c>
      <c r="M3" s="0" t="n">
        <v>16407</v>
      </c>
      <c r="N3" s="0" t="n">
        <v>53276</v>
      </c>
      <c r="O3" s="0" t="n">
        <v>288867</v>
      </c>
      <c r="P3" s="0" t="n">
        <v>410918</v>
      </c>
      <c r="Q3" s="0" t="n">
        <v>122051</v>
      </c>
      <c r="R3" s="0" t="n">
        <v>35000</v>
      </c>
      <c r="S3" s="0" t="n">
        <v>85377</v>
      </c>
      <c r="T3" s="0" t="n">
        <v>1575.4</v>
      </c>
      <c r="AA3" s="0" t="s">
        <v>17</v>
      </c>
      <c r="AB3" s="0" t="s">
        <v>14</v>
      </c>
      <c r="AC3" s="0" t="n">
        <v>27.538</v>
      </c>
    </row>
    <row r="4" customFormat="false" ht="15" hidden="false" customHeight="false" outlineLevel="0" collapsed="false">
      <c r="A4" s="0" t="s">
        <v>66</v>
      </c>
      <c r="B4" s="0" t="n">
        <v>302746</v>
      </c>
      <c r="C4" s="0" t="n">
        <v>144506</v>
      </c>
      <c r="D4" s="0" t="n">
        <v>158240</v>
      </c>
      <c r="E4" s="0" t="n">
        <v>52.3</v>
      </c>
      <c r="F4" s="0" t="n">
        <v>54039</v>
      </c>
      <c r="G4" s="0" t="n">
        <v>17.8</v>
      </c>
      <c r="H4" s="0" t="n">
        <v>72231</v>
      </c>
      <c r="I4" s="0" t="n">
        <v>36878</v>
      </c>
      <c r="J4" s="0" t="n">
        <v>12.2</v>
      </c>
      <c r="K4" s="0" t="n">
        <v>23.983</v>
      </c>
      <c r="L4" s="0" t="n">
        <v>31615</v>
      </c>
      <c r="M4" s="0" t="n">
        <v>20241</v>
      </c>
      <c r="N4" s="0" t="n">
        <v>11374</v>
      </c>
      <c r="O4" s="0" t="n">
        <v>278166</v>
      </c>
      <c r="P4" s="0" t="n">
        <v>379064</v>
      </c>
      <c r="Q4" s="0" t="n">
        <v>100897</v>
      </c>
      <c r="R4" s="0" t="n">
        <v>25190</v>
      </c>
      <c r="S4" s="0" t="n">
        <v>55067</v>
      </c>
      <c r="T4" s="0" t="n">
        <v>1537.7</v>
      </c>
      <c r="AA4" s="0" t="s">
        <v>17</v>
      </c>
      <c r="AB4" s="0" t="s">
        <v>14</v>
      </c>
      <c r="AC4" s="0" t="n">
        <v>23.983</v>
      </c>
    </row>
    <row r="5" customFormat="false" ht="15" hidden="false" customHeight="false" outlineLevel="0" collapsed="false">
      <c r="A5" s="0" t="s">
        <v>67</v>
      </c>
      <c r="B5" s="0" t="n">
        <v>316009</v>
      </c>
      <c r="C5" s="0" t="n">
        <v>149659</v>
      </c>
      <c r="D5" s="0" t="n">
        <v>166350</v>
      </c>
      <c r="E5" s="0" t="n">
        <v>52.6</v>
      </c>
      <c r="F5" s="0" t="n">
        <v>63282</v>
      </c>
      <c r="G5" s="0" t="n">
        <v>20</v>
      </c>
      <c r="H5" s="0" t="n">
        <v>81468</v>
      </c>
      <c r="I5" s="0" t="n">
        <v>40721</v>
      </c>
      <c r="J5" s="0" t="n">
        <v>12.9</v>
      </c>
      <c r="K5" s="0" t="n">
        <v>26.805</v>
      </c>
      <c r="L5" s="0" t="n">
        <v>67352</v>
      </c>
      <c r="M5" s="0" t="n">
        <v>19716</v>
      </c>
      <c r="N5" s="0" t="n">
        <v>47636</v>
      </c>
      <c r="O5" s="0" t="n">
        <v>317139</v>
      </c>
      <c r="P5" s="0" t="n">
        <v>425507</v>
      </c>
      <c r="Q5" s="0" t="n">
        <v>108367</v>
      </c>
      <c r="R5" s="0" t="n">
        <v>20000</v>
      </c>
      <c r="S5" s="0" t="n">
        <v>84877</v>
      </c>
      <c r="T5" s="0" t="n">
        <v>1519.2</v>
      </c>
      <c r="AA5" s="0" t="s">
        <v>17</v>
      </c>
      <c r="AB5" s="0" t="s">
        <v>14</v>
      </c>
      <c r="AC5" s="0" t="n">
        <v>26.805</v>
      </c>
    </row>
    <row r="6" customFormat="false" ht="15" hidden="false" customHeight="false" outlineLevel="0" collapsed="false">
      <c r="A6" s="0" t="s">
        <v>68</v>
      </c>
      <c r="B6" s="0" t="n">
        <v>328214</v>
      </c>
      <c r="D6" s="0" t="n">
        <v>170798</v>
      </c>
      <c r="E6" s="0" t="n">
        <v>52</v>
      </c>
      <c r="F6" s="0" t="n">
        <v>62606</v>
      </c>
      <c r="G6" s="0" t="n">
        <v>19.1</v>
      </c>
      <c r="H6" s="0" t="n">
        <v>81418</v>
      </c>
      <c r="I6" s="0" t="n">
        <v>32338</v>
      </c>
      <c r="J6" s="0" t="n">
        <v>9.9</v>
      </c>
      <c r="K6" s="0" t="n">
        <v>21.288</v>
      </c>
      <c r="L6" s="0" t="n">
        <v>46828</v>
      </c>
      <c r="M6" s="0" t="n">
        <v>22233</v>
      </c>
      <c r="N6" s="0" t="n">
        <v>24595</v>
      </c>
      <c r="O6" s="0" t="n">
        <v>335456</v>
      </c>
      <c r="P6" s="0" t="n">
        <v>420037</v>
      </c>
      <c r="Q6" s="0" t="n">
        <v>84581</v>
      </c>
      <c r="R6" s="0" t="n">
        <v>0</v>
      </c>
      <c r="S6" s="0" t="n">
        <v>82660</v>
      </c>
      <c r="T6" s="0" t="n">
        <v>1519.1</v>
      </c>
      <c r="AA6" s="0" t="s">
        <v>17</v>
      </c>
      <c r="AB6" s="0" t="s">
        <v>14</v>
      </c>
      <c r="AC6" s="0" t="n">
        <v>21.288</v>
      </c>
    </row>
    <row r="7" customFormat="false" ht="15" hidden="false" customHeight="false" outlineLevel="0" collapsed="false">
      <c r="A7" s="0" t="s">
        <v>69</v>
      </c>
      <c r="B7" s="0" t="n">
        <v>386686</v>
      </c>
      <c r="D7" s="0" t="n">
        <v>204639</v>
      </c>
      <c r="E7" s="0" t="n">
        <v>52.9</v>
      </c>
      <c r="F7" s="0" t="n">
        <v>63049</v>
      </c>
      <c r="G7" s="0" t="n">
        <v>16.3</v>
      </c>
      <c r="H7" s="0" t="n">
        <v>84308</v>
      </c>
      <c r="I7" s="0" t="n">
        <v>24167</v>
      </c>
      <c r="J7" s="0" t="n">
        <v>6.2</v>
      </c>
      <c r="K7" s="0" t="n">
        <v>15.91</v>
      </c>
      <c r="L7" s="0" t="n">
        <v>56200</v>
      </c>
      <c r="M7" s="0" t="n">
        <v>24265</v>
      </c>
      <c r="N7" s="0" t="n">
        <v>31935</v>
      </c>
      <c r="O7" s="0" t="n">
        <v>352537</v>
      </c>
      <c r="P7" s="0" t="n">
        <v>692520</v>
      </c>
      <c r="Q7" s="0" t="n">
        <v>339982</v>
      </c>
      <c r="R7" s="0" t="n">
        <v>190000</v>
      </c>
      <c r="S7" s="0" t="n">
        <v>73793</v>
      </c>
      <c r="T7" s="0" t="n">
        <v>1519</v>
      </c>
      <c r="AA7" s="0" t="s">
        <v>17</v>
      </c>
      <c r="AB7" s="0" t="s">
        <v>14</v>
      </c>
      <c r="AC7" s="0" t="n">
        <v>15.91</v>
      </c>
    </row>
    <row r="8" customFormat="false" ht="15" hidden="false" customHeight="false" outlineLevel="0" collapsed="false">
      <c r="A8" s="0" t="s">
        <v>70</v>
      </c>
      <c r="B8" s="0" t="n">
        <v>402294</v>
      </c>
      <c r="D8" s="0" t="n">
        <v>205688</v>
      </c>
      <c r="E8" s="0" t="n">
        <v>51.1</v>
      </c>
      <c r="F8" s="0" t="n">
        <v>53216</v>
      </c>
      <c r="G8" s="0" t="n">
        <v>13.2</v>
      </c>
      <c r="H8" s="0" t="n">
        <v>77817</v>
      </c>
      <c r="I8" s="0" t="n">
        <v>47014</v>
      </c>
      <c r="J8" s="0" t="n">
        <v>11.7</v>
      </c>
      <c r="K8" s="0" t="n">
        <v>30.95</v>
      </c>
      <c r="L8" s="0" t="n">
        <v>50270</v>
      </c>
      <c r="M8" s="0" t="n">
        <v>32474</v>
      </c>
      <c r="N8" s="0" t="n">
        <v>17796</v>
      </c>
      <c r="O8" s="0" t="n">
        <v>437909</v>
      </c>
      <c r="P8" s="0" t="n">
        <v>771032</v>
      </c>
      <c r="Q8" s="0" t="n">
        <v>333122</v>
      </c>
      <c r="R8" s="0" t="n">
        <v>180520</v>
      </c>
      <c r="S8" s="0" t="n">
        <v>75165</v>
      </c>
      <c r="T8" s="0" t="n">
        <v>1519</v>
      </c>
      <c r="AA8" s="0" t="s">
        <v>17</v>
      </c>
      <c r="AB8" s="0" t="s">
        <v>14</v>
      </c>
      <c r="AC8" s="0" t="n">
        <v>30.95</v>
      </c>
    </row>
    <row r="9" customFormat="false" ht="15" hidden="false" customHeight="false" outlineLevel="0" collapsed="false">
      <c r="A9" s="0" t="s">
        <v>71</v>
      </c>
      <c r="B9" s="0" t="n">
        <v>467359</v>
      </c>
      <c r="D9" s="0" t="n">
        <v>242011</v>
      </c>
      <c r="E9" s="0" t="n">
        <v>51.8</v>
      </c>
      <c r="F9" s="0" t="n">
        <v>63802</v>
      </c>
      <c r="G9" s="0" t="n">
        <v>13.7</v>
      </c>
      <c r="H9" s="0" t="n">
        <v>94124</v>
      </c>
      <c r="I9" s="0" t="n">
        <v>34096</v>
      </c>
      <c r="J9" s="0" t="n">
        <v>7.3</v>
      </c>
      <c r="K9" s="0" t="n">
        <v>22.445</v>
      </c>
      <c r="L9" s="0" t="n">
        <v>96259</v>
      </c>
      <c r="M9" s="0" t="n">
        <v>44893</v>
      </c>
      <c r="N9" s="0" t="n">
        <v>51366</v>
      </c>
      <c r="O9" s="0" t="n">
        <v>496245</v>
      </c>
      <c r="P9" s="0" t="n">
        <v>832814</v>
      </c>
      <c r="Q9" s="0" t="n">
        <v>336568</v>
      </c>
      <c r="R9" s="0" t="n">
        <v>161681</v>
      </c>
      <c r="S9" s="0" t="n">
        <v>92498</v>
      </c>
      <c r="T9" s="0" t="n">
        <v>1519.1</v>
      </c>
      <c r="AA9" s="0" t="s">
        <v>17</v>
      </c>
      <c r="AB9" s="0" t="s">
        <v>14</v>
      </c>
      <c r="AC9" s="0" t="n">
        <v>22.445</v>
      </c>
    </row>
    <row r="10" customFormat="false" ht="15" hidden="false" customHeight="false" outlineLevel="0" collapsed="false">
      <c r="A10" s="0" t="s">
        <v>72</v>
      </c>
      <c r="B10" s="0" t="n">
        <v>489506</v>
      </c>
      <c r="D10" s="0" t="n">
        <v>256025</v>
      </c>
      <c r="E10" s="0" t="n">
        <v>52.3</v>
      </c>
      <c r="F10" s="0" t="n">
        <v>67456</v>
      </c>
      <c r="G10" s="0" t="n">
        <v>13.8</v>
      </c>
      <c r="H10" s="0" t="n">
        <v>97819</v>
      </c>
      <c r="I10" s="0" t="n">
        <v>38470</v>
      </c>
      <c r="J10" s="0" t="n">
        <v>7.9</v>
      </c>
      <c r="K10" s="0" t="n">
        <v>24.78</v>
      </c>
      <c r="L10" s="0" t="n">
        <v>73110</v>
      </c>
      <c r="M10" s="0" t="n">
        <v>41025</v>
      </c>
      <c r="N10" s="0" t="n">
        <v>32085</v>
      </c>
      <c r="O10" s="0" t="n">
        <v>573523</v>
      </c>
      <c r="P10" s="0" t="n">
        <v>992073</v>
      </c>
      <c r="Q10" s="0" t="n">
        <v>418550</v>
      </c>
      <c r="R10" s="0" t="n">
        <v>225155</v>
      </c>
      <c r="S10" s="0" t="n">
        <v>176662</v>
      </c>
      <c r="T10" s="0" t="n">
        <v>1552.5</v>
      </c>
      <c r="AA10" s="0" t="s">
        <v>17</v>
      </c>
      <c r="AB10" s="0" t="s">
        <v>14</v>
      </c>
      <c r="AC10" s="0" t="n">
        <v>25.332</v>
      </c>
    </row>
    <row r="11" customFormat="false" ht="15" hidden="false" customHeight="false" outlineLevel="0" collapsed="false">
      <c r="A11" s="0" t="s">
        <v>73</v>
      </c>
      <c r="B11" s="0" t="n">
        <v>525026</v>
      </c>
      <c r="D11" s="0" t="n">
        <v>284900</v>
      </c>
      <c r="E11" s="0" t="n">
        <v>54.3</v>
      </c>
      <c r="F11" s="0" t="n">
        <v>81703</v>
      </c>
      <c r="G11" s="0" t="n">
        <v>15.6</v>
      </c>
      <c r="H11" s="0" t="n">
        <v>115382</v>
      </c>
      <c r="I11" s="0" t="n">
        <v>50676</v>
      </c>
      <c r="J11" s="0" t="n">
        <v>9.7</v>
      </c>
      <c r="K11" s="0" t="n">
        <v>31.59</v>
      </c>
      <c r="L11" s="0" t="n">
        <v>80303</v>
      </c>
      <c r="M11" s="0" t="n">
        <v>32912</v>
      </c>
      <c r="N11" s="0" t="n">
        <v>47391</v>
      </c>
      <c r="O11" s="0" t="n">
        <v>511544</v>
      </c>
      <c r="P11" s="0" t="n">
        <v>901685</v>
      </c>
      <c r="Q11" s="0" t="n">
        <v>390140</v>
      </c>
      <c r="R11" s="0" t="n">
        <v>218957</v>
      </c>
      <c r="S11" s="0" t="n">
        <v>146927</v>
      </c>
      <c r="T11" s="0" t="n">
        <v>1604.2</v>
      </c>
      <c r="AA11" s="0" t="s">
        <v>17</v>
      </c>
      <c r="AB11" s="0" t="s">
        <v>14</v>
      </c>
      <c r="AC11" s="0" t="n">
        <v>33.785</v>
      </c>
    </row>
    <row r="12" customFormat="false" ht="15" hidden="false" customHeight="false" outlineLevel="0" collapsed="false">
      <c r="A12" s="0" t="s">
        <v>74</v>
      </c>
      <c r="B12" s="0" t="n">
        <v>514164</v>
      </c>
      <c r="C12" s="0" t="n">
        <v>240329</v>
      </c>
      <c r="D12" s="0" t="n">
        <v>273835</v>
      </c>
      <c r="E12" s="0" t="n">
        <v>53.3</v>
      </c>
      <c r="F12" s="0" t="n">
        <v>87777</v>
      </c>
      <c r="G12" s="0" t="n">
        <v>17.1</v>
      </c>
      <c r="H12" s="0" t="n">
        <v>122248</v>
      </c>
      <c r="I12" s="0" t="n">
        <v>55003</v>
      </c>
      <c r="J12" s="0" t="n">
        <v>10.7</v>
      </c>
      <c r="K12" s="0" t="n">
        <v>35.688</v>
      </c>
      <c r="L12" s="0" t="n">
        <v>82888</v>
      </c>
      <c r="M12" s="0" t="n">
        <v>38601</v>
      </c>
      <c r="N12" s="0" t="n">
        <v>44287</v>
      </c>
      <c r="O12" s="0" t="n">
        <v>491522</v>
      </c>
      <c r="P12" s="0" t="n">
        <v>1022262</v>
      </c>
      <c r="Q12" s="0" t="n">
        <v>530739</v>
      </c>
      <c r="R12" s="0" t="n">
        <v>338188</v>
      </c>
      <c r="S12" s="0" t="n">
        <v>105046</v>
      </c>
      <c r="T12" s="0" t="n">
        <v>1541.2</v>
      </c>
      <c r="AA12" s="0" t="s">
        <v>17</v>
      </c>
      <c r="AB12" s="0" t="s">
        <v>14</v>
      </c>
      <c r="AC12" s="0" t="n">
        <v>38.078</v>
      </c>
    </row>
    <row r="13" customFormat="false" ht="15" hidden="false" customHeight="false" outlineLevel="0" collapsed="false">
      <c r="A13" s="0" t="s">
        <v>75</v>
      </c>
      <c r="B13" s="0" t="n">
        <v>587775</v>
      </c>
      <c r="C13" s="0" t="n">
        <v>268442</v>
      </c>
      <c r="D13" s="0" t="n">
        <v>319333</v>
      </c>
      <c r="E13" s="0" t="n">
        <v>54.3</v>
      </c>
      <c r="F13" s="0" t="n">
        <v>108552</v>
      </c>
      <c r="G13" s="0" t="n">
        <v>18.5</v>
      </c>
      <c r="H13" s="0" t="n">
        <v>150587</v>
      </c>
      <c r="I13" s="0" t="n">
        <v>91295</v>
      </c>
      <c r="J13" s="0" t="n">
        <v>15.5</v>
      </c>
      <c r="K13" s="0" t="n">
        <v>60.515</v>
      </c>
      <c r="L13" s="0" t="n">
        <v>114562</v>
      </c>
      <c r="M13" s="0" t="n">
        <v>41322</v>
      </c>
      <c r="N13" s="0" t="n">
        <v>73240</v>
      </c>
      <c r="O13" s="0" t="n">
        <v>550307</v>
      </c>
      <c r="P13" s="0" t="n">
        <v>1078981</v>
      </c>
      <c r="Q13" s="0" t="n">
        <v>528545</v>
      </c>
      <c r="R13" s="0" t="n">
        <v>336212</v>
      </c>
      <c r="S13" s="0" t="n">
        <v>167832</v>
      </c>
      <c r="T13" s="0" t="n">
        <v>1508.6</v>
      </c>
      <c r="U13" s="0" t="n">
        <v>447</v>
      </c>
      <c r="AA13" s="0" t="s">
        <v>17</v>
      </c>
      <c r="AB13" s="0" t="s">
        <v>14</v>
      </c>
      <c r="AC13" s="0" t="n">
        <v>64.78</v>
      </c>
    </row>
    <row r="14" customFormat="false" ht="15" hidden="false" customHeight="false" outlineLevel="0" collapsed="false">
      <c r="A14" s="0" t="s">
        <v>76</v>
      </c>
      <c r="B14" s="0" t="n">
        <v>599481</v>
      </c>
      <c r="C14" s="0" t="n">
        <v>272984</v>
      </c>
      <c r="D14" s="0" t="n">
        <v>326497</v>
      </c>
      <c r="E14" s="0" t="n">
        <v>54.5</v>
      </c>
      <c r="F14" s="0" t="n">
        <v>106637</v>
      </c>
      <c r="G14" s="0" t="n">
        <v>17.8</v>
      </c>
      <c r="H14" s="0" t="n">
        <v>150672</v>
      </c>
      <c r="I14" s="0" t="n">
        <v>79470</v>
      </c>
      <c r="J14" s="0" t="n">
        <v>13.3</v>
      </c>
      <c r="K14" s="0" t="n">
        <v>52.485</v>
      </c>
      <c r="L14" s="0" t="n">
        <v>93571</v>
      </c>
      <c r="M14" s="0" t="n">
        <v>54364</v>
      </c>
      <c r="N14" s="0" t="n">
        <v>39207</v>
      </c>
      <c r="O14" s="0" t="n">
        <v>698034</v>
      </c>
      <c r="P14" s="0" t="n">
        <v>1120790</v>
      </c>
      <c r="Q14" s="0" t="n">
        <v>422677</v>
      </c>
      <c r="R14" s="0" t="n">
        <v>225135</v>
      </c>
      <c r="S14" s="0" t="n">
        <v>122982</v>
      </c>
      <c r="T14" s="0" t="n">
        <v>1514.1</v>
      </c>
      <c r="U14" s="0" t="n">
        <v>215</v>
      </c>
      <c r="AA14" s="0" t="s">
        <v>17</v>
      </c>
      <c r="AB14" s="0" t="s">
        <v>14</v>
      </c>
      <c r="AC14" s="0" t="n">
        <v>54.35</v>
      </c>
    </row>
    <row r="15" customFormat="false" ht="15" hidden="false" customHeight="false" outlineLevel="0" collapsed="false">
      <c r="A15" s="0" t="s">
        <v>77</v>
      </c>
      <c r="B15" s="0" t="n">
        <v>628897</v>
      </c>
      <c r="C15" s="0" t="n">
        <v>284964</v>
      </c>
      <c r="D15" s="0" t="n">
        <v>343932</v>
      </c>
      <c r="E15" s="0" t="n">
        <v>54.7</v>
      </c>
      <c r="F15" s="0" t="n">
        <v>110611</v>
      </c>
      <c r="G15" s="0" t="n">
        <v>17.6</v>
      </c>
      <c r="H15" s="0" t="n">
        <v>162969</v>
      </c>
      <c r="I15" s="0" t="n">
        <v>85211</v>
      </c>
      <c r="J15" s="0" t="n">
        <v>13.5</v>
      </c>
      <c r="K15" s="0" t="n">
        <v>56.305</v>
      </c>
      <c r="L15" s="0" t="n">
        <v>117479</v>
      </c>
      <c r="M15" s="0" t="n">
        <v>83484</v>
      </c>
      <c r="N15" s="0" t="n">
        <v>33995</v>
      </c>
      <c r="O15" s="0" t="n">
        <v>754813</v>
      </c>
      <c r="P15" s="0" t="n">
        <v>1241355</v>
      </c>
      <c r="Q15" s="0" t="n">
        <v>486472</v>
      </c>
      <c r="R15" s="0" t="n">
        <v>246194</v>
      </c>
      <c r="S15" s="0" t="n">
        <v>166898</v>
      </c>
      <c r="T15" s="0" t="n">
        <v>1513.4</v>
      </c>
      <c r="U15" s="0" t="n">
        <v>194</v>
      </c>
      <c r="AA15" s="0" t="s">
        <v>17</v>
      </c>
      <c r="AB15" s="0" t="s">
        <v>14</v>
      </c>
      <c r="AC15" s="0" t="n">
        <v>56.98</v>
      </c>
    </row>
    <row r="16" customFormat="false" ht="15" hidden="false" customHeight="false" outlineLevel="0" collapsed="false">
      <c r="A16" s="0" t="s">
        <v>78</v>
      </c>
      <c r="B16" s="0" t="n">
        <v>613842</v>
      </c>
      <c r="C16" s="0" t="n">
        <v>287219</v>
      </c>
      <c r="D16" s="0" t="n">
        <v>326623</v>
      </c>
      <c r="E16" s="0" t="n">
        <v>53.2</v>
      </c>
      <c r="F16" s="0" t="n">
        <v>98386</v>
      </c>
      <c r="G16" s="0" t="n">
        <v>16</v>
      </c>
      <c r="H16" s="0" t="n">
        <v>152318</v>
      </c>
      <c r="I16" s="0" t="n">
        <v>77268</v>
      </c>
      <c r="J16" s="0" t="n">
        <v>12.6</v>
      </c>
      <c r="K16" s="0" t="n">
        <v>51.055</v>
      </c>
      <c r="L16" s="0" t="n">
        <v>121485</v>
      </c>
      <c r="M16" s="0" t="n">
        <v>83124</v>
      </c>
      <c r="N16" s="0" t="n">
        <v>38361</v>
      </c>
      <c r="O16" s="0" t="n">
        <v>856662</v>
      </c>
      <c r="P16" s="0" t="n">
        <v>1351192</v>
      </c>
      <c r="Q16" s="0" t="n">
        <v>494530</v>
      </c>
      <c r="R16" s="0" t="n">
        <v>260569</v>
      </c>
      <c r="S16" s="0" t="n">
        <v>200770</v>
      </c>
      <c r="T16" s="0" t="n">
        <v>1513.4</v>
      </c>
      <c r="U16" s="0" t="n">
        <v>249</v>
      </c>
      <c r="AA16" s="0" t="s">
        <v>17</v>
      </c>
      <c r="AB16" s="0" t="s">
        <v>14</v>
      </c>
      <c r="AC16" s="0" t="n">
        <v>51.165</v>
      </c>
    </row>
    <row r="17" customFormat="false" ht="15" hidden="false" customHeight="false" outlineLevel="0" collapsed="false">
      <c r="A17" s="0" t="s">
        <v>79</v>
      </c>
      <c r="B17" s="0" t="n">
        <v>703303</v>
      </c>
      <c r="C17" s="0" t="n">
        <v>333962</v>
      </c>
      <c r="D17" s="0" t="n">
        <v>369341</v>
      </c>
      <c r="E17" s="0" t="n">
        <v>52.5</v>
      </c>
      <c r="F17" s="0" t="n">
        <v>115960</v>
      </c>
      <c r="G17" s="0" t="n">
        <v>16.5</v>
      </c>
      <c r="H17" s="0" t="n">
        <v>174842</v>
      </c>
      <c r="I17" s="0" t="n">
        <v>88813</v>
      </c>
      <c r="J17" s="0" t="n">
        <v>12.6</v>
      </c>
      <c r="K17" s="0" t="n">
        <v>58.69</v>
      </c>
      <c r="L17" s="0" t="n">
        <v>141467</v>
      </c>
      <c r="M17" s="0" t="n">
        <v>74105</v>
      </c>
      <c r="N17" s="0" t="n">
        <v>67362</v>
      </c>
      <c r="O17" s="0" t="n">
        <v>1012313</v>
      </c>
      <c r="P17" s="0" t="n">
        <v>1473693</v>
      </c>
      <c r="Q17" s="0" t="n">
        <v>461379</v>
      </c>
      <c r="R17" s="0" t="n">
        <v>225996</v>
      </c>
      <c r="S17" s="0" t="n">
        <v>205251</v>
      </c>
      <c r="T17" s="0" t="n">
        <v>1513.3</v>
      </c>
      <c r="U17" s="0" t="n">
        <v>241</v>
      </c>
      <c r="AA17" s="0" t="s">
        <v>17</v>
      </c>
      <c r="AB17" s="0" t="s">
        <v>14</v>
      </c>
      <c r="AC17" s="0" t="n">
        <v>58.725</v>
      </c>
    </row>
    <row r="18" customFormat="false" ht="15" hidden="false" customHeight="false" outlineLevel="0" collapsed="false">
      <c r="A18" s="0" t="s">
        <v>80</v>
      </c>
      <c r="B18" s="0" t="n">
        <v>820209</v>
      </c>
      <c r="C18" s="0" t="n">
        <v>402839</v>
      </c>
      <c r="D18" s="0" t="n">
        <v>417369</v>
      </c>
      <c r="E18" s="0" t="n">
        <v>50.9</v>
      </c>
      <c r="F18" s="0" t="n">
        <v>117332</v>
      </c>
      <c r="G18" s="0" t="n">
        <v>14.3</v>
      </c>
      <c r="H18" s="0" t="n">
        <v>187570</v>
      </c>
      <c r="I18" s="0" t="n">
        <v>89325</v>
      </c>
      <c r="J18" s="0" t="n">
        <v>10.9</v>
      </c>
      <c r="K18" s="0" t="n">
        <v>59.475</v>
      </c>
      <c r="L18" s="0" t="n">
        <v>117536</v>
      </c>
      <c r="M18" s="0" t="n">
        <v>72173</v>
      </c>
      <c r="N18" s="0" t="n">
        <v>45363</v>
      </c>
      <c r="O18" s="0" t="n">
        <v>1111063</v>
      </c>
      <c r="P18" s="0" t="n">
        <v>1602225</v>
      </c>
      <c r="Q18" s="0" t="n">
        <v>491162</v>
      </c>
      <c r="R18" s="0" t="n">
        <v>231937</v>
      </c>
      <c r="S18" s="0" t="n">
        <v>187322</v>
      </c>
      <c r="T18" s="0" t="n">
        <v>1501.9</v>
      </c>
      <c r="U18" s="0" t="n">
        <v>318</v>
      </c>
      <c r="AA18" s="0" t="s">
        <v>17</v>
      </c>
      <c r="AB18" s="0" t="s">
        <v>14</v>
      </c>
      <c r="AC18" s="0" t="n">
        <v>59.5</v>
      </c>
    </row>
    <row r="19" customFormat="false" ht="15" hidden="false" customHeight="false" outlineLevel="0" collapsed="false">
      <c r="A19" s="0" t="s">
        <v>81</v>
      </c>
      <c r="B19" s="0" t="n">
        <v>921863</v>
      </c>
      <c r="C19" s="0" t="n">
        <v>442688</v>
      </c>
      <c r="D19" s="0" t="n">
        <v>479174</v>
      </c>
      <c r="E19" s="0" t="n">
        <v>52</v>
      </c>
      <c r="F19" s="0" t="n">
        <v>140096</v>
      </c>
      <c r="G19" s="0" t="n">
        <v>15.2</v>
      </c>
      <c r="H19" s="0" t="n">
        <v>216841</v>
      </c>
      <c r="I19" s="0" t="n">
        <v>106374</v>
      </c>
      <c r="J19" s="0" t="n">
        <v>11.5</v>
      </c>
      <c r="K19" s="0" t="n">
        <v>71.47</v>
      </c>
      <c r="L19" s="0" t="n">
        <v>146330</v>
      </c>
      <c r="M19" s="0" t="n">
        <v>78774</v>
      </c>
      <c r="N19" s="0" t="n">
        <v>67556</v>
      </c>
      <c r="O19" s="0" t="n">
        <v>1327090</v>
      </c>
      <c r="P19" s="0" t="n">
        <v>1831402</v>
      </c>
      <c r="Q19" s="0" t="n">
        <v>504311</v>
      </c>
      <c r="R19" s="0" t="n">
        <v>231848</v>
      </c>
      <c r="S19" s="0" t="n">
        <v>204883</v>
      </c>
      <c r="T19" s="0" t="n">
        <v>1488.4</v>
      </c>
      <c r="U19" s="0" t="n">
        <v>338</v>
      </c>
      <c r="AA19" s="0" t="s">
        <v>17</v>
      </c>
      <c r="AB19" s="0" t="s">
        <v>14</v>
      </c>
      <c r="AC19" s="0" t="n">
        <v>71.5</v>
      </c>
    </row>
    <row r="20" customFormat="false" ht="15" hidden="false" customHeight="false" outlineLevel="0" collapsed="false">
      <c r="A20" s="0" t="s">
        <v>82</v>
      </c>
      <c r="B20" s="0" t="n">
        <v>1036171</v>
      </c>
      <c r="C20" s="0" t="n">
        <v>475501</v>
      </c>
      <c r="D20" s="0" t="n">
        <v>560670</v>
      </c>
      <c r="E20" s="0" t="n">
        <v>54.1</v>
      </c>
      <c r="F20" s="0" t="n">
        <v>157668</v>
      </c>
      <c r="G20" s="0" t="n">
        <v>15.2</v>
      </c>
      <c r="H20" s="0" t="n">
        <v>243117</v>
      </c>
      <c r="I20" s="0" t="n">
        <v>116978</v>
      </c>
      <c r="J20" s="0" t="n">
        <v>11.3</v>
      </c>
      <c r="K20" s="0" t="n">
        <v>78.99</v>
      </c>
      <c r="L20" s="0" t="n">
        <v>210802</v>
      </c>
      <c r="M20" s="0" t="n">
        <v>82365</v>
      </c>
      <c r="N20" s="0" t="n">
        <v>128437</v>
      </c>
      <c r="O20" s="0" t="n">
        <v>1368535</v>
      </c>
      <c r="P20" s="0" t="n">
        <v>1828393</v>
      </c>
      <c r="Q20" s="0" t="n">
        <v>459857</v>
      </c>
      <c r="R20" s="0" t="n">
        <v>174838</v>
      </c>
      <c r="S20" s="0" t="n">
        <v>221872</v>
      </c>
      <c r="T20" s="0" t="n">
        <v>1480.9</v>
      </c>
      <c r="U20" s="0" t="n">
        <v>306</v>
      </c>
      <c r="AA20" s="0" t="s">
        <v>17</v>
      </c>
      <c r="AB20" s="0" t="s">
        <v>14</v>
      </c>
      <c r="AC20" s="0" t="n">
        <v>79.01</v>
      </c>
    </row>
    <row r="21" customFormat="false" ht="15" hidden="false" customHeight="false" outlineLevel="0" collapsed="false">
      <c r="A21" s="0" t="s">
        <v>83</v>
      </c>
      <c r="B21" s="0" t="n">
        <v>1131877</v>
      </c>
      <c r="C21" s="0" t="n">
        <v>537201</v>
      </c>
      <c r="D21" s="0" t="n">
        <v>594675</v>
      </c>
      <c r="E21" s="0" t="n">
        <v>52.5</v>
      </c>
      <c r="F21" s="0" t="n">
        <v>176320</v>
      </c>
      <c r="G21" s="0" t="n">
        <v>15.6</v>
      </c>
      <c r="H21" s="0" t="n">
        <v>271699</v>
      </c>
      <c r="I21" s="0" t="n">
        <v>135914</v>
      </c>
      <c r="J21" s="0" t="n">
        <v>12</v>
      </c>
      <c r="K21" s="0" t="n">
        <v>92.12</v>
      </c>
      <c r="L21" s="0" t="n">
        <v>230852</v>
      </c>
      <c r="M21" s="0" t="n">
        <v>101963</v>
      </c>
      <c r="N21" s="0" t="n">
        <v>128889</v>
      </c>
      <c r="O21" s="0" t="n">
        <v>1584509</v>
      </c>
      <c r="P21" s="0" t="n">
        <v>2312234</v>
      </c>
      <c r="Q21" s="0" t="n">
        <v>727725</v>
      </c>
      <c r="R21" s="0" t="n">
        <v>379796</v>
      </c>
      <c r="S21" s="0" t="n">
        <v>280494</v>
      </c>
      <c r="T21" s="0" t="n">
        <v>1475.4</v>
      </c>
      <c r="U21" s="0" t="n">
        <v>341</v>
      </c>
      <c r="AA21" s="0" t="s">
        <v>17</v>
      </c>
      <c r="AB21" s="0" t="s">
        <v>14</v>
      </c>
      <c r="AC21" s="0" t="n">
        <v>92.14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84</v>
      </c>
      <c r="B1" s="2" t="s">
        <v>85</v>
      </c>
    </row>
    <row r="2" customFormat="false" ht="15" hidden="false" customHeight="false" outlineLevel="0" collapsed="false">
      <c r="A2" s="0" t="s">
        <v>86</v>
      </c>
      <c r="B2" s="3" t="n">
        <v>2404.5</v>
      </c>
    </row>
    <row r="3" customFormat="false" ht="15" hidden="false" customHeight="false" outlineLevel="0" collapsed="false">
      <c r="A3" s="0" t="s">
        <v>87</v>
      </c>
      <c r="B3" s="3" t="n">
        <v>1475.4</v>
      </c>
    </row>
    <row r="4" customFormat="false" ht="15" hidden="false" customHeight="false" outlineLevel="0" collapsed="false">
      <c r="A4" s="0" t="s">
        <v>88</v>
      </c>
      <c r="B4" s="3" t="n">
        <v>74829</v>
      </c>
    </row>
    <row r="5" customFormat="false" ht="15" hidden="false" customHeight="false" outlineLevel="0" collapsed="false">
      <c r="A5" s="0" t="s">
        <v>89</v>
      </c>
      <c r="B5" s="3" t="n">
        <v>0</v>
      </c>
    </row>
    <row r="6" customFormat="false" ht="15" hidden="false" customHeight="false" outlineLevel="0" collapsed="false">
      <c r="A6" s="0" t="s">
        <v>90</v>
      </c>
      <c r="B6" s="3" t="n">
        <v>15</v>
      </c>
    </row>
    <row r="7" customFormat="false" ht="15" hidden="false" customHeight="false" outlineLevel="0" collapsed="false">
      <c r="A7" s="0" t="s">
        <v>91</v>
      </c>
      <c r="B7" s="3" t="n">
        <v>1131877</v>
      </c>
    </row>
    <row r="8" customFormat="false" ht="15" hidden="false" customHeight="false" outlineLevel="0" collapsed="false">
      <c r="A8" s="0" t="s">
        <v>92</v>
      </c>
      <c r="B8" s="3" t="s">
        <v>83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7</v>
      </c>
      <c r="D13" s="3" t="n">
        <v>1</v>
      </c>
      <c r="E13" s="3" t="n">
        <v>3.5</v>
      </c>
      <c r="F13" s="3" t="n">
        <v>4</v>
      </c>
      <c r="G13" s="3" t="n">
        <v>4</v>
      </c>
      <c r="H13" s="3" t="n">
        <v>3.5</v>
      </c>
      <c r="I13" s="3" t="n">
        <v>3.5</v>
      </c>
      <c r="J13" s="3" t="n">
        <v>3</v>
      </c>
      <c r="K13" s="3" t="n">
        <v>3</v>
      </c>
      <c r="L13" s="3" t="n">
        <v>2.5</v>
      </c>
    </row>
    <row r="14" customFormat="false" ht="15" hidden="false" customHeight="false" outlineLevel="0" collapsed="false">
      <c r="A14" s="0" t="s">
        <v>108</v>
      </c>
      <c r="C14" s="3" t="n">
        <v>23</v>
      </c>
      <c r="D14" s="3" t="n">
        <v>23.5</v>
      </c>
      <c r="E14" s="3" t="n">
        <v>24</v>
      </c>
      <c r="F14" s="3" t="n">
        <v>24</v>
      </c>
      <c r="G14" s="3" t="n">
        <v>24</v>
      </c>
      <c r="H14" s="3" t="n">
        <v>24</v>
      </c>
      <c r="I14" s="3" t="n">
        <v>24</v>
      </c>
      <c r="J14" s="3" t="n">
        <v>24</v>
      </c>
      <c r="K14" s="3" t="n">
        <v>24</v>
      </c>
      <c r="L14" s="3" t="n">
        <v>24</v>
      </c>
    </row>
    <row r="15" customFormat="false" ht="15" hidden="false" customHeight="false" outlineLevel="0" collapsed="false">
      <c r="A15" s="0" t="s">
        <v>109</v>
      </c>
      <c r="C15" s="3" t="n">
        <v>0.03</v>
      </c>
      <c r="D15" s="3" t="n">
        <v>0.03</v>
      </c>
      <c r="E15" s="3" t="n">
        <v>0.03</v>
      </c>
      <c r="F15" s="3" t="n">
        <v>0.03</v>
      </c>
      <c r="G15" s="3" t="n">
        <v>0.03</v>
      </c>
      <c r="H15" s="3" t="n">
        <v>0.03</v>
      </c>
      <c r="I15" s="3" t="n">
        <v>0.03</v>
      </c>
      <c r="J15" s="3" t="n">
        <v>0.03</v>
      </c>
      <c r="K15" s="3" t="n">
        <v>0.03</v>
      </c>
      <c r="L15" s="3" t="n">
        <v>0.03</v>
      </c>
    </row>
    <row r="16" customFormat="false" ht="15" hidden="false" customHeight="false" outlineLevel="0" collapsed="false">
      <c r="A16" s="0" t="s">
        <v>110</v>
      </c>
      <c r="C16" s="3" t="n">
        <v>0.8</v>
      </c>
      <c r="D16" s="3" t="n">
        <v>0.8</v>
      </c>
      <c r="E16" s="3" t="n">
        <v>0.8</v>
      </c>
      <c r="F16" s="3" t="n">
        <v>0.8</v>
      </c>
      <c r="G16" s="3" t="n">
        <v>0.8</v>
      </c>
      <c r="H16" s="3" t="n">
        <v>0.8</v>
      </c>
      <c r="I16" s="3" t="n">
        <v>0.8</v>
      </c>
      <c r="J16" s="3" t="n">
        <v>0.8</v>
      </c>
      <c r="K16" s="3" t="n">
        <v>0.8</v>
      </c>
      <c r="L16" s="3" t="n">
        <v>0.8</v>
      </c>
    </row>
    <row r="17" customFormat="false" ht="15" hidden="false" customHeight="false" outlineLevel="0" collapsed="false">
      <c r="A17" s="0" t="s">
        <v>111</v>
      </c>
      <c r="C17" s="3" t="n">
        <v>7.8</v>
      </c>
      <c r="D17" s="3" t="n">
        <v>7.8</v>
      </c>
      <c r="E17" s="3" t="n">
        <v>7.8</v>
      </c>
      <c r="F17" s="3" t="n">
        <v>7.8</v>
      </c>
      <c r="G17" s="3" t="n">
        <v>7.7</v>
      </c>
      <c r="H17" s="3" t="n">
        <v>7.7</v>
      </c>
      <c r="I17" s="3" t="n">
        <v>7.7</v>
      </c>
      <c r="J17" s="3" t="n">
        <v>7.6</v>
      </c>
      <c r="K17" s="3" t="n">
        <v>7.6</v>
      </c>
      <c r="L17" s="3" t="n">
        <v>7.6</v>
      </c>
    </row>
    <row r="18" customFormat="false" ht="15" hidden="false" customHeight="false" outlineLevel="0" collapsed="false">
      <c r="A18" s="0" t="s">
        <v>112</v>
      </c>
      <c r="C18" s="3" t="n">
        <v>8.8</v>
      </c>
      <c r="D18" s="3" t="n">
        <v>8.8</v>
      </c>
      <c r="E18" s="3" t="n">
        <v>8.5</v>
      </c>
      <c r="F18" s="3" t="n">
        <v>8.5</v>
      </c>
      <c r="G18" s="3" t="n">
        <v>8.3</v>
      </c>
      <c r="H18" s="3" t="n">
        <v>8.3</v>
      </c>
      <c r="I18" s="3" t="n">
        <v>8</v>
      </c>
      <c r="J18" s="3" t="n">
        <v>8</v>
      </c>
      <c r="K18" s="3" t="n">
        <v>8</v>
      </c>
      <c r="L18" s="3" t="n">
        <v>8</v>
      </c>
    </row>
    <row r="19" customFormat="false" ht="15" hidden="false" customHeight="false" outlineLevel="0" collapsed="false">
      <c r="A19" s="0" t="s">
        <v>113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114</v>
      </c>
      <c r="B20" s="3" t="n">
        <v>7</v>
      </c>
    </row>
    <row r="21" customFormat="false" ht="15" hidden="false" customHeight="false" outlineLevel="0" collapsed="false">
      <c r="A21" s="0" t="s">
        <v>115</v>
      </c>
      <c r="B21" s="3" t="n">
        <v>2</v>
      </c>
    </row>
    <row r="22" customFormat="false" ht="15" hidden="false" customHeight="false" outlineLevel="0" collapsed="false">
      <c r="A22" s="0" t="s">
        <v>116</v>
      </c>
      <c r="B22" s="3" t="n">
        <v>20</v>
      </c>
    </row>
    <row r="23" customFormat="false" ht="15" hidden="false" customHeight="false" outlineLevel="0" collapsed="false">
      <c r="A23" s="0" t="s">
        <v>117</v>
      </c>
      <c r="B23" s="3" t="n">
        <v>-18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9.5</v>
      </c>
      <c r="D27" s="3" t="n">
        <v>5</v>
      </c>
      <c r="E27" s="3" t="n">
        <v>7</v>
      </c>
      <c r="F27" s="3" t="n">
        <v>6.5</v>
      </c>
      <c r="G27" s="3" t="n">
        <v>6</v>
      </c>
      <c r="H27" s="3" t="n">
        <v>5.5</v>
      </c>
      <c r="I27" s="3" t="n">
        <v>5</v>
      </c>
      <c r="J27" s="3" t="n">
        <v>4.5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108</v>
      </c>
      <c r="C28" s="3" t="n">
        <v>24.5</v>
      </c>
      <c r="D28" s="3" t="n">
        <v>25.5</v>
      </c>
      <c r="E28" s="3" t="n">
        <v>26</v>
      </c>
      <c r="F28" s="3" t="n">
        <v>26.5</v>
      </c>
      <c r="G28" s="3" t="n">
        <v>26.5</v>
      </c>
      <c r="H28" s="3" t="n">
        <v>26.5</v>
      </c>
      <c r="I28" s="3" t="n">
        <v>26.5</v>
      </c>
      <c r="J28" s="3" t="n">
        <v>26.5</v>
      </c>
      <c r="K28" s="3" t="n">
        <v>26.5</v>
      </c>
      <c r="L28" s="3" t="n">
        <v>26.5</v>
      </c>
    </row>
    <row r="29" customFormat="false" ht="15" hidden="false" customHeight="false" outlineLevel="0" collapsed="false">
      <c r="A29" s="0" t="s">
        <v>109</v>
      </c>
      <c r="C29" s="3" t="n">
        <v>0.03</v>
      </c>
      <c r="D29" s="3" t="n">
        <v>0.03</v>
      </c>
      <c r="E29" s="3" t="n">
        <v>0.03</v>
      </c>
      <c r="F29" s="3" t="n">
        <v>0.03</v>
      </c>
      <c r="G29" s="3" t="n">
        <v>0.03</v>
      </c>
      <c r="H29" s="3" t="n">
        <v>0.03</v>
      </c>
      <c r="I29" s="3" t="n">
        <v>0.03</v>
      </c>
      <c r="J29" s="3" t="n">
        <v>0.03</v>
      </c>
      <c r="K29" s="3" t="n">
        <v>0.03</v>
      </c>
      <c r="L29" s="3" t="n">
        <v>0.03</v>
      </c>
    </row>
    <row r="30" customFormat="false" ht="15" hidden="false" customHeight="false" outlineLevel="0" collapsed="false">
      <c r="A30" s="0" t="s">
        <v>110</v>
      </c>
      <c r="C30" s="3" t="n">
        <v>0.8</v>
      </c>
      <c r="D30" s="3" t="n">
        <v>0.8</v>
      </c>
      <c r="E30" s="3" t="n">
        <v>0.8</v>
      </c>
      <c r="F30" s="3" t="n">
        <v>0.8</v>
      </c>
      <c r="G30" s="3" t="n">
        <v>0.8</v>
      </c>
      <c r="H30" s="3" t="n">
        <v>0.8</v>
      </c>
      <c r="I30" s="3" t="n">
        <v>0.8</v>
      </c>
      <c r="J30" s="3" t="n">
        <v>0.8</v>
      </c>
      <c r="K30" s="3" t="n">
        <v>0.8</v>
      </c>
      <c r="L30" s="3" t="n">
        <v>0.8</v>
      </c>
    </row>
    <row r="31" customFormat="false" ht="15" hidden="false" customHeight="false" outlineLevel="0" collapsed="false">
      <c r="A31" s="0" t="s">
        <v>111</v>
      </c>
      <c r="C31" s="3" t="n">
        <v>7.8</v>
      </c>
      <c r="D31" s="3" t="n">
        <v>7.8</v>
      </c>
      <c r="E31" s="3" t="n">
        <v>7.7</v>
      </c>
      <c r="F31" s="3" t="n">
        <v>7.7</v>
      </c>
      <c r="G31" s="3" t="n">
        <v>7.6</v>
      </c>
      <c r="H31" s="3" t="n">
        <v>7.6</v>
      </c>
      <c r="I31" s="3" t="n">
        <v>7.5</v>
      </c>
      <c r="J31" s="3" t="n">
        <v>7.5</v>
      </c>
      <c r="K31" s="3" t="n">
        <v>7.5</v>
      </c>
      <c r="L31" s="3" t="n">
        <v>7.5</v>
      </c>
    </row>
    <row r="32" customFormat="false" ht="15" hidden="false" customHeight="false" outlineLevel="0" collapsed="false">
      <c r="A32" s="0" t="s">
        <v>112</v>
      </c>
      <c r="C32" s="3" t="n">
        <v>8.5</v>
      </c>
      <c r="D32" s="3" t="n">
        <v>8.5</v>
      </c>
      <c r="E32" s="3" t="n">
        <v>8.2</v>
      </c>
      <c r="F32" s="3" t="n">
        <v>8</v>
      </c>
      <c r="G32" s="3" t="n">
        <v>8</v>
      </c>
      <c r="H32" s="3" t="n">
        <v>7.8</v>
      </c>
      <c r="I32" s="3" t="n">
        <v>7.8</v>
      </c>
      <c r="J32" s="3" t="n">
        <v>7.8</v>
      </c>
      <c r="K32" s="3" t="n">
        <v>7.8</v>
      </c>
      <c r="L32" s="3" t="n">
        <v>7.8</v>
      </c>
    </row>
    <row r="33" customFormat="false" ht="15" hidden="false" customHeight="false" outlineLevel="0" collapsed="false">
      <c r="A33" s="0" t="s">
        <v>113</v>
      </c>
      <c r="C33" s="3" t="n">
        <v>25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114</v>
      </c>
      <c r="B34" s="3" t="n">
        <v>7</v>
      </c>
    </row>
    <row r="35" customFormat="false" ht="15" hidden="false" customHeight="false" outlineLevel="0" collapsed="false">
      <c r="A35" s="0" t="s">
        <v>115</v>
      </c>
      <c r="B35" s="3" t="n">
        <v>2.5</v>
      </c>
    </row>
    <row r="36" customFormat="false" ht="15" hidden="false" customHeight="false" outlineLevel="0" collapsed="false">
      <c r="A36" s="0" t="s">
        <v>116</v>
      </c>
      <c r="B36" s="3" t="n">
        <v>20</v>
      </c>
    </row>
    <row r="37" customFormat="false" ht="15" hidden="false" customHeight="false" outlineLevel="0" collapsed="false">
      <c r="A37" s="0" t="s">
        <v>117</v>
      </c>
      <c r="B37" s="3" t="n">
        <v>-15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10.5</v>
      </c>
      <c r="D41" s="3" t="n">
        <v>7.5</v>
      </c>
      <c r="E41" s="3" t="n">
        <v>9</v>
      </c>
      <c r="F41" s="3" t="n">
        <v>8.5</v>
      </c>
      <c r="G41" s="3" t="n">
        <v>8</v>
      </c>
      <c r="H41" s="3" t="n">
        <v>7</v>
      </c>
      <c r="I41" s="3" t="n">
        <v>6.5</v>
      </c>
      <c r="J41" s="3" t="n">
        <v>6</v>
      </c>
      <c r="K41" s="3" t="n">
        <v>5</v>
      </c>
      <c r="L41" s="3" t="n">
        <v>4</v>
      </c>
    </row>
    <row r="42" customFormat="false" ht="15" hidden="false" customHeight="false" outlineLevel="0" collapsed="false">
      <c r="A42" s="0" t="s">
        <v>108</v>
      </c>
      <c r="C42" s="3" t="n">
        <v>25.5</v>
      </c>
      <c r="D42" s="3" t="n">
        <v>27</v>
      </c>
      <c r="E42" s="3" t="n">
        <v>27.5</v>
      </c>
      <c r="F42" s="3" t="n">
        <v>28</v>
      </c>
      <c r="G42" s="3" t="n">
        <v>28.5</v>
      </c>
      <c r="H42" s="3" t="n">
        <v>28.5</v>
      </c>
      <c r="I42" s="3" t="n">
        <v>28.5</v>
      </c>
      <c r="J42" s="3" t="n">
        <v>28.5</v>
      </c>
      <c r="K42" s="3" t="n">
        <v>28.5</v>
      </c>
      <c r="L42" s="3" t="n">
        <v>28.5</v>
      </c>
    </row>
    <row r="43" customFormat="false" ht="15" hidden="false" customHeight="false" outlineLevel="0" collapsed="false">
      <c r="A43" s="0" t="s">
        <v>109</v>
      </c>
      <c r="C43" s="3" t="n">
        <v>0.03</v>
      </c>
      <c r="D43" s="3" t="n">
        <v>0.03</v>
      </c>
      <c r="E43" s="3" t="n">
        <v>0.03</v>
      </c>
      <c r="F43" s="3" t="n">
        <v>0.03</v>
      </c>
      <c r="G43" s="3" t="n">
        <v>0.03</v>
      </c>
      <c r="H43" s="3" t="n">
        <v>0.03</v>
      </c>
      <c r="I43" s="3" t="n">
        <v>0.03</v>
      </c>
      <c r="J43" s="3" t="n">
        <v>0.03</v>
      </c>
      <c r="K43" s="3" t="n">
        <v>0.03</v>
      </c>
      <c r="L43" s="3" t="n">
        <v>0.03</v>
      </c>
    </row>
    <row r="44" customFormat="false" ht="15" hidden="false" customHeight="false" outlineLevel="0" collapsed="false">
      <c r="A44" s="0" t="s">
        <v>110</v>
      </c>
      <c r="C44" s="3" t="n">
        <v>0.8</v>
      </c>
      <c r="D44" s="3" t="n">
        <v>0.8</v>
      </c>
      <c r="E44" s="3" t="n">
        <v>0.8</v>
      </c>
      <c r="F44" s="3" t="n">
        <v>0.8</v>
      </c>
      <c r="G44" s="3" t="n">
        <v>0.8</v>
      </c>
      <c r="H44" s="3" t="n">
        <v>0.8</v>
      </c>
      <c r="I44" s="3" t="n">
        <v>0.8</v>
      </c>
      <c r="J44" s="3" t="n">
        <v>0.8</v>
      </c>
      <c r="K44" s="3" t="n">
        <v>0.8</v>
      </c>
      <c r="L44" s="3" t="n">
        <v>0.8</v>
      </c>
    </row>
    <row r="45" customFormat="false" ht="15" hidden="false" customHeight="false" outlineLevel="0" collapsed="false">
      <c r="A45" s="0" t="s">
        <v>111</v>
      </c>
      <c r="C45" s="3" t="n">
        <v>7.8</v>
      </c>
      <c r="D45" s="3" t="n">
        <v>7.8</v>
      </c>
      <c r="E45" s="3" t="n">
        <v>7.7</v>
      </c>
      <c r="F45" s="3" t="n">
        <v>7.7</v>
      </c>
      <c r="G45" s="3" t="n">
        <v>7.6</v>
      </c>
      <c r="H45" s="3" t="n">
        <v>7.6</v>
      </c>
      <c r="I45" s="3" t="n">
        <v>7.5</v>
      </c>
      <c r="J45" s="3" t="n">
        <v>7.5</v>
      </c>
      <c r="K45" s="3" t="n">
        <v>7.5</v>
      </c>
      <c r="L45" s="3" t="n">
        <v>7.5</v>
      </c>
    </row>
    <row r="46" customFormat="false" ht="15" hidden="false" customHeight="false" outlineLevel="0" collapsed="false">
      <c r="A46" s="0" t="s">
        <v>112</v>
      </c>
      <c r="C46" s="3" t="n">
        <v>8.5</v>
      </c>
      <c r="D46" s="3" t="n">
        <v>8.5</v>
      </c>
      <c r="E46" s="3" t="n">
        <v>8.2</v>
      </c>
      <c r="F46" s="3" t="n">
        <v>8</v>
      </c>
      <c r="G46" s="3" t="n">
        <v>8</v>
      </c>
      <c r="H46" s="3" t="n">
        <v>7.8</v>
      </c>
      <c r="I46" s="3" t="n">
        <v>7.8</v>
      </c>
      <c r="J46" s="3" t="n">
        <v>7.8</v>
      </c>
      <c r="K46" s="3" t="n">
        <v>7.8</v>
      </c>
      <c r="L46" s="3" t="n">
        <v>7.8</v>
      </c>
    </row>
    <row r="47" customFormat="false" ht="15" hidden="false" customHeight="false" outlineLevel="0" collapsed="false">
      <c r="A47" s="0" t="s">
        <v>113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114</v>
      </c>
      <c r="B48" s="3" t="n">
        <v>7</v>
      </c>
    </row>
    <row r="49" customFormat="false" ht="15" hidden="false" customHeight="false" outlineLevel="0" collapsed="false">
      <c r="A49" s="0" t="s">
        <v>115</v>
      </c>
      <c r="B49" s="3" t="n">
        <v>2.5</v>
      </c>
    </row>
    <row r="50" customFormat="false" ht="15" hidden="false" customHeight="false" outlineLevel="0" collapsed="false">
      <c r="A50" s="0" t="s">
        <v>116</v>
      </c>
      <c r="B50" s="3" t="n">
        <v>20</v>
      </c>
    </row>
    <row r="51" customFormat="false" ht="15" hidden="false" customHeight="false" outlineLevel="0" collapsed="false">
      <c r="A51" s="0" t="s">
        <v>117</v>
      </c>
      <c r="B51" s="3" t="n">
        <v>-15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7</v>
      </c>
      <c r="D5" s="4" t="n">
        <f aca="false">Assumptions!D13</f>
        <v>1</v>
      </c>
      <c r="E5" s="4" t="n">
        <f aca="false">Assumptions!E13</f>
        <v>3.5</v>
      </c>
      <c r="F5" s="4" t="n">
        <f aca="false">Assumptions!F13</f>
        <v>4</v>
      </c>
      <c r="G5" s="4" t="n">
        <f aca="false">Assumptions!G13</f>
        <v>4</v>
      </c>
      <c r="H5" s="4" t="n">
        <f aca="false">Assumptions!H13</f>
        <v>3.5</v>
      </c>
      <c r="I5" s="4" t="n">
        <f aca="false">Assumptions!I13</f>
        <v>3.5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1131877</v>
      </c>
      <c r="C6" s="0" t="n">
        <f aca="false">B6*(1+C5/100)</f>
        <v>1211108.39</v>
      </c>
      <c r="D6" s="0" t="n">
        <f aca="false">C6*(1+D5/100)</f>
        <v>1223219.4739</v>
      </c>
      <c r="E6" s="0" t="n">
        <f aca="false">D6*(1+E5/100)</f>
        <v>1266032.1554865</v>
      </c>
      <c r="F6" s="0" t="n">
        <f aca="false">E6*(1+F5/100)</f>
        <v>1316673.44170596</v>
      </c>
      <c r="G6" s="0" t="n">
        <f aca="false">F6*(1+G5/100)</f>
        <v>1369340.3793742</v>
      </c>
      <c r="H6" s="0" t="n">
        <f aca="false">G6*(1+H5/100)</f>
        <v>1417267.2926523</v>
      </c>
      <c r="I6" s="0" t="n">
        <f aca="false">H6*(1+I5/100)</f>
        <v>1466871.64789513</v>
      </c>
      <c r="J6" s="0" t="n">
        <f aca="false">I6*(1+J5/100)</f>
        <v>1510877.79733198</v>
      </c>
      <c r="K6" s="0" t="n">
        <f aca="false">J6*(1+K5/100)</f>
        <v>1556204.13125194</v>
      </c>
      <c r="L6" s="0" t="n">
        <f aca="false">K6*(1+L5/100)</f>
        <v>1595109.23453324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23</v>
      </c>
      <c r="D7" s="4" t="n">
        <f aca="false">Assumptions!D14</f>
        <v>23.5</v>
      </c>
      <c r="E7" s="4" t="n">
        <f aca="false">Assumptions!E14</f>
        <v>24</v>
      </c>
      <c r="F7" s="4" t="n">
        <f aca="false">Assumptions!F14</f>
        <v>24</v>
      </c>
      <c r="G7" s="4" t="n">
        <f aca="false">Assumptions!G14</f>
        <v>24</v>
      </c>
      <c r="H7" s="4" t="n">
        <f aca="false">Assumptions!H14</f>
        <v>24</v>
      </c>
      <c r="I7" s="4" t="n">
        <f aca="false">Assumptions!I14</f>
        <v>24</v>
      </c>
      <c r="J7" s="4" t="n">
        <f aca="false">Assumptions!J14</f>
        <v>24</v>
      </c>
      <c r="K7" s="4" t="n">
        <f aca="false">Assumptions!K14</f>
        <v>24</v>
      </c>
      <c r="L7" s="4" t="n">
        <f aca="false">Assumptions!L14</f>
        <v>24</v>
      </c>
    </row>
    <row r="8" customFormat="false" ht="15" hidden="false" customHeight="false" outlineLevel="0" collapsed="false">
      <c r="A8" s="0" t="s">
        <v>43</v>
      </c>
      <c r="C8" s="0" t="n">
        <f aca="false">C6*C7/100</f>
        <v>278554.9297</v>
      </c>
      <c r="D8" s="0" t="n">
        <f aca="false">D6*D7/100</f>
        <v>287456.5763665</v>
      </c>
      <c r="E8" s="0" t="n">
        <f aca="false">E6*E7/100</f>
        <v>303847.71731676</v>
      </c>
      <c r="F8" s="0" t="n">
        <f aca="false">F6*F7/100</f>
        <v>316001.62600943</v>
      </c>
      <c r="G8" s="0" t="n">
        <f aca="false">G6*G7/100</f>
        <v>328641.691049808</v>
      </c>
      <c r="H8" s="0" t="n">
        <f aca="false">H6*H7/100</f>
        <v>340144.150236551</v>
      </c>
      <c r="I8" s="0" t="n">
        <f aca="false">I6*I7/100</f>
        <v>352049.19549483</v>
      </c>
      <c r="J8" s="0" t="n">
        <f aca="false">J6*J7/100</f>
        <v>362610.671359675</v>
      </c>
      <c r="K8" s="0" t="n">
        <f aca="false">K6*K7/100</f>
        <v>373488.991500465</v>
      </c>
      <c r="L8" s="0" t="n">
        <f aca="false">L6*L7/100</f>
        <v>382826.216287977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0.03</v>
      </c>
      <c r="D9" s="4" t="n">
        <f aca="false">Assumptions!D15</f>
        <v>0.03</v>
      </c>
      <c r="E9" s="4" t="n">
        <f aca="false">Assumptions!E15</f>
        <v>0.03</v>
      </c>
      <c r="F9" s="4" t="n">
        <f aca="false">Assumptions!F15</f>
        <v>0.03</v>
      </c>
      <c r="G9" s="4" t="n">
        <f aca="false">Assumptions!G15</f>
        <v>0.03</v>
      </c>
      <c r="H9" s="4" t="n">
        <f aca="false">Assumptions!H15</f>
        <v>0.03</v>
      </c>
      <c r="I9" s="4" t="n">
        <f aca="false">Assumptions!I15</f>
        <v>0.03</v>
      </c>
      <c r="J9" s="4" t="n">
        <f aca="false">Assumptions!J15</f>
        <v>0.03</v>
      </c>
      <c r="K9" s="4" t="n">
        <f aca="false">Assumptions!K15</f>
        <v>0.03</v>
      </c>
      <c r="L9" s="4" t="n">
        <f aca="false">Assumptions!L15</f>
        <v>0.03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-363.332517</v>
      </c>
      <c r="D10" s="0" t="n">
        <f aca="false">-D6*D9/100</f>
        <v>-366.96584217</v>
      </c>
      <c r="E10" s="0" t="n">
        <f aca="false">-E6*E9/100</f>
        <v>-379.80964664595</v>
      </c>
      <c r="F10" s="0" t="n">
        <f aca="false">-F6*F9/100</f>
        <v>-395.002032511788</v>
      </c>
      <c r="G10" s="0" t="n">
        <f aca="false">-G6*G9/100</f>
        <v>-410.80211381226</v>
      </c>
      <c r="H10" s="0" t="n">
        <f aca="false">-H6*H9/100</f>
        <v>-425.180187795689</v>
      </c>
      <c r="I10" s="0" t="n">
        <f aca="false">-I6*I9/100</f>
        <v>-440.061494368538</v>
      </c>
      <c r="J10" s="0" t="n">
        <f aca="false">-J6*J9/100</f>
        <v>-453.263339199594</v>
      </c>
      <c r="K10" s="0" t="n">
        <f aca="false">-K6*K9/100</f>
        <v>-466.861239375582</v>
      </c>
      <c r="L10" s="0" t="n">
        <f aca="false">-L6*L9/100</f>
        <v>-478.532770359971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268502.730063</v>
      </c>
      <c r="D11" s="0" t="n">
        <f aca="false">D8+D10+D24</f>
        <v>277303.85473313</v>
      </c>
      <c r="E11" s="0" t="n">
        <f aca="false">E8+E10+E24</f>
        <v>293339.650426222</v>
      </c>
      <c r="F11" s="0" t="n">
        <f aca="false">F8+F10+F24</f>
        <v>305073.236443271</v>
      </c>
      <c r="G11" s="0" t="n">
        <f aca="false">G8+G10+G24</f>
        <v>317276.165901002</v>
      </c>
      <c r="H11" s="0" t="n">
        <f aca="false">H8+H10+H24</f>
        <v>328380.831707537</v>
      </c>
      <c r="I11" s="0" t="n">
        <f aca="false">I8+I10+I24</f>
        <v>339874.160817301</v>
      </c>
      <c r="J11" s="0" t="n">
        <f aca="false">J8+J10+J24</f>
        <v>350070.38564182</v>
      </c>
      <c r="K11" s="0" t="n">
        <f aca="false">K8+K10+K24</f>
        <v>360572.497211074</v>
      </c>
      <c r="L11" s="0" t="n">
        <f aca="false">L8+L10+L24</f>
        <v>369586.809641351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-94466.45442</v>
      </c>
      <c r="D12" s="4" t="n">
        <f aca="false">-D6*Assumptions!D17/100</f>
        <v>-95411.1189642</v>
      </c>
      <c r="E12" s="4" t="n">
        <f aca="false">-E6*Assumptions!E17/100</f>
        <v>-98750.508127947</v>
      </c>
      <c r="F12" s="4" t="n">
        <f aca="false">-F6*Assumptions!F17/100</f>
        <v>-102700.528453065</v>
      </c>
      <c r="G12" s="4" t="n">
        <f aca="false">-G6*Assumptions!G17/100</f>
        <v>-105439.209211813</v>
      </c>
      <c r="H12" s="4" t="n">
        <f aca="false">-H6*Assumptions!H17/100</f>
        <v>-109129.581534227</v>
      </c>
      <c r="I12" s="4" t="n">
        <f aca="false">-I6*Assumptions!I17/100</f>
        <v>-112949.116887925</v>
      </c>
      <c r="J12" s="4" t="n">
        <f aca="false">-J6*Assumptions!J17/100</f>
        <v>-114826.71259723</v>
      </c>
      <c r="K12" s="4" t="n">
        <f aca="false">-K6*Assumptions!K17/100</f>
        <v>-118271.513975147</v>
      </c>
      <c r="L12" s="4" t="n">
        <f aca="false">-L6*Assumptions!L17/100</f>
        <v>-121228.301824526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174036.275643</v>
      </c>
      <c r="D13" s="0" t="n">
        <f aca="false">D11+D12</f>
        <v>181892.73576893</v>
      </c>
      <c r="E13" s="0" t="n">
        <f aca="false">E11+E12</f>
        <v>194589.142298275</v>
      </c>
      <c r="F13" s="0" t="n">
        <f aca="false">F11+F12</f>
        <v>202372.707990206</v>
      </c>
      <c r="G13" s="0" t="n">
        <f aca="false">G11+G12</f>
        <v>211836.956689189</v>
      </c>
      <c r="H13" s="0" t="n">
        <f aca="false">H11+H12</f>
        <v>219251.25017331</v>
      </c>
      <c r="I13" s="0" t="n">
        <f aca="false">I11+I12</f>
        <v>226925.043929376</v>
      </c>
      <c r="J13" s="0" t="n">
        <f aca="false">J11+J12</f>
        <v>235243.673044589</v>
      </c>
      <c r="K13" s="0" t="n">
        <f aca="false">K11+K12</f>
        <v>242300.983235927</v>
      </c>
      <c r="L13" s="0" t="n">
        <f aca="false">L11+L12</f>
        <v>248358.507816825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128786.84397582</v>
      </c>
      <c r="D15" s="0" t="n">
        <f aca="false">D13-MAX(0,D13)*D14/100</f>
        <v>134600.624469008</v>
      </c>
      <c r="E15" s="0" t="n">
        <f aca="false">E13-MAX(0,E13)*E14/100</f>
        <v>143995.965300724</v>
      </c>
      <c r="F15" s="0" t="n">
        <f aca="false">F13-MAX(0,F13)*F14/100</f>
        <v>149755.803912752</v>
      </c>
      <c r="G15" s="0" t="n">
        <f aca="false">G13-MAX(0,G13)*G14/100</f>
        <v>156759.34795</v>
      </c>
      <c r="H15" s="0" t="n">
        <f aca="false">H13-MAX(0,H13)*H14/100</f>
        <v>162245.92512825</v>
      </c>
      <c r="I15" s="0" t="n">
        <f aca="false">I13-MAX(0,I13)*I14/100</f>
        <v>167924.532507738</v>
      </c>
      <c r="J15" s="0" t="n">
        <f aca="false">J13-MAX(0,J13)*J14/100</f>
        <v>174080.318052996</v>
      </c>
      <c r="K15" s="0" t="n">
        <f aca="false">K13-MAX(0,K13)*K14/100</f>
        <v>179302.727594586</v>
      </c>
      <c r="L15" s="0" t="n">
        <f aca="false">L13-MAX(0,L13)*L14/100</f>
        <v>183785.295784451</v>
      </c>
    </row>
    <row r="16" customFormat="false" ht="15" hidden="false" customHeight="false" outlineLevel="0" collapsed="false">
      <c r="A16" s="0" t="s">
        <v>129</v>
      </c>
      <c r="C16" s="0" t="n">
        <f aca="false">-C12</f>
        <v>94466.45442</v>
      </c>
      <c r="D16" s="0" t="n">
        <f aca="false">-D12</f>
        <v>95411.1189642</v>
      </c>
      <c r="E16" s="0" t="n">
        <f aca="false">-E12</f>
        <v>98750.508127947</v>
      </c>
      <c r="F16" s="0" t="n">
        <f aca="false">-F12</f>
        <v>102700.528453065</v>
      </c>
      <c r="G16" s="0" t="n">
        <f aca="false">-G12</f>
        <v>105439.209211813</v>
      </c>
      <c r="H16" s="0" t="n">
        <f aca="false">-H12</f>
        <v>109129.581534227</v>
      </c>
      <c r="I16" s="0" t="n">
        <f aca="false">-I12</f>
        <v>112949.116887925</v>
      </c>
      <c r="J16" s="0" t="n">
        <f aca="false">-J12</f>
        <v>114826.71259723</v>
      </c>
      <c r="K16" s="0" t="n">
        <f aca="false">-K12</f>
        <v>118271.513975147</v>
      </c>
      <c r="L16" s="0" t="n">
        <f aca="false">-L12</f>
        <v>121228.301824526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-106577.53832</v>
      </c>
      <c r="D17" s="4" t="n">
        <f aca="false">-D6*Assumptions!D18/100</f>
        <v>-107643.3137032</v>
      </c>
      <c r="E17" s="4" t="n">
        <f aca="false">-E6*Assumptions!E18/100</f>
        <v>-107612.733216353</v>
      </c>
      <c r="F17" s="4" t="n">
        <f aca="false">-F6*Assumptions!F18/100</f>
        <v>-111917.242545007</v>
      </c>
      <c r="G17" s="4" t="n">
        <f aca="false">-G6*Assumptions!G18/100</f>
        <v>-113655.251488058</v>
      </c>
      <c r="H17" s="4" t="n">
        <f aca="false">-H6*Assumptions!H18/100</f>
        <v>-117633.185290141</v>
      </c>
      <c r="I17" s="4" t="n">
        <f aca="false">-I6*Assumptions!I18/100</f>
        <v>-117349.73183161</v>
      </c>
      <c r="J17" s="4" t="n">
        <f aca="false">-J6*Assumptions!J18/100</f>
        <v>-120870.223786558</v>
      </c>
      <c r="K17" s="4" t="n">
        <f aca="false">-K6*Assumptions!K18/100</f>
        <v>-124496.330500155</v>
      </c>
      <c r="L17" s="4" t="n">
        <f aca="false">-L6*Assumptions!L18/100</f>
        <v>-127608.738762659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-14261.6502</v>
      </c>
      <c r="D18" s="4" t="n">
        <f aca="false">(D6-C6)*Assumptions!$B$23/100</f>
        <v>-2179.99510199999</v>
      </c>
      <c r="E18" s="4" t="n">
        <f aca="false">(E6-D6)*Assumptions!$B$23/100</f>
        <v>-7706.28268556996</v>
      </c>
      <c r="F18" s="4" t="n">
        <f aca="false">(F6-E6)*Assumptions!$B$23/100</f>
        <v>-9115.43151950279</v>
      </c>
      <c r="G18" s="4" t="n">
        <f aca="false">(G6-F6)*Assumptions!$B$23/100</f>
        <v>-9480.04878028294</v>
      </c>
      <c r="H18" s="4" t="n">
        <f aca="false">(H6-G6)*Assumptions!$B$23/100</f>
        <v>-8626.84439005743</v>
      </c>
      <c r="I18" s="4" t="n">
        <f aca="false">(I6-H6)*Assumptions!$B$23/100</f>
        <v>-8928.78394370944</v>
      </c>
      <c r="J18" s="4" t="n">
        <f aca="false">(J6-I6)*Assumptions!$B$23/100</f>
        <v>-7921.10689863369</v>
      </c>
      <c r="K18" s="4" t="n">
        <f aca="false">(K6-J6)*Assumptions!$B$23/100</f>
        <v>-8158.74010559269</v>
      </c>
      <c r="L18" s="4" t="n">
        <f aca="false">(L6-K6)*Assumptions!$B$23/100</f>
        <v>-7002.91859063372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102414.10987582</v>
      </c>
      <c r="D19" s="0" t="n">
        <f aca="false">D15+D16+D17+D18</f>
        <v>120188.434628008</v>
      </c>
      <c r="E19" s="0" t="n">
        <f aca="false">E15+E16+E17+E18</f>
        <v>127427.457526748</v>
      </c>
      <c r="F19" s="0" t="n">
        <f aca="false">F15+F16+F17+F18</f>
        <v>131423.658301308</v>
      </c>
      <c r="G19" s="0" t="n">
        <f aca="false">G15+G16+G17+G18</f>
        <v>139063.256893471</v>
      </c>
      <c r="H19" s="0" t="n">
        <f aca="false">H15+H16+H17+H18</f>
        <v>145115.476982278</v>
      </c>
      <c r="I19" s="0" t="n">
        <f aca="false">I15+I16+I17+I18</f>
        <v>154595.133620343</v>
      </c>
      <c r="J19" s="0" t="n">
        <f aca="false">J15+J16+J17+J18</f>
        <v>160115.699965034</v>
      </c>
      <c r="K19" s="0" t="n">
        <f aca="false">K15+K16+K17+K18</f>
        <v>164919.170963985</v>
      </c>
      <c r="L19" s="0" t="n">
        <f aca="false">L15+L16+L17+L18</f>
        <v>170401.940255684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95714.121379271</v>
      </c>
      <c r="D21" s="0" t="n">
        <f aca="false">D19*D20</f>
        <v>104977.233494636</v>
      </c>
      <c r="E21" s="0" t="n">
        <f aca="false">E19*E20</f>
        <v>104018.763036684</v>
      </c>
      <c r="F21" s="0" t="n">
        <f aca="false">F19*F20</f>
        <v>100262.479667838</v>
      </c>
      <c r="G21" s="0" t="n">
        <f aca="false">G19*G20</f>
        <v>99150.1802390321</v>
      </c>
      <c r="H21" s="0" t="n">
        <f aca="false">H19*H20</f>
        <v>96696.5696425652</v>
      </c>
      <c r="I21" s="0" t="n">
        <f aca="false">I19*I20</f>
        <v>96274.0795586827</v>
      </c>
      <c r="J21" s="0" t="n">
        <f aca="false">J19*J20</f>
        <v>93188.795163454</v>
      </c>
      <c r="K21" s="0" t="n">
        <f aca="false">K19*K20</f>
        <v>89705.1018863155</v>
      </c>
      <c r="L21" s="0" t="n">
        <f aca="false">L19*L20</f>
        <v>86623.7057073593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0.8</v>
      </c>
      <c r="D23" s="4" t="n">
        <f aca="false">Assumptions!D16</f>
        <v>0.8</v>
      </c>
      <c r="E23" s="4" t="n">
        <f aca="false">Assumptions!E16</f>
        <v>0.8</v>
      </c>
      <c r="F23" s="4" t="n">
        <f aca="false">Assumptions!F16</f>
        <v>0.8</v>
      </c>
      <c r="G23" s="4" t="n">
        <f aca="false">Assumptions!G16</f>
        <v>0.8</v>
      </c>
      <c r="H23" s="4" t="n">
        <f aca="false">Assumptions!H16</f>
        <v>0.8</v>
      </c>
      <c r="I23" s="4" t="n">
        <f aca="false">Assumptions!I16</f>
        <v>0.8</v>
      </c>
      <c r="J23" s="4" t="n">
        <f aca="false">Assumptions!J16</f>
        <v>0.8</v>
      </c>
      <c r="K23" s="4" t="n">
        <f aca="false">Assumptions!K16</f>
        <v>0.8</v>
      </c>
      <c r="L23" s="4" t="n">
        <f aca="false">Assumptions!L16</f>
        <v>0.8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-9688.86712</v>
      </c>
      <c r="D24" s="0" t="n">
        <f aca="false">-D6*D23/100</f>
        <v>-9785.7557912</v>
      </c>
      <c r="E24" s="0" t="n">
        <f aca="false">-E6*E23/100</f>
        <v>-10128.257243892</v>
      </c>
      <c r="F24" s="0" t="n">
        <f aca="false">-F6*F23/100</f>
        <v>-10533.3875336477</v>
      </c>
      <c r="G24" s="0" t="n">
        <f aca="false">-G6*G23/100</f>
        <v>-10954.7230349936</v>
      </c>
      <c r="H24" s="0" t="n">
        <f aca="false">-H6*H23/100</f>
        <v>-11338.1383412184</v>
      </c>
      <c r="I24" s="0" t="n">
        <f aca="false">-I6*I23/100</f>
        <v>-11734.973183161</v>
      </c>
      <c r="J24" s="0" t="n">
        <f aca="false">-J6*J23/100</f>
        <v>-12087.0223786558</v>
      </c>
      <c r="K24" s="0" t="n">
        <f aca="false">-K6*K23/100</f>
        <v>-12449.6330500155</v>
      </c>
      <c r="L24" s="0" t="n">
        <f aca="false">-L6*L23/100</f>
        <v>-12760.8738762659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966611.029775837</v>
      </c>
    </row>
    <row r="31" customFormat="false" ht="15" hidden="false" customHeight="false" outlineLevel="0" collapsed="false">
      <c r="A31" s="0" t="s">
        <v>138</v>
      </c>
      <c r="B31" s="0" t="n">
        <f aca="false">L19</f>
        <v>170401.940255684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3476199.58121595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3408038.80511368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3408038.80511368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1732474.11414719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2699085.14392302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2624256.14392302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1778.67435537686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-0.260272673995899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2882.73493603389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4962.54061954544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1783.99174425824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1336999.83892921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627.529868609876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9.5</v>
      </c>
      <c r="D5" s="4" t="n">
        <f aca="false">Assumptions!D27</f>
        <v>5</v>
      </c>
      <c r="E5" s="4" t="n">
        <f aca="false">Assumptions!E27</f>
        <v>7</v>
      </c>
      <c r="F5" s="4" t="n">
        <f aca="false">Assumptions!F27</f>
        <v>6.5</v>
      </c>
      <c r="G5" s="4" t="n">
        <f aca="false">Assumptions!G27</f>
        <v>6</v>
      </c>
      <c r="H5" s="4" t="n">
        <f aca="false">Assumptions!H27</f>
        <v>5.5</v>
      </c>
      <c r="I5" s="4" t="n">
        <f aca="false">Assumptions!I27</f>
        <v>5</v>
      </c>
      <c r="J5" s="4" t="n">
        <f aca="false">Assumptions!J27</f>
        <v>4.5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1131877</v>
      </c>
      <c r="C6" s="0" t="n">
        <f aca="false">B6*(1+C5/100)</f>
        <v>1239405.315</v>
      </c>
      <c r="D6" s="0" t="n">
        <f aca="false">C6*(1+D5/100)</f>
        <v>1301375.58075</v>
      </c>
      <c r="E6" s="0" t="n">
        <f aca="false">D6*(1+E5/100)</f>
        <v>1392471.8714025</v>
      </c>
      <c r="F6" s="0" t="n">
        <f aca="false">E6*(1+F5/100)</f>
        <v>1482982.54304366</v>
      </c>
      <c r="G6" s="0" t="n">
        <f aca="false">F6*(1+G5/100)</f>
        <v>1571961.49562628</v>
      </c>
      <c r="H6" s="0" t="n">
        <f aca="false">G6*(1+H5/100)</f>
        <v>1658419.37788573</v>
      </c>
      <c r="I6" s="0" t="n">
        <f aca="false">H6*(1+I5/100)</f>
        <v>1741340.34678001</v>
      </c>
      <c r="J6" s="0" t="n">
        <f aca="false">I6*(1+J5/100)</f>
        <v>1819700.66238511</v>
      </c>
      <c r="K6" s="0" t="n">
        <f aca="false">J6*(1+K5/100)</f>
        <v>1892488.68888052</v>
      </c>
      <c r="L6" s="0" t="n">
        <f aca="false">K6*(1+L5/100)</f>
        <v>1958725.79299134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24.5</v>
      </c>
      <c r="D7" s="4" t="n">
        <f aca="false">Assumptions!D28</f>
        <v>25.5</v>
      </c>
      <c r="E7" s="4" t="n">
        <f aca="false">Assumptions!E28</f>
        <v>26</v>
      </c>
      <c r="F7" s="4" t="n">
        <f aca="false">Assumptions!F28</f>
        <v>26.5</v>
      </c>
      <c r="G7" s="4" t="n">
        <f aca="false">Assumptions!G28</f>
        <v>26.5</v>
      </c>
      <c r="H7" s="4" t="n">
        <f aca="false">Assumptions!H28</f>
        <v>26.5</v>
      </c>
      <c r="I7" s="4" t="n">
        <f aca="false">Assumptions!I28</f>
        <v>26.5</v>
      </c>
      <c r="J7" s="4" t="n">
        <f aca="false">Assumptions!J28</f>
        <v>26.5</v>
      </c>
      <c r="K7" s="4" t="n">
        <f aca="false">Assumptions!K28</f>
        <v>26.5</v>
      </c>
      <c r="L7" s="4" t="n">
        <f aca="false">Assumptions!L28</f>
        <v>26.5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303654.302175</v>
      </c>
      <c r="D8" s="0" t="n">
        <f aca="false">D6*D7/100</f>
        <v>331850.77309125</v>
      </c>
      <c r="E8" s="0" t="n">
        <f aca="false">E6*E7/100</f>
        <v>362042.68656465</v>
      </c>
      <c r="F8" s="0" t="n">
        <f aca="false">F6*F7/100</f>
        <v>392990.373906571</v>
      </c>
      <c r="G8" s="0" t="n">
        <f aca="false">G6*G7/100</f>
        <v>416569.796340965</v>
      </c>
      <c r="H8" s="0" t="n">
        <f aca="false">H6*H7/100</f>
        <v>439481.135139718</v>
      </c>
      <c r="I8" s="0" t="n">
        <f aca="false">I6*I7/100</f>
        <v>461455.191896704</v>
      </c>
      <c r="J8" s="0" t="n">
        <f aca="false">J6*J7/100</f>
        <v>482220.675532055</v>
      </c>
      <c r="K8" s="0" t="n">
        <f aca="false">K6*K7/100</f>
        <v>501509.502553338</v>
      </c>
      <c r="L8" s="0" t="n">
        <f aca="false">L6*L7/100</f>
        <v>519062.335142704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0.03</v>
      </c>
      <c r="D9" s="4" t="n">
        <f aca="false">Assumptions!D29</f>
        <v>0.03</v>
      </c>
      <c r="E9" s="4" t="n">
        <f aca="false">Assumptions!E29</f>
        <v>0.03</v>
      </c>
      <c r="F9" s="4" t="n">
        <f aca="false">Assumptions!F29</f>
        <v>0.03</v>
      </c>
      <c r="G9" s="4" t="n">
        <f aca="false">Assumptions!G29</f>
        <v>0.03</v>
      </c>
      <c r="H9" s="4" t="n">
        <f aca="false">Assumptions!H29</f>
        <v>0.03</v>
      </c>
      <c r="I9" s="4" t="n">
        <f aca="false">Assumptions!I29</f>
        <v>0.03</v>
      </c>
      <c r="J9" s="4" t="n">
        <f aca="false">Assumptions!J29</f>
        <v>0.03</v>
      </c>
      <c r="K9" s="4" t="n">
        <f aca="false">Assumptions!K29</f>
        <v>0.03</v>
      </c>
      <c r="L9" s="4" t="n">
        <f aca="false">Assumptions!L29</f>
        <v>0.03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-371.8215945</v>
      </c>
      <c r="D10" s="0" t="n">
        <f aca="false">-D6*D9/100</f>
        <v>-390.412674225</v>
      </c>
      <c r="E10" s="0" t="n">
        <f aca="false">-E6*E9/100</f>
        <v>-417.74156142075</v>
      </c>
      <c r="F10" s="0" t="n">
        <f aca="false">-F6*F9/100</f>
        <v>-444.894762913099</v>
      </c>
      <c r="G10" s="0" t="n">
        <f aca="false">-G6*G9/100</f>
        <v>-471.588448687885</v>
      </c>
      <c r="H10" s="0" t="n">
        <f aca="false">-H6*H9/100</f>
        <v>-497.525813365718</v>
      </c>
      <c r="I10" s="0" t="n">
        <f aca="false">-I6*I9/100</f>
        <v>-522.402104034004</v>
      </c>
      <c r="J10" s="0" t="n">
        <f aca="false">-J6*J9/100</f>
        <v>-545.910198715534</v>
      </c>
      <c r="K10" s="0" t="n">
        <f aca="false">-K6*K9/100</f>
        <v>-567.746606664156</v>
      </c>
      <c r="L10" s="0" t="n">
        <f aca="false">-L6*L9/100</f>
        <v>-587.617737897401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293367.2380605</v>
      </c>
      <c r="D11" s="0" t="n">
        <f aca="false">D8+D10+D24</f>
        <v>321049.355771025</v>
      </c>
      <c r="E11" s="0" t="n">
        <f aca="false">E8+E10+E24</f>
        <v>350485.170032009</v>
      </c>
      <c r="F11" s="0" t="n">
        <f aca="false">F8+F10+F24</f>
        <v>380681.618799308</v>
      </c>
      <c r="G11" s="0" t="n">
        <f aca="false">G8+G10+G24</f>
        <v>403522.515927267</v>
      </c>
      <c r="H11" s="0" t="n">
        <f aca="false">H8+H10+H24</f>
        <v>425716.254303266</v>
      </c>
      <c r="I11" s="0" t="n">
        <f aca="false">I8+I10+I24</f>
        <v>447002.06701843</v>
      </c>
      <c r="J11" s="0" t="n">
        <f aca="false">J8+J10+J24</f>
        <v>467117.160034259</v>
      </c>
      <c r="K11" s="0" t="n">
        <f aca="false">K8+K10+K24</f>
        <v>485801.846435629</v>
      </c>
      <c r="L11" s="0" t="n">
        <f aca="false">L8+L10+L24</f>
        <v>502804.911060876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-96673.61457</v>
      </c>
      <c r="D12" s="4" t="n">
        <f aca="false">-D6*Assumptions!D31/100</f>
        <v>-101507.2952985</v>
      </c>
      <c r="E12" s="4" t="n">
        <f aca="false">-E6*Assumptions!E31/100</f>
        <v>-107220.334097993</v>
      </c>
      <c r="F12" s="4" t="n">
        <f aca="false">-F6*Assumptions!F31/100</f>
        <v>-114189.655814362</v>
      </c>
      <c r="G12" s="4" t="n">
        <f aca="false">-G6*Assumptions!G31/100</f>
        <v>-119469.073667597</v>
      </c>
      <c r="H12" s="4" t="n">
        <f aca="false">-H6*Assumptions!H31/100</f>
        <v>-126039.872719315</v>
      </c>
      <c r="I12" s="4" t="n">
        <f aca="false">-I6*Assumptions!I31/100</f>
        <v>-130600.526008501</v>
      </c>
      <c r="J12" s="4" t="n">
        <f aca="false">-J6*Assumptions!J31/100</f>
        <v>-136477.549678884</v>
      </c>
      <c r="K12" s="4" t="n">
        <f aca="false">-K6*Assumptions!K31/100</f>
        <v>-141936.651666039</v>
      </c>
      <c r="L12" s="4" t="n">
        <f aca="false">-L6*Assumptions!L31/100</f>
        <v>-146904.43447435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196693.6234905</v>
      </c>
      <c r="D13" s="0" t="n">
        <f aca="false">D11+D12</f>
        <v>219542.060472525</v>
      </c>
      <c r="E13" s="0" t="n">
        <f aca="false">E11+E12</f>
        <v>243264.835934017</v>
      </c>
      <c r="F13" s="0" t="n">
        <f aca="false">F11+F12</f>
        <v>266491.962984946</v>
      </c>
      <c r="G13" s="0" t="n">
        <f aca="false">G11+G12</f>
        <v>284053.442259669</v>
      </c>
      <c r="H13" s="0" t="n">
        <f aca="false">H11+H12</f>
        <v>299676.381583951</v>
      </c>
      <c r="I13" s="0" t="n">
        <f aca="false">I11+I12</f>
        <v>316401.541009929</v>
      </c>
      <c r="J13" s="0" t="n">
        <f aca="false">J11+J12</f>
        <v>330639.610355375</v>
      </c>
      <c r="K13" s="0" t="n">
        <f aca="false">K11+K12</f>
        <v>343865.19476959</v>
      </c>
      <c r="L13" s="0" t="n">
        <f aca="false">L11+L12</f>
        <v>355900.476586526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147520.217617875</v>
      </c>
      <c r="D15" s="0" t="n">
        <f aca="false">D13-MAX(0,D13)*D14/100</f>
        <v>164656.545354394</v>
      </c>
      <c r="E15" s="0" t="n">
        <f aca="false">E13-MAX(0,E13)*E14/100</f>
        <v>182448.626950513</v>
      </c>
      <c r="F15" s="0" t="n">
        <f aca="false">F13-MAX(0,F13)*F14/100</f>
        <v>199868.97223871</v>
      </c>
      <c r="G15" s="0" t="n">
        <f aca="false">G13-MAX(0,G13)*G14/100</f>
        <v>213040.081694752</v>
      </c>
      <c r="H15" s="0" t="n">
        <f aca="false">H13-MAX(0,H13)*H14/100</f>
        <v>224757.286187963</v>
      </c>
      <c r="I15" s="0" t="n">
        <f aca="false">I13-MAX(0,I13)*I14/100</f>
        <v>237301.155757446</v>
      </c>
      <c r="J15" s="0" t="n">
        <f aca="false">J13-MAX(0,J13)*J14/100</f>
        <v>247979.707766532</v>
      </c>
      <c r="K15" s="0" t="n">
        <f aca="false">K13-MAX(0,K13)*K14/100</f>
        <v>257898.896077193</v>
      </c>
      <c r="L15" s="0" t="n">
        <f aca="false">L13-MAX(0,L13)*L14/100</f>
        <v>266925.357439895</v>
      </c>
    </row>
    <row r="16" customFormat="false" ht="15" hidden="false" customHeight="false" outlineLevel="0" collapsed="false">
      <c r="A16" s="0" t="s">
        <v>129</v>
      </c>
      <c r="C16" s="0" t="n">
        <f aca="false">-C12</f>
        <v>96673.61457</v>
      </c>
      <c r="D16" s="0" t="n">
        <f aca="false">-D12</f>
        <v>101507.2952985</v>
      </c>
      <c r="E16" s="0" t="n">
        <f aca="false">-E12</f>
        <v>107220.334097993</v>
      </c>
      <c r="F16" s="0" t="n">
        <f aca="false">-F12</f>
        <v>114189.655814362</v>
      </c>
      <c r="G16" s="0" t="n">
        <f aca="false">-G12</f>
        <v>119469.073667597</v>
      </c>
      <c r="H16" s="0" t="n">
        <f aca="false">-H12</f>
        <v>126039.872719315</v>
      </c>
      <c r="I16" s="0" t="n">
        <f aca="false">-I12</f>
        <v>130600.526008501</v>
      </c>
      <c r="J16" s="0" t="n">
        <f aca="false">-J12</f>
        <v>136477.549678884</v>
      </c>
      <c r="K16" s="0" t="n">
        <f aca="false">-K12</f>
        <v>141936.651666039</v>
      </c>
      <c r="L16" s="0" t="n">
        <f aca="false">-L12</f>
        <v>146904.43447435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-105349.451775</v>
      </c>
      <c r="D17" s="4" t="n">
        <f aca="false">-D6*Assumptions!D32/100</f>
        <v>-110616.92436375</v>
      </c>
      <c r="E17" s="4" t="n">
        <f aca="false">-E6*Assumptions!E32/100</f>
        <v>-114182.693455005</v>
      </c>
      <c r="F17" s="4" t="n">
        <f aca="false">-F6*Assumptions!F32/100</f>
        <v>-118638.603443493</v>
      </c>
      <c r="G17" s="4" t="n">
        <f aca="false">-G6*Assumptions!G32/100</f>
        <v>-125756.919650103</v>
      </c>
      <c r="H17" s="4" t="n">
        <f aca="false">-H6*Assumptions!H32/100</f>
        <v>-129356.711475087</v>
      </c>
      <c r="I17" s="4" t="n">
        <f aca="false">-I6*Assumptions!I32/100</f>
        <v>-135824.547048841</v>
      </c>
      <c r="J17" s="4" t="n">
        <f aca="false">-J6*Assumptions!J32/100</f>
        <v>-141936.651666039</v>
      </c>
      <c r="K17" s="4" t="n">
        <f aca="false">-K6*Assumptions!K32/100</f>
        <v>-147614.117732681</v>
      </c>
      <c r="L17" s="4" t="n">
        <f aca="false">-L6*Assumptions!L32/100</f>
        <v>-152780.611853324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-16129.24725</v>
      </c>
      <c r="D18" s="4" t="n">
        <f aca="false">(D6-C6)*Assumptions!$B$37/100</f>
        <v>-9295.5398625</v>
      </c>
      <c r="E18" s="4" t="n">
        <f aca="false">(E6-D6)*Assumptions!$B$37/100</f>
        <v>-13664.443597875</v>
      </c>
      <c r="F18" s="4" t="n">
        <f aca="false">(F6-E6)*Assumptions!$B$37/100</f>
        <v>-13576.6007461744</v>
      </c>
      <c r="G18" s="4" t="n">
        <f aca="false">(G6-F6)*Assumptions!$B$37/100</f>
        <v>-13346.842887393</v>
      </c>
      <c r="H18" s="4" t="n">
        <f aca="false">(H6-G6)*Assumptions!$B$37/100</f>
        <v>-12968.6823389168</v>
      </c>
      <c r="I18" s="4" t="n">
        <f aca="false">(I6-H6)*Assumptions!$B$37/100</f>
        <v>-12438.145334143</v>
      </c>
      <c r="J18" s="4" t="n">
        <f aca="false">(J6-I6)*Assumptions!$B$37/100</f>
        <v>-11754.0473407651</v>
      </c>
      <c r="K18" s="4" t="n">
        <f aca="false">(K6-J6)*Assumptions!$B$37/100</f>
        <v>-10918.2039743107</v>
      </c>
      <c r="L18" s="4" t="n">
        <f aca="false">(L6-K6)*Assumptions!$B$37/100</f>
        <v>-9935.56561662272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122715.133162875</v>
      </c>
      <c r="D19" s="0" t="n">
        <f aca="false">D15+D16+D17+D18</f>
        <v>146251.376426644</v>
      </c>
      <c r="E19" s="0" t="n">
        <f aca="false">E15+E16+E17+E18</f>
        <v>161821.823995625</v>
      </c>
      <c r="F19" s="0" t="n">
        <f aca="false">F15+F16+F17+F18</f>
        <v>181843.423863404</v>
      </c>
      <c r="G19" s="0" t="n">
        <f aca="false">G15+G16+G17+G18</f>
        <v>193405.392824854</v>
      </c>
      <c r="H19" s="0" t="n">
        <f aca="false">H15+H16+H17+H18</f>
        <v>208471.765093275</v>
      </c>
      <c r="I19" s="0" t="n">
        <f aca="false">I15+I16+I17+I18</f>
        <v>219638.989382963</v>
      </c>
      <c r="J19" s="0" t="n">
        <f aca="false">J15+J16+J17+J18</f>
        <v>230766.558438611</v>
      </c>
      <c r="K19" s="0" t="n">
        <f aca="false">K15+K16+K17+K18</f>
        <v>241303.226036241</v>
      </c>
      <c r="L19" s="0" t="n">
        <f aca="false">L15+L16+L17+L18</f>
        <v>251113.614444298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114687.040339136</v>
      </c>
      <c r="D21" s="0" t="n">
        <f aca="false">D19*D20</f>
        <v>127741.616234294</v>
      </c>
      <c r="E21" s="0" t="n">
        <f aca="false">E19*E20</f>
        <v>132094.811362234</v>
      </c>
      <c r="F21" s="0" t="n">
        <f aca="false">F19*F20</f>
        <v>138727.47740772</v>
      </c>
      <c r="G21" s="0" t="n">
        <f aca="false">G19*G20</f>
        <v>137895.372121731</v>
      </c>
      <c r="H21" s="0" t="n">
        <f aca="false">H19*H20</f>
        <v>138913.539555206</v>
      </c>
      <c r="I21" s="0" t="n">
        <f aca="false">I19*I20</f>
        <v>136780.123946033</v>
      </c>
      <c r="J21" s="0" t="n">
        <f aca="false">J19*J20</f>
        <v>134308.238040412</v>
      </c>
      <c r="K21" s="0" t="n">
        <f aca="false">K19*K20</f>
        <v>131252.966835521</v>
      </c>
      <c r="L21" s="0" t="n">
        <f aca="false">L19*L20</f>
        <v>127653.428148149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0.8</v>
      </c>
      <c r="D23" s="4" t="n">
        <f aca="false">Assumptions!D30</f>
        <v>0.8</v>
      </c>
      <c r="E23" s="4" t="n">
        <f aca="false">Assumptions!E30</f>
        <v>0.8</v>
      </c>
      <c r="F23" s="4" t="n">
        <f aca="false">Assumptions!F30</f>
        <v>0.8</v>
      </c>
      <c r="G23" s="4" t="n">
        <f aca="false">Assumptions!G30</f>
        <v>0.8</v>
      </c>
      <c r="H23" s="4" t="n">
        <f aca="false">Assumptions!H30</f>
        <v>0.8</v>
      </c>
      <c r="I23" s="4" t="n">
        <f aca="false">Assumptions!I30</f>
        <v>0.8</v>
      </c>
      <c r="J23" s="4" t="n">
        <f aca="false">Assumptions!J30</f>
        <v>0.8</v>
      </c>
      <c r="K23" s="4" t="n">
        <f aca="false">Assumptions!K30</f>
        <v>0.8</v>
      </c>
      <c r="L23" s="4" t="n">
        <f aca="false">Assumptions!L30</f>
        <v>0.8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-9915.24252</v>
      </c>
      <c r="D24" s="0" t="n">
        <f aca="false">-D6*D23/100</f>
        <v>-10411.004646</v>
      </c>
      <c r="E24" s="0" t="n">
        <f aca="false">-E6*E23/100</f>
        <v>-11139.77497122</v>
      </c>
      <c r="F24" s="0" t="n">
        <f aca="false">-F6*F23/100</f>
        <v>-11863.8603443493</v>
      </c>
      <c r="G24" s="0" t="n">
        <f aca="false">-G6*G23/100</f>
        <v>-12575.6919650103</v>
      </c>
      <c r="H24" s="0" t="n">
        <f aca="false">-H6*H23/100</f>
        <v>-13267.3550230858</v>
      </c>
      <c r="I24" s="0" t="n">
        <f aca="false">-I6*I23/100</f>
        <v>-13930.7227742401</v>
      </c>
      <c r="J24" s="0" t="n">
        <f aca="false">-J6*J23/100</f>
        <v>-14557.6052990809</v>
      </c>
      <c r="K24" s="0" t="n">
        <f aca="false">-K6*K23/100</f>
        <v>-15139.9095110442</v>
      </c>
      <c r="L24" s="0" t="n">
        <f aca="false">-L6*L23/100</f>
        <v>-15669.8063439307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1320054.61399044</v>
      </c>
    </row>
    <row r="31" customFormat="false" ht="15" hidden="false" customHeight="false" outlineLevel="0" collapsed="false">
      <c r="A31" s="0" t="s">
        <v>138</v>
      </c>
      <c r="B31" s="0" t="n">
        <f aca="false">L19</f>
        <v>251113.614444298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5719810.10678678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5022272.28888596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5022272.28888596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2553068.56296298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3873123.17695342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3798294.17695342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2574.41654937876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0.0706660633723255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3287.24858342036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6804.06528074659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2581.25626326256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2059131.63844324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906.046377923119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83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10.5</v>
      </c>
      <c r="D5" s="4" t="n">
        <f aca="false">Assumptions!D41</f>
        <v>7.5</v>
      </c>
      <c r="E5" s="4" t="n">
        <f aca="false">Assumptions!E41</f>
        <v>9</v>
      </c>
      <c r="F5" s="4" t="n">
        <f aca="false">Assumptions!F41</f>
        <v>8.5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6.5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1131877</v>
      </c>
      <c r="C6" s="0" t="n">
        <f aca="false">B6*(1+C5/100)</f>
        <v>1250724.085</v>
      </c>
      <c r="D6" s="0" t="n">
        <f aca="false">C6*(1+D5/100)</f>
        <v>1344528.391375</v>
      </c>
      <c r="E6" s="0" t="n">
        <f aca="false">D6*(1+E5/100)</f>
        <v>1465535.94659875</v>
      </c>
      <c r="F6" s="0" t="n">
        <f aca="false">E6*(1+F5/100)</f>
        <v>1590106.50205964</v>
      </c>
      <c r="G6" s="0" t="n">
        <f aca="false">F6*(1+G5/100)</f>
        <v>1717315.02222442</v>
      </c>
      <c r="H6" s="0" t="n">
        <f aca="false">G6*(1+H5/100)</f>
        <v>1837527.07378012</v>
      </c>
      <c r="I6" s="0" t="n">
        <f aca="false">H6*(1+I5/100)</f>
        <v>1956966.33357583</v>
      </c>
      <c r="J6" s="0" t="n">
        <f aca="false">I6*(1+J5/100)</f>
        <v>2074384.31359038</v>
      </c>
      <c r="K6" s="0" t="n">
        <f aca="false">J6*(1+K5/100)</f>
        <v>2178103.5292699</v>
      </c>
      <c r="L6" s="0" t="n">
        <f aca="false">K6*(1+L5/100)</f>
        <v>2265227.6704407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25.5</v>
      </c>
      <c r="D7" s="4" t="n">
        <f aca="false">Assumptions!D42</f>
        <v>27</v>
      </c>
      <c r="E7" s="4" t="n">
        <f aca="false">Assumptions!E42</f>
        <v>27.5</v>
      </c>
      <c r="F7" s="4" t="n">
        <f aca="false">Assumptions!F42</f>
        <v>28</v>
      </c>
      <c r="G7" s="4" t="n">
        <f aca="false">Assumptions!G42</f>
        <v>28.5</v>
      </c>
      <c r="H7" s="4" t="n">
        <f aca="false">Assumptions!H42</f>
        <v>28.5</v>
      </c>
      <c r="I7" s="4" t="n">
        <f aca="false">Assumptions!I42</f>
        <v>28.5</v>
      </c>
      <c r="J7" s="4" t="n">
        <f aca="false">Assumptions!J42</f>
        <v>28.5</v>
      </c>
      <c r="K7" s="4" t="n">
        <f aca="false">Assumptions!K42</f>
        <v>28.5</v>
      </c>
      <c r="L7" s="4" t="n">
        <f aca="false">Assumptions!L42</f>
        <v>28.5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318934.641675</v>
      </c>
      <c r="D8" s="0" t="n">
        <f aca="false">D6*D7/100</f>
        <v>363022.66567125</v>
      </c>
      <c r="E8" s="0" t="n">
        <f aca="false">E6*E7/100</f>
        <v>403022.385314656</v>
      </c>
      <c r="F8" s="0" t="n">
        <f aca="false">F6*F7/100</f>
        <v>445229.8205767</v>
      </c>
      <c r="G8" s="0" t="n">
        <f aca="false">G6*G7/100</f>
        <v>489434.781333958</v>
      </c>
      <c r="H8" s="0" t="n">
        <f aca="false">H6*H7/100</f>
        <v>523695.216027336</v>
      </c>
      <c r="I8" s="0" t="n">
        <f aca="false">I6*I7/100</f>
        <v>557735.405069112</v>
      </c>
      <c r="J8" s="0" t="n">
        <f aca="false">J6*J7/100</f>
        <v>591199.529373259</v>
      </c>
      <c r="K8" s="0" t="n">
        <f aca="false">K6*K7/100</f>
        <v>620759.505841922</v>
      </c>
      <c r="L8" s="0" t="n">
        <f aca="false">L6*L7/100</f>
        <v>645589.886075599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0.03</v>
      </c>
      <c r="D9" s="4" t="n">
        <f aca="false">Assumptions!D43</f>
        <v>0.03</v>
      </c>
      <c r="E9" s="4" t="n">
        <f aca="false">Assumptions!E43</f>
        <v>0.03</v>
      </c>
      <c r="F9" s="4" t="n">
        <f aca="false">Assumptions!F43</f>
        <v>0.03</v>
      </c>
      <c r="G9" s="4" t="n">
        <f aca="false">Assumptions!G43</f>
        <v>0.03</v>
      </c>
      <c r="H9" s="4" t="n">
        <f aca="false">Assumptions!H43</f>
        <v>0.03</v>
      </c>
      <c r="I9" s="4" t="n">
        <f aca="false">Assumptions!I43</f>
        <v>0.03</v>
      </c>
      <c r="J9" s="4" t="n">
        <f aca="false">Assumptions!J43</f>
        <v>0.03</v>
      </c>
      <c r="K9" s="4" t="n">
        <f aca="false">Assumptions!K43</f>
        <v>0.03</v>
      </c>
      <c r="L9" s="4" t="n">
        <f aca="false">Assumptions!L43</f>
        <v>0.03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-375.2172255</v>
      </c>
      <c r="D10" s="0" t="n">
        <f aca="false">-D6*D9/100</f>
        <v>-403.3585174125</v>
      </c>
      <c r="E10" s="0" t="n">
        <f aca="false">-E6*E9/100</f>
        <v>-439.660783979625</v>
      </c>
      <c r="F10" s="0" t="n">
        <f aca="false">-F6*F9/100</f>
        <v>-477.031950617893</v>
      </c>
      <c r="G10" s="0" t="n">
        <f aca="false">-G6*G9/100</f>
        <v>-515.194506667325</v>
      </c>
      <c r="H10" s="0" t="n">
        <f aca="false">-H6*H9/100</f>
        <v>-551.258122134037</v>
      </c>
      <c r="I10" s="0" t="n">
        <f aca="false">-I6*I9/100</f>
        <v>-587.08990007275</v>
      </c>
      <c r="J10" s="0" t="n">
        <f aca="false">-J6*J9/100</f>
        <v>-622.315294077115</v>
      </c>
      <c r="K10" s="0" t="n">
        <f aca="false">-K6*K9/100</f>
        <v>-653.431058780971</v>
      </c>
      <c r="L10" s="0" t="n">
        <f aca="false">-L6*L9/100</f>
        <v>-679.568301132209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308553.6317695</v>
      </c>
      <c r="D11" s="0" t="n">
        <f aca="false">D8+D10+D24</f>
        <v>351863.080022838</v>
      </c>
      <c r="E11" s="0" t="n">
        <f aca="false">E8+E10+E24</f>
        <v>390858.436957887</v>
      </c>
      <c r="F11" s="0" t="n">
        <f aca="false">F8+F10+F24</f>
        <v>432031.936609605</v>
      </c>
      <c r="G11" s="0" t="n">
        <f aca="false">G8+G10+G24</f>
        <v>475181.066649496</v>
      </c>
      <c r="H11" s="0" t="n">
        <f aca="false">H8+H10+H24</f>
        <v>508443.74131496</v>
      </c>
      <c r="I11" s="0" t="n">
        <f aca="false">I8+I10+I24</f>
        <v>541492.584500433</v>
      </c>
      <c r="J11" s="0" t="n">
        <f aca="false">J8+J10+J24</f>
        <v>573982.139570459</v>
      </c>
      <c r="K11" s="0" t="n">
        <f aca="false">K8+K10+K24</f>
        <v>602681.246548982</v>
      </c>
      <c r="L11" s="0" t="n">
        <f aca="false">L8+L10+L24</f>
        <v>626788.496410941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-97556.47863</v>
      </c>
      <c r="D12" s="4" t="n">
        <f aca="false">-D6*Assumptions!D45/100</f>
        <v>-104873.21452725</v>
      </c>
      <c r="E12" s="4" t="n">
        <f aca="false">-E6*Assumptions!E45/100</f>
        <v>-112846.267888104</v>
      </c>
      <c r="F12" s="4" t="n">
        <f aca="false">-F6*Assumptions!F45/100</f>
        <v>-122438.200658593</v>
      </c>
      <c r="G12" s="4" t="n">
        <f aca="false">-G6*Assumptions!G45/100</f>
        <v>-130515.941689056</v>
      </c>
      <c r="H12" s="4" t="n">
        <f aca="false">-H6*Assumptions!H45/100</f>
        <v>-139652.05760729</v>
      </c>
      <c r="I12" s="4" t="n">
        <f aca="false">-I6*Assumptions!I45/100</f>
        <v>-146772.475018187</v>
      </c>
      <c r="J12" s="4" t="n">
        <f aca="false">-J6*Assumptions!J45/100</f>
        <v>-155578.823519279</v>
      </c>
      <c r="K12" s="4" t="n">
        <f aca="false">-K6*Assumptions!K45/100</f>
        <v>-163357.764695243</v>
      </c>
      <c r="L12" s="4" t="n">
        <f aca="false">-L6*Assumptions!L45/100</f>
        <v>-169892.075283052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210997.1531395</v>
      </c>
      <c r="D13" s="0" t="n">
        <f aca="false">D11+D12</f>
        <v>246989.865495588</v>
      </c>
      <c r="E13" s="0" t="n">
        <f aca="false">E11+E12</f>
        <v>278012.169069783</v>
      </c>
      <c r="F13" s="0" t="n">
        <f aca="false">F11+F12</f>
        <v>309593.735951013</v>
      </c>
      <c r="G13" s="0" t="n">
        <f aca="false">G11+G12</f>
        <v>344665.12496044</v>
      </c>
      <c r="H13" s="0" t="n">
        <f aca="false">H11+H12</f>
        <v>368791.683707671</v>
      </c>
      <c r="I13" s="0" t="n">
        <f aca="false">I11+I12</f>
        <v>394720.109482246</v>
      </c>
      <c r="J13" s="0" t="n">
        <f aca="false">J11+J12</f>
        <v>418403.31605118</v>
      </c>
      <c r="K13" s="0" t="n">
        <f aca="false">K11+K12</f>
        <v>439323.481853739</v>
      </c>
      <c r="L13" s="0" t="n">
        <f aca="false">L11+L12</f>
        <v>456896.421127889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158247.864854625</v>
      </c>
      <c r="D15" s="0" t="n">
        <f aca="false">D13-MAX(0,D13)*D14/100</f>
        <v>185242.399121691</v>
      </c>
      <c r="E15" s="0" t="n">
        <f aca="false">E13-MAX(0,E13)*E14/100</f>
        <v>208509.126802337</v>
      </c>
      <c r="F15" s="0" t="n">
        <f aca="false">F13-MAX(0,F13)*F14/100</f>
        <v>232195.301963259</v>
      </c>
      <c r="G15" s="0" t="n">
        <f aca="false">G13-MAX(0,G13)*G14/100</f>
        <v>258498.84372033</v>
      </c>
      <c r="H15" s="0" t="n">
        <f aca="false">H13-MAX(0,H13)*H14/100</f>
        <v>276593.762780753</v>
      </c>
      <c r="I15" s="0" t="n">
        <f aca="false">I13-MAX(0,I13)*I14/100</f>
        <v>296040.082111684</v>
      </c>
      <c r="J15" s="0" t="n">
        <f aca="false">J13-MAX(0,J13)*J14/100</f>
        <v>313802.487038385</v>
      </c>
      <c r="K15" s="0" t="n">
        <f aca="false">K13-MAX(0,K13)*K14/100</f>
        <v>329492.611390304</v>
      </c>
      <c r="L15" s="0" t="n">
        <f aca="false">L13-MAX(0,L13)*L14/100</f>
        <v>342672.315845917</v>
      </c>
    </row>
    <row r="16" customFormat="false" ht="15" hidden="false" customHeight="false" outlineLevel="0" collapsed="false">
      <c r="A16" s="0" t="s">
        <v>129</v>
      </c>
      <c r="C16" s="0" t="n">
        <f aca="false">-C12</f>
        <v>97556.47863</v>
      </c>
      <c r="D16" s="0" t="n">
        <f aca="false">-D12</f>
        <v>104873.21452725</v>
      </c>
      <c r="E16" s="0" t="n">
        <f aca="false">-E12</f>
        <v>112846.267888104</v>
      </c>
      <c r="F16" s="0" t="n">
        <f aca="false">-F12</f>
        <v>122438.200658593</v>
      </c>
      <c r="G16" s="0" t="n">
        <f aca="false">-G12</f>
        <v>130515.941689056</v>
      </c>
      <c r="H16" s="0" t="n">
        <f aca="false">-H12</f>
        <v>139652.05760729</v>
      </c>
      <c r="I16" s="0" t="n">
        <f aca="false">-I12</f>
        <v>146772.475018187</v>
      </c>
      <c r="J16" s="0" t="n">
        <f aca="false">-J12</f>
        <v>155578.823519279</v>
      </c>
      <c r="K16" s="0" t="n">
        <f aca="false">-K12</f>
        <v>163357.764695243</v>
      </c>
      <c r="L16" s="0" t="n">
        <f aca="false">-L12</f>
        <v>169892.075283052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-106311.547225</v>
      </c>
      <c r="D17" s="4" t="n">
        <f aca="false">-D6*Assumptions!D46/100</f>
        <v>-114284.913266875</v>
      </c>
      <c r="E17" s="4" t="n">
        <f aca="false">-E6*Assumptions!E46/100</f>
        <v>-120173.947621098</v>
      </c>
      <c r="F17" s="4" t="n">
        <f aca="false">-F6*Assumptions!F46/100</f>
        <v>-127208.520164772</v>
      </c>
      <c r="G17" s="4" t="n">
        <f aca="false">-G6*Assumptions!G46/100</f>
        <v>-137385.201777953</v>
      </c>
      <c r="H17" s="4" t="n">
        <f aca="false">-H6*Assumptions!H46/100</f>
        <v>-143327.11175485</v>
      </c>
      <c r="I17" s="4" t="n">
        <f aca="false">-I6*Assumptions!I46/100</f>
        <v>-152643.374018915</v>
      </c>
      <c r="J17" s="4" t="n">
        <f aca="false">-J6*Assumptions!J46/100</f>
        <v>-161801.97646005</v>
      </c>
      <c r="K17" s="4" t="n">
        <f aca="false">-K6*Assumptions!K46/100</f>
        <v>-169892.075283052</v>
      </c>
      <c r="L17" s="4" t="n">
        <f aca="false">-L6*Assumptions!L46/100</f>
        <v>-176687.758294374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-17827.06275</v>
      </c>
      <c r="D18" s="4" t="n">
        <f aca="false">(D6-C6)*Assumptions!$B$51/100</f>
        <v>-14070.64595625</v>
      </c>
      <c r="E18" s="4" t="n">
        <f aca="false">(E6-D6)*Assumptions!$B$51/100</f>
        <v>-18151.1332835625</v>
      </c>
      <c r="F18" s="4" t="n">
        <f aca="false">(F6-E6)*Assumptions!$B$51/100</f>
        <v>-18685.5833191341</v>
      </c>
      <c r="G18" s="4" t="n">
        <f aca="false">(G6-F6)*Assumptions!$B$51/100</f>
        <v>-19081.2780247158</v>
      </c>
      <c r="H18" s="4" t="n">
        <f aca="false">(H6-G6)*Assumptions!$B$51/100</f>
        <v>-18031.8077333564</v>
      </c>
      <c r="I18" s="4" t="n">
        <f aca="false">(I6-H6)*Assumptions!$B$51/100</f>
        <v>-17915.8889693562</v>
      </c>
      <c r="J18" s="4" t="n">
        <f aca="false">(J6-I6)*Assumptions!$B$51/100</f>
        <v>-17612.6970021825</v>
      </c>
      <c r="K18" s="4" t="n">
        <f aca="false">(K6-J6)*Assumptions!$B$51/100</f>
        <v>-15557.8823519279</v>
      </c>
      <c r="L18" s="4" t="n">
        <f aca="false">(L6-K6)*Assumptions!$B$51/100</f>
        <v>-13068.6211756194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131665.733509625</v>
      </c>
      <c r="D19" s="0" t="n">
        <f aca="false">D15+D16+D17+D18</f>
        <v>161760.054425816</v>
      </c>
      <c r="E19" s="0" t="n">
        <f aca="false">E15+E16+E17+E18</f>
        <v>183030.313785781</v>
      </c>
      <c r="F19" s="0" t="n">
        <f aca="false">F15+F16+F17+F18</f>
        <v>208739.399137946</v>
      </c>
      <c r="G19" s="0" t="n">
        <f aca="false">G15+G16+G17+G18</f>
        <v>232548.305606717</v>
      </c>
      <c r="H19" s="0" t="n">
        <f aca="false">H15+H16+H17+H18</f>
        <v>254886.900899837</v>
      </c>
      <c r="I19" s="0" t="n">
        <f aca="false">I15+I16+I17+I18</f>
        <v>272253.2941416</v>
      </c>
      <c r="J19" s="0" t="n">
        <f aca="false">J15+J16+J17+J18</f>
        <v>289966.637095431</v>
      </c>
      <c r="K19" s="0" t="n">
        <f aca="false">K15+K16+K17+K18</f>
        <v>307400.418450567</v>
      </c>
      <c r="L19" s="0" t="n">
        <f aca="false">L15+L16+L17+L18</f>
        <v>322808.011658975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123052.087392173</v>
      </c>
      <c r="D21" s="0" t="n">
        <f aca="false">D19*D20</f>
        <v>141287.49622309</v>
      </c>
      <c r="E21" s="0" t="n">
        <f aca="false">E19*E20</f>
        <v>149407.256549999</v>
      </c>
      <c r="F21" s="0" t="n">
        <f aca="false">F19*F20</f>
        <v>159246.288168017</v>
      </c>
      <c r="G21" s="0" t="n">
        <f aca="false">G19*G20</f>
        <v>165803.727959934</v>
      </c>
      <c r="H21" s="0" t="n">
        <f aca="false">H19*H20</f>
        <v>169841.904367296</v>
      </c>
      <c r="I21" s="0" t="n">
        <f aca="false">I19*I20</f>
        <v>169545.668653911</v>
      </c>
      <c r="J21" s="0" t="n">
        <f aca="false">J19*J20</f>
        <v>168763.222809647</v>
      </c>
      <c r="K21" s="0" t="n">
        <f aca="false">K19*K20</f>
        <v>167205.46007975</v>
      </c>
      <c r="L21" s="0" t="n">
        <f aca="false">L19*L20</f>
        <v>164099.224222256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0.8</v>
      </c>
      <c r="D23" s="4" t="n">
        <f aca="false">Assumptions!D44</f>
        <v>0.8</v>
      </c>
      <c r="E23" s="4" t="n">
        <f aca="false">Assumptions!E44</f>
        <v>0.8</v>
      </c>
      <c r="F23" s="4" t="n">
        <f aca="false">Assumptions!F44</f>
        <v>0.8</v>
      </c>
      <c r="G23" s="4" t="n">
        <f aca="false">Assumptions!G44</f>
        <v>0.8</v>
      </c>
      <c r="H23" s="4" t="n">
        <f aca="false">Assumptions!H44</f>
        <v>0.8</v>
      </c>
      <c r="I23" s="4" t="n">
        <f aca="false">Assumptions!I44</f>
        <v>0.8</v>
      </c>
      <c r="J23" s="4" t="n">
        <f aca="false">Assumptions!J44</f>
        <v>0.8</v>
      </c>
      <c r="K23" s="4" t="n">
        <f aca="false">Assumptions!K44</f>
        <v>0.8</v>
      </c>
      <c r="L23" s="4" t="n">
        <f aca="false">Assumptions!L44</f>
        <v>0.8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-10005.79268</v>
      </c>
      <c r="D24" s="0" t="n">
        <f aca="false">-D6*D23/100</f>
        <v>-10756.227131</v>
      </c>
      <c r="E24" s="0" t="n">
        <f aca="false">-E6*E23/100</f>
        <v>-11724.28757279</v>
      </c>
      <c r="F24" s="0" t="n">
        <f aca="false">-F6*F23/100</f>
        <v>-12720.8520164772</v>
      </c>
      <c r="G24" s="0" t="n">
        <f aca="false">-G6*G23/100</f>
        <v>-13738.5201777953</v>
      </c>
      <c r="H24" s="0" t="n">
        <f aca="false">-H6*H23/100</f>
        <v>-14700.216590241</v>
      </c>
      <c r="I24" s="0" t="n">
        <f aca="false">-I6*I23/100</f>
        <v>-15655.7306686067</v>
      </c>
      <c r="J24" s="0" t="n">
        <f aca="false">-J6*J23/100</f>
        <v>-16595.0745087231</v>
      </c>
      <c r="K24" s="0" t="n">
        <f aca="false">-K6*K23/100</f>
        <v>-17424.8282341592</v>
      </c>
      <c r="L24" s="0" t="n">
        <f aca="false">-L6*L23/100</f>
        <v>-18121.8213635256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1578252.33642607</v>
      </c>
    </row>
    <row r="31" customFormat="false" ht="15" hidden="false" customHeight="false" outlineLevel="0" collapsed="false">
      <c r="A31" s="0" t="s">
        <v>138</v>
      </c>
      <c r="B31" s="0" t="n">
        <f aca="false">L19</f>
        <v>322808.011658975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7352849.15445443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6456160.2331795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6456160.2331795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3281984.48444511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4860236.82087119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4785407.82087119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3243.46470168848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0.348914411182567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3589.1364532843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7868.76703241545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3251.23066582411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2647025.6956036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1115.69908148202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1778.67435537686</v>
      </c>
      <c r="C4" s="0" t="n">
        <f aca="false">B4/Assumptions!$B$2-1</f>
        <v>-0.260272673995899</v>
      </c>
      <c r="D4" s="4" t="n">
        <f aca="false">Assumptions!$B$24</f>
        <v>0.25</v>
      </c>
      <c r="E4" s="4" t="n">
        <f aca="false">DCF_Bear!$B$43</f>
        <v>1783.99174425824</v>
      </c>
      <c r="F4" s="4" t="n">
        <f aca="false">DCF_Bear!$B$47</f>
        <v>627.529868609876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2574.41654937876</v>
      </c>
      <c r="C5" s="0" t="n">
        <f aca="false">B5/Assumptions!$B$2-1</f>
        <v>0.0706660633723255</v>
      </c>
      <c r="D5" s="4" t="n">
        <f aca="false">Assumptions!$B$38</f>
        <v>0.5</v>
      </c>
      <c r="E5" s="4" t="n">
        <f aca="false">DCF_Base!$B$43</f>
        <v>2581.25626326256</v>
      </c>
      <c r="F5" s="4" t="n">
        <f aca="false">DCF_Base!$B$47</f>
        <v>906.046377923119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3243.46470168848</v>
      </c>
      <c r="C6" s="0" t="n">
        <f aca="false">B6/Assumptions!$B$2-1</f>
        <v>0.348914411182567</v>
      </c>
      <c r="D6" s="4" t="n">
        <f aca="false">Assumptions!$B$52</f>
        <v>0.25</v>
      </c>
      <c r="E6" s="4" t="n">
        <f aca="false">DCF_Bull!$B$43</f>
        <v>3251.23066582411</v>
      </c>
      <c r="F6" s="4" t="n">
        <f aca="false">DCF_Bull!$B$47</f>
        <v>1115.69908148202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2542.74303895571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2549.43373415187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0.0543676796427254</v>
      </c>
    </row>
    <row r="11" customFormat="false" ht="15" hidden="false" customHeight="false" outlineLevel="0" collapsed="false">
      <c r="A11" s="0" t="s">
        <v>165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888.830426484534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2574.41654937876</v>
      </c>
      <c r="C15" s="3" t="n">
        <v>7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1891.32802628897</v>
      </c>
      <c r="C16" s="3" t="n">
        <v>9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1615.6987470421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1405.67125960225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1240.48419900503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906.046377923119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3034.04068730816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3034.04068730816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3034.04068730816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3034.04068730816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3034.04068730816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2793.01443265651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2793.01443265651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2793.01443265651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2793.01443265651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2793.01443265651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2440.7019155341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2574.41654937876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2574.41654937876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2574.41654937876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2574.41654937876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2030.26556044455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2139.42268277071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2268.42655461071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2375.92978114404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2375.92978114404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1730.57935991441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1805.2126693026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1891.32802628897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1991.79594277307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2110.53075316337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2026-10-31T04:10:26Z</dcterms:created>
  <dc:creator>openpyxl</dc:creator>
  <dc:description/>
  <dc:language>en-NZ</dc:language>
  <cp:lastModifiedBy/>
  <dcterms:modified xsi:type="dcterms:W3CDTF">2026-10-31T04:10:26Z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