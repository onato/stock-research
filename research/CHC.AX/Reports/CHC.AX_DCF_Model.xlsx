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<sst xmlns="http://schemas.openxmlformats.org/spreadsheetml/2006/main" count="364" uniqueCount="167">
  <si>
    <t xml:space="preserve">Ticker</t>
  </si>
  <si>
    <t xml:space="preserve">CHC.AX</t>
  </si>
  <si>
    <t xml:space="preserve">Company</t>
  </si>
  <si>
    <t xml:space="preserve">Charter Hall Group</t>
  </si>
  <si>
    <t xml:space="preserve">Valuation date</t>
  </si>
  <si>
    <t xml:space="preserve">2026-09-22</t>
  </si>
  <si>
    <t xml:space="preserve">Current price</t>
  </si>
  <si>
    <t xml:space="preserve">Price as of</t>
  </si>
  <si>
    <t xml:space="preserve">2026-09-22T06:10:03Z (ASX regular close 16:00 AEST; Yahoo v8 chart meta; 52w range 17.60-25.95)</t>
  </si>
  <si>
    <t xml:space="preserve">Balance sheet date</t>
  </si>
  <si>
    <t xml:space="preserve">2026-06-30</t>
  </si>
  <si>
    <t xml:space="preserve">Model</t>
  </si>
  <si>
    <t xml:space="preserve">owner_fcf_dcf_component</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</si>
  <si>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</si>
  <si>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</si>
  <si>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</si>
  <si>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</si>
  <si>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</si>
  <si>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</si>
  <si>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</si>
  <si>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</si>
  <si>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2026-09-22T09:20:59Z</t>
  </si>
  <si>
    <t xml:space="preserve">Drivers file</t>
  </si>
  <si>
    <t xml:space="preserve">CHC.AX_Drivers.json</t>
  </si>
  <si>
    <t xml:space="preserve">Convention</t>
  </si>
  <si>
    <t xml:space="preserve">Percents stored as percents; formulas divide by 100. Blue = input, green = link, black = formula.</t>
  </si>
  <si>
    <t xml:space="preserve">Methodology</t>
  </si>
  <si>
    <t xml:space="preserve">summary: Charter Hall is valued on the flow it actually distributes and retains, Operating Earnings, discounted at the AUD cost of equity with no separate debt deduction (the flow is already after look-through interest). The reinvestment that funds growth is charged explicitly, so the growth path is not free; that is the single largest difference from a naive 'all Operating Earnings is free cash' model, which would value the group roughly 60-70% higher. The market at A$18.26 (16x FY27 guided OEPS) is paying for the cycle to keep strengthening and for performance fees to return; the base case does not assume either. Sum-of-parts memo (NTA A$5.95 + funds management at 15-18x post-tax) brackets A$12.2-13.5 and corroborates the base.
key_risks_to_valuation: Reinvestment assumption: if retained capital earns well above the ~12% incremental return implied at terminal (FY26 group ROE on OE was 16.8%), the base case understates value; if it earns less (office writedowns), it overstates.; Discount rate: value is terminal-heavy (Gordon binds in base at 14.7x FCFE); each 1pp on the cost of equity moves the base value ~15%.; Revenue base is proportionally consolidated and includes look-through co-investment income that moves with fund valuations and gearing; a fund-level refinancing at higher rates hits the post-interest margin directly.; Blended cash tax (15%) depends on the trust/company earnings mix; a shift toward taxed funds-management earnings raises it toward 20% (FY25 level).; Performance fees are excluded from guidance and from the base path; they are pure upside in bull and absent in bear.; Proposed tax reforms to stapled/managed-investment structures (cited in the FY26 AR) could raise the effective rate on the trust leg.</t>
  </si>
  <si>
    <t xml:space="preserve">Data sources</t>
  </si>
  <si>
    <t xml:space="preserve">price: Yahoo Finance v8 chart, CHC.AX regularMarketPrice 18.26 AUD at 2026-09-22T06:10:03Z (ASX close)
financials: CHC.AX_Metrics.csv / core_metrics and kpis (FY2016-FY2026); CHC.AX_Annual_FY2026.txt note 1(c) proportionally consolidated segments (lines 2384-2440), diluted EPS note (lines 2913-2925), balance sheet (lines 2148-2194), five-year summary (lines 1599-1615)
qualitative: CHC.AX_Analysis.json (2026-09-22); FY26 Annual Report outlook and FY27 guidance (post-tax OEPS ~114.0c, DPS +6%)</t>
  </si>
  <si>
    <t xml:space="preserve">Scenario narrative: bear</t>
  </si>
  <si>
    <t xml:space="preserve">A renewed rate or valuation shock in FY28-29 repeats FY2023-24: FUM is marked down, inflows stall, transaction and performance fees disappear, office co-investment income falls while the look-through interest on those stakes does not. Proportional revenue drops ~11% over two years against a sticky cost base, the post-interest margin compresses ~4pp, and the distribution is held rather than grown. Recovery is at a lower trend because investor appetite for Australian commercial property resets. No solvency question arises (balance-sheet gearing 14.2%), so the bear is an earnings and multiple case, not a survival case.</t>
  </si>
  <si>
    <t xml:space="preserve">Scenario narrative: base</t>
  </si>
  <si>
    <t xml:space="preserve">Charter Hall delivers FY27 guidance (post-tax OEPS ~114c, +10.5%; DPS +6%) and then compounds Operating Earnings at a fading mid-single-digit rate as Property FUM (A$76bn) grows with institutional and retail inflows through an ordinary cycle, with no performance-fee spike and no valuation shock. Roughly half of earnings continue to be retained and deployed into co-investments and the A$20.4bn development pipeline, so free cash to securityholders starts at the distribution and rises as reinvestment needs fade. The axes that matter are FUM inflows (fee base), the property-yield-to-debt-cost spread (co-investment income and valuations), and whether retained capital keeps earning a mid-teens return.</t>
  </si>
  <si>
    <t xml:space="preserve">Scenario narrative: bull</t>
  </si>
  <si>
    <t xml:space="preserve">The post-repricing recovery broadens: record inflows continue, CCRF and sale-and-leaseback origination (Sonic, Coles, Woolworths, ALDI) keep adding FUM, the office book's 95% occupancy and 6.2-year WALE hold, rates ease so both co-investment yields and transaction volumes lift, and performance fees return on top of the guided base. Operating Earnings grow double-digit for three years and FUM compounds high-single-digit for five, with third-party capital doing more of the work so reinvestment intensity falls faster. Value is capped at a 20x terminal multiple on free cash to equity.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</si>
  <si>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</si>
  <si>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</si>
  <si>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</si>
  <si>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</si>
  <si>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</si>
  <si>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</si>
  <si>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</si>
  <si>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</si>
  <si>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</si>
  <si>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</si>
  <si>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</si>
  <si>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</si>
  <si>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</si>
  <si>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</si>
  <si>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</si>
  <si>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</si>
  <si>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</si>
  <si>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</si>
  <si>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</si>
  <si>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</si>
  <si>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</si>
  <si>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</si>
  <si>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</si>
  <si>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</si>
  <si>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</si>
  <si>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</si>
  <si>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</si>
  <si>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DistributionPerSecurity</t>
  </si>
  <si>
    <t xml:space="preserve">TotalIncome</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</si>
  <si>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</si>
  <si>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</si>
  <si>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</si>
  <si>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</si>
  <si>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</si>
  <si>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</si>
  <si>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</si>
  <si>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</si>
  <si>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</si>
  <si>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</si>
  <si>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</si>
  <si>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</si>
  <si>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</si>
  <si>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</si>
  <si>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</si>
  <si>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</si>
  <si>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</si>
  <si>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</si>
  <si>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</si>
  <si>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</si>
  <si>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</si>
  <si>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</si>
  <si>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</si>
  <si>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</si>
  <si>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</si>
  <si>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</si>
  <si>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</si>
  <si>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</si>
  <si>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</si>
  <si>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</si>
  <si>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</si>
  <si>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</si>
  <si>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</si>
  <si>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</si>
  <si>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</si>
  <si>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</si>
  <si>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</si>
  <si>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</si>
  <si>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</si>
  <si>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</si>
  <si>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</si>
  <si>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</si>
  <si>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</si>
  <si>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</si>
  <si>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</si>
  <si>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</si>
  <si>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</si>
  <si>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</si>
  <si>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CHC.AX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</si>
  <si>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</si>
  <si>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</si>
  <si>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</si>
  <si>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</si>
  <si>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</si>
  <si>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</si>
  <si>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</si>
  <si>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</si>
  <si>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</si>
  <si>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</si>
  <si>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</si>
  <si>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</si>
  <si>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</si>
  <si>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</si>
  <si>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</si>
  <si>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</si>
  <si>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</si>
  <si>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</si>
  <si>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</si>
  <si>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</si>
  <si>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</si>
  <si>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</si>
  <si>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</si>
  <si>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</si>
  <si>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</si>
  <si>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</si>
  <si>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</si>
  <si>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</si>
  <si>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</si>
  <si>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</si>
  <si>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CHC.AX owner-FCF component DCF: base case (millions, AUD)</t>
  </si>
  <si>
    <t xml:space="preserve">CHC.AX owner-FCF component DCF: bull case (millions, AUD)</t>
  </si>
  <si>
    <t xml:space="preserve">CHC.AX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</si>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</sst>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18.26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row>
    <row r="2" customFormat="false" ht="15" hidden="false" customHeight="false" outlineLevel="0" collapsed="false">
      <c r="A2" s="0" t="s">
        <v>65</v>
      </c>
      <c r="B2" s="0" t="n">
        <v>145.055</v>
      </c>
      <c r="I2" s="0" t="n">
        <v>215.2</v>
      </c>
      <c r="J2" s="0" t="n">
        <v>148.4</v>
      </c>
      <c r="K2" s="0" t="n">
        <v>0.525</v>
      </c>
      <c r="L2" s="0" t="n">
        <v>130.326</v>
      </c>
      <c r="N2" s="0" t="n">
        <v>130.326</v>
      </c>
      <c r="O2" s="0" t="n">
        <v>1326</v>
      </c>
      <c r="P2" s="0" t="n">
        <v>1324.748</v>
      </c>
      <c r="Q2" s="0" t="n">
        <v>95.101</v>
      </c>
      <c r="S2" s="0" t="n">
        <v>145.358</v>
      </c>
      <c r="T2" s="0" t="n">
        <v>409.98</v>
      </c>
      <c r="AA2" s="0" t="s">
        <v>17</v>
      </c>
      <c r="AB2" s="0" t="s">
        <v>14</v>
      </c>
      <c r="AC2" s="0" t="n">
        <v>26.9</v>
      </c>
    </row>
    <row r="3" customFormat="false" ht="15" hidden="false" customHeight="false" outlineLevel="0" collapsed="false">
      <c r="A3" s="0" t="s">
        <v>66</v>
      </c>
      <c r="B3" s="0" t="n">
        <v>213.393</v>
      </c>
      <c r="I3" s="0" t="n">
        <v>257.6</v>
      </c>
      <c r="J3" s="0" t="n">
        <v>120.7</v>
      </c>
      <c r="K3" s="0" t="n">
        <v>0.612</v>
      </c>
      <c r="L3" s="0" t="n">
        <v>156.314</v>
      </c>
      <c r="N3" s="0" t="n">
        <v>156.314</v>
      </c>
      <c r="O3" s="0" t="n">
        <v>1722.271</v>
      </c>
      <c r="P3" s="0" t="n">
        <v>1873.037</v>
      </c>
      <c r="Q3" s="0" t="n">
        <v>150.766</v>
      </c>
      <c r="R3" s="0" t="n">
        <v>0</v>
      </c>
      <c r="S3" s="0" t="n">
        <v>174.418</v>
      </c>
      <c r="T3" s="0" t="n">
        <v>420.838</v>
      </c>
      <c r="AA3" s="0" t="s">
        <v>17</v>
      </c>
      <c r="AB3" s="0" t="s">
        <v>14</v>
      </c>
      <c r="AC3" s="0" t="n">
        <v>30</v>
      </c>
      <c r="AD3" s="0" t="n">
        <v>423.8</v>
      </c>
    </row>
    <row r="4" customFormat="false" ht="15" hidden="false" customHeight="false" outlineLevel="0" collapsed="false">
      <c r="A4" s="0" t="s">
        <v>67</v>
      </c>
      <c r="B4" s="0" t="n">
        <v>246.2</v>
      </c>
      <c r="I4" s="0" t="n">
        <v>250.2</v>
      </c>
      <c r="J4" s="0" t="n">
        <v>101.6</v>
      </c>
      <c r="K4" s="0" t="n">
        <v>0.537</v>
      </c>
      <c r="L4" s="0" t="n">
        <v>169.1</v>
      </c>
      <c r="N4" s="0" t="n">
        <v>169.1</v>
      </c>
      <c r="O4" s="0" t="n">
        <v>1858.2</v>
      </c>
      <c r="P4" s="0" t="n">
        <v>2013.6</v>
      </c>
      <c r="Q4" s="0" t="n">
        <v>155.4</v>
      </c>
      <c r="R4" s="0" t="n">
        <v>3.6</v>
      </c>
      <c r="S4" s="0" t="n">
        <v>94.9</v>
      </c>
      <c r="T4" s="0" t="n">
        <v>465.777</v>
      </c>
      <c r="AA4" s="0" t="s">
        <v>17</v>
      </c>
      <c r="AB4" s="0" t="s">
        <v>14</v>
      </c>
      <c r="AC4" s="0" t="n">
        <v>31.8</v>
      </c>
      <c r="AD4" s="0" t="n">
        <v>416.7</v>
      </c>
    </row>
    <row r="5" customFormat="false" ht="15" hidden="false" customHeight="false" outlineLevel="0" collapsed="false">
      <c r="A5" s="0" t="s">
        <v>68</v>
      </c>
      <c r="B5" s="0" t="n">
        <v>378.5</v>
      </c>
      <c r="C5" s="0" t="n">
        <v>-51.3</v>
      </c>
      <c r="I5" s="0" t="n">
        <v>235.3</v>
      </c>
      <c r="J5" s="0" t="n">
        <v>62.2</v>
      </c>
      <c r="K5" s="0" t="n">
        <v>0.505</v>
      </c>
      <c r="L5" s="0" t="n">
        <v>193.9</v>
      </c>
      <c r="N5" s="0" t="n">
        <v>193.9</v>
      </c>
      <c r="O5" s="0" t="n">
        <v>1959.9</v>
      </c>
      <c r="P5" s="0" t="n">
        <v>2453.6</v>
      </c>
      <c r="Q5" s="0" t="n">
        <v>493.7</v>
      </c>
      <c r="R5" s="0" t="n">
        <v>305</v>
      </c>
      <c r="S5" s="0" t="n">
        <v>113.9</v>
      </c>
      <c r="T5" s="0" t="n">
        <v>465.777</v>
      </c>
      <c r="AA5" s="0" t="s">
        <v>17</v>
      </c>
      <c r="AB5" s="0" t="s">
        <v>14</v>
      </c>
      <c r="AC5" s="0" t="n">
        <v>33.7</v>
      </c>
      <c r="AD5" s="0" t="n">
        <v>527.4</v>
      </c>
    </row>
    <row r="6" customFormat="false" ht="15" hidden="false" customHeight="false" outlineLevel="0" collapsed="false">
      <c r="A6" s="0" t="s">
        <v>69</v>
      </c>
      <c r="B6" s="0" t="n">
        <v>553.8</v>
      </c>
      <c r="C6" s="0" t="n">
        <v>-66.1</v>
      </c>
      <c r="I6" s="0" t="n">
        <v>345.9</v>
      </c>
      <c r="J6" s="0" t="n">
        <v>62.5</v>
      </c>
      <c r="K6" s="0" t="n">
        <v>0.743</v>
      </c>
      <c r="L6" s="0" t="n">
        <v>402.6</v>
      </c>
      <c r="N6" s="0" t="n">
        <v>402.6</v>
      </c>
      <c r="O6" s="0" t="n">
        <v>2145.7</v>
      </c>
      <c r="P6" s="0" t="n">
        <v>2759.7</v>
      </c>
      <c r="Q6" s="0" t="n">
        <v>614</v>
      </c>
      <c r="R6" s="0" t="n">
        <v>380.1</v>
      </c>
      <c r="S6" s="0" t="n">
        <v>238.9</v>
      </c>
      <c r="T6" s="0" t="n">
        <v>465.777</v>
      </c>
      <c r="AA6" s="0" t="s">
        <v>17</v>
      </c>
      <c r="AB6" s="0" t="s">
        <v>14</v>
      </c>
      <c r="AC6" s="0" t="n">
        <v>35.7</v>
      </c>
      <c r="AD6" s="0" t="n">
        <v>731.6</v>
      </c>
    </row>
    <row r="7" customFormat="false" ht="15" hidden="false" customHeight="false" outlineLevel="0" collapsed="false">
      <c r="A7" s="0" t="s">
        <v>70</v>
      </c>
      <c r="B7" s="0" t="n">
        <v>668</v>
      </c>
      <c r="I7" s="0" t="n">
        <v>476.8</v>
      </c>
      <c r="J7" s="0" t="n">
        <v>71.4</v>
      </c>
      <c r="K7" s="0" t="n">
        <v>1.024</v>
      </c>
      <c r="L7" s="0" t="n">
        <v>225.6</v>
      </c>
      <c r="N7" s="0" t="n">
        <v>225.6</v>
      </c>
      <c r="O7" s="0" t="n">
        <v>2508.8</v>
      </c>
      <c r="P7" s="0" t="n">
        <v>3284.7</v>
      </c>
      <c r="Q7" s="0" t="n">
        <v>455.1</v>
      </c>
      <c r="R7" s="0" t="n">
        <v>549.2</v>
      </c>
      <c r="S7" s="0" t="n">
        <v>351.9</v>
      </c>
      <c r="T7" s="0" t="n">
        <v>465.777</v>
      </c>
      <c r="AA7" s="0" t="s">
        <v>17</v>
      </c>
      <c r="AB7" s="0" t="s">
        <v>14</v>
      </c>
      <c r="AC7" s="0" t="n">
        <v>37.9</v>
      </c>
      <c r="AD7" s="0" t="n">
        <v>1011.4</v>
      </c>
    </row>
    <row r="8" customFormat="false" ht="15" hidden="false" customHeight="false" outlineLevel="0" collapsed="false">
      <c r="A8" s="0" t="s">
        <v>71</v>
      </c>
      <c r="B8" s="0" t="n">
        <v>1098.3</v>
      </c>
      <c r="I8" s="0" t="n">
        <v>911.1</v>
      </c>
      <c r="J8" s="0" t="n">
        <v>83</v>
      </c>
      <c r="K8" s="0" t="n">
        <v>1.941</v>
      </c>
      <c r="L8" s="0" t="n">
        <v>603.8</v>
      </c>
      <c r="N8" s="0" t="n">
        <v>603.8</v>
      </c>
      <c r="O8" s="0" t="n">
        <v>3289.7</v>
      </c>
      <c r="P8" s="0" t="n">
        <v>4192.6</v>
      </c>
      <c r="Q8" s="0" t="n">
        <v>902.9</v>
      </c>
      <c r="R8" s="0" t="n">
        <v>453.9</v>
      </c>
      <c r="S8" s="0" t="n">
        <v>594.7</v>
      </c>
      <c r="T8" s="0" t="n">
        <v>469.397</v>
      </c>
      <c r="AA8" s="0" t="s">
        <v>17</v>
      </c>
      <c r="AB8" s="0" t="s">
        <v>14</v>
      </c>
      <c r="AC8" s="0" t="n">
        <v>40.1</v>
      </c>
      <c r="AD8" s="0" t="n">
        <v>1666.7</v>
      </c>
    </row>
    <row r="9" customFormat="false" ht="15" hidden="false" customHeight="false" outlineLevel="0" collapsed="false">
      <c r="A9" s="0" t="s">
        <v>72</v>
      </c>
      <c r="B9" s="0" t="n">
        <v>869.7</v>
      </c>
      <c r="I9" s="0" t="n">
        <v>196.1</v>
      </c>
      <c r="J9" s="0" t="n">
        <v>22.5</v>
      </c>
      <c r="K9" s="0" t="n">
        <v>0.415</v>
      </c>
      <c r="L9" s="0" t="n">
        <v>337.3</v>
      </c>
      <c r="N9" s="0" t="n">
        <v>337.3</v>
      </c>
      <c r="O9" s="0" t="n">
        <v>3255.2</v>
      </c>
      <c r="P9" s="0" t="n">
        <v>4072.6</v>
      </c>
      <c r="Q9" s="0" t="n">
        <v>817.4</v>
      </c>
      <c r="R9" s="0" t="n">
        <v>450.7</v>
      </c>
      <c r="S9" s="0" t="n">
        <v>401.4</v>
      </c>
      <c r="T9" s="0" t="n">
        <v>472.997</v>
      </c>
      <c r="AA9" s="0" t="s">
        <v>17</v>
      </c>
      <c r="AB9" s="0" t="s">
        <v>14</v>
      </c>
      <c r="AC9" s="0" t="n">
        <v>42.5</v>
      </c>
    </row>
    <row r="10" customFormat="false" ht="15" hidden="false" customHeight="false" outlineLevel="0" collapsed="false">
      <c r="A10" s="0" t="s">
        <v>73</v>
      </c>
      <c r="B10" s="0" t="n">
        <v>597.8</v>
      </c>
      <c r="F10" s="0" t="n">
        <v>-30.9</v>
      </c>
      <c r="G10" s="0" t="n">
        <v>-5.2</v>
      </c>
      <c r="I10" s="0" t="n">
        <v>-222.1</v>
      </c>
      <c r="J10" s="0" t="n">
        <v>-37.2</v>
      </c>
      <c r="K10" s="0" t="n">
        <v>-0.459</v>
      </c>
      <c r="L10" s="0" t="n">
        <v>428</v>
      </c>
      <c r="N10" s="0" t="n">
        <v>428</v>
      </c>
      <c r="O10" s="0" t="n">
        <v>2820.6</v>
      </c>
      <c r="P10" s="0" t="n">
        <v>3643.7</v>
      </c>
      <c r="Q10" s="0" t="n">
        <v>823.1</v>
      </c>
      <c r="R10" s="0" t="n">
        <v>455.5</v>
      </c>
      <c r="S10" s="0" t="n">
        <v>382.7</v>
      </c>
      <c r="T10" s="0" t="n">
        <v>472.997</v>
      </c>
      <c r="AA10" s="0" t="s">
        <v>17</v>
      </c>
      <c r="AB10" s="0" t="s">
        <v>14</v>
      </c>
      <c r="AC10" s="0" t="n">
        <v>45.1</v>
      </c>
      <c r="AD10" s="0" t="n">
        <v>597.8</v>
      </c>
    </row>
    <row r="11" customFormat="false" ht="15" hidden="false" customHeight="false" outlineLevel="0" collapsed="false">
      <c r="A11" s="0" t="s">
        <v>74</v>
      </c>
      <c r="B11" s="0" t="n">
        <v>544.9</v>
      </c>
      <c r="F11" s="0" t="n">
        <v>443.2</v>
      </c>
      <c r="G11" s="0" t="n">
        <v>81.3</v>
      </c>
      <c r="I11" s="0" t="n">
        <v>327.7</v>
      </c>
      <c r="J11" s="0" t="n">
        <v>60.1</v>
      </c>
      <c r="K11" s="0" t="n">
        <v>0.693</v>
      </c>
      <c r="L11" s="0" t="n">
        <v>450.8</v>
      </c>
      <c r="M11" s="0" t="n">
        <v>1.2</v>
      </c>
      <c r="N11" s="0" t="n">
        <v>449.6</v>
      </c>
      <c r="O11" s="0" t="n">
        <v>2710.6</v>
      </c>
      <c r="P11" s="0" t="n">
        <v>3544.2</v>
      </c>
      <c r="Q11" s="0" t="n">
        <v>833.6</v>
      </c>
      <c r="R11" s="0" t="n">
        <v>482.5</v>
      </c>
      <c r="S11" s="0" t="n">
        <v>286.7</v>
      </c>
      <c r="T11" s="0" t="n">
        <v>472.997</v>
      </c>
      <c r="AA11" s="0" t="s">
        <v>17</v>
      </c>
      <c r="AB11" s="0" t="s">
        <v>14</v>
      </c>
      <c r="AC11" s="0" t="n">
        <v>47.8</v>
      </c>
      <c r="AD11" s="0" t="n">
        <v>687.8</v>
      </c>
    </row>
    <row r="12" customFormat="false" ht="15" hidden="false" customHeight="false" outlineLevel="0" collapsed="false">
      <c r="A12" s="0" t="s">
        <v>75</v>
      </c>
      <c r="B12" s="0" t="n">
        <v>556.7</v>
      </c>
      <c r="F12" s="0" t="n">
        <v>529.7</v>
      </c>
      <c r="G12" s="0" t="n">
        <v>95.1</v>
      </c>
      <c r="I12" s="0" t="n">
        <v>427.9</v>
      </c>
      <c r="J12" s="0" t="n">
        <v>76.9</v>
      </c>
      <c r="K12" s="0" t="n">
        <v>0.905</v>
      </c>
      <c r="L12" s="0" t="n">
        <v>88.8</v>
      </c>
      <c r="M12" s="0" t="n">
        <v>2.7</v>
      </c>
      <c r="N12" s="0" t="n">
        <v>86.1</v>
      </c>
      <c r="O12" s="0" t="n">
        <v>2897</v>
      </c>
      <c r="P12" s="0" t="n">
        <v>3905.5</v>
      </c>
      <c r="Q12" s="0" t="n">
        <v>1008.5</v>
      </c>
      <c r="R12" s="0" t="n">
        <v>712.2</v>
      </c>
      <c r="S12" s="0" t="n">
        <v>206.3</v>
      </c>
      <c r="T12" s="0" t="n">
        <v>472.997</v>
      </c>
      <c r="AA12" s="0" t="s">
        <v>17</v>
      </c>
      <c r="AB12" s="0" t="s">
        <v>14</v>
      </c>
      <c r="AC12" s="0" t="n">
        <v>50.7</v>
      </c>
      <c r="AD12" s="0" t="n">
        <v>811.3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18.26</v>
      </c>
    </row>
    <row r="3" customFormat="false" ht="15" hidden="false" customHeight="false" outlineLevel="0" collapsed="false">
      <c r="A3" s="0" t="s">
        <v>79</v>
      </c>
      <c r="B3" s="3" t="n">
        <v>482.1</v>
      </c>
    </row>
    <row r="4" customFormat="false" ht="15" hidden="false" customHeight="false" outlineLevel="0" collapsed="false">
      <c r="A4" s="0" t="s">
        <v>80</v>
      </c>
      <c r="B4" s="3" t="n">
        <v>0</v>
      </c>
    </row>
    <row r="5" customFormat="false" ht="15" hidden="false" customHeight="false" outlineLevel="0" collapsed="false">
      <c r="A5" s="0" t="s">
        <v>81</v>
      </c>
      <c r="B5" s="3" t="n">
        <v>0</v>
      </c>
    </row>
    <row r="6" customFormat="false" ht="15" hidden="false" customHeight="false" outlineLevel="0" collapsed="false">
      <c r="A6" s="0" t="s">
        <v>82</v>
      </c>
      <c r="B6" s="3" t="n">
        <v>15</v>
      </c>
    </row>
    <row r="7" customFormat="false" ht="15" hidden="false" customHeight="false" outlineLevel="0" collapsed="false">
      <c r="A7" s="0" t="s">
        <v>83</v>
      </c>
      <c r="B7" s="3" t="n">
        <v>952.1</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7</v>
      </c>
      <c r="D13" s="3" t="n">
        <v>0</v>
      </c>
      <c r="E13" s="3" t="n">
        <v>-8</v>
      </c>
      <c r="F13" s="3" t="n">
        <v>-3</v>
      </c>
      <c r="G13" s="3" t="n">
        <v>4</v>
      </c>
      <c r="H13" s="3" t="n">
        <v>4</v>
      </c>
      <c r="I13" s="3" t="n">
        <v>3.5</v>
      </c>
      <c r="J13" s="3" t="n">
        <v>3</v>
      </c>
      <c r="K13" s="3" t="n">
        <v>2.5</v>
      </c>
      <c r="L13" s="3" t="n">
        <v>2.5</v>
      </c>
    </row>
    <row r="14" customFormat="false" ht="15" hidden="false" customHeight="false" outlineLevel="0" collapsed="false">
      <c r="A14" s="0" t="s">
        <v>100</v>
      </c>
      <c r="C14" s="3" t="n">
        <v>60.5</v>
      </c>
      <c r="D14" s="3" t="n">
        <v>59</v>
      </c>
      <c r="E14" s="3" t="n">
        <v>56.5</v>
      </c>
      <c r="F14" s="3" t="n">
        <v>57</v>
      </c>
      <c r="G14" s="3" t="n">
        <v>58.5</v>
      </c>
      <c r="H14" s="3" t="n">
        <v>59</v>
      </c>
      <c r="I14" s="3" t="n">
        <v>59</v>
      </c>
      <c r="J14" s="3" t="n">
        <v>59</v>
      </c>
      <c r="K14" s="3" t="n">
        <v>59</v>
      </c>
      <c r="L14" s="3" t="n">
        <v>59</v>
      </c>
    </row>
    <row r="15" customFormat="false" ht="15" hidden="false" customHeight="false" outlineLevel="0" collapsed="false">
      <c r="A15" s="0" t="s">
        <v>101</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103</v>
      </c>
      <c r="C17" s="3" t="n">
        <v>0.9</v>
      </c>
      <c r="D17" s="3" t="n">
        <v>0.9</v>
      </c>
      <c r="E17" s="3" t="n">
        <v>0.9</v>
      </c>
      <c r="F17" s="3" t="n">
        <v>0.9</v>
      </c>
      <c r="G17" s="3" t="n">
        <v>0.9</v>
      </c>
      <c r="H17" s="3" t="n">
        <v>0.9</v>
      </c>
      <c r="I17" s="3" t="n">
        <v>0.9</v>
      </c>
      <c r="J17" s="3" t="n">
        <v>0.9</v>
      </c>
      <c r="K17" s="3" t="n">
        <v>0.9</v>
      </c>
      <c r="L17" s="3" t="n">
        <v>0.9</v>
      </c>
    </row>
    <row r="18" customFormat="false" ht="15" hidden="false" customHeight="false" outlineLevel="0" collapsed="false">
      <c r="A18" s="0" t="s">
        <v>104</v>
      </c>
      <c r="C18" s="3" t="n">
        <v>27</v>
      </c>
      <c r="D18" s="3" t="n">
        <v>22</v>
      </c>
      <c r="E18" s="3" t="n">
        <v>15</v>
      </c>
      <c r="F18" s="3" t="n">
        <v>12</v>
      </c>
      <c r="G18" s="3" t="n">
        <v>13</v>
      </c>
      <c r="H18" s="3" t="n">
        <v>14</v>
      </c>
      <c r="I18" s="3" t="n">
        <v>13</v>
      </c>
      <c r="J18" s="3" t="n">
        <v>13</v>
      </c>
      <c r="K18" s="3" t="n">
        <v>12</v>
      </c>
      <c r="L18" s="3" t="n">
        <v>12</v>
      </c>
    </row>
    <row r="19" customFormat="false" ht="15" hidden="false" customHeight="false" outlineLevel="0" collapsed="false">
      <c r="A19" s="0" t="s">
        <v>105</v>
      </c>
      <c r="C19" s="3" t="n">
        <v>15</v>
      </c>
      <c r="D19" s="3" t="n">
        <v>15</v>
      </c>
      <c r="E19" s="3" t="n">
        <v>15</v>
      </c>
      <c r="F19" s="3" t="n">
        <v>15</v>
      </c>
      <c r="G19" s="3" t="n">
        <v>15</v>
      </c>
      <c r="H19" s="3" t="n">
        <v>15</v>
      </c>
      <c r="I19" s="3" t="n">
        <v>15</v>
      </c>
      <c r="J19" s="3" t="n">
        <v>15</v>
      </c>
      <c r="K19" s="3" t="n">
        <v>15</v>
      </c>
      <c r="L19" s="3" t="n">
        <v>15</v>
      </c>
    </row>
    <row r="20" customFormat="false" ht="15" hidden="false" customHeight="false" outlineLevel="0" collapsed="false">
      <c r="A20" s="0" t="s">
        <v>106</v>
      </c>
      <c r="B20" s="3" t="n">
        <v>10</v>
      </c>
    </row>
    <row r="21" customFormat="false" ht="15" hidden="false" customHeight="false" outlineLevel="0" collapsed="false">
      <c r="A21" s="0" t="s">
        <v>107</v>
      </c>
      <c r="B21" s="3" t="n">
        <v>2.5</v>
      </c>
    </row>
    <row r="22" customFormat="false" ht="15" hidden="false" customHeight="false" outlineLevel="0" collapsed="false">
      <c r="A22" s="0" t="s">
        <v>108</v>
      </c>
      <c r="B22" s="3" t="n">
        <v>15</v>
      </c>
    </row>
    <row r="23" customFormat="false" ht="15" hidden="false" customHeight="false" outlineLevel="0" collapsed="false">
      <c r="A23" s="0" t="s">
        <v>109</v>
      </c>
      <c r="B23" s="3" t="n">
        <v>0</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10</v>
      </c>
      <c r="D27" s="3" t="n">
        <v>7</v>
      </c>
      <c r="E27" s="3" t="n">
        <v>6</v>
      </c>
      <c r="F27" s="3" t="n">
        <v>5.5</v>
      </c>
      <c r="G27" s="3" t="n">
        <v>5</v>
      </c>
      <c r="H27" s="3" t="n">
        <v>4.5</v>
      </c>
      <c r="I27" s="3" t="n">
        <v>4</v>
      </c>
      <c r="J27" s="3" t="n">
        <v>3.5</v>
      </c>
      <c r="K27" s="3" t="n">
        <v>3</v>
      </c>
      <c r="L27" s="3" t="n">
        <v>3</v>
      </c>
    </row>
    <row r="28" customFormat="false" ht="15" hidden="false" customHeight="false" outlineLevel="0" collapsed="false">
      <c r="A28" s="0" t="s">
        <v>100</v>
      </c>
      <c r="C28" s="3" t="n">
        <v>61</v>
      </c>
      <c r="D28" s="3" t="n">
        <v>61</v>
      </c>
      <c r="E28" s="3" t="n">
        <v>60.8</v>
      </c>
      <c r="F28" s="3" t="n">
        <v>60.6</v>
      </c>
      <c r="G28" s="3" t="n">
        <v>60.5</v>
      </c>
      <c r="H28" s="3" t="n">
        <v>60.5</v>
      </c>
      <c r="I28" s="3" t="n">
        <v>60.5</v>
      </c>
      <c r="J28" s="3" t="n">
        <v>60.5</v>
      </c>
      <c r="K28" s="3" t="n">
        <v>60.5</v>
      </c>
      <c r="L28" s="3" t="n">
        <v>60.5</v>
      </c>
    </row>
    <row r="29" customFormat="false" ht="15" hidden="false" customHeight="false" outlineLevel="0" collapsed="false">
      <c r="A29" s="0" t="s">
        <v>101</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103</v>
      </c>
      <c r="C31" s="3" t="n">
        <v>0.9</v>
      </c>
      <c r="D31" s="3" t="n">
        <v>0.9</v>
      </c>
      <c r="E31" s="3" t="n">
        <v>0.9</v>
      </c>
      <c r="F31" s="3" t="n">
        <v>0.9</v>
      </c>
      <c r="G31" s="3" t="n">
        <v>0.9</v>
      </c>
      <c r="H31" s="3" t="n">
        <v>0.9</v>
      </c>
      <c r="I31" s="3" t="n">
        <v>0.9</v>
      </c>
      <c r="J31" s="3" t="n">
        <v>0.9</v>
      </c>
      <c r="K31" s="3" t="n">
        <v>0.9</v>
      </c>
      <c r="L31" s="3" t="n">
        <v>0.9</v>
      </c>
    </row>
    <row r="32" customFormat="false" ht="15" hidden="false" customHeight="false" outlineLevel="0" collapsed="false">
      <c r="A32" s="0" t="s">
        <v>104</v>
      </c>
      <c r="C32" s="3" t="n">
        <v>27</v>
      </c>
      <c r="D32" s="3" t="n">
        <v>25</v>
      </c>
      <c r="E32" s="3" t="n">
        <v>23</v>
      </c>
      <c r="F32" s="3" t="n">
        <v>21</v>
      </c>
      <c r="G32" s="3" t="n">
        <v>19</v>
      </c>
      <c r="H32" s="3" t="n">
        <v>17</v>
      </c>
      <c r="I32" s="3" t="n">
        <v>16</v>
      </c>
      <c r="J32" s="3" t="n">
        <v>15</v>
      </c>
      <c r="K32" s="3" t="n">
        <v>14</v>
      </c>
      <c r="L32" s="3" t="n">
        <v>13</v>
      </c>
    </row>
    <row r="33" customFormat="false" ht="15" hidden="false" customHeight="false" outlineLevel="0" collapsed="false">
      <c r="A33" s="0" t="s">
        <v>105</v>
      </c>
      <c r="C33" s="3" t="n">
        <v>15</v>
      </c>
      <c r="D33" s="3" t="n">
        <v>15</v>
      </c>
      <c r="E33" s="3" t="n">
        <v>15</v>
      </c>
      <c r="F33" s="3" t="n">
        <v>15</v>
      </c>
      <c r="G33" s="3" t="n">
        <v>15</v>
      </c>
      <c r="H33" s="3" t="n">
        <v>15</v>
      </c>
      <c r="I33" s="3" t="n">
        <v>15</v>
      </c>
      <c r="J33" s="3" t="n">
        <v>15</v>
      </c>
      <c r="K33" s="3" t="n">
        <v>15</v>
      </c>
      <c r="L33" s="3" t="n">
        <v>15</v>
      </c>
    </row>
    <row r="34" customFormat="false" ht="15" hidden="false" customHeight="false" outlineLevel="0" collapsed="false">
      <c r="A34" s="0" t="s">
        <v>106</v>
      </c>
      <c r="B34" s="3" t="n">
        <v>10</v>
      </c>
    </row>
    <row r="35" customFormat="false" ht="15" hidden="false" customHeight="false" outlineLevel="0" collapsed="false">
      <c r="A35" s="0" t="s">
        <v>107</v>
      </c>
      <c r="B35" s="3" t="n">
        <v>3</v>
      </c>
    </row>
    <row r="36" customFormat="false" ht="15" hidden="false" customHeight="false" outlineLevel="0" collapsed="false">
      <c r="A36" s="0" t="s">
        <v>108</v>
      </c>
      <c r="B36" s="3" t="n">
        <v>18</v>
      </c>
    </row>
    <row r="37" customFormat="false" ht="15" hidden="false" customHeight="false" outlineLevel="0" collapsed="false">
      <c r="A37" s="0" t="s">
        <v>109</v>
      </c>
      <c r="B37" s="3" t="n">
        <v>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13</v>
      </c>
      <c r="D41" s="3" t="n">
        <v>11</v>
      </c>
      <c r="E41" s="3" t="n">
        <v>10</v>
      </c>
      <c r="F41" s="3" t="n">
        <v>9</v>
      </c>
      <c r="G41" s="3" t="n">
        <v>8</v>
      </c>
      <c r="H41" s="3" t="n">
        <v>7</v>
      </c>
      <c r="I41" s="3" t="n">
        <v>6</v>
      </c>
      <c r="J41" s="3" t="n">
        <v>5</v>
      </c>
      <c r="K41" s="3" t="n">
        <v>4</v>
      </c>
      <c r="L41" s="3" t="n">
        <v>3.5</v>
      </c>
    </row>
    <row r="42" customFormat="false" ht="15" hidden="false" customHeight="false" outlineLevel="0" collapsed="false">
      <c r="A42" s="0" t="s">
        <v>100</v>
      </c>
      <c r="C42" s="3" t="n">
        <v>61.5</v>
      </c>
      <c r="D42" s="3" t="n">
        <v>62</v>
      </c>
      <c r="E42" s="3" t="n">
        <v>62</v>
      </c>
      <c r="F42" s="3" t="n">
        <v>62</v>
      </c>
      <c r="G42" s="3" t="n">
        <v>62</v>
      </c>
      <c r="H42" s="3" t="n">
        <v>62</v>
      </c>
      <c r="I42" s="3" t="n">
        <v>62</v>
      </c>
      <c r="J42" s="3" t="n">
        <v>62</v>
      </c>
      <c r="K42" s="3" t="n">
        <v>62</v>
      </c>
      <c r="L42" s="3" t="n">
        <v>62</v>
      </c>
    </row>
    <row r="43" customFormat="false" ht="15" hidden="false" customHeight="false" outlineLevel="0" collapsed="false">
      <c r="A43" s="0" t="s">
        <v>101</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103</v>
      </c>
      <c r="C45" s="3" t="n">
        <v>0.9</v>
      </c>
      <c r="D45" s="3" t="n">
        <v>0.9</v>
      </c>
      <c r="E45" s="3" t="n">
        <v>0.9</v>
      </c>
      <c r="F45" s="3" t="n">
        <v>0.9</v>
      </c>
      <c r="G45" s="3" t="n">
        <v>0.9</v>
      </c>
      <c r="H45" s="3" t="n">
        <v>0.9</v>
      </c>
      <c r="I45" s="3" t="n">
        <v>0.9</v>
      </c>
      <c r="J45" s="3" t="n">
        <v>0.9</v>
      </c>
      <c r="K45" s="3" t="n">
        <v>0.9</v>
      </c>
      <c r="L45" s="3" t="n">
        <v>0.9</v>
      </c>
    </row>
    <row r="46" customFormat="false" ht="15" hidden="false" customHeight="false" outlineLevel="0" collapsed="false">
      <c r="A46" s="0" t="s">
        <v>104</v>
      </c>
      <c r="C46" s="3" t="n">
        <v>27</v>
      </c>
      <c r="D46" s="3" t="n">
        <v>24</v>
      </c>
      <c r="E46" s="3" t="n">
        <v>21</v>
      </c>
      <c r="F46" s="3" t="n">
        <v>19</v>
      </c>
      <c r="G46" s="3" t="n">
        <v>17</v>
      </c>
      <c r="H46" s="3" t="n">
        <v>15</v>
      </c>
      <c r="I46" s="3" t="n">
        <v>14</v>
      </c>
      <c r="J46" s="3" t="n">
        <v>13</v>
      </c>
      <c r="K46" s="3" t="n">
        <v>12</v>
      </c>
      <c r="L46" s="3" t="n">
        <v>12</v>
      </c>
    </row>
    <row r="47" customFormat="false" ht="15" hidden="false" customHeight="false" outlineLevel="0" collapsed="false">
      <c r="A47" s="0" t="s">
        <v>105</v>
      </c>
      <c r="C47" s="3" t="n">
        <v>15</v>
      </c>
      <c r="D47" s="3" t="n">
        <v>15</v>
      </c>
      <c r="E47" s="3" t="n">
        <v>15</v>
      </c>
      <c r="F47" s="3" t="n">
        <v>15</v>
      </c>
      <c r="G47" s="3" t="n">
        <v>15</v>
      </c>
      <c r="H47" s="3" t="n">
        <v>15</v>
      </c>
      <c r="I47" s="3" t="n">
        <v>15</v>
      </c>
      <c r="J47" s="3" t="n">
        <v>15</v>
      </c>
      <c r="K47" s="3" t="n">
        <v>15</v>
      </c>
      <c r="L47" s="3" t="n">
        <v>15</v>
      </c>
    </row>
    <row r="48" customFormat="false" ht="15" hidden="false" customHeight="false" outlineLevel="0" collapsed="false">
      <c r="A48" s="0" t="s">
        <v>106</v>
      </c>
      <c r="B48" s="3" t="n">
        <v>10</v>
      </c>
    </row>
    <row r="49" customFormat="false" ht="15" hidden="false" customHeight="false" outlineLevel="0" collapsed="false">
      <c r="A49" s="0" t="s">
        <v>107</v>
      </c>
      <c r="B49" s="3" t="n">
        <v>3.5</v>
      </c>
    </row>
    <row r="50" customFormat="false" ht="15" hidden="false" customHeight="false" outlineLevel="0" collapsed="false">
      <c r="A50" s="0" t="s">
        <v>108</v>
      </c>
      <c r="B50" s="3" t="n">
        <v>20</v>
      </c>
    </row>
    <row r="51" customFormat="false" ht="15" hidden="false" customHeight="false" outlineLevel="0" collapsed="false">
      <c r="A51" s="0" t="s">
        <v>109</v>
      </c>
      <c r="B51" s="3" t="n">
        <v>0</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7</v>
      </c>
      <c r="D5" s="4" t="n">
        <f aca="false">Assumptions!D13</f>
        <v>0</v>
      </c>
      <c r="E5" s="4" t="n">
        <f aca="false">Assumptions!E13</f>
        <v>-8</v>
      </c>
      <c r="F5" s="4" t="n">
        <f aca="false">Assumptions!F13</f>
        <v>-3</v>
      </c>
      <c r="G5" s="4" t="n">
        <f aca="false">Assumptions!G13</f>
        <v>4</v>
      </c>
      <c r="H5" s="4" t="n">
        <f aca="false">Assumptions!H13</f>
        <v>4</v>
      </c>
      <c r="I5" s="4" t="n">
        <f aca="false">Assumptions!I13</f>
        <v>3.5</v>
      </c>
      <c r="J5" s="4" t="n">
        <f aca="false">Assumptions!J13</f>
        <v>3</v>
      </c>
      <c r="K5" s="4" t="n">
        <f aca="false">Assumptions!K13</f>
        <v>2.5</v>
      </c>
      <c r="L5" s="4" t="n">
        <f aca="false">Assumptions!L13</f>
        <v>2.5</v>
      </c>
    </row>
    <row r="6" customFormat="false" ht="15" hidden="false" customHeight="false" outlineLevel="0" collapsed="false">
      <c r="A6" s="0" t="s">
        <v>37</v>
      </c>
      <c r="B6" s="3" t="n">
        <v>952.1</v>
      </c>
      <c r="C6" s="0" t="n">
        <f aca="false">B6*(1+C5/100)</f>
        <v>1018.747</v>
      </c>
      <c r="D6" s="0" t="n">
        <f aca="false">C6*(1+D5/100)</f>
        <v>1018.747</v>
      </c>
      <c r="E6" s="0" t="n">
        <f aca="false">D6*(1+E5/100)</f>
        <v>937.24724</v>
      </c>
      <c r="F6" s="0" t="n">
        <f aca="false">E6*(1+F5/100)</f>
        <v>909.1298228</v>
      </c>
      <c r="G6" s="0" t="n">
        <f aca="false">F6*(1+G5/100)</f>
        <v>945.495015712</v>
      </c>
      <c r="H6" s="0" t="n">
        <f aca="false">G6*(1+H5/100)</f>
        <v>983.31481634048</v>
      </c>
      <c r="I6" s="0" t="n">
        <f aca="false">H6*(1+I5/100)</f>
        <v>1017.7308349124</v>
      </c>
      <c r="J6" s="0" t="n">
        <f aca="false">I6*(1+J5/100)</f>
        <v>1048.26275995977</v>
      </c>
      <c r="K6" s="0" t="n">
        <f aca="false">J6*(1+K5/100)</f>
        <v>1074.46932895876</v>
      </c>
      <c r="L6" s="0" t="n">
        <f aca="false">K6*(1+L5/100)</f>
        <v>1101.33106218273</v>
      </c>
    </row>
    <row r="7" customFormat="false" ht="15" hidden="false" customHeight="false" outlineLevel="0" collapsed="false">
      <c r="A7" s="0" t="s">
        <v>100</v>
      </c>
      <c r="C7" s="4" t="n">
        <f aca="false">Assumptions!C14</f>
        <v>60.5</v>
      </c>
      <c r="D7" s="4" t="n">
        <f aca="false">Assumptions!D14</f>
        <v>59</v>
      </c>
      <c r="E7" s="4" t="n">
        <f aca="false">Assumptions!E14</f>
        <v>56.5</v>
      </c>
      <c r="F7" s="4" t="n">
        <f aca="false">Assumptions!F14</f>
        <v>57</v>
      </c>
      <c r="G7" s="4" t="n">
        <f aca="false">Assumptions!G14</f>
        <v>58.5</v>
      </c>
      <c r="H7" s="4" t="n">
        <f aca="false">Assumptions!H14</f>
        <v>59</v>
      </c>
      <c r="I7" s="4" t="n">
        <f aca="false">Assumptions!I14</f>
        <v>59</v>
      </c>
      <c r="J7" s="4" t="n">
        <f aca="false">Assumptions!J14</f>
        <v>59</v>
      </c>
      <c r="K7" s="4" t="n">
        <f aca="false">Assumptions!K14</f>
        <v>59</v>
      </c>
      <c r="L7" s="4" t="n">
        <f aca="false">Assumptions!L14</f>
        <v>59</v>
      </c>
    </row>
    <row r="8" customFormat="false" ht="15" hidden="false" customHeight="false" outlineLevel="0" collapsed="false">
      <c r="A8" s="0" t="s">
        <v>43</v>
      </c>
      <c r="C8" s="0" t="n">
        <f aca="false">C6*C7/100</f>
        <v>616.341935</v>
      </c>
      <c r="D8" s="0" t="n">
        <f aca="false">D6*D7/100</f>
        <v>601.06073</v>
      </c>
      <c r="E8" s="0" t="n">
        <f aca="false">E6*E7/100</f>
        <v>529.5446906</v>
      </c>
      <c r="F8" s="0" t="n">
        <f aca="false">F6*F7/100</f>
        <v>518.203998996</v>
      </c>
      <c r="G8" s="0" t="n">
        <f aca="false">G6*G7/100</f>
        <v>553.11458419152</v>
      </c>
      <c r="H8" s="0" t="n">
        <f aca="false">H6*H7/100</f>
        <v>580.155741640883</v>
      </c>
      <c r="I8" s="0" t="n">
        <f aca="false">I6*I7/100</f>
        <v>600.461192598314</v>
      </c>
      <c r="J8" s="0" t="n">
        <f aca="false">J6*J7/100</f>
        <v>618.475028376264</v>
      </c>
      <c r="K8" s="0" t="n">
        <f aca="false">K6*K7/100</f>
        <v>633.93690408567</v>
      </c>
      <c r="L8" s="0" t="n">
        <f aca="false">L6*L7/100</f>
        <v>649.785326687812</v>
      </c>
    </row>
    <row r="9" customFormat="false" ht="15" hidden="false" customHeight="false" outlineLevel="0" collapsed="false">
      <c r="A9" s="0" t="s">
        <v>101</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616.341935</v>
      </c>
      <c r="D11" s="0" t="n">
        <f aca="false">D8+D10+D24</f>
        <v>601.06073</v>
      </c>
      <c r="E11" s="0" t="n">
        <f aca="false">E8+E10+E24</f>
        <v>529.5446906</v>
      </c>
      <c r="F11" s="0" t="n">
        <f aca="false">F8+F10+F24</f>
        <v>518.203998996</v>
      </c>
      <c r="G11" s="0" t="n">
        <f aca="false">G8+G10+G24</f>
        <v>553.11458419152</v>
      </c>
      <c r="H11" s="0" t="n">
        <f aca="false">H8+H10+H24</f>
        <v>580.155741640883</v>
      </c>
      <c r="I11" s="0" t="n">
        <f aca="false">I8+I10+I24</f>
        <v>600.461192598314</v>
      </c>
      <c r="J11" s="0" t="n">
        <f aca="false">J8+J10+J24</f>
        <v>618.475028376264</v>
      </c>
      <c r="K11" s="0" t="n">
        <f aca="false">K8+K10+K24</f>
        <v>633.93690408567</v>
      </c>
      <c r="L11" s="0" t="n">
        <f aca="false">L8+L10+L24</f>
        <v>649.785326687812</v>
      </c>
    </row>
    <row r="12" customFormat="false" ht="15" hidden="false" customHeight="false" outlineLevel="0" collapsed="false">
      <c r="A12" s="0" t="s">
        <v>118</v>
      </c>
      <c r="C12" s="4" t="n">
        <f aca="false">-C6*Assumptions!C17/100</f>
        <v>-9.168723</v>
      </c>
      <c r="D12" s="4" t="n">
        <f aca="false">-D6*Assumptions!D17/100</f>
        <v>-9.168723</v>
      </c>
      <c r="E12" s="4" t="n">
        <f aca="false">-E6*Assumptions!E17/100</f>
        <v>-8.43522516</v>
      </c>
      <c r="F12" s="4" t="n">
        <f aca="false">-F6*Assumptions!F17/100</f>
        <v>-8.1821684052</v>
      </c>
      <c r="G12" s="4" t="n">
        <f aca="false">-G6*Assumptions!G17/100</f>
        <v>-8.509455141408</v>
      </c>
      <c r="H12" s="4" t="n">
        <f aca="false">-H6*Assumptions!H17/100</f>
        <v>-8.84983334706432</v>
      </c>
      <c r="I12" s="4" t="n">
        <f aca="false">-I6*Assumptions!I17/100</f>
        <v>-9.15957751421157</v>
      </c>
      <c r="J12" s="4" t="n">
        <f aca="false">-J6*Assumptions!J17/100</f>
        <v>-9.43436483963792</v>
      </c>
      <c r="K12" s="4" t="n">
        <f aca="false">-K6*Assumptions!K17/100</f>
        <v>-9.67022396062887</v>
      </c>
      <c r="L12" s="4" t="n">
        <f aca="false">-L6*Assumptions!L17/100</f>
        <v>-9.91197955964459</v>
      </c>
    </row>
    <row r="13" customFormat="false" ht="15" hidden="false" customHeight="false" outlineLevel="0" collapsed="false">
      <c r="A13" s="0" t="s">
        <v>119</v>
      </c>
      <c r="C13" s="0" t="n">
        <f aca="false">C11+C12</f>
        <v>607.173212</v>
      </c>
      <c r="D13" s="0" t="n">
        <f aca="false">D11+D12</f>
        <v>591.892007</v>
      </c>
      <c r="E13" s="0" t="n">
        <f aca="false">E11+E12</f>
        <v>521.10946544</v>
      </c>
      <c r="F13" s="0" t="n">
        <f aca="false">F11+F12</f>
        <v>510.0218305908</v>
      </c>
      <c r="G13" s="0" t="n">
        <f aca="false">G11+G12</f>
        <v>544.605129050112</v>
      </c>
      <c r="H13" s="0" t="n">
        <f aca="false">H11+H12</f>
        <v>571.305908293819</v>
      </c>
      <c r="I13" s="0" t="n">
        <f aca="false">I11+I12</f>
        <v>591.301615084103</v>
      </c>
      <c r="J13" s="0" t="n">
        <f aca="false">J11+J12</f>
        <v>609.040663536626</v>
      </c>
      <c r="K13" s="0" t="n">
        <f aca="false">K11+K12</f>
        <v>624.266680125041</v>
      </c>
      <c r="L13" s="0" t="n">
        <f aca="false">L11+L12</f>
        <v>639.873347128167</v>
      </c>
    </row>
    <row r="14" customFormat="false" ht="15" hidden="false" customHeight="false" outlineLevel="0" collapsed="false">
      <c r="A14" s="0" t="s">
        <v>105</v>
      </c>
      <c r="C14" s="4" t="n">
        <f aca="false">Assumptions!C19</f>
        <v>15</v>
      </c>
      <c r="D14" s="4" t="n">
        <f aca="false">Assumptions!D19</f>
        <v>15</v>
      </c>
      <c r="E14" s="4" t="n">
        <f aca="false">Assumptions!E19</f>
        <v>15</v>
      </c>
      <c r="F14" s="4" t="n">
        <f aca="false">Assumptions!F19</f>
        <v>15</v>
      </c>
      <c r="G14" s="4" t="n">
        <f aca="false">Assumptions!G19</f>
        <v>15</v>
      </c>
      <c r="H14" s="4" t="n">
        <f aca="false">Assumptions!H19</f>
        <v>15</v>
      </c>
      <c r="I14" s="4" t="n">
        <f aca="false">Assumptions!I19</f>
        <v>15</v>
      </c>
      <c r="J14" s="4" t="n">
        <f aca="false">Assumptions!J19</f>
        <v>15</v>
      </c>
      <c r="K14" s="4" t="n">
        <f aca="false">Assumptions!K19</f>
        <v>15</v>
      </c>
      <c r="L14" s="4" t="n">
        <f aca="false">Assumptions!L19</f>
        <v>15</v>
      </c>
    </row>
    <row r="15" customFormat="false" ht="15" hidden="false" customHeight="false" outlineLevel="0" collapsed="false">
      <c r="A15" s="0" t="s">
        <v>120</v>
      </c>
      <c r="C15" s="0" t="n">
        <f aca="false">C13-MAX(0,C13)*C14/100</f>
        <v>516.0972302</v>
      </c>
      <c r="D15" s="0" t="n">
        <f aca="false">D13-MAX(0,D13)*D14/100</f>
        <v>503.10820595</v>
      </c>
      <c r="E15" s="0" t="n">
        <f aca="false">E13-MAX(0,E13)*E14/100</f>
        <v>442.943045624</v>
      </c>
      <c r="F15" s="0" t="n">
        <f aca="false">F13-MAX(0,F13)*F14/100</f>
        <v>433.51855600218</v>
      </c>
      <c r="G15" s="0" t="n">
        <f aca="false">G13-MAX(0,G13)*G14/100</f>
        <v>462.914359692595</v>
      </c>
      <c r="H15" s="0" t="n">
        <f aca="false">H13-MAX(0,H13)*H14/100</f>
        <v>485.610022049746</v>
      </c>
      <c r="I15" s="0" t="n">
        <f aca="false">I13-MAX(0,I13)*I14/100</f>
        <v>502.606372821487</v>
      </c>
      <c r="J15" s="0" t="n">
        <f aca="false">J13-MAX(0,J13)*J14/100</f>
        <v>517.684564006132</v>
      </c>
      <c r="K15" s="0" t="n">
        <f aca="false">K13-MAX(0,K13)*K14/100</f>
        <v>530.626678106285</v>
      </c>
      <c r="L15" s="0" t="n">
        <f aca="false">L13-MAX(0,L13)*L14/100</f>
        <v>543.892345058942</v>
      </c>
    </row>
    <row r="16" customFormat="false" ht="15" hidden="false" customHeight="false" outlineLevel="0" collapsed="false">
      <c r="A16" s="0" t="s">
        <v>121</v>
      </c>
      <c r="C16" s="0" t="n">
        <f aca="false">-C12</f>
        <v>9.168723</v>
      </c>
      <c r="D16" s="0" t="n">
        <f aca="false">-D12</f>
        <v>9.168723</v>
      </c>
      <c r="E16" s="0" t="n">
        <f aca="false">-E12</f>
        <v>8.43522516</v>
      </c>
      <c r="F16" s="0" t="n">
        <f aca="false">-F12</f>
        <v>8.1821684052</v>
      </c>
      <c r="G16" s="0" t="n">
        <f aca="false">-G12</f>
        <v>8.509455141408</v>
      </c>
      <c r="H16" s="0" t="n">
        <f aca="false">-H12</f>
        <v>8.84983334706432</v>
      </c>
      <c r="I16" s="0" t="n">
        <f aca="false">-I12</f>
        <v>9.15957751421157</v>
      </c>
      <c r="J16" s="0" t="n">
        <f aca="false">-J12</f>
        <v>9.43436483963792</v>
      </c>
      <c r="K16" s="0" t="n">
        <f aca="false">-K12</f>
        <v>9.67022396062887</v>
      </c>
      <c r="L16" s="0" t="n">
        <f aca="false">-L12</f>
        <v>9.91197955964459</v>
      </c>
    </row>
    <row r="17" customFormat="false" ht="15" hidden="false" customHeight="false" outlineLevel="0" collapsed="false">
      <c r="A17" s="0" t="s">
        <v>122</v>
      </c>
      <c r="C17" s="4" t="n">
        <f aca="false">-C6*Assumptions!C18/100</f>
        <v>-275.06169</v>
      </c>
      <c r="D17" s="4" t="n">
        <f aca="false">-D6*Assumptions!D18/100</f>
        <v>-224.12434</v>
      </c>
      <c r="E17" s="4" t="n">
        <f aca="false">-E6*Assumptions!E18/100</f>
        <v>-140.587086</v>
      </c>
      <c r="F17" s="4" t="n">
        <f aca="false">-F6*Assumptions!F18/100</f>
        <v>-109.095578736</v>
      </c>
      <c r="G17" s="4" t="n">
        <f aca="false">-G6*Assumptions!G18/100</f>
        <v>-122.91435204256</v>
      </c>
      <c r="H17" s="4" t="n">
        <f aca="false">-H6*Assumptions!H18/100</f>
        <v>-137.664074287667</v>
      </c>
      <c r="I17" s="4" t="n">
        <f aca="false">-I6*Assumptions!I18/100</f>
        <v>-132.305008538612</v>
      </c>
      <c r="J17" s="4" t="n">
        <f aca="false">-J6*Assumptions!J18/100</f>
        <v>-136.27415879477</v>
      </c>
      <c r="K17" s="4" t="n">
        <f aca="false">-K6*Assumptions!K18/100</f>
        <v>-128.936319475052</v>
      </c>
      <c r="L17" s="4" t="n">
        <f aca="false">-L6*Assumptions!L18/100</f>
        <v>-132.159727461928</v>
      </c>
    </row>
    <row r="18" customFormat="false" ht="15" hidden="false" customHeight="false" outlineLevel="0" collapsed="false">
      <c r="A18" s="0" t="s">
        <v>123</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124</v>
      </c>
      <c r="C19" s="0" t="n">
        <f aca="false">C15+C16+C17+C18</f>
        <v>250.2042632</v>
      </c>
      <c r="D19" s="0" t="n">
        <f aca="false">D15+D16+D17+D18</f>
        <v>288.15258895</v>
      </c>
      <c r="E19" s="0" t="n">
        <f aca="false">E15+E16+E17+E18</f>
        <v>310.791184784</v>
      </c>
      <c r="F19" s="0" t="n">
        <f aca="false">F15+F16+F17+F18</f>
        <v>332.60514567138</v>
      </c>
      <c r="G19" s="0" t="n">
        <f aca="false">G15+G16+G17+G18</f>
        <v>348.509462791443</v>
      </c>
      <c r="H19" s="0" t="n">
        <f aca="false">H15+H16+H17+H18</f>
        <v>356.795781109143</v>
      </c>
      <c r="I19" s="0" t="n">
        <f aca="false">I15+I16+I17+I18</f>
        <v>379.460941797087</v>
      </c>
      <c r="J19" s="0" t="n">
        <f aca="false">J15+J16+J17+J18</f>
        <v>390.844770051</v>
      </c>
      <c r="K19" s="0" t="n">
        <f aca="false">K15+K16+K17+K18</f>
        <v>411.360582591862</v>
      </c>
      <c r="L19" s="0" t="n">
        <f aca="false">L15+L16+L17+L18</f>
        <v>421.644597156659</v>
      </c>
    </row>
    <row r="20" customFormat="false" ht="15" hidden="false" customHeight="false" outlineLevel="0" collapsed="false">
      <c r="A20" s="0" t="s">
        <v>125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126</v>
      </c>
      <c r="C21" s="0" t="n">
        <f aca="false">C19*C20</f>
        <v>227.458421090909</v>
      </c>
      <c r="D21" s="0" t="n">
        <f aca="false">D19*D20</f>
        <v>238.142635495868</v>
      </c>
      <c r="E21" s="0" t="n">
        <f aca="false">E19*E20</f>
        <v>233.502017117956</v>
      </c>
      <c r="F21" s="0" t="n">
        <f aca="false">F19*F20</f>
        <v>227.173789817212</v>
      </c>
      <c r="G21" s="0" t="n">
        <f aca="false">G19*G20</f>
        <v>216.396956735098</v>
      </c>
      <c r="H21" s="0" t="n">
        <f aca="false">H19*H20</f>
        <v>201.401916789285</v>
      </c>
      <c r="I21" s="0" t="n">
        <f aca="false">I19*I20</f>
        <v>194.723462834645</v>
      </c>
      <c r="J21" s="0" t="n">
        <f aca="false">J19*J20</f>
        <v>182.331969745167</v>
      </c>
      <c r="K21" s="0" t="n">
        <f aca="false">K19*K20</f>
        <v>174.457043369527</v>
      </c>
      <c r="L21" s="0" t="n">
        <f aca="false">L19*L20</f>
        <v>162.562244957968</v>
      </c>
    </row>
    <row r="23" customFormat="false" ht="15" hidden="false" customHeight="false" outlineLevel="0" collapsed="false">
      <c r="A23" s="0" t="s">
        <v>102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Assumptions!$B$20</f>
        <v>10</v>
      </c>
    </row>
    <row r="28" customFormat="false" ht="15" hidden="false" customHeight="false" outlineLevel="0" collapsed="false">
      <c r="A28" s="0" t="s">
        <v>107</v>
      </c>
      <c r="B28" s="4" t="n">
        <f aca="false">Assumptions!$B$21</f>
        <v>2.5</v>
      </c>
    </row>
    <row r="29" customFormat="false" ht="15" hidden="false" customHeight="false" outlineLevel="0" collapsed="false">
      <c r="A29" s="0" t="s">
        <v>108</v>
      </c>
      <c r="B29" s="4" t="n">
        <f aca="false">Assumptions!$B$22</f>
        <v>15</v>
      </c>
    </row>
    <row r="30" customFormat="false" ht="15" hidden="false" customHeight="false" outlineLevel="0" collapsed="false">
      <c r="A30" s="0" t="s">
        <v>129</v>
      </c>
      <c r="B30" s="0" t="n">
        <f aca="false">SUM(C21:L21)</f>
        <v>2058.15045795364</v>
      </c>
    </row>
    <row r="31" customFormat="false" ht="15" hidden="false" customHeight="false" outlineLevel="0" collapsed="false">
      <c r="A31" s="0" t="s">
        <v>130</v>
      </c>
      <c r="B31" s="0" t="n">
        <f aca="false">L19</f>
        <v>421.644597156659</v>
      </c>
    </row>
    <row r="32" customFormat="false" ht="15" hidden="false" customHeight="false" outlineLevel="0" collapsed="false">
      <c r="A32" s="0" t="s">
        <v>131</v>
      </c>
      <c r="B32" s="0" t="n">
        <f aca="false">IF(B27&gt;B28,B31*(1+B28/100)/((B27-B28)/100),B31*B29)</f>
        <v>5762.47616114101</v>
      </c>
    </row>
    <row r="33" customFormat="false" ht="15" hidden="false" customHeight="false" outlineLevel="0" collapsed="false">
      <c r="A33" s="0" t="s">
        <v>132</v>
      </c>
      <c r="B33" s="0" t="n">
        <f aca="false">B31*B29</f>
        <v>6324.66895734988</v>
      </c>
    </row>
    <row r="34" customFormat="false" ht="15" hidden="false" customHeight="false" outlineLevel="0" collapsed="false">
      <c r="A34" s="0" t="s">
        <v>133</v>
      </c>
      <c r="B34" s="0" t="n">
        <f aca="false">MAX(0,MIN(B32,B33))</f>
        <v>5762.47616114101</v>
      </c>
    </row>
    <row r="35" customFormat="false" ht="15" hidden="false" customHeight="false" outlineLevel="0" collapsed="false">
      <c r="A35" s="0" t="s">
        <v>134</v>
      </c>
      <c r="B35" s="0" t="n">
        <f aca="false">B34/(1+B27/100)^L4</f>
        <v>2221.68401442556</v>
      </c>
    </row>
    <row r="36" customFormat="false" ht="15" hidden="false" customHeight="false" outlineLevel="0" collapsed="false">
      <c r="A36" s="0" t="s">
        <v>135</v>
      </c>
      <c r="B36" s="0" t="n">
        <f aca="false">B30+B35</f>
        <v>4279.8344723792</v>
      </c>
    </row>
    <row r="37" customFormat="false" ht="15" hidden="false" customHeight="false" outlineLevel="0" collapsed="false">
      <c r="A37" s="0" t="s">
        <v>136</v>
      </c>
      <c r="B37" s="0" t="n">
        <f aca="false">B36+Assumptions!$B$5-Assumptions!$B$4</f>
        <v>4279.8344723792</v>
      </c>
    </row>
    <row r="38" customFormat="false" ht="15" hidden="false" customHeight="false" outlineLevel="0" collapsed="false">
      <c r="A38" s="0" t="s">
        <v>137</v>
      </c>
      <c r="B38" s="0" t="n">
        <f aca="false">B37/Assumptions!$B$3*Assumptions!$B$10</f>
        <v>8.87748283007508</v>
      </c>
    </row>
    <row r="39" customFormat="false" ht="15" hidden="false" customHeight="false" outlineLevel="0" collapsed="false">
      <c r="A39" s="0" t="s">
        <v>138</v>
      </c>
      <c r="B39" s="4" t="n">
        <f aca="false">B38/Assumptions!$B$2-1</f>
        <v>-0.513828979733018</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8.87748283007508</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3457.4856966846</v>
      </c>
    </row>
    <row r="47" customFormat="false" ht="15" hidden="false" customHeight="false" outlineLevel="0" collapsed="false">
      <c r="A47" s="0" t="s">
        <v>143</v>
      </c>
      <c r="B47" s="0" t="n">
        <f aca="false">(SUMPRODUCT(C19:L19/(1+B45/100)^C4:L4)+B46/(1+B45/100)^L4+Assumptions!$B$5-Assumptions!$B$4)/Assumptions!$B$3*Assumptions!$B$10</f>
        <v>5.19334736461927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10</v>
      </c>
      <c r="D5" s="4" t="n">
        <f aca="false">Assumptions!D27</f>
        <v>7</v>
      </c>
      <c r="E5" s="4" t="n">
        <f aca="false">Assumptions!E27</f>
        <v>6</v>
      </c>
      <c r="F5" s="4" t="n">
        <f aca="false">Assumptions!F27</f>
        <v>5.5</v>
      </c>
      <c r="G5" s="4" t="n">
        <f aca="false">Assumptions!G27</f>
        <v>5</v>
      </c>
      <c r="H5" s="4" t="n">
        <f aca="false">Assumptions!H27</f>
        <v>4.5</v>
      </c>
      <c r="I5" s="4" t="n">
        <f aca="false">Assumptions!I27</f>
        <v>4</v>
      </c>
      <c r="J5" s="4" t="n">
        <f aca="false">Assumptions!J27</f>
        <v>3.5</v>
      </c>
      <c r="K5" s="4" t="n">
        <f aca="false">Assumptions!K27</f>
        <v>3</v>
      </c>
      <c r="L5" s="4" t="n">
        <f aca="false">Assumptions!L27</f>
        <v>3</v>
      </c>
    </row>
    <row r="6" customFormat="false" ht="15" hidden="false" customHeight="false" outlineLevel="0" collapsed="false">
      <c r="A6" s="0" t="s">
        <v>37</v>
      </c>
      <c r="B6" s="3" t="n">
        <v>952.1</v>
      </c>
      <c r="C6" s="0" t="n">
        <f aca="false">B6*(1+C5/100)</f>
        <v>1047.31</v>
      </c>
      <c r="D6" s="0" t="n">
        <f aca="false">C6*(1+D5/100)</f>
        <v>1120.6217</v>
      </c>
      <c r="E6" s="0" t="n">
        <f aca="false">D6*(1+E5/100)</f>
        <v>1187.859002</v>
      </c>
      <c r="F6" s="0" t="n">
        <f aca="false">E6*(1+F5/100)</f>
        <v>1253.19124711</v>
      </c>
      <c r="G6" s="0" t="n">
        <f aca="false">F6*(1+G5/100)</f>
        <v>1315.8508094655</v>
      </c>
      <c r="H6" s="0" t="n">
        <f aca="false">G6*(1+H5/100)</f>
        <v>1375.06409589145</v>
      </c>
      <c r="I6" s="0" t="n">
        <f aca="false">H6*(1+I5/100)</f>
        <v>1430.06665972711</v>
      </c>
      <c r="J6" s="0" t="n">
        <f aca="false">I6*(1+J5/100)</f>
        <v>1480.11899281755</v>
      </c>
      <c r="K6" s="0" t="n">
        <f aca="false">J6*(1+K5/100)</f>
        <v>1524.52256260208</v>
      </c>
      <c r="L6" s="0" t="n">
        <f aca="false">K6*(1+L5/100)</f>
        <v>1570.25823948014</v>
      </c>
    </row>
    <row r="7" customFormat="false" ht="15" hidden="false" customHeight="false" outlineLevel="0" collapsed="false">
      <c r="A7" s="0" t="s">
        <v>100</v>
      </c>
      <c r="C7" s="4" t="n">
        <f aca="false">Assumptions!C28</f>
        <v>61</v>
      </c>
      <c r="D7" s="4" t="n">
        <f aca="false">Assumptions!D28</f>
        <v>61</v>
      </c>
      <c r="E7" s="4" t="n">
        <f aca="false">Assumptions!E28</f>
        <v>60.8</v>
      </c>
      <c r="F7" s="4" t="n">
        <f aca="false">Assumptions!F28</f>
        <v>60.6</v>
      </c>
      <c r="G7" s="4" t="n">
        <f aca="false">Assumptions!G28</f>
        <v>60.5</v>
      </c>
      <c r="H7" s="4" t="n">
        <f aca="false">Assumptions!H28</f>
        <v>60.5</v>
      </c>
      <c r="I7" s="4" t="n">
        <f aca="false">Assumptions!I28</f>
        <v>60.5</v>
      </c>
      <c r="J7" s="4" t="n">
        <f aca="false">Assumptions!J28</f>
        <v>60.5</v>
      </c>
      <c r="K7" s="4" t="n">
        <f aca="false">Assumptions!K28</f>
        <v>60.5</v>
      </c>
      <c r="L7" s="4" t="n">
        <f aca="false">Assumptions!L28</f>
        <v>60.5</v>
      </c>
    </row>
    <row r="8" customFormat="false" ht="15" hidden="false" customHeight="false" outlineLevel="0" collapsed="false">
      <c r="A8" s="0" t="s">
        <v>43</v>
      </c>
      <c r="C8" s="0" t="n">
        <f aca="false">C6*C7/100</f>
        <v>638.8591</v>
      </c>
      <c r="D8" s="0" t="n">
        <f aca="false">D6*D7/100</f>
        <v>683.579237</v>
      </c>
      <c r="E8" s="0" t="n">
        <f aca="false">E6*E7/100</f>
        <v>722.218273216</v>
      </c>
      <c r="F8" s="0" t="n">
        <f aca="false">F6*F7/100</f>
        <v>759.43389574866</v>
      </c>
      <c r="G8" s="0" t="n">
        <f aca="false">G6*G7/100</f>
        <v>796.089739726628</v>
      </c>
      <c r="H8" s="0" t="n">
        <f aca="false">H6*H7/100</f>
        <v>831.913778014326</v>
      </c>
      <c r="I8" s="0" t="n">
        <f aca="false">I6*I7/100</f>
        <v>865.190329134899</v>
      </c>
      <c r="J8" s="0" t="n">
        <f aca="false">J6*J7/100</f>
        <v>895.47199065462</v>
      </c>
      <c r="K8" s="0" t="n">
        <f aca="false">K6*K7/100</f>
        <v>922.336150374259</v>
      </c>
      <c r="L8" s="0" t="n">
        <f aca="false">L6*L7/100</f>
        <v>950.006234885487</v>
      </c>
    </row>
    <row r="9" customFormat="false" ht="15" hidden="false" customHeight="false" outlineLevel="0" collapsed="false">
      <c r="A9" s="0" t="s">
        <v>101</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638.8591</v>
      </c>
      <c r="D11" s="0" t="n">
        <f aca="false">D8+D10+D24</f>
        <v>683.579237</v>
      </c>
      <c r="E11" s="0" t="n">
        <f aca="false">E8+E10+E24</f>
        <v>722.218273216</v>
      </c>
      <c r="F11" s="0" t="n">
        <f aca="false">F8+F10+F24</f>
        <v>759.43389574866</v>
      </c>
      <c r="G11" s="0" t="n">
        <f aca="false">G8+G10+G24</f>
        <v>796.089739726628</v>
      </c>
      <c r="H11" s="0" t="n">
        <f aca="false">H8+H10+H24</f>
        <v>831.913778014326</v>
      </c>
      <c r="I11" s="0" t="n">
        <f aca="false">I8+I10+I24</f>
        <v>865.190329134899</v>
      </c>
      <c r="J11" s="0" t="n">
        <f aca="false">J8+J10+J24</f>
        <v>895.47199065462</v>
      </c>
      <c r="K11" s="0" t="n">
        <f aca="false">K8+K10+K24</f>
        <v>922.336150374259</v>
      </c>
      <c r="L11" s="0" t="n">
        <f aca="false">L8+L10+L24</f>
        <v>950.006234885487</v>
      </c>
    </row>
    <row r="12" customFormat="false" ht="15" hidden="false" customHeight="false" outlineLevel="0" collapsed="false">
      <c r="A12" s="0" t="s">
        <v>118</v>
      </c>
      <c r="C12" s="4" t="n">
        <f aca="false">-C6*Assumptions!C31/100</f>
        <v>-9.42579</v>
      </c>
      <c r="D12" s="4" t="n">
        <f aca="false">-D6*Assumptions!D31/100</f>
        <v>-10.0855953</v>
      </c>
      <c r="E12" s="4" t="n">
        <f aca="false">-E6*Assumptions!E31/100</f>
        <v>-10.690731018</v>
      </c>
      <c r="F12" s="4" t="n">
        <f aca="false">-F6*Assumptions!F31/100</f>
        <v>-11.27872122399</v>
      </c>
      <c r="G12" s="4" t="n">
        <f aca="false">-G6*Assumptions!G31/100</f>
        <v>-11.8426572851895</v>
      </c>
      <c r="H12" s="4" t="n">
        <f aca="false">-H6*Assumptions!H31/100</f>
        <v>-12.375576863023</v>
      </c>
      <c r="I12" s="4" t="n">
        <f aca="false">-I6*Assumptions!I31/100</f>
        <v>-12.870599937544</v>
      </c>
      <c r="J12" s="4" t="n">
        <f aca="false">-J6*Assumptions!J31/100</f>
        <v>-13.321070935358</v>
      </c>
      <c r="K12" s="4" t="n">
        <f aca="false">-K6*Assumptions!K31/100</f>
        <v>-13.7207030634187</v>
      </c>
      <c r="L12" s="4" t="n">
        <f aca="false">-L6*Assumptions!L31/100</f>
        <v>-14.1323241553213</v>
      </c>
    </row>
    <row r="13" customFormat="false" ht="15" hidden="false" customHeight="false" outlineLevel="0" collapsed="false">
      <c r="A13" s="0" t="s">
        <v>119</v>
      </c>
      <c r="C13" s="0" t="n">
        <f aca="false">C11+C12</f>
        <v>629.43331</v>
      </c>
      <c r="D13" s="0" t="n">
        <f aca="false">D11+D12</f>
        <v>673.4936417</v>
      </c>
      <c r="E13" s="0" t="n">
        <f aca="false">E11+E12</f>
        <v>711.527542198</v>
      </c>
      <c r="F13" s="0" t="n">
        <f aca="false">F11+F12</f>
        <v>748.15517452467</v>
      </c>
      <c r="G13" s="0" t="n">
        <f aca="false">G11+G12</f>
        <v>784.247082441438</v>
      </c>
      <c r="H13" s="0" t="n">
        <f aca="false">H11+H12</f>
        <v>819.538201151303</v>
      </c>
      <c r="I13" s="0" t="n">
        <f aca="false">I11+I12</f>
        <v>852.319729197355</v>
      </c>
      <c r="J13" s="0" t="n">
        <f aca="false">J11+J12</f>
        <v>882.150919719262</v>
      </c>
      <c r="K13" s="0" t="n">
        <f aca="false">K11+K12</f>
        <v>908.615447310841</v>
      </c>
      <c r="L13" s="0" t="n">
        <f aca="false">L11+L12</f>
        <v>935.873910730166</v>
      </c>
    </row>
    <row r="14" customFormat="false" ht="15" hidden="false" customHeight="false" outlineLevel="0" collapsed="false">
      <c r="A14" s="0" t="s">
        <v>105</v>
      </c>
      <c r="C14" s="4" t="n">
        <f aca="false">Assumptions!C33</f>
        <v>15</v>
      </c>
      <c r="D14" s="4" t="n">
        <f aca="false">Assumptions!D33</f>
        <v>15</v>
      </c>
      <c r="E14" s="4" t="n">
        <f aca="false">Assumptions!E33</f>
        <v>15</v>
      </c>
      <c r="F14" s="4" t="n">
        <f aca="false">Assumptions!F33</f>
        <v>15</v>
      </c>
      <c r="G14" s="4" t="n">
        <f aca="false">Assumptions!G33</f>
        <v>15</v>
      </c>
      <c r="H14" s="4" t="n">
        <f aca="false">Assumptions!H33</f>
        <v>15</v>
      </c>
      <c r="I14" s="4" t="n">
        <f aca="false">Assumptions!I33</f>
        <v>15</v>
      </c>
      <c r="J14" s="4" t="n">
        <f aca="false">Assumptions!J33</f>
        <v>15</v>
      </c>
      <c r="K14" s="4" t="n">
        <f aca="false">Assumptions!K33</f>
        <v>15</v>
      </c>
      <c r="L14" s="4" t="n">
        <f aca="false">Assumptions!L33</f>
        <v>15</v>
      </c>
    </row>
    <row r="15" customFormat="false" ht="15" hidden="false" customHeight="false" outlineLevel="0" collapsed="false">
      <c r="A15" s="0" t="s">
        <v>120</v>
      </c>
      <c r="C15" s="0" t="n">
        <f aca="false">C13-MAX(0,C13)*C14/100</f>
        <v>535.0183135</v>
      </c>
      <c r="D15" s="0" t="n">
        <f aca="false">D13-MAX(0,D13)*D14/100</f>
        <v>572.469595445</v>
      </c>
      <c r="E15" s="0" t="n">
        <f aca="false">E13-MAX(0,E13)*E14/100</f>
        <v>604.7984108683</v>
      </c>
      <c r="F15" s="0" t="n">
        <f aca="false">F13-MAX(0,F13)*F14/100</f>
        <v>635.93189834597</v>
      </c>
      <c r="G15" s="0" t="n">
        <f aca="false">G13-MAX(0,G13)*G14/100</f>
        <v>666.610020075223</v>
      </c>
      <c r="H15" s="0" t="n">
        <f aca="false">H13-MAX(0,H13)*H14/100</f>
        <v>696.607470978608</v>
      </c>
      <c r="I15" s="0" t="n">
        <f aca="false">I13-MAX(0,I13)*I14/100</f>
        <v>724.471769817752</v>
      </c>
      <c r="J15" s="0" t="n">
        <f aca="false">J13-MAX(0,J13)*J14/100</f>
        <v>749.828281761373</v>
      </c>
      <c r="K15" s="0" t="n">
        <f aca="false">K13-MAX(0,K13)*K14/100</f>
        <v>772.323130214214</v>
      </c>
      <c r="L15" s="0" t="n">
        <f aca="false">L13-MAX(0,L13)*L14/100</f>
        <v>795.492824120641</v>
      </c>
    </row>
    <row r="16" customFormat="false" ht="15" hidden="false" customHeight="false" outlineLevel="0" collapsed="false">
      <c r="A16" s="0" t="s">
        <v>121</v>
      </c>
      <c r="C16" s="0" t="n">
        <f aca="false">-C12</f>
        <v>9.42579</v>
      </c>
      <c r="D16" s="0" t="n">
        <f aca="false">-D12</f>
        <v>10.0855953</v>
      </c>
      <c r="E16" s="0" t="n">
        <f aca="false">-E12</f>
        <v>10.690731018</v>
      </c>
      <c r="F16" s="0" t="n">
        <f aca="false">-F12</f>
        <v>11.27872122399</v>
      </c>
      <c r="G16" s="0" t="n">
        <f aca="false">-G12</f>
        <v>11.8426572851895</v>
      </c>
      <c r="H16" s="0" t="n">
        <f aca="false">-H12</f>
        <v>12.375576863023</v>
      </c>
      <c r="I16" s="0" t="n">
        <f aca="false">-I12</f>
        <v>12.870599937544</v>
      </c>
      <c r="J16" s="0" t="n">
        <f aca="false">-J12</f>
        <v>13.321070935358</v>
      </c>
      <c r="K16" s="0" t="n">
        <f aca="false">-K12</f>
        <v>13.7207030634187</v>
      </c>
      <c r="L16" s="0" t="n">
        <f aca="false">-L12</f>
        <v>14.1323241553213</v>
      </c>
    </row>
    <row r="17" customFormat="false" ht="15" hidden="false" customHeight="false" outlineLevel="0" collapsed="false">
      <c r="A17" s="0" t="s">
        <v>122</v>
      </c>
      <c r="C17" s="4" t="n">
        <f aca="false">-C6*Assumptions!C32/100</f>
        <v>-282.7737</v>
      </c>
      <c r="D17" s="4" t="n">
        <f aca="false">-D6*Assumptions!D32/100</f>
        <v>-280.155425</v>
      </c>
      <c r="E17" s="4" t="n">
        <f aca="false">-E6*Assumptions!E32/100</f>
        <v>-273.20757046</v>
      </c>
      <c r="F17" s="4" t="n">
        <f aca="false">-F6*Assumptions!F32/100</f>
        <v>-263.1701618931</v>
      </c>
      <c r="G17" s="4" t="n">
        <f aca="false">-G6*Assumptions!G32/100</f>
        <v>-250.011653798445</v>
      </c>
      <c r="H17" s="4" t="n">
        <f aca="false">-H6*Assumptions!H32/100</f>
        <v>-233.760896301546</v>
      </c>
      <c r="I17" s="4" t="n">
        <f aca="false">-I6*Assumptions!I32/100</f>
        <v>-228.810665556337</v>
      </c>
      <c r="J17" s="4" t="n">
        <f aca="false">-J6*Assumptions!J32/100</f>
        <v>-222.017848922633</v>
      </c>
      <c r="K17" s="4" t="n">
        <f aca="false">-K6*Assumptions!K32/100</f>
        <v>-213.433158764291</v>
      </c>
      <c r="L17" s="4" t="n">
        <f aca="false">-L6*Assumptions!L32/100</f>
        <v>-204.133571132419</v>
      </c>
    </row>
    <row r="18" customFormat="false" ht="15" hidden="false" customHeight="false" outlineLevel="0" collapsed="false">
      <c r="A18" s="0" t="s">
        <v>123</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124</v>
      </c>
      <c r="C19" s="0" t="n">
        <f aca="false">C15+C16+C17+C18</f>
        <v>261.6704035</v>
      </c>
      <c r="D19" s="0" t="n">
        <f aca="false">D15+D16+D17+D18</f>
        <v>302.399765745</v>
      </c>
      <c r="E19" s="0" t="n">
        <f aca="false">E15+E16+E17+E18</f>
        <v>342.2815714263</v>
      </c>
      <c r="F19" s="0" t="n">
        <f aca="false">F15+F16+F17+F18</f>
        <v>384.04045767686</v>
      </c>
      <c r="G19" s="0" t="n">
        <f aca="false">G15+G16+G17+G18</f>
        <v>428.441023561967</v>
      </c>
      <c r="H19" s="0" t="n">
        <f aca="false">H15+H16+H17+H18</f>
        <v>475.222151540084</v>
      </c>
      <c r="I19" s="0" t="n">
        <f aca="false">I15+I16+I17+I18</f>
        <v>508.531704198959</v>
      </c>
      <c r="J19" s="0" t="n">
        <f aca="false">J15+J16+J17+J18</f>
        <v>541.131503774098</v>
      </c>
      <c r="K19" s="0" t="n">
        <f aca="false">K15+K16+K17+K18</f>
        <v>572.610674513342</v>
      </c>
      <c r="L19" s="0" t="n">
        <f aca="false">L15+L16+L17+L18</f>
        <v>605.491577143544</v>
      </c>
    </row>
    <row r="20" customFormat="false" ht="15" hidden="false" customHeight="false" outlineLevel="0" collapsed="false">
      <c r="A20" s="0" t="s">
        <v>125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126</v>
      </c>
      <c r="C21" s="0" t="n">
        <f aca="false">C19*C20</f>
        <v>237.882185</v>
      </c>
      <c r="D21" s="0" t="n">
        <f aca="false">D19*D20</f>
        <v>249.917161772727</v>
      </c>
      <c r="E21" s="0" t="n">
        <f aca="false">E19*E20</f>
        <v>257.16121068843</v>
      </c>
      <c r="F21" s="0" t="n">
        <f aca="false">F19*F20</f>
        <v>262.304799997855</v>
      </c>
      <c r="G21" s="0" t="n">
        <f aca="false">G19*G20</f>
        <v>266.028167202915</v>
      </c>
      <c r="H21" s="0" t="n">
        <f aca="false">H19*H20</f>
        <v>268.250515528443</v>
      </c>
      <c r="I21" s="0" t="n">
        <f aca="false">I19*I20</f>
        <v>260.957172387392</v>
      </c>
      <c r="J21" s="0" t="n">
        <f aca="false">J19*J20</f>
        <v>252.441840174608</v>
      </c>
      <c r="K21" s="0" t="n">
        <f aca="false">K19*K20</f>
        <v>242.84282331577</v>
      </c>
      <c r="L21" s="0" t="n">
        <f aca="false">L19*L20</f>
        <v>233.443214373797</v>
      </c>
    </row>
    <row r="23" customFormat="false" ht="15" hidden="false" customHeight="false" outlineLevel="0" collapsed="false">
      <c r="A23" s="0" t="s">
        <v>102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Assumptions!$B$34</f>
        <v>10</v>
      </c>
    </row>
    <row r="28" customFormat="false" ht="15" hidden="false" customHeight="false" outlineLevel="0" collapsed="false">
      <c r="A28" s="0" t="s">
        <v>107</v>
      </c>
      <c r="B28" s="4" t="n">
        <f aca="false">Assumptions!$B$35</f>
        <v>3</v>
      </c>
    </row>
    <row r="29" customFormat="false" ht="15" hidden="false" customHeight="false" outlineLevel="0" collapsed="false">
      <c r="A29" s="0" t="s">
        <v>108</v>
      </c>
      <c r="B29" s="4" t="n">
        <f aca="false">Assumptions!$B$36</f>
        <v>18</v>
      </c>
    </row>
    <row r="30" customFormat="false" ht="15" hidden="false" customHeight="false" outlineLevel="0" collapsed="false">
      <c r="A30" s="0" t="s">
        <v>129</v>
      </c>
      <c r="B30" s="0" t="n">
        <f aca="false">SUM(C21:L21)</f>
        <v>2531.22909044194</v>
      </c>
    </row>
    <row r="31" customFormat="false" ht="15" hidden="false" customHeight="false" outlineLevel="0" collapsed="false">
      <c r="A31" s="0" t="s">
        <v>130</v>
      </c>
      <c r="B31" s="0" t="n">
        <f aca="false">L19</f>
        <v>605.491577143544</v>
      </c>
    </row>
    <row r="32" customFormat="false" ht="15" hidden="false" customHeight="false" outlineLevel="0" collapsed="false">
      <c r="A32" s="0" t="s">
        <v>131</v>
      </c>
      <c r="B32" s="0" t="n">
        <f aca="false">IF(B27&gt;B28,B31*(1+B28/100)/((B27-B28)/100),B31*B29)</f>
        <v>8909.37606368357</v>
      </c>
    </row>
    <row r="33" customFormat="false" ht="15" hidden="false" customHeight="false" outlineLevel="0" collapsed="false">
      <c r="A33" s="0" t="s">
        <v>132</v>
      </c>
      <c r="B33" s="0" t="n">
        <f aca="false">B31*B29</f>
        <v>10898.8483885838</v>
      </c>
    </row>
    <row r="34" customFormat="false" ht="15" hidden="false" customHeight="false" outlineLevel="0" collapsed="false">
      <c r="A34" s="0" t="s">
        <v>133</v>
      </c>
      <c r="B34" s="0" t="n">
        <f aca="false">MAX(0,MIN(B32,B33))</f>
        <v>8909.37606368357</v>
      </c>
    </row>
    <row r="35" customFormat="false" ht="15" hidden="false" customHeight="false" outlineLevel="0" collapsed="false">
      <c r="A35" s="0" t="s">
        <v>134</v>
      </c>
      <c r="B35" s="0" t="n">
        <f aca="false">B34/(1+B27/100)^L4</f>
        <v>3434.95015435729</v>
      </c>
    </row>
    <row r="36" customFormat="false" ht="15" hidden="false" customHeight="false" outlineLevel="0" collapsed="false">
      <c r="A36" s="0" t="s">
        <v>135</v>
      </c>
      <c r="B36" s="0" t="n">
        <f aca="false">B30+B35</f>
        <v>5966.17924479923</v>
      </c>
    </row>
    <row r="37" customFormat="false" ht="15" hidden="false" customHeight="false" outlineLevel="0" collapsed="false">
      <c r="A37" s="0" t="s">
        <v>136</v>
      </c>
      <c r="B37" s="0" t="n">
        <f aca="false">B36+Assumptions!$B$5-Assumptions!$B$4</f>
        <v>5966.17924479923</v>
      </c>
    </row>
    <row r="38" customFormat="false" ht="15" hidden="false" customHeight="false" outlineLevel="0" collapsed="false">
      <c r="A38" s="0" t="s">
        <v>137</v>
      </c>
      <c r="B38" s="0" t="n">
        <f aca="false">B37/Assumptions!$B$3*Assumptions!$B$10</f>
        <v>12.3753977282705</v>
      </c>
    </row>
    <row r="39" customFormat="false" ht="15" hidden="false" customHeight="false" outlineLevel="0" collapsed="false">
      <c r="A39" s="0" t="s">
        <v>138</v>
      </c>
      <c r="B39" s="4" t="n">
        <f aca="false">B38/Assumptions!$B$2-1</f>
        <v>-0.322267375231624</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12.3753977282705</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5197.13603714875</v>
      </c>
    </row>
    <row r="47" customFormat="false" ht="15" hidden="false" customHeight="false" outlineLevel="0" collapsed="false">
      <c r="A47" s="0" t="s">
        <v>143</v>
      </c>
      <c r="B47" s="0" t="n">
        <f aca="false">(SUMPRODUCT(C19:L19/(1+B45/100)^C4:L4)+B46/(1+B45/100)^L4+Assumptions!$B$5-Assumptions!$B$4)/Assumptions!$B$3*Assumptions!$B$10</f>
        <v>6.81281273872425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13</v>
      </c>
      <c r="D5" s="4" t="n">
        <f aca="false">Assumptions!D41</f>
        <v>11</v>
      </c>
      <c r="E5" s="4" t="n">
        <f aca="false">Assumptions!E41</f>
        <v>10</v>
      </c>
      <c r="F5" s="4" t="n">
        <f aca="false">Assumptions!F41</f>
        <v>9</v>
      </c>
      <c r="G5" s="4" t="n">
        <f aca="false">Assumptions!G41</f>
        <v>8</v>
      </c>
      <c r="H5" s="4" t="n">
        <f aca="false">Assumptions!H41</f>
        <v>7</v>
      </c>
      <c r="I5" s="4" t="n">
        <f aca="false">Assumptions!I41</f>
        <v>6</v>
      </c>
      <c r="J5" s="4" t="n">
        <f aca="false">Assumptions!J41</f>
        <v>5</v>
      </c>
      <c r="K5" s="4" t="n">
        <f aca="false">Assumptions!K41</f>
        <v>4</v>
      </c>
      <c r="L5" s="4" t="n">
        <f aca="false">Assumptions!L41</f>
        <v>3.5</v>
      </c>
    </row>
    <row r="6" customFormat="false" ht="15" hidden="false" customHeight="false" outlineLevel="0" collapsed="false">
      <c r="A6" s="0" t="s">
        <v>37</v>
      </c>
      <c r="B6" s="3" t="n">
        <v>952.1</v>
      </c>
      <c r="C6" s="0" t="n">
        <f aca="false">B6*(1+C5/100)</f>
        <v>1075.873</v>
      </c>
      <c r="D6" s="0" t="n">
        <f aca="false">C6*(1+D5/100)</f>
        <v>1194.21903</v>
      </c>
      <c r="E6" s="0" t="n">
        <f aca="false">D6*(1+E5/100)</f>
        <v>1313.640933</v>
      </c>
      <c r="F6" s="0" t="n">
        <f aca="false">E6*(1+F5/100)</f>
        <v>1431.86861697</v>
      </c>
      <c r="G6" s="0" t="n">
        <f aca="false">F6*(1+G5/100)</f>
        <v>1546.4181063276</v>
      </c>
      <c r="H6" s="0" t="n">
        <f aca="false">G6*(1+H5/100)</f>
        <v>1654.66737377053</v>
      </c>
      <c r="I6" s="0" t="n">
        <f aca="false">H6*(1+I5/100)</f>
        <v>1753.94741619676</v>
      </c>
      <c r="J6" s="0" t="n">
        <f aca="false">I6*(1+J5/100)</f>
        <v>1841.6447870066</v>
      </c>
      <c r="K6" s="0" t="n">
        <f aca="false">J6*(1+K5/100)</f>
        <v>1915.31057848687</v>
      </c>
      <c r="L6" s="0" t="n">
        <f aca="false">K6*(1+L5/100)</f>
        <v>1982.34644873391</v>
      </c>
    </row>
    <row r="7" customFormat="false" ht="15" hidden="false" customHeight="false" outlineLevel="0" collapsed="false">
      <c r="A7" s="0" t="s">
        <v>100</v>
      </c>
      <c r="C7" s="4" t="n">
        <f aca="false">Assumptions!C42</f>
        <v>61.5</v>
      </c>
      <c r="D7" s="4" t="n">
        <f aca="false">Assumptions!D42</f>
        <v>62</v>
      </c>
      <c r="E7" s="4" t="n">
        <f aca="false">Assumptions!E42</f>
        <v>62</v>
      </c>
      <c r="F7" s="4" t="n">
        <f aca="false">Assumptions!F42</f>
        <v>62</v>
      </c>
      <c r="G7" s="4" t="n">
        <f aca="false">Assumptions!G42</f>
        <v>62</v>
      </c>
      <c r="H7" s="4" t="n">
        <f aca="false">Assumptions!H42</f>
        <v>62</v>
      </c>
      <c r="I7" s="4" t="n">
        <f aca="false">Assumptions!I42</f>
        <v>62</v>
      </c>
      <c r="J7" s="4" t="n">
        <f aca="false">Assumptions!J42</f>
        <v>62</v>
      </c>
      <c r="K7" s="4" t="n">
        <f aca="false">Assumptions!K42</f>
        <v>62</v>
      </c>
      <c r="L7" s="4" t="n">
        <f aca="false">Assumptions!L42</f>
        <v>62</v>
      </c>
    </row>
    <row r="8" customFormat="false" ht="15" hidden="false" customHeight="false" outlineLevel="0" collapsed="false">
      <c r="A8" s="0" t="s">
        <v>43</v>
      </c>
      <c r="C8" s="0" t="n">
        <f aca="false">C6*C7/100</f>
        <v>661.661895</v>
      </c>
      <c r="D8" s="0" t="n">
        <f aca="false">D6*D7/100</f>
        <v>740.4157986</v>
      </c>
      <c r="E8" s="0" t="n">
        <f aca="false">E6*E7/100</f>
        <v>814.45737846</v>
      </c>
      <c r="F8" s="0" t="n">
        <f aca="false">F6*F7/100</f>
        <v>887.7585425214</v>
      </c>
      <c r="G8" s="0" t="n">
        <f aca="false">G6*G7/100</f>
        <v>958.779225923112</v>
      </c>
      <c r="H8" s="0" t="n">
        <f aca="false">H6*H7/100</f>
        <v>1025.89377173773</v>
      </c>
      <c r="I8" s="0" t="n">
        <f aca="false">I6*I7/100</f>
        <v>1087.44739804199</v>
      </c>
      <c r="J8" s="0" t="n">
        <f aca="false">J6*J7/100</f>
        <v>1141.81976794409</v>
      </c>
      <c r="K8" s="0" t="n">
        <f aca="false">K6*K7/100</f>
        <v>1187.49255866186</v>
      </c>
      <c r="L8" s="0" t="n">
        <f aca="false">L6*L7/100</f>
        <v>1229.05479821502</v>
      </c>
    </row>
    <row r="9" customFormat="false" ht="15" hidden="false" customHeight="false" outlineLevel="0" collapsed="false">
      <c r="A9" s="0" t="s">
        <v>101</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661.661895</v>
      </c>
      <c r="D11" s="0" t="n">
        <f aca="false">D8+D10+D24</f>
        <v>740.4157986</v>
      </c>
      <c r="E11" s="0" t="n">
        <f aca="false">E8+E10+E24</f>
        <v>814.45737846</v>
      </c>
      <c r="F11" s="0" t="n">
        <f aca="false">F8+F10+F24</f>
        <v>887.7585425214</v>
      </c>
      <c r="G11" s="0" t="n">
        <f aca="false">G8+G10+G24</f>
        <v>958.779225923112</v>
      </c>
      <c r="H11" s="0" t="n">
        <f aca="false">H8+H10+H24</f>
        <v>1025.89377173773</v>
      </c>
      <c r="I11" s="0" t="n">
        <f aca="false">I8+I10+I24</f>
        <v>1087.44739804199</v>
      </c>
      <c r="J11" s="0" t="n">
        <f aca="false">J8+J10+J24</f>
        <v>1141.81976794409</v>
      </c>
      <c r="K11" s="0" t="n">
        <f aca="false">K8+K10+K24</f>
        <v>1187.49255866186</v>
      </c>
      <c r="L11" s="0" t="n">
        <f aca="false">L8+L10+L24</f>
        <v>1229.05479821502</v>
      </c>
    </row>
    <row r="12" customFormat="false" ht="15" hidden="false" customHeight="false" outlineLevel="0" collapsed="false">
      <c r="A12" s="0" t="s">
        <v>118</v>
      </c>
      <c r="C12" s="4" t="n">
        <f aca="false">-C6*Assumptions!C45/100</f>
        <v>-9.682857</v>
      </c>
      <c r="D12" s="4" t="n">
        <f aca="false">-D6*Assumptions!D45/100</f>
        <v>-10.74797127</v>
      </c>
      <c r="E12" s="4" t="n">
        <f aca="false">-E6*Assumptions!E45/100</f>
        <v>-11.822768397</v>
      </c>
      <c r="F12" s="4" t="n">
        <f aca="false">-F6*Assumptions!F45/100</f>
        <v>-12.88681755273</v>
      </c>
      <c r="G12" s="4" t="n">
        <f aca="false">-G6*Assumptions!G45/100</f>
        <v>-13.9177629569484</v>
      </c>
      <c r="H12" s="4" t="n">
        <f aca="false">-H6*Assumptions!H45/100</f>
        <v>-14.8920063639348</v>
      </c>
      <c r="I12" s="4" t="n">
        <f aca="false">-I6*Assumptions!I45/100</f>
        <v>-15.7855267457709</v>
      </c>
      <c r="J12" s="4" t="n">
        <f aca="false">-J6*Assumptions!J45/100</f>
        <v>-16.5748030830594</v>
      </c>
      <c r="K12" s="4" t="n">
        <f aca="false">-K6*Assumptions!K45/100</f>
        <v>-17.2377952063818</v>
      </c>
      <c r="L12" s="4" t="n">
        <f aca="false">-L6*Assumptions!L45/100</f>
        <v>-17.8411180386052</v>
      </c>
    </row>
    <row r="13" customFormat="false" ht="15" hidden="false" customHeight="false" outlineLevel="0" collapsed="false">
      <c r="A13" s="0" t="s">
        <v>119</v>
      </c>
      <c r="C13" s="0" t="n">
        <f aca="false">C11+C12</f>
        <v>651.979038</v>
      </c>
      <c r="D13" s="0" t="n">
        <f aca="false">D11+D12</f>
        <v>729.66782733</v>
      </c>
      <c r="E13" s="0" t="n">
        <f aca="false">E11+E12</f>
        <v>802.634610063</v>
      </c>
      <c r="F13" s="0" t="n">
        <f aca="false">F11+F12</f>
        <v>874.87172496867</v>
      </c>
      <c r="G13" s="0" t="n">
        <f aca="false">G11+G12</f>
        <v>944.861462966164</v>
      </c>
      <c r="H13" s="0" t="n">
        <f aca="false">H11+H12</f>
        <v>1011.0017653738</v>
      </c>
      <c r="I13" s="0" t="n">
        <f aca="false">I11+I12</f>
        <v>1071.66187129622</v>
      </c>
      <c r="J13" s="0" t="n">
        <f aca="false">J11+J12</f>
        <v>1125.24496486103</v>
      </c>
      <c r="K13" s="0" t="n">
        <f aca="false">K11+K12</f>
        <v>1170.25476345548</v>
      </c>
      <c r="L13" s="0" t="n">
        <f aca="false">L11+L12</f>
        <v>1211.21368017642</v>
      </c>
    </row>
    <row r="14" customFormat="false" ht="15" hidden="false" customHeight="false" outlineLevel="0" collapsed="false">
      <c r="A14" s="0" t="s">
        <v>105</v>
      </c>
      <c r="C14" s="4" t="n">
        <f aca="false">Assumptions!C47</f>
        <v>15</v>
      </c>
      <c r="D14" s="4" t="n">
        <f aca="false">Assumptions!D47</f>
        <v>15</v>
      </c>
      <c r="E14" s="4" t="n">
        <f aca="false">Assumptions!E47</f>
        <v>15</v>
      </c>
      <c r="F14" s="4" t="n">
        <f aca="false">Assumptions!F47</f>
        <v>15</v>
      </c>
      <c r="G14" s="4" t="n">
        <f aca="false">Assumptions!G47</f>
        <v>15</v>
      </c>
      <c r="H14" s="4" t="n">
        <f aca="false">Assumptions!H47</f>
        <v>15</v>
      </c>
      <c r="I14" s="4" t="n">
        <f aca="false">Assumptions!I47</f>
        <v>15</v>
      </c>
      <c r="J14" s="4" t="n">
        <f aca="false">Assumptions!J47</f>
        <v>15</v>
      </c>
      <c r="K14" s="4" t="n">
        <f aca="false">Assumptions!K47</f>
        <v>15</v>
      </c>
      <c r="L14" s="4" t="n">
        <f aca="false">Assumptions!L47</f>
        <v>15</v>
      </c>
    </row>
    <row r="15" customFormat="false" ht="15" hidden="false" customHeight="false" outlineLevel="0" collapsed="false">
      <c r="A15" s="0" t="s">
        <v>120</v>
      </c>
      <c r="C15" s="0" t="n">
        <f aca="false">C13-MAX(0,C13)*C14/100</f>
        <v>554.1821823</v>
      </c>
      <c r="D15" s="0" t="n">
        <f aca="false">D13-MAX(0,D13)*D14/100</f>
        <v>620.2176532305</v>
      </c>
      <c r="E15" s="0" t="n">
        <f aca="false">E13-MAX(0,E13)*E14/100</f>
        <v>682.23941855355</v>
      </c>
      <c r="F15" s="0" t="n">
        <f aca="false">F13-MAX(0,F13)*F14/100</f>
        <v>743.64096622337</v>
      </c>
      <c r="G15" s="0" t="n">
        <f aca="false">G13-MAX(0,G13)*G14/100</f>
        <v>803.132243521239</v>
      </c>
      <c r="H15" s="0" t="n">
        <f aca="false">H13-MAX(0,H13)*H14/100</f>
        <v>859.351500567726</v>
      </c>
      <c r="I15" s="0" t="n">
        <f aca="false">I13-MAX(0,I13)*I14/100</f>
        <v>910.91259060179</v>
      </c>
      <c r="J15" s="0" t="n">
        <f aca="false">J13-MAX(0,J13)*J14/100</f>
        <v>956.458220131879</v>
      </c>
      <c r="K15" s="0" t="n">
        <f aca="false">K13-MAX(0,K13)*K14/100</f>
        <v>994.716548937154</v>
      </c>
      <c r="L15" s="0" t="n">
        <f aca="false">L13-MAX(0,L13)*L14/100</f>
        <v>1029.53162814995</v>
      </c>
    </row>
    <row r="16" customFormat="false" ht="15" hidden="false" customHeight="false" outlineLevel="0" collapsed="false">
      <c r="A16" s="0" t="s">
        <v>121</v>
      </c>
      <c r="C16" s="0" t="n">
        <f aca="false">-C12</f>
        <v>9.682857</v>
      </c>
      <c r="D16" s="0" t="n">
        <f aca="false">-D12</f>
        <v>10.74797127</v>
      </c>
      <c r="E16" s="0" t="n">
        <f aca="false">-E12</f>
        <v>11.822768397</v>
      </c>
      <c r="F16" s="0" t="n">
        <f aca="false">-F12</f>
        <v>12.88681755273</v>
      </c>
      <c r="G16" s="0" t="n">
        <f aca="false">-G12</f>
        <v>13.9177629569484</v>
      </c>
      <c r="H16" s="0" t="n">
        <f aca="false">-H12</f>
        <v>14.8920063639348</v>
      </c>
      <c r="I16" s="0" t="n">
        <f aca="false">-I12</f>
        <v>15.7855267457709</v>
      </c>
      <c r="J16" s="0" t="n">
        <f aca="false">-J12</f>
        <v>16.5748030830594</v>
      </c>
      <c r="K16" s="0" t="n">
        <f aca="false">-K12</f>
        <v>17.2377952063818</v>
      </c>
      <c r="L16" s="0" t="n">
        <f aca="false">-L12</f>
        <v>17.8411180386052</v>
      </c>
    </row>
    <row r="17" customFormat="false" ht="15" hidden="false" customHeight="false" outlineLevel="0" collapsed="false">
      <c r="A17" s="0" t="s">
        <v>122</v>
      </c>
      <c r="C17" s="4" t="n">
        <f aca="false">-C6*Assumptions!C46/100</f>
        <v>-290.48571</v>
      </c>
      <c r="D17" s="4" t="n">
        <f aca="false">-D6*Assumptions!D46/100</f>
        <v>-286.6125672</v>
      </c>
      <c r="E17" s="4" t="n">
        <f aca="false">-E6*Assumptions!E46/100</f>
        <v>-275.86459593</v>
      </c>
      <c r="F17" s="4" t="n">
        <f aca="false">-F6*Assumptions!F46/100</f>
        <v>-272.0550372243</v>
      </c>
      <c r="G17" s="4" t="n">
        <f aca="false">-G6*Assumptions!G46/100</f>
        <v>-262.891078075692</v>
      </c>
      <c r="H17" s="4" t="n">
        <f aca="false">-H6*Assumptions!H46/100</f>
        <v>-248.20010606558</v>
      </c>
      <c r="I17" s="4" t="n">
        <f aca="false">-I6*Assumptions!I46/100</f>
        <v>-245.552638267547</v>
      </c>
      <c r="J17" s="4" t="n">
        <f aca="false">-J6*Assumptions!J46/100</f>
        <v>-239.413822310858</v>
      </c>
      <c r="K17" s="4" t="n">
        <f aca="false">-K6*Assumptions!K46/100</f>
        <v>-229.837269418424</v>
      </c>
      <c r="L17" s="4" t="n">
        <f aca="false">-L6*Assumptions!L46/100</f>
        <v>-237.881573848069</v>
      </c>
    </row>
    <row r="18" customFormat="false" ht="15" hidden="false" customHeight="false" outlineLevel="0" collapsed="false">
      <c r="A18" s="0" t="s">
        <v>123</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124</v>
      </c>
      <c r="C19" s="0" t="n">
        <f aca="false">C15+C16+C17+C18</f>
        <v>273.3793293</v>
      </c>
      <c r="D19" s="0" t="n">
        <f aca="false">D15+D16+D17+D18</f>
        <v>344.3530573005</v>
      </c>
      <c r="E19" s="0" t="n">
        <f aca="false">E15+E16+E17+E18</f>
        <v>418.19759102055</v>
      </c>
      <c r="F19" s="0" t="n">
        <f aca="false">F15+F16+F17+F18</f>
        <v>484.4727465518</v>
      </c>
      <c r="G19" s="0" t="n">
        <f aca="false">G15+G16+G17+G18</f>
        <v>554.158928402496</v>
      </c>
      <c r="H19" s="0" t="n">
        <f aca="false">H15+H16+H17+H18</f>
        <v>626.043400866081</v>
      </c>
      <c r="I19" s="0" t="n">
        <f aca="false">I15+I16+I17+I18</f>
        <v>681.145479080014</v>
      </c>
      <c r="J19" s="0" t="n">
        <f aca="false">J15+J16+J17+J18</f>
        <v>733.61920090408</v>
      </c>
      <c r="K19" s="0" t="n">
        <f aca="false">K15+K16+K17+K18</f>
        <v>782.117074725112</v>
      </c>
      <c r="L19" s="0" t="n">
        <f aca="false">L15+L16+L17+L18</f>
        <v>809.491172340491</v>
      </c>
    </row>
    <row r="20" customFormat="false" ht="15" hidden="false" customHeight="false" outlineLevel="0" collapsed="false">
      <c r="A20" s="0" t="s">
        <v>125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126</v>
      </c>
      <c r="C21" s="0" t="n">
        <f aca="false">C19*C20</f>
        <v>248.526663</v>
      </c>
      <c r="D21" s="0" t="n">
        <f aca="false">D19*D20</f>
        <v>284.589303554132</v>
      </c>
      <c r="E21" s="0" t="n">
        <f aca="false">E19*E20</f>
        <v>314.198039835124</v>
      </c>
      <c r="F21" s="0" t="n">
        <f aca="false">F19*F20</f>
        <v>330.901404652551</v>
      </c>
      <c r="G21" s="0" t="n">
        <f aca="false">G19*G20</f>
        <v>344.089095008721</v>
      </c>
      <c r="H21" s="0" t="n">
        <f aca="false">H19*H20</f>
        <v>353.385178871109</v>
      </c>
      <c r="I21" s="0" t="n">
        <f aca="false">I19*I20</f>
        <v>349.535332286053</v>
      </c>
      <c r="J21" s="0" t="n">
        <f aca="false">J19*J20</f>
        <v>342.23877148532</v>
      </c>
      <c r="K21" s="0" t="n">
        <f aca="false">K19*K20</f>
        <v>331.693988679375</v>
      </c>
      <c r="L21" s="0" t="n">
        <f aca="false">L19*L20</f>
        <v>312.093889348321</v>
      </c>
    </row>
    <row r="23" customFormat="false" ht="15" hidden="false" customHeight="false" outlineLevel="0" collapsed="false">
      <c r="A23" s="0" t="s">
        <v>102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Assumptions!$B$48</f>
        <v>10</v>
      </c>
    </row>
    <row r="28" customFormat="false" ht="15" hidden="false" customHeight="false" outlineLevel="0" collapsed="false">
      <c r="A28" s="0" t="s">
        <v>107</v>
      </c>
      <c r="B28" s="4" t="n">
        <f aca="false">Assumptions!$B$49</f>
        <v>3.5</v>
      </c>
    </row>
    <row r="29" customFormat="false" ht="15" hidden="false" customHeight="false" outlineLevel="0" collapsed="false">
      <c r="A29" s="0" t="s">
        <v>108</v>
      </c>
      <c r="B29" s="4" t="n">
        <f aca="false">Assumptions!$B$50</f>
        <v>20</v>
      </c>
    </row>
    <row r="30" customFormat="false" ht="15" hidden="false" customHeight="false" outlineLevel="0" collapsed="false">
      <c r="A30" s="0" t="s">
        <v>129</v>
      </c>
      <c r="B30" s="0" t="n">
        <f aca="false">SUM(C21:L21)</f>
        <v>3211.25166672071</v>
      </c>
    </row>
    <row r="31" customFormat="false" ht="15" hidden="false" customHeight="false" outlineLevel="0" collapsed="false">
      <c r="A31" s="0" t="s">
        <v>130</v>
      </c>
      <c r="B31" s="0" t="n">
        <f aca="false">L19</f>
        <v>809.491172340491</v>
      </c>
    </row>
    <row r="32" customFormat="false" ht="15" hidden="false" customHeight="false" outlineLevel="0" collapsed="false">
      <c r="A32" s="0" t="s">
        <v>131</v>
      </c>
      <c r="B32" s="0" t="n">
        <f aca="false">IF(B27&gt;B28,B31*(1+B28/100)/((B27-B28)/100),B31*B29)</f>
        <v>12889.5902057294</v>
      </c>
    </row>
    <row r="33" customFormat="false" ht="15" hidden="false" customHeight="false" outlineLevel="0" collapsed="false">
      <c r="A33" s="0" t="s">
        <v>132</v>
      </c>
      <c r="B33" s="0" t="n">
        <f aca="false">B31*B29</f>
        <v>16189.8234468098</v>
      </c>
    </row>
    <row r="34" customFormat="false" ht="15" hidden="false" customHeight="false" outlineLevel="0" collapsed="false">
      <c r="A34" s="0" t="s">
        <v>133</v>
      </c>
      <c r="B34" s="0" t="n">
        <f aca="false">MAX(0,MIN(B32,B33))</f>
        <v>12889.5902057294</v>
      </c>
    </row>
    <row r="35" customFormat="false" ht="15" hidden="false" customHeight="false" outlineLevel="0" collapsed="false">
      <c r="A35" s="0" t="s">
        <v>134</v>
      </c>
      <c r="B35" s="0" t="n">
        <f aca="false">B34/(1+B27/100)^L4</f>
        <v>4969.49500731557</v>
      </c>
    </row>
    <row r="36" customFormat="false" ht="15" hidden="false" customHeight="false" outlineLevel="0" collapsed="false">
      <c r="A36" s="0" t="s">
        <v>135</v>
      </c>
      <c r="B36" s="0" t="n">
        <f aca="false">B30+B35</f>
        <v>8180.74667403627</v>
      </c>
    </row>
    <row r="37" customFormat="false" ht="15" hidden="false" customHeight="false" outlineLevel="0" collapsed="false">
      <c r="A37" s="0" t="s">
        <v>136</v>
      </c>
      <c r="B37" s="0" t="n">
        <f aca="false">B36+Assumptions!$B$5-Assumptions!$B$4</f>
        <v>8180.74667403627</v>
      </c>
    </row>
    <row r="38" customFormat="false" ht="15" hidden="false" customHeight="false" outlineLevel="0" collapsed="false">
      <c r="A38" s="0" t="s">
        <v>137</v>
      </c>
      <c r="B38" s="0" t="n">
        <f aca="false">B37/Assumptions!$B$3*Assumptions!$B$10</f>
        <v>16.9689829372252</v>
      </c>
    </row>
    <row r="39" customFormat="false" ht="15" hidden="false" customHeight="false" outlineLevel="0" collapsed="false">
      <c r="A39" s="0" t="s">
        <v>138</v>
      </c>
      <c r="B39" s="4" t="n">
        <f aca="false">B38/Assumptions!$B$2-1</f>
        <v>-0.0707019201957722</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16.9689829372252</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7285.42055106442</v>
      </c>
    </row>
    <row r="47" customFormat="false" ht="15" hidden="false" customHeight="false" outlineLevel="0" collapsed="false">
      <c r="A47" s="0" t="s">
        <v>143</v>
      </c>
      <c r="B47" s="0" t="n">
        <f aca="false">(SUMPRODUCT(C19:L19/(1+B45/100)^C4:L4)+B46/(1+B45/100)^L4+Assumptions!$B$5-Assumptions!$B$4)/Assumptions!$B$3*Assumptions!$B$10</f>
        <v>8.9512486400262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8.87748283007508</v>
      </c>
      <c r="C4" s="0" t="n">
        <f aca="false">B4/Assumptions!$B$2-1</f>
        <v>-0.513828979733018</v>
      </c>
      <c r="D4" s="4" t="n">
        <f aca="false">Assumptions!$B$24</f>
        <v>0.25</v>
      </c>
      <c r="E4" s="4" t="n">
        <f aca="false">DCF_Bear!$B$43</f>
        <v>8.87748283007508</v>
      </c>
      <c r="F4" s="4" t="n">
        <f aca="false">DCF_Bear!$B$47</f>
        <v>5.19334736461927</v>
      </c>
    </row>
    <row r="5" customFormat="false" ht="15" hidden="false" customHeight="false" outlineLevel="0" collapsed="false">
      <c r="A5" s="0" t="s">
        <v>152</v>
      </c>
      <c r="B5" s="4" t="n">
        <f aca="false">DCF_Base!$B$38</f>
        <v>12.3753977282705</v>
      </c>
      <c r="C5" s="0" t="n">
        <f aca="false">B5/Assumptions!$B$2-1</f>
        <v>-0.322267375231624</v>
      </c>
      <c r="D5" s="4" t="n">
        <f aca="false">Assumptions!$B$38</f>
        <v>0.5</v>
      </c>
      <c r="E5" s="4" t="n">
        <f aca="false">DCF_Base!$B$43</f>
        <v>12.3753977282705</v>
      </c>
      <c r="F5" s="4" t="n">
        <f aca="false">DCF_Base!$B$47</f>
        <v>6.81281273872425</v>
      </c>
    </row>
    <row r="6" customFormat="false" ht="15" hidden="false" customHeight="false" outlineLevel="0" collapsed="false">
      <c r="A6" s="0" t="s">
        <v>153</v>
      </c>
      <c r="B6" s="4" t="n">
        <f aca="false">DCF_Bull!$B$38</f>
        <v>16.9689829372252</v>
      </c>
      <c r="C6" s="0" t="n">
        <f aca="false">B6/Assumptions!$B$2-1</f>
        <v>-0.0707019201957722</v>
      </c>
      <c r="D6" s="4" t="n">
        <f aca="false">Assumptions!$B$52</f>
        <v>0.25</v>
      </c>
      <c r="E6" s="4" t="n">
        <f aca="false">DCF_Bull!$B$43</f>
        <v>16.9689829372252</v>
      </c>
      <c r="F6" s="4" t="n">
        <f aca="false">DCF_Bull!$B$47</f>
        <v>8.9512486400262</v>
      </c>
    </row>
    <row r="8" customFormat="false" ht="15" hidden="false" customHeight="false" outlineLevel="0" collapsed="false">
      <c r="A8" s="0" t="s">
        <v>154</v>
      </c>
      <c r="B8" s="0" t="n">
        <f aca="false">SUMPRODUCT(B4:B6,D4:D6)</f>
        <v>12.6493153059603</v>
      </c>
    </row>
    <row r="9" customFormat="false" ht="15" hidden="false" customHeight="false" outlineLevel="0" collapsed="false">
      <c r="A9" s="0" t="s">
        <v>155</v>
      </c>
      <c r="B9" s="0" t="n">
        <f aca="false">SUMPRODUCT(E4:E6,D4:D6)</f>
        <v>12.6493153059603</v>
      </c>
    </row>
    <row r="10" customFormat="false" ht="15" hidden="false" customHeight="false" outlineLevel="0" collapsed="false">
      <c r="A10" s="0" t="s">
        <v>156</v>
      </c>
      <c r="B10" s="0" t="n">
        <f aca="false">1-Assumptions!$B$2/B8</f>
        <v>-0.443556394818928</v>
      </c>
    </row>
    <row r="11" customFormat="false" ht="15" hidden="false" customHeight="false" outlineLevel="0" collapsed="false">
      <c r="A11" s="0" t="s">
        <v>157</v>
      </c>
      <c r="B11" s="0" t="str">
        <f aca="false">IF(ABS(B9-B8)&gt;0.01*ABS(B8),(Assumptions!$B$2-B8)/(B9-B8)*100,"n/a")</f>
        <v>n/a</v>
      </c>
    </row>
    <row r="12" customFormat="false" ht="15" hidden="false" customHeight="false" outlineLevel="0" collapsed="false">
      <c r="A12" s="0" t="s">
        <v>158</v>
      </c>
      <c r="B12" s="0" t="n">
        <f aca="false">SUMPRODUCT(F4:F6,D4:D6)</f>
        <v>6.94255537052349</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14.6289111455241</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12.3753977282705</v>
      </c>
      <c r="C16" s="3" t="n">
        <v>10</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10.6930648220243</v>
      </c>
      <c r="C17" s="3" t="n">
        <v>11</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9.39103524145507</v>
      </c>
      <c r="C18" s="3" t="n">
        <v>12</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6.81281273872425</v>
      </c>
      <c r="C19" s="3" t="n">
        <v>15</v>
      </c>
    </row>
    <row r="21" customFormat="false" ht="15" hidden="false" customHeight="false" outlineLevel="0" collapsed="false">
      <c r="A21" s="2" t="s">
        <v>166</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15.7029776462082</v>
      </c>
      <c r="C23" s="0" t="n">
        <f aca="false">(SUMPRODUCT(DCF_Base!$C$19:$L$19/(1+$A$23/100)^DCF_Base!$C$4:$L$4)+MAX(0,MIN(IF($A$23&gt;$C$22,DCF_Base!$L$19*(1+$C$22/100)/(($A$23-$C$22)/100),DCF_Base!$L$19*DCF_Base!$B$29),DCF_Base!$L$19*DCF_Base!$B$29))/(1+$A$23/100)^DCF_Base!$L$4+Assumptions!$B$5-Assumptions!$B$4)/Assumptions!$B$3*Assumptions!$B$10</f>
        <v>16.2847236649242</v>
      </c>
      <c r="D23" s="0" t="n">
        <f aca="false">(SUMPRODUCT(DCF_Base!$C$19:$L$19/(1+$A$23/100)^DCF_Base!$C$4:$L$4)+MAX(0,MIN(IF($A$23&gt;$D$22,DCF_Base!$L$19*(1+$D$22/100)/(($A$23-$D$22)/100),DCF_Base!$L$19*DCF_Base!$B$29),DCF_Base!$L$19*DCF_Base!$B$29))/(1+$A$23/100)^DCF_Base!$L$4+Assumptions!$B$5-Assumptions!$B$4)/Assumptions!$B$3*Assumptions!$B$10</f>
        <v>16.2847236649242</v>
      </c>
      <c r="E23" s="0" t="n">
        <f aca="false">(SUMPRODUCT(DCF_Base!$C$19:$L$19/(1+$A$23/100)^DCF_Base!$C$4:$L$4)+MAX(0,MIN(IF($A$23&gt;$E$22,DCF_Base!$L$19*(1+$E$22/100)/(($A$23-$E$22)/100),DCF_Base!$L$19*DCF_Base!$B$29),DCF_Base!$L$19*DCF_Base!$B$29))/(1+$A$23/100)^DCF_Base!$L$4+Assumptions!$B$5-Assumptions!$B$4)/Assumptions!$B$3*Assumptions!$B$10</f>
        <v>16.2847236649242</v>
      </c>
      <c r="F23" s="0" t="n">
        <f aca="false">(SUMPRODUCT(DCF_Base!$C$19:$L$19/(1+$A$23/100)^DCF_Base!$C$4:$L$4)+MAX(0,MIN(IF($A$23&gt;$F$22,DCF_Base!$L$19*(1+$F$22/100)/(($A$23-$F$22)/100),DCF_Base!$L$19*DCF_Base!$B$29),DCF_Base!$L$19*DCF_Base!$B$29))/(1+$A$23/100)^DCF_Base!$L$4+Assumptions!$B$5-Assumptions!$B$4)/Assumptions!$B$3*Assumptions!$B$10</f>
        <v>16.2847236649242</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13.252072007329</v>
      </c>
      <c r="C24" s="0" t="n">
        <f aca="false">(SUMPRODUCT(DCF_Base!$C$19:$L$19/(1+$A$24/100)^DCF_Base!$C$4:$L$4)+MAX(0,MIN(IF($A$24&gt;$C$22,DCF_Base!$L$19*(1+$C$22/100)/(($A$24-$C$22)/100),DCF_Base!$L$19*DCF_Base!$B$29),DCF_Base!$L$19*DCF_Base!$B$29))/(1+$A$24/100)^DCF_Base!$L$4+Assumptions!$B$5-Assumptions!$B$4)/Assumptions!$B$3*Assumptions!$B$10</f>
        <v>13.8875362249575</v>
      </c>
      <c r="D24" s="0" t="n">
        <f aca="false">(SUMPRODUCT(DCF_Base!$C$19:$L$19/(1+$A$24/100)^DCF_Base!$C$4:$L$4)+MAX(0,MIN(IF($A$24&gt;$D$22,DCF_Base!$L$19*(1+$D$22/100)/(($A$24-$D$22)/100),DCF_Base!$L$19*DCF_Base!$B$29),DCF_Base!$L$19*DCF_Base!$B$29))/(1+$A$24/100)^DCF_Base!$L$4+Assumptions!$B$5-Assumptions!$B$4)/Assumptions!$B$3*Assumptions!$B$10</f>
        <v>14.6289111455241</v>
      </c>
      <c r="E24" s="0" t="n">
        <f aca="false">(SUMPRODUCT(DCF_Base!$C$19:$L$19/(1+$A$24/100)^DCF_Base!$C$4:$L$4)+MAX(0,MIN(IF($A$24&gt;$E$22,DCF_Base!$L$19*(1+$E$22/100)/(($A$24-$E$22)/100),DCF_Base!$L$19*DCF_Base!$B$29),DCF_Base!$L$19*DCF_Base!$B$29))/(1+$A$24/100)^DCF_Base!$L$4+Assumptions!$B$5-Assumptions!$B$4)/Assumptions!$B$3*Assumptions!$B$10</f>
        <v>15.0710154559537</v>
      </c>
      <c r="F24" s="0" t="n">
        <f aca="false">(SUMPRODUCT(DCF_Base!$C$19:$L$19/(1+$A$24/100)^DCF_Base!$C$4:$L$4)+MAX(0,MIN(IF($A$24&gt;$F$22,DCF_Base!$L$19*(1+$F$22/100)/(($A$24-$F$22)/100),DCF_Base!$L$19*DCF_Base!$B$29),DCF_Base!$L$19*DCF_Base!$B$29))/(1+$A$24/100)^DCF_Base!$L$4+Assumptions!$B$5-Assumptions!$B$4)/Assumptions!$B$3*Assumptions!$B$10</f>
        <v>15.0710154559537</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11.4242482342</v>
      </c>
      <c r="C25" s="0" t="n">
        <f aca="false">(SUMPRODUCT(DCF_Base!$C$19:$L$19/(1+$A$25/100)^DCF_Base!$C$4:$L$4)+MAX(0,MIN(IF($A$25&gt;$C$22,DCF_Base!$L$19*(1+$C$22/100)/(($A$25-$C$22)/100),DCF_Base!$L$19*DCF_Base!$B$29),DCF_Base!$L$19*DCF_Base!$B$29))/(1+$A$25/100)^DCF_Base!$L$4+Assumptions!$B$5-Assumptions!$B$4)/Assumptions!$B$3*Assumptions!$B$10</f>
        <v>11.8681179980996</v>
      </c>
      <c r="D25" s="0" t="n">
        <f aca="false">(SUMPRODUCT(DCF_Base!$C$19:$L$19/(1+$A$25/100)^DCF_Base!$C$4:$L$4)+MAX(0,MIN(IF($A$25&gt;$D$22,DCF_Base!$L$19*(1+$D$22/100)/(($A$25-$D$22)/100),DCF_Base!$L$19*DCF_Base!$B$29),DCF_Base!$L$19*DCF_Base!$B$29))/(1+$A$25/100)^DCF_Base!$L$4+Assumptions!$B$5-Assumptions!$B$4)/Assumptions!$B$3*Assumptions!$B$10</f>
        <v>12.3753977282705</v>
      </c>
      <c r="E25" s="0" t="n">
        <f aca="false">(SUMPRODUCT(DCF_Base!$C$19:$L$19/(1+$A$25/100)^DCF_Base!$C$4:$L$4)+MAX(0,MIN(IF($A$25&gt;$E$22,DCF_Base!$L$19*(1+$E$22/100)/(($A$25-$E$22)/100),DCF_Base!$L$19*DCF_Base!$B$29),DCF_Base!$L$19*DCF_Base!$B$29))/(1+$A$25/100)^DCF_Base!$L$4+Assumptions!$B$5-Assumptions!$B$4)/Assumptions!$B$3*Assumptions!$B$10</f>
        <v>12.9607204938524</v>
      </c>
      <c r="F25" s="0" t="n">
        <f aca="false">(SUMPRODUCT(DCF_Base!$C$19:$L$19/(1+$A$25/100)^DCF_Base!$C$4:$L$4)+MAX(0,MIN(IF($A$25&gt;$F$22,DCF_Base!$L$19*(1+$F$22/100)/(($A$25-$F$22)/100),DCF_Base!$L$19*DCF_Base!$B$29),DCF_Base!$L$19*DCF_Base!$B$29))/(1+$A$25/100)^DCF_Base!$L$4+Assumptions!$B$5-Assumptions!$B$4)/Assumptions!$B$3*Assumptions!$B$10</f>
        <v>13.6435970536979</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10.0111475837742</v>
      </c>
      <c r="C26" s="0" t="n">
        <f aca="false">(SUMPRODUCT(DCF_Base!$C$19:$L$19/(1+$A$26/100)^DCF_Base!$C$4:$L$4)+MAX(0,MIN(IF($A$26&gt;$C$22,DCF_Base!$L$19*(1+$C$22/100)/(($A$26-$C$22)/100),DCF_Base!$L$19*DCF_Base!$B$29),DCF_Base!$L$19*DCF_Base!$B$29))/(1+$A$26/100)^DCF_Base!$L$4+Assumptions!$B$5-Assumptions!$B$4)/Assumptions!$B$3*Assumptions!$B$10</f>
        <v>10.332049813539</v>
      </c>
      <c r="D26" s="0" t="n">
        <f aca="false">(SUMPRODUCT(DCF_Base!$C$19:$L$19/(1+$A$26/100)^DCF_Base!$C$4:$L$4)+MAX(0,MIN(IF($A$26&gt;$D$22,DCF_Base!$L$19*(1+$D$22/100)/(($A$26-$D$22)/100),DCF_Base!$L$19*DCF_Base!$B$29),DCF_Base!$L$19*DCF_Base!$B$29))/(1+$A$26/100)^DCF_Base!$L$4+Assumptions!$B$5-Assumptions!$B$4)/Assumptions!$B$3*Assumptions!$B$10</f>
        <v>10.6930648220243</v>
      </c>
      <c r="E26" s="0" t="n">
        <f aca="false">(SUMPRODUCT(DCF_Base!$C$19:$L$19/(1+$A$26/100)^DCF_Base!$C$4:$L$4)+MAX(0,MIN(IF($A$26&gt;$E$22,DCF_Base!$L$19*(1+$E$22/100)/(($A$26-$E$22)/100),DCF_Base!$L$19*DCF_Base!$B$29),DCF_Base!$L$19*DCF_Base!$B$29))/(1+$A$26/100)^DCF_Base!$L$4+Assumptions!$B$5-Assumptions!$B$4)/Assumptions!$B$3*Assumptions!$B$10</f>
        <v>11.1022151649744</v>
      </c>
      <c r="F26" s="0" t="n">
        <f aca="false">(SUMPRODUCT(DCF_Base!$C$19:$L$19/(1+$A$26/100)^DCF_Base!$C$4:$L$4)+MAX(0,MIN(IF($A$26&gt;$F$22,DCF_Base!$L$19*(1+$F$22/100)/(($A$26-$F$22)/100),DCF_Base!$L$19*DCF_Base!$B$29),DCF_Base!$L$19*DCF_Base!$B$29))/(1+$A$26/100)^DCF_Base!$L$4+Assumptions!$B$5-Assumptions!$B$4)/Assumptions!$B$3*Assumptions!$B$10</f>
        <v>11.5698155569174</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8.88780554554166</v>
      </c>
      <c r="C27" s="0" t="n">
        <f aca="false">(SUMPRODUCT(DCF_Base!$C$19:$L$19/(1+$A$27/100)^DCF_Base!$C$4:$L$4)+MAX(0,MIN(IF($A$27&gt;$C$22,DCF_Base!$L$19*(1+$C$22/100)/(($A$27-$C$22)/100),DCF_Base!$L$19*DCF_Base!$B$29),DCF_Base!$L$19*DCF_Base!$B$29))/(1+$A$27/100)^DCF_Base!$L$4+Assumptions!$B$5-Assumptions!$B$4)/Assumptions!$B$3*Assumptions!$B$10</f>
        <v>9.1261775067638</v>
      </c>
      <c r="D27" s="0" t="n">
        <f aca="false">(SUMPRODUCT(DCF_Base!$C$19:$L$19/(1+$A$27/100)^DCF_Base!$C$4:$L$4)+MAX(0,MIN(IF($A$27&gt;$D$22,DCF_Base!$L$19*(1+$D$22/100)/(($A$27-$D$22)/100),DCF_Base!$L$19*DCF_Base!$B$29),DCF_Base!$L$19*DCF_Base!$B$29))/(1+$A$27/100)^DCF_Base!$L$4+Assumptions!$B$5-Assumptions!$B$4)/Assumptions!$B$3*Assumptions!$B$10</f>
        <v>9.39103524145507</v>
      </c>
      <c r="E27" s="0" t="n">
        <f aca="false">(SUMPRODUCT(DCF_Base!$C$19:$L$19/(1+$A$27/100)^DCF_Base!$C$4:$L$4)+MAX(0,MIN(IF($A$27&gt;$E$22,DCF_Base!$L$19*(1+$E$22/100)/(($A$27-$E$22)/100),DCF_Base!$L$19*DCF_Base!$B$29),DCF_Base!$L$19*DCF_Base!$B$29))/(1+$A$27/100)^DCF_Base!$L$4+Assumptions!$B$5-Assumptions!$B$4)/Assumptions!$B$3*Assumptions!$B$10</f>
        <v>9.68705270963943</v>
      </c>
      <c r="F27" s="0" t="n">
        <f aca="false">(SUMPRODUCT(DCF_Base!$C$19:$L$19/(1+$A$27/100)^DCF_Base!$C$4:$L$4)+MAX(0,MIN(IF($A$27&gt;$F$22,DCF_Base!$L$19*(1+$F$22/100)/(($A$27-$F$22)/100),DCF_Base!$L$19*DCF_Base!$B$29),DCF_Base!$L$19*DCF_Base!$B$29))/(1+$A$27/100)^DCF_Base!$L$4+Assumptions!$B$5-Assumptions!$B$4)/Assumptions!$B$3*Assumptions!$B$10</f>
        <v>10.0200723613468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2026-09-22T09:20:59Z</dcterms:created>
  <dc:creator>openpyxl</dc:creator>
  <dc:description/>
  <dc:language>en-NZ</dc:language>
  <cp:lastModifiedBy/>
  <dcterms:modified xsi:type="dcterms:W3CDTF">2026-09-22T09:20:59Z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