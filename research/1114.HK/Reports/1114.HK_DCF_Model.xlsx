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<sst xmlns="http://schemas.openxmlformats.org/spreadsheetml/2006/main" count="353" uniqueCount="164">
  <si>
    <t xml:space="preserve">Ticker</t>
  </si>
  <si>
    <t xml:space="preserve">1114.HK</t>
  </si>
  <si>
    <t xml:space="preserve">Company</t>
  </si>
  <si>
    <t xml:space="preserve">Brilliance China Automotive Holdings Limited</t>
  </si>
  <si>
    <t xml:space="preserve">Valuation date</t>
  </si>
  <si>
    <t xml:space="preserve">2026-10-16</t>
  </si>
  <si>
    <t xml:space="preserve">Current price</t>
  </si>
  <si>
    <t xml:space="preserve">Price as of</t>
  </si>
  <si>
    <t xml:space="preserve">2026-10-16T03:46:36Z (11:46 HKT, live intraday during the morning session; 52-week range 1.70-4.45; the stock is at the bottom of its range)</t>
  </si>
  <si>
    <t xml:space="preserve">Balance sheet date</t>
  </si>
  <si>
    <t xml:space="preserve">2026-06-30</t>
  </si>
  <si>
    <t xml:space="preserve">Model</t>
  </si>
  <si>
    <t xml:space="preserve">Holdco look-through earnings capitalisation at cost of equity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</si>
  <si>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</si>
  <si>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</si>
  <si>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</si>
  <si>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</si>
  <si>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</si>
  <si>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</si>
  <si>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</si>
  <si>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</si>
  <si>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</si>
  <si>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2026-10-16T04:07:34Z</t>
  </si>
  <si>
    <t xml:space="preserve">Drivers file</t>
  </si>
  <si>
    <t xml:space="preserve">1114.HK_Drivers.json</t>
  </si>
  <si>
    <t xml:space="preserve">Convention</t>
  </si>
  <si>
    <t xml:space="preserve">Percents stored as percents; formulas divide by 100. Blue = input, green = link, black = formula.</t>
  </si>
  <si>
    <t xml:space="preserve">Methodology</t>
  </si>
  <si>
    <t xml:space="preserve">summary: Value the asset the company actually owns -- a 25% share of BBA's earnings -- rather than the consolidated cash flows of the sub-scale subsidiaries that happen to be in the accounts. The earnings claim is capitalised at a CNY cost of equity with the terminal multiple capped at the stock's own historical 5-8x range so no re-rating is assumed; holdco net cash is added after deducting the already-paid September interim dividend and the minorities' share. At HK$1.80 the market pays roughly HK$1.1/share above post-dividend net cash for a stake earning ~RMB 1.7bn this depressed year, i.e. under 3x trough look-through earnings. The model says that is too cheap even on the bear path, but the gap is a judgment on BMW China and on whether the cash keeps being returned, not on arithmetic.
key_risks_to_valuation: BBA earnings path: every 10% change in the FY2027+ look-through earnings path moves value by roughly RMB 0.3/share; H1 FY2026 was -53% YoY and H2 could be worse than the ~790m assumed; Dividend capacity vs earnings: BBA has paid out above its earnings FY2023-25 (carrying value 16.7bn -&gt; 9.7bn); if BMW retains cash for Neue Klasse capex, Brilliance's cash receipts fall below the modelled flow and WHT timing shifts; Cash redeployment: the Chairman explicitly seeks 'suitable strategic investments'; cash invested in JSA, Yuxin or acquisitions rather than returned would convert the ~RMB 2.9bn post-dividend net cash into assets the market discounts heavily; Terminal multiple: the 7x cap is itself the holdco discount; at 10x Gordon the base value would be ~RMB 0.45/share higher, at 5x ~RMB 0.3 lower; BMW buyout of the remaining 25% at a price set between an SOE-controlled seller and a motivated buyer -- could crystallise value above the price, or lock in a low multiple; Governance: unauthorised pledged-deposit losses 2019-21 and the Huachen restructuring; the listed HK associate is carried at 558m against a 79m market value; FX: RMB flows against an HKD quote; a 5% RMB move shifts every HKD per-share value by 5%</t>
  </si>
  <si>
    <t xml:space="preserve">Data sources</t>
  </si>
  <si>
    <t xml:space="preserve">price: Yahoo Finance chart API at inputs.price_as_of (intraday, HKEX morning session); 52-week range 1.70-4.45
fx: Yahoo Finance CNYHKD=X and HKDCNY=X at 2026-10-16T03:51Z, see inputs.fx_note
financials: 1114.HK_Metrics.csv (core_metrics, RMB millions); 1114.HK_HalfYear_H1-2026.txt (balance sheet 30-Jun-2026, segment reconciliation p.9, associates note 12, dividends note 10 and p.39, borrowings note 23, deposits note 17); 1114.HK_Annual_FY2025.txt (note 15 BBA summarised financials, segment reconciliation, withholding tax note, dividends note); 1114.HK_Annual_FY2024.txt (comparatives)
qualitative: 1114.HK_Analysis.json (2026-10-16): BMW China guidance cut, Neue Klasse timing, JSA restart, Yuxin JV, sell-side targets JPM HK$3.00 / Citi HK$3.90</t>
  </si>
  <si>
    <t xml:space="preserve">Scenario narrative: bear</t>
  </si>
  <si>
    <t xml:space="preserve">The H1 FY2026 collapse is structural, not cyclical. Domestic premium NEVs keep taking share, BMW's China pricing stays under pressure through 2028, Neue Klasse volumes arrive but at thin margins, and BBA profit falls toward 4bn by FY2031 while BMW retains more cash inside BBA for EV capex so Brilliance's dividends lag earnings. Management redeploys holdco cash into 'strategic investments' in the auto value chain (JSA, Yuxin) that lose money, the listed-associate carrying value is impaired, and the governance history (Huachen restructuring, unauthorised pledged deposits) keeps the multiple at 5x.</t>
  </si>
  <si>
    <t xml:space="preserve">Scenario narrative: base</t>
  </si>
  <si>
    <t xml:space="preserve">The single axis is BBA's profit, i.e. BMW's China franchise. FY2026 is the trough: BMW's China sales fell 12.5% in 2025 and BBA's local volume a further 18.8% in H1 FY2026, with list-price cuts on 30+ models and BMW's 2026 auto EBIT margin guided to 1-3%. The Shenyang-built Neue Klasse iX3 (2026) and i3 successor (2027), fed by the completed RMB10bn battery plant, lift BBA's BEV mix enough to stabilise volume, and look-through earnings recover roughly 30% from the FY2026E base by FY2029 before fading 1%/yr as premium-ICE share keeps migrating to domestic NEV brands. The subsidiaries' drag narrows as JSA's restart and the Yuxin/TCL cockpit JV scale, but they never add value. Cash is returned (the company has paid out everything it does not redeploy), with 5% WHT leakage.</t>
  </si>
  <si>
    <t xml:space="preserve">Scenario narrative: bull</t>
  </si>
  <si>
    <t xml:space="preserve">Neue Klasse is a genuine reset: BBA's BEV mix moves toward 25-30%, BMW regains pricing discipline as weaker NEV entrants consolidate and the price war fades by 2028, and BBA's profit climbs back above FY2025's 10.4bn to ~12.5bn by FY2031. The JSA Jiyun NEV line and KD exports (Egypt, Vietnam, Saudi) turn the non-BMW segment to breakeven, and the market re-rates the holdco toward 8x look-through earnings. A sale of the 25% BBA stake to BMW at a fair multiple, which Bloomberg reported was explored in 2024, would crystallise this case faster.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</si>
  <si>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</si>
  <si>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</si>
  <si>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</si>
  <si>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</si>
  <si>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</si>
  <si>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</si>
  <si>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</si>
  <si>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</si>
  <si>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</si>
  <si>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</si>
  <si>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</si>
  <si>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</si>
  <si>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</si>
  <si>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</si>
  <si>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</si>
  <si>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</si>
  <si>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</si>
  <si>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</si>
  <si>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</si>
  <si>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</si>
  <si>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</si>
  <si>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</si>
  <si>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</si>
  <si>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</si>
  <si>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</si>
  <si>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</si>
  <si>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</si>
  <si>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</si>
  <si>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</si>
  <si>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</si>
  <si>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</si>
  <si>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</si>
  <si>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</si>
  <si>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</si>
  <si>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</si>
  <si>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</si>
  <si>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</si>
  <si>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</si>
  <si>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</si>
  <si>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</si>
  <si>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</si>
  <si>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</si>
  <si>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</si>
  <si>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</si>
  <si>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</si>
  <si>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</si>
  <si>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</si>
  <si>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</si>
  <si>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</si>
  <si>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</si>
  <si>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</si>
  <si>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</si>
  <si>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</si>
  <si>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</si>
  <si>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</si>
  <si>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</si>
  <si>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</si>
  <si>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</si>
  <si>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</si>
  <si>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</si>
  <si>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</si>
  <si>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</si>
  <si>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</si>
  <si>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</si>
  <si>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</si>
  <si>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</si>
  <si>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</si>
  <si>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</si>
  <si>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</si>
  <si>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</si>
  <si>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</si>
  <si>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</si>
  <si>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</si>
  <si>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1114.HK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</si>
  <si>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</si>
  <si>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</si>
  <si>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</si>
  <si>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</si>
  <si>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</si>
  <si>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</si>
  <si>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</si>
  <si>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</si>
  <si>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</si>
  <si>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</si>
  <si>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</si>
  <si>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</si>
  <si>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</si>
  <si>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</si>
  <si>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</si>
  <si>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</si>
  <si>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</si>
  <si>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</si>
  <si>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</si>
  <si>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</si>
  <si>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</si>
  <si>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</si>
  <si>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</si>
  <si>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</si>
  <si>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</si>
  <si>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</si>
  <si>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</si>
  <si>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</si>
  <si>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</si>
  <si>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</si>
  <si>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1114.HK owner-FCF component DCF: base case (millions, CNY)</t>
  </si>
  <si>
    <t xml:space="preserve">1114.HK owner-FCF component DCF: bull case (millions, CNY)</t>
  </si>
  <si>
    <t xml:space="preserve">1114.HK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</si>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</sst>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4377.263</v>
      </c>
      <c r="C2" s="0" t="n">
        <v>-4090.703</v>
      </c>
      <c r="D2" s="0" t="n">
        <v>286.56</v>
      </c>
      <c r="E2" s="0" t="n">
        <v>6.5</v>
      </c>
      <c r="I2" s="0" t="n">
        <v>5820.909</v>
      </c>
      <c r="J2" s="0" t="n">
        <v>133</v>
      </c>
      <c r="K2" s="0" t="n">
        <v>1.15374</v>
      </c>
      <c r="L2" s="0" t="n">
        <v>-2830.333</v>
      </c>
      <c r="M2" s="0" t="n">
        <v>460.792</v>
      </c>
      <c r="N2" s="0" t="n">
        <v>-3291.125</v>
      </c>
      <c r="O2" s="0" t="n">
        <v>31079.744</v>
      </c>
      <c r="P2" s="0" t="n">
        <v>42099.856</v>
      </c>
      <c r="Q2" s="0" t="n">
        <v>10275.034</v>
      </c>
      <c r="R2" s="0" t="n">
        <v>4683.5</v>
      </c>
      <c r="S2" s="0" t="n">
        <v>2310.459</v>
      </c>
      <c r="T2" s="0" t="n">
        <v>5045.27</v>
      </c>
      <c r="AA2" s="0" t="s">
        <v>18</v>
      </c>
      <c r="AB2" s="0" t="s">
        <v>14</v>
      </c>
    </row>
    <row r="3" customFormat="false" ht="15" hidden="false" customHeight="false" outlineLevel="0" collapsed="false">
      <c r="A3" s="0" t="s">
        <v>65</v>
      </c>
      <c r="B3" s="0" t="n">
        <v>3861.949</v>
      </c>
      <c r="C3" s="0" t="n">
        <v>-3787.57</v>
      </c>
      <c r="D3" s="0" t="n">
        <v>74.379</v>
      </c>
      <c r="E3" s="0" t="n">
        <v>1.9</v>
      </c>
      <c r="I3" s="0" t="n">
        <v>6762.707</v>
      </c>
      <c r="J3" s="0" t="n">
        <v>175.1</v>
      </c>
      <c r="K3" s="0" t="n">
        <v>1.34041</v>
      </c>
      <c r="L3" s="0" t="n">
        <v>-726.477</v>
      </c>
      <c r="M3" s="0" t="n">
        <v>794.537</v>
      </c>
      <c r="N3" s="0" t="n">
        <v>-1521.014</v>
      </c>
      <c r="O3" s="0" t="n">
        <v>33925.533</v>
      </c>
      <c r="P3" s="0" t="n">
        <v>49470.004</v>
      </c>
      <c r="Q3" s="0" t="n">
        <v>14994.552</v>
      </c>
      <c r="R3" s="0" t="n">
        <v>6332</v>
      </c>
      <c r="S3" s="0" t="n">
        <v>6828.533</v>
      </c>
      <c r="T3" s="0" t="n">
        <v>5045.27</v>
      </c>
      <c r="AA3" s="0" t="s">
        <v>18</v>
      </c>
      <c r="AB3" s="0" t="s">
        <v>14</v>
      </c>
    </row>
    <row r="4" customFormat="false" ht="15" hidden="false" customHeight="false" outlineLevel="0" collapsed="false">
      <c r="A4" s="0" t="s">
        <v>66</v>
      </c>
      <c r="B4" s="0" t="n">
        <v>3123.21</v>
      </c>
      <c r="C4" s="0" t="n">
        <v>-3104.623</v>
      </c>
      <c r="D4" s="0" t="n">
        <v>18.587</v>
      </c>
      <c r="E4" s="0" t="n">
        <v>0.6</v>
      </c>
      <c r="I4" s="0" t="n">
        <v>11.219</v>
      </c>
      <c r="J4" s="0" t="n">
        <v>0.4</v>
      </c>
      <c r="K4" s="0" t="n">
        <v>0.00222</v>
      </c>
      <c r="L4" s="0" t="n">
        <v>-2199.85</v>
      </c>
      <c r="M4" s="0" t="n">
        <v>618.113</v>
      </c>
      <c r="N4" s="0" t="n">
        <v>-2817.963</v>
      </c>
      <c r="O4" s="0" t="n">
        <v>33285.781</v>
      </c>
      <c r="P4" s="0" t="n">
        <v>47974.713</v>
      </c>
      <c r="Q4" s="0" t="n">
        <v>14617.583</v>
      </c>
      <c r="R4" s="0" t="n">
        <v>5126.9</v>
      </c>
      <c r="S4" s="0" t="n">
        <v>2021.771</v>
      </c>
      <c r="T4" s="0" t="n">
        <v>5045.27</v>
      </c>
      <c r="AA4" s="0" t="s">
        <v>18</v>
      </c>
      <c r="AB4" s="0" t="s">
        <v>14</v>
      </c>
    </row>
    <row r="5" customFormat="false" ht="15" hidden="false" customHeight="false" outlineLevel="0" collapsed="false">
      <c r="A5" s="0" t="s">
        <v>67</v>
      </c>
      <c r="B5" s="0" t="n">
        <v>2141.946</v>
      </c>
      <c r="C5" s="0" t="n">
        <v>-1961.217</v>
      </c>
      <c r="D5" s="0" t="n">
        <v>180.729</v>
      </c>
      <c r="E5" s="0" t="n">
        <v>8.4</v>
      </c>
      <c r="I5" s="0" t="n">
        <v>11960.525</v>
      </c>
      <c r="J5" s="0" t="n">
        <v>558.4</v>
      </c>
      <c r="K5" s="0" t="n">
        <v>2.37064</v>
      </c>
      <c r="L5" s="0" t="n">
        <v>1605.834</v>
      </c>
      <c r="M5" s="0" t="n">
        <v>219.754</v>
      </c>
      <c r="N5" s="0" t="n">
        <v>1386.08</v>
      </c>
      <c r="O5" s="0" t="n">
        <v>42328.699</v>
      </c>
      <c r="P5" s="0" t="n">
        <v>49950.995</v>
      </c>
      <c r="Q5" s="0" t="n">
        <v>8776.656</v>
      </c>
      <c r="R5" s="0" t="n">
        <v>2565.438</v>
      </c>
      <c r="S5" s="0" t="n">
        <v>1049.252</v>
      </c>
      <c r="T5" s="0" t="n">
        <v>5045.27</v>
      </c>
      <c r="AA5" s="0" t="s">
        <v>18</v>
      </c>
      <c r="AB5" s="0" t="s">
        <v>14</v>
      </c>
    </row>
    <row r="6" customFormat="false" ht="15" hidden="false" customHeight="false" outlineLevel="0" collapsed="false">
      <c r="A6" s="0" t="s">
        <v>68</v>
      </c>
      <c r="B6" s="0" t="n">
        <v>1130.725</v>
      </c>
      <c r="C6" s="0" t="n">
        <v>-895.153</v>
      </c>
      <c r="D6" s="0" t="n">
        <v>235.572</v>
      </c>
      <c r="E6" s="0" t="n">
        <v>20.8</v>
      </c>
      <c r="I6" s="0" t="n">
        <v>7146.895</v>
      </c>
      <c r="J6" s="0" t="n">
        <v>632.1</v>
      </c>
      <c r="K6" s="0" t="n">
        <v>1.41655</v>
      </c>
      <c r="L6" s="0" t="n">
        <v>1296.878</v>
      </c>
      <c r="M6" s="0" t="n">
        <v>34.29</v>
      </c>
      <c r="N6" s="0" t="n">
        <v>1262.588</v>
      </c>
      <c r="O6" s="0" t="n">
        <v>51445.254</v>
      </c>
      <c r="P6" s="0" t="n">
        <v>55426.604</v>
      </c>
      <c r="Q6" s="0" t="n">
        <v>3209.777</v>
      </c>
      <c r="R6" s="0" t="n">
        <v>357.5</v>
      </c>
      <c r="S6" s="0" t="n">
        <v>28463.276</v>
      </c>
      <c r="T6" s="0" t="n">
        <v>5045.27</v>
      </c>
      <c r="AA6" s="0" t="s">
        <v>18</v>
      </c>
      <c r="AB6" s="0" t="s">
        <v>14</v>
      </c>
    </row>
    <row r="7" customFormat="false" ht="15" hidden="false" customHeight="false" outlineLevel="0" collapsed="false">
      <c r="A7" s="0" t="s">
        <v>69</v>
      </c>
      <c r="B7" s="0" t="n">
        <v>1121.454</v>
      </c>
      <c r="C7" s="0" t="n">
        <v>-832.975</v>
      </c>
      <c r="D7" s="0" t="n">
        <v>288.479</v>
      </c>
      <c r="E7" s="0" t="n">
        <v>25.7</v>
      </c>
      <c r="I7" s="0" t="n">
        <v>7734.993</v>
      </c>
      <c r="J7" s="0" t="n">
        <v>689.7</v>
      </c>
      <c r="K7" s="0" t="n">
        <v>1.53312</v>
      </c>
      <c r="L7" s="0" t="n">
        <v>-998.552</v>
      </c>
      <c r="M7" s="0" t="n">
        <v>25.794</v>
      </c>
      <c r="N7" s="0" t="n">
        <v>-1024.346</v>
      </c>
      <c r="O7" s="0" t="n">
        <v>51118.104</v>
      </c>
      <c r="P7" s="0" t="n">
        <v>55154.62</v>
      </c>
      <c r="Q7" s="0" t="n">
        <v>3263.485</v>
      </c>
      <c r="R7" s="0" t="n">
        <v>924.5</v>
      </c>
      <c r="S7" s="0" t="n">
        <v>30845.795</v>
      </c>
      <c r="T7" s="0" t="n">
        <v>5045.27</v>
      </c>
      <c r="AA7" s="0" t="s">
        <v>18</v>
      </c>
      <c r="AB7" s="0" t="s">
        <v>14</v>
      </c>
    </row>
    <row r="8" customFormat="false" ht="15" hidden="false" customHeight="false" outlineLevel="0" collapsed="false">
      <c r="A8" s="0" t="s">
        <v>70</v>
      </c>
      <c r="B8" s="0" t="n">
        <v>1095.949</v>
      </c>
      <c r="C8" s="0" t="n">
        <v>-902.069</v>
      </c>
      <c r="D8" s="0" t="n">
        <v>193.88</v>
      </c>
      <c r="E8" s="0" t="n">
        <v>17.7</v>
      </c>
      <c r="I8" s="0" t="n">
        <v>3101.075</v>
      </c>
      <c r="J8" s="0" t="n">
        <v>283</v>
      </c>
      <c r="K8" s="0" t="n">
        <v>0.61465</v>
      </c>
      <c r="L8" s="0" t="n">
        <v>-214.207</v>
      </c>
      <c r="M8" s="0" t="n">
        <v>142.537</v>
      </c>
      <c r="N8" s="0" t="n">
        <v>-356.744</v>
      </c>
      <c r="O8" s="0" t="n">
        <v>26060.978</v>
      </c>
      <c r="P8" s="0" t="n">
        <v>29105.715</v>
      </c>
      <c r="Q8" s="0" t="n">
        <v>2007.834</v>
      </c>
      <c r="R8" s="0" t="n">
        <v>330</v>
      </c>
      <c r="S8" s="0" t="n">
        <v>10539.55</v>
      </c>
      <c r="T8" s="0" t="n">
        <v>5045.27</v>
      </c>
      <c r="AA8" s="0" t="s">
        <v>18</v>
      </c>
      <c r="AB8" s="0" t="s">
        <v>14</v>
      </c>
    </row>
    <row r="9" customFormat="false" ht="15" hidden="false" customHeight="false" outlineLevel="0" collapsed="false">
      <c r="A9" s="0" t="s">
        <v>71</v>
      </c>
      <c r="B9" s="0" t="n">
        <v>1181.922</v>
      </c>
      <c r="C9" s="0" t="n">
        <v>-1018.436</v>
      </c>
      <c r="D9" s="0" t="n">
        <v>163.486</v>
      </c>
      <c r="E9" s="0" t="n">
        <v>13.8</v>
      </c>
      <c r="I9" s="0" t="n">
        <v>1985.686</v>
      </c>
      <c r="J9" s="0" t="n">
        <v>168</v>
      </c>
      <c r="K9" s="0" t="n">
        <v>0.39357</v>
      </c>
      <c r="L9" s="0" t="n">
        <v>-579.337</v>
      </c>
      <c r="M9" s="0" t="n">
        <v>226.199</v>
      </c>
      <c r="N9" s="0" t="n">
        <v>-805.536</v>
      </c>
      <c r="O9" s="0" t="n">
        <v>21026.52</v>
      </c>
      <c r="P9" s="0" t="n">
        <v>23580.162</v>
      </c>
      <c r="Q9" s="0" t="n">
        <v>1640.216</v>
      </c>
      <c r="R9" s="0" t="n">
        <v>0</v>
      </c>
      <c r="S9" s="0" t="n">
        <v>4500.027</v>
      </c>
      <c r="T9" s="0" t="n">
        <v>5045.27</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1.8</v>
      </c>
    </row>
    <row r="3" customFormat="false" ht="15" hidden="false" customHeight="false" outlineLevel="0" collapsed="false">
      <c r="A3" s="0" t="s">
        <v>75</v>
      </c>
      <c r="B3" s="3" t="n">
        <v>5045.27</v>
      </c>
    </row>
    <row r="4" customFormat="false" ht="15" hidden="false" customHeight="false" outlineLevel="0" collapsed="false">
      <c r="A4" s="0" t="s">
        <v>76</v>
      </c>
      <c r="B4" s="3" t="n">
        <v>-5958.6</v>
      </c>
    </row>
    <row r="5" customFormat="false" ht="15" hidden="false" customHeight="false" outlineLevel="0" collapsed="false">
      <c r="A5" s="0" t="s">
        <v>77</v>
      </c>
      <c r="B5" s="3" t="n">
        <v>-3046.4</v>
      </c>
    </row>
    <row r="6" customFormat="false" ht="15" hidden="false" customHeight="false" outlineLevel="0" collapsed="false">
      <c r="A6" s="0" t="s">
        <v>78</v>
      </c>
      <c r="B6" s="3" t="n">
        <v>15</v>
      </c>
    </row>
    <row r="7" customFormat="false" ht="15" hidden="false" customHeight="false" outlineLevel="0" collapsed="false">
      <c r="A7" s="0" t="s">
        <v>79</v>
      </c>
      <c r="B7" s="3" t="n">
        <v>1700</v>
      </c>
    </row>
    <row r="8" customFormat="false" ht="15" hidden="false" customHeight="false" outlineLevel="0" collapsed="false">
      <c r="A8" s="0" t="s">
        <v>80</v>
      </c>
      <c r="B8" s="3" t="s">
        <v>81</v>
      </c>
    </row>
    <row r="9" customFormat="false" ht="15" hidden="false" customHeight="false" outlineLevel="0" collapsed="false">
      <c r="A9" s="0" t="s">
        <v>82</v>
      </c>
      <c r="B9" s="3" t="s">
        <v>83</v>
      </c>
    </row>
    <row r="10" customFormat="false" ht="15" hidden="false" customHeight="false" outlineLevel="0" collapsed="false">
      <c r="A10" s="0" t="s">
        <v>84</v>
      </c>
      <c r="B10" s="3" t="n">
        <v>1.1728</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-25</v>
      </c>
      <c r="D13" s="3" t="n">
        <v>-15</v>
      </c>
      <c r="E13" s="3" t="n">
        <v>-8</v>
      </c>
      <c r="F13" s="3" t="n">
        <v>-5</v>
      </c>
      <c r="G13" s="3" t="n">
        <v>-3</v>
      </c>
      <c r="H13" s="3" t="n">
        <v>-3</v>
      </c>
      <c r="I13" s="3" t="n">
        <v>-3</v>
      </c>
      <c r="J13" s="3" t="n">
        <v>-3</v>
      </c>
      <c r="K13" s="3" t="n">
        <v>-3</v>
      </c>
      <c r="L13" s="3" t="n">
        <v>-3</v>
      </c>
    </row>
    <row r="14" customFormat="false" ht="15" hidden="false" customHeight="false" outlineLevel="0" collapsed="false">
      <c r="A14" s="0" t="s">
        <v>97</v>
      </c>
      <c r="C14" s="3" t="n">
        <v>78</v>
      </c>
      <c r="D14" s="3" t="n">
        <v>78</v>
      </c>
      <c r="E14" s="3" t="n">
        <v>80</v>
      </c>
      <c r="F14" s="3" t="n">
        <v>82</v>
      </c>
      <c r="G14" s="3" t="n">
        <v>84</v>
      </c>
      <c r="H14" s="3" t="n">
        <v>85</v>
      </c>
      <c r="I14" s="3" t="n">
        <v>85</v>
      </c>
      <c r="J14" s="3" t="n">
        <v>85</v>
      </c>
      <c r="K14" s="3" t="n">
        <v>85</v>
      </c>
      <c r="L14" s="3" t="n">
        <v>85</v>
      </c>
    </row>
    <row r="15" customFormat="false" ht="15" hidden="false" customHeight="false" outlineLevel="0" collapsed="false">
      <c r="A15" s="0" t="s">
        <v>98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101</v>
      </c>
      <c r="C18" s="3" t="n">
        <v>0</v>
      </c>
      <c r="D18" s="3" t="n">
        <v>0</v>
      </c>
      <c r="E18" s="3" t="n">
        <v>0</v>
      </c>
      <c r="F18" s="3" t="n">
        <v>0</v>
      </c>
      <c r="G18" s="3" t="n">
        <v>0</v>
      </c>
      <c r="H18" s="3" t="n">
        <v>0</v>
      </c>
      <c r="I18" s="3" t="n">
        <v>0</v>
      </c>
      <c r="J18" s="3" t="n">
        <v>0</v>
      </c>
      <c r="K18" s="3" t="n">
        <v>0</v>
      </c>
      <c r="L18" s="3" t="n">
        <v>0</v>
      </c>
    </row>
    <row r="19" customFormat="false" ht="15" hidden="false" customHeight="false" outlineLevel="0" collapsed="false">
      <c r="A19" s="0" t="s">
        <v>102</v>
      </c>
      <c r="C19" s="3" t="n">
        <v>5</v>
      </c>
      <c r="D19" s="3" t="n">
        <v>5</v>
      </c>
      <c r="E19" s="3" t="n">
        <v>5</v>
      </c>
      <c r="F19" s="3" t="n">
        <v>5</v>
      </c>
      <c r="G19" s="3" t="n">
        <v>5</v>
      </c>
      <c r="H19" s="3" t="n">
        <v>5</v>
      </c>
      <c r="I19" s="3" t="n">
        <v>5</v>
      </c>
      <c r="J19" s="3" t="n">
        <v>5</v>
      </c>
      <c r="K19" s="3" t="n">
        <v>5</v>
      </c>
      <c r="L19" s="3" t="n">
        <v>5</v>
      </c>
    </row>
    <row r="20" customFormat="false" ht="15" hidden="false" customHeight="false" outlineLevel="0" collapsed="false">
      <c r="A20" s="0" t="s">
        <v>103</v>
      </c>
      <c r="B20" s="3" t="n">
        <v>10</v>
      </c>
    </row>
    <row r="21" customFormat="false" ht="15" hidden="false" customHeight="false" outlineLevel="0" collapsed="false">
      <c r="A21" s="0" t="s">
        <v>104</v>
      </c>
      <c r="B21" s="3" t="n">
        <v>0</v>
      </c>
    </row>
    <row r="22" customFormat="false" ht="15" hidden="false" customHeight="false" outlineLevel="0" collapsed="false">
      <c r="A22" s="0" t="s">
        <v>105</v>
      </c>
      <c r="B22" s="3" t="n">
        <v>5</v>
      </c>
    </row>
    <row r="23" customFormat="false" ht="15" hidden="false" customHeight="false" outlineLevel="0" collapsed="false">
      <c r="A23" s="0" t="s">
        <v>106</v>
      </c>
      <c r="B23" s="3" t="n">
        <v>0</v>
      </c>
    </row>
    <row r="24" customFormat="false" ht="15" hidden="false" customHeight="false" outlineLevel="0" collapsed="false">
      <c r="A24" s="0" t="s">
        <v>107</v>
      </c>
      <c r="B24" s="3" t="n">
        <v>0.35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12</v>
      </c>
      <c r="D27" s="3" t="n">
        <v>10</v>
      </c>
      <c r="E27" s="3" t="n">
        <v>6</v>
      </c>
      <c r="F27" s="3" t="n">
        <v>3</v>
      </c>
      <c r="G27" s="3" t="n">
        <v>1</v>
      </c>
      <c r="H27" s="3" t="n">
        <v>0</v>
      </c>
      <c r="I27" s="3" t="n">
        <v>-1</v>
      </c>
      <c r="J27" s="3" t="n">
        <v>-1</v>
      </c>
      <c r="K27" s="3" t="n">
        <v>-1</v>
      </c>
      <c r="L27" s="3" t="n">
        <v>-1</v>
      </c>
    </row>
    <row r="28" customFormat="false" ht="15" hidden="false" customHeight="false" outlineLevel="0" collapsed="false">
      <c r="A28" s="0" t="s">
        <v>97</v>
      </c>
      <c r="C28" s="3" t="n">
        <v>82</v>
      </c>
      <c r="D28" s="3" t="n">
        <v>85</v>
      </c>
      <c r="E28" s="3" t="n">
        <v>88</v>
      </c>
      <c r="F28" s="3" t="n">
        <v>90</v>
      </c>
      <c r="G28" s="3" t="n">
        <v>91</v>
      </c>
      <c r="H28" s="3" t="n">
        <v>92</v>
      </c>
      <c r="I28" s="3" t="n">
        <v>92</v>
      </c>
      <c r="J28" s="3" t="n">
        <v>92</v>
      </c>
      <c r="K28" s="3" t="n">
        <v>92</v>
      </c>
      <c r="L28" s="3" t="n">
        <v>92</v>
      </c>
    </row>
    <row r="29" customFormat="false" ht="15" hidden="false" customHeight="false" outlineLevel="0" collapsed="false">
      <c r="A29" s="0" t="s">
        <v>98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101</v>
      </c>
      <c r="C32" s="3" t="n">
        <v>0</v>
      </c>
      <c r="D32" s="3" t="n">
        <v>0</v>
      </c>
      <c r="E32" s="3" t="n">
        <v>0</v>
      </c>
      <c r="F32" s="3" t="n">
        <v>0</v>
      </c>
      <c r="G32" s="3" t="n">
        <v>0</v>
      </c>
      <c r="H32" s="3" t="n">
        <v>0</v>
      </c>
      <c r="I32" s="3" t="n">
        <v>0</v>
      </c>
      <c r="J32" s="3" t="n">
        <v>0</v>
      </c>
      <c r="K32" s="3" t="n">
        <v>0</v>
      </c>
      <c r="L32" s="3" t="n">
        <v>0</v>
      </c>
    </row>
    <row r="33" customFormat="false" ht="15" hidden="false" customHeight="false" outlineLevel="0" collapsed="false">
      <c r="A33" s="0" t="s">
        <v>102</v>
      </c>
      <c r="C33" s="3" t="n">
        <v>5</v>
      </c>
      <c r="D33" s="3" t="n">
        <v>5</v>
      </c>
      <c r="E33" s="3" t="n">
        <v>5</v>
      </c>
      <c r="F33" s="3" t="n">
        <v>5</v>
      </c>
      <c r="G33" s="3" t="n">
        <v>5</v>
      </c>
      <c r="H33" s="3" t="n">
        <v>5</v>
      </c>
      <c r="I33" s="3" t="n">
        <v>5</v>
      </c>
      <c r="J33" s="3" t="n">
        <v>5</v>
      </c>
      <c r="K33" s="3" t="n">
        <v>5</v>
      </c>
      <c r="L33" s="3" t="n">
        <v>5</v>
      </c>
    </row>
    <row r="34" customFormat="false" ht="15" hidden="false" customHeight="false" outlineLevel="0" collapsed="false">
      <c r="A34" s="0" t="s">
        <v>103</v>
      </c>
      <c r="B34" s="3" t="n">
        <v>10</v>
      </c>
    </row>
    <row r="35" customFormat="false" ht="15" hidden="false" customHeight="false" outlineLevel="0" collapsed="false">
      <c r="A35" s="0" t="s">
        <v>104</v>
      </c>
      <c r="B35" s="3" t="n">
        <v>0</v>
      </c>
    </row>
    <row r="36" customFormat="false" ht="15" hidden="false" customHeight="false" outlineLevel="0" collapsed="false">
      <c r="A36" s="0" t="s">
        <v>105</v>
      </c>
      <c r="B36" s="3" t="n">
        <v>7</v>
      </c>
    </row>
    <row r="37" customFormat="false" ht="15" hidden="false" customHeight="false" outlineLevel="0" collapsed="false">
      <c r="A37" s="0" t="s">
        <v>106</v>
      </c>
      <c r="B37" s="3" t="n">
        <v>0</v>
      </c>
    </row>
    <row r="38" customFormat="false" ht="15" hidden="false" customHeight="false" outlineLevel="0" collapsed="false">
      <c r="A38" s="0" t="s">
        <v>107</v>
      </c>
      <c r="B38" s="3" t="n">
        <v>0.45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25</v>
      </c>
      <c r="D41" s="3" t="n">
        <v>18</v>
      </c>
      <c r="E41" s="3" t="n">
        <v>12</v>
      </c>
      <c r="F41" s="3" t="n">
        <v>6</v>
      </c>
      <c r="G41" s="3" t="n">
        <v>3</v>
      </c>
      <c r="H41" s="3" t="n">
        <v>2</v>
      </c>
      <c r="I41" s="3" t="n">
        <v>1</v>
      </c>
      <c r="J41" s="3" t="n">
        <v>1</v>
      </c>
      <c r="K41" s="3" t="n">
        <v>1</v>
      </c>
      <c r="L41" s="3" t="n">
        <v>1</v>
      </c>
    </row>
    <row r="42" customFormat="false" ht="15" hidden="false" customHeight="false" outlineLevel="0" collapsed="false">
      <c r="A42" s="0" t="s">
        <v>97</v>
      </c>
      <c r="C42" s="3" t="n">
        <v>84</v>
      </c>
      <c r="D42" s="3" t="n">
        <v>88</v>
      </c>
      <c r="E42" s="3" t="n">
        <v>91</v>
      </c>
      <c r="F42" s="3" t="n">
        <v>93</v>
      </c>
      <c r="G42" s="3" t="n">
        <v>94</v>
      </c>
      <c r="H42" s="3" t="n">
        <v>95</v>
      </c>
      <c r="I42" s="3" t="n">
        <v>95</v>
      </c>
      <c r="J42" s="3" t="n">
        <v>95</v>
      </c>
      <c r="K42" s="3" t="n">
        <v>95</v>
      </c>
      <c r="L42" s="3" t="n">
        <v>95</v>
      </c>
    </row>
    <row r="43" customFormat="false" ht="15" hidden="false" customHeight="false" outlineLevel="0" collapsed="false">
      <c r="A43" s="0" t="s">
        <v>98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101</v>
      </c>
      <c r="C46" s="3" t="n">
        <v>0</v>
      </c>
      <c r="D46" s="3" t="n">
        <v>0</v>
      </c>
      <c r="E46" s="3" t="n">
        <v>0</v>
      </c>
      <c r="F46" s="3" t="n">
        <v>0</v>
      </c>
      <c r="G46" s="3" t="n">
        <v>0</v>
      </c>
      <c r="H46" s="3" t="n">
        <v>0</v>
      </c>
      <c r="I46" s="3" t="n">
        <v>0</v>
      </c>
      <c r="J46" s="3" t="n">
        <v>0</v>
      </c>
      <c r="K46" s="3" t="n">
        <v>0</v>
      </c>
      <c r="L46" s="3" t="n">
        <v>0</v>
      </c>
    </row>
    <row r="47" customFormat="false" ht="15" hidden="false" customHeight="false" outlineLevel="0" collapsed="false">
      <c r="A47" s="0" t="s">
        <v>102</v>
      </c>
      <c r="C47" s="3" t="n">
        <v>5</v>
      </c>
      <c r="D47" s="3" t="n">
        <v>5</v>
      </c>
      <c r="E47" s="3" t="n">
        <v>5</v>
      </c>
      <c r="F47" s="3" t="n">
        <v>5</v>
      </c>
      <c r="G47" s="3" t="n">
        <v>5</v>
      </c>
      <c r="H47" s="3" t="n">
        <v>5</v>
      </c>
      <c r="I47" s="3" t="n">
        <v>5</v>
      </c>
      <c r="J47" s="3" t="n">
        <v>5</v>
      </c>
      <c r="K47" s="3" t="n">
        <v>5</v>
      </c>
      <c r="L47" s="3" t="n">
        <v>5</v>
      </c>
    </row>
    <row r="48" customFormat="false" ht="15" hidden="false" customHeight="false" outlineLevel="0" collapsed="false">
      <c r="A48" s="0" t="s">
        <v>103</v>
      </c>
      <c r="B48" s="3" t="n">
        <v>10</v>
      </c>
    </row>
    <row r="49" customFormat="false" ht="15" hidden="false" customHeight="false" outlineLevel="0" collapsed="false">
      <c r="A49" s="0" t="s">
        <v>104</v>
      </c>
      <c r="B49" s="3" t="n">
        <v>1</v>
      </c>
    </row>
    <row r="50" customFormat="false" ht="15" hidden="false" customHeight="false" outlineLevel="0" collapsed="false">
      <c r="A50" s="0" t="s">
        <v>105</v>
      </c>
      <c r="B50" s="3" t="n">
        <v>8</v>
      </c>
    </row>
    <row r="51" customFormat="false" ht="15" hidden="false" customHeight="false" outlineLevel="0" collapsed="false">
      <c r="A51" s="0" t="s">
        <v>106</v>
      </c>
      <c r="B51" s="3" t="n">
        <v>0</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-25</v>
      </c>
      <c r="D5" s="4" t="n">
        <f aca="false">Assumptions!D13</f>
        <v>-15</v>
      </c>
      <c r="E5" s="4" t="n">
        <f aca="false">Assumptions!E13</f>
        <v>-8</v>
      </c>
      <c r="F5" s="4" t="n">
        <f aca="false">Assumptions!F13</f>
        <v>-5</v>
      </c>
      <c r="G5" s="4" t="n">
        <f aca="false">Assumptions!G13</f>
        <v>-3</v>
      </c>
      <c r="H5" s="4" t="n">
        <f aca="false">Assumptions!H13</f>
        <v>-3</v>
      </c>
      <c r="I5" s="4" t="n">
        <f aca="false">Assumptions!I13</f>
        <v>-3</v>
      </c>
      <c r="J5" s="4" t="n">
        <f aca="false">Assumptions!J13</f>
        <v>-3</v>
      </c>
      <c r="K5" s="4" t="n">
        <f aca="false">Assumptions!K13</f>
        <v>-3</v>
      </c>
      <c r="L5" s="4" t="n">
        <f aca="false">Assumptions!L13</f>
        <v>-3</v>
      </c>
    </row>
    <row r="6" customFormat="false" ht="15" hidden="false" customHeight="false" outlineLevel="0" collapsed="false">
      <c r="A6" s="0" t="s">
        <v>38</v>
      </c>
      <c r="B6" s="3" t="n">
        <v>1700</v>
      </c>
      <c r="C6" s="0" t="n">
        <f aca="false">B6*(1+C5/100)</f>
        <v>1275</v>
      </c>
      <c r="D6" s="0" t="n">
        <f aca="false">C6*(1+D5/100)</f>
        <v>1083.75</v>
      </c>
      <c r="E6" s="0" t="n">
        <f aca="false">D6*(1+E5/100)</f>
        <v>997.05</v>
      </c>
      <c r="F6" s="0" t="n">
        <f aca="false">E6*(1+F5/100)</f>
        <v>947.1975</v>
      </c>
      <c r="G6" s="0" t="n">
        <f aca="false">F6*(1+G5/100)</f>
        <v>918.781575</v>
      </c>
      <c r="H6" s="0" t="n">
        <f aca="false">G6*(1+H5/100)</f>
        <v>891.21812775</v>
      </c>
      <c r="I6" s="0" t="n">
        <f aca="false">H6*(1+I5/100)</f>
        <v>864.4815839175</v>
      </c>
      <c r="J6" s="0" t="n">
        <f aca="false">I6*(1+J5/100)</f>
        <v>838.547136399975</v>
      </c>
      <c r="K6" s="0" t="n">
        <f aca="false">J6*(1+K5/100)</f>
        <v>813.390722307976</v>
      </c>
      <c r="L6" s="0" t="n">
        <f aca="false">K6*(1+L5/100)</f>
        <v>788.989000638737</v>
      </c>
    </row>
    <row r="7" customFormat="false" ht="15" hidden="false" customHeight="false" outlineLevel="0" collapsed="false">
      <c r="A7" s="0" t="s">
        <v>97</v>
      </c>
      <c r="C7" s="4" t="n">
        <f aca="false">Assumptions!C14</f>
        <v>78</v>
      </c>
      <c r="D7" s="4" t="n">
        <f aca="false">Assumptions!D14</f>
        <v>78</v>
      </c>
      <c r="E7" s="4" t="n">
        <f aca="false">Assumptions!E14</f>
        <v>80</v>
      </c>
      <c r="F7" s="4" t="n">
        <f aca="false">Assumptions!F14</f>
        <v>82</v>
      </c>
      <c r="G7" s="4" t="n">
        <f aca="false">Assumptions!G14</f>
        <v>84</v>
      </c>
      <c r="H7" s="4" t="n">
        <f aca="false">Assumptions!H14</f>
        <v>85</v>
      </c>
      <c r="I7" s="4" t="n">
        <f aca="false">Assumptions!I14</f>
        <v>85</v>
      </c>
      <c r="J7" s="4" t="n">
        <f aca="false">Assumptions!J14</f>
        <v>85</v>
      </c>
      <c r="K7" s="4" t="n">
        <f aca="false">Assumptions!K14</f>
        <v>85</v>
      </c>
      <c r="L7" s="4" t="n">
        <f aca="false">Assumptions!L14</f>
        <v>85</v>
      </c>
    </row>
    <row r="8" customFormat="false" ht="15" hidden="false" customHeight="false" outlineLevel="0" collapsed="false">
      <c r="A8" s="0" t="s">
        <v>44</v>
      </c>
      <c r="C8" s="0" t="n">
        <f aca="false">C6*C7/100</f>
        <v>994.5</v>
      </c>
      <c r="D8" s="0" t="n">
        <f aca="false">D6*D7/100</f>
        <v>845.325</v>
      </c>
      <c r="E8" s="0" t="n">
        <f aca="false">E6*E7/100</f>
        <v>797.64</v>
      </c>
      <c r="F8" s="0" t="n">
        <f aca="false">F6*F7/100</f>
        <v>776.70195</v>
      </c>
      <c r="G8" s="0" t="n">
        <f aca="false">G6*G7/100</f>
        <v>771.776523</v>
      </c>
      <c r="H8" s="0" t="n">
        <f aca="false">H6*H7/100</f>
        <v>757.5354085875</v>
      </c>
      <c r="I8" s="0" t="n">
        <f aca="false">I6*I7/100</f>
        <v>734.809346329875</v>
      </c>
      <c r="J8" s="0" t="n">
        <f aca="false">J6*J7/100</f>
        <v>712.765065939979</v>
      </c>
      <c r="K8" s="0" t="n">
        <f aca="false">K6*K7/100</f>
        <v>691.382113961779</v>
      </c>
      <c r="L8" s="0" t="n">
        <f aca="false">L6*L7/100</f>
        <v>670.640650542926</v>
      </c>
    </row>
    <row r="9" customFormat="false" ht="15" hidden="false" customHeight="false" outlineLevel="0" collapsed="false">
      <c r="A9" s="0" t="s">
        <v>98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994.5</v>
      </c>
      <c r="D11" s="0" t="n">
        <f aca="false">D8+D10+D24</f>
        <v>845.325</v>
      </c>
      <c r="E11" s="0" t="n">
        <f aca="false">E8+E10+E24</f>
        <v>797.64</v>
      </c>
      <c r="F11" s="0" t="n">
        <f aca="false">F8+F10+F24</f>
        <v>776.70195</v>
      </c>
      <c r="G11" s="0" t="n">
        <f aca="false">G8+G10+G24</f>
        <v>771.776523</v>
      </c>
      <c r="H11" s="0" t="n">
        <f aca="false">H8+H10+H24</f>
        <v>757.5354085875</v>
      </c>
      <c r="I11" s="0" t="n">
        <f aca="false">I8+I10+I24</f>
        <v>734.809346329875</v>
      </c>
      <c r="J11" s="0" t="n">
        <f aca="false">J8+J10+J24</f>
        <v>712.765065939979</v>
      </c>
      <c r="K11" s="0" t="n">
        <f aca="false">K8+K10+K24</f>
        <v>691.382113961779</v>
      </c>
      <c r="L11" s="0" t="n">
        <f aca="false">L8+L10+L24</f>
        <v>670.640650542926</v>
      </c>
    </row>
    <row r="12" customFormat="false" ht="15" hidden="false" customHeight="false" outlineLevel="0" collapsed="false">
      <c r="A12" s="0" t="s">
        <v>115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116</v>
      </c>
      <c r="C13" s="0" t="n">
        <f aca="false">C11+C12</f>
        <v>994.5</v>
      </c>
      <c r="D13" s="0" t="n">
        <f aca="false">D11+D12</f>
        <v>845.325</v>
      </c>
      <c r="E13" s="0" t="n">
        <f aca="false">E11+E12</f>
        <v>797.64</v>
      </c>
      <c r="F13" s="0" t="n">
        <f aca="false">F11+F12</f>
        <v>776.70195</v>
      </c>
      <c r="G13" s="0" t="n">
        <f aca="false">G11+G12</f>
        <v>771.776523</v>
      </c>
      <c r="H13" s="0" t="n">
        <f aca="false">H11+H12</f>
        <v>757.5354085875</v>
      </c>
      <c r="I13" s="0" t="n">
        <f aca="false">I11+I12</f>
        <v>734.809346329875</v>
      </c>
      <c r="J13" s="0" t="n">
        <f aca="false">J11+J12</f>
        <v>712.765065939979</v>
      </c>
      <c r="K13" s="0" t="n">
        <f aca="false">K11+K12</f>
        <v>691.382113961779</v>
      </c>
      <c r="L13" s="0" t="n">
        <f aca="false">L11+L12</f>
        <v>670.640650542926</v>
      </c>
    </row>
    <row r="14" customFormat="false" ht="15" hidden="false" customHeight="false" outlineLevel="0" collapsed="false">
      <c r="A14" s="0" t="s">
        <v>102</v>
      </c>
      <c r="C14" s="4" t="n">
        <f aca="false">Assumptions!C19</f>
        <v>5</v>
      </c>
      <c r="D14" s="4" t="n">
        <f aca="false">Assumptions!D19</f>
        <v>5</v>
      </c>
      <c r="E14" s="4" t="n">
        <f aca="false">Assumptions!E19</f>
        <v>5</v>
      </c>
      <c r="F14" s="4" t="n">
        <f aca="false">Assumptions!F19</f>
        <v>5</v>
      </c>
      <c r="G14" s="4" t="n">
        <f aca="false">Assumptions!G19</f>
        <v>5</v>
      </c>
      <c r="H14" s="4" t="n">
        <f aca="false">Assumptions!H19</f>
        <v>5</v>
      </c>
      <c r="I14" s="4" t="n">
        <f aca="false">Assumptions!I19</f>
        <v>5</v>
      </c>
      <c r="J14" s="4" t="n">
        <f aca="false">Assumptions!J19</f>
        <v>5</v>
      </c>
      <c r="K14" s="4" t="n">
        <f aca="false">Assumptions!K19</f>
        <v>5</v>
      </c>
      <c r="L14" s="4" t="n">
        <f aca="false">Assumptions!L19</f>
        <v>5</v>
      </c>
    </row>
    <row r="15" customFormat="false" ht="15" hidden="false" customHeight="false" outlineLevel="0" collapsed="false">
      <c r="A15" s="0" t="s">
        <v>117</v>
      </c>
      <c r="C15" s="0" t="n">
        <f aca="false">C13-MAX(0,C13)*C14/100</f>
        <v>944.775</v>
      </c>
      <c r="D15" s="0" t="n">
        <f aca="false">D13-MAX(0,D13)*D14/100</f>
        <v>803.05875</v>
      </c>
      <c r="E15" s="0" t="n">
        <f aca="false">E13-MAX(0,E13)*E14/100</f>
        <v>757.758</v>
      </c>
      <c r="F15" s="0" t="n">
        <f aca="false">F13-MAX(0,F13)*F14/100</f>
        <v>737.8668525</v>
      </c>
      <c r="G15" s="0" t="n">
        <f aca="false">G13-MAX(0,G13)*G14/100</f>
        <v>733.18769685</v>
      </c>
      <c r="H15" s="0" t="n">
        <f aca="false">H13-MAX(0,H13)*H14/100</f>
        <v>719.658638158125</v>
      </c>
      <c r="I15" s="0" t="n">
        <f aca="false">I13-MAX(0,I13)*I14/100</f>
        <v>698.068879013381</v>
      </c>
      <c r="J15" s="0" t="n">
        <f aca="false">J13-MAX(0,J13)*J14/100</f>
        <v>677.12681264298</v>
      </c>
      <c r="K15" s="0" t="n">
        <f aca="false">K13-MAX(0,K13)*K14/100</f>
        <v>656.81300826369</v>
      </c>
      <c r="L15" s="0" t="n">
        <f aca="false">L13-MAX(0,L13)*L14/100</f>
        <v>637.10861801578</v>
      </c>
    </row>
    <row r="16" customFormat="false" ht="15" hidden="false" customHeight="false" outlineLevel="0" collapsed="false">
      <c r="A16" s="0" t="s">
        <v>118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119</v>
      </c>
      <c r="C17" s="4" t="n">
        <f aca="false">-C6*Assumptions!C18/100</f>
        <v>-0</v>
      </c>
      <c r="D17" s="4" t="n">
        <f aca="false">-D6*Assumptions!D18/100</f>
        <v>-0</v>
      </c>
      <c r="E17" s="4" t="n">
        <f aca="false">-E6*Assumptions!E18/100</f>
        <v>-0</v>
      </c>
      <c r="F17" s="4" t="n">
        <f aca="false">-F6*Assumptions!F18/100</f>
        <v>-0</v>
      </c>
      <c r="G17" s="4" t="n">
        <f aca="false">-G6*Assumptions!G18/100</f>
        <v>-0</v>
      </c>
      <c r="H17" s="4" t="n">
        <f aca="false">-H6*Assumptions!H18/100</f>
        <v>-0</v>
      </c>
      <c r="I17" s="4" t="n">
        <f aca="false">-I6*Assumptions!I18/100</f>
        <v>-0</v>
      </c>
      <c r="J17" s="4" t="n">
        <f aca="false">-J6*Assumptions!J18/100</f>
        <v>-0</v>
      </c>
      <c r="K17" s="4" t="n">
        <f aca="false">-K6*Assumptions!K18/100</f>
        <v>-0</v>
      </c>
      <c r="L17" s="4" t="n">
        <f aca="false">-L6*Assumptions!L18/100</f>
        <v>-0</v>
      </c>
    </row>
    <row r="18" customFormat="false" ht="15" hidden="false" customHeight="false" outlineLevel="0" collapsed="false">
      <c r="A18" s="0" t="s">
        <v>120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121</v>
      </c>
      <c r="C19" s="0" t="n">
        <f aca="false">C15+C16+C17+C18</f>
        <v>944.775</v>
      </c>
      <c r="D19" s="0" t="n">
        <f aca="false">D15+D16+D17+D18</f>
        <v>803.05875</v>
      </c>
      <c r="E19" s="0" t="n">
        <f aca="false">E15+E16+E17+E18</f>
        <v>757.758</v>
      </c>
      <c r="F19" s="0" t="n">
        <f aca="false">F15+F16+F17+F18</f>
        <v>737.8668525</v>
      </c>
      <c r="G19" s="0" t="n">
        <f aca="false">G15+G16+G17+G18</f>
        <v>733.18769685</v>
      </c>
      <c r="H19" s="0" t="n">
        <f aca="false">H15+H16+H17+H18</f>
        <v>719.658638158125</v>
      </c>
      <c r="I19" s="0" t="n">
        <f aca="false">I15+I16+I17+I18</f>
        <v>698.068879013381</v>
      </c>
      <c r="J19" s="0" t="n">
        <f aca="false">J15+J16+J17+J18</f>
        <v>677.12681264298</v>
      </c>
      <c r="K19" s="0" t="n">
        <f aca="false">K15+K16+K17+K18</f>
        <v>656.81300826369</v>
      </c>
      <c r="L19" s="0" t="n">
        <f aca="false">L15+L16+L17+L18</f>
        <v>637.10861801578</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858.886363636364</v>
      </c>
      <c r="D21" s="0" t="n">
        <f aca="false">D19*D20</f>
        <v>663.684917355372</v>
      </c>
      <c r="E21" s="0" t="n">
        <f aca="false">E19*E20</f>
        <v>569.314800901578</v>
      </c>
      <c r="F21" s="0" t="n">
        <f aca="false">F19*F20</f>
        <v>503.972988525374</v>
      </c>
      <c r="G21" s="0" t="n">
        <f aca="false">G19*G20</f>
        <v>455.251874778797</v>
      </c>
      <c r="H21" s="0" t="n">
        <f aca="false">H19*H20</f>
        <v>406.228539778266</v>
      </c>
      <c r="I21" s="0" t="n">
        <f aca="false">I19*I20</f>
        <v>358.219712349925</v>
      </c>
      <c r="J21" s="0" t="n">
        <f aca="false">J19*J20</f>
        <v>315.884655435843</v>
      </c>
      <c r="K21" s="0" t="n">
        <f aca="false">K19*K20</f>
        <v>278.552832520698</v>
      </c>
      <c r="L21" s="0" t="n">
        <f aca="false">L19*L20</f>
        <v>245.632952313707</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10</v>
      </c>
    </row>
    <row r="28" customFormat="false" ht="15" hidden="false" customHeight="false" outlineLevel="0" collapsed="false">
      <c r="A28" s="0" t="s">
        <v>104</v>
      </c>
      <c r="B28" s="4" t="n">
        <f aca="false">Assumptions!$B$21</f>
        <v>0</v>
      </c>
    </row>
    <row r="29" customFormat="false" ht="15" hidden="false" customHeight="false" outlineLevel="0" collapsed="false">
      <c r="A29" s="0" t="s">
        <v>105</v>
      </c>
      <c r="B29" s="4" t="n">
        <f aca="false">Assumptions!$B$22</f>
        <v>5</v>
      </c>
    </row>
    <row r="30" customFormat="false" ht="15" hidden="false" customHeight="false" outlineLevel="0" collapsed="false">
      <c r="A30" s="0" t="s">
        <v>126</v>
      </c>
      <c r="B30" s="0" t="n">
        <f aca="false">SUM(C21:L21)</f>
        <v>4655.62963759592</v>
      </c>
    </row>
    <row r="31" customFormat="false" ht="15" hidden="false" customHeight="false" outlineLevel="0" collapsed="false">
      <c r="A31" s="0" t="s">
        <v>127</v>
      </c>
      <c r="B31" s="0" t="n">
        <f aca="false">L19</f>
        <v>637.10861801578</v>
      </c>
    </row>
    <row r="32" customFormat="false" ht="15" hidden="false" customHeight="false" outlineLevel="0" collapsed="false">
      <c r="A32" s="0" t="s">
        <v>128</v>
      </c>
      <c r="B32" s="0" t="n">
        <f aca="false">IF(B27&gt;B28,B31*(1+B28/100)/((B27-B28)/100),B31*B29)</f>
        <v>6371.0861801578</v>
      </c>
    </row>
    <row r="33" customFormat="false" ht="15" hidden="false" customHeight="false" outlineLevel="0" collapsed="false">
      <c r="A33" s="0" t="s">
        <v>129</v>
      </c>
      <c r="B33" s="0" t="n">
        <f aca="false">B31*B29</f>
        <v>3185.5430900789</v>
      </c>
    </row>
    <row r="34" customFormat="false" ht="15" hidden="false" customHeight="false" outlineLevel="0" collapsed="false">
      <c r="A34" s="0" t="s">
        <v>130</v>
      </c>
      <c r="B34" s="0" t="n">
        <f aca="false">MAX(0,MIN(B32,B33))</f>
        <v>3185.5430900789</v>
      </c>
    </row>
    <row r="35" customFormat="false" ht="15" hidden="false" customHeight="false" outlineLevel="0" collapsed="false">
      <c r="A35" s="0" t="s">
        <v>131</v>
      </c>
      <c r="B35" s="0" t="n">
        <f aca="false">B34/(1+B27/100)^L4</f>
        <v>1228.16476156853</v>
      </c>
    </row>
    <row r="36" customFormat="false" ht="15" hidden="false" customHeight="false" outlineLevel="0" collapsed="false">
      <c r="A36" s="0" t="s">
        <v>132</v>
      </c>
      <c r="B36" s="0" t="n">
        <f aca="false">B30+B35</f>
        <v>5883.79439916446</v>
      </c>
    </row>
    <row r="37" customFormat="false" ht="15" hidden="false" customHeight="false" outlineLevel="0" collapsed="false">
      <c r="A37" s="0" t="s">
        <v>133</v>
      </c>
      <c r="B37" s="0" t="n">
        <f aca="false">B36+Assumptions!$B$5-Assumptions!$B$4</f>
        <v>8795.99439916446</v>
      </c>
    </row>
    <row r="38" customFormat="false" ht="15" hidden="false" customHeight="false" outlineLevel="0" collapsed="false">
      <c r="A38" s="0" t="s">
        <v>134</v>
      </c>
      <c r="B38" s="0" t="n">
        <f aca="false">B37/Assumptions!$B$3*Assumptions!$B$10</f>
        <v>2.04467595021477</v>
      </c>
    </row>
    <row r="39" customFormat="false" ht="15" hidden="false" customHeight="false" outlineLevel="0" collapsed="false">
      <c r="A39" s="0" t="s">
        <v>135</v>
      </c>
      <c r="B39" s="4" t="n">
        <f aca="false">B38/Assumptions!$B$2-1</f>
        <v>0.13593108345265</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2.04467595021477</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3185.5430900789</v>
      </c>
    </row>
    <row r="47" customFormat="false" ht="15" hidden="false" customHeight="false" outlineLevel="0" collapsed="false">
      <c r="A47" s="0" t="s">
        <v>140</v>
      </c>
      <c r="B47" s="0" t="n">
        <f aca="false">(SUMPRODUCT(C19:L19/(1+B45/100)^C4:L4)+B46/(1+B45/100)^L4+Assumptions!$B$5-Assumptions!$B$4)/Assumptions!$B$3*Assumptions!$B$10</f>
        <v>1.75553338116733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12</v>
      </c>
      <c r="D5" s="4" t="n">
        <f aca="false">Assumptions!D27</f>
        <v>10</v>
      </c>
      <c r="E5" s="4" t="n">
        <f aca="false">Assumptions!E27</f>
        <v>6</v>
      </c>
      <c r="F5" s="4" t="n">
        <f aca="false">Assumptions!F27</f>
        <v>3</v>
      </c>
      <c r="G5" s="4" t="n">
        <f aca="false">Assumptions!G27</f>
        <v>1</v>
      </c>
      <c r="H5" s="4" t="n">
        <f aca="false">Assumptions!H27</f>
        <v>0</v>
      </c>
      <c r="I5" s="4" t="n">
        <f aca="false">Assumptions!I27</f>
        <v>-1</v>
      </c>
      <c r="J5" s="4" t="n">
        <f aca="false">Assumptions!J27</f>
        <v>-1</v>
      </c>
      <c r="K5" s="4" t="n">
        <f aca="false">Assumptions!K27</f>
        <v>-1</v>
      </c>
      <c r="L5" s="4" t="n">
        <f aca="false">Assumptions!L27</f>
        <v>-1</v>
      </c>
    </row>
    <row r="6" customFormat="false" ht="15" hidden="false" customHeight="false" outlineLevel="0" collapsed="false">
      <c r="A6" s="0" t="s">
        <v>38</v>
      </c>
      <c r="B6" s="3" t="n">
        <v>1700</v>
      </c>
      <c r="C6" s="0" t="n">
        <f aca="false">B6*(1+C5/100)</f>
        <v>1904</v>
      </c>
      <c r="D6" s="0" t="n">
        <f aca="false">C6*(1+D5/100)</f>
        <v>2094.4</v>
      </c>
      <c r="E6" s="0" t="n">
        <f aca="false">D6*(1+E5/100)</f>
        <v>2220.064</v>
      </c>
      <c r="F6" s="0" t="n">
        <f aca="false">E6*(1+F5/100)</f>
        <v>2286.66592</v>
      </c>
      <c r="G6" s="0" t="n">
        <f aca="false">F6*(1+G5/100)</f>
        <v>2309.5325792</v>
      </c>
      <c r="H6" s="0" t="n">
        <f aca="false">G6*(1+H5/100)</f>
        <v>2309.5325792</v>
      </c>
      <c r="I6" s="0" t="n">
        <f aca="false">H6*(1+I5/100)</f>
        <v>2286.437253408</v>
      </c>
      <c r="J6" s="0" t="n">
        <f aca="false">I6*(1+J5/100)</f>
        <v>2263.57288087392</v>
      </c>
      <c r="K6" s="0" t="n">
        <f aca="false">J6*(1+K5/100)</f>
        <v>2240.93715206518</v>
      </c>
      <c r="L6" s="0" t="n">
        <f aca="false">K6*(1+L5/100)</f>
        <v>2218.52778054453</v>
      </c>
    </row>
    <row r="7" customFormat="false" ht="15" hidden="false" customHeight="false" outlineLevel="0" collapsed="false">
      <c r="A7" s="0" t="s">
        <v>97</v>
      </c>
      <c r="C7" s="4" t="n">
        <f aca="false">Assumptions!C28</f>
        <v>82</v>
      </c>
      <c r="D7" s="4" t="n">
        <f aca="false">Assumptions!D28</f>
        <v>85</v>
      </c>
      <c r="E7" s="4" t="n">
        <f aca="false">Assumptions!E28</f>
        <v>88</v>
      </c>
      <c r="F7" s="4" t="n">
        <f aca="false">Assumptions!F28</f>
        <v>90</v>
      </c>
      <c r="G7" s="4" t="n">
        <f aca="false">Assumptions!G28</f>
        <v>91</v>
      </c>
      <c r="H7" s="4" t="n">
        <f aca="false">Assumptions!H28</f>
        <v>92</v>
      </c>
      <c r="I7" s="4" t="n">
        <f aca="false">Assumptions!I28</f>
        <v>92</v>
      </c>
      <c r="J7" s="4" t="n">
        <f aca="false">Assumptions!J28</f>
        <v>92</v>
      </c>
      <c r="K7" s="4" t="n">
        <f aca="false">Assumptions!K28</f>
        <v>92</v>
      </c>
      <c r="L7" s="4" t="n">
        <f aca="false">Assumptions!L28</f>
        <v>92</v>
      </c>
    </row>
    <row r="8" customFormat="false" ht="15" hidden="false" customHeight="false" outlineLevel="0" collapsed="false">
      <c r="A8" s="0" t="s">
        <v>44</v>
      </c>
      <c r="C8" s="0" t="n">
        <f aca="false">C6*C7/100</f>
        <v>1561.28</v>
      </c>
      <c r="D8" s="0" t="n">
        <f aca="false">D6*D7/100</f>
        <v>1780.24</v>
      </c>
      <c r="E8" s="0" t="n">
        <f aca="false">E6*E7/100</f>
        <v>1953.65632</v>
      </c>
      <c r="F8" s="0" t="n">
        <f aca="false">F6*F7/100</f>
        <v>2057.999328</v>
      </c>
      <c r="G8" s="0" t="n">
        <f aca="false">G6*G7/100</f>
        <v>2101.674647072</v>
      </c>
      <c r="H8" s="0" t="n">
        <f aca="false">H6*H7/100</f>
        <v>2124.769972864</v>
      </c>
      <c r="I8" s="0" t="n">
        <f aca="false">I6*I7/100</f>
        <v>2103.52227313536</v>
      </c>
      <c r="J8" s="0" t="n">
        <f aca="false">J6*J7/100</f>
        <v>2082.48705040401</v>
      </c>
      <c r="K8" s="0" t="n">
        <f aca="false">K6*K7/100</f>
        <v>2061.66217989997</v>
      </c>
      <c r="L8" s="0" t="n">
        <f aca="false">L6*L7/100</f>
        <v>2041.04555810097</v>
      </c>
    </row>
    <row r="9" customFormat="false" ht="15" hidden="false" customHeight="false" outlineLevel="0" collapsed="false">
      <c r="A9" s="0" t="s">
        <v>98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1561.28</v>
      </c>
      <c r="D11" s="0" t="n">
        <f aca="false">D8+D10+D24</f>
        <v>1780.24</v>
      </c>
      <c r="E11" s="0" t="n">
        <f aca="false">E8+E10+E24</f>
        <v>1953.65632</v>
      </c>
      <c r="F11" s="0" t="n">
        <f aca="false">F8+F10+F24</f>
        <v>2057.999328</v>
      </c>
      <c r="G11" s="0" t="n">
        <f aca="false">G8+G10+G24</f>
        <v>2101.674647072</v>
      </c>
      <c r="H11" s="0" t="n">
        <f aca="false">H8+H10+H24</f>
        <v>2124.769972864</v>
      </c>
      <c r="I11" s="0" t="n">
        <f aca="false">I8+I10+I24</f>
        <v>2103.52227313536</v>
      </c>
      <c r="J11" s="0" t="n">
        <f aca="false">J8+J10+J24</f>
        <v>2082.48705040401</v>
      </c>
      <c r="K11" s="0" t="n">
        <f aca="false">K8+K10+K24</f>
        <v>2061.66217989997</v>
      </c>
      <c r="L11" s="0" t="n">
        <f aca="false">L8+L10+L24</f>
        <v>2041.04555810097</v>
      </c>
    </row>
    <row r="12" customFormat="false" ht="15" hidden="false" customHeight="false" outlineLevel="0" collapsed="false">
      <c r="A12" s="0" t="s">
        <v>115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116</v>
      </c>
      <c r="C13" s="0" t="n">
        <f aca="false">C11+C12</f>
        <v>1561.28</v>
      </c>
      <c r="D13" s="0" t="n">
        <f aca="false">D11+D12</f>
        <v>1780.24</v>
      </c>
      <c r="E13" s="0" t="n">
        <f aca="false">E11+E12</f>
        <v>1953.65632</v>
      </c>
      <c r="F13" s="0" t="n">
        <f aca="false">F11+F12</f>
        <v>2057.999328</v>
      </c>
      <c r="G13" s="0" t="n">
        <f aca="false">G11+G12</f>
        <v>2101.674647072</v>
      </c>
      <c r="H13" s="0" t="n">
        <f aca="false">H11+H12</f>
        <v>2124.769972864</v>
      </c>
      <c r="I13" s="0" t="n">
        <f aca="false">I11+I12</f>
        <v>2103.52227313536</v>
      </c>
      <c r="J13" s="0" t="n">
        <f aca="false">J11+J12</f>
        <v>2082.48705040401</v>
      </c>
      <c r="K13" s="0" t="n">
        <f aca="false">K11+K12</f>
        <v>2061.66217989997</v>
      </c>
      <c r="L13" s="0" t="n">
        <f aca="false">L11+L12</f>
        <v>2041.04555810097</v>
      </c>
    </row>
    <row r="14" customFormat="false" ht="15" hidden="false" customHeight="false" outlineLevel="0" collapsed="false">
      <c r="A14" s="0" t="s">
        <v>102</v>
      </c>
      <c r="C14" s="4" t="n">
        <f aca="false">Assumptions!C33</f>
        <v>5</v>
      </c>
      <c r="D14" s="4" t="n">
        <f aca="false">Assumptions!D33</f>
        <v>5</v>
      </c>
      <c r="E14" s="4" t="n">
        <f aca="false">Assumptions!E33</f>
        <v>5</v>
      </c>
      <c r="F14" s="4" t="n">
        <f aca="false">Assumptions!F33</f>
        <v>5</v>
      </c>
      <c r="G14" s="4" t="n">
        <f aca="false">Assumptions!G33</f>
        <v>5</v>
      </c>
      <c r="H14" s="4" t="n">
        <f aca="false">Assumptions!H33</f>
        <v>5</v>
      </c>
      <c r="I14" s="4" t="n">
        <f aca="false">Assumptions!I33</f>
        <v>5</v>
      </c>
      <c r="J14" s="4" t="n">
        <f aca="false">Assumptions!J33</f>
        <v>5</v>
      </c>
      <c r="K14" s="4" t="n">
        <f aca="false">Assumptions!K33</f>
        <v>5</v>
      </c>
      <c r="L14" s="4" t="n">
        <f aca="false">Assumptions!L33</f>
        <v>5</v>
      </c>
    </row>
    <row r="15" customFormat="false" ht="15" hidden="false" customHeight="false" outlineLevel="0" collapsed="false">
      <c r="A15" s="0" t="s">
        <v>117</v>
      </c>
      <c r="C15" s="0" t="n">
        <f aca="false">C13-MAX(0,C13)*C14/100</f>
        <v>1483.216</v>
      </c>
      <c r="D15" s="0" t="n">
        <f aca="false">D13-MAX(0,D13)*D14/100</f>
        <v>1691.228</v>
      </c>
      <c r="E15" s="0" t="n">
        <f aca="false">E13-MAX(0,E13)*E14/100</f>
        <v>1855.973504</v>
      </c>
      <c r="F15" s="0" t="n">
        <f aca="false">F13-MAX(0,F13)*F14/100</f>
        <v>1955.0993616</v>
      </c>
      <c r="G15" s="0" t="n">
        <f aca="false">G13-MAX(0,G13)*G14/100</f>
        <v>1996.5909147184</v>
      </c>
      <c r="H15" s="0" t="n">
        <f aca="false">H13-MAX(0,H13)*H14/100</f>
        <v>2018.5314742208</v>
      </c>
      <c r="I15" s="0" t="n">
        <f aca="false">I13-MAX(0,I13)*I14/100</f>
        <v>1998.34615947859</v>
      </c>
      <c r="J15" s="0" t="n">
        <f aca="false">J13-MAX(0,J13)*J14/100</f>
        <v>1978.36269788381</v>
      </c>
      <c r="K15" s="0" t="n">
        <f aca="false">K13-MAX(0,K13)*K14/100</f>
        <v>1958.57907090497</v>
      </c>
      <c r="L15" s="0" t="n">
        <f aca="false">L13-MAX(0,L13)*L14/100</f>
        <v>1938.99328019592</v>
      </c>
    </row>
    <row r="16" customFormat="false" ht="15" hidden="false" customHeight="false" outlineLevel="0" collapsed="false">
      <c r="A16" s="0" t="s">
        <v>118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119</v>
      </c>
      <c r="C17" s="4" t="n">
        <f aca="false">-C6*Assumptions!C32/100</f>
        <v>-0</v>
      </c>
      <c r="D17" s="4" t="n">
        <f aca="false">-D6*Assumptions!D32/100</f>
        <v>-0</v>
      </c>
      <c r="E17" s="4" t="n">
        <f aca="false">-E6*Assumptions!E32/100</f>
        <v>-0</v>
      </c>
      <c r="F17" s="4" t="n">
        <f aca="false">-F6*Assumptions!F32/100</f>
        <v>-0</v>
      </c>
      <c r="G17" s="4" t="n">
        <f aca="false">-G6*Assumptions!G32/100</f>
        <v>-0</v>
      </c>
      <c r="H17" s="4" t="n">
        <f aca="false">-H6*Assumptions!H32/100</f>
        <v>-0</v>
      </c>
      <c r="I17" s="4" t="n">
        <f aca="false">-I6*Assumptions!I32/100</f>
        <v>-0</v>
      </c>
      <c r="J17" s="4" t="n">
        <f aca="false">-J6*Assumptions!J32/100</f>
        <v>-0</v>
      </c>
      <c r="K17" s="4" t="n">
        <f aca="false">-K6*Assumptions!K32/100</f>
        <v>-0</v>
      </c>
      <c r="L17" s="4" t="n">
        <f aca="false">-L6*Assumptions!L32/100</f>
        <v>-0</v>
      </c>
    </row>
    <row r="18" customFormat="false" ht="15" hidden="false" customHeight="false" outlineLevel="0" collapsed="false">
      <c r="A18" s="0" t="s">
        <v>120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121</v>
      </c>
      <c r="C19" s="0" t="n">
        <f aca="false">C15+C16+C17+C18</f>
        <v>1483.216</v>
      </c>
      <c r="D19" s="0" t="n">
        <f aca="false">D15+D16+D17+D18</f>
        <v>1691.228</v>
      </c>
      <c r="E19" s="0" t="n">
        <f aca="false">E15+E16+E17+E18</f>
        <v>1855.973504</v>
      </c>
      <c r="F19" s="0" t="n">
        <f aca="false">F15+F16+F17+F18</f>
        <v>1955.0993616</v>
      </c>
      <c r="G19" s="0" t="n">
        <f aca="false">G15+G16+G17+G18</f>
        <v>1996.5909147184</v>
      </c>
      <c r="H19" s="0" t="n">
        <f aca="false">H15+H16+H17+H18</f>
        <v>2018.5314742208</v>
      </c>
      <c r="I19" s="0" t="n">
        <f aca="false">I15+I16+I17+I18</f>
        <v>1998.34615947859</v>
      </c>
      <c r="J19" s="0" t="n">
        <f aca="false">J15+J16+J17+J18</f>
        <v>1978.36269788381</v>
      </c>
      <c r="K19" s="0" t="n">
        <f aca="false">K15+K16+K17+K18</f>
        <v>1958.57907090497</v>
      </c>
      <c r="L19" s="0" t="n">
        <f aca="false">L15+L16+L17+L18</f>
        <v>1938.99328019592</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1348.37818181818</v>
      </c>
      <c r="D21" s="0" t="n">
        <f aca="false">D19*D20</f>
        <v>1397.70909090909</v>
      </c>
      <c r="E21" s="0" t="n">
        <f aca="false">E19*E20</f>
        <v>1394.42036363636</v>
      </c>
      <c r="F21" s="0" t="n">
        <f aca="false">F19*F20</f>
        <v>1335.35917054846</v>
      </c>
      <c r="G21" s="0" t="n">
        <f aca="false">G19*G20</f>
        <v>1239.72587237484</v>
      </c>
      <c r="H21" s="0" t="n">
        <f aca="false">H19*H20</f>
        <v>1139.40839419066</v>
      </c>
      <c r="I21" s="0" t="n">
        <f aca="false">I19*I20</f>
        <v>1025.46755477159</v>
      </c>
      <c r="J21" s="0" t="n">
        <f aca="false">J19*J20</f>
        <v>922.920799294435</v>
      </c>
      <c r="K21" s="0" t="n">
        <f aca="false">K19*K20</f>
        <v>830.628719364991</v>
      </c>
      <c r="L21" s="0" t="n">
        <f aca="false">L19*L20</f>
        <v>747.565847428492</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10</v>
      </c>
    </row>
    <row r="28" customFormat="false" ht="15" hidden="false" customHeight="false" outlineLevel="0" collapsed="false">
      <c r="A28" s="0" t="s">
        <v>104</v>
      </c>
      <c r="B28" s="4" t="n">
        <f aca="false">Assumptions!$B$35</f>
        <v>0</v>
      </c>
    </row>
    <row r="29" customFormat="false" ht="15" hidden="false" customHeight="false" outlineLevel="0" collapsed="false">
      <c r="A29" s="0" t="s">
        <v>105</v>
      </c>
      <c r="B29" s="4" t="n">
        <f aca="false">Assumptions!$B$36</f>
        <v>7</v>
      </c>
    </row>
    <row r="30" customFormat="false" ht="15" hidden="false" customHeight="false" outlineLevel="0" collapsed="false">
      <c r="A30" s="0" t="s">
        <v>126</v>
      </c>
      <c r="B30" s="0" t="n">
        <f aca="false">SUM(C21:L21)</f>
        <v>11381.5839943371</v>
      </c>
    </row>
    <row r="31" customFormat="false" ht="15" hidden="false" customHeight="false" outlineLevel="0" collapsed="false">
      <c r="A31" s="0" t="s">
        <v>127</v>
      </c>
      <c r="B31" s="0" t="n">
        <f aca="false">L19</f>
        <v>1938.99328019592</v>
      </c>
    </row>
    <row r="32" customFormat="false" ht="15" hidden="false" customHeight="false" outlineLevel="0" collapsed="false">
      <c r="A32" s="0" t="s">
        <v>128</v>
      </c>
      <c r="B32" s="0" t="n">
        <f aca="false">IF(B27&gt;B28,B31*(1+B28/100)/((B27-B28)/100),B31*B29)</f>
        <v>19389.9328019592</v>
      </c>
    </row>
    <row r="33" customFormat="false" ht="15" hidden="false" customHeight="false" outlineLevel="0" collapsed="false">
      <c r="A33" s="0" t="s">
        <v>129</v>
      </c>
      <c r="B33" s="0" t="n">
        <f aca="false">B31*B29</f>
        <v>13572.9529613714</v>
      </c>
    </row>
    <row r="34" customFormat="false" ht="15" hidden="false" customHeight="false" outlineLevel="0" collapsed="false">
      <c r="A34" s="0" t="s">
        <v>130</v>
      </c>
      <c r="B34" s="0" t="n">
        <f aca="false">MAX(0,MIN(B32,B33))</f>
        <v>13572.9529613714</v>
      </c>
    </row>
    <row r="35" customFormat="false" ht="15" hidden="false" customHeight="false" outlineLevel="0" collapsed="false">
      <c r="A35" s="0" t="s">
        <v>131</v>
      </c>
      <c r="B35" s="0" t="n">
        <f aca="false">B34/(1+B27/100)^L4</f>
        <v>5232.96093199944</v>
      </c>
    </row>
    <row r="36" customFormat="false" ht="15" hidden="false" customHeight="false" outlineLevel="0" collapsed="false">
      <c r="A36" s="0" t="s">
        <v>132</v>
      </c>
      <c r="B36" s="0" t="n">
        <f aca="false">B30+B35</f>
        <v>16614.5449263365</v>
      </c>
    </row>
    <row r="37" customFormat="false" ht="15" hidden="false" customHeight="false" outlineLevel="0" collapsed="false">
      <c r="A37" s="0" t="s">
        <v>133</v>
      </c>
      <c r="B37" s="0" t="n">
        <f aca="false">B36+Assumptions!$B$5-Assumptions!$B$4</f>
        <v>19526.7449263366</v>
      </c>
    </row>
    <row r="38" customFormat="false" ht="15" hidden="false" customHeight="false" outlineLevel="0" collapsed="false">
      <c r="A38" s="0" t="s">
        <v>134</v>
      </c>
      <c r="B38" s="0" t="n">
        <f aca="false">B37/Assumptions!$B$3*Assumptions!$B$10</f>
        <v>4.53909631191344</v>
      </c>
    </row>
    <row r="39" customFormat="false" ht="15" hidden="false" customHeight="false" outlineLevel="0" collapsed="false">
      <c r="A39" s="0" t="s">
        <v>135</v>
      </c>
      <c r="B39" s="4" t="n">
        <f aca="false">B38/Assumptions!$B$2-1</f>
        <v>1.52172017328524</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4.53909631191344</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12926.6218679728</v>
      </c>
    </row>
    <row r="47" customFormat="false" ht="15" hidden="false" customHeight="false" outlineLevel="0" collapsed="false">
      <c r="A47" s="0" t="s">
        <v>140</v>
      </c>
      <c r="B47" s="0" t="n">
        <f aca="false">(SUMPRODUCT(C19:L19/(1+B45/100)^C4:L4)+B46/(1+B45/100)^L4+Assumptions!$B$5-Assumptions!$B$4)/Assumptions!$B$3*Assumptions!$B$10</f>
        <v>3.55971490451821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25</v>
      </c>
      <c r="D5" s="4" t="n">
        <f aca="false">Assumptions!D41</f>
        <v>18</v>
      </c>
      <c r="E5" s="4" t="n">
        <f aca="false">Assumptions!E41</f>
        <v>12</v>
      </c>
      <c r="F5" s="4" t="n">
        <f aca="false">Assumptions!F41</f>
        <v>6</v>
      </c>
      <c r="G5" s="4" t="n">
        <f aca="false">Assumptions!G41</f>
        <v>3</v>
      </c>
      <c r="H5" s="4" t="n">
        <f aca="false">Assumptions!H41</f>
        <v>2</v>
      </c>
      <c r="I5" s="4" t="n">
        <f aca="false">Assumptions!I41</f>
        <v>1</v>
      </c>
      <c r="J5" s="4" t="n">
        <f aca="false">Assumptions!J41</f>
        <v>1</v>
      </c>
      <c r="K5" s="4" t="n">
        <f aca="false">Assumptions!K41</f>
        <v>1</v>
      </c>
      <c r="L5" s="4" t="n">
        <f aca="false">Assumptions!L41</f>
        <v>1</v>
      </c>
    </row>
    <row r="6" customFormat="false" ht="15" hidden="false" customHeight="false" outlineLevel="0" collapsed="false">
      <c r="A6" s="0" t="s">
        <v>38</v>
      </c>
      <c r="B6" s="3" t="n">
        <v>1700</v>
      </c>
      <c r="C6" s="0" t="n">
        <f aca="false">B6*(1+C5/100)</f>
        <v>2125</v>
      </c>
      <c r="D6" s="0" t="n">
        <f aca="false">C6*(1+D5/100)</f>
        <v>2507.5</v>
      </c>
      <c r="E6" s="0" t="n">
        <f aca="false">D6*(1+E5/100)</f>
        <v>2808.4</v>
      </c>
      <c r="F6" s="0" t="n">
        <f aca="false">E6*(1+F5/100)</f>
        <v>2976.904</v>
      </c>
      <c r="G6" s="0" t="n">
        <f aca="false">F6*(1+G5/100)</f>
        <v>3066.21112</v>
      </c>
      <c r="H6" s="0" t="n">
        <f aca="false">G6*(1+H5/100)</f>
        <v>3127.5353424</v>
      </c>
      <c r="I6" s="0" t="n">
        <f aca="false">H6*(1+I5/100)</f>
        <v>3158.810695824</v>
      </c>
      <c r="J6" s="0" t="n">
        <f aca="false">I6*(1+J5/100)</f>
        <v>3190.39880278224</v>
      </c>
      <c r="K6" s="0" t="n">
        <f aca="false">J6*(1+K5/100)</f>
        <v>3222.30279081006</v>
      </c>
      <c r="L6" s="0" t="n">
        <f aca="false">K6*(1+L5/100)</f>
        <v>3254.52581871816</v>
      </c>
    </row>
    <row r="7" customFormat="false" ht="15" hidden="false" customHeight="false" outlineLevel="0" collapsed="false">
      <c r="A7" s="0" t="s">
        <v>97</v>
      </c>
      <c r="C7" s="4" t="n">
        <f aca="false">Assumptions!C42</f>
        <v>84</v>
      </c>
      <c r="D7" s="4" t="n">
        <f aca="false">Assumptions!D42</f>
        <v>88</v>
      </c>
      <c r="E7" s="4" t="n">
        <f aca="false">Assumptions!E42</f>
        <v>91</v>
      </c>
      <c r="F7" s="4" t="n">
        <f aca="false">Assumptions!F42</f>
        <v>93</v>
      </c>
      <c r="G7" s="4" t="n">
        <f aca="false">Assumptions!G42</f>
        <v>94</v>
      </c>
      <c r="H7" s="4" t="n">
        <f aca="false">Assumptions!H42</f>
        <v>95</v>
      </c>
      <c r="I7" s="4" t="n">
        <f aca="false">Assumptions!I42</f>
        <v>95</v>
      </c>
      <c r="J7" s="4" t="n">
        <f aca="false">Assumptions!J42</f>
        <v>95</v>
      </c>
      <c r="K7" s="4" t="n">
        <f aca="false">Assumptions!K42</f>
        <v>95</v>
      </c>
      <c r="L7" s="4" t="n">
        <f aca="false">Assumptions!L42</f>
        <v>95</v>
      </c>
    </row>
    <row r="8" customFormat="false" ht="15" hidden="false" customHeight="false" outlineLevel="0" collapsed="false">
      <c r="A8" s="0" t="s">
        <v>44</v>
      </c>
      <c r="C8" s="0" t="n">
        <f aca="false">C6*C7/100</f>
        <v>1785</v>
      </c>
      <c r="D8" s="0" t="n">
        <f aca="false">D6*D7/100</f>
        <v>2206.6</v>
      </c>
      <c r="E8" s="0" t="n">
        <f aca="false">E6*E7/100</f>
        <v>2555.644</v>
      </c>
      <c r="F8" s="0" t="n">
        <f aca="false">F6*F7/100</f>
        <v>2768.52072</v>
      </c>
      <c r="G8" s="0" t="n">
        <f aca="false">G6*G7/100</f>
        <v>2882.2384528</v>
      </c>
      <c r="H8" s="0" t="n">
        <f aca="false">H6*H7/100</f>
        <v>2971.15857528</v>
      </c>
      <c r="I8" s="0" t="n">
        <f aca="false">I6*I7/100</f>
        <v>3000.8701610328</v>
      </c>
      <c r="J8" s="0" t="n">
        <f aca="false">J6*J7/100</f>
        <v>3030.87886264313</v>
      </c>
      <c r="K8" s="0" t="n">
        <f aca="false">K6*K7/100</f>
        <v>3061.18765126956</v>
      </c>
      <c r="L8" s="0" t="n">
        <f aca="false">L6*L7/100</f>
        <v>3091.79952778226</v>
      </c>
    </row>
    <row r="9" customFormat="false" ht="15" hidden="false" customHeight="false" outlineLevel="0" collapsed="false">
      <c r="A9" s="0" t="s">
        <v>98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1785</v>
      </c>
      <c r="D11" s="0" t="n">
        <f aca="false">D8+D10+D24</f>
        <v>2206.6</v>
      </c>
      <c r="E11" s="0" t="n">
        <f aca="false">E8+E10+E24</f>
        <v>2555.644</v>
      </c>
      <c r="F11" s="0" t="n">
        <f aca="false">F8+F10+F24</f>
        <v>2768.52072</v>
      </c>
      <c r="G11" s="0" t="n">
        <f aca="false">G8+G10+G24</f>
        <v>2882.2384528</v>
      </c>
      <c r="H11" s="0" t="n">
        <f aca="false">H8+H10+H24</f>
        <v>2971.15857528</v>
      </c>
      <c r="I11" s="0" t="n">
        <f aca="false">I8+I10+I24</f>
        <v>3000.8701610328</v>
      </c>
      <c r="J11" s="0" t="n">
        <f aca="false">J8+J10+J24</f>
        <v>3030.87886264313</v>
      </c>
      <c r="K11" s="0" t="n">
        <f aca="false">K8+K10+K24</f>
        <v>3061.18765126956</v>
      </c>
      <c r="L11" s="0" t="n">
        <f aca="false">L8+L10+L24</f>
        <v>3091.79952778226</v>
      </c>
    </row>
    <row r="12" customFormat="false" ht="15" hidden="false" customHeight="false" outlineLevel="0" collapsed="false">
      <c r="A12" s="0" t="s">
        <v>115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116</v>
      </c>
      <c r="C13" s="0" t="n">
        <f aca="false">C11+C12</f>
        <v>1785</v>
      </c>
      <c r="D13" s="0" t="n">
        <f aca="false">D11+D12</f>
        <v>2206.6</v>
      </c>
      <c r="E13" s="0" t="n">
        <f aca="false">E11+E12</f>
        <v>2555.644</v>
      </c>
      <c r="F13" s="0" t="n">
        <f aca="false">F11+F12</f>
        <v>2768.52072</v>
      </c>
      <c r="G13" s="0" t="n">
        <f aca="false">G11+G12</f>
        <v>2882.2384528</v>
      </c>
      <c r="H13" s="0" t="n">
        <f aca="false">H11+H12</f>
        <v>2971.15857528</v>
      </c>
      <c r="I13" s="0" t="n">
        <f aca="false">I11+I12</f>
        <v>3000.8701610328</v>
      </c>
      <c r="J13" s="0" t="n">
        <f aca="false">J11+J12</f>
        <v>3030.87886264313</v>
      </c>
      <c r="K13" s="0" t="n">
        <f aca="false">K11+K12</f>
        <v>3061.18765126956</v>
      </c>
      <c r="L13" s="0" t="n">
        <f aca="false">L11+L12</f>
        <v>3091.79952778226</v>
      </c>
    </row>
    <row r="14" customFormat="false" ht="15" hidden="false" customHeight="false" outlineLevel="0" collapsed="false">
      <c r="A14" s="0" t="s">
        <v>102</v>
      </c>
      <c r="C14" s="4" t="n">
        <f aca="false">Assumptions!C47</f>
        <v>5</v>
      </c>
      <c r="D14" s="4" t="n">
        <f aca="false">Assumptions!D47</f>
        <v>5</v>
      </c>
      <c r="E14" s="4" t="n">
        <f aca="false">Assumptions!E47</f>
        <v>5</v>
      </c>
      <c r="F14" s="4" t="n">
        <f aca="false">Assumptions!F47</f>
        <v>5</v>
      </c>
      <c r="G14" s="4" t="n">
        <f aca="false">Assumptions!G47</f>
        <v>5</v>
      </c>
      <c r="H14" s="4" t="n">
        <f aca="false">Assumptions!H47</f>
        <v>5</v>
      </c>
      <c r="I14" s="4" t="n">
        <f aca="false">Assumptions!I47</f>
        <v>5</v>
      </c>
      <c r="J14" s="4" t="n">
        <f aca="false">Assumptions!J47</f>
        <v>5</v>
      </c>
      <c r="K14" s="4" t="n">
        <f aca="false">Assumptions!K47</f>
        <v>5</v>
      </c>
      <c r="L14" s="4" t="n">
        <f aca="false">Assumptions!L47</f>
        <v>5</v>
      </c>
    </row>
    <row r="15" customFormat="false" ht="15" hidden="false" customHeight="false" outlineLevel="0" collapsed="false">
      <c r="A15" s="0" t="s">
        <v>117</v>
      </c>
      <c r="C15" s="0" t="n">
        <f aca="false">C13-MAX(0,C13)*C14/100</f>
        <v>1695.75</v>
      </c>
      <c r="D15" s="0" t="n">
        <f aca="false">D13-MAX(0,D13)*D14/100</f>
        <v>2096.27</v>
      </c>
      <c r="E15" s="0" t="n">
        <f aca="false">E13-MAX(0,E13)*E14/100</f>
        <v>2427.8618</v>
      </c>
      <c r="F15" s="0" t="n">
        <f aca="false">F13-MAX(0,F13)*F14/100</f>
        <v>2630.094684</v>
      </c>
      <c r="G15" s="0" t="n">
        <f aca="false">G13-MAX(0,G13)*G14/100</f>
        <v>2738.12653016</v>
      </c>
      <c r="H15" s="0" t="n">
        <f aca="false">H13-MAX(0,H13)*H14/100</f>
        <v>2822.600646516</v>
      </c>
      <c r="I15" s="0" t="n">
        <f aca="false">I13-MAX(0,I13)*I14/100</f>
        <v>2850.82665298116</v>
      </c>
      <c r="J15" s="0" t="n">
        <f aca="false">J13-MAX(0,J13)*J14/100</f>
        <v>2879.33491951097</v>
      </c>
      <c r="K15" s="0" t="n">
        <f aca="false">K13-MAX(0,K13)*K14/100</f>
        <v>2908.12826870608</v>
      </c>
      <c r="L15" s="0" t="n">
        <f aca="false">L13-MAX(0,L13)*L14/100</f>
        <v>2937.20955139314</v>
      </c>
    </row>
    <row r="16" customFormat="false" ht="15" hidden="false" customHeight="false" outlineLevel="0" collapsed="false">
      <c r="A16" s="0" t="s">
        <v>118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119</v>
      </c>
      <c r="C17" s="4" t="n">
        <f aca="false">-C6*Assumptions!C46/100</f>
        <v>-0</v>
      </c>
      <c r="D17" s="4" t="n">
        <f aca="false">-D6*Assumptions!D46/100</f>
        <v>-0</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120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121</v>
      </c>
      <c r="C19" s="0" t="n">
        <f aca="false">C15+C16+C17+C18</f>
        <v>1695.75</v>
      </c>
      <c r="D19" s="0" t="n">
        <f aca="false">D15+D16+D17+D18</f>
        <v>2096.27</v>
      </c>
      <c r="E19" s="0" t="n">
        <f aca="false">E15+E16+E17+E18</f>
        <v>2427.8618</v>
      </c>
      <c r="F19" s="0" t="n">
        <f aca="false">F15+F16+F17+F18</f>
        <v>2630.094684</v>
      </c>
      <c r="G19" s="0" t="n">
        <f aca="false">G15+G16+G17+G18</f>
        <v>2738.12653016</v>
      </c>
      <c r="H19" s="0" t="n">
        <f aca="false">H15+H16+H17+H18</f>
        <v>2822.600646516</v>
      </c>
      <c r="I19" s="0" t="n">
        <f aca="false">I15+I16+I17+I18</f>
        <v>2850.82665298116</v>
      </c>
      <c r="J19" s="0" t="n">
        <f aca="false">J15+J16+J17+J18</f>
        <v>2879.33491951097</v>
      </c>
      <c r="K19" s="0" t="n">
        <f aca="false">K15+K16+K17+K18</f>
        <v>2908.12826870608</v>
      </c>
      <c r="L19" s="0" t="n">
        <f aca="false">L15+L16+L17+L18</f>
        <v>2937.20955139314</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1541.59090909091</v>
      </c>
      <c r="D21" s="0" t="n">
        <f aca="false">D19*D20</f>
        <v>1732.45454545455</v>
      </c>
      <c r="E21" s="0" t="n">
        <f aca="false">E19*E20</f>
        <v>1824.08850488355</v>
      </c>
      <c r="F21" s="0" t="n">
        <f aca="false">F19*F20</f>
        <v>1796.39005805614</v>
      </c>
      <c r="G21" s="0" t="n">
        <f aca="false">G19*G20</f>
        <v>1700.16114781032</v>
      </c>
      <c r="H21" s="0" t="n">
        <f aca="false">H19*H20</f>
        <v>1593.28447991122</v>
      </c>
      <c r="I21" s="0" t="n">
        <f aca="false">I19*I20</f>
        <v>1462.92484064576</v>
      </c>
      <c r="J21" s="0" t="n">
        <f aca="false">J19*J20</f>
        <v>1343.23099004747</v>
      </c>
      <c r="K21" s="0" t="n">
        <f aca="false">K19*K20</f>
        <v>1233.33027267995</v>
      </c>
      <c r="L21" s="0" t="n">
        <f aca="false">L19*L20</f>
        <v>1132.42143218795</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10</v>
      </c>
    </row>
    <row r="28" customFormat="false" ht="15" hidden="false" customHeight="false" outlineLevel="0" collapsed="false">
      <c r="A28" s="0" t="s">
        <v>104</v>
      </c>
      <c r="B28" s="4" t="n">
        <f aca="false">Assumptions!$B$49</f>
        <v>1</v>
      </c>
    </row>
    <row r="29" customFormat="false" ht="15" hidden="false" customHeight="false" outlineLevel="0" collapsed="false">
      <c r="A29" s="0" t="s">
        <v>105</v>
      </c>
      <c r="B29" s="4" t="n">
        <f aca="false">Assumptions!$B$50</f>
        <v>8</v>
      </c>
    </row>
    <row r="30" customFormat="false" ht="15" hidden="false" customHeight="false" outlineLevel="0" collapsed="false">
      <c r="A30" s="0" t="s">
        <v>126</v>
      </c>
      <c r="B30" s="0" t="n">
        <f aca="false">SUM(C21:L21)</f>
        <v>15359.8771807678</v>
      </c>
    </row>
    <row r="31" customFormat="false" ht="15" hidden="false" customHeight="false" outlineLevel="0" collapsed="false">
      <c r="A31" s="0" t="s">
        <v>127</v>
      </c>
      <c r="B31" s="0" t="n">
        <f aca="false">L19</f>
        <v>2937.20955139314</v>
      </c>
    </row>
    <row r="32" customFormat="false" ht="15" hidden="false" customHeight="false" outlineLevel="0" collapsed="false">
      <c r="A32" s="0" t="s">
        <v>128</v>
      </c>
      <c r="B32" s="0" t="n">
        <f aca="false">IF(B27&gt;B28,B31*(1+B28/100)/((B27-B28)/100),B31*B29)</f>
        <v>32962.0182989675</v>
      </c>
    </row>
    <row r="33" customFormat="false" ht="15" hidden="false" customHeight="false" outlineLevel="0" collapsed="false">
      <c r="A33" s="0" t="s">
        <v>129</v>
      </c>
      <c r="B33" s="0" t="n">
        <f aca="false">B31*B29</f>
        <v>23497.6764111451</v>
      </c>
    </row>
    <row r="34" customFormat="false" ht="15" hidden="false" customHeight="false" outlineLevel="0" collapsed="false">
      <c r="A34" s="0" t="s">
        <v>130</v>
      </c>
      <c r="B34" s="0" t="n">
        <f aca="false">MAX(0,MIN(B32,B33))</f>
        <v>23497.6764111451</v>
      </c>
    </row>
    <row r="35" customFormat="false" ht="15" hidden="false" customHeight="false" outlineLevel="0" collapsed="false">
      <c r="A35" s="0" t="s">
        <v>131</v>
      </c>
      <c r="B35" s="0" t="n">
        <f aca="false">B34/(1+B27/100)^L4</f>
        <v>9059.3714575036</v>
      </c>
    </row>
    <row r="36" customFormat="false" ht="15" hidden="false" customHeight="false" outlineLevel="0" collapsed="false">
      <c r="A36" s="0" t="s">
        <v>132</v>
      </c>
      <c r="B36" s="0" t="n">
        <f aca="false">B30+B35</f>
        <v>24419.2486382714</v>
      </c>
    </row>
    <row r="37" customFormat="false" ht="15" hidden="false" customHeight="false" outlineLevel="0" collapsed="false">
      <c r="A37" s="0" t="s">
        <v>133</v>
      </c>
      <c r="B37" s="0" t="n">
        <f aca="false">B36+Assumptions!$B$5-Assumptions!$B$4</f>
        <v>27331.4486382714</v>
      </c>
    </row>
    <row r="38" customFormat="false" ht="15" hidden="false" customHeight="false" outlineLevel="0" collapsed="false">
      <c r="A38" s="0" t="s">
        <v>134</v>
      </c>
      <c r="B38" s="0" t="n">
        <f aca="false">B37/Assumptions!$B$3*Assumptions!$B$10</f>
        <v>6.3533414392024</v>
      </c>
    </row>
    <row r="39" customFormat="false" ht="15" hidden="false" customHeight="false" outlineLevel="0" collapsed="false">
      <c r="A39" s="0" t="s">
        <v>135</v>
      </c>
      <c r="B39" s="4" t="n">
        <f aca="false">B38/Assumptions!$B$2-1</f>
        <v>2.52963413289022</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6.3533414392024</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21189.8689064791</v>
      </c>
    </row>
    <row r="47" customFormat="false" ht="15" hidden="false" customHeight="false" outlineLevel="0" collapsed="false">
      <c r="A47" s="0" t="s">
        <v>140</v>
      </c>
      <c r="B47" s="0" t="n">
        <f aca="false">(SUMPRODUCT(C19:L19/(1+B45/100)^C4:L4)+B46/(1+B45/100)^L4+Assumptions!$B$5-Assumptions!$B$4)/Assumptions!$B$3*Assumptions!$B$10</f>
        <v>4.75536199062276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2.04467595021477</v>
      </c>
      <c r="C4" s="0" t="n">
        <f aca="false">B4/Assumptions!$B$2-1</f>
        <v>0.13593108345265</v>
      </c>
      <c r="D4" s="4" t="n">
        <f aca="false">Assumptions!$B$24</f>
        <v>0.35</v>
      </c>
      <c r="E4" s="4" t="n">
        <f aca="false">DCF_Bear!$B$43</f>
        <v>2.04467595021477</v>
      </c>
      <c r="F4" s="4" t="n">
        <f aca="false">DCF_Bear!$B$47</f>
        <v>1.75553338116733</v>
      </c>
    </row>
    <row r="5" customFormat="false" ht="15" hidden="false" customHeight="false" outlineLevel="0" collapsed="false">
      <c r="A5" s="0" t="s">
        <v>149</v>
      </c>
      <c r="B5" s="4" t="n">
        <f aca="false">DCF_Base!$B$38</f>
        <v>4.53909631191344</v>
      </c>
      <c r="C5" s="0" t="n">
        <f aca="false">B5/Assumptions!$B$2-1</f>
        <v>1.52172017328524</v>
      </c>
      <c r="D5" s="4" t="n">
        <f aca="false">Assumptions!$B$38</f>
        <v>0.45</v>
      </c>
      <c r="E5" s="4" t="n">
        <f aca="false">DCF_Base!$B$43</f>
        <v>4.53909631191344</v>
      </c>
      <c r="F5" s="4" t="n">
        <f aca="false">DCF_Base!$B$47</f>
        <v>3.55971490451821</v>
      </c>
    </row>
    <row r="6" customFormat="false" ht="15" hidden="false" customHeight="false" outlineLevel="0" collapsed="false">
      <c r="A6" s="0" t="s">
        <v>150</v>
      </c>
      <c r="B6" s="4" t="n">
        <f aca="false">DCF_Bull!$B$38</f>
        <v>6.3533414392024</v>
      </c>
      <c r="C6" s="0" t="n">
        <f aca="false">B6/Assumptions!$B$2-1</f>
        <v>2.52963413289022</v>
      </c>
      <c r="D6" s="4" t="n">
        <f aca="false">Assumptions!$B$52</f>
        <v>0.2</v>
      </c>
      <c r="E6" s="4" t="n">
        <f aca="false">DCF_Bull!$B$43</f>
        <v>6.3533414392024</v>
      </c>
      <c r="F6" s="4" t="n">
        <f aca="false">DCF_Bull!$B$47</f>
        <v>4.75536199062276</v>
      </c>
    </row>
    <row r="8" customFormat="false" ht="15" hidden="false" customHeight="false" outlineLevel="0" collapsed="false">
      <c r="A8" s="0" t="s">
        <v>151</v>
      </c>
      <c r="B8" s="0" t="n">
        <f aca="false">SUMPRODUCT(B4:B6,D4:D6)</f>
        <v>4.0288982107767</v>
      </c>
    </row>
    <row r="9" customFormat="false" ht="15" hidden="false" customHeight="false" outlineLevel="0" collapsed="false">
      <c r="A9" s="0" t="s">
        <v>152</v>
      </c>
      <c r="B9" s="0" t="n">
        <f aca="false">SUMPRODUCT(E4:E6,D4:D6)</f>
        <v>4.0288982107767</v>
      </c>
    </row>
    <row r="10" customFormat="false" ht="15" hidden="false" customHeight="false" outlineLevel="0" collapsed="false">
      <c r="A10" s="0" t="s">
        <v>153</v>
      </c>
      <c r="B10" s="0" t="n">
        <f aca="false">1-Assumptions!$B$2/B8</f>
        <v>0.553227729808296</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3.16738078856631</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4.7783711907627</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4.53909631191344</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4.31897446649</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4.11621371120754</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3.55971490451821</v>
      </c>
      <c r="C19" s="3" t="n">
        <v>15</v>
      </c>
    </row>
    <row r="21" customFormat="false" ht="15" hidden="false" customHeight="false" outlineLevel="0" collapsed="false">
      <c r="A21" s="2" t="s">
        <v>163</v>
      </c>
    </row>
    <row r="22" customFormat="false" ht="15" hidden="false" customHeight="false" outlineLevel="0" collapsed="false">
      <c r="B22" s="3" t="n">
        <v>-1</v>
      </c>
      <c r="C22" s="3" t="n">
        <v>-0.5</v>
      </c>
      <c r="D22" s="3" t="n">
        <v>0</v>
      </c>
      <c r="E22" s="3" t="n">
        <v>0.5</v>
      </c>
      <c r="F22" s="3" t="n">
        <v>1</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5.03880170312035</v>
      </c>
      <c r="C23" s="0" t="n">
        <f aca="false">(SUMPRODUCT(DCF_Base!$C$19:$L$19/(1+$A$23/100)^DCF_Base!$C$4:$L$4)+MAX(0,MIN(IF($A$23&gt;$C$22,DCF_Base!$L$19*(1+$C$22/100)/(($A$23-$C$22)/100),DCF_Base!$L$19*DCF_Base!$B$29),DCF_Base!$L$19*DCF_Base!$B$29))/(1+$A$23/100)^DCF_Base!$L$4+Assumptions!$B$5-Assumptions!$B$4)/Assumptions!$B$3*Assumptions!$B$10</f>
        <v>5.03880170312035</v>
      </c>
      <c r="D23" s="0" t="n">
        <f aca="false">(SUMPRODUCT(DCF_Base!$C$19:$L$19/(1+$A$23/100)^DCF_Base!$C$4:$L$4)+MAX(0,MIN(IF($A$23&gt;$D$22,DCF_Base!$L$19*(1+$D$22/100)/(($A$23-$D$22)/100),DCF_Base!$L$19*DCF_Base!$B$29),DCF_Base!$L$19*DCF_Base!$B$29))/(1+$A$23/100)^DCF_Base!$L$4+Assumptions!$B$5-Assumptions!$B$4)/Assumptions!$B$3*Assumptions!$B$10</f>
        <v>5.03880170312035</v>
      </c>
      <c r="E23" s="0" t="n">
        <f aca="false">(SUMPRODUCT(DCF_Base!$C$19:$L$19/(1+$A$23/100)^DCF_Base!$C$4:$L$4)+MAX(0,MIN(IF($A$23&gt;$E$22,DCF_Base!$L$19*(1+$E$22/100)/(($A$23-$E$22)/100),DCF_Base!$L$19*DCF_Base!$B$29),DCF_Base!$L$19*DCF_Base!$B$29))/(1+$A$23/100)^DCF_Base!$L$4+Assumptions!$B$5-Assumptions!$B$4)/Assumptions!$B$3*Assumptions!$B$10</f>
        <v>5.03880170312035</v>
      </c>
      <c r="F23" s="0" t="n">
        <f aca="false">(SUMPRODUCT(DCF_Base!$C$19:$L$19/(1+$A$23/100)^DCF_Base!$C$4:$L$4)+MAX(0,MIN(IF($A$23&gt;$F$22,DCF_Base!$L$19*(1+$F$22/100)/(($A$23-$F$22)/100),DCF_Base!$L$19*DCF_Base!$B$29),DCF_Base!$L$19*DCF_Base!$B$29))/(1+$A$23/100)^DCF_Base!$L$4+Assumptions!$B$5-Assumptions!$B$4)/Assumptions!$B$3*Assumptions!$B$10</f>
        <v>5.03880170312035</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4.7783711907627</v>
      </c>
      <c r="C24" s="0" t="n">
        <f aca="false">(SUMPRODUCT(DCF_Base!$C$19:$L$19/(1+$A$24/100)^DCF_Base!$C$4:$L$4)+MAX(0,MIN(IF($A$24&gt;$C$22,DCF_Base!$L$19*(1+$C$22/100)/(($A$24-$C$22)/100),DCF_Base!$L$19*DCF_Base!$B$29),DCF_Base!$L$19*DCF_Base!$B$29))/(1+$A$24/100)^DCF_Base!$L$4+Assumptions!$B$5-Assumptions!$B$4)/Assumptions!$B$3*Assumptions!$B$10</f>
        <v>4.7783711907627</v>
      </c>
      <c r="D24" s="0" t="n">
        <f aca="false">(SUMPRODUCT(DCF_Base!$C$19:$L$19/(1+$A$24/100)^DCF_Base!$C$4:$L$4)+MAX(0,MIN(IF($A$24&gt;$D$22,DCF_Base!$L$19*(1+$D$22/100)/(($A$24-$D$22)/100),DCF_Base!$L$19*DCF_Base!$B$29),DCF_Base!$L$19*DCF_Base!$B$29))/(1+$A$24/100)^DCF_Base!$L$4+Assumptions!$B$5-Assumptions!$B$4)/Assumptions!$B$3*Assumptions!$B$10</f>
        <v>4.7783711907627</v>
      </c>
      <c r="E24" s="0" t="n">
        <f aca="false">(SUMPRODUCT(DCF_Base!$C$19:$L$19/(1+$A$24/100)^DCF_Base!$C$4:$L$4)+MAX(0,MIN(IF($A$24&gt;$E$22,DCF_Base!$L$19*(1+$E$22/100)/(($A$24-$E$22)/100),DCF_Base!$L$19*DCF_Base!$B$29),DCF_Base!$L$19*DCF_Base!$B$29))/(1+$A$24/100)^DCF_Base!$L$4+Assumptions!$B$5-Assumptions!$B$4)/Assumptions!$B$3*Assumptions!$B$10</f>
        <v>4.7783711907627</v>
      </c>
      <c r="F24" s="0" t="n">
        <f aca="false">(SUMPRODUCT(DCF_Base!$C$19:$L$19/(1+$A$24/100)^DCF_Base!$C$4:$L$4)+MAX(0,MIN(IF($A$24&gt;$F$22,DCF_Base!$L$19*(1+$F$22/100)/(($A$24-$F$22)/100),DCF_Base!$L$19*DCF_Base!$B$29),DCF_Base!$L$19*DCF_Base!$B$29))/(1+$A$24/100)^DCF_Base!$L$4+Assumptions!$B$5-Assumptions!$B$4)/Assumptions!$B$3*Assumptions!$B$10</f>
        <v>4.7783711907627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4.53909631191344</v>
      </c>
      <c r="C25" s="0" t="n">
        <f aca="false">(SUMPRODUCT(DCF_Base!$C$19:$L$19/(1+$A$25/100)^DCF_Base!$C$4:$L$4)+MAX(0,MIN(IF($A$25&gt;$C$22,DCF_Base!$L$19*(1+$C$22/100)/(($A$25-$C$22)/100),DCF_Base!$L$19*DCF_Base!$B$29),DCF_Base!$L$19*DCF_Base!$B$29))/(1+$A$25/100)^DCF_Base!$L$4+Assumptions!$B$5-Assumptions!$B$4)/Assumptions!$B$3*Assumptions!$B$10</f>
        <v>4.53909631191344</v>
      </c>
      <c r="D25" s="0" t="n">
        <f aca="false">(SUMPRODUCT(DCF_Base!$C$19:$L$19/(1+$A$25/100)^DCF_Base!$C$4:$L$4)+MAX(0,MIN(IF($A$25&gt;$D$22,DCF_Base!$L$19*(1+$D$22/100)/(($A$25-$D$22)/100),DCF_Base!$L$19*DCF_Base!$B$29),DCF_Base!$L$19*DCF_Base!$B$29))/(1+$A$25/100)^DCF_Base!$L$4+Assumptions!$B$5-Assumptions!$B$4)/Assumptions!$B$3*Assumptions!$B$10</f>
        <v>4.53909631191344</v>
      </c>
      <c r="E25" s="0" t="n">
        <f aca="false">(SUMPRODUCT(DCF_Base!$C$19:$L$19/(1+$A$25/100)^DCF_Base!$C$4:$L$4)+MAX(0,MIN(IF($A$25&gt;$E$22,DCF_Base!$L$19*(1+$E$22/100)/(($A$25-$E$22)/100),DCF_Base!$L$19*DCF_Base!$B$29),DCF_Base!$L$19*DCF_Base!$B$29))/(1+$A$25/100)^DCF_Base!$L$4+Assumptions!$B$5-Assumptions!$B$4)/Assumptions!$B$3*Assumptions!$B$10</f>
        <v>4.53909631191344</v>
      </c>
      <c r="F25" s="0" t="n">
        <f aca="false">(SUMPRODUCT(DCF_Base!$C$19:$L$19/(1+$A$25/100)^DCF_Base!$C$4:$L$4)+MAX(0,MIN(IF($A$25&gt;$F$22,DCF_Base!$L$19*(1+$F$22/100)/(($A$25-$F$22)/100),DCF_Base!$L$19*DCF_Base!$B$29),DCF_Base!$L$19*DCF_Base!$B$29))/(1+$A$25/100)^DCF_Base!$L$4+Assumptions!$B$5-Assumptions!$B$4)/Assumptions!$B$3*Assumptions!$B$10</f>
        <v>4.53909631191344</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4.31897446649</v>
      </c>
      <c r="C26" s="0" t="n">
        <f aca="false">(SUMPRODUCT(DCF_Base!$C$19:$L$19/(1+$A$26/100)^DCF_Base!$C$4:$L$4)+MAX(0,MIN(IF($A$26&gt;$C$22,DCF_Base!$L$19*(1+$C$22/100)/(($A$26-$C$22)/100),DCF_Base!$L$19*DCF_Base!$B$29),DCF_Base!$L$19*DCF_Base!$B$29))/(1+$A$26/100)^DCF_Base!$L$4+Assumptions!$B$5-Assumptions!$B$4)/Assumptions!$B$3*Assumptions!$B$10</f>
        <v>4.31897446649</v>
      </c>
      <c r="D26" s="0" t="n">
        <f aca="false">(SUMPRODUCT(DCF_Base!$C$19:$L$19/(1+$A$26/100)^DCF_Base!$C$4:$L$4)+MAX(0,MIN(IF($A$26&gt;$D$22,DCF_Base!$L$19*(1+$D$22/100)/(($A$26-$D$22)/100),DCF_Base!$L$19*DCF_Base!$B$29),DCF_Base!$L$19*DCF_Base!$B$29))/(1+$A$26/100)^DCF_Base!$L$4+Assumptions!$B$5-Assumptions!$B$4)/Assumptions!$B$3*Assumptions!$B$10</f>
        <v>4.31897446649</v>
      </c>
      <c r="E26" s="0" t="n">
        <f aca="false">(SUMPRODUCT(DCF_Base!$C$19:$L$19/(1+$A$26/100)^DCF_Base!$C$4:$L$4)+MAX(0,MIN(IF($A$26&gt;$E$22,DCF_Base!$L$19*(1+$E$22/100)/(($A$26-$E$22)/100),DCF_Base!$L$19*DCF_Base!$B$29),DCF_Base!$L$19*DCF_Base!$B$29))/(1+$A$26/100)^DCF_Base!$L$4+Assumptions!$B$5-Assumptions!$B$4)/Assumptions!$B$3*Assumptions!$B$10</f>
        <v>4.31897446649</v>
      </c>
      <c r="F26" s="0" t="n">
        <f aca="false">(SUMPRODUCT(DCF_Base!$C$19:$L$19/(1+$A$26/100)^DCF_Base!$C$4:$L$4)+MAX(0,MIN(IF($A$26&gt;$F$22,DCF_Base!$L$19*(1+$F$22/100)/(($A$26-$F$22)/100),DCF_Base!$L$19*DCF_Base!$B$29),DCF_Base!$L$19*DCF_Base!$B$29))/(1+$A$26/100)^DCF_Base!$L$4+Assumptions!$B$5-Assumptions!$B$4)/Assumptions!$B$3*Assumptions!$B$10</f>
        <v>4.31897446649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4.11621371120754</v>
      </c>
      <c r="C27" s="0" t="n">
        <f aca="false">(SUMPRODUCT(DCF_Base!$C$19:$L$19/(1+$A$27/100)^DCF_Base!$C$4:$L$4)+MAX(0,MIN(IF($A$27&gt;$C$22,DCF_Base!$L$19*(1+$C$22/100)/(($A$27-$C$22)/100),DCF_Base!$L$19*DCF_Base!$B$29),DCF_Base!$L$19*DCF_Base!$B$29))/(1+$A$27/100)^DCF_Base!$L$4+Assumptions!$B$5-Assumptions!$B$4)/Assumptions!$B$3*Assumptions!$B$10</f>
        <v>4.11621371120754</v>
      </c>
      <c r="D27" s="0" t="n">
        <f aca="false">(SUMPRODUCT(DCF_Base!$C$19:$L$19/(1+$A$27/100)^DCF_Base!$C$4:$L$4)+MAX(0,MIN(IF($A$27&gt;$D$22,DCF_Base!$L$19*(1+$D$22/100)/(($A$27-$D$22)/100),DCF_Base!$L$19*DCF_Base!$B$29),DCF_Base!$L$19*DCF_Base!$B$29))/(1+$A$27/100)^DCF_Base!$L$4+Assumptions!$B$5-Assumptions!$B$4)/Assumptions!$B$3*Assumptions!$B$10</f>
        <v>4.11621371120754</v>
      </c>
      <c r="E27" s="0" t="n">
        <f aca="false">(SUMPRODUCT(DCF_Base!$C$19:$L$19/(1+$A$27/100)^DCF_Base!$C$4:$L$4)+MAX(0,MIN(IF($A$27&gt;$E$22,DCF_Base!$L$19*(1+$E$22/100)/(($A$27-$E$22)/100),DCF_Base!$L$19*DCF_Base!$B$29),DCF_Base!$L$19*DCF_Base!$B$29))/(1+$A$27/100)^DCF_Base!$L$4+Assumptions!$B$5-Assumptions!$B$4)/Assumptions!$B$3*Assumptions!$B$10</f>
        <v>4.11621371120754</v>
      </c>
      <c r="F27" s="0" t="n">
        <f aca="false">(SUMPRODUCT(DCF_Base!$C$19:$L$19/(1+$A$27/100)^DCF_Base!$C$4:$L$4)+MAX(0,MIN(IF($A$27&gt;$F$22,DCF_Base!$L$19*(1+$F$22/100)/(($A$27-$F$22)/100),DCF_Base!$L$19*DCF_Base!$B$29),DCF_Base!$L$19*DCF_Base!$B$29))/(1+$A$27/100)^DCF_Base!$L$4+Assumptions!$B$5-Assumptions!$B$4)/Assumptions!$B$3*Assumptions!$B$10</f>
        <v>4.11621371120754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2026-10-16T04:07:34Z</dcterms:created>
  <dc:creator>openpyxl</dc:creator>
  <dc:description/>
  <dc:language>en-NZ</dc:language>
  <cp:lastModifiedBy/>
  <dcterms:modified xsi:type="dcterms:W3CDTF">2026-10-16T04:07:34Z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