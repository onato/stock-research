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0"/>
    <numFmt numFmtId="167" formatCode="0.0x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5" fontId="2" fillId="2" borderId="0" pivotButton="0" quotePrefix="0" xfId="0"/>
    <xf numFmtId="3" fontId="2" fillId="2" borderId="0" pivotButton="0" quotePrefix="0" xfId="0"/>
    <xf numFmtId="164" fontId="2" fillId="2" borderId="0" pivotButton="0" quotePrefix="0" xfId="0"/>
    <xf numFmtId="2" fontId="2" fillId="2" borderId="0" pivotButton="0" quotePrefix="0" xfId="0"/>
    <xf numFmtId="1" fontId="2" fillId="2" borderId="0" pivotButton="0" quotePrefix="0" xfId="0"/>
    <xf numFmtId="165" fontId="0" fillId="0" borderId="0" pivotButton="0" quotePrefix="0" xfId="0"/>
    <xf numFmtId="10" fontId="2" fillId="2" borderId="0" pivotButton="0" quotePrefix="0" xfId="0"/>
    <xf numFmtId="3" fontId="2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65" fontId="3" fillId="0" borderId="0" pivotButton="0" quotePrefix="0" xfId="0"/>
    <xf numFmtId="167" fontId="0" fillId="0" borderId="0" pivotButton="0" quotePrefix="0" xfId="0"/>
    <xf numFmtId="164" fontId="3" fillId="0" borderId="0" pivotButton="0" quotePrefix="0" xfId="0"/>
    <xf numFmtId="2" fontId="1" fillId="3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3" fillId="0" borderId="0" pivotButton="0" quotePrefix="0" xfId="0"/>
    <xf numFmtId="165" fontId="2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APA Group (APA.AX) owner-FCF component DCF</t>
        </is>
      </c>
    </row>
    <row r="2">
      <c r="A2" t="inlineStr">
        <is>
          <t>Version 1.0, 2026-09-21. First valuation of this ticker; supersedes nothing.</t>
        </is>
      </c>
    </row>
    <row r="3">
      <c r="A3" t="inlineStr">
        <is>
          <t>Built by the dcf-analyst agent (Claude Fable 5.1) on 2026-09-21 at the research-stock orchestrator's request.</t>
        </is>
      </c>
    </row>
    <row r="4">
      <c r="A4" t="inlineStr"/>
    </row>
    <row r="5">
      <c r="A5" s="1" t="inlineStr">
        <is>
          <t>DATA VINTAGE (all figures go stale -- refresh after the next print)</t>
        </is>
      </c>
    </row>
    <row r="6">
      <c r="A6" t="inlineStr">
        <is>
          <t>Price: A$10.87, Yahoo Finance APA.AX regular close 2026-09-21T06:10:31Z.</t>
        </is>
      </c>
    </row>
    <row r="7">
      <c r="A7" t="inlineStr">
        <is>
          <t>Balance sheet: 30 June 2026 (FY26 Annual Report). Drawn debt 14,230 (face), leases 65, cash 1,636 -&gt; net debt 12,659.</t>
        </is>
      </c>
    </row>
    <row r="8">
      <c r="A8" t="inlineStr">
        <is>
          <t>Share count: 1,323.75m on issue 30-Jun-2026 + ~6m performance rights = 1,330m diluted; held flat (DRP issuance funds capex already in the flows).</t>
        </is>
      </c>
    </row>
    <row r="9">
      <c r="A9" t="inlineStr">
        <is>
          <t>Guidance: FY26 results 20-Aug-2026 -- FY27 Underlying EBITDA $2,260-2,340m, FY27 DPS 59.0c, FY27-29 growth capex pipeline ~$3.5bn.</t>
        </is>
      </c>
    </row>
    <row r="10">
      <c r="A10" t="inlineStr">
        <is>
          <t>History: APA.AX_Metrics.csv (core_metrics), FY2016-FY2026, AUD millions, 30 June year end.</t>
        </is>
      </c>
    </row>
    <row r="11">
      <c r="A11" t="inlineStr"/>
    </row>
    <row r="12">
      <c r="A12" s="1" t="inlineStr">
        <is>
          <t>METHODOLOGY</t>
        </is>
      </c>
    </row>
    <row r="13">
      <c r="A13" t="inlineStr">
        <is>
          <t>Model: unlevered owner-FCF DCF built from components (revenue x EBITDA margin - SBC - D&amp;A -&gt; tax on EBIT -&gt; + D&amp;A - capex + WC), 10-year horizon, end-of-year discounting at a 7.0% AUD WACC.</t>
        </is>
      </c>
    </row>
    <row r="14">
      <c r="A14" t="inlineStr">
        <is>
          <t>Terminal value: MAX(0, MIN(Gordon, 18x terminal FCF)). Cap 18x (house default 20x) because APA is a structurally slow grower; the cap binds in base and bull. The market price sits at the UNCAPPED Gordon value.</t>
        </is>
      </c>
    </row>
    <row r="15">
      <c r="A15" t="inlineStr">
        <is>
          <t>Revenue base is statutory revenue (2,977 incl. ~174 pass-through) so projections tie to the CSV; margins are therefore ~5pp below APA's headline 77.9% which is on revenue ex pass-through.</t>
        </is>
      </c>
    </row>
    <row r="16">
      <c r="A16" t="inlineStr">
        <is>
          <t>EBITDA base: Underlying EBITDA 2,183 less $60m/yr of 'recurring items arising from other activities' APA excludes but which recur every year (FY22-26 avg ~93m).</t>
        </is>
      </c>
    </row>
    <row r="17">
      <c r="A17" t="inlineStr">
        <is>
          <t>Tax: 33% of book EBIT easing to 31% -- above 30% statutory because ~$190m/yr WGP contract-intangible amortisation is non-deductible. Tax is MAX(0,EBIT) x rate.</t>
        </is>
      </c>
    </row>
    <row r="18">
      <c r="A18" t="inlineStr">
        <is>
          <t>D&amp;A % path converges toward the capex % path by year 10 so the terminal tax shield is not larger than the tax cost base supports.</t>
        </is>
      </c>
    </row>
    <row r="19">
      <c r="A19" t="inlineStr">
        <is>
          <t>Leases: treatment A (leases as debt; principal not deducted from flows). NCI: the APA Investment Trust 'NCI' is the other half of the staple, not deducted. Interest income not stripped (net-debt company).</t>
        </is>
      </c>
    </row>
    <row r="20">
      <c r="A20" t="inlineStr">
        <is>
          <t>Net interest expense (653) never appears in the flows -- the debt is deducted once in the bridge. Charging both would double-count.</t>
        </is>
      </c>
    </row>
    <row r="21">
      <c r="A21" t="inlineStr">
        <is>
          <t>Risk charged once: gas-transition, regulatory and execution risk live in the scenario paths and 25/50/25 weights; WACC is identical across scenarios.</t>
        </is>
      </c>
    </row>
    <row r="22">
      <c r="A22" t="inlineStr">
        <is>
          <t>Entry price: 15% hurdle IRR with the terminal value rebuilt at the hurdle rate. NEGATIVE in every scenario -- at 15% the EV is below net debt. That is the finding for a 5.8x-levered utility, not an error.</t>
        </is>
      </c>
    </row>
    <row r="23">
      <c r="A23" t="inlineStr"/>
    </row>
    <row r="24">
      <c r="A24" s="1" t="inlineStr">
        <is>
          <t>DRIVERS -- whose judgment: the dcf-analyst agent's, set 2026-09-21 from FY27 guidance and the Analysis JSON's bull/bear axes. On update, refresh anchors and the FY27 year only; later years stay unless evidence moves them.</t>
        </is>
      </c>
    </row>
    <row r="25">
      <c r="A25" t="inlineStr">
        <is>
          <t>Hardcoded driver rows on each DCF tab: 5 (growth), 7 (EBITDA margin), 9 (SBC %), 14 (tax rate), 45 (D&amp;A %), 46 (capex %). Rows 45-46 are per-year paths (a deviation from the global da%/capex% in the standard row map, needed because D&amp;A converges to capex over the horizon).</t>
        </is>
      </c>
    </row>
    <row r="26">
      <c r="A26" t="inlineStr"/>
    </row>
    <row r="27">
      <c r="A27" t="inlineStr">
        <is>
          <t>REFRESH AFTER NEXT PRINT: price + timestamp; net debt and cash (H1 FY27 balance sheet, Dec-2026); securities on issue (DRP); FY27 guidance if changed; FY27 actual growth capex vs the 31% assumption.</t>
        </is>
      </c>
    </row>
    <row r="28">
      <c r="A28" t="inlineStr"/>
    </row>
    <row r="29">
      <c r="A29" t="inlineStr">
        <is>
          <t>CELL COLOURS: blue = hardcoded input; yellow fill = key lever; black = formula; green = cross-sheet link. Sheet names contain no spaces. No text cell begins with '='.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Reported history, AUD millions (source: APA.AX_Metrics.csv from core_metrics; FY26 AR for capex split, SBC, cash tax)</t>
        </is>
      </c>
    </row>
    <row r="3">
      <c r="A3" s="1" t="inlineStr">
        <is>
          <t>Line</t>
        </is>
      </c>
      <c r="B3" s="1" t="inlineStr">
        <is>
          <t>FY2021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  <c r="G3" s="1" t="inlineStr">
        <is>
          <t>FY2026</t>
        </is>
      </c>
    </row>
    <row r="4">
      <c r="A4" t="inlineStr">
        <is>
          <t>Revenue (statutory, incl. pass-through)</t>
        </is>
      </c>
      <c r="B4" s="2" t="n">
        <v>2605.3</v>
      </c>
      <c r="C4" s="2" t="n">
        <v>2705.04</v>
      </c>
      <c r="D4" s="2" t="n">
        <v>2890</v>
      </c>
      <c r="E4" s="2" t="n">
        <v>3039</v>
      </c>
      <c r="F4" s="2" t="n">
        <v>3179</v>
      </c>
      <c r="G4" s="2" t="n">
        <v>2977</v>
      </c>
    </row>
    <row r="5">
      <c r="A5" t="inlineStr">
        <is>
          <t>Revenue ex pass-through</t>
        </is>
      </c>
      <c r="B5" s="2" t="n">
        <v>2144.5</v>
      </c>
      <c r="C5" s="2" t="n">
        <v>2236.6</v>
      </c>
      <c r="D5" s="2" t="n">
        <v>2401</v>
      </c>
      <c r="E5" s="2" t="n">
        <v>2591</v>
      </c>
      <c r="F5" s="2" t="n">
        <v>2716</v>
      </c>
      <c r="G5" s="2" t="n">
        <v>2803</v>
      </c>
    </row>
    <row r="6">
      <c r="A6" t="inlineStr">
        <is>
          <t>Underlying EBITDA</t>
        </is>
      </c>
      <c r="B6" s="2" t="n">
        <v>1628.8</v>
      </c>
      <c r="C6" s="2" t="n">
        <v>1692.3</v>
      </c>
      <c r="D6" s="2" t="n">
        <v>1725</v>
      </c>
      <c r="E6" s="2" t="n">
        <v>1893</v>
      </c>
      <c r="F6" s="2" t="n">
        <v>2015</v>
      </c>
      <c r="G6" s="2" t="n">
        <v>2183</v>
      </c>
    </row>
    <row r="7">
      <c r="A7" t="inlineStr">
        <is>
          <t>Reported EBITDA</t>
        </is>
      </c>
      <c r="B7" s="2" t="n">
        <v>1638.8</v>
      </c>
      <c r="C7" s="2" t="n">
        <v>1630.2</v>
      </c>
      <c r="D7" s="2" t="n">
        <v>1686</v>
      </c>
      <c r="E7" s="2" t="n">
        <v>1736</v>
      </c>
      <c r="F7" s="2" t="n">
        <v>1894</v>
      </c>
      <c r="G7" s="2" t="n">
        <v>2095</v>
      </c>
    </row>
    <row r="8">
      <c r="A8" t="inlineStr">
        <is>
          <t>D&amp;A</t>
        </is>
      </c>
      <c r="B8" s="2" t="n">
        <v>674.4</v>
      </c>
      <c r="C8" s="2" t="n">
        <v>735.178</v>
      </c>
      <c r="D8" s="2" t="n">
        <v>750</v>
      </c>
      <c r="E8" s="2" t="n">
        <v>919</v>
      </c>
      <c r="F8" s="2" t="n">
        <v>990</v>
      </c>
      <c r="G8" s="2" t="n">
        <v>1042</v>
      </c>
    </row>
    <row r="9">
      <c r="A9" t="inlineStr">
        <is>
          <t>Net interest expense</t>
        </is>
      </c>
      <c r="B9" s="2" t="n">
        <v>483</v>
      </c>
      <c r="C9" s="2" t="n">
        <v>459</v>
      </c>
      <c r="D9" s="2" t="n">
        <v>579</v>
      </c>
      <c r="E9" s="2" t="n">
        <v>657</v>
      </c>
      <c r="F9" s="2" t="n">
        <v>657</v>
      </c>
      <c r="G9" s="2" t="n">
        <v>653</v>
      </c>
    </row>
    <row r="10">
      <c r="A10" t="inlineStr">
        <is>
          <t>Statutory NPAT</t>
        </is>
      </c>
      <c r="B10" s="2" t="n">
        <v>0.7</v>
      </c>
      <c r="C10" s="2" t="n">
        <v>259.7</v>
      </c>
      <c r="D10" s="2" t="n">
        <v>287</v>
      </c>
      <c r="E10" s="2" t="n">
        <v>998</v>
      </c>
      <c r="F10" s="2" t="n">
        <v>129</v>
      </c>
      <c r="G10" s="2" t="n">
        <v>234</v>
      </c>
    </row>
    <row r="11">
      <c r="A11" t="inlineStr">
        <is>
          <t>Operating cash flow</t>
        </is>
      </c>
      <c r="B11" s="2" t="n">
        <v>1050.958</v>
      </c>
      <c r="C11" s="2" t="n">
        <v>1197.268</v>
      </c>
      <c r="D11" s="2" t="n">
        <v>1206</v>
      </c>
      <c r="E11" s="2" t="n">
        <v>1156</v>
      </c>
      <c r="F11" s="2" t="n">
        <v>1284</v>
      </c>
      <c r="G11" s="2" t="n">
        <v>1252</v>
      </c>
    </row>
    <row r="12">
      <c r="A12" t="inlineStr">
        <is>
          <t>Capex (total, PPE + intangibles)</t>
        </is>
      </c>
      <c r="B12" s="2" t="n">
        <v>432.928</v>
      </c>
      <c r="C12" s="2" t="n">
        <v>689.045</v>
      </c>
      <c r="D12" s="2" t="n">
        <v>1180</v>
      </c>
      <c r="E12" s="2" t="n">
        <v>1096</v>
      </c>
      <c r="F12" s="2" t="n">
        <v>964</v>
      </c>
      <c r="G12" s="2" t="n">
        <v>845</v>
      </c>
    </row>
    <row r="13">
      <c r="A13" t="inlineStr">
        <is>
          <t>Company FCF (OCF - SIB capex, post-interest)</t>
        </is>
      </c>
      <c r="B13" s="2" t="n">
        <v>901.9</v>
      </c>
      <c r="C13" s="2" t="n">
        <v>1080.6</v>
      </c>
      <c r="D13" s="2" t="n">
        <v>1070</v>
      </c>
      <c r="E13" s="2" t="n">
        <v>1073</v>
      </c>
      <c r="F13" s="2" t="n">
        <v>1083</v>
      </c>
      <c r="G13" s="2" t="n">
        <v>1118</v>
      </c>
    </row>
    <row r="14">
      <c r="A14" t="inlineStr">
        <is>
          <t>Equity settled LTI (SBC)</t>
        </is>
      </c>
      <c r="B14" s="2" t="n">
        <v>2</v>
      </c>
      <c r="C14" s="2" t="n">
        <v>3</v>
      </c>
      <c r="D14" s="2" t="n">
        <v>3</v>
      </c>
      <c r="E14" s="2" t="n">
        <v>2</v>
      </c>
      <c r="F14" s="2" t="n">
        <v>4</v>
      </c>
      <c r="G14" s="2" t="n">
        <v>4</v>
      </c>
    </row>
    <row r="15">
      <c r="A15" t="inlineStr">
        <is>
          <t>Cash taxes paid</t>
        </is>
      </c>
      <c r="B15" s="2" t="n"/>
      <c r="C15" s="2" t="n">
        <v>42.715</v>
      </c>
      <c r="D15" s="2" t="n">
        <v>22</v>
      </c>
      <c r="E15" s="2" t="n">
        <v>52</v>
      </c>
      <c r="F15" s="2" t="n">
        <v>74</v>
      </c>
      <c r="G15" s="2" t="n">
        <v>158</v>
      </c>
    </row>
    <row r="16">
      <c r="A16" t="inlineStr">
        <is>
          <t>Total debt (carrying)</t>
        </is>
      </c>
      <c r="B16" s="2" t="n">
        <v>9924.038</v>
      </c>
      <c r="C16" s="2" t="n">
        <v>10904.32</v>
      </c>
      <c r="D16" s="2" t="n">
        <v>11523</v>
      </c>
      <c r="E16" s="2" t="n">
        <v>12922</v>
      </c>
      <c r="F16" s="2" t="n">
        <v>13977</v>
      </c>
      <c r="G16" s="2" t="n">
        <v>14087</v>
      </c>
    </row>
    <row r="17">
      <c r="A17" t="inlineStr">
        <is>
          <t>Cash</t>
        </is>
      </c>
      <c r="B17" s="2" t="n">
        <v>652.352</v>
      </c>
      <c r="C17" s="2" t="n">
        <v>940.129</v>
      </c>
      <c r="D17" s="2" t="n">
        <v>513</v>
      </c>
      <c r="E17" s="2" t="n">
        <v>676</v>
      </c>
      <c r="F17" s="2" t="n">
        <v>800</v>
      </c>
      <c r="G17" s="2" t="n">
        <v>1636</v>
      </c>
    </row>
    <row r="18">
      <c r="A18" t="inlineStr">
        <is>
          <t>Shareholders equity</t>
        </is>
      </c>
      <c r="B18" s="2" t="n">
        <v>2950.978</v>
      </c>
      <c r="C18" s="2" t="n">
        <v>2628.445</v>
      </c>
      <c r="D18" s="2" t="n">
        <v>1910</v>
      </c>
      <c r="E18" s="2" t="n">
        <v>3248</v>
      </c>
      <c r="F18" s="2" t="n">
        <v>2668</v>
      </c>
      <c r="G18" s="2" t="n">
        <v>2699</v>
      </c>
    </row>
    <row r="19">
      <c r="A19" t="inlineStr">
        <is>
          <t>Securities (m)</t>
        </is>
      </c>
      <c r="B19" s="2" t="n">
        <v>1179.894</v>
      </c>
      <c r="C19" s="2" t="n">
        <v>1179.894</v>
      </c>
      <c r="D19" s="2" t="n">
        <v>1180</v>
      </c>
      <c r="E19" s="2" t="n">
        <v>1265</v>
      </c>
      <c r="F19" s="2" t="n">
        <v>1295</v>
      </c>
      <c r="G19" s="2" t="n">
        <v>1316</v>
      </c>
    </row>
    <row r="20">
      <c r="A20" t="inlineStr">
        <is>
          <t>DPS (cents)</t>
        </is>
      </c>
      <c r="B20" s="2" t="n">
        <v>51</v>
      </c>
      <c r="C20" s="2" t="n">
        <v>53</v>
      </c>
      <c r="D20" s="2" t="n">
        <v>55</v>
      </c>
      <c r="E20" s="2" t="n">
        <v>56</v>
      </c>
      <c r="F20" s="2" t="n">
        <v>57</v>
      </c>
      <c r="G20" s="2" t="n">
        <v>58</v>
      </c>
    </row>
    <row r="23">
      <c r="A23" s="1" t="inlineStr">
        <is>
          <t>Balance sheet snapshot 30-Jun-2026</t>
        </is>
      </c>
    </row>
    <row r="24">
      <c r="A24" t="inlineStr">
        <is>
          <t>Total drawn debt (face, AR KPI table)</t>
        </is>
      </c>
      <c r="B24" s="3" t="n">
        <v>14230</v>
      </c>
    </row>
    <row r="25">
      <c r="A25" t="inlineStr">
        <is>
          <t>Lease liabilities (note 17)</t>
        </is>
      </c>
      <c r="B25" s="3" t="n">
        <v>65</v>
      </c>
    </row>
    <row r="26">
      <c r="A26" t="inlineStr">
        <is>
          <t>Cash and equivalents</t>
        </is>
      </c>
      <c r="B26" s="3" t="n">
        <v>1636</v>
      </c>
    </row>
    <row r="27">
      <c r="A27" t="inlineStr">
        <is>
          <t>Net debt used in model</t>
        </is>
      </c>
      <c r="B27" s="3" t="n">
        <v>12659</v>
      </c>
    </row>
    <row r="28">
      <c r="A28" t="inlineStr">
        <is>
          <t>Securities on issue 30-Jun-2026 (m)</t>
        </is>
      </c>
      <c r="B28" s="3" t="n">
        <v>1323.751</v>
      </c>
    </row>
    <row r="29">
      <c r="A29" t="inlineStr">
        <is>
          <t>Diluted count used (m)</t>
        </is>
      </c>
      <c r="B29" s="3" t="n">
        <v>1330</v>
      </c>
    </row>
    <row r="30">
      <c r="A30" t="inlineStr">
        <is>
          <t>FY26 capex split: SIB / growth / foundation</t>
        </is>
      </c>
      <c r="B30" s="3" t="inlineStr">
        <is>
          <t>210 / 546 / 89</t>
        </is>
      </c>
    </row>
    <row r="31">
      <c r="A31" t="inlineStr">
        <is>
          <t>FY26 DRP issuance ($m)</t>
        </is>
      </c>
      <c r="B31" s="3" t="n">
        <v>162</v>
      </c>
    </row>
    <row r="32">
      <c r="A32" t="inlineStr">
        <is>
          <t>Buybacks</t>
        </is>
      </c>
      <c r="B32" s="3" t="n">
        <v>0</v>
      </c>
    </row>
    <row r="33">
      <c r="A33" t="inlineStr">
        <is>
          <t>FY27 guidance: Underlying EBITDA ($m)</t>
        </is>
      </c>
      <c r="B33" s="3" t="inlineStr">
        <is>
          <t>2,260 - 2,340</t>
        </is>
      </c>
    </row>
    <row r="34">
      <c r="A34" t="inlineStr">
        <is>
          <t>FY27 guidance: DPS (cents)</t>
        </is>
      </c>
      <c r="B34" s="3" t="n">
        <v>59</v>
      </c>
    </row>
    <row r="35">
      <c r="A35" t="inlineStr">
        <is>
          <t>FY27-29 organic growth capex pipeline ($bn)</t>
        </is>
      </c>
      <c r="B35" s="3" t="n">
        <v>3.5</v>
      </c>
    </row>
    <row r="36">
      <c r="A36" t="inlineStr">
        <is>
          <t>Average interest rate on drawn debt FY26</t>
        </is>
      </c>
      <c r="B36" s="3" t="n">
        <v>0.0532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3" max="3"/>
    <col width="90" customWidth="1" min="4" max="4"/>
  </cols>
  <sheetData>
    <row r="1">
      <c r="A1" s="1" t="inlineStr">
        <is>
          <t>Global assumptions (blue = input, yellow = key lever)</t>
        </is>
      </c>
    </row>
    <row r="4">
      <c r="A4" t="inlineStr">
        <is>
          <t>WACC (AUD-built)</t>
        </is>
      </c>
      <c r="B4" s="4" t="n">
        <v>0.07000000000000001</v>
      </c>
      <c r="C4" t="inlineStr">
        <is>
          <t>rf 4.4% + 0.9 x 5.5% ERP = 9.35% CoE; Kd 5.6% pre-tax; 53/47 E/D at market -&gt; 6.8%, house 7.0%</t>
        </is>
      </c>
    </row>
    <row r="5">
      <c r="A5" t="inlineStr">
        <is>
          <t>Working-capital capture (% of revenue change)</t>
        </is>
      </c>
      <c r="B5" s="4" t="n">
        <v>0</v>
      </c>
      <c r="C5" t="inlineStr">
        <is>
          <t>APA WC movements are small and non-directional</t>
        </is>
      </c>
    </row>
    <row r="6">
      <c r="A6" t="inlineStr">
        <is>
          <t>Net debt (AUD m, 30-Jun-2026)</t>
        </is>
      </c>
      <c r="B6" s="5" t="n">
        <v>12659</v>
      </c>
      <c r="C6" t="inlineStr">
        <is>
          <t>drawn debt 14,230 + leases 65 - cash 1,636</t>
        </is>
      </c>
    </row>
    <row r="7">
      <c r="A7" t="inlineStr">
        <is>
          <t>Diluted securities (m)</t>
        </is>
      </c>
      <c r="B7" s="6" t="n">
        <v>1330</v>
      </c>
      <c r="C7" t="inlineStr">
        <is>
          <t>1,323.75m on issue + ~6m performance rights; held flat</t>
        </is>
      </c>
    </row>
    <row r="8">
      <c r="A8" t="inlineStr">
        <is>
          <t>Price (AUD)</t>
        </is>
      </c>
      <c r="B8" s="7" t="n">
        <v>10.87</v>
      </c>
      <c r="C8" t="inlineStr">
        <is>
          <t>2026-09-21T06:10:31Z regular close (ASX)</t>
        </is>
      </c>
    </row>
    <row r="9">
      <c r="A9" t="inlineStr">
        <is>
          <t>Terminal value cap (x terminal FCF)</t>
        </is>
      </c>
      <c r="B9" s="8" t="n">
        <v>18</v>
      </c>
      <c r="C9" t="inlineStr">
        <is>
          <t>below house 20x for a structurally slow grower; equals ~18.5x the market pays on FY26 pre-growth-capex unlevered FCF</t>
        </is>
      </c>
    </row>
    <row r="10">
      <c r="A10" t="inlineStr">
        <is>
          <t>Hurdle rate for entry price</t>
        </is>
      </c>
      <c r="B10" s="4" t="n">
        <v>0.15</v>
      </c>
      <c r="C10" t="inlineStr">
        <is>
          <t>house standard</t>
        </is>
      </c>
    </row>
    <row r="12">
      <c r="A12" s="1" t="inlineStr">
        <is>
          <t>Scenario</t>
        </is>
      </c>
      <c r="B12" s="1" t="inlineStr">
        <is>
          <t>Terminal growth</t>
        </is>
      </c>
      <c r="C12" s="1" t="inlineStr">
        <is>
          <t>Probability</t>
        </is>
      </c>
      <c r="D12" s="1" t="inlineStr">
        <is>
          <t>Rationale</t>
        </is>
      </c>
    </row>
    <row r="13">
      <c r="A13" t="inlineStr">
        <is>
          <t>bear</t>
        </is>
      </c>
      <c r="B13" s="4" t="n">
        <v>0.01</v>
      </c>
      <c r="C13" s="4" t="n">
        <v>0.25</v>
      </c>
      <c r="D13" t="inlineStr">
        <is>
          <t>25%: leverage 5.8x turns a modest EV miss into a large equity miss; gas-transition and regulatory-reset risk are structural</t>
        </is>
      </c>
    </row>
    <row r="14">
      <c r="A14" t="inlineStr">
        <is>
          <t>base</t>
        </is>
      </c>
      <c r="B14" s="4" t="n">
        <v>0.025</v>
      </c>
      <c r="C14" s="4" t="n">
        <v>0.5</v>
      </c>
      <c r="D14" t="inlineStr">
        <is>
          <t>50%</t>
        </is>
      </c>
    </row>
    <row r="15">
      <c r="A15" t="inlineStr">
        <is>
          <t>bull</t>
        </is>
      </c>
      <c r="B15" s="4" t="n">
        <v>0.03</v>
      </c>
      <c r="C15" s="4" t="n">
        <v>0.25</v>
      </c>
      <c r="D15" t="inlineStr">
        <is>
          <t>25%: needs Beetaloo, ECGG 4-5, GPG and data-centre load all to convert; pipeline historically spent slower than announced</t>
        </is>
      </c>
    </row>
    <row r="16">
      <c r="A16" t="inlineStr">
        <is>
          <t>Weights check (must be 100%)</t>
        </is>
      </c>
      <c r="C16" s="9">
        <f>SUM(C13:C15)</f>
        <v/>
      </c>
    </row>
    <row r="18">
      <c r="A18" t="inlineStr">
        <is>
          <t>BASE: FY27 at the guidance midpoint; CPI-linked tariffs plus Sturt Plateau, ECGG Stage 3 and Brigalow hold revenue growth at 4% through FY30, fading to 2.5%. Margin 72.4% to 73.5% on statutory revenue; $60m/yr recurring leakage. Growth capex ~$650-700m/yr FY27-29 then tapers to replacement level. 18x cap binds.</t>
        </is>
      </c>
    </row>
    <row r="19">
      <c r="A19" t="inlineStr">
        <is>
          <t>BULL: ECGG 3-5, Beetaloo/NEAP, Pilbara and GPG firming convert at &gt;150bp above WACC; data-centre load adds contracted growth. 5% growth through FY30, margin to 75%, capex higher early (33%), terminal growth 3.0%. 18x cap binds.</t>
        </is>
      </c>
    </row>
    <row r="20">
      <c r="A20" t="inlineStr">
        <is>
          <t>BEAR: gas demand declines early, AER tightens allowed returns at the next resets, reservation/price-cap policy hits shippers. Growth fades to 1%, margin to 69%, capex stays 20% of revenue, terminal growth 1.0%. Gordon (16.8x) binds. Equity falls 53% on a 24% EV miss because of leverage.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DCF_Bear: unlevered owner-FCF build, AUD millions. Drivers (blue/yellow) in rows 5, 7, 9, 14, 45, 46.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  <c r="H3" s="1" t="inlineStr">
        <is>
          <t>2032E</t>
        </is>
      </c>
      <c r="I3" s="1" t="inlineStr">
        <is>
          <t>2033E</t>
        </is>
      </c>
      <c r="J3" s="1" t="inlineStr">
        <is>
          <t>2034E</t>
        </is>
      </c>
      <c r="K3" s="1" t="inlineStr">
        <is>
          <t>2035E</t>
        </is>
      </c>
      <c r="L3" s="1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0" t="n">
        <v>0.025</v>
      </c>
      <c r="D5" s="10" t="n">
        <v>0.02</v>
      </c>
      <c r="E5" s="10" t="n">
        <v>0.02</v>
      </c>
      <c r="F5" s="10" t="n">
        <v>0.015</v>
      </c>
      <c r="G5" s="10" t="n">
        <v>0.015</v>
      </c>
      <c r="H5" s="10" t="n">
        <v>0.01</v>
      </c>
      <c r="I5" s="10" t="n">
        <v>0.01</v>
      </c>
      <c r="J5" s="10" t="n">
        <v>0.01</v>
      </c>
      <c r="K5" s="10" t="n">
        <v>0.01</v>
      </c>
      <c r="L5" s="10" t="n">
        <v>0.01</v>
      </c>
    </row>
    <row r="6">
      <c r="A6" t="inlineStr">
        <is>
          <t>Revenue</t>
        </is>
      </c>
      <c r="B6" s="11" t="n">
        <v>2977</v>
      </c>
      <c r="C6" s="12">
        <f>B6*(1+C5)</f>
        <v/>
      </c>
      <c r="D6" s="12">
        <f>C6*(1+D5)</f>
        <v/>
      </c>
      <c r="E6" s="12">
        <f>D6*(1+E5)</f>
        <v/>
      </c>
      <c r="F6" s="12">
        <f>E6*(1+F5)</f>
        <v/>
      </c>
      <c r="G6" s="12">
        <f>F6*(1+G5)</f>
        <v/>
      </c>
      <c r="H6" s="12">
        <f>G6*(1+H5)</f>
        <v/>
      </c>
      <c r="I6" s="12">
        <f>H6*(1+I5)</f>
        <v/>
      </c>
      <c r="J6" s="12">
        <f>I6*(1+J5)</f>
        <v/>
      </c>
      <c r="K6" s="12">
        <f>J6*(1+K5)</f>
        <v/>
      </c>
      <c r="L6" s="12">
        <f>K6*(1+L5)</f>
        <v/>
      </c>
    </row>
    <row r="7">
      <c r="A7" t="inlineStr">
        <is>
          <t>Adj EBITDA margin</t>
        </is>
      </c>
      <c r="C7" s="10" t="n">
        <v>0.715</v>
      </c>
      <c r="D7" s="10" t="n">
        <v>0.71</v>
      </c>
      <c r="E7" s="10" t="n">
        <v>0.705</v>
      </c>
      <c r="F7" s="10" t="n">
        <v>0.7</v>
      </c>
      <c r="G7" s="10" t="n">
        <v>0.7</v>
      </c>
      <c r="H7" s="10" t="n">
        <v>0.695</v>
      </c>
      <c r="I7" s="10" t="n">
        <v>0.6899999999999999</v>
      </c>
      <c r="J7" s="10" t="n">
        <v>0.6899999999999999</v>
      </c>
      <c r="K7" s="10" t="n">
        <v>0.6899999999999999</v>
      </c>
      <c r="L7" s="10" t="n">
        <v>0.6899999999999999</v>
      </c>
    </row>
    <row r="8">
      <c r="A8" t="inlineStr">
        <is>
          <t>Adjusted EBITDA</t>
        </is>
      </c>
      <c r="B8" s="11" t="n">
        <v>2123</v>
      </c>
      <c r="C8" s="12">
        <f>C6*C7</f>
        <v/>
      </c>
      <c r="D8" s="12">
        <f>D6*D7</f>
        <v/>
      </c>
      <c r="E8" s="12">
        <f>E6*E7</f>
        <v/>
      </c>
      <c r="F8" s="12">
        <f>F6*F7</f>
        <v/>
      </c>
      <c r="G8" s="12">
        <f>G6*G7</f>
        <v/>
      </c>
      <c r="H8" s="12">
        <f>H6*H7</f>
        <v/>
      </c>
      <c r="I8" s="12">
        <f>I6*I7</f>
        <v/>
      </c>
      <c r="J8" s="12">
        <f>J6*J7</f>
        <v/>
      </c>
      <c r="K8" s="12">
        <f>K6*K7</f>
        <v/>
      </c>
      <c r="L8" s="12">
        <f>L6*L7</f>
        <v/>
      </c>
    </row>
    <row r="9">
      <c r="A9" t="inlineStr">
        <is>
          <t>SBC % of revenue</t>
        </is>
      </c>
      <c r="C9" s="10" t="n">
        <v>0.00134</v>
      </c>
      <c r="D9" s="10" t="n">
        <v>0.00134</v>
      </c>
      <c r="E9" s="10" t="n">
        <v>0.00134</v>
      </c>
      <c r="F9" s="10" t="n">
        <v>0.00134</v>
      </c>
      <c r="G9" s="10" t="n">
        <v>0.00134</v>
      </c>
      <c r="H9" s="10" t="n">
        <v>0.00134</v>
      </c>
      <c r="I9" s="10" t="n">
        <v>0.00134</v>
      </c>
      <c r="J9" s="10" t="n">
        <v>0.00134</v>
      </c>
      <c r="K9" s="10" t="n">
        <v>0.00134</v>
      </c>
      <c r="L9" s="10" t="n">
        <v>0.00134</v>
      </c>
    </row>
    <row r="10">
      <c r="A10" t="inlineStr">
        <is>
          <t>SBC (negative)</t>
        </is>
      </c>
      <c r="B10" s="11" t="n">
        <v>-4</v>
      </c>
      <c r="C10" s="12">
        <f>-C6*C9</f>
        <v/>
      </c>
      <c r="D10" s="12">
        <f>-D6*D9</f>
        <v/>
      </c>
      <c r="E10" s="12">
        <f>-E6*E9</f>
        <v/>
      </c>
      <c r="F10" s="12">
        <f>-F6*F9</f>
        <v/>
      </c>
      <c r="G10" s="12">
        <f>-G6*G9</f>
        <v/>
      </c>
      <c r="H10" s="12">
        <f>-H6*H9</f>
        <v/>
      </c>
      <c r="I10" s="12">
        <f>-I6*I9</f>
        <v/>
      </c>
      <c r="J10" s="12">
        <f>-J6*J9</f>
        <v/>
      </c>
      <c r="K10" s="12">
        <f>-K6*K9</f>
        <v/>
      </c>
      <c r="L10" s="12">
        <f>-L6*L9</f>
        <v/>
      </c>
    </row>
    <row r="11">
      <c r="A11" t="inlineStr">
        <is>
          <t>Owner EBITDA</t>
        </is>
      </c>
      <c r="C11" s="12">
        <f>C8+C10</f>
        <v/>
      </c>
      <c r="D11" s="12">
        <f>D8+D10</f>
        <v/>
      </c>
      <c r="E11" s="12">
        <f>E8+E10</f>
        <v/>
      </c>
      <c r="F11" s="12">
        <f>F8+F10</f>
        <v/>
      </c>
      <c r="G11" s="12">
        <f>G8+G10</f>
        <v/>
      </c>
      <c r="H11" s="12">
        <f>H8+H10</f>
        <v/>
      </c>
      <c r="I11" s="12">
        <f>I8+I10</f>
        <v/>
      </c>
      <c r="J11" s="12">
        <f>J8+J10</f>
        <v/>
      </c>
      <c r="K11" s="12">
        <f>K8+K10</f>
        <v/>
      </c>
      <c r="L11" s="12">
        <f>L8+L10</f>
        <v/>
      </c>
    </row>
    <row r="12">
      <c r="A12" t="inlineStr">
        <is>
          <t>D&amp;A (negative)</t>
        </is>
      </c>
      <c r="B12" s="11" t="n">
        <v>-1042</v>
      </c>
      <c r="C12" s="12">
        <f>-C6*C45</f>
        <v/>
      </c>
      <c r="D12" s="12">
        <f>-D6*D45</f>
        <v/>
      </c>
      <c r="E12" s="12">
        <f>-E6*E45</f>
        <v/>
      </c>
      <c r="F12" s="12">
        <f>-F6*F45</f>
        <v/>
      </c>
      <c r="G12" s="12">
        <f>-G6*G45</f>
        <v/>
      </c>
      <c r="H12" s="12">
        <f>-H6*H45</f>
        <v/>
      </c>
      <c r="I12" s="12">
        <f>-I6*I45</f>
        <v/>
      </c>
      <c r="J12" s="12">
        <f>-J6*J45</f>
        <v/>
      </c>
      <c r="K12" s="12">
        <f>-K6*K45</f>
        <v/>
      </c>
      <c r="L12" s="12">
        <f>-L6*L45</f>
        <v/>
      </c>
    </row>
    <row r="13">
      <c r="A13" t="inlineStr">
        <is>
          <t>EBIT (SBC expensed)</t>
        </is>
      </c>
      <c r="C13" s="12">
        <f>C11+C12</f>
        <v/>
      </c>
      <c r="D13" s="12">
        <f>D11+D12</f>
        <v/>
      </c>
      <c r="E13" s="12">
        <f>E11+E12</f>
        <v/>
      </c>
      <c r="F13" s="12">
        <f>F11+F12</f>
        <v/>
      </c>
      <c r="G13" s="12">
        <f>G11+G12</f>
        <v/>
      </c>
      <c r="H13" s="12">
        <f>H11+H12</f>
        <v/>
      </c>
      <c r="I13" s="12">
        <f>I11+I12</f>
        <v/>
      </c>
      <c r="J13" s="12">
        <f>J11+J12</f>
        <v/>
      </c>
      <c r="K13" s="12">
        <f>K11+K12</f>
        <v/>
      </c>
      <c r="L13" s="12">
        <f>L11+L12</f>
        <v/>
      </c>
    </row>
    <row r="14">
      <c r="A14" t="inlineStr">
        <is>
          <t>Cash tax rate on EBIT</t>
        </is>
      </c>
      <c r="C14" s="10" t="n">
        <v>0.33</v>
      </c>
      <c r="D14" s="10" t="n">
        <v>0.33</v>
      </c>
      <c r="E14" s="10" t="n">
        <v>0.33</v>
      </c>
      <c r="F14" s="10" t="n">
        <v>0.33</v>
      </c>
      <c r="G14" s="10" t="n">
        <v>0.33</v>
      </c>
      <c r="H14" s="10" t="n">
        <v>0.32</v>
      </c>
      <c r="I14" s="10" t="n">
        <v>0.32</v>
      </c>
      <c r="J14" s="10" t="n">
        <v>0.32</v>
      </c>
      <c r="K14" s="10" t="n">
        <v>0.31</v>
      </c>
      <c r="L14" s="10" t="n">
        <v>0.31</v>
      </c>
    </row>
    <row r="15">
      <c r="A15" t="inlineStr">
        <is>
          <t>NOPAT</t>
        </is>
      </c>
      <c r="C15" s="12">
        <f>C13-MAX(0,C13)*C14</f>
        <v/>
      </c>
      <c r="D15" s="12">
        <f>D13-MAX(0,D13)*D14</f>
        <v/>
      </c>
      <c r="E15" s="12">
        <f>E13-MAX(0,E13)*E14</f>
        <v/>
      </c>
      <c r="F15" s="12">
        <f>F13-MAX(0,F13)*F14</f>
        <v/>
      </c>
      <c r="G15" s="12">
        <f>G13-MAX(0,G13)*G14</f>
        <v/>
      </c>
      <c r="H15" s="12">
        <f>H13-MAX(0,H13)*H14</f>
        <v/>
      </c>
      <c r="I15" s="12">
        <f>I13-MAX(0,I13)*I14</f>
        <v/>
      </c>
      <c r="J15" s="12">
        <f>J13-MAX(0,J13)*J14</f>
        <v/>
      </c>
      <c r="K15" s="12">
        <f>K13-MAX(0,K13)*K14</f>
        <v/>
      </c>
      <c r="L15" s="12">
        <f>L13-MAX(0,L13)*L14</f>
        <v/>
      </c>
    </row>
    <row r="16">
      <c r="A16" t="inlineStr">
        <is>
          <t>Add back D&amp;A</t>
        </is>
      </c>
      <c r="C16" s="12">
        <f>-C12</f>
        <v/>
      </c>
      <c r="D16" s="12">
        <f>-D12</f>
        <v/>
      </c>
      <c r="E16" s="12">
        <f>-E12</f>
        <v/>
      </c>
      <c r="F16" s="12">
        <f>-F12</f>
        <v/>
      </c>
      <c r="G16" s="12">
        <f>-G12</f>
        <v/>
      </c>
      <c r="H16" s="12">
        <f>-H12</f>
        <v/>
      </c>
      <c r="I16" s="12">
        <f>-I12</f>
        <v/>
      </c>
      <c r="J16" s="12">
        <f>-J12</f>
        <v/>
      </c>
      <c r="K16" s="12">
        <f>-K12</f>
        <v/>
      </c>
      <c r="L16" s="12">
        <f>-L12</f>
        <v/>
      </c>
    </row>
    <row r="17">
      <c r="A17" t="inlineStr">
        <is>
          <t>Less capex</t>
        </is>
      </c>
      <c r="B17" s="11" t="n">
        <v>-845</v>
      </c>
      <c r="C17" s="12">
        <f>-C6*C46</f>
        <v/>
      </c>
      <c r="D17" s="12">
        <f>-D6*D46</f>
        <v/>
      </c>
      <c r="E17" s="12">
        <f>-E6*E46</f>
        <v/>
      </c>
      <c r="F17" s="12">
        <f>-F6*F46</f>
        <v/>
      </c>
      <c r="G17" s="12">
        <f>-G6*G46</f>
        <v/>
      </c>
      <c r="H17" s="12">
        <f>-H6*H46</f>
        <v/>
      </c>
      <c r="I17" s="12">
        <f>-I6*I46</f>
        <v/>
      </c>
      <c r="J17" s="12">
        <f>-J6*J46</f>
        <v/>
      </c>
      <c r="K17" s="12">
        <f>-K6*K46</f>
        <v/>
      </c>
      <c r="L17" s="12">
        <f>-L6*L46</f>
        <v/>
      </c>
    </row>
    <row r="18">
      <c r="A18" t="inlineStr">
        <is>
          <t>Add working capital</t>
        </is>
      </c>
      <c r="C18" s="13">
        <f>Assumptions!$B$5*(C6-B6)</f>
        <v/>
      </c>
      <c r="D18" s="13">
        <f>Assumptions!$B$5*(D6-C6)</f>
        <v/>
      </c>
      <c r="E18" s="13">
        <f>Assumptions!$B$5*(E6-D6)</f>
        <v/>
      </c>
      <c r="F18" s="13">
        <f>Assumptions!$B$5*(F6-E6)</f>
        <v/>
      </c>
      <c r="G18" s="13">
        <f>Assumptions!$B$5*(G6-F6)</f>
        <v/>
      </c>
      <c r="H18" s="13">
        <f>Assumptions!$B$5*(H6-G6)</f>
        <v/>
      </c>
      <c r="I18" s="13">
        <f>Assumptions!$B$5*(I6-H6)</f>
        <v/>
      </c>
      <c r="J18" s="13">
        <f>Assumptions!$B$5*(J6-I6)</f>
        <v/>
      </c>
      <c r="K18" s="13">
        <f>Assumptions!$B$5*(K6-J6)</f>
        <v/>
      </c>
      <c r="L18" s="13">
        <f>Assumptions!$B$5*(L6-K6)</f>
        <v/>
      </c>
    </row>
    <row r="19">
      <c r="A19" t="inlineStr">
        <is>
          <t>Unlevered owner FCF</t>
        </is>
      </c>
      <c r="C19" s="12">
        <f>C15+C16+C17+C18</f>
        <v/>
      </c>
      <c r="D19" s="12">
        <f>D15+D16+D17+D18</f>
        <v/>
      </c>
      <c r="E19" s="12">
        <f>E15+E16+E17+E18</f>
        <v/>
      </c>
      <c r="F19" s="12">
        <f>F15+F16+F17+F18</f>
        <v/>
      </c>
      <c r="G19" s="12">
        <f>G15+G16+G17+G18</f>
        <v/>
      </c>
      <c r="H19" s="12">
        <f>H15+H16+H17+H18</f>
        <v/>
      </c>
      <c r="I19" s="12">
        <f>I15+I16+I17+I18</f>
        <v/>
      </c>
      <c r="J19" s="12">
        <f>J15+J16+J17+J18</f>
        <v/>
      </c>
      <c r="K19" s="12">
        <f>K15+K16+K17+K18</f>
        <v/>
      </c>
      <c r="L19" s="12">
        <f>L15+L16+L17+L18</f>
        <v/>
      </c>
    </row>
    <row r="20">
      <c r="A20" t="inlineStr">
        <is>
          <t>Discount factor</t>
        </is>
      </c>
      <c r="C20" s="14">
        <f>1/(1+Assumptions!$B$4)^C4</f>
        <v/>
      </c>
      <c r="D20" s="14">
        <f>1/(1+Assumptions!$B$4)^D4</f>
        <v/>
      </c>
      <c r="E20" s="14">
        <f>1/(1+Assumptions!$B$4)^E4</f>
        <v/>
      </c>
      <c r="F20" s="14">
        <f>1/(1+Assumptions!$B$4)^F4</f>
        <v/>
      </c>
      <c r="G20" s="14">
        <f>1/(1+Assumptions!$B$4)^G4</f>
        <v/>
      </c>
      <c r="H20" s="14">
        <f>1/(1+Assumptions!$B$4)^H4</f>
        <v/>
      </c>
      <c r="I20" s="14">
        <f>1/(1+Assumptions!$B$4)^I4</f>
        <v/>
      </c>
      <c r="J20" s="14">
        <f>1/(1+Assumptions!$B$4)^J4</f>
        <v/>
      </c>
      <c r="K20" s="14">
        <f>1/(1+Assumptions!$B$4)^K4</f>
        <v/>
      </c>
      <c r="L20" s="14">
        <f>1/(1+Assumptions!$B$4)^L4</f>
        <v/>
      </c>
    </row>
    <row r="21">
      <c r="A21" t="inlineStr">
        <is>
          <t>PV of FCF</t>
        </is>
      </c>
      <c r="C21" s="12">
        <f>C19*C20</f>
        <v/>
      </c>
      <c r="D21" s="12">
        <f>D19*D20</f>
        <v/>
      </c>
      <c r="E21" s="12">
        <f>E19*E20</f>
        <v/>
      </c>
      <c r="F21" s="12">
        <f>F19*F20</f>
        <v/>
      </c>
      <c r="G21" s="12">
        <f>G19*G20</f>
        <v/>
      </c>
      <c r="H21" s="12">
        <f>H19*H20</f>
        <v/>
      </c>
      <c r="I21" s="12">
        <f>I19*I20</f>
        <v/>
      </c>
      <c r="J21" s="12">
        <f>J19*J20</f>
        <v/>
      </c>
      <c r="K21" s="12">
        <f>K19*K20</f>
        <v/>
      </c>
      <c r="L21" s="12">
        <f>L19*L20</f>
        <v/>
      </c>
    </row>
    <row r="23">
      <c r="A23" t="inlineStr">
        <is>
          <t>Memo: FCF before SBC (company-style)</t>
        </is>
      </c>
      <c r="C23" s="12">
        <f>C19-C10</f>
        <v/>
      </c>
      <c r="D23" s="12">
        <f>D19-D10</f>
        <v/>
      </c>
      <c r="E23" s="12">
        <f>E19-E10</f>
        <v/>
      </c>
      <c r="F23" s="12">
        <f>F19-F10</f>
        <v/>
      </c>
      <c r="G23" s="12">
        <f>G19-G10</f>
        <v/>
      </c>
      <c r="H23" s="12">
        <f>H19-H10</f>
        <v/>
      </c>
      <c r="I23" s="12">
        <f>I19-I10</f>
        <v/>
      </c>
      <c r="J23" s="12">
        <f>J19-J10</f>
        <v/>
      </c>
      <c r="K23" s="12">
        <f>K19-K10</f>
        <v/>
      </c>
      <c r="L23" s="12">
        <f>L19-L10</f>
        <v/>
      </c>
    </row>
    <row r="24">
      <c r="A24" t="inlineStr">
        <is>
          <t>Memo: owner-FCF margin</t>
        </is>
      </c>
      <c r="C24" s="9">
        <f>C19/C6</f>
        <v/>
      </c>
      <c r="D24" s="9">
        <f>D19/D6</f>
        <v/>
      </c>
      <c r="E24" s="9">
        <f>E19/E6</f>
        <v/>
      </c>
      <c r="F24" s="9">
        <f>F19/F6</f>
        <v/>
      </c>
      <c r="G24" s="9">
        <f>G19/G6</f>
        <v/>
      </c>
      <c r="H24" s="9">
        <f>H19/H6</f>
        <v/>
      </c>
      <c r="I24" s="9">
        <f>I19/I6</f>
        <v/>
      </c>
      <c r="J24" s="9">
        <f>J19/J6</f>
        <v/>
      </c>
      <c r="K24" s="9">
        <f>K19/K6</f>
        <v/>
      </c>
      <c r="L24" s="9">
        <f>L19/L6</f>
        <v/>
      </c>
    </row>
    <row r="26">
      <c r="A26" t="inlineStr">
        <is>
          <t>Sum of PV (explicit years)</t>
        </is>
      </c>
      <c r="B26" s="12">
        <f>SUM(C21:L21)</f>
        <v/>
      </c>
    </row>
    <row r="27">
      <c r="A27" t="inlineStr">
        <is>
          <t>Terminal growth</t>
        </is>
      </c>
      <c r="B27" s="15">
        <f>Assumptions!$B$13</f>
        <v/>
      </c>
    </row>
    <row r="28">
      <c r="A28" t="inlineStr">
        <is>
          <t>Terminal-year FCF x (1+g)</t>
        </is>
      </c>
      <c r="B28" s="12">
        <f>L19*(1+B27)</f>
        <v/>
      </c>
    </row>
    <row r="29">
      <c r="A29" t="inlineStr">
        <is>
          <t>Gordon terminal value</t>
        </is>
      </c>
      <c r="B29" s="12">
        <f>IF(Assumptions!$B$4&gt;B27,B28/(Assumptions!$B$4-B27),1E+12)</f>
        <v/>
      </c>
    </row>
    <row r="30">
      <c r="A30" t="inlineStr">
        <is>
          <t>Cap terminal value</t>
        </is>
      </c>
      <c r="B30" s="13">
        <f>Assumptions!$B$9*L19</f>
        <v/>
      </c>
    </row>
    <row r="31">
      <c r="A31" t="inlineStr">
        <is>
          <t>Terminal value used</t>
        </is>
      </c>
      <c r="B31" s="12">
        <f>MAX(0,MIN(B29,B30))</f>
        <v/>
      </c>
    </row>
    <row r="32">
      <c r="A32" t="inlineStr">
        <is>
          <t>Implied exit multiple (x FCF)</t>
        </is>
      </c>
      <c r="B32" s="16">
        <f>IF(L19&lt;&gt;0,B31/L19,0)</f>
        <v/>
      </c>
    </row>
    <row r="33">
      <c r="A33" t="inlineStr">
        <is>
          <t>PV of terminal value</t>
        </is>
      </c>
      <c r="B33" s="12">
        <f>B31*L20</f>
        <v/>
      </c>
    </row>
    <row r="34">
      <c r="A34" t="inlineStr">
        <is>
          <t>Enterprise value</t>
        </is>
      </c>
      <c r="B34" s="12">
        <f>B26+B33</f>
        <v/>
      </c>
    </row>
    <row r="35">
      <c r="A35" t="inlineStr">
        <is>
          <t>Less net debt</t>
        </is>
      </c>
      <c r="B35" s="13">
        <f>-Assumptions!$B$6</f>
        <v/>
      </c>
    </row>
    <row r="36">
      <c r="A36" t="inlineStr">
        <is>
          <t>Equity value</t>
        </is>
      </c>
      <c r="B36" s="12">
        <f>B34+B35</f>
        <v/>
      </c>
    </row>
    <row r="37">
      <c r="A37" t="inlineStr">
        <is>
          <t>Diluted securities (m)</t>
        </is>
      </c>
      <c r="B37" s="17">
        <f>Assumptions!$B$7</f>
        <v/>
      </c>
    </row>
    <row r="38">
      <c r="A38" t="inlineStr">
        <is>
          <t>VALUE PER SECURITY (AUD)</t>
        </is>
      </c>
      <c r="B38" s="18">
        <f>B36/B37</f>
        <v/>
      </c>
    </row>
    <row r="39">
      <c r="A39" t="inlineStr">
        <is>
          <t>Upside vs price</t>
        </is>
      </c>
      <c r="B39" s="9">
        <f>B38/Assumptions!$B$8-1</f>
        <v/>
      </c>
    </row>
    <row r="41">
      <c r="A41" t="inlineStr">
        <is>
          <t>Street memo: PV of explicit SBC</t>
        </is>
      </c>
      <c r="B41" s="12">
        <f>SUMPRODUCT(-C10:L10/(1+Assumptions!$B$4)^C4:L4)</f>
        <v/>
      </c>
    </row>
    <row r="42">
      <c r="A42" t="inlineStr">
        <is>
          <t>Street memo: PV of terminal SBC</t>
        </is>
      </c>
      <c r="B42" s="12">
        <f>IF(Assumptions!$B$4&gt;B27,(-L10*(1+B27)/(Assumptions!$B$4-B27))*L20,0)</f>
        <v/>
      </c>
    </row>
    <row r="43">
      <c r="A43" t="inlineStr">
        <is>
          <t>Street value per security</t>
        </is>
      </c>
      <c r="B43" s="19">
        <f>(B36+B41+B42)/B37</f>
        <v/>
      </c>
    </row>
    <row r="45">
      <c r="A45" t="inlineStr">
        <is>
          <t>D&amp;A % of revenue (driver)</t>
        </is>
      </c>
      <c r="C45" s="10" t="n">
        <v>0.34</v>
      </c>
      <c r="D45" s="10" t="n">
        <v>0.335</v>
      </c>
      <c r="E45" s="10" t="n">
        <v>0.33</v>
      </c>
      <c r="F45" s="10" t="n">
        <v>0.32</v>
      </c>
      <c r="G45" s="10" t="n">
        <v>0.31</v>
      </c>
      <c r="H45" s="10" t="n">
        <v>0.3</v>
      </c>
      <c r="I45" s="10" t="n">
        <v>0.28</v>
      </c>
      <c r="J45" s="10" t="n">
        <v>0.26</v>
      </c>
      <c r="K45" s="10" t="n">
        <v>0.24</v>
      </c>
      <c r="L45" s="10" t="n">
        <v>0.23</v>
      </c>
    </row>
    <row r="46">
      <c r="A46" t="inlineStr">
        <is>
          <t>Capex % of revenue (driver)</t>
        </is>
      </c>
      <c r="C46" s="10" t="n">
        <v>0.29</v>
      </c>
      <c r="D46" s="10" t="n">
        <v>0.28</v>
      </c>
      <c r="E46" s="10" t="n">
        <v>0.27</v>
      </c>
      <c r="F46" s="10" t="n">
        <v>0.25</v>
      </c>
      <c r="G46" s="10" t="n">
        <v>0.24</v>
      </c>
      <c r="H46" s="10" t="n">
        <v>0.22</v>
      </c>
      <c r="I46" s="10" t="n">
        <v>0.21</v>
      </c>
      <c r="J46" s="10" t="n">
        <v>0.2</v>
      </c>
      <c r="K46" s="10" t="n">
        <v>0.2</v>
      </c>
      <c r="L46" s="10" t="n">
        <v>0.2</v>
      </c>
    </row>
    <row r="48">
      <c r="A48" t="inlineStr">
        <is>
          <t>Note: terminal value = MAX(0, MIN(Gordon, cap x FCF)). Row 29 returns 1E+12 when WACC &lt;= g so the MIN still selects the cap.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DCF_Base: unlevered owner-FCF build, AUD millions. Drivers (blue/yellow) in rows 5, 7, 9, 14, 45, 46.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  <c r="H3" s="1" t="inlineStr">
        <is>
          <t>2032E</t>
        </is>
      </c>
      <c r="I3" s="1" t="inlineStr">
        <is>
          <t>2033E</t>
        </is>
      </c>
      <c r="J3" s="1" t="inlineStr">
        <is>
          <t>2034E</t>
        </is>
      </c>
      <c r="K3" s="1" t="inlineStr">
        <is>
          <t>2035E</t>
        </is>
      </c>
      <c r="L3" s="1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0" t="n">
        <v>0.04</v>
      </c>
      <c r="D5" s="10" t="n">
        <v>0.04</v>
      </c>
      <c r="E5" s="10" t="n">
        <v>0.04</v>
      </c>
      <c r="F5" s="10" t="n">
        <v>0.04</v>
      </c>
      <c r="G5" s="10" t="n">
        <v>0.035</v>
      </c>
      <c r="H5" s="10" t="n">
        <v>0.03</v>
      </c>
      <c r="I5" s="10" t="n">
        <v>0.025</v>
      </c>
      <c r="J5" s="10" t="n">
        <v>0.025</v>
      </c>
      <c r="K5" s="10" t="n">
        <v>0.025</v>
      </c>
      <c r="L5" s="10" t="n">
        <v>0.025</v>
      </c>
    </row>
    <row r="6">
      <c r="A6" t="inlineStr">
        <is>
          <t>Revenue</t>
        </is>
      </c>
      <c r="B6" s="11" t="n">
        <v>2977</v>
      </c>
      <c r="C6" s="12">
        <f>B6*(1+C5)</f>
        <v/>
      </c>
      <c r="D6" s="12">
        <f>C6*(1+D5)</f>
        <v/>
      </c>
      <c r="E6" s="12">
        <f>D6*(1+E5)</f>
        <v/>
      </c>
      <c r="F6" s="12">
        <f>E6*(1+F5)</f>
        <v/>
      </c>
      <c r="G6" s="12">
        <f>F6*(1+G5)</f>
        <v/>
      </c>
      <c r="H6" s="12">
        <f>G6*(1+H5)</f>
        <v/>
      </c>
      <c r="I6" s="12">
        <f>H6*(1+I5)</f>
        <v/>
      </c>
      <c r="J6" s="12">
        <f>I6*(1+J5)</f>
        <v/>
      </c>
      <c r="K6" s="12">
        <f>J6*(1+K5)</f>
        <v/>
      </c>
      <c r="L6" s="12">
        <f>K6*(1+L5)</f>
        <v/>
      </c>
    </row>
    <row r="7">
      <c r="A7" t="inlineStr">
        <is>
          <t>Adj EBITDA margin</t>
        </is>
      </c>
      <c r="C7" s="10" t="n">
        <v>0.7240000000000001</v>
      </c>
      <c r="D7" s="10" t="n">
        <v>0.728</v>
      </c>
      <c r="E7" s="10" t="n">
        <v>0.73</v>
      </c>
      <c r="F7" s="10" t="n">
        <v>0.732</v>
      </c>
      <c r="G7" s="10" t="n">
        <v>0.7340000000000001</v>
      </c>
      <c r="H7" s="10" t="n">
        <v>0.735</v>
      </c>
      <c r="I7" s="10" t="n">
        <v>0.735</v>
      </c>
      <c r="J7" s="10" t="n">
        <v>0.735</v>
      </c>
      <c r="K7" s="10" t="n">
        <v>0.735</v>
      </c>
      <c r="L7" s="10" t="n">
        <v>0.735</v>
      </c>
    </row>
    <row r="8">
      <c r="A8" t="inlineStr">
        <is>
          <t>Adjusted EBITDA</t>
        </is>
      </c>
      <c r="B8" s="11" t="n">
        <v>2123</v>
      </c>
      <c r="C8" s="12">
        <f>C6*C7</f>
        <v/>
      </c>
      <c r="D8" s="12">
        <f>D6*D7</f>
        <v/>
      </c>
      <c r="E8" s="12">
        <f>E6*E7</f>
        <v/>
      </c>
      <c r="F8" s="12">
        <f>F6*F7</f>
        <v/>
      </c>
      <c r="G8" s="12">
        <f>G6*G7</f>
        <v/>
      </c>
      <c r="H8" s="12">
        <f>H6*H7</f>
        <v/>
      </c>
      <c r="I8" s="12">
        <f>I6*I7</f>
        <v/>
      </c>
      <c r="J8" s="12">
        <f>J6*J7</f>
        <v/>
      </c>
      <c r="K8" s="12">
        <f>K6*K7</f>
        <v/>
      </c>
      <c r="L8" s="12">
        <f>L6*L7</f>
        <v/>
      </c>
    </row>
    <row r="9">
      <c r="A9" t="inlineStr">
        <is>
          <t>SBC % of revenue</t>
        </is>
      </c>
      <c r="C9" s="10" t="n">
        <v>0.00134</v>
      </c>
      <c r="D9" s="10" t="n">
        <v>0.00134</v>
      </c>
      <c r="E9" s="10" t="n">
        <v>0.00134</v>
      </c>
      <c r="F9" s="10" t="n">
        <v>0.00134</v>
      </c>
      <c r="G9" s="10" t="n">
        <v>0.00134</v>
      </c>
      <c r="H9" s="10" t="n">
        <v>0.00134</v>
      </c>
      <c r="I9" s="10" t="n">
        <v>0.00134</v>
      </c>
      <c r="J9" s="10" t="n">
        <v>0.00134</v>
      </c>
      <c r="K9" s="10" t="n">
        <v>0.00134</v>
      </c>
      <c r="L9" s="10" t="n">
        <v>0.00134</v>
      </c>
    </row>
    <row r="10">
      <c r="A10" t="inlineStr">
        <is>
          <t>SBC (negative)</t>
        </is>
      </c>
      <c r="B10" s="11" t="n">
        <v>-4</v>
      </c>
      <c r="C10" s="12">
        <f>-C6*C9</f>
        <v/>
      </c>
      <c r="D10" s="12">
        <f>-D6*D9</f>
        <v/>
      </c>
      <c r="E10" s="12">
        <f>-E6*E9</f>
        <v/>
      </c>
      <c r="F10" s="12">
        <f>-F6*F9</f>
        <v/>
      </c>
      <c r="G10" s="12">
        <f>-G6*G9</f>
        <v/>
      </c>
      <c r="H10" s="12">
        <f>-H6*H9</f>
        <v/>
      </c>
      <c r="I10" s="12">
        <f>-I6*I9</f>
        <v/>
      </c>
      <c r="J10" s="12">
        <f>-J6*J9</f>
        <v/>
      </c>
      <c r="K10" s="12">
        <f>-K6*K9</f>
        <v/>
      </c>
      <c r="L10" s="12">
        <f>-L6*L9</f>
        <v/>
      </c>
    </row>
    <row r="11">
      <c r="A11" t="inlineStr">
        <is>
          <t>Owner EBITDA</t>
        </is>
      </c>
      <c r="C11" s="12">
        <f>C8+C10</f>
        <v/>
      </c>
      <c r="D11" s="12">
        <f>D8+D10</f>
        <v/>
      </c>
      <c r="E11" s="12">
        <f>E8+E10</f>
        <v/>
      </c>
      <c r="F11" s="12">
        <f>F8+F10</f>
        <v/>
      </c>
      <c r="G11" s="12">
        <f>G8+G10</f>
        <v/>
      </c>
      <c r="H11" s="12">
        <f>H8+H10</f>
        <v/>
      </c>
      <c r="I11" s="12">
        <f>I8+I10</f>
        <v/>
      </c>
      <c r="J11" s="12">
        <f>J8+J10</f>
        <v/>
      </c>
      <c r="K11" s="12">
        <f>K8+K10</f>
        <v/>
      </c>
      <c r="L11" s="12">
        <f>L8+L10</f>
        <v/>
      </c>
    </row>
    <row r="12">
      <c r="A12" t="inlineStr">
        <is>
          <t>D&amp;A (negative)</t>
        </is>
      </c>
      <c r="B12" s="11" t="n">
        <v>-1042</v>
      </c>
      <c r="C12" s="12">
        <f>-C6*C45</f>
        <v/>
      </c>
      <c r="D12" s="12">
        <f>-D6*D45</f>
        <v/>
      </c>
      <c r="E12" s="12">
        <f>-E6*E45</f>
        <v/>
      </c>
      <c r="F12" s="12">
        <f>-F6*F45</f>
        <v/>
      </c>
      <c r="G12" s="12">
        <f>-G6*G45</f>
        <v/>
      </c>
      <c r="H12" s="12">
        <f>-H6*H45</f>
        <v/>
      </c>
      <c r="I12" s="12">
        <f>-I6*I45</f>
        <v/>
      </c>
      <c r="J12" s="12">
        <f>-J6*J45</f>
        <v/>
      </c>
      <c r="K12" s="12">
        <f>-K6*K45</f>
        <v/>
      </c>
      <c r="L12" s="12">
        <f>-L6*L45</f>
        <v/>
      </c>
    </row>
    <row r="13">
      <c r="A13" t="inlineStr">
        <is>
          <t>EBIT (SBC expensed)</t>
        </is>
      </c>
      <c r="C13" s="12">
        <f>C11+C12</f>
        <v/>
      </c>
      <c r="D13" s="12">
        <f>D11+D12</f>
        <v/>
      </c>
      <c r="E13" s="12">
        <f>E11+E12</f>
        <v/>
      </c>
      <c r="F13" s="12">
        <f>F11+F12</f>
        <v/>
      </c>
      <c r="G13" s="12">
        <f>G11+G12</f>
        <v/>
      </c>
      <c r="H13" s="12">
        <f>H11+H12</f>
        <v/>
      </c>
      <c r="I13" s="12">
        <f>I11+I12</f>
        <v/>
      </c>
      <c r="J13" s="12">
        <f>J11+J12</f>
        <v/>
      </c>
      <c r="K13" s="12">
        <f>K11+K12</f>
        <v/>
      </c>
      <c r="L13" s="12">
        <f>L11+L12</f>
        <v/>
      </c>
    </row>
    <row r="14">
      <c r="A14" t="inlineStr">
        <is>
          <t>Cash tax rate on EBIT</t>
        </is>
      </c>
      <c r="C14" s="10" t="n">
        <v>0.33</v>
      </c>
      <c r="D14" s="10" t="n">
        <v>0.33</v>
      </c>
      <c r="E14" s="10" t="n">
        <v>0.33</v>
      </c>
      <c r="F14" s="10" t="n">
        <v>0.33</v>
      </c>
      <c r="G14" s="10" t="n">
        <v>0.33</v>
      </c>
      <c r="H14" s="10" t="n">
        <v>0.32</v>
      </c>
      <c r="I14" s="10" t="n">
        <v>0.32</v>
      </c>
      <c r="J14" s="10" t="n">
        <v>0.32</v>
      </c>
      <c r="K14" s="10" t="n">
        <v>0.31</v>
      </c>
      <c r="L14" s="10" t="n">
        <v>0.31</v>
      </c>
    </row>
    <row r="15">
      <c r="A15" t="inlineStr">
        <is>
          <t>NOPAT</t>
        </is>
      </c>
      <c r="C15" s="12">
        <f>C13-MAX(0,C13)*C14</f>
        <v/>
      </c>
      <c r="D15" s="12">
        <f>D13-MAX(0,D13)*D14</f>
        <v/>
      </c>
      <c r="E15" s="12">
        <f>E13-MAX(0,E13)*E14</f>
        <v/>
      </c>
      <c r="F15" s="12">
        <f>F13-MAX(0,F13)*F14</f>
        <v/>
      </c>
      <c r="G15" s="12">
        <f>G13-MAX(0,G13)*G14</f>
        <v/>
      </c>
      <c r="H15" s="12">
        <f>H13-MAX(0,H13)*H14</f>
        <v/>
      </c>
      <c r="I15" s="12">
        <f>I13-MAX(0,I13)*I14</f>
        <v/>
      </c>
      <c r="J15" s="12">
        <f>J13-MAX(0,J13)*J14</f>
        <v/>
      </c>
      <c r="K15" s="12">
        <f>K13-MAX(0,K13)*K14</f>
        <v/>
      </c>
      <c r="L15" s="12">
        <f>L13-MAX(0,L13)*L14</f>
        <v/>
      </c>
    </row>
    <row r="16">
      <c r="A16" t="inlineStr">
        <is>
          <t>Add back D&amp;A</t>
        </is>
      </c>
      <c r="C16" s="12">
        <f>-C12</f>
        <v/>
      </c>
      <c r="D16" s="12">
        <f>-D12</f>
        <v/>
      </c>
      <c r="E16" s="12">
        <f>-E12</f>
        <v/>
      </c>
      <c r="F16" s="12">
        <f>-F12</f>
        <v/>
      </c>
      <c r="G16" s="12">
        <f>-G12</f>
        <v/>
      </c>
      <c r="H16" s="12">
        <f>-H12</f>
        <v/>
      </c>
      <c r="I16" s="12">
        <f>-I12</f>
        <v/>
      </c>
      <c r="J16" s="12">
        <f>-J12</f>
        <v/>
      </c>
      <c r="K16" s="12">
        <f>-K12</f>
        <v/>
      </c>
      <c r="L16" s="12">
        <f>-L12</f>
        <v/>
      </c>
    </row>
    <row r="17">
      <c r="A17" t="inlineStr">
        <is>
          <t>Less capex</t>
        </is>
      </c>
      <c r="B17" s="11" t="n">
        <v>-845</v>
      </c>
      <c r="C17" s="12">
        <f>-C6*C46</f>
        <v/>
      </c>
      <c r="D17" s="12">
        <f>-D6*D46</f>
        <v/>
      </c>
      <c r="E17" s="12">
        <f>-E6*E46</f>
        <v/>
      </c>
      <c r="F17" s="12">
        <f>-F6*F46</f>
        <v/>
      </c>
      <c r="G17" s="12">
        <f>-G6*G46</f>
        <v/>
      </c>
      <c r="H17" s="12">
        <f>-H6*H46</f>
        <v/>
      </c>
      <c r="I17" s="12">
        <f>-I6*I46</f>
        <v/>
      </c>
      <c r="J17" s="12">
        <f>-J6*J46</f>
        <v/>
      </c>
      <c r="K17" s="12">
        <f>-K6*K46</f>
        <v/>
      </c>
      <c r="L17" s="12">
        <f>-L6*L46</f>
        <v/>
      </c>
    </row>
    <row r="18">
      <c r="A18" t="inlineStr">
        <is>
          <t>Add working capital</t>
        </is>
      </c>
      <c r="C18" s="13">
        <f>Assumptions!$B$5*(C6-B6)</f>
        <v/>
      </c>
      <c r="D18" s="13">
        <f>Assumptions!$B$5*(D6-C6)</f>
        <v/>
      </c>
      <c r="E18" s="13">
        <f>Assumptions!$B$5*(E6-D6)</f>
        <v/>
      </c>
      <c r="F18" s="13">
        <f>Assumptions!$B$5*(F6-E6)</f>
        <v/>
      </c>
      <c r="G18" s="13">
        <f>Assumptions!$B$5*(G6-F6)</f>
        <v/>
      </c>
      <c r="H18" s="13">
        <f>Assumptions!$B$5*(H6-G6)</f>
        <v/>
      </c>
      <c r="I18" s="13">
        <f>Assumptions!$B$5*(I6-H6)</f>
        <v/>
      </c>
      <c r="J18" s="13">
        <f>Assumptions!$B$5*(J6-I6)</f>
        <v/>
      </c>
      <c r="K18" s="13">
        <f>Assumptions!$B$5*(K6-J6)</f>
        <v/>
      </c>
      <c r="L18" s="13">
        <f>Assumptions!$B$5*(L6-K6)</f>
        <v/>
      </c>
    </row>
    <row r="19">
      <c r="A19" t="inlineStr">
        <is>
          <t>Unlevered owner FCF</t>
        </is>
      </c>
      <c r="C19" s="12">
        <f>C15+C16+C17+C18</f>
        <v/>
      </c>
      <c r="D19" s="12">
        <f>D15+D16+D17+D18</f>
        <v/>
      </c>
      <c r="E19" s="12">
        <f>E15+E16+E17+E18</f>
        <v/>
      </c>
      <c r="F19" s="12">
        <f>F15+F16+F17+F18</f>
        <v/>
      </c>
      <c r="G19" s="12">
        <f>G15+G16+G17+G18</f>
        <v/>
      </c>
      <c r="H19" s="12">
        <f>H15+H16+H17+H18</f>
        <v/>
      </c>
      <c r="I19" s="12">
        <f>I15+I16+I17+I18</f>
        <v/>
      </c>
      <c r="J19" s="12">
        <f>J15+J16+J17+J18</f>
        <v/>
      </c>
      <c r="K19" s="12">
        <f>K15+K16+K17+K18</f>
        <v/>
      </c>
      <c r="L19" s="12">
        <f>L15+L16+L17+L18</f>
        <v/>
      </c>
    </row>
    <row r="20">
      <c r="A20" t="inlineStr">
        <is>
          <t>Discount factor</t>
        </is>
      </c>
      <c r="C20" s="14">
        <f>1/(1+Assumptions!$B$4)^C4</f>
        <v/>
      </c>
      <c r="D20" s="14">
        <f>1/(1+Assumptions!$B$4)^D4</f>
        <v/>
      </c>
      <c r="E20" s="14">
        <f>1/(1+Assumptions!$B$4)^E4</f>
        <v/>
      </c>
      <c r="F20" s="14">
        <f>1/(1+Assumptions!$B$4)^F4</f>
        <v/>
      </c>
      <c r="G20" s="14">
        <f>1/(1+Assumptions!$B$4)^G4</f>
        <v/>
      </c>
      <c r="H20" s="14">
        <f>1/(1+Assumptions!$B$4)^H4</f>
        <v/>
      </c>
      <c r="I20" s="14">
        <f>1/(1+Assumptions!$B$4)^I4</f>
        <v/>
      </c>
      <c r="J20" s="14">
        <f>1/(1+Assumptions!$B$4)^J4</f>
        <v/>
      </c>
      <c r="K20" s="14">
        <f>1/(1+Assumptions!$B$4)^K4</f>
        <v/>
      </c>
      <c r="L20" s="14">
        <f>1/(1+Assumptions!$B$4)^L4</f>
        <v/>
      </c>
    </row>
    <row r="21">
      <c r="A21" t="inlineStr">
        <is>
          <t>PV of FCF</t>
        </is>
      </c>
      <c r="C21" s="12">
        <f>C19*C20</f>
        <v/>
      </c>
      <c r="D21" s="12">
        <f>D19*D20</f>
        <v/>
      </c>
      <c r="E21" s="12">
        <f>E19*E20</f>
        <v/>
      </c>
      <c r="F21" s="12">
        <f>F19*F20</f>
        <v/>
      </c>
      <c r="G21" s="12">
        <f>G19*G20</f>
        <v/>
      </c>
      <c r="H21" s="12">
        <f>H19*H20</f>
        <v/>
      </c>
      <c r="I21" s="12">
        <f>I19*I20</f>
        <v/>
      </c>
      <c r="J21" s="12">
        <f>J19*J20</f>
        <v/>
      </c>
      <c r="K21" s="12">
        <f>K19*K20</f>
        <v/>
      </c>
      <c r="L21" s="12">
        <f>L19*L20</f>
        <v/>
      </c>
    </row>
    <row r="23">
      <c r="A23" t="inlineStr">
        <is>
          <t>Memo: FCF before SBC (company-style)</t>
        </is>
      </c>
      <c r="C23" s="12">
        <f>C19-C10</f>
        <v/>
      </c>
      <c r="D23" s="12">
        <f>D19-D10</f>
        <v/>
      </c>
      <c r="E23" s="12">
        <f>E19-E10</f>
        <v/>
      </c>
      <c r="F23" s="12">
        <f>F19-F10</f>
        <v/>
      </c>
      <c r="G23" s="12">
        <f>G19-G10</f>
        <v/>
      </c>
      <c r="H23" s="12">
        <f>H19-H10</f>
        <v/>
      </c>
      <c r="I23" s="12">
        <f>I19-I10</f>
        <v/>
      </c>
      <c r="J23" s="12">
        <f>J19-J10</f>
        <v/>
      </c>
      <c r="K23" s="12">
        <f>K19-K10</f>
        <v/>
      </c>
      <c r="L23" s="12">
        <f>L19-L10</f>
        <v/>
      </c>
    </row>
    <row r="24">
      <c r="A24" t="inlineStr">
        <is>
          <t>Memo: owner-FCF margin</t>
        </is>
      </c>
      <c r="C24" s="9">
        <f>C19/C6</f>
        <v/>
      </c>
      <c r="D24" s="9">
        <f>D19/D6</f>
        <v/>
      </c>
      <c r="E24" s="9">
        <f>E19/E6</f>
        <v/>
      </c>
      <c r="F24" s="9">
        <f>F19/F6</f>
        <v/>
      </c>
      <c r="G24" s="9">
        <f>G19/G6</f>
        <v/>
      </c>
      <c r="H24" s="9">
        <f>H19/H6</f>
        <v/>
      </c>
      <c r="I24" s="9">
        <f>I19/I6</f>
        <v/>
      </c>
      <c r="J24" s="9">
        <f>J19/J6</f>
        <v/>
      </c>
      <c r="K24" s="9">
        <f>K19/K6</f>
        <v/>
      </c>
      <c r="L24" s="9">
        <f>L19/L6</f>
        <v/>
      </c>
    </row>
    <row r="26">
      <c r="A26" t="inlineStr">
        <is>
          <t>Sum of PV (explicit years)</t>
        </is>
      </c>
      <c r="B26" s="12">
        <f>SUM(C21:L21)</f>
        <v/>
      </c>
    </row>
    <row r="27">
      <c r="A27" t="inlineStr">
        <is>
          <t>Terminal growth</t>
        </is>
      </c>
      <c r="B27" s="15">
        <f>Assumptions!$B$14</f>
        <v/>
      </c>
    </row>
    <row r="28">
      <c r="A28" t="inlineStr">
        <is>
          <t>Terminal-year FCF x (1+g)</t>
        </is>
      </c>
      <c r="B28" s="12">
        <f>L19*(1+B27)</f>
        <v/>
      </c>
    </row>
    <row r="29">
      <c r="A29" t="inlineStr">
        <is>
          <t>Gordon terminal value</t>
        </is>
      </c>
      <c r="B29" s="12">
        <f>IF(Assumptions!$B$4&gt;B27,B28/(Assumptions!$B$4-B27),1E+12)</f>
        <v/>
      </c>
    </row>
    <row r="30">
      <c r="A30" t="inlineStr">
        <is>
          <t>Cap terminal value</t>
        </is>
      </c>
      <c r="B30" s="13">
        <f>Assumptions!$B$9*L19</f>
        <v/>
      </c>
    </row>
    <row r="31">
      <c r="A31" t="inlineStr">
        <is>
          <t>Terminal value used</t>
        </is>
      </c>
      <c r="B31" s="12">
        <f>MAX(0,MIN(B29,B30))</f>
        <v/>
      </c>
    </row>
    <row r="32">
      <c r="A32" t="inlineStr">
        <is>
          <t>Implied exit multiple (x FCF)</t>
        </is>
      </c>
      <c r="B32" s="16">
        <f>IF(L19&lt;&gt;0,B31/L19,0)</f>
        <v/>
      </c>
    </row>
    <row r="33">
      <c r="A33" t="inlineStr">
        <is>
          <t>PV of terminal value</t>
        </is>
      </c>
      <c r="B33" s="12">
        <f>B31*L20</f>
        <v/>
      </c>
    </row>
    <row r="34">
      <c r="A34" t="inlineStr">
        <is>
          <t>Enterprise value</t>
        </is>
      </c>
      <c r="B34" s="12">
        <f>B26+B33</f>
        <v/>
      </c>
    </row>
    <row r="35">
      <c r="A35" t="inlineStr">
        <is>
          <t>Less net debt</t>
        </is>
      </c>
      <c r="B35" s="13">
        <f>-Assumptions!$B$6</f>
        <v/>
      </c>
    </row>
    <row r="36">
      <c r="A36" t="inlineStr">
        <is>
          <t>Equity value</t>
        </is>
      </c>
      <c r="B36" s="12">
        <f>B34+B35</f>
        <v/>
      </c>
    </row>
    <row r="37">
      <c r="A37" t="inlineStr">
        <is>
          <t>Diluted securities (m)</t>
        </is>
      </c>
      <c r="B37" s="17">
        <f>Assumptions!$B$7</f>
        <v/>
      </c>
    </row>
    <row r="38">
      <c r="A38" t="inlineStr">
        <is>
          <t>VALUE PER SECURITY (AUD)</t>
        </is>
      </c>
      <c r="B38" s="18">
        <f>B36/B37</f>
        <v/>
      </c>
    </row>
    <row r="39">
      <c r="A39" t="inlineStr">
        <is>
          <t>Upside vs price</t>
        </is>
      </c>
      <c r="B39" s="9">
        <f>B38/Assumptions!$B$8-1</f>
        <v/>
      </c>
    </row>
    <row r="41">
      <c r="A41" t="inlineStr">
        <is>
          <t>Street memo: PV of explicit SBC</t>
        </is>
      </c>
      <c r="B41" s="12">
        <f>SUMPRODUCT(-C10:L10/(1+Assumptions!$B$4)^C4:L4)</f>
        <v/>
      </c>
    </row>
    <row r="42">
      <c r="A42" t="inlineStr">
        <is>
          <t>Street memo: PV of terminal SBC</t>
        </is>
      </c>
      <c r="B42" s="12">
        <f>IF(Assumptions!$B$4&gt;B27,(-L10*(1+B27)/(Assumptions!$B$4-B27))*L20,0)</f>
        <v/>
      </c>
    </row>
    <row r="43">
      <c r="A43" t="inlineStr">
        <is>
          <t>Street value per security</t>
        </is>
      </c>
      <c r="B43" s="19">
        <f>(B36+B41+B42)/B37</f>
        <v/>
      </c>
    </row>
    <row r="45">
      <c r="A45" t="inlineStr">
        <is>
          <t>D&amp;A % of revenue (driver)</t>
        </is>
      </c>
      <c r="C45" s="10" t="n">
        <v>0.34</v>
      </c>
      <c r="D45" s="10" t="n">
        <v>0.33</v>
      </c>
      <c r="E45" s="10" t="n">
        <v>0.32</v>
      </c>
      <c r="F45" s="10" t="n">
        <v>0.31</v>
      </c>
      <c r="G45" s="10" t="n">
        <v>0.3</v>
      </c>
      <c r="H45" s="10" t="n">
        <v>0.28</v>
      </c>
      <c r="I45" s="10" t="n">
        <v>0.26</v>
      </c>
      <c r="J45" s="10" t="n">
        <v>0.24</v>
      </c>
      <c r="K45" s="10" t="n">
        <v>0.22</v>
      </c>
      <c r="L45" s="10" t="n">
        <v>0.21</v>
      </c>
    </row>
    <row r="46">
      <c r="A46" t="inlineStr">
        <is>
          <t>Capex % of revenue (driver)</t>
        </is>
      </c>
      <c r="C46" s="10" t="n">
        <v>0.31</v>
      </c>
      <c r="D46" s="10" t="n">
        <v>0.31</v>
      </c>
      <c r="E46" s="10" t="n">
        <v>0.3</v>
      </c>
      <c r="F46" s="10" t="n">
        <v>0.27</v>
      </c>
      <c r="G46" s="10" t="n">
        <v>0.24</v>
      </c>
      <c r="H46" s="10" t="n">
        <v>0.21</v>
      </c>
      <c r="I46" s="10" t="n">
        <v>0.19</v>
      </c>
      <c r="J46" s="10" t="n">
        <v>0.18</v>
      </c>
      <c r="K46" s="10" t="n">
        <v>0.18</v>
      </c>
      <c r="L46" s="10" t="n">
        <v>0.18</v>
      </c>
    </row>
    <row r="48">
      <c r="A48" t="inlineStr">
        <is>
          <t>Note: terminal value = MAX(0, MIN(Gordon, cap x FCF)). Row 29 returns 1E+12 when WACC &lt;= g so the MIN still selects the cap.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DCF_Bull: unlevered owner-FCF build, AUD millions. Drivers (blue/yellow) in rows 5, 7, 9, 14, 45, 46.</t>
        </is>
      </c>
    </row>
    <row r="3">
      <c r="A3" t="inlineStr">
        <is>
          <t>Year</t>
        </is>
      </c>
      <c r="B3" t="inlineStr">
        <is>
          <t>2026A</t>
        </is>
      </c>
      <c r="C3" s="1" t="inlineStr">
        <is>
          <t>2027E</t>
        </is>
      </c>
      <c r="D3" s="1" t="inlineStr">
        <is>
          <t>2028E</t>
        </is>
      </c>
      <c r="E3" s="1" t="inlineStr">
        <is>
          <t>2029E</t>
        </is>
      </c>
      <c r="F3" s="1" t="inlineStr">
        <is>
          <t>2030E</t>
        </is>
      </c>
      <c r="G3" s="1" t="inlineStr">
        <is>
          <t>2031E</t>
        </is>
      </c>
      <c r="H3" s="1" t="inlineStr">
        <is>
          <t>2032E</t>
        </is>
      </c>
      <c r="I3" s="1" t="inlineStr">
        <is>
          <t>2033E</t>
        </is>
      </c>
      <c r="J3" s="1" t="inlineStr">
        <is>
          <t>2034E</t>
        </is>
      </c>
      <c r="K3" s="1" t="inlineStr">
        <is>
          <t>2035E</t>
        </is>
      </c>
      <c r="L3" s="1" t="inlineStr">
        <is>
          <t>2036E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10" t="n">
        <v>0.05</v>
      </c>
      <c r="D5" s="10" t="n">
        <v>0.05</v>
      </c>
      <c r="E5" s="10" t="n">
        <v>0.05</v>
      </c>
      <c r="F5" s="10" t="n">
        <v>0.05</v>
      </c>
      <c r="G5" s="10" t="n">
        <v>0.045</v>
      </c>
      <c r="H5" s="10" t="n">
        <v>0.04</v>
      </c>
      <c r="I5" s="10" t="n">
        <v>0.035</v>
      </c>
      <c r="J5" s="10" t="n">
        <v>0.03</v>
      </c>
      <c r="K5" s="10" t="n">
        <v>0.03</v>
      </c>
      <c r="L5" s="10" t="n">
        <v>0.03</v>
      </c>
    </row>
    <row r="6">
      <c r="A6" t="inlineStr">
        <is>
          <t>Revenue</t>
        </is>
      </c>
      <c r="B6" s="11" t="n">
        <v>2977</v>
      </c>
      <c r="C6" s="12">
        <f>B6*(1+C5)</f>
        <v/>
      </c>
      <c r="D6" s="12">
        <f>C6*(1+D5)</f>
        <v/>
      </c>
      <c r="E6" s="12">
        <f>D6*(1+E5)</f>
        <v/>
      </c>
      <c r="F6" s="12">
        <f>E6*(1+F5)</f>
        <v/>
      </c>
      <c r="G6" s="12">
        <f>F6*(1+G5)</f>
        <v/>
      </c>
      <c r="H6" s="12">
        <f>G6*(1+H5)</f>
        <v/>
      </c>
      <c r="I6" s="12">
        <f>H6*(1+I5)</f>
        <v/>
      </c>
      <c r="J6" s="12">
        <f>I6*(1+J5)</f>
        <v/>
      </c>
      <c r="K6" s="12">
        <f>J6*(1+K5)</f>
        <v/>
      </c>
      <c r="L6" s="12">
        <f>K6*(1+L5)</f>
        <v/>
      </c>
    </row>
    <row r="7">
      <c r="A7" t="inlineStr">
        <is>
          <t>Adj EBITDA margin</t>
        </is>
      </c>
      <c r="C7" s="10" t="n">
        <v>0.73</v>
      </c>
      <c r="D7" s="10" t="n">
        <v>0.735</v>
      </c>
      <c r="E7" s="10" t="n">
        <v>0.74</v>
      </c>
      <c r="F7" s="10" t="n">
        <v>0.743</v>
      </c>
      <c r="G7" s="10" t="n">
        <v>0.746</v>
      </c>
      <c r="H7" s="10" t="n">
        <v>0.748</v>
      </c>
      <c r="I7" s="10" t="n">
        <v>0.75</v>
      </c>
      <c r="J7" s="10" t="n">
        <v>0.75</v>
      </c>
      <c r="K7" s="10" t="n">
        <v>0.75</v>
      </c>
      <c r="L7" s="10" t="n">
        <v>0.75</v>
      </c>
    </row>
    <row r="8">
      <c r="A8" t="inlineStr">
        <is>
          <t>Adjusted EBITDA</t>
        </is>
      </c>
      <c r="B8" s="11" t="n">
        <v>2123</v>
      </c>
      <c r="C8" s="12">
        <f>C6*C7</f>
        <v/>
      </c>
      <c r="D8" s="12">
        <f>D6*D7</f>
        <v/>
      </c>
      <c r="E8" s="12">
        <f>E6*E7</f>
        <v/>
      </c>
      <c r="F8" s="12">
        <f>F6*F7</f>
        <v/>
      </c>
      <c r="G8" s="12">
        <f>G6*G7</f>
        <v/>
      </c>
      <c r="H8" s="12">
        <f>H6*H7</f>
        <v/>
      </c>
      <c r="I8" s="12">
        <f>I6*I7</f>
        <v/>
      </c>
      <c r="J8" s="12">
        <f>J6*J7</f>
        <v/>
      </c>
      <c r="K8" s="12">
        <f>K6*K7</f>
        <v/>
      </c>
      <c r="L8" s="12">
        <f>L6*L7</f>
        <v/>
      </c>
    </row>
    <row r="9">
      <c r="A9" t="inlineStr">
        <is>
          <t>SBC % of revenue</t>
        </is>
      </c>
      <c r="C9" s="10" t="n">
        <v>0.00134</v>
      </c>
      <c r="D9" s="10" t="n">
        <v>0.00134</v>
      </c>
      <c r="E9" s="10" t="n">
        <v>0.00134</v>
      </c>
      <c r="F9" s="10" t="n">
        <v>0.00134</v>
      </c>
      <c r="G9" s="10" t="n">
        <v>0.00134</v>
      </c>
      <c r="H9" s="10" t="n">
        <v>0.00134</v>
      </c>
      <c r="I9" s="10" t="n">
        <v>0.00134</v>
      </c>
      <c r="J9" s="10" t="n">
        <v>0.00134</v>
      </c>
      <c r="K9" s="10" t="n">
        <v>0.00134</v>
      </c>
      <c r="L9" s="10" t="n">
        <v>0.00134</v>
      </c>
    </row>
    <row r="10">
      <c r="A10" t="inlineStr">
        <is>
          <t>SBC (negative)</t>
        </is>
      </c>
      <c r="B10" s="11" t="n">
        <v>-4</v>
      </c>
      <c r="C10" s="12">
        <f>-C6*C9</f>
        <v/>
      </c>
      <c r="D10" s="12">
        <f>-D6*D9</f>
        <v/>
      </c>
      <c r="E10" s="12">
        <f>-E6*E9</f>
        <v/>
      </c>
      <c r="F10" s="12">
        <f>-F6*F9</f>
        <v/>
      </c>
      <c r="G10" s="12">
        <f>-G6*G9</f>
        <v/>
      </c>
      <c r="H10" s="12">
        <f>-H6*H9</f>
        <v/>
      </c>
      <c r="I10" s="12">
        <f>-I6*I9</f>
        <v/>
      </c>
      <c r="J10" s="12">
        <f>-J6*J9</f>
        <v/>
      </c>
      <c r="K10" s="12">
        <f>-K6*K9</f>
        <v/>
      </c>
      <c r="L10" s="12">
        <f>-L6*L9</f>
        <v/>
      </c>
    </row>
    <row r="11">
      <c r="A11" t="inlineStr">
        <is>
          <t>Owner EBITDA</t>
        </is>
      </c>
      <c r="C11" s="12">
        <f>C8+C10</f>
        <v/>
      </c>
      <c r="D11" s="12">
        <f>D8+D10</f>
        <v/>
      </c>
      <c r="E11" s="12">
        <f>E8+E10</f>
        <v/>
      </c>
      <c r="F11" s="12">
        <f>F8+F10</f>
        <v/>
      </c>
      <c r="G11" s="12">
        <f>G8+G10</f>
        <v/>
      </c>
      <c r="H11" s="12">
        <f>H8+H10</f>
        <v/>
      </c>
      <c r="I11" s="12">
        <f>I8+I10</f>
        <v/>
      </c>
      <c r="J11" s="12">
        <f>J8+J10</f>
        <v/>
      </c>
      <c r="K11" s="12">
        <f>K8+K10</f>
        <v/>
      </c>
      <c r="L11" s="12">
        <f>L8+L10</f>
        <v/>
      </c>
    </row>
    <row r="12">
      <c r="A12" t="inlineStr">
        <is>
          <t>D&amp;A (negative)</t>
        </is>
      </c>
      <c r="B12" s="11" t="n">
        <v>-1042</v>
      </c>
      <c r="C12" s="12">
        <f>-C6*C45</f>
        <v/>
      </c>
      <c r="D12" s="12">
        <f>-D6*D45</f>
        <v/>
      </c>
      <c r="E12" s="12">
        <f>-E6*E45</f>
        <v/>
      </c>
      <c r="F12" s="12">
        <f>-F6*F45</f>
        <v/>
      </c>
      <c r="G12" s="12">
        <f>-G6*G45</f>
        <v/>
      </c>
      <c r="H12" s="12">
        <f>-H6*H45</f>
        <v/>
      </c>
      <c r="I12" s="12">
        <f>-I6*I45</f>
        <v/>
      </c>
      <c r="J12" s="12">
        <f>-J6*J45</f>
        <v/>
      </c>
      <c r="K12" s="12">
        <f>-K6*K45</f>
        <v/>
      </c>
      <c r="L12" s="12">
        <f>-L6*L45</f>
        <v/>
      </c>
    </row>
    <row r="13">
      <c r="A13" t="inlineStr">
        <is>
          <t>EBIT (SBC expensed)</t>
        </is>
      </c>
      <c r="C13" s="12">
        <f>C11+C12</f>
        <v/>
      </c>
      <c r="D13" s="12">
        <f>D11+D12</f>
        <v/>
      </c>
      <c r="E13" s="12">
        <f>E11+E12</f>
        <v/>
      </c>
      <c r="F13" s="12">
        <f>F11+F12</f>
        <v/>
      </c>
      <c r="G13" s="12">
        <f>G11+G12</f>
        <v/>
      </c>
      <c r="H13" s="12">
        <f>H11+H12</f>
        <v/>
      </c>
      <c r="I13" s="12">
        <f>I11+I12</f>
        <v/>
      </c>
      <c r="J13" s="12">
        <f>J11+J12</f>
        <v/>
      </c>
      <c r="K13" s="12">
        <f>K11+K12</f>
        <v/>
      </c>
      <c r="L13" s="12">
        <f>L11+L12</f>
        <v/>
      </c>
    </row>
    <row r="14">
      <c r="A14" t="inlineStr">
        <is>
          <t>Cash tax rate on EBIT</t>
        </is>
      </c>
      <c r="C14" s="10" t="n">
        <v>0.33</v>
      </c>
      <c r="D14" s="10" t="n">
        <v>0.33</v>
      </c>
      <c r="E14" s="10" t="n">
        <v>0.33</v>
      </c>
      <c r="F14" s="10" t="n">
        <v>0.33</v>
      </c>
      <c r="G14" s="10" t="n">
        <v>0.33</v>
      </c>
      <c r="H14" s="10" t="n">
        <v>0.32</v>
      </c>
      <c r="I14" s="10" t="n">
        <v>0.32</v>
      </c>
      <c r="J14" s="10" t="n">
        <v>0.32</v>
      </c>
      <c r="K14" s="10" t="n">
        <v>0.31</v>
      </c>
      <c r="L14" s="10" t="n">
        <v>0.31</v>
      </c>
    </row>
    <row r="15">
      <c r="A15" t="inlineStr">
        <is>
          <t>NOPAT</t>
        </is>
      </c>
      <c r="C15" s="12">
        <f>C13-MAX(0,C13)*C14</f>
        <v/>
      </c>
      <c r="D15" s="12">
        <f>D13-MAX(0,D13)*D14</f>
        <v/>
      </c>
      <c r="E15" s="12">
        <f>E13-MAX(0,E13)*E14</f>
        <v/>
      </c>
      <c r="F15" s="12">
        <f>F13-MAX(0,F13)*F14</f>
        <v/>
      </c>
      <c r="G15" s="12">
        <f>G13-MAX(0,G13)*G14</f>
        <v/>
      </c>
      <c r="H15" s="12">
        <f>H13-MAX(0,H13)*H14</f>
        <v/>
      </c>
      <c r="I15" s="12">
        <f>I13-MAX(0,I13)*I14</f>
        <v/>
      </c>
      <c r="J15" s="12">
        <f>J13-MAX(0,J13)*J14</f>
        <v/>
      </c>
      <c r="K15" s="12">
        <f>K13-MAX(0,K13)*K14</f>
        <v/>
      </c>
      <c r="L15" s="12">
        <f>L13-MAX(0,L13)*L14</f>
        <v/>
      </c>
    </row>
    <row r="16">
      <c r="A16" t="inlineStr">
        <is>
          <t>Add back D&amp;A</t>
        </is>
      </c>
      <c r="C16" s="12">
        <f>-C12</f>
        <v/>
      </c>
      <c r="D16" s="12">
        <f>-D12</f>
        <v/>
      </c>
      <c r="E16" s="12">
        <f>-E12</f>
        <v/>
      </c>
      <c r="F16" s="12">
        <f>-F12</f>
        <v/>
      </c>
      <c r="G16" s="12">
        <f>-G12</f>
        <v/>
      </c>
      <c r="H16" s="12">
        <f>-H12</f>
        <v/>
      </c>
      <c r="I16" s="12">
        <f>-I12</f>
        <v/>
      </c>
      <c r="J16" s="12">
        <f>-J12</f>
        <v/>
      </c>
      <c r="K16" s="12">
        <f>-K12</f>
        <v/>
      </c>
      <c r="L16" s="12">
        <f>-L12</f>
        <v/>
      </c>
    </row>
    <row r="17">
      <c r="A17" t="inlineStr">
        <is>
          <t>Less capex</t>
        </is>
      </c>
      <c r="B17" s="11" t="n">
        <v>-845</v>
      </c>
      <c r="C17" s="12">
        <f>-C6*C46</f>
        <v/>
      </c>
      <c r="D17" s="12">
        <f>-D6*D46</f>
        <v/>
      </c>
      <c r="E17" s="12">
        <f>-E6*E46</f>
        <v/>
      </c>
      <c r="F17" s="12">
        <f>-F6*F46</f>
        <v/>
      </c>
      <c r="G17" s="12">
        <f>-G6*G46</f>
        <v/>
      </c>
      <c r="H17" s="12">
        <f>-H6*H46</f>
        <v/>
      </c>
      <c r="I17" s="12">
        <f>-I6*I46</f>
        <v/>
      </c>
      <c r="J17" s="12">
        <f>-J6*J46</f>
        <v/>
      </c>
      <c r="K17" s="12">
        <f>-K6*K46</f>
        <v/>
      </c>
      <c r="L17" s="12">
        <f>-L6*L46</f>
        <v/>
      </c>
    </row>
    <row r="18">
      <c r="A18" t="inlineStr">
        <is>
          <t>Add working capital</t>
        </is>
      </c>
      <c r="C18" s="13">
        <f>Assumptions!$B$5*(C6-B6)</f>
        <v/>
      </c>
      <c r="D18" s="13">
        <f>Assumptions!$B$5*(D6-C6)</f>
        <v/>
      </c>
      <c r="E18" s="13">
        <f>Assumptions!$B$5*(E6-D6)</f>
        <v/>
      </c>
      <c r="F18" s="13">
        <f>Assumptions!$B$5*(F6-E6)</f>
        <v/>
      </c>
      <c r="G18" s="13">
        <f>Assumptions!$B$5*(G6-F6)</f>
        <v/>
      </c>
      <c r="H18" s="13">
        <f>Assumptions!$B$5*(H6-G6)</f>
        <v/>
      </c>
      <c r="I18" s="13">
        <f>Assumptions!$B$5*(I6-H6)</f>
        <v/>
      </c>
      <c r="J18" s="13">
        <f>Assumptions!$B$5*(J6-I6)</f>
        <v/>
      </c>
      <c r="K18" s="13">
        <f>Assumptions!$B$5*(K6-J6)</f>
        <v/>
      </c>
      <c r="L18" s="13">
        <f>Assumptions!$B$5*(L6-K6)</f>
        <v/>
      </c>
    </row>
    <row r="19">
      <c r="A19" t="inlineStr">
        <is>
          <t>Unlevered owner FCF</t>
        </is>
      </c>
      <c r="C19" s="12">
        <f>C15+C16+C17+C18</f>
        <v/>
      </c>
      <c r="D19" s="12">
        <f>D15+D16+D17+D18</f>
        <v/>
      </c>
      <c r="E19" s="12">
        <f>E15+E16+E17+E18</f>
        <v/>
      </c>
      <c r="F19" s="12">
        <f>F15+F16+F17+F18</f>
        <v/>
      </c>
      <c r="G19" s="12">
        <f>G15+G16+G17+G18</f>
        <v/>
      </c>
      <c r="H19" s="12">
        <f>H15+H16+H17+H18</f>
        <v/>
      </c>
      <c r="I19" s="12">
        <f>I15+I16+I17+I18</f>
        <v/>
      </c>
      <c r="J19" s="12">
        <f>J15+J16+J17+J18</f>
        <v/>
      </c>
      <c r="K19" s="12">
        <f>K15+K16+K17+K18</f>
        <v/>
      </c>
      <c r="L19" s="12">
        <f>L15+L16+L17+L18</f>
        <v/>
      </c>
    </row>
    <row r="20">
      <c r="A20" t="inlineStr">
        <is>
          <t>Discount factor</t>
        </is>
      </c>
      <c r="C20" s="14">
        <f>1/(1+Assumptions!$B$4)^C4</f>
        <v/>
      </c>
      <c r="D20" s="14">
        <f>1/(1+Assumptions!$B$4)^D4</f>
        <v/>
      </c>
      <c r="E20" s="14">
        <f>1/(1+Assumptions!$B$4)^E4</f>
        <v/>
      </c>
      <c r="F20" s="14">
        <f>1/(1+Assumptions!$B$4)^F4</f>
        <v/>
      </c>
      <c r="G20" s="14">
        <f>1/(1+Assumptions!$B$4)^G4</f>
        <v/>
      </c>
      <c r="H20" s="14">
        <f>1/(1+Assumptions!$B$4)^H4</f>
        <v/>
      </c>
      <c r="I20" s="14">
        <f>1/(1+Assumptions!$B$4)^I4</f>
        <v/>
      </c>
      <c r="J20" s="14">
        <f>1/(1+Assumptions!$B$4)^J4</f>
        <v/>
      </c>
      <c r="K20" s="14">
        <f>1/(1+Assumptions!$B$4)^K4</f>
        <v/>
      </c>
      <c r="L20" s="14">
        <f>1/(1+Assumptions!$B$4)^L4</f>
        <v/>
      </c>
    </row>
    <row r="21">
      <c r="A21" t="inlineStr">
        <is>
          <t>PV of FCF</t>
        </is>
      </c>
      <c r="C21" s="12">
        <f>C19*C20</f>
        <v/>
      </c>
      <c r="D21" s="12">
        <f>D19*D20</f>
        <v/>
      </c>
      <c r="E21" s="12">
        <f>E19*E20</f>
        <v/>
      </c>
      <c r="F21" s="12">
        <f>F19*F20</f>
        <v/>
      </c>
      <c r="G21" s="12">
        <f>G19*G20</f>
        <v/>
      </c>
      <c r="H21" s="12">
        <f>H19*H20</f>
        <v/>
      </c>
      <c r="I21" s="12">
        <f>I19*I20</f>
        <v/>
      </c>
      <c r="J21" s="12">
        <f>J19*J20</f>
        <v/>
      </c>
      <c r="K21" s="12">
        <f>K19*K20</f>
        <v/>
      </c>
      <c r="L21" s="12">
        <f>L19*L20</f>
        <v/>
      </c>
    </row>
    <row r="23">
      <c r="A23" t="inlineStr">
        <is>
          <t>Memo: FCF before SBC (company-style)</t>
        </is>
      </c>
      <c r="C23" s="12">
        <f>C19-C10</f>
        <v/>
      </c>
      <c r="D23" s="12">
        <f>D19-D10</f>
        <v/>
      </c>
      <c r="E23" s="12">
        <f>E19-E10</f>
        <v/>
      </c>
      <c r="F23" s="12">
        <f>F19-F10</f>
        <v/>
      </c>
      <c r="G23" s="12">
        <f>G19-G10</f>
        <v/>
      </c>
      <c r="H23" s="12">
        <f>H19-H10</f>
        <v/>
      </c>
      <c r="I23" s="12">
        <f>I19-I10</f>
        <v/>
      </c>
      <c r="J23" s="12">
        <f>J19-J10</f>
        <v/>
      </c>
      <c r="K23" s="12">
        <f>K19-K10</f>
        <v/>
      </c>
      <c r="L23" s="12">
        <f>L19-L10</f>
        <v/>
      </c>
    </row>
    <row r="24">
      <c r="A24" t="inlineStr">
        <is>
          <t>Memo: owner-FCF margin</t>
        </is>
      </c>
      <c r="C24" s="9">
        <f>C19/C6</f>
        <v/>
      </c>
      <c r="D24" s="9">
        <f>D19/D6</f>
        <v/>
      </c>
      <c r="E24" s="9">
        <f>E19/E6</f>
        <v/>
      </c>
      <c r="F24" s="9">
        <f>F19/F6</f>
        <v/>
      </c>
      <c r="G24" s="9">
        <f>G19/G6</f>
        <v/>
      </c>
      <c r="H24" s="9">
        <f>H19/H6</f>
        <v/>
      </c>
      <c r="I24" s="9">
        <f>I19/I6</f>
        <v/>
      </c>
      <c r="J24" s="9">
        <f>J19/J6</f>
        <v/>
      </c>
      <c r="K24" s="9">
        <f>K19/K6</f>
        <v/>
      </c>
      <c r="L24" s="9">
        <f>L19/L6</f>
        <v/>
      </c>
    </row>
    <row r="26">
      <c r="A26" t="inlineStr">
        <is>
          <t>Sum of PV (explicit years)</t>
        </is>
      </c>
      <c r="B26" s="12">
        <f>SUM(C21:L21)</f>
        <v/>
      </c>
    </row>
    <row r="27">
      <c r="A27" t="inlineStr">
        <is>
          <t>Terminal growth</t>
        </is>
      </c>
      <c r="B27" s="15">
        <f>Assumptions!$B$15</f>
        <v/>
      </c>
    </row>
    <row r="28">
      <c r="A28" t="inlineStr">
        <is>
          <t>Terminal-year FCF x (1+g)</t>
        </is>
      </c>
      <c r="B28" s="12">
        <f>L19*(1+B27)</f>
        <v/>
      </c>
    </row>
    <row r="29">
      <c r="A29" t="inlineStr">
        <is>
          <t>Gordon terminal value</t>
        </is>
      </c>
      <c r="B29" s="12">
        <f>IF(Assumptions!$B$4&gt;B27,B28/(Assumptions!$B$4-B27),1E+12)</f>
        <v/>
      </c>
    </row>
    <row r="30">
      <c r="A30" t="inlineStr">
        <is>
          <t>Cap terminal value</t>
        </is>
      </c>
      <c r="B30" s="13">
        <f>Assumptions!$B$9*L19</f>
        <v/>
      </c>
    </row>
    <row r="31">
      <c r="A31" t="inlineStr">
        <is>
          <t>Terminal value used</t>
        </is>
      </c>
      <c r="B31" s="12">
        <f>MAX(0,MIN(B29,B30))</f>
        <v/>
      </c>
    </row>
    <row r="32">
      <c r="A32" t="inlineStr">
        <is>
          <t>Implied exit multiple (x FCF)</t>
        </is>
      </c>
      <c r="B32" s="16">
        <f>IF(L19&lt;&gt;0,B31/L19,0)</f>
        <v/>
      </c>
    </row>
    <row r="33">
      <c r="A33" t="inlineStr">
        <is>
          <t>PV of terminal value</t>
        </is>
      </c>
      <c r="B33" s="12">
        <f>B31*L20</f>
        <v/>
      </c>
    </row>
    <row r="34">
      <c r="A34" t="inlineStr">
        <is>
          <t>Enterprise value</t>
        </is>
      </c>
      <c r="B34" s="12">
        <f>B26+B33</f>
        <v/>
      </c>
    </row>
    <row r="35">
      <c r="A35" t="inlineStr">
        <is>
          <t>Less net debt</t>
        </is>
      </c>
      <c r="B35" s="13">
        <f>-Assumptions!$B$6</f>
        <v/>
      </c>
    </row>
    <row r="36">
      <c r="A36" t="inlineStr">
        <is>
          <t>Equity value</t>
        </is>
      </c>
      <c r="B36" s="12">
        <f>B34+B35</f>
        <v/>
      </c>
    </row>
    <row r="37">
      <c r="A37" t="inlineStr">
        <is>
          <t>Diluted securities (m)</t>
        </is>
      </c>
      <c r="B37" s="17">
        <f>Assumptions!$B$7</f>
        <v/>
      </c>
    </row>
    <row r="38">
      <c r="A38" t="inlineStr">
        <is>
          <t>VALUE PER SECURITY (AUD)</t>
        </is>
      </c>
      <c r="B38" s="18">
        <f>B36/B37</f>
        <v/>
      </c>
    </row>
    <row r="39">
      <c r="A39" t="inlineStr">
        <is>
          <t>Upside vs price</t>
        </is>
      </c>
      <c r="B39" s="9">
        <f>B38/Assumptions!$B$8-1</f>
        <v/>
      </c>
    </row>
    <row r="41">
      <c r="A41" t="inlineStr">
        <is>
          <t>Street memo: PV of explicit SBC</t>
        </is>
      </c>
      <c r="B41" s="12">
        <f>SUMPRODUCT(-C10:L10/(1+Assumptions!$B$4)^C4:L4)</f>
        <v/>
      </c>
    </row>
    <row r="42">
      <c r="A42" t="inlineStr">
        <is>
          <t>Street memo: PV of terminal SBC</t>
        </is>
      </c>
      <c r="B42" s="12">
        <f>IF(Assumptions!$B$4&gt;B27,(-L10*(1+B27)/(Assumptions!$B$4-B27))*L20,0)</f>
        <v/>
      </c>
    </row>
    <row r="43">
      <c r="A43" t="inlineStr">
        <is>
          <t>Street value per security</t>
        </is>
      </c>
      <c r="B43" s="19">
        <f>(B36+B41+B42)/B37</f>
        <v/>
      </c>
    </row>
    <row r="45">
      <c r="A45" t="inlineStr">
        <is>
          <t>D&amp;A % of revenue (driver)</t>
        </is>
      </c>
      <c r="C45" s="10" t="n">
        <v>0.34</v>
      </c>
      <c r="D45" s="10" t="n">
        <v>0.33</v>
      </c>
      <c r="E45" s="10" t="n">
        <v>0.32</v>
      </c>
      <c r="F45" s="10" t="n">
        <v>0.31</v>
      </c>
      <c r="G45" s="10" t="n">
        <v>0.3</v>
      </c>
      <c r="H45" s="10" t="n">
        <v>0.28</v>
      </c>
      <c r="I45" s="10" t="n">
        <v>0.26</v>
      </c>
      <c r="J45" s="10" t="n">
        <v>0.24</v>
      </c>
      <c r="K45" s="10" t="n">
        <v>0.22</v>
      </c>
      <c r="L45" s="10" t="n">
        <v>0.21</v>
      </c>
    </row>
    <row r="46">
      <c r="A46" t="inlineStr">
        <is>
          <t>Capex % of revenue (driver)</t>
        </is>
      </c>
      <c r="C46" s="10" t="n">
        <v>0.33</v>
      </c>
      <c r="D46" s="10" t="n">
        <v>0.33</v>
      </c>
      <c r="E46" s="10" t="n">
        <v>0.32</v>
      </c>
      <c r="F46" s="10" t="n">
        <v>0.28</v>
      </c>
      <c r="G46" s="10" t="n">
        <v>0.25</v>
      </c>
      <c r="H46" s="10" t="n">
        <v>0.22</v>
      </c>
      <c r="I46" s="10" t="n">
        <v>0.2</v>
      </c>
      <c r="J46" s="10" t="n">
        <v>0.18</v>
      </c>
      <c r="K46" s="10" t="n">
        <v>0.18</v>
      </c>
      <c r="L46" s="10" t="n">
        <v>0.18</v>
      </c>
    </row>
    <row r="48">
      <c r="A48" t="inlineStr">
        <is>
          <t>Note: terminal value = MAX(0, MIN(Gordon, cap x FCF)). Row 29 returns 1E+12 when WACC &lt;= g so the MIN still selects the cap.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Reported FCF reconciled to owner FCF (AUD m). APA's own 'Free Cash Flow' deducts SIB capex only and is post-interest; the owner series deducts ALL capex.</t>
        </is>
      </c>
    </row>
    <row r="3">
      <c r="B3" s="1" t="inlineStr">
        <is>
          <t>FY2021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  <c r="G3" s="1" t="inlineStr">
        <is>
          <t>FY2026</t>
        </is>
      </c>
    </row>
    <row r="4">
      <c r="A4" t="inlineStr">
        <is>
          <t>Operating cash flow</t>
        </is>
      </c>
      <c r="B4" s="2" t="n">
        <v>1050.958</v>
      </c>
      <c r="C4" s="2" t="n">
        <v>1197.268</v>
      </c>
      <c r="D4" s="2" t="n">
        <v>1206</v>
      </c>
      <c r="E4" s="2" t="n">
        <v>1156</v>
      </c>
      <c r="F4" s="2" t="n">
        <v>1284</v>
      </c>
      <c r="G4" s="2" t="n">
        <v>1252</v>
      </c>
    </row>
    <row r="5">
      <c r="A5" t="inlineStr">
        <is>
          <t>Less: total capex</t>
        </is>
      </c>
      <c r="B5" s="2" t="n">
        <v>-432.928</v>
      </c>
      <c r="C5" s="2" t="n">
        <v>-689.045</v>
      </c>
      <c r="D5" s="2" t="n">
        <v>-1180</v>
      </c>
      <c r="E5" s="2" t="n">
        <v>-1096</v>
      </c>
      <c r="F5" s="2" t="n">
        <v>-964</v>
      </c>
      <c r="G5" s="2" t="n">
        <v>-845</v>
      </c>
    </row>
    <row r="6">
      <c r="A6" t="inlineStr">
        <is>
          <t>Reported FCF (OCF - total capex)</t>
        </is>
      </c>
      <c r="B6" s="20">
        <f>B4+B5</f>
        <v/>
      </c>
      <c r="C6" s="20">
        <f>C4+C5</f>
        <v/>
      </c>
      <c r="D6" s="20">
        <f>D4+D5</f>
        <v/>
      </c>
      <c r="E6" s="20">
        <f>E4+E5</f>
        <v/>
      </c>
      <c r="F6" s="20">
        <f>F4+F5</f>
        <v/>
      </c>
      <c r="G6" s="20">
        <f>G4+G5</f>
        <v/>
      </c>
    </row>
    <row r="7">
      <c r="A7" t="inlineStr">
        <is>
          <t>Less: SBC incl. equity-award taxes</t>
        </is>
      </c>
      <c r="B7" s="2" t="n">
        <v>-2</v>
      </c>
      <c r="C7" s="2" t="n">
        <v>-3</v>
      </c>
      <c r="D7" s="2" t="n">
        <v>-3</v>
      </c>
      <c r="E7" s="2" t="n">
        <v>-2</v>
      </c>
      <c r="F7" s="2" t="n">
        <v>-4</v>
      </c>
      <c r="G7" s="2" t="n">
        <v>-4</v>
      </c>
    </row>
    <row r="8">
      <c r="A8" t="inlineStr">
        <is>
          <t>Less: interest income (not stripped -- net-debt company)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t="inlineStr">
        <is>
          <t>Owner FCF</t>
        </is>
      </c>
      <c r="B9" s="20">
        <f>B6+B7+B8</f>
        <v/>
      </c>
      <c r="C9" s="20">
        <f>C6+C7+C8</f>
        <v/>
      </c>
      <c r="D9" s="20">
        <f>D6+D7+D8</f>
        <v/>
      </c>
      <c r="E9" s="20">
        <f>E6+E7+E8</f>
        <v/>
      </c>
      <c r="F9" s="20">
        <f>F6+F7+F8</f>
        <v/>
      </c>
      <c r="G9" s="20">
        <f>G6+G7+G8</f>
        <v/>
      </c>
    </row>
    <row r="10">
      <c r="A10" t="inlineStr">
        <is>
          <t>Memo: company-definition FCF (SIB capex only)</t>
        </is>
      </c>
      <c r="B10" s="2" t="n">
        <v>901.9</v>
      </c>
      <c r="C10" s="2" t="n">
        <v>1080.6</v>
      </c>
      <c r="D10" s="2" t="n">
        <v>1070</v>
      </c>
      <c r="E10" s="2" t="n">
        <v>1073</v>
      </c>
      <c r="F10" s="2" t="n">
        <v>1083</v>
      </c>
      <c r="G10" s="2" t="n">
        <v>1118</v>
      </c>
    </row>
    <row r="11">
      <c r="A11" t="inlineStr">
        <is>
          <t>Memo: growth + foundation capex funded by debt/DRP</t>
        </is>
      </c>
      <c r="B11" s="20">
        <f>B10-B9</f>
        <v/>
      </c>
      <c r="C11" s="20">
        <f>C10-C9</f>
        <v/>
      </c>
      <c r="D11" s="20">
        <f>D10-D9</f>
        <v/>
      </c>
      <c r="E11" s="20">
        <f>E10-E9</f>
        <v/>
      </c>
      <c r="F11" s="20">
        <f>F10-F9</f>
        <v/>
      </c>
      <c r="G11" s="20">
        <f>G10-G9</f>
        <v/>
      </c>
    </row>
    <row r="12">
      <c r="A12" t="inlineStr">
        <is>
          <t>Revenue</t>
        </is>
      </c>
      <c r="B12" s="2" t="n">
        <v>2605.3</v>
      </c>
      <c r="C12" s="2" t="n">
        <v>2705.04</v>
      </c>
      <c r="D12" s="2" t="n">
        <v>2890</v>
      </c>
      <c r="E12" s="2" t="n">
        <v>3039</v>
      </c>
      <c r="F12" s="2" t="n">
        <v>3179</v>
      </c>
      <c r="G12" s="2" t="n">
        <v>2977</v>
      </c>
    </row>
    <row r="13">
      <c r="A13" t="inlineStr">
        <is>
          <t>Reported FCF margin</t>
        </is>
      </c>
      <c r="B13" s="9">
        <f>B6/B12</f>
        <v/>
      </c>
      <c r="C13" s="9">
        <f>C6/C12</f>
        <v/>
      </c>
      <c r="D13" s="9">
        <f>D6/D12</f>
        <v/>
      </c>
      <c r="E13" s="9">
        <f>E6/E12</f>
        <v/>
      </c>
      <c r="F13" s="9">
        <f>F6/F12</f>
        <v/>
      </c>
      <c r="G13" s="9">
        <f>G6/G12</f>
        <v/>
      </c>
    </row>
    <row r="14">
      <c r="A14" t="inlineStr">
        <is>
          <t>Owner FCF margin</t>
        </is>
      </c>
      <c r="B14" s="9">
        <f>B9/B12</f>
        <v/>
      </c>
      <c r="C14" s="9">
        <f>C9/C12</f>
        <v/>
      </c>
      <c r="D14" s="9">
        <f>D9/D12</f>
        <v/>
      </c>
      <c r="E14" s="9">
        <f>E9/E12</f>
        <v/>
      </c>
      <c r="F14" s="9">
        <f>F9/F12</f>
        <v/>
      </c>
      <c r="G14" s="9">
        <f>G9/G12</f>
        <v/>
      </c>
    </row>
    <row r="15">
      <c r="A15" t="inlineStr">
        <is>
          <t>Memo: cash taxes paid</t>
        </is>
      </c>
      <c r="B15" s="2" t="n"/>
      <c r="C15" s="2" t="n">
        <v>42.715</v>
      </c>
      <c r="D15" s="2" t="n">
        <v>22</v>
      </c>
      <c r="E15" s="2" t="n">
        <v>52</v>
      </c>
      <c r="F15" s="2" t="n">
        <v>74</v>
      </c>
      <c r="G15" s="2" t="n">
        <v>158</v>
      </c>
    </row>
    <row r="16">
      <c r="A16" t="inlineStr">
        <is>
          <t>Memo: cash tax / PBT (flag: FY26 39.5% incl. FY25 catch-up)</t>
        </is>
      </c>
      <c r="B16" s="9" t="inlineStr">
        <is>
          <t>n/a</t>
        </is>
      </c>
      <c r="C16" s="9">
        <f>C15/440.09</f>
        <v/>
      </c>
      <c r="D16" s="9">
        <f>D15/477</f>
        <v/>
      </c>
      <c r="E16" s="9">
        <f>E15/1073</f>
        <v/>
      </c>
      <c r="F16" s="9">
        <f>F15/247</f>
        <v/>
      </c>
      <c r="G16" s="9">
        <f>G15/400</f>
        <v/>
      </c>
    </row>
    <row r="18">
      <c r="A18" t="inlineStr">
        <is>
          <t>Reading: owner FCF after all capex fell from 614 (FY21) to 22-56 (FY23-24) during the capex supercycle and recovered to 403 in FY26; distributions of ~766m/yr exceed it and are funded by DRP (~160m) and net debt. SBC is immaterial.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Valuation summary (AUD per security). Live links; every closed-form cell rebuilds its own terminal value at that rate.</t>
        </is>
      </c>
    </row>
    <row r="3">
      <c r="A3" s="1" t="inlineStr">
        <is>
          <t>Scenario</t>
        </is>
      </c>
      <c r="B3" s="1" t="inlineStr">
        <is>
          <t>Value per security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per security</t>
        </is>
      </c>
      <c r="F3" s="1" t="inlineStr">
        <is>
          <t>TV bound</t>
        </is>
      </c>
      <c r="G3" s="1" t="inlineStr">
        <is>
          <t>Terminal % of EV</t>
        </is>
      </c>
      <c r="H3" s="1" t="inlineStr">
        <is>
          <t>Implied exit multiple</t>
        </is>
      </c>
    </row>
    <row r="4">
      <c r="A4" t="inlineStr">
        <is>
          <t>bear</t>
        </is>
      </c>
      <c r="B4" s="21">
        <f>DCF_Bear!B38</f>
        <v/>
      </c>
      <c r="C4" s="9">
        <f>B4/Assumptions!$B$8-1</f>
        <v/>
      </c>
      <c r="D4" s="21">
        <f>Assumptions!C13</f>
        <v/>
      </c>
      <c r="E4" s="21">
        <f>DCF_Bear!B43</f>
        <v/>
      </c>
      <c r="F4">
        <f>IF(DCF_Bear!B31=0,"floor",IF(DCF_Bear!B29&lt;=DCF_Bear!B30,"gordon","cap"))</f>
        <v/>
      </c>
      <c r="G4" s="9">
        <f>DCF_Bear!B33/DCF_Bear!B34</f>
        <v/>
      </c>
      <c r="H4" s="16">
        <f>DCF_Bear!B32</f>
        <v/>
      </c>
    </row>
    <row r="5">
      <c r="A5" t="inlineStr">
        <is>
          <t>base</t>
        </is>
      </c>
      <c r="B5" s="21">
        <f>DCF_Base!B38</f>
        <v/>
      </c>
      <c r="C5" s="9">
        <f>B5/Assumptions!$B$8-1</f>
        <v/>
      </c>
      <c r="D5" s="21">
        <f>Assumptions!C14</f>
        <v/>
      </c>
      <c r="E5" s="21">
        <f>DCF_Base!B43</f>
        <v/>
      </c>
      <c r="F5">
        <f>IF(DCF_Base!B31=0,"floor",IF(DCF_Base!B29&lt;=DCF_Base!B30,"gordon","cap"))</f>
        <v/>
      </c>
      <c r="G5" s="9">
        <f>DCF_Base!B33/DCF_Base!B34</f>
        <v/>
      </c>
      <c r="H5" s="16">
        <f>DCF_Base!B32</f>
        <v/>
      </c>
    </row>
    <row r="6">
      <c r="A6" t="inlineStr">
        <is>
          <t>bull</t>
        </is>
      </c>
      <c r="B6" s="21">
        <f>DCF_Bull!B38</f>
        <v/>
      </c>
      <c r="C6" s="9">
        <f>B6/Assumptions!$B$8-1</f>
        <v/>
      </c>
      <c r="D6" s="21">
        <f>Assumptions!C15</f>
        <v/>
      </c>
      <c r="E6" s="21">
        <f>DCF_Bull!B43</f>
        <v/>
      </c>
      <c r="F6">
        <f>IF(DCF_Bull!B31=0,"floor",IF(DCF_Bull!B29&lt;=DCF_Bull!B30,"gordon","cap"))</f>
        <v/>
      </c>
      <c r="G6" s="9">
        <f>DCF_Bull!B33/DCF_Bull!B34</f>
        <v/>
      </c>
      <c r="H6" s="16">
        <f>DCF_Bull!B32</f>
        <v/>
      </c>
    </row>
    <row r="8">
      <c r="A8" t="inlineStr">
        <is>
          <t>Probability-weighted value</t>
        </is>
      </c>
      <c r="B8" s="18">
        <f>SUMPRODUCT(B4:B6,D4:D6)</f>
        <v/>
      </c>
    </row>
    <row r="9">
      <c r="A9" t="inlineStr">
        <is>
          <t>Margin of safety vs price</t>
        </is>
      </c>
      <c r="B9" s="9">
        <f>1-Assumptions!B8/B8</f>
        <v/>
      </c>
    </row>
    <row r="10">
      <c r="A10" t="inlineStr">
        <is>
          <t>Street weighted value</t>
        </is>
      </c>
      <c r="B10" s="19">
        <f>SUMPRODUCT(E4:E6,D4:D6)</f>
        <v/>
      </c>
    </row>
    <row r="11">
      <c r="A11" t="inlineStr">
        <is>
          <t>Band position (price - house)/(street - house)</t>
        </is>
      </c>
      <c r="B11">
        <f>IF(ABS(B10-B8)&lt;0.25,"n/a: SBC-zero, band collapsed",(Assumptions!B8-B8)/(B10-B8))</f>
        <v/>
      </c>
    </row>
    <row r="12">
      <c r="A12" t="inlineStr">
        <is>
          <t>Current price</t>
        </is>
      </c>
      <c r="B12" s="21">
        <f>Assumptions!B8</f>
        <v/>
      </c>
    </row>
    <row r="14">
      <c r="A14" s="1" t="inlineStr">
        <is>
          <t>Required-return table (base case; TV rebuilt at each rate)</t>
        </is>
      </c>
    </row>
    <row r="15">
      <c r="A15" t="inlineStr">
        <is>
          <t>Required return</t>
        </is>
      </c>
      <c r="B15" t="inlineStr">
        <is>
          <t>Value per security</t>
        </is>
      </c>
    </row>
    <row r="16">
      <c r="A16" s="22" t="n">
        <v>0.07000000000000001</v>
      </c>
      <c r="B16" s="19">
        <f>(SUMPRODUCT(DCF_Base!$C$19:$L$19/(1+$A$16)^DCF_Base!$C$4:$L$4)+MAX(0,MIN(IF($A$16&gt;Assumptions!$B$14,DCF_Base!$L$19*(1+Assumptions!$B$14)/($A$16-Assumptions!$B$14),1E+12),Assumptions!$B$9*DCF_Base!$L$19))/(1+$A$16)^10-Assumptions!$B$6)/Assumptions!$B$7</f>
        <v/>
      </c>
      <c r="C16" t="inlineStr">
        <is>
          <t>equals DCF_Base!B38 (house WACC)</t>
        </is>
      </c>
    </row>
    <row r="17">
      <c r="A17" s="22" t="n">
        <v>0.09</v>
      </c>
      <c r="B17" s="19">
        <f>(SUMPRODUCT(DCF_Base!$C$19:$L$19/(1+$A$17)^DCF_Base!$C$4:$L$4)+MAX(0,MIN(IF($A$17&gt;Assumptions!$B$14,DCF_Base!$L$19*(1+Assumptions!$B$14)/($A$17-Assumptions!$B$14),1E+12),Assumptions!$B$9*DCF_Base!$L$19))/(1+$A$17)^10-Assumptions!$B$6)/Assumptions!$B$7</f>
        <v/>
      </c>
    </row>
    <row r="18">
      <c r="A18" s="22" t="n">
        <v>0.1</v>
      </c>
      <c r="B18" s="19">
        <f>(SUMPRODUCT(DCF_Base!$C$19:$L$19/(1+$A$18)^DCF_Base!$C$4:$L$4)+MAX(0,MIN(IF($A$18&gt;Assumptions!$B$14,DCF_Base!$L$19*(1+Assumptions!$B$14)/($A$18-Assumptions!$B$14),1E+12),Assumptions!$B$9*DCF_Base!$L$19))/(1+$A$18)^10-Assumptions!$B$6)/Assumptions!$B$7</f>
        <v/>
      </c>
    </row>
    <row r="19">
      <c r="A19" s="22" t="n">
        <v>0.11</v>
      </c>
      <c r="B19" s="19">
        <f>(SUMPRODUCT(DCF_Base!$C$19:$L$19/(1+$A$19)^DCF_Base!$C$4:$L$4)+MAX(0,MIN(IF($A$19&gt;Assumptions!$B$14,DCF_Base!$L$19*(1+Assumptions!$B$14)/($A$19-Assumptions!$B$14),1E+12),Assumptions!$B$9*DCF_Base!$L$19))/(1+$A$19)^10-Assumptions!$B$6)/Assumptions!$B$7</f>
        <v/>
      </c>
    </row>
    <row r="20">
      <c r="A20" s="22" t="n">
        <v>0.12</v>
      </c>
      <c r="B20" s="19">
        <f>(SUMPRODUCT(DCF_Base!$C$19:$L$19/(1+$A$20)^DCF_Base!$C$4:$L$4)+MAX(0,MIN(IF($A$20&gt;Assumptions!$B$14,DCF_Base!$L$19*(1+Assumptions!$B$14)/($A$20-Assumptions!$B$14),1E+12),Assumptions!$B$9*DCF_Base!$L$19))/(1+$A$20)^10-Assumptions!$B$6)/Assumptions!$B$7</f>
        <v/>
      </c>
    </row>
    <row r="21">
      <c r="A21" s="22" t="n">
        <v>0.15</v>
      </c>
      <c r="B21" s="19">
        <f>(SUMPRODUCT(DCF_Base!$C$19:$L$19/(1+$A$21)^DCF_Base!$C$4:$L$4)+MAX(0,MIN(IF($A$21&gt;Assumptions!$B$14,DCF_Base!$L$19*(1+Assumptions!$B$14)/($A$21-Assumptions!$B$14),1E+12),Assumptions!$B$9*DCF_Base!$L$19))/(1+$A$21)^10-Assumptions!$B$6)/Assumptions!$B$7</f>
        <v/>
      </c>
      <c r="C21" t="inlineStr">
        <is>
          <t>equals the base-case 15% entry price</t>
        </is>
      </c>
    </row>
    <row r="23">
      <c r="A23" s="1" t="inlineStr">
        <is>
          <t>15%-hurdle entry prices (TV rebuilt at the hurdle)</t>
        </is>
      </c>
    </row>
    <row r="24">
      <c r="A24" t="inlineStr">
        <is>
          <t>Scenario</t>
        </is>
      </c>
      <c r="B24" t="inlineStr">
        <is>
          <t>Entry price</t>
        </is>
      </c>
      <c r="C24" t="inlineStr">
        <is>
          <t>Probability</t>
        </is>
      </c>
      <c r="D24" t="inlineStr">
        <is>
          <t>Street entry price</t>
        </is>
      </c>
    </row>
    <row r="25">
      <c r="A25" t="inlineStr">
        <is>
          <t>bear</t>
        </is>
      </c>
      <c r="B25" s="19">
        <f>(SUMPRODUCT(DCF_Bear!$C$19:$L$19/(1+Assumptions!$B$10)^DCF_Bear!$C$4:$L$4)+MAX(0,MIN(IF(Assumptions!$B$10&gt;Assumptions!$B$13,DCF_Bear!$L$19*(1+Assumptions!$B$13)/(Assumptions!$B$10-Assumptions!$B$13),1E+12),Assumptions!$B$9*DCF_Bear!$L$19))/(1+Assumptions!$B$10)^10-Assumptions!$B$6)/Assumptions!$B$7</f>
        <v/>
      </c>
      <c r="C25" s="15">
        <f>Assumptions!C13</f>
        <v/>
      </c>
      <c r="D25" s="19">
        <f>B25+(SUMPRODUCT(-DCF_Bear!$C$10:$L$10/(1+Assumptions!$B$10)^DCF_Bear!$C$4:$L$4)+IF(Assumptions!$B$10&gt;Assumptions!$B$13,(-DCF_Bear!$L$10*(1+Assumptions!$B$13)/(Assumptions!$B$10-Assumptions!$B$13))/(1+Assumptions!$B$10)^10,0))/Assumptions!$B$7</f>
        <v/>
      </c>
    </row>
    <row r="26">
      <c r="A26" t="inlineStr">
        <is>
          <t>base</t>
        </is>
      </c>
      <c r="B26" s="19">
        <f>(SUMPRODUCT(DCF_Base!$C$19:$L$19/(1+Assumptions!$B$10)^DCF_Base!$C$4:$L$4)+MAX(0,MIN(IF(Assumptions!$B$10&gt;Assumptions!$B$14,DCF_Base!$L$19*(1+Assumptions!$B$14)/(Assumptions!$B$10-Assumptions!$B$14),1E+12),Assumptions!$B$9*DCF_Base!$L$19))/(1+Assumptions!$B$10)^10-Assumptions!$B$6)/Assumptions!$B$7</f>
        <v/>
      </c>
      <c r="C26" s="15">
        <f>Assumptions!C14</f>
        <v/>
      </c>
      <c r="D26" s="19">
        <f>B26+(SUMPRODUCT(-DCF_Base!$C$10:$L$10/(1+Assumptions!$B$10)^DCF_Base!$C$4:$L$4)+IF(Assumptions!$B$10&gt;Assumptions!$B$14,(-DCF_Base!$L$10*(1+Assumptions!$B$14)/(Assumptions!$B$10-Assumptions!$B$14))/(1+Assumptions!$B$10)^10,0))/Assumptions!$B$7</f>
        <v/>
      </c>
    </row>
    <row r="27">
      <c r="A27" t="inlineStr">
        <is>
          <t>bull</t>
        </is>
      </c>
      <c r="B27" s="19">
        <f>(SUMPRODUCT(DCF_Bull!$C$19:$L$19/(1+Assumptions!$B$10)^DCF_Bull!$C$4:$L$4)+MAX(0,MIN(IF(Assumptions!$B$10&gt;Assumptions!$B$15,DCF_Bull!$L$19*(1+Assumptions!$B$15)/(Assumptions!$B$10-Assumptions!$B$15),1E+12),Assumptions!$B$9*DCF_Bull!$L$19))/(1+Assumptions!$B$10)^10-Assumptions!$B$6)/Assumptions!$B$7</f>
        <v/>
      </c>
      <c r="C27" s="15">
        <f>Assumptions!C15</f>
        <v/>
      </c>
      <c r="D27" s="19">
        <f>B27+(SUMPRODUCT(-DCF_Bull!$C$10:$L$10/(1+Assumptions!$B$10)^DCF_Bull!$C$4:$L$4)+IF(Assumptions!$B$10&gt;Assumptions!$B$15,(-DCF_Bull!$L$10*(1+Assumptions!$B$15)/(Assumptions!$B$10-Assumptions!$B$15))/(1+Assumptions!$B$10)^10,0))/Assumptions!$B$7</f>
        <v/>
      </c>
    </row>
    <row r="28">
      <c r="A28" t="inlineStr">
        <is>
          <t>Probability-weighted entry price (buy-below)</t>
        </is>
      </c>
      <c r="B28" s="23">
        <f>SUMPRODUCT(B25:B27,C25:C27)</f>
        <v/>
      </c>
    </row>
    <row r="29">
      <c r="A29" t="inlineStr">
        <is>
          <t>Reading: negative in every scenario -- at a 15% discount rate the enterprise is worth less than its 12.66bn of net debt. No price delivers 15% on a 5.8x-levered BBB utility; use the 9-10% rows above.</t>
        </is>
      </c>
    </row>
    <row r="31">
      <c r="A31" s="1" t="inlineStr">
        <is>
          <t>Sensitivity: base-case value per security, WACC (rows) x terminal growth (columns); TV rebuilt at each pair</t>
        </is>
      </c>
    </row>
    <row r="32">
      <c r="B32" s="22" t="n">
        <v>0.015</v>
      </c>
      <c r="C32" s="22" t="n">
        <v>0.02</v>
      </c>
      <c r="D32" s="22" t="n">
        <v>0.025</v>
      </c>
      <c r="E32" s="22" t="n">
        <v>0.03</v>
      </c>
      <c r="F32" s="22" t="n">
        <v>0.035</v>
      </c>
    </row>
    <row r="33">
      <c r="A33" s="22" t="n">
        <v>0.05</v>
      </c>
      <c r="B33" s="19">
        <f>(SUMPRODUCT(DCF_Base!$C$19:$L$19/(1+$A$33)^DCF_Base!$C$4:$L$4)+MAX(0,MIN(IF($A$33&gt;B$32,DCF_Base!$L$19*(1+B$32)/($A$33-B$32),1E+12),Assumptions!$B$9*DCF_Base!$L$19))/(1+$A$33)^10-Assumptions!$B$6)/Assumptions!$B$7</f>
        <v/>
      </c>
      <c r="C33" s="19">
        <f>(SUMPRODUCT(DCF_Base!$C$19:$L$19/(1+$A$33)^DCF_Base!$C$4:$L$4)+MAX(0,MIN(IF($A$33&gt;C$32,DCF_Base!$L$19*(1+C$32)/($A$33-C$32),1E+12),Assumptions!$B$9*DCF_Base!$L$19))/(1+$A$33)^10-Assumptions!$B$6)/Assumptions!$B$7</f>
        <v/>
      </c>
      <c r="D33" s="19">
        <f>(SUMPRODUCT(DCF_Base!$C$19:$L$19/(1+$A$33)^DCF_Base!$C$4:$L$4)+MAX(0,MIN(IF($A$33&gt;D$32,DCF_Base!$L$19*(1+D$32)/($A$33-D$32),1E+12),Assumptions!$B$9*DCF_Base!$L$19))/(1+$A$33)^10-Assumptions!$B$6)/Assumptions!$B$7</f>
        <v/>
      </c>
      <c r="E33" s="19">
        <f>(SUMPRODUCT(DCF_Base!$C$19:$L$19/(1+$A$33)^DCF_Base!$C$4:$L$4)+MAX(0,MIN(IF($A$33&gt;E$32,DCF_Base!$L$19*(1+E$32)/($A$33-E$32),1E+12),Assumptions!$B$9*DCF_Base!$L$19))/(1+$A$33)^10-Assumptions!$B$6)/Assumptions!$B$7</f>
        <v/>
      </c>
      <c r="F33" s="19">
        <f>(SUMPRODUCT(DCF_Base!$C$19:$L$19/(1+$A$33)^DCF_Base!$C$4:$L$4)+MAX(0,MIN(IF($A$33&gt;F$32,DCF_Base!$L$19*(1+F$32)/($A$33-F$32),1E+12),Assumptions!$B$9*DCF_Base!$L$19))/(1+$A$33)^10-Assumptions!$B$6)/Assumptions!$B$7</f>
        <v/>
      </c>
    </row>
    <row r="34">
      <c r="A34" s="22" t="n">
        <v>0.06</v>
      </c>
      <c r="B34" s="19">
        <f>(SUMPRODUCT(DCF_Base!$C$19:$L$19/(1+$A$34)^DCF_Base!$C$4:$L$4)+MAX(0,MIN(IF($A$34&gt;B$32,DCF_Base!$L$19*(1+B$32)/($A$34-B$32),1E+12),Assumptions!$B$9*DCF_Base!$L$19))/(1+$A$34)^10-Assumptions!$B$6)/Assumptions!$B$7</f>
        <v/>
      </c>
      <c r="C34" s="19">
        <f>(SUMPRODUCT(DCF_Base!$C$19:$L$19/(1+$A$34)^DCF_Base!$C$4:$L$4)+MAX(0,MIN(IF($A$34&gt;C$32,DCF_Base!$L$19*(1+C$32)/($A$34-C$32),1E+12),Assumptions!$B$9*DCF_Base!$L$19))/(1+$A$34)^10-Assumptions!$B$6)/Assumptions!$B$7</f>
        <v/>
      </c>
      <c r="D34" s="19">
        <f>(SUMPRODUCT(DCF_Base!$C$19:$L$19/(1+$A$34)^DCF_Base!$C$4:$L$4)+MAX(0,MIN(IF($A$34&gt;D$32,DCF_Base!$L$19*(1+D$32)/($A$34-D$32),1E+12),Assumptions!$B$9*DCF_Base!$L$19))/(1+$A$34)^10-Assumptions!$B$6)/Assumptions!$B$7</f>
        <v/>
      </c>
      <c r="E34" s="19">
        <f>(SUMPRODUCT(DCF_Base!$C$19:$L$19/(1+$A$34)^DCF_Base!$C$4:$L$4)+MAX(0,MIN(IF($A$34&gt;E$32,DCF_Base!$L$19*(1+E$32)/($A$34-E$32),1E+12),Assumptions!$B$9*DCF_Base!$L$19))/(1+$A$34)^10-Assumptions!$B$6)/Assumptions!$B$7</f>
        <v/>
      </c>
      <c r="F34" s="19">
        <f>(SUMPRODUCT(DCF_Base!$C$19:$L$19/(1+$A$34)^DCF_Base!$C$4:$L$4)+MAX(0,MIN(IF($A$34&gt;F$32,DCF_Base!$L$19*(1+F$32)/($A$34-F$32),1E+12),Assumptions!$B$9*DCF_Base!$L$19))/(1+$A$34)^10-Assumptions!$B$6)/Assumptions!$B$7</f>
        <v/>
      </c>
    </row>
    <row r="35">
      <c r="A35" s="22" t="n">
        <v>0.07000000000000001</v>
      </c>
      <c r="B35" s="19">
        <f>(SUMPRODUCT(DCF_Base!$C$19:$L$19/(1+$A$35)^DCF_Base!$C$4:$L$4)+MAX(0,MIN(IF($A$35&gt;B$32,DCF_Base!$L$19*(1+B$32)/($A$35-B$32),1E+12),Assumptions!$B$9*DCF_Base!$L$19))/(1+$A$35)^10-Assumptions!$B$6)/Assumptions!$B$7</f>
        <v/>
      </c>
      <c r="C35" s="19">
        <f>(SUMPRODUCT(DCF_Base!$C$19:$L$19/(1+$A$35)^DCF_Base!$C$4:$L$4)+MAX(0,MIN(IF($A$35&gt;C$32,DCF_Base!$L$19*(1+C$32)/($A$35-C$32),1E+12),Assumptions!$B$9*DCF_Base!$L$19))/(1+$A$35)^10-Assumptions!$B$6)/Assumptions!$B$7</f>
        <v/>
      </c>
      <c r="D35" s="23">
        <f>(SUMPRODUCT(DCF_Base!$C$19:$L$19/(1+$A$35)^DCF_Base!$C$4:$L$4)+MAX(0,MIN(IF($A$35&gt;D$32,DCF_Base!$L$19*(1+D$32)/($A$35-D$32),1E+12),Assumptions!$B$9*DCF_Base!$L$19))/(1+$A$35)^10-Assumptions!$B$6)/Assumptions!$B$7</f>
        <v/>
      </c>
      <c r="E35" s="19">
        <f>(SUMPRODUCT(DCF_Base!$C$19:$L$19/(1+$A$35)^DCF_Base!$C$4:$L$4)+MAX(0,MIN(IF($A$35&gt;E$32,DCF_Base!$L$19*(1+E$32)/($A$35-E$32),1E+12),Assumptions!$B$9*DCF_Base!$L$19))/(1+$A$35)^10-Assumptions!$B$6)/Assumptions!$B$7</f>
        <v/>
      </c>
      <c r="F35" s="19">
        <f>(SUMPRODUCT(DCF_Base!$C$19:$L$19/(1+$A$35)^DCF_Base!$C$4:$L$4)+MAX(0,MIN(IF($A$35&gt;F$32,DCF_Base!$L$19*(1+F$32)/($A$35-F$32),1E+12),Assumptions!$B$9*DCF_Base!$L$19))/(1+$A$35)^10-Assumptions!$B$6)/Assumptions!$B$7</f>
        <v/>
      </c>
    </row>
    <row r="36">
      <c r="A36" s="22" t="n">
        <v>0.08</v>
      </c>
      <c r="B36" s="19">
        <f>(SUMPRODUCT(DCF_Base!$C$19:$L$19/(1+$A$36)^DCF_Base!$C$4:$L$4)+MAX(0,MIN(IF($A$36&gt;B$32,DCF_Base!$L$19*(1+B$32)/($A$36-B$32),1E+12),Assumptions!$B$9*DCF_Base!$L$19))/(1+$A$36)^10-Assumptions!$B$6)/Assumptions!$B$7</f>
        <v/>
      </c>
      <c r="C36" s="19">
        <f>(SUMPRODUCT(DCF_Base!$C$19:$L$19/(1+$A$36)^DCF_Base!$C$4:$L$4)+MAX(0,MIN(IF($A$36&gt;C$32,DCF_Base!$L$19*(1+C$32)/($A$36-C$32),1E+12),Assumptions!$B$9*DCF_Base!$L$19))/(1+$A$36)^10-Assumptions!$B$6)/Assumptions!$B$7</f>
        <v/>
      </c>
      <c r="D36" s="19">
        <f>(SUMPRODUCT(DCF_Base!$C$19:$L$19/(1+$A$36)^DCF_Base!$C$4:$L$4)+MAX(0,MIN(IF($A$36&gt;D$32,DCF_Base!$L$19*(1+D$32)/($A$36-D$32),1E+12),Assumptions!$B$9*DCF_Base!$L$19))/(1+$A$36)^10-Assumptions!$B$6)/Assumptions!$B$7</f>
        <v/>
      </c>
      <c r="E36" s="19">
        <f>(SUMPRODUCT(DCF_Base!$C$19:$L$19/(1+$A$36)^DCF_Base!$C$4:$L$4)+MAX(0,MIN(IF($A$36&gt;E$32,DCF_Base!$L$19*(1+E$32)/($A$36-E$32),1E+12),Assumptions!$B$9*DCF_Base!$L$19))/(1+$A$36)^10-Assumptions!$B$6)/Assumptions!$B$7</f>
        <v/>
      </c>
      <c r="F36" s="19">
        <f>(SUMPRODUCT(DCF_Base!$C$19:$L$19/(1+$A$36)^DCF_Base!$C$4:$L$4)+MAX(0,MIN(IF($A$36&gt;F$32,DCF_Base!$L$19*(1+F$32)/($A$36-F$32),1E+12),Assumptions!$B$9*DCF_Base!$L$19))/(1+$A$36)^10-Assumptions!$B$6)/Assumptions!$B$7</f>
        <v/>
      </c>
    </row>
    <row r="37">
      <c r="A37" s="22" t="n">
        <v>0.09</v>
      </c>
      <c r="B37" s="19">
        <f>(SUMPRODUCT(DCF_Base!$C$19:$L$19/(1+$A$37)^DCF_Base!$C$4:$L$4)+MAX(0,MIN(IF($A$37&gt;B$32,DCF_Base!$L$19*(1+B$32)/($A$37-B$32),1E+12),Assumptions!$B$9*DCF_Base!$L$19))/(1+$A$37)^10-Assumptions!$B$6)/Assumptions!$B$7</f>
        <v/>
      </c>
      <c r="C37" s="19">
        <f>(SUMPRODUCT(DCF_Base!$C$19:$L$19/(1+$A$37)^DCF_Base!$C$4:$L$4)+MAX(0,MIN(IF($A$37&gt;C$32,DCF_Base!$L$19*(1+C$32)/($A$37-C$32),1E+12),Assumptions!$B$9*DCF_Base!$L$19))/(1+$A$37)^10-Assumptions!$B$6)/Assumptions!$B$7</f>
        <v/>
      </c>
      <c r="D37" s="19">
        <f>(SUMPRODUCT(DCF_Base!$C$19:$L$19/(1+$A$37)^DCF_Base!$C$4:$L$4)+MAX(0,MIN(IF($A$37&gt;D$32,DCF_Base!$L$19*(1+D$32)/($A$37-D$32),1E+12),Assumptions!$B$9*DCF_Base!$L$19))/(1+$A$37)^10-Assumptions!$B$6)/Assumptions!$B$7</f>
        <v/>
      </c>
      <c r="E37" s="19">
        <f>(SUMPRODUCT(DCF_Base!$C$19:$L$19/(1+$A$37)^DCF_Base!$C$4:$L$4)+MAX(0,MIN(IF($A$37&gt;E$32,DCF_Base!$L$19*(1+E$32)/($A$37-E$32),1E+12),Assumptions!$B$9*DCF_Base!$L$19))/(1+$A$37)^10-Assumptions!$B$6)/Assumptions!$B$7</f>
        <v/>
      </c>
      <c r="F37" s="19">
        <f>(SUMPRODUCT(DCF_Base!$C$19:$L$19/(1+$A$37)^DCF_Base!$C$4:$L$4)+MAX(0,MIN(IF($A$37&gt;F$32,DCF_Base!$L$19*(1+F$32)/($A$37-F$32),1E+12),Assumptions!$B$9*DCF_Base!$L$19))/(1+$A$37)^10-Assumptions!$B$6)/Assumptions!$B$7</f>
        <v/>
      </c>
    </row>
    <row r="39">
      <c r="A39" s="1" t="inlineStr">
        <is>
          <t>Memo: base value with the cap at 20x and uncapped Gordon (7%/2.5%)</t>
        </is>
      </c>
    </row>
    <row r="40">
      <c r="A40" t="inlineStr">
        <is>
          <t>Cap 20x</t>
        </is>
      </c>
      <c r="B40" s="19">
        <f>(SUMPRODUCT(DCF_Base!$C$19:$L$19/(1+Assumptions!$B$4)^DCF_Base!$C$4:$L$4)+MAX(0,MIN(DCF_Base!$B$29,20*DCF_Base!$L$19))/(1+Assumptions!$B$4)^10-Assumptions!$B$6)/Assumptions!$B$7</f>
        <v/>
      </c>
    </row>
    <row r="41">
      <c r="A41" t="inlineStr">
        <is>
          <t>Uncapped Gordon</t>
        </is>
      </c>
      <c r="B41" s="19">
        <f>(SUMPRODUCT(DCF_Base!$C$19:$L$19/(1+Assumptions!$B$4)^DCF_Base!$C$4:$L$4)+MAX(0,DCF_Base!$B$29)/(1+Assumptions!$B$4)^10-Assumptions!$B$6)/Assumptions!$B$7</f>
        <v/>
      </c>
    </row>
    <row r="42">
      <c r="A42" t="inlineStr">
        <is>
          <t>Reading: the market price is within 2% of the uncapped Gordon value -- the whole gap to the house base is the 18x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2026-09-21T11:20:29Z</dcterms:created>
  <dcterms:modified xmlns:dcterms="http://purl.org/dc/terms/" xmlns:xsi="http://www.w3.org/2001/XMLSchema-instance" xsi:type="dcterms:W3CDTF">2026-09-21T11:20:29Z</dcterms:modified>
</cp:coreProperties>
</file>