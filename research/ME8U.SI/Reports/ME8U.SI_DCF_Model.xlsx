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<sst xmlns="http://schemas.openxmlformats.org/spreadsheetml/2006/main" count="375" uniqueCount="176">
  <si>
    <t xml:space="preserve">Ticker</t>
  </si>
  <si>
    <t xml:space="preserve">ME8U.SI</t>
  </si>
  <si>
    <t xml:space="preserve">Company</t>
  </si>
  <si>
    <t xml:space="preserve">Mapletree Industrial Trust</t>
  </si>
  <si>
    <t xml:space="preserve">Valuation date</t>
  </si>
  <si>
    <t xml:space="preserve">2026-10-24</t>
  </si>
  <si>
    <t xml:space="preserve">Current price</t>
  </si>
  <si>
    <t xml:space="preserve">Price as of</t>
  </si>
  <si>
    <t xml:space="preserve">2026-10-23T09:04:18Z (SGX regular session, Yahoo Finance chart API)</t>
  </si>
  <si>
    <t xml:space="preserve">Balance sheet date</t>
  </si>
  <si>
    <t xml:space="preserve">2026-03-31</t>
  </si>
  <si>
    <t xml:space="preserve">Model</t>
  </si>
  <si>
    <t xml:space="preserve">REIT distributable income (AFFO) capitalisation at cost of equity (engine route)</t>
  </si>
  <si>
    <t xml:space="preserve">Currency (model)</t>
  </si>
  <si>
    <t xml:space="preserve">SGD</t>
  </si>
  <si>
    <t xml:space="preserve">Currency (quote)</t>
  </si>
  <si>
    <t xml:space="preserve">Units</t>
  </si>
  <si>
    <t xml:space="preserve">millions</t>
  </si>
  <si>
    <t xml:space="preserve">Engine</t>
  </si>
  <si>
    <t xml:space="preserve">dcf_engine v1</t>
  </si>
  <si>
    <t xml:space="preserve">Built at</t>
  </si>
  <si>
    <t xml:space="preserve">2026-10-24T04:47:09Z</t>
  </si>
  <si>
    <t xml:space="preserve">Drivers file</t>
  </si>
  <si>
    <t xml:space="preserve">ME8U.SI_Drivers.json</t>
  </si>
  <si>
    <t xml:space="preserve">Convention</t>
  </si>
  <si>
    <t xml:space="preserve">Percents stored as percents; formulas divide by 100. Blue = input, green = link, black = formula.</t>
  </si>
  <si>
    <t xml:space="preserve">Methodology</t>
  </si>
  <si>
    <t xml:space="preserve">summary: Value the per-unit distributable flow an owner actually receives, net of the management fees settled in new units and of the maintenance capex distributable income ignores, capitalised at the SGD cost of equity with no debt deduction (the flow is post-interest and post-perpetuals). NAV is a cross-check only: IAS 40 values are appraiser cap rates, and the stock trades at ~1.10x NAV.
key_risks_to_valuation: North American data centres (46.5% of AUM) carry enterprise-tenant non-renewal risk outside primary markets; re-letting speed and fit-out capex drive the bear/base gap; ~S$600m of interest-rate hedges reprice in FY26/27 and leverage rises to ~37.5%; every 100bp on unhedged debt is ~S$3-7m of DI; USD and JPY translation: ~92.5% of distributable income is SGD-hedged near term, but not structurally; Capital recycling: S$500-600m of NA divestments must be redeployed at a positive spread or DPU steps down further; Cost of equity: a 50bp move in the SGD rate moves the base value by roughly 8-10%</t>
  </si>
  <si>
    <t xml:space="preserve">Data sources</t>
  </si>
  <si>
    <t xml:space="preserve">price: Yahoo Finance chart API at inputs.price_as_of; 52-week range 1.72-2.23
financials: ME8U.SI_Metrics.csv and kpis (DistributableIncome, DPU, NAVPerShare, Gearing, ManagementFeesPaidInUnits) from FY15-FY26 annual reports and quarterly updates; units in issue and borrowings from the FY25/26 annual report (31 Mar 2026)
qualitative: ME8U.SI_Analysis.json (FY25/26 results 28 May 2026: guidance on NA non-renewals, swap expiries, leverage ~37.5%, S$500-600m divestments; analyst targets S$1.90-2.12)</t>
  </si>
  <si>
    <t xml:space="preserve">Scenario narrative: bear</t>
  </si>
  <si>
    <t xml:space="preserve">North American enterprise data centres keep emptying, re-letting needs capex, FX and divestment dilution compound: DPU falls ~4% a year for two years and then grows ~1%. 8.0% cost of equity.</t>
  </si>
  <si>
    <t xml:space="preserve">Scenario narrative: base</t>
  </si>
  <si>
    <t xml:space="preserve">DPU steps down again in FY27 (to ~11.9c declared, ~11.1c owner flow after unit-paid fees and maintenance capex) on NA non-renewals and swap repricing, troughs in FY28 through the divestment programme, then grows 1.5-2% a year. Capitalised at a 7.5% SGD cost of equity.</t>
  </si>
  <si>
    <t xml:space="preserve">Scenario narrative: bull</t>
  </si>
  <si>
    <t xml:space="preserve">FY27 is the trough: NA space re-lets to cloud/colo, recycling into Japan/APAC DCs is accretive, and DPU compounds ~3% from FY28. 7.0% cost of equity.</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</si>
  <si>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</si>
  <si>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</si>
  <si>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</si>
  <si>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</si>
  <si>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</si>
  <si>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</si>
  <si>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</si>
  <si>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</si>
  <si>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</si>
  <si>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</si>
  <si>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</si>
  <si>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</si>
  <si>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</si>
  <si>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</si>
  <si>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</si>
  <si>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</si>
  <si>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</si>
  <si>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</si>
  <si>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</si>
  <si>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</si>
  <si>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</si>
  <si>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</si>
  <si>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</si>
  <si>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</si>
  <si>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</si>
  <si>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</si>
  <si>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</si>
  <si>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DistributableIncome</t>
  </si>
  <si>
    <t xml:space="preserve">Gearing</t>
  </si>
  <si>
    <t xml:space="preserve">InterestCoverageRatio</t>
  </si>
  <si>
    <t xml:space="preserve">ManagementFeesPaidInUnits</t>
  </si>
  <si>
    <t xml:space="preserve">NAVPerShare</t>
  </si>
  <si>
    <t xml:space="preserve">NPIMargin</t>
  </si>
  <si>
    <t xml:space="preserve">NetPropertyIncome</t>
  </si>
  <si>
    <t xml:space="preserve">Occupancy</t>
  </si>
  <si>
    <t xml:space="preserve">WALE</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</si>
  <si>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</si>
  <si>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</si>
  <si>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</si>
  <si>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</si>
  <si>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</si>
  <si>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</si>
  <si>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</si>
  <si>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</si>
  <si>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</si>
  <si>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</si>
  <si>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</si>
  <si>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</si>
  <si>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</si>
  <si>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</si>
  <si>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</si>
  <si>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</si>
  <si>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</si>
  <si>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</si>
  <si>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</si>
  <si>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</si>
  <si>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</si>
  <si>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</si>
  <si>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SGD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</si>
  <si>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</si>
  <si>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</si>
  <si>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</si>
  <si>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</si>
  <si>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</si>
  <si>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</si>
  <si>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</si>
  <si>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</si>
  <si>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</si>
  <si>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</si>
  <si>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</si>
  <si>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</si>
  <si>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</si>
  <si>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</si>
  <si>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</si>
  <si>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</si>
  <si>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</si>
  <si>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</si>
  <si>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</si>
  <si>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</si>
  <si>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</si>
  <si>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</si>
  <si>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</si>
  <si>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</si>
  <si>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</si>
  <si>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</si>
  <si>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ME8U.SI owner-FCF component DCF: bear case (millions, SGD)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</si>
  <si>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</si>
  <si>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</si>
  <si>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</si>
  <si>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</si>
  <si>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</si>
  <si>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</si>
  <si>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</si>
  <si>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</si>
  <si>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</si>
  <si>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</si>
  <si>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</si>
  <si>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</si>
  <si>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</si>
  <si>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</si>
  <si>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</si>
  <si>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</si>
  <si>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</si>
  <si>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</si>
  <si>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</si>
  <si>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</si>
  <si>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</si>
  <si>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</si>
  <si>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</si>
  <si>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</si>
  <si>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</si>
  <si>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</si>
  <si>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</si>
  <si>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</si>
  <si>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</si>
  <si>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</si>
  <si>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ME8U.SI owner-FCF component DCF: base case (millions, SGD)</t>
  </si>
  <si>
    <t xml:space="preserve">ME8U.SI owner-FCF component DCF: bull case (millions, SGD)</t>
  </si>
  <si>
    <t xml:space="preserve">ME8U.SI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</si>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</sst>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c r="AH1" s="2" t="s">
        <v>68</v>
      </c>
      <c r="AI1" s="2" t="s">
        <v>69</v>
      </c>
      <c r="AJ1" s="2" t="s">
        <v>70</v>
      </c>
      <c r="AK1" s="2" t="s">
        <v>71</v>
      </c>
    </row>
    <row r="2" customFormat="false" ht="15" hidden="false" customHeight="false" outlineLevel="0" collapsed="false">
      <c r="A2" s="0" t="s">
        <v>72</v>
      </c>
      <c r="B2" s="0" t="n">
        <v>313.873</v>
      </c>
      <c r="I2" s="0" t="n">
        <v>374.34</v>
      </c>
      <c r="J2" s="0" t="n">
        <v>119.3</v>
      </c>
      <c r="K2" s="0" t="n">
        <v>0.2182</v>
      </c>
      <c r="L2" s="0" t="n">
        <v>204.863</v>
      </c>
      <c r="M2" s="0" t="n">
        <v>54.462</v>
      </c>
      <c r="N2" s="0" t="n">
        <v>150.401</v>
      </c>
      <c r="O2" s="0" t="n">
        <v>2312.183</v>
      </c>
      <c r="P2" s="0" t="n">
        <v>3515.954</v>
      </c>
      <c r="Q2" s="0" t="n">
        <v>1203.771</v>
      </c>
      <c r="R2" s="0" t="n">
        <v>1074.682</v>
      </c>
      <c r="S2" s="0" t="n">
        <v>71.961</v>
      </c>
      <c r="T2" s="0" t="n">
        <v>1747.008</v>
      </c>
      <c r="V2" s="0" t="n">
        <v>0.1043</v>
      </c>
      <c r="AA2" s="0" t="s">
        <v>17</v>
      </c>
      <c r="AB2" s="0" t="s">
        <v>14</v>
      </c>
      <c r="AC2" s="0" t="n">
        <v>180.837</v>
      </c>
      <c r="AG2" s="0" t="n">
        <v>1.32</v>
      </c>
      <c r="AH2" s="0" t="n">
        <v>72.8</v>
      </c>
      <c r="AI2" s="0" t="n">
        <v>228.613</v>
      </c>
      <c r="AJ2" s="0" t="n">
        <v>90.9</v>
      </c>
    </row>
    <row r="3" customFormat="false" ht="15" hidden="false" customHeight="false" outlineLevel="0" collapsed="false">
      <c r="A3" s="0" t="s">
        <v>73</v>
      </c>
      <c r="B3" s="0" t="n">
        <v>331.598</v>
      </c>
      <c r="I3" s="0" t="n">
        <v>272.58</v>
      </c>
      <c r="J3" s="0" t="n">
        <v>82.2</v>
      </c>
      <c r="K3" s="0" t="n">
        <v>0.154</v>
      </c>
      <c r="L3" s="0" t="n">
        <v>219.666</v>
      </c>
      <c r="M3" s="0" t="n">
        <v>43.532</v>
      </c>
      <c r="N3" s="0" t="n">
        <v>176.134</v>
      </c>
      <c r="O3" s="0" t="n">
        <v>2465.224</v>
      </c>
      <c r="P3" s="0" t="n">
        <v>3623.941</v>
      </c>
      <c r="Q3" s="0" t="n">
        <v>1158.717</v>
      </c>
      <c r="R3" s="0" t="n">
        <v>1021.162</v>
      </c>
      <c r="S3" s="0" t="n">
        <v>54.34</v>
      </c>
      <c r="T3" s="0" t="n">
        <v>1800.932</v>
      </c>
      <c r="V3" s="0" t="n">
        <v>0.1115</v>
      </c>
      <c r="AA3" s="0" t="s">
        <v>17</v>
      </c>
      <c r="AB3" s="0" t="s">
        <v>14</v>
      </c>
      <c r="AC3" s="0" t="n">
        <v>197.83</v>
      </c>
      <c r="AD3" s="0" t="n">
        <v>28.2</v>
      </c>
      <c r="AG3" s="0" t="n">
        <v>1.37</v>
      </c>
      <c r="AH3" s="0" t="n">
        <v>73.9</v>
      </c>
      <c r="AI3" s="0" t="n">
        <v>245.116</v>
      </c>
      <c r="AJ3" s="0" t="n">
        <v>94.1</v>
      </c>
      <c r="AK3" s="0" t="n">
        <v>2.8</v>
      </c>
    </row>
    <row r="4" customFormat="false" ht="15" hidden="false" customHeight="false" outlineLevel="0" collapsed="false">
      <c r="A4" s="0" t="s">
        <v>74</v>
      </c>
      <c r="B4" s="0" t="n">
        <v>340.565</v>
      </c>
      <c r="I4" s="0" t="n">
        <v>270.571</v>
      </c>
      <c r="J4" s="0" t="n">
        <v>79.4</v>
      </c>
      <c r="K4" s="0" t="n">
        <v>0.1502</v>
      </c>
      <c r="L4" s="0" t="n">
        <v>234.046</v>
      </c>
      <c r="M4" s="0" t="n">
        <v>103.856</v>
      </c>
      <c r="N4" s="0" t="n">
        <v>130.19</v>
      </c>
      <c r="O4" s="0" t="n">
        <v>2532.789</v>
      </c>
      <c r="P4" s="0" t="n">
        <v>3798.061</v>
      </c>
      <c r="Q4" s="0" t="n">
        <v>1265.272</v>
      </c>
      <c r="R4" s="0" t="n">
        <v>1106.411</v>
      </c>
      <c r="S4" s="0" t="n">
        <v>37.985</v>
      </c>
      <c r="T4" s="0" t="n">
        <v>1802.16</v>
      </c>
      <c r="V4" s="0" t="n">
        <v>0.1139</v>
      </c>
      <c r="AA4" s="0" t="s">
        <v>17</v>
      </c>
      <c r="AB4" s="0" t="s">
        <v>14</v>
      </c>
      <c r="AC4" s="0" t="n">
        <v>204.96</v>
      </c>
      <c r="AD4" s="0" t="n">
        <v>29.2</v>
      </c>
      <c r="AG4" s="0" t="n">
        <v>1.41</v>
      </c>
      <c r="AH4" s="0" t="n">
        <v>75.4</v>
      </c>
      <c r="AI4" s="0" t="n">
        <v>256.83</v>
      </c>
      <c r="AJ4" s="0" t="n">
        <v>92.4</v>
      </c>
      <c r="AK4" s="0" t="n">
        <v>3.1</v>
      </c>
    </row>
    <row r="5" customFormat="false" ht="15" hidden="false" customHeight="false" outlineLevel="0" collapsed="false">
      <c r="A5" s="0" t="s">
        <v>75</v>
      </c>
      <c r="B5" s="0" t="n">
        <v>363.23</v>
      </c>
      <c r="I5" s="0" t="n">
        <v>300.53</v>
      </c>
      <c r="J5" s="0" t="n">
        <v>82.7</v>
      </c>
      <c r="K5" s="0" t="n">
        <v>0.1636</v>
      </c>
      <c r="L5" s="0" t="n">
        <v>245.551</v>
      </c>
      <c r="M5" s="0" t="n">
        <v>118.602</v>
      </c>
      <c r="N5" s="0" t="n">
        <v>126.949</v>
      </c>
      <c r="O5" s="0" t="n">
        <v>2780.072</v>
      </c>
      <c r="P5" s="0" t="n">
        <v>4154.32</v>
      </c>
      <c r="Q5" s="0" t="n">
        <v>1374.248</v>
      </c>
      <c r="R5" s="0" t="n">
        <v>1218.117</v>
      </c>
      <c r="S5" s="0" t="n">
        <v>37.419</v>
      </c>
      <c r="T5" s="0" t="n">
        <v>1885.218</v>
      </c>
      <c r="V5" s="0" t="n">
        <v>0.1175</v>
      </c>
      <c r="AA5" s="0" t="s">
        <v>17</v>
      </c>
      <c r="AB5" s="0" t="s">
        <v>14</v>
      </c>
      <c r="AC5" s="0" t="n">
        <v>215.848</v>
      </c>
      <c r="AG5" s="0" t="n">
        <v>1.47</v>
      </c>
      <c r="AH5" s="0" t="n">
        <v>76.4</v>
      </c>
      <c r="AI5" s="0" t="n">
        <v>277.603</v>
      </c>
      <c r="AJ5" s="0" t="n">
        <v>89.1</v>
      </c>
      <c r="AK5" s="0" t="n">
        <v>3.8</v>
      </c>
    </row>
    <row r="6" customFormat="false" ht="15" hidden="false" customHeight="false" outlineLevel="0" collapsed="false">
      <c r="A6" s="0" t="s">
        <v>76</v>
      </c>
      <c r="B6" s="0" t="n">
        <v>376.101</v>
      </c>
      <c r="I6" s="0" t="n">
        <v>271.126</v>
      </c>
      <c r="J6" s="0" t="n">
        <v>72.1</v>
      </c>
      <c r="K6" s="0" t="n">
        <v>0.1425</v>
      </c>
      <c r="L6" s="0" t="n">
        <v>244.948</v>
      </c>
      <c r="M6" s="0" t="n">
        <v>131.518</v>
      </c>
      <c r="N6" s="0" t="n">
        <v>113.43</v>
      </c>
      <c r="O6" s="0" t="n">
        <v>3047.526</v>
      </c>
      <c r="P6" s="0" t="n">
        <v>4607.064</v>
      </c>
      <c r="Q6" s="0" t="n">
        <v>1559.538</v>
      </c>
      <c r="R6" s="0" t="n">
        <v>1396.714</v>
      </c>
      <c r="S6" s="0" t="n">
        <v>40.01</v>
      </c>
      <c r="T6" s="0" t="n">
        <v>2021.111</v>
      </c>
      <c r="V6" s="0" t="n">
        <v>0.1216</v>
      </c>
      <c r="AA6" s="0" t="s">
        <v>17</v>
      </c>
      <c r="AB6" s="0" t="s">
        <v>14</v>
      </c>
      <c r="AC6" s="0" t="n">
        <v>231.759</v>
      </c>
      <c r="AD6" s="0" t="n">
        <v>33.8</v>
      </c>
      <c r="AG6" s="0" t="n">
        <v>1.51</v>
      </c>
      <c r="AH6" s="0" t="n">
        <v>76.5</v>
      </c>
      <c r="AI6" s="0" t="n">
        <v>287.77</v>
      </c>
      <c r="AJ6" s="0" t="n">
        <v>88.4</v>
      </c>
      <c r="AK6" s="0" t="n">
        <v>3.5</v>
      </c>
    </row>
    <row r="7" customFormat="false" ht="15" hidden="false" customHeight="false" outlineLevel="0" collapsed="false">
      <c r="A7" s="0" t="s">
        <v>77</v>
      </c>
      <c r="B7" s="0" t="n">
        <v>405.858</v>
      </c>
      <c r="I7" s="0" t="n">
        <v>367.143</v>
      </c>
      <c r="J7" s="0" t="n">
        <v>90.5</v>
      </c>
      <c r="K7" s="0" t="n">
        <v>0.1737</v>
      </c>
      <c r="L7" s="0" t="n">
        <v>286.886</v>
      </c>
      <c r="M7" s="0" t="n">
        <v>50.108</v>
      </c>
      <c r="N7" s="0" t="n">
        <v>236.778</v>
      </c>
      <c r="O7" s="0" t="n">
        <v>3560.121</v>
      </c>
      <c r="P7" s="0" t="n">
        <v>5187.883</v>
      </c>
      <c r="Q7" s="0" t="n">
        <v>1627.762</v>
      </c>
      <c r="R7" s="0" t="n">
        <v>1459.567</v>
      </c>
      <c r="S7" s="0" t="n">
        <v>53.436</v>
      </c>
      <c r="T7" s="0" t="n">
        <v>2201.002</v>
      </c>
      <c r="V7" s="0" t="n">
        <v>0.1224</v>
      </c>
      <c r="AA7" s="0" t="s">
        <v>17</v>
      </c>
      <c r="AB7" s="0" t="s">
        <v>14</v>
      </c>
      <c r="AC7" s="0" t="n">
        <v>265.337</v>
      </c>
      <c r="AD7" s="0" t="n">
        <v>37.6</v>
      </c>
      <c r="AE7" s="0" t="n">
        <v>6.9</v>
      </c>
      <c r="AG7" s="0" t="n">
        <v>1.62</v>
      </c>
      <c r="AH7" s="0" t="n">
        <v>78.4</v>
      </c>
      <c r="AI7" s="0" t="n">
        <v>318.069</v>
      </c>
      <c r="AJ7" s="0" t="n">
        <v>90.9</v>
      </c>
      <c r="AK7" s="0" t="n">
        <v>4.2</v>
      </c>
    </row>
    <row r="8" customFormat="false" ht="15" hidden="false" customHeight="false" outlineLevel="0" collapsed="false">
      <c r="A8" s="0" t="s">
        <v>78</v>
      </c>
      <c r="B8" s="0" t="n">
        <v>447.203</v>
      </c>
      <c r="I8" s="0" t="n">
        <v>164.497</v>
      </c>
      <c r="J8" s="0" t="n">
        <v>36.8</v>
      </c>
      <c r="K8" s="0" t="n">
        <v>0.0711</v>
      </c>
      <c r="L8" s="0" t="n">
        <v>236.796</v>
      </c>
      <c r="M8" s="0" t="n">
        <v>302.843</v>
      </c>
      <c r="N8" s="0" t="n">
        <v>-66.047</v>
      </c>
      <c r="O8" s="0" t="n">
        <v>3895</v>
      </c>
      <c r="P8" s="0" t="n">
        <v>6391.619</v>
      </c>
      <c r="Q8" s="0" t="n">
        <v>2496.619</v>
      </c>
      <c r="R8" s="0" t="n">
        <v>2271.1</v>
      </c>
      <c r="S8" s="0" t="n">
        <v>60.464</v>
      </c>
      <c r="T8" s="0" t="n">
        <v>2351.158</v>
      </c>
      <c r="V8" s="0" t="n">
        <v>0.1255</v>
      </c>
      <c r="AA8" s="0" t="s">
        <v>17</v>
      </c>
      <c r="AB8" s="0" t="s">
        <v>14</v>
      </c>
      <c r="AC8" s="0" t="n">
        <v>295.264</v>
      </c>
      <c r="AD8" s="0" t="n">
        <v>40.3</v>
      </c>
      <c r="AE8" s="0" t="n">
        <v>6.4</v>
      </c>
      <c r="AG8" s="0" t="n">
        <v>1.66</v>
      </c>
      <c r="AH8" s="0" t="n">
        <v>78.5</v>
      </c>
      <c r="AI8" s="0" t="n">
        <v>350.991</v>
      </c>
      <c r="AJ8" s="0" t="n">
        <v>92.6</v>
      </c>
    </row>
    <row r="9" customFormat="false" ht="15" hidden="false" customHeight="false" outlineLevel="0" collapsed="false">
      <c r="A9" s="0" t="s">
        <v>79</v>
      </c>
      <c r="B9" s="0" t="n">
        <v>610.063</v>
      </c>
      <c r="I9" s="0" t="n">
        <v>430.802</v>
      </c>
      <c r="J9" s="0" t="n">
        <v>70.6</v>
      </c>
      <c r="K9" s="0" t="n">
        <v>0.1687</v>
      </c>
      <c r="L9" s="0" t="n">
        <v>497.078</v>
      </c>
      <c r="M9" s="0" t="n">
        <v>1902.853</v>
      </c>
      <c r="N9" s="0" t="n">
        <v>-1405.775</v>
      </c>
      <c r="O9" s="0" t="n">
        <v>4977.056</v>
      </c>
      <c r="P9" s="0" t="n">
        <v>8479.971</v>
      </c>
      <c r="Q9" s="0" t="n">
        <v>3201.113</v>
      </c>
      <c r="R9" s="0" t="n">
        <v>2939.725</v>
      </c>
      <c r="S9" s="0" t="n">
        <v>149.638</v>
      </c>
      <c r="T9" s="0" t="n">
        <v>2676.562</v>
      </c>
      <c r="V9" s="0" t="n">
        <v>0.138</v>
      </c>
      <c r="AA9" s="0" t="s">
        <v>17</v>
      </c>
      <c r="AB9" s="0" t="s">
        <v>14</v>
      </c>
      <c r="AC9" s="0" t="n">
        <v>350.906</v>
      </c>
      <c r="AD9" s="0" t="n">
        <v>38.4</v>
      </c>
      <c r="AE9" s="0" t="n">
        <v>6.4</v>
      </c>
      <c r="AG9" s="0" t="n">
        <v>1.86</v>
      </c>
      <c r="AH9" s="0" t="n">
        <v>77.4</v>
      </c>
      <c r="AI9" s="0" t="n">
        <v>471.981</v>
      </c>
      <c r="AJ9" s="0" t="n">
        <v>93.9</v>
      </c>
    </row>
    <row r="10" customFormat="false" ht="15" hidden="false" customHeight="false" outlineLevel="0" collapsed="false">
      <c r="A10" s="0" t="s">
        <v>80</v>
      </c>
      <c r="B10" s="0" t="n">
        <v>684.865</v>
      </c>
      <c r="I10" s="0" t="n">
        <v>281.656</v>
      </c>
      <c r="J10" s="0" t="n">
        <v>41.1</v>
      </c>
      <c r="K10" s="0" t="n">
        <v>0.1043</v>
      </c>
      <c r="L10" s="0" t="n">
        <v>448.064</v>
      </c>
      <c r="M10" s="0" t="n">
        <v>154.982</v>
      </c>
      <c r="N10" s="0" t="n">
        <v>293.082</v>
      </c>
      <c r="O10" s="0" t="n">
        <v>5074.133</v>
      </c>
      <c r="P10" s="0" t="n">
        <v>8546.802</v>
      </c>
      <c r="Q10" s="0" t="n">
        <v>3170.867</v>
      </c>
      <c r="R10" s="0" t="n">
        <v>2881.037</v>
      </c>
      <c r="S10" s="0" t="n">
        <v>146.611</v>
      </c>
      <c r="T10" s="0" t="n">
        <v>2739.87</v>
      </c>
      <c r="V10" s="0" t="n">
        <v>0.1357</v>
      </c>
      <c r="AA10" s="0" t="s">
        <v>17</v>
      </c>
      <c r="AB10" s="0" t="s">
        <v>14</v>
      </c>
      <c r="AC10" s="0" t="n">
        <v>356.649</v>
      </c>
      <c r="AD10" s="0" t="n">
        <v>37.4</v>
      </c>
      <c r="AE10" s="0" t="n">
        <v>5</v>
      </c>
      <c r="AG10" s="0" t="n">
        <v>1.85</v>
      </c>
      <c r="AH10" s="0" t="n">
        <v>75.6</v>
      </c>
      <c r="AI10" s="0" t="n">
        <v>517.951</v>
      </c>
    </row>
    <row r="11" customFormat="false" ht="15" hidden="false" customHeight="false" outlineLevel="0" collapsed="false">
      <c r="A11" s="0" t="s">
        <v>81</v>
      </c>
      <c r="B11" s="0" t="n">
        <v>697.332</v>
      </c>
      <c r="I11" s="0" t="n">
        <v>111.036</v>
      </c>
      <c r="J11" s="0" t="n">
        <v>15.9</v>
      </c>
      <c r="K11" s="0" t="n">
        <v>0.0394</v>
      </c>
      <c r="L11" s="0" t="n">
        <v>432.784</v>
      </c>
      <c r="M11" s="0" t="n">
        <v>95.418</v>
      </c>
      <c r="N11" s="0" t="n">
        <v>337.366</v>
      </c>
      <c r="O11" s="0" t="n">
        <v>4984.582</v>
      </c>
      <c r="P11" s="0" t="n">
        <v>8664.366</v>
      </c>
      <c r="Q11" s="0" t="n">
        <v>3375.634</v>
      </c>
      <c r="R11" s="0" t="n">
        <v>3078.638</v>
      </c>
      <c r="S11" s="0" t="n">
        <v>119.902</v>
      </c>
      <c r="T11" s="0" t="n">
        <v>2834.67</v>
      </c>
      <c r="V11" s="0" t="n">
        <v>0.1343</v>
      </c>
      <c r="AA11" s="0" t="s">
        <v>17</v>
      </c>
      <c r="AB11" s="0" t="s">
        <v>14</v>
      </c>
      <c r="AC11" s="0" t="n">
        <v>375.069</v>
      </c>
      <c r="AD11" s="0" t="n">
        <v>38.7</v>
      </c>
      <c r="AE11" s="0" t="n">
        <v>4.6</v>
      </c>
      <c r="AG11" s="0" t="n">
        <v>1.76</v>
      </c>
      <c r="AH11" s="0" t="n">
        <v>74.7</v>
      </c>
      <c r="AI11" s="0" t="n">
        <v>521.043</v>
      </c>
    </row>
    <row r="12" customFormat="false" ht="15" hidden="false" customHeight="false" outlineLevel="0" collapsed="false">
      <c r="A12" s="0" t="s">
        <v>82</v>
      </c>
      <c r="B12" s="0" t="n">
        <v>711.833</v>
      </c>
      <c r="I12" s="0" t="n">
        <v>335.709</v>
      </c>
      <c r="J12" s="0" t="n">
        <v>47.2</v>
      </c>
      <c r="K12" s="0" t="n">
        <v>0.1181</v>
      </c>
      <c r="L12" s="0" t="n">
        <v>488.26</v>
      </c>
      <c r="M12" s="0" t="n">
        <v>107.507</v>
      </c>
      <c r="N12" s="0" t="n">
        <v>380.753</v>
      </c>
      <c r="O12" s="0" t="n">
        <v>4887.737</v>
      </c>
      <c r="P12" s="0" t="n">
        <v>8800.196</v>
      </c>
      <c r="Q12" s="0" t="n">
        <v>3607.741</v>
      </c>
      <c r="R12" s="0" t="n">
        <v>3267.999</v>
      </c>
      <c r="S12" s="0" t="n">
        <v>107.626</v>
      </c>
      <c r="T12" s="0" t="n">
        <v>2850.935</v>
      </c>
      <c r="V12" s="0" t="n">
        <v>0.1357</v>
      </c>
      <c r="AA12" s="0" t="s">
        <v>17</v>
      </c>
      <c r="AB12" s="0" t="s">
        <v>14</v>
      </c>
      <c r="AC12" s="0" t="n">
        <v>388.11</v>
      </c>
      <c r="AD12" s="0" t="n">
        <v>40.1</v>
      </c>
      <c r="AE12" s="0" t="n">
        <v>4.3</v>
      </c>
      <c r="AF12" s="0" t="n">
        <v>6.605</v>
      </c>
      <c r="AG12" s="0" t="n">
        <v>1.71</v>
      </c>
      <c r="AH12" s="0" t="n">
        <v>74.7</v>
      </c>
      <c r="AI12" s="0" t="n">
        <v>531.46</v>
      </c>
      <c r="AJ12" s="0" t="n">
        <v>92.1</v>
      </c>
    </row>
    <row r="13" customFormat="false" ht="15" hidden="false" customHeight="false" outlineLevel="0" collapsed="false">
      <c r="A13" s="0" t="s">
        <v>83</v>
      </c>
      <c r="B13" s="0" t="n">
        <v>672.991</v>
      </c>
      <c r="I13" s="0" t="n">
        <v>211.195</v>
      </c>
      <c r="J13" s="0" t="n">
        <v>31.4</v>
      </c>
      <c r="K13" s="0" t="n">
        <v>0.074</v>
      </c>
      <c r="L13" s="0" t="n">
        <v>433.643</v>
      </c>
      <c r="M13" s="0" t="n">
        <v>64.864</v>
      </c>
      <c r="N13" s="0" t="n">
        <v>368.779</v>
      </c>
      <c r="O13" s="0" t="n">
        <v>4642.65</v>
      </c>
      <c r="P13" s="0" t="n">
        <v>7938.639</v>
      </c>
      <c r="Q13" s="0" t="n">
        <v>2692.605</v>
      </c>
      <c r="R13" s="0" t="n">
        <v>2353.761</v>
      </c>
      <c r="S13" s="0" t="n">
        <v>95.213</v>
      </c>
      <c r="T13" s="0" t="n">
        <v>2854.187</v>
      </c>
      <c r="V13" s="0" t="n">
        <v>0.1271</v>
      </c>
      <c r="AA13" s="0" t="s">
        <v>17</v>
      </c>
      <c r="AB13" s="0" t="s">
        <v>14</v>
      </c>
      <c r="AC13" s="0" t="n">
        <v>363.881</v>
      </c>
      <c r="AD13" s="0" t="n">
        <v>34</v>
      </c>
      <c r="AE13" s="0" t="n">
        <v>4</v>
      </c>
      <c r="AF13" s="0" t="n">
        <v>6.646</v>
      </c>
      <c r="AG13" s="0" t="n">
        <v>1.63</v>
      </c>
      <c r="AH13" s="0" t="n">
        <v>74.3</v>
      </c>
      <c r="AI13" s="0" t="n">
        <v>500.353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84</v>
      </c>
      <c r="B1" s="2" t="s">
        <v>85</v>
      </c>
    </row>
    <row r="2" customFormat="false" ht="15" hidden="false" customHeight="false" outlineLevel="0" collapsed="false">
      <c r="A2" s="0" t="s">
        <v>86</v>
      </c>
      <c r="B2" s="3" t="n">
        <v>1.8</v>
      </c>
    </row>
    <row r="3" customFormat="false" ht="15" hidden="false" customHeight="false" outlineLevel="0" collapsed="false">
      <c r="A3" s="0" t="s">
        <v>87</v>
      </c>
      <c r="B3" s="3" t="n">
        <v>2854.187</v>
      </c>
    </row>
    <row r="4" customFormat="false" ht="15" hidden="false" customHeight="false" outlineLevel="0" collapsed="false">
      <c r="A4" s="0" t="s">
        <v>88</v>
      </c>
      <c r="B4" s="3" t="n">
        <v>0</v>
      </c>
    </row>
    <row r="5" customFormat="false" ht="15" hidden="false" customHeight="false" outlineLevel="0" collapsed="false">
      <c r="A5" s="0" t="s">
        <v>89</v>
      </c>
      <c r="B5" s="3" t="n">
        <v>0</v>
      </c>
    </row>
    <row r="6" customFormat="false" ht="15" hidden="false" customHeight="false" outlineLevel="0" collapsed="false">
      <c r="A6" s="0" t="s">
        <v>90</v>
      </c>
      <c r="B6" s="3" t="n">
        <v>15</v>
      </c>
    </row>
    <row r="7" customFormat="false" ht="15" hidden="false" customHeight="false" outlineLevel="0" collapsed="false">
      <c r="A7" s="0" t="s">
        <v>91</v>
      </c>
      <c r="B7" s="3" t="n">
        <v>672.991</v>
      </c>
    </row>
    <row r="8" customFormat="false" ht="15" hidden="false" customHeight="false" outlineLevel="0" collapsed="false">
      <c r="A8" s="0" t="s">
        <v>92</v>
      </c>
      <c r="B8" s="3" t="s">
        <v>83</v>
      </c>
    </row>
    <row r="9" customFormat="false" ht="15" hidden="false" customHeight="false" outlineLevel="0" collapsed="false">
      <c r="A9" s="0" t="s">
        <v>93</v>
      </c>
      <c r="B9" s="3" t="s">
        <v>94</v>
      </c>
    </row>
    <row r="10" customFormat="false" ht="15" hidden="false" customHeight="false" outlineLevel="0" collapsed="false">
      <c r="A10" s="0" t="s">
        <v>95</v>
      </c>
      <c r="B10" s="3" t="n">
        <v>1</v>
      </c>
    </row>
    <row r="12" customFormat="false" ht="15" hidden="false" customHeight="false" outlineLevel="0" collapsed="false">
      <c r="A12" s="2" t="s">
        <v>96</v>
      </c>
      <c r="C12" s="2" t="s">
        <v>97</v>
      </c>
      <c r="D12" s="2" t="s">
        <v>98</v>
      </c>
      <c r="E12" s="2" t="s">
        <v>99</v>
      </c>
      <c r="F12" s="2" t="s">
        <v>100</v>
      </c>
      <c r="G12" s="2" t="s">
        <v>101</v>
      </c>
      <c r="H12" s="2" t="s">
        <v>102</v>
      </c>
      <c r="I12" s="2" t="s">
        <v>103</v>
      </c>
      <c r="J12" s="2" t="s">
        <v>104</v>
      </c>
      <c r="K12" s="2" t="s">
        <v>105</v>
      </c>
      <c r="L12" s="2" t="s">
        <v>106</v>
      </c>
    </row>
    <row r="13" customFormat="false" ht="15" hidden="false" customHeight="false" outlineLevel="0" collapsed="false">
      <c r="A13" s="0" t="s">
        <v>107</v>
      </c>
      <c r="C13" s="3" t="n">
        <v>-7</v>
      </c>
      <c r="D13" s="3" t="n">
        <v>-3</v>
      </c>
      <c r="E13" s="3" t="n">
        <v>0</v>
      </c>
      <c r="F13" s="3" t="n">
        <v>1</v>
      </c>
      <c r="G13" s="3" t="n">
        <v>1</v>
      </c>
      <c r="H13" s="3" t="n">
        <v>1</v>
      </c>
      <c r="I13" s="3" t="n">
        <v>1</v>
      </c>
      <c r="J13" s="3" t="n">
        <v>1</v>
      </c>
      <c r="K13" s="3" t="n">
        <v>1</v>
      </c>
      <c r="L13" s="3" t="n">
        <v>1</v>
      </c>
    </row>
    <row r="14" customFormat="false" ht="15" hidden="false" customHeight="false" outlineLevel="0" collapsed="false">
      <c r="A14" s="0" t="s">
        <v>108</v>
      </c>
      <c r="C14" s="3" t="n">
        <v>52</v>
      </c>
      <c r="D14" s="3" t="n">
        <v>51</v>
      </c>
      <c r="E14" s="3" t="n">
        <v>50.5</v>
      </c>
      <c r="F14" s="3" t="n">
        <v>50.5</v>
      </c>
      <c r="G14" s="3" t="n">
        <v>50.5</v>
      </c>
      <c r="H14" s="3" t="n">
        <v>50.5</v>
      </c>
      <c r="I14" s="3" t="n">
        <v>50.5</v>
      </c>
      <c r="J14" s="3" t="n">
        <v>50.5</v>
      </c>
      <c r="K14" s="3" t="n">
        <v>50.5</v>
      </c>
      <c r="L14" s="3" t="n">
        <v>50.5</v>
      </c>
    </row>
    <row r="15" customFormat="false" ht="15" hidden="false" customHeight="false" outlineLevel="0" collapsed="false">
      <c r="A15" s="0" t="s">
        <v>109</v>
      </c>
      <c r="C15" s="3" t="n">
        <v>1</v>
      </c>
      <c r="D15" s="3" t="n">
        <v>1</v>
      </c>
      <c r="E15" s="3" t="n">
        <v>1</v>
      </c>
      <c r="F15" s="3" t="n">
        <v>1</v>
      </c>
      <c r="G15" s="3" t="n">
        <v>1</v>
      </c>
      <c r="H15" s="3" t="n">
        <v>1</v>
      </c>
      <c r="I15" s="3" t="n">
        <v>1</v>
      </c>
      <c r="J15" s="3" t="n">
        <v>1</v>
      </c>
      <c r="K15" s="3" t="n">
        <v>1</v>
      </c>
      <c r="L15" s="3" t="n">
        <v>1</v>
      </c>
    </row>
    <row r="16" customFormat="false" ht="15" hidden="false" customHeight="false" outlineLevel="0" collapsed="false">
      <c r="A16" s="0" t="s">
        <v>110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111</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112</v>
      </c>
      <c r="C18" s="3" t="n">
        <v>3.5</v>
      </c>
      <c r="D18" s="3" t="n">
        <v>3.5</v>
      </c>
      <c r="E18" s="3" t="n">
        <v>3.5</v>
      </c>
      <c r="F18" s="3" t="n">
        <v>3.5</v>
      </c>
      <c r="G18" s="3" t="n">
        <v>3.5</v>
      </c>
      <c r="H18" s="3" t="n">
        <v>3.5</v>
      </c>
      <c r="I18" s="3" t="n">
        <v>3.5</v>
      </c>
      <c r="J18" s="3" t="n">
        <v>3.5</v>
      </c>
      <c r="K18" s="3" t="n">
        <v>3.5</v>
      </c>
      <c r="L18" s="3" t="n">
        <v>3.5</v>
      </c>
    </row>
    <row r="19" customFormat="false" ht="15" hidden="false" customHeight="false" outlineLevel="0" collapsed="false">
      <c r="A19" s="0" t="s">
        <v>113</v>
      </c>
      <c r="C19" s="3" t="n">
        <v>0</v>
      </c>
      <c r="D19" s="3" t="n">
        <v>0</v>
      </c>
      <c r="E19" s="3" t="n">
        <v>0</v>
      </c>
      <c r="F19" s="3" t="n">
        <v>0</v>
      </c>
      <c r="G19" s="3" t="n">
        <v>0</v>
      </c>
      <c r="H19" s="3" t="n">
        <v>0</v>
      </c>
      <c r="I19" s="3" t="n">
        <v>0</v>
      </c>
      <c r="J19" s="3" t="n">
        <v>0</v>
      </c>
      <c r="K19" s="3" t="n">
        <v>0</v>
      </c>
      <c r="L19" s="3" t="n">
        <v>0</v>
      </c>
    </row>
    <row r="20" customFormat="false" ht="15" hidden="false" customHeight="false" outlineLevel="0" collapsed="false">
      <c r="A20" s="0" t="s">
        <v>114</v>
      </c>
      <c r="B20" s="3" t="n">
        <v>8</v>
      </c>
    </row>
    <row r="21" customFormat="false" ht="15" hidden="false" customHeight="false" outlineLevel="0" collapsed="false">
      <c r="A21" s="0" t="s">
        <v>115</v>
      </c>
      <c r="B21" s="3" t="n">
        <v>1</v>
      </c>
    </row>
    <row r="22" customFormat="false" ht="15" hidden="false" customHeight="false" outlineLevel="0" collapsed="false">
      <c r="A22" s="0" t="s">
        <v>116</v>
      </c>
      <c r="B22" s="3" t="n">
        <v>14</v>
      </c>
    </row>
    <row r="23" customFormat="false" ht="15" hidden="false" customHeight="false" outlineLevel="0" collapsed="false">
      <c r="A23" s="0" t="s">
        <v>117</v>
      </c>
      <c r="B23" s="3" t="n">
        <v>0</v>
      </c>
    </row>
    <row r="24" customFormat="false" ht="15" hidden="false" customHeight="false" outlineLevel="0" collapsed="false">
      <c r="A24" s="0" t="s">
        <v>118</v>
      </c>
      <c r="B24" s="3" t="n">
        <v>0.25</v>
      </c>
    </row>
    <row r="26" customFormat="false" ht="15" hidden="false" customHeight="false" outlineLevel="0" collapsed="false">
      <c r="A26" s="2" t="s">
        <v>119</v>
      </c>
      <c r="C26" s="2" t="s">
        <v>97</v>
      </c>
      <c r="D26" s="2" t="s">
        <v>98</v>
      </c>
      <c r="E26" s="2" t="s">
        <v>99</v>
      </c>
      <c r="F26" s="2" t="s">
        <v>100</v>
      </c>
      <c r="G26" s="2" t="s">
        <v>101</v>
      </c>
      <c r="H26" s="2" t="s">
        <v>102</v>
      </c>
      <c r="I26" s="2" t="s">
        <v>103</v>
      </c>
      <c r="J26" s="2" t="s">
        <v>104</v>
      </c>
      <c r="K26" s="2" t="s">
        <v>105</v>
      </c>
      <c r="L26" s="2" t="s">
        <v>106</v>
      </c>
    </row>
    <row r="27" customFormat="false" ht="15" hidden="false" customHeight="false" outlineLevel="0" collapsed="false">
      <c r="A27" s="0" t="s">
        <v>107</v>
      </c>
      <c r="C27" s="3" t="n">
        <v>-5</v>
      </c>
      <c r="D27" s="3" t="n">
        <v>-0.5</v>
      </c>
      <c r="E27" s="3" t="n">
        <v>1.5</v>
      </c>
      <c r="F27" s="3" t="n">
        <v>2</v>
      </c>
      <c r="G27" s="3" t="n">
        <v>2</v>
      </c>
      <c r="H27" s="3" t="n">
        <v>2</v>
      </c>
      <c r="I27" s="3" t="n">
        <v>2</v>
      </c>
      <c r="J27" s="3" t="n">
        <v>1.5</v>
      </c>
      <c r="K27" s="3" t="n">
        <v>1.5</v>
      </c>
      <c r="L27" s="3" t="n">
        <v>1.5</v>
      </c>
    </row>
    <row r="28" customFormat="false" ht="15" hidden="false" customHeight="false" outlineLevel="0" collapsed="false">
      <c r="A28" s="0" t="s">
        <v>108</v>
      </c>
      <c r="C28" s="3" t="n">
        <v>53</v>
      </c>
      <c r="D28" s="3" t="n">
        <v>52.5</v>
      </c>
      <c r="E28" s="3" t="n">
        <v>52.5</v>
      </c>
      <c r="F28" s="3" t="n">
        <v>52.5</v>
      </c>
      <c r="G28" s="3" t="n">
        <v>52.5</v>
      </c>
      <c r="H28" s="3" t="n">
        <v>52.5</v>
      </c>
      <c r="I28" s="3" t="n">
        <v>52.5</v>
      </c>
      <c r="J28" s="3" t="n">
        <v>52.5</v>
      </c>
      <c r="K28" s="3" t="n">
        <v>52.5</v>
      </c>
      <c r="L28" s="3" t="n">
        <v>52.5</v>
      </c>
    </row>
    <row r="29" customFormat="false" ht="15" hidden="false" customHeight="false" outlineLevel="0" collapsed="false">
      <c r="A29" s="0" t="s">
        <v>109</v>
      </c>
      <c r="C29" s="3" t="n">
        <v>1</v>
      </c>
      <c r="D29" s="3" t="n">
        <v>1</v>
      </c>
      <c r="E29" s="3" t="n">
        <v>1</v>
      </c>
      <c r="F29" s="3" t="n">
        <v>1</v>
      </c>
      <c r="G29" s="3" t="n">
        <v>1</v>
      </c>
      <c r="H29" s="3" t="n">
        <v>1</v>
      </c>
      <c r="I29" s="3" t="n">
        <v>1</v>
      </c>
      <c r="J29" s="3" t="n">
        <v>1</v>
      </c>
      <c r="K29" s="3" t="n">
        <v>1</v>
      </c>
      <c r="L29" s="3" t="n">
        <v>1</v>
      </c>
    </row>
    <row r="30" customFormat="false" ht="15" hidden="false" customHeight="false" outlineLevel="0" collapsed="false">
      <c r="A30" s="0" t="s">
        <v>110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111</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112</v>
      </c>
      <c r="C32" s="3" t="n">
        <v>2.5</v>
      </c>
      <c r="D32" s="3" t="n">
        <v>2.5</v>
      </c>
      <c r="E32" s="3" t="n">
        <v>2.5</v>
      </c>
      <c r="F32" s="3" t="n">
        <v>2.5</v>
      </c>
      <c r="G32" s="3" t="n">
        <v>2.5</v>
      </c>
      <c r="H32" s="3" t="n">
        <v>2.5</v>
      </c>
      <c r="I32" s="3" t="n">
        <v>2.5</v>
      </c>
      <c r="J32" s="3" t="n">
        <v>2.5</v>
      </c>
      <c r="K32" s="3" t="n">
        <v>2.5</v>
      </c>
      <c r="L32" s="3" t="n">
        <v>2.5</v>
      </c>
    </row>
    <row r="33" customFormat="false" ht="15" hidden="false" customHeight="false" outlineLevel="0" collapsed="false">
      <c r="A33" s="0" t="s">
        <v>113</v>
      </c>
      <c r="C33" s="3" t="n">
        <v>0</v>
      </c>
      <c r="D33" s="3" t="n">
        <v>0</v>
      </c>
      <c r="E33" s="3" t="n">
        <v>0</v>
      </c>
      <c r="F33" s="3" t="n">
        <v>0</v>
      </c>
      <c r="G33" s="3" t="n">
        <v>0</v>
      </c>
      <c r="H33" s="3" t="n">
        <v>0</v>
      </c>
      <c r="I33" s="3" t="n">
        <v>0</v>
      </c>
      <c r="J33" s="3" t="n">
        <v>0</v>
      </c>
      <c r="K33" s="3" t="n">
        <v>0</v>
      </c>
      <c r="L33" s="3" t="n">
        <v>0</v>
      </c>
    </row>
    <row r="34" customFormat="false" ht="15" hidden="false" customHeight="false" outlineLevel="0" collapsed="false">
      <c r="A34" s="0" t="s">
        <v>114</v>
      </c>
      <c r="B34" s="3" t="n">
        <v>7.5</v>
      </c>
    </row>
    <row r="35" customFormat="false" ht="15" hidden="false" customHeight="false" outlineLevel="0" collapsed="false">
      <c r="A35" s="0" t="s">
        <v>115</v>
      </c>
      <c r="B35" s="3" t="n">
        <v>1.5</v>
      </c>
    </row>
    <row r="36" customFormat="false" ht="15" hidden="false" customHeight="false" outlineLevel="0" collapsed="false">
      <c r="A36" s="0" t="s">
        <v>116</v>
      </c>
      <c r="B36" s="3" t="n">
        <v>16</v>
      </c>
    </row>
    <row r="37" customFormat="false" ht="15" hidden="false" customHeight="false" outlineLevel="0" collapsed="false">
      <c r="A37" s="0" t="s">
        <v>117</v>
      </c>
      <c r="B37" s="3" t="n">
        <v>0</v>
      </c>
    </row>
    <row r="38" customFormat="false" ht="15" hidden="false" customHeight="false" outlineLevel="0" collapsed="false">
      <c r="A38" s="0" t="s">
        <v>118</v>
      </c>
      <c r="B38" s="3" t="n">
        <v>0.5</v>
      </c>
    </row>
    <row r="40" customFormat="false" ht="15" hidden="false" customHeight="false" outlineLevel="0" collapsed="false">
      <c r="A40" s="2" t="s">
        <v>120</v>
      </c>
      <c r="C40" s="2" t="s">
        <v>97</v>
      </c>
      <c r="D40" s="2" t="s">
        <v>98</v>
      </c>
      <c r="E40" s="2" t="s">
        <v>99</v>
      </c>
      <c r="F40" s="2" t="s">
        <v>100</v>
      </c>
      <c r="G40" s="2" t="s">
        <v>101</v>
      </c>
      <c r="H40" s="2" t="s">
        <v>102</v>
      </c>
      <c r="I40" s="2" t="s">
        <v>103</v>
      </c>
      <c r="J40" s="2" t="s">
        <v>104</v>
      </c>
      <c r="K40" s="2" t="s">
        <v>105</v>
      </c>
      <c r="L40" s="2" t="s">
        <v>106</v>
      </c>
    </row>
    <row r="41" customFormat="false" ht="15" hidden="false" customHeight="false" outlineLevel="0" collapsed="false">
      <c r="A41" s="0" t="s">
        <v>107</v>
      </c>
      <c r="C41" s="3" t="n">
        <v>-3</v>
      </c>
      <c r="D41" s="3" t="n">
        <v>2</v>
      </c>
      <c r="E41" s="3" t="n">
        <v>3.5</v>
      </c>
      <c r="F41" s="3" t="n">
        <v>3.5</v>
      </c>
      <c r="G41" s="3" t="n">
        <v>3</v>
      </c>
      <c r="H41" s="3" t="n">
        <v>3</v>
      </c>
      <c r="I41" s="3" t="n">
        <v>2.5</v>
      </c>
      <c r="J41" s="3" t="n">
        <v>2.5</v>
      </c>
      <c r="K41" s="3" t="n">
        <v>2</v>
      </c>
      <c r="L41" s="3" t="n">
        <v>2</v>
      </c>
    </row>
    <row r="42" customFormat="false" ht="15" hidden="false" customHeight="false" outlineLevel="0" collapsed="false">
      <c r="A42" s="0" t="s">
        <v>108</v>
      </c>
      <c r="C42" s="3" t="n">
        <v>53.5</v>
      </c>
      <c r="D42" s="3" t="n">
        <v>53.5</v>
      </c>
      <c r="E42" s="3" t="n">
        <v>54</v>
      </c>
      <c r="F42" s="3" t="n">
        <v>54</v>
      </c>
      <c r="G42" s="3" t="n">
        <v>54</v>
      </c>
      <c r="H42" s="3" t="n">
        <v>54</v>
      </c>
      <c r="I42" s="3" t="n">
        <v>54</v>
      </c>
      <c r="J42" s="3" t="n">
        <v>54</v>
      </c>
      <c r="K42" s="3" t="n">
        <v>54</v>
      </c>
      <c r="L42" s="3" t="n">
        <v>54</v>
      </c>
    </row>
    <row r="43" customFormat="false" ht="15" hidden="false" customHeight="false" outlineLevel="0" collapsed="false">
      <c r="A43" s="0" t="s">
        <v>109</v>
      </c>
      <c r="C43" s="3" t="n">
        <v>1</v>
      </c>
      <c r="D43" s="3" t="n">
        <v>1</v>
      </c>
      <c r="E43" s="3" t="n">
        <v>1</v>
      </c>
      <c r="F43" s="3" t="n">
        <v>1</v>
      </c>
      <c r="G43" s="3" t="n">
        <v>1</v>
      </c>
      <c r="H43" s="3" t="n">
        <v>1</v>
      </c>
      <c r="I43" s="3" t="n">
        <v>1</v>
      </c>
      <c r="J43" s="3" t="n">
        <v>1</v>
      </c>
      <c r="K43" s="3" t="n">
        <v>1</v>
      </c>
      <c r="L43" s="3" t="n">
        <v>1</v>
      </c>
    </row>
    <row r="44" customFormat="false" ht="15" hidden="false" customHeight="false" outlineLevel="0" collapsed="false">
      <c r="A44" s="0" t="s">
        <v>110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111</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112</v>
      </c>
      <c r="C46" s="3" t="n">
        <v>2</v>
      </c>
      <c r="D46" s="3" t="n">
        <v>2</v>
      </c>
      <c r="E46" s="3" t="n">
        <v>2</v>
      </c>
      <c r="F46" s="3" t="n">
        <v>2</v>
      </c>
      <c r="G46" s="3" t="n">
        <v>2</v>
      </c>
      <c r="H46" s="3" t="n">
        <v>2</v>
      </c>
      <c r="I46" s="3" t="n">
        <v>2</v>
      </c>
      <c r="J46" s="3" t="n">
        <v>2</v>
      </c>
      <c r="K46" s="3" t="n">
        <v>2</v>
      </c>
      <c r="L46" s="3" t="n">
        <v>2</v>
      </c>
    </row>
    <row r="47" customFormat="false" ht="15" hidden="false" customHeight="false" outlineLevel="0" collapsed="false">
      <c r="A47" s="0" t="s">
        <v>113</v>
      </c>
      <c r="C47" s="3" t="n">
        <v>0</v>
      </c>
      <c r="D47" s="3" t="n">
        <v>0</v>
      </c>
      <c r="E47" s="3" t="n">
        <v>0</v>
      </c>
      <c r="F47" s="3" t="n">
        <v>0</v>
      </c>
      <c r="G47" s="3" t="n">
        <v>0</v>
      </c>
      <c r="H47" s="3" t="n">
        <v>0</v>
      </c>
      <c r="I47" s="3" t="n">
        <v>0</v>
      </c>
      <c r="J47" s="3" t="n">
        <v>0</v>
      </c>
      <c r="K47" s="3" t="n">
        <v>0</v>
      </c>
      <c r="L47" s="3" t="n">
        <v>0</v>
      </c>
    </row>
    <row r="48" customFormat="false" ht="15" hidden="false" customHeight="false" outlineLevel="0" collapsed="false">
      <c r="A48" s="0" t="s">
        <v>114</v>
      </c>
      <c r="B48" s="3" t="n">
        <v>7</v>
      </c>
    </row>
    <row r="49" customFormat="false" ht="15" hidden="false" customHeight="false" outlineLevel="0" collapsed="false">
      <c r="A49" s="0" t="s">
        <v>115</v>
      </c>
      <c r="B49" s="3" t="n">
        <v>2</v>
      </c>
    </row>
    <row r="50" customFormat="false" ht="15" hidden="false" customHeight="false" outlineLevel="0" collapsed="false">
      <c r="A50" s="0" t="s">
        <v>116</v>
      </c>
      <c r="B50" s="3" t="n">
        <v>17</v>
      </c>
    </row>
    <row r="51" customFormat="false" ht="15" hidden="false" customHeight="false" outlineLevel="0" collapsed="false">
      <c r="A51" s="0" t="s">
        <v>117</v>
      </c>
      <c r="B51" s="3" t="n">
        <v>0</v>
      </c>
    </row>
    <row r="52" customFormat="false" ht="15" hidden="false" customHeight="false" outlineLevel="0" collapsed="false">
      <c r="A52" s="0" t="s">
        <v>118</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121</v>
      </c>
    </row>
    <row r="3" customFormat="false" ht="15" hidden="false" customHeight="false" outlineLevel="0" collapsed="false">
      <c r="A3" s="0" t="s">
        <v>122</v>
      </c>
      <c r="B3" s="0" t="s">
        <v>83</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Assumptions!C13</f>
        <v>-7</v>
      </c>
      <c r="D5" s="4" t="n">
        <f aca="false">Assumptions!D13</f>
        <v>-3</v>
      </c>
      <c r="E5" s="4" t="n">
        <f aca="false">Assumptions!E13</f>
        <v>0</v>
      </c>
      <c r="F5" s="4" t="n">
        <f aca="false">Assumptions!F13</f>
        <v>1</v>
      </c>
      <c r="G5" s="4" t="n">
        <f aca="false">Assumptions!G13</f>
        <v>1</v>
      </c>
      <c r="H5" s="4" t="n">
        <f aca="false">Assumptions!H13</f>
        <v>1</v>
      </c>
      <c r="I5" s="4" t="n">
        <f aca="false">Assumptions!I13</f>
        <v>1</v>
      </c>
      <c r="J5" s="4" t="n">
        <f aca="false">Assumptions!J13</f>
        <v>1</v>
      </c>
      <c r="K5" s="4" t="n">
        <f aca="false">Assumptions!K13</f>
        <v>1</v>
      </c>
      <c r="L5" s="4" t="n">
        <f aca="false">Assumptions!L13</f>
        <v>1</v>
      </c>
    </row>
    <row r="6" customFormat="false" ht="15" hidden="false" customHeight="false" outlineLevel="0" collapsed="false">
      <c r="A6" s="0" t="s">
        <v>37</v>
      </c>
      <c r="B6" s="3" t="n">
        <v>672.991</v>
      </c>
      <c r="C6" s="0" t="n">
        <f aca="false">B6*(1+C5/100)</f>
        <v>625.88163</v>
      </c>
      <c r="D6" s="0" t="n">
        <f aca="false">C6*(1+D5/100)</f>
        <v>607.1051811</v>
      </c>
      <c r="E6" s="0" t="n">
        <f aca="false">D6*(1+E5/100)</f>
        <v>607.1051811</v>
      </c>
      <c r="F6" s="0" t="n">
        <f aca="false">E6*(1+F5/100)</f>
        <v>613.176232911</v>
      </c>
      <c r="G6" s="0" t="n">
        <f aca="false">F6*(1+G5/100)</f>
        <v>619.30799524011</v>
      </c>
      <c r="H6" s="0" t="n">
        <f aca="false">G6*(1+H5/100)</f>
        <v>625.501075192511</v>
      </c>
      <c r="I6" s="0" t="n">
        <f aca="false">H6*(1+I5/100)</f>
        <v>631.756085944436</v>
      </c>
      <c r="J6" s="0" t="n">
        <f aca="false">I6*(1+J5/100)</f>
        <v>638.073646803881</v>
      </c>
      <c r="K6" s="0" t="n">
        <f aca="false">J6*(1+K5/100)</f>
        <v>644.454383271919</v>
      </c>
      <c r="L6" s="0" t="n">
        <f aca="false">K6*(1+L5/100)</f>
        <v>650.898927104639</v>
      </c>
    </row>
    <row r="7" customFormat="false" ht="15" hidden="false" customHeight="false" outlineLevel="0" collapsed="false">
      <c r="A7" s="0" t="s">
        <v>108</v>
      </c>
      <c r="C7" s="4" t="n">
        <f aca="false">Assumptions!C14</f>
        <v>52</v>
      </c>
      <c r="D7" s="4" t="n">
        <f aca="false">Assumptions!D14</f>
        <v>51</v>
      </c>
      <c r="E7" s="4" t="n">
        <f aca="false">Assumptions!E14</f>
        <v>50.5</v>
      </c>
      <c r="F7" s="4" t="n">
        <f aca="false">Assumptions!F14</f>
        <v>50.5</v>
      </c>
      <c r="G7" s="4" t="n">
        <f aca="false">Assumptions!G14</f>
        <v>50.5</v>
      </c>
      <c r="H7" s="4" t="n">
        <f aca="false">Assumptions!H14</f>
        <v>50.5</v>
      </c>
      <c r="I7" s="4" t="n">
        <f aca="false">Assumptions!I14</f>
        <v>50.5</v>
      </c>
      <c r="J7" s="4" t="n">
        <f aca="false">Assumptions!J14</f>
        <v>50.5</v>
      </c>
      <c r="K7" s="4" t="n">
        <f aca="false">Assumptions!K14</f>
        <v>50.5</v>
      </c>
      <c r="L7" s="4" t="n">
        <f aca="false">Assumptions!L14</f>
        <v>50.5</v>
      </c>
    </row>
    <row r="8" customFormat="false" ht="15" hidden="false" customHeight="false" outlineLevel="0" collapsed="false">
      <c r="A8" s="0" t="s">
        <v>43</v>
      </c>
      <c r="C8" s="0" t="n">
        <f aca="false">C6*C7/100</f>
        <v>325.4584476</v>
      </c>
      <c r="D8" s="0" t="n">
        <f aca="false">D6*D7/100</f>
        <v>309.623642361</v>
      </c>
      <c r="E8" s="0" t="n">
        <f aca="false">E6*E7/100</f>
        <v>306.5881164555</v>
      </c>
      <c r="F8" s="0" t="n">
        <f aca="false">F6*F7/100</f>
        <v>309.653997620055</v>
      </c>
      <c r="G8" s="0" t="n">
        <f aca="false">G6*G7/100</f>
        <v>312.750537596255</v>
      </c>
      <c r="H8" s="0" t="n">
        <f aca="false">H6*H7/100</f>
        <v>315.878042972218</v>
      </c>
      <c r="I8" s="0" t="n">
        <f aca="false">I6*I7/100</f>
        <v>319.03682340194</v>
      </c>
      <c r="J8" s="0" t="n">
        <f aca="false">J6*J7/100</f>
        <v>322.22719163596</v>
      </c>
      <c r="K8" s="0" t="n">
        <f aca="false">K6*K7/100</f>
        <v>325.449463552319</v>
      </c>
      <c r="L8" s="0" t="n">
        <f aca="false">L6*L7/100</f>
        <v>328.703958187843</v>
      </c>
    </row>
    <row r="9" customFormat="false" ht="15" hidden="false" customHeight="false" outlineLevel="0" collapsed="false">
      <c r="A9" s="0" t="s">
        <v>109</v>
      </c>
      <c r="C9" s="4" t="n">
        <f aca="false">Assumptions!C15</f>
        <v>1</v>
      </c>
      <c r="D9" s="4" t="n">
        <f aca="false">Assumptions!D15</f>
        <v>1</v>
      </c>
      <c r="E9" s="4" t="n">
        <f aca="false">Assumptions!E15</f>
        <v>1</v>
      </c>
      <c r="F9" s="4" t="n">
        <f aca="false">Assumptions!F15</f>
        <v>1</v>
      </c>
      <c r="G9" s="4" t="n">
        <f aca="false">Assumptions!G15</f>
        <v>1</v>
      </c>
      <c r="H9" s="4" t="n">
        <f aca="false">Assumptions!H15</f>
        <v>1</v>
      </c>
      <c r="I9" s="4" t="n">
        <f aca="false">Assumptions!I15</f>
        <v>1</v>
      </c>
      <c r="J9" s="4" t="n">
        <f aca="false">Assumptions!J15</f>
        <v>1</v>
      </c>
      <c r="K9" s="4" t="n">
        <f aca="false">Assumptions!K15</f>
        <v>1</v>
      </c>
      <c r="L9" s="4" t="n">
        <f aca="false">Assumptions!L15</f>
        <v>1</v>
      </c>
    </row>
    <row r="10" customFormat="false" ht="15" hidden="false" customHeight="false" outlineLevel="0" collapsed="false">
      <c r="A10" s="0" t="s">
        <v>124</v>
      </c>
      <c r="C10" s="0" t="n">
        <f aca="false">-C6*C9/100</f>
        <v>-6.2588163</v>
      </c>
      <c r="D10" s="0" t="n">
        <f aca="false">-D6*D9/100</f>
        <v>-6.071051811</v>
      </c>
      <c r="E10" s="0" t="n">
        <f aca="false">-E6*E9/100</f>
        <v>-6.071051811</v>
      </c>
      <c r="F10" s="0" t="n">
        <f aca="false">-F6*F9/100</f>
        <v>-6.13176232911</v>
      </c>
      <c r="G10" s="0" t="n">
        <f aca="false">-G6*G9/100</f>
        <v>-6.1930799524011</v>
      </c>
      <c r="H10" s="0" t="n">
        <f aca="false">-H6*H9/100</f>
        <v>-6.25501075192511</v>
      </c>
      <c r="I10" s="0" t="n">
        <f aca="false">-I6*I9/100</f>
        <v>-6.31756085944436</v>
      </c>
      <c r="J10" s="0" t="n">
        <f aca="false">-J6*J9/100</f>
        <v>-6.38073646803881</v>
      </c>
      <c r="K10" s="0" t="n">
        <f aca="false">-K6*K9/100</f>
        <v>-6.44454383271919</v>
      </c>
      <c r="L10" s="0" t="n">
        <f aca="false">-L6*L9/100</f>
        <v>-6.50898927104639</v>
      </c>
    </row>
    <row r="11" customFormat="false" ht="15" hidden="false" customHeight="false" outlineLevel="0" collapsed="false">
      <c r="A11" s="0" t="s">
        <v>125</v>
      </c>
      <c r="C11" s="0" t="n">
        <f aca="false">C8+C10+C24</f>
        <v>319.1996313</v>
      </c>
      <c r="D11" s="0" t="n">
        <f aca="false">D8+D10+D24</f>
        <v>303.55259055</v>
      </c>
      <c r="E11" s="0" t="n">
        <f aca="false">E8+E10+E24</f>
        <v>300.5170646445</v>
      </c>
      <c r="F11" s="0" t="n">
        <f aca="false">F8+F10+F24</f>
        <v>303.522235290945</v>
      </c>
      <c r="G11" s="0" t="n">
        <f aca="false">G8+G10+G24</f>
        <v>306.557457643854</v>
      </c>
      <c r="H11" s="0" t="n">
        <f aca="false">H8+H10+H24</f>
        <v>309.623032220293</v>
      </c>
      <c r="I11" s="0" t="n">
        <f aca="false">I8+I10+I24</f>
        <v>312.719262542496</v>
      </c>
      <c r="J11" s="0" t="n">
        <f aca="false">J8+J10+J24</f>
        <v>315.846455167921</v>
      </c>
      <c r="K11" s="0" t="n">
        <f aca="false">K8+K10+K24</f>
        <v>319.0049197196</v>
      </c>
      <c r="L11" s="0" t="n">
        <f aca="false">L8+L10+L24</f>
        <v>322.194968916796</v>
      </c>
    </row>
    <row r="12" customFormat="false" ht="15" hidden="false" customHeight="false" outlineLevel="0" collapsed="false">
      <c r="A12" s="0" t="s">
        <v>126</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127</v>
      </c>
      <c r="C13" s="0" t="n">
        <f aca="false">C11+C12</f>
        <v>319.1996313</v>
      </c>
      <c r="D13" s="0" t="n">
        <f aca="false">D11+D12</f>
        <v>303.55259055</v>
      </c>
      <c r="E13" s="0" t="n">
        <f aca="false">E11+E12</f>
        <v>300.5170646445</v>
      </c>
      <c r="F13" s="0" t="n">
        <f aca="false">F11+F12</f>
        <v>303.522235290945</v>
      </c>
      <c r="G13" s="0" t="n">
        <f aca="false">G11+G12</f>
        <v>306.557457643854</v>
      </c>
      <c r="H13" s="0" t="n">
        <f aca="false">H11+H12</f>
        <v>309.623032220293</v>
      </c>
      <c r="I13" s="0" t="n">
        <f aca="false">I11+I12</f>
        <v>312.719262542496</v>
      </c>
      <c r="J13" s="0" t="n">
        <f aca="false">J11+J12</f>
        <v>315.846455167921</v>
      </c>
      <c r="K13" s="0" t="n">
        <f aca="false">K11+K12</f>
        <v>319.0049197196</v>
      </c>
      <c r="L13" s="0" t="n">
        <f aca="false">L11+L12</f>
        <v>322.194968916796</v>
      </c>
    </row>
    <row r="14" customFormat="false" ht="15" hidden="false" customHeight="false" outlineLevel="0" collapsed="false">
      <c r="A14" s="0" t="s">
        <v>113</v>
      </c>
      <c r="C14" s="4" t="n">
        <f aca="false">Assumptions!C19</f>
        <v>0</v>
      </c>
      <c r="D14" s="4" t="n">
        <f aca="false">Assumptions!D19</f>
        <v>0</v>
      </c>
      <c r="E14" s="4" t="n">
        <f aca="false">Assumptions!E19</f>
        <v>0</v>
      </c>
      <c r="F14" s="4" t="n">
        <f aca="false">Assumptions!F19</f>
        <v>0</v>
      </c>
      <c r="G14" s="4" t="n">
        <f aca="false">Assumptions!G19</f>
        <v>0</v>
      </c>
      <c r="H14" s="4" t="n">
        <f aca="false">Assumptions!H19</f>
        <v>0</v>
      </c>
      <c r="I14" s="4" t="n">
        <f aca="false">Assumptions!I19</f>
        <v>0</v>
      </c>
      <c r="J14" s="4" t="n">
        <f aca="false">Assumptions!J19</f>
        <v>0</v>
      </c>
      <c r="K14" s="4" t="n">
        <f aca="false">Assumptions!K19</f>
        <v>0</v>
      </c>
      <c r="L14" s="4" t="n">
        <f aca="false">Assumptions!L19</f>
        <v>0</v>
      </c>
    </row>
    <row r="15" customFormat="false" ht="15" hidden="false" customHeight="false" outlineLevel="0" collapsed="false">
      <c r="A15" s="0" t="s">
        <v>128</v>
      </c>
      <c r="C15" s="0" t="n">
        <f aca="false">C13-MAX(0,C13)*C14/100</f>
        <v>319.1996313</v>
      </c>
      <c r="D15" s="0" t="n">
        <f aca="false">D13-MAX(0,D13)*D14/100</f>
        <v>303.55259055</v>
      </c>
      <c r="E15" s="0" t="n">
        <f aca="false">E13-MAX(0,E13)*E14/100</f>
        <v>300.5170646445</v>
      </c>
      <c r="F15" s="0" t="n">
        <f aca="false">F13-MAX(0,F13)*F14/100</f>
        <v>303.522235290945</v>
      </c>
      <c r="G15" s="0" t="n">
        <f aca="false">G13-MAX(0,G13)*G14/100</f>
        <v>306.557457643854</v>
      </c>
      <c r="H15" s="0" t="n">
        <f aca="false">H13-MAX(0,H13)*H14/100</f>
        <v>309.623032220293</v>
      </c>
      <c r="I15" s="0" t="n">
        <f aca="false">I13-MAX(0,I13)*I14/100</f>
        <v>312.719262542496</v>
      </c>
      <c r="J15" s="0" t="n">
        <f aca="false">J13-MAX(0,J13)*J14/100</f>
        <v>315.846455167921</v>
      </c>
      <c r="K15" s="0" t="n">
        <f aca="false">K13-MAX(0,K13)*K14/100</f>
        <v>319.0049197196</v>
      </c>
      <c r="L15" s="0" t="n">
        <f aca="false">L13-MAX(0,L13)*L14/100</f>
        <v>322.194968916796</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-C6*Assumptions!C18/100</f>
        <v>-21.90585705</v>
      </c>
      <c r="D17" s="4" t="n">
        <f aca="false">-D6*Assumptions!D18/100</f>
        <v>-21.2486813385</v>
      </c>
      <c r="E17" s="4" t="n">
        <f aca="false">-E6*Assumptions!E18/100</f>
        <v>-21.2486813385</v>
      </c>
      <c r="F17" s="4" t="n">
        <f aca="false">-F6*Assumptions!F18/100</f>
        <v>-21.461168151885</v>
      </c>
      <c r="G17" s="4" t="n">
        <f aca="false">-G6*Assumptions!G18/100</f>
        <v>-21.6757798334038</v>
      </c>
      <c r="H17" s="4" t="n">
        <f aca="false">-H6*Assumptions!H18/100</f>
        <v>-21.8925376317379</v>
      </c>
      <c r="I17" s="4" t="n">
        <f aca="false">-I6*Assumptions!I18/100</f>
        <v>-22.1114630080553</v>
      </c>
      <c r="J17" s="4" t="n">
        <f aca="false">-J6*Assumptions!J18/100</f>
        <v>-22.3325776381358</v>
      </c>
      <c r="K17" s="4" t="n">
        <f aca="false">-K6*Assumptions!K18/100</f>
        <v>-22.5559034145172</v>
      </c>
      <c r="L17" s="4" t="n">
        <f aca="false">-L6*Assumptions!L18/100</f>
        <v>-22.7814624486624</v>
      </c>
    </row>
    <row r="18" customFormat="false" ht="15" hidden="false" customHeight="false" outlineLevel="0" collapsed="false">
      <c r="A18" s="0" t="s">
        <v>131</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132</v>
      </c>
      <c r="C19" s="0" t="n">
        <f aca="false">C15+C16+C17+C18</f>
        <v>297.29377425</v>
      </c>
      <c r="D19" s="0" t="n">
        <f aca="false">D15+D16+D17+D18</f>
        <v>282.3039092115</v>
      </c>
      <c r="E19" s="0" t="n">
        <f aca="false">E15+E16+E17+E18</f>
        <v>279.268383306</v>
      </c>
      <c r="F19" s="0" t="n">
        <f aca="false">F15+F16+F17+F18</f>
        <v>282.06106713906</v>
      </c>
      <c r="G19" s="0" t="n">
        <f aca="false">G15+G16+G17+G18</f>
        <v>284.881677810451</v>
      </c>
      <c r="H19" s="0" t="n">
        <f aca="false">H15+H16+H17+H18</f>
        <v>287.730494588555</v>
      </c>
      <c r="I19" s="0" t="n">
        <f aca="false">I15+I16+I17+I18</f>
        <v>290.607799534441</v>
      </c>
      <c r="J19" s="0" t="n">
        <f aca="false">J15+J16+J17+J18</f>
        <v>293.513877529785</v>
      </c>
      <c r="K19" s="0" t="n">
        <f aca="false">K15+K16+K17+K18</f>
        <v>296.449016305083</v>
      </c>
      <c r="L19" s="0" t="n">
        <f aca="false">L15+L16+L17+L18</f>
        <v>299.413506468134</v>
      </c>
    </row>
    <row r="20" customFormat="false" ht="15" hidden="false" customHeight="false" outlineLevel="0" collapsed="false">
      <c r="A20" s="0" t="s">
        <v>133</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134</v>
      </c>
      <c r="C21" s="0" t="n">
        <f aca="false">C19*C20</f>
        <v>275.272013194444</v>
      </c>
      <c r="D21" s="0" t="n">
        <f aca="false">D19*D20</f>
        <v>242.030100489969</v>
      </c>
      <c r="E21" s="0" t="n">
        <f aca="false">E19*E20</f>
        <v>221.692246565882</v>
      </c>
      <c r="F21" s="0" t="n">
        <f aca="false">F19*F20</f>
        <v>207.323304658834</v>
      </c>
      <c r="G21" s="0" t="n">
        <f aca="false">G19*G20</f>
        <v>193.885683060576</v>
      </c>
      <c r="H21" s="0" t="n">
        <f aca="false">H19*H20</f>
        <v>181.319018417761</v>
      </c>
      <c r="I21" s="0" t="n">
        <f aca="false">I19*I20</f>
        <v>169.56685981661</v>
      </c>
      <c r="J21" s="0" t="n">
        <f aca="false">J19*J20</f>
        <v>158.576415198867</v>
      </c>
      <c r="K21" s="0" t="n">
        <f aca="false">K19*K20</f>
        <v>148.298314213755</v>
      </c>
      <c r="L21" s="0" t="n">
        <f aca="false">L19*L20</f>
        <v>138.686386440641</v>
      </c>
    </row>
    <row r="23" customFormat="false" ht="15" hidden="false" customHeight="false" outlineLevel="0" collapsed="false">
      <c r="A23" s="0" t="s">
        <v>110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Assumptions!$B$20</f>
        <v>8</v>
      </c>
    </row>
    <row r="28" customFormat="false" ht="15" hidden="false" customHeight="false" outlineLevel="0" collapsed="false">
      <c r="A28" s="0" t="s">
        <v>115</v>
      </c>
      <c r="B28" s="4" t="n">
        <f aca="false">Assumptions!$B$21</f>
        <v>1</v>
      </c>
    </row>
    <row r="29" customFormat="false" ht="15" hidden="false" customHeight="false" outlineLevel="0" collapsed="false">
      <c r="A29" s="0" t="s">
        <v>116</v>
      </c>
      <c r="B29" s="4" t="n">
        <f aca="false">Assumptions!$B$22</f>
        <v>14</v>
      </c>
    </row>
    <row r="30" customFormat="false" ht="15" hidden="false" customHeight="false" outlineLevel="0" collapsed="false">
      <c r="A30" s="0" t="s">
        <v>137</v>
      </c>
      <c r="B30" s="0" t="n">
        <f aca="false">SUM(C21:L21)</f>
        <v>1936.65034205734</v>
      </c>
    </row>
    <row r="31" customFormat="false" ht="15" hidden="false" customHeight="false" outlineLevel="0" collapsed="false">
      <c r="A31" s="0" t="s">
        <v>138</v>
      </c>
      <c r="B31" s="0" t="n">
        <f aca="false">L19</f>
        <v>299.413506468134</v>
      </c>
    </row>
    <row r="32" customFormat="false" ht="15" hidden="false" customHeight="false" outlineLevel="0" collapsed="false">
      <c r="A32" s="0" t="s">
        <v>139</v>
      </c>
      <c r="B32" s="0" t="n">
        <f aca="false">IF(B27&gt;B28,B31*(1+B28/100)/((B27-B28)/100),B31*B29)</f>
        <v>4320.1091647545</v>
      </c>
    </row>
    <row r="33" customFormat="false" ht="15" hidden="false" customHeight="false" outlineLevel="0" collapsed="false">
      <c r="A33" s="0" t="s">
        <v>140</v>
      </c>
      <c r="B33" s="0" t="n">
        <f aca="false">B31*B29</f>
        <v>4191.78909055387</v>
      </c>
    </row>
    <row r="34" customFormat="false" ht="15" hidden="false" customHeight="false" outlineLevel="0" collapsed="false">
      <c r="A34" s="0" t="s">
        <v>141</v>
      </c>
      <c r="B34" s="0" t="n">
        <f aca="false">MAX(0,MIN(B32,B33))</f>
        <v>4191.78909055387</v>
      </c>
    </row>
    <row r="35" customFormat="false" ht="15" hidden="false" customHeight="false" outlineLevel="0" collapsed="false">
      <c r="A35" s="0" t="s">
        <v>142</v>
      </c>
      <c r="B35" s="0" t="n">
        <f aca="false">B34/(1+B27/100)^L4</f>
        <v>1941.60941016897</v>
      </c>
    </row>
    <row r="36" customFormat="false" ht="15" hidden="false" customHeight="false" outlineLevel="0" collapsed="false">
      <c r="A36" s="0" t="s">
        <v>143</v>
      </c>
      <c r="B36" s="0" t="n">
        <f aca="false">B30+B35</f>
        <v>3878.25975222631</v>
      </c>
    </row>
    <row r="37" customFormat="false" ht="15" hidden="false" customHeight="false" outlineLevel="0" collapsed="false">
      <c r="A37" s="0" t="s">
        <v>144</v>
      </c>
      <c r="B37" s="0" t="n">
        <f aca="false">B36+Assumptions!$B$5-Assumptions!$B$4</f>
        <v>3878.25975222631</v>
      </c>
    </row>
    <row r="38" customFormat="false" ht="15" hidden="false" customHeight="false" outlineLevel="0" collapsed="false">
      <c r="A38" s="0" t="s">
        <v>145</v>
      </c>
      <c r="B38" s="0" t="n">
        <f aca="false">B37/Assumptions!$B$3*Assumptions!$B$10</f>
        <v>1.35879665636005</v>
      </c>
    </row>
    <row r="39" customFormat="false" ht="15" hidden="false" customHeight="false" outlineLevel="0" collapsed="false">
      <c r="A39" s="0" t="s">
        <v>146</v>
      </c>
      <c r="B39" s="4" t="n">
        <f aca="false">B38/Assumptions!$B$2-1</f>
        <v>-0.245112968688863</v>
      </c>
    </row>
    <row r="41" customFormat="false" ht="15" hidden="false" customHeight="false" outlineLevel="0" collapsed="false">
      <c r="A41" s="0" t="s">
        <v>147</v>
      </c>
      <c r="B41" s="0" t="n">
        <f aca="false">SUMPRODUCT(-C10:L10/(1+$B$27/100)^C4:L4)</f>
        <v>41.8555449443881</v>
      </c>
    </row>
    <row r="42" customFormat="false" ht="15" hidden="false" customHeight="false" outlineLevel="0" collapsed="false">
      <c r="A42" s="0" t="s">
        <v>148</v>
      </c>
      <c r="B42" s="0" t="n">
        <f aca="false">IF(B27&gt;B28,-L10*(1+B28/100)/((B27-B28)/100),-L10*20)/(1+B27/100)^L4</f>
        <v>43.5010094115054</v>
      </c>
    </row>
    <row r="43" customFormat="false" ht="15" hidden="false" customHeight="false" outlineLevel="0" collapsed="false">
      <c r="A43" s="0" t="s">
        <v>149</v>
      </c>
      <c r="B43" s="0" t="n">
        <f aca="false">(B37+B41+B42)/Assumptions!$B$3*Assumptions!$B$10</f>
        <v>1.38870238936069</v>
      </c>
    </row>
    <row r="45" customFormat="false" ht="15" hidden="false" customHeight="false" outlineLevel="0" collapsed="false">
      <c r="A45" s="0" t="s">
        <v>90</v>
      </c>
      <c r="B45" s="4" t="n">
        <f aca="false">Assumptions!$B$6</f>
        <v>15</v>
      </c>
    </row>
    <row r="46" customFormat="false" ht="15" hidden="false" customHeight="false" outlineLevel="0" collapsed="false">
      <c r="A46" s="0" t="s">
        <v>150</v>
      </c>
      <c r="B46" s="0" t="n">
        <f aca="false">MAX(0,MIN(IF(B45&gt;B28,B31*(1+B28/100)/((B45-B28)/100),B31*B29),B31*B29))</f>
        <v>2160.05458237725</v>
      </c>
    </row>
    <row r="47" customFormat="false" ht="15" hidden="false" customHeight="false" outlineLevel="0" collapsed="false">
      <c r="A47" s="0" t="s">
        <v>151</v>
      </c>
      <c r="B47" s="0" t="n">
        <f aca="false">(SUMPRODUCT(C19:L19/(1+B45/100)^C4:L4)+B46/(1+B45/100)^L4+Assumptions!$B$5-Assumptions!$B$4)/Assumptions!$B$3*Assumptions!$B$10</f>
        <v>0.69382787193088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122</v>
      </c>
      <c r="B3" s="0" t="s">
        <v>83</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Assumptions!C27</f>
        <v>-5</v>
      </c>
      <c r="D5" s="4" t="n">
        <f aca="false">Assumptions!D27</f>
        <v>-0.5</v>
      </c>
      <c r="E5" s="4" t="n">
        <f aca="false">Assumptions!E27</f>
        <v>1.5</v>
      </c>
      <c r="F5" s="4" t="n">
        <f aca="false">Assumptions!F27</f>
        <v>2</v>
      </c>
      <c r="G5" s="4" t="n">
        <f aca="false">Assumptions!G27</f>
        <v>2</v>
      </c>
      <c r="H5" s="4" t="n">
        <f aca="false">Assumptions!H27</f>
        <v>2</v>
      </c>
      <c r="I5" s="4" t="n">
        <f aca="false">Assumptions!I27</f>
        <v>2</v>
      </c>
      <c r="J5" s="4" t="n">
        <f aca="false">Assumptions!J27</f>
        <v>1.5</v>
      </c>
      <c r="K5" s="4" t="n">
        <f aca="false">Assumptions!K27</f>
        <v>1.5</v>
      </c>
      <c r="L5" s="4" t="n">
        <f aca="false">Assumptions!L27</f>
        <v>1.5</v>
      </c>
    </row>
    <row r="6" customFormat="false" ht="15" hidden="false" customHeight="false" outlineLevel="0" collapsed="false">
      <c r="A6" s="0" t="s">
        <v>37</v>
      </c>
      <c r="B6" s="3" t="n">
        <v>672.991</v>
      </c>
      <c r="C6" s="0" t="n">
        <f aca="false">B6*(1+C5/100)</f>
        <v>639.34145</v>
      </c>
      <c r="D6" s="0" t="n">
        <f aca="false">C6*(1+D5/100)</f>
        <v>636.14474275</v>
      </c>
      <c r="E6" s="0" t="n">
        <f aca="false">D6*(1+E5/100)</f>
        <v>645.68691389125</v>
      </c>
      <c r="F6" s="0" t="n">
        <f aca="false">E6*(1+F5/100)</f>
        <v>658.600652169075</v>
      </c>
      <c r="G6" s="0" t="n">
        <f aca="false">F6*(1+G5/100)</f>
        <v>671.772665212456</v>
      </c>
      <c r="H6" s="0" t="n">
        <f aca="false">G6*(1+H5/100)</f>
        <v>685.208118516706</v>
      </c>
      <c r="I6" s="0" t="n">
        <f aca="false">H6*(1+I5/100)</f>
        <v>698.91228088704</v>
      </c>
      <c r="J6" s="0" t="n">
        <f aca="false">I6*(1+J5/100)</f>
        <v>709.395965100345</v>
      </c>
      <c r="K6" s="0" t="n">
        <f aca="false">J6*(1+K5/100)</f>
        <v>720.03690457685</v>
      </c>
      <c r="L6" s="0" t="n">
        <f aca="false">K6*(1+L5/100)</f>
        <v>730.837458145503</v>
      </c>
    </row>
    <row r="7" customFormat="false" ht="15" hidden="false" customHeight="false" outlineLevel="0" collapsed="false">
      <c r="A7" s="0" t="s">
        <v>108</v>
      </c>
      <c r="C7" s="4" t="n">
        <f aca="false">Assumptions!C28</f>
        <v>53</v>
      </c>
      <c r="D7" s="4" t="n">
        <f aca="false">Assumptions!D28</f>
        <v>52.5</v>
      </c>
      <c r="E7" s="4" t="n">
        <f aca="false">Assumptions!E28</f>
        <v>52.5</v>
      </c>
      <c r="F7" s="4" t="n">
        <f aca="false">Assumptions!F28</f>
        <v>52.5</v>
      </c>
      <c r="G7" s="4" t="n">
        <f aca="false">Assumptions!G28</f>
        <v>52.5</v>
      </c>
      <c r="H7" s="4" t="n">
        <f aca="false">Assumptions!H28</f>
        <v>52.5</v>
      </c>
      <c r="I7" s="4" t="n">
        <f aca="false">Assumptions!I28</f>
        <v>52.5</v>
      </c>
      <c r="J7" s="4" t="n">
        <f aca="false">Assumptions!J28</f>
        <v>52.5</v>
      </c>
      <c r="K7" s="4" t="n">
        <f aca="false">Assumptions!K28</f>
        <v>52.5</v>
      </c>
      <c r="L7" s="4" t="n">
        <f aca="false">Assumptions!L28</f>
        <v>52.5</v>
      </c>
    </row>
    <row r="8" customFormat="false" ht="15" hidden="false" customHeight="false" outlineLevel="0" collapsed="false">
      <c r="A8" s="0" t="s">
        <v>43</v>
      </c>
      <c r="C8" s="0" t="n">
        <f aca="false">C6*C7/100</f>
        <v>338.8509685</v>
      </c>
      <c r="D8" s="0" t="n">
        <f aca="false">D6*D7/100</f>
        <v>333.97598994375</v>
      </c>
      <c r="E8" s="0" t="n">
        <f aca="false">E6*E7/100</f>
        <v>338.985629792906</v>
      </c>
      <c r="F8" s="0" t="n">
        <f aca="false">F6*F7/100</f>
        <v>345.765342388764</v>
      </c>
      <c r="G8" s="0" t="n">
        <f aca="false">G6*G7/100</f>
        <v>352.68064923654</v>
      </c>
      <c r="H8" s="0" t="n">
        <f aca="false">H6*H7/100</f>
        <v>359.73426222127</v>
      </c>
      <c r="I8" s="0" t="n">
        <f aca="false">I6*I7/100</f>
        <v>366.928947465696</v>
      </c>
      <c r="J8" s="0" t="n">
        <f aca="false">J6*J7/100</f>
        <v>372.432881677681</v>
      </c>
      <c r="K8" s="0" t="n">
        <f aca="false">K6*K7/100</f>
        <v>378.019374902846</v>
      </c>
      <c r="L8" s="0" t="n">
        <f aca="false">L6*L7/100</f>
        <v>383.689665526389</v>
      </c>
    </row>
    <row r="9" customFormat="false" ht="15" hidden="false" customHeight="false" outlineLevel="0" collapsed="false">
      <c r="A9" s="0" t="s">
        <v>109</v>
      </c>
      <c r="C9" s="4" t="n">
        <f aca="false">Assumptions!C29</f>
        <v>1</v>
      </c>
      <c r="D9" s="4" t="n">
        <f aca="false">Assumptions!D29</f>
        <v>1</v>
      </c>
      <c r="E9" s="4" t="n">
        <f aca="false">Assumptions!E29</f>
        <v>1</v>
      </c>
      <c r="F9" s="4" t="n">
        <f aca="false">Assumptions!F29</f>
        <v>1</v>
      </c>
      <c r="G9" s="4" t="n">
        <f aca="false">Assumptions!G29</f>
        <v>1</v>
      </c>
      <c r="H9" s="4" t="n">
        <f aca="false">Assumptions!H29</f>
        <v>1</v>
      </c>
      <c r="I9" s="4" t="n">
        <f aca="false">Assumptions!I29</f>
        <v>1</v>
      </c>
      <c r="J9" s="4" t="n">
        <f aca="false">Assumptions!J29</f>
        <v>1</v>
      </c>
      <c r="K9" s="4" t="n">
        <f aca="false">Assumptions!K29</f>
        <v>1</v>
      </c>
      <c r="L9" s="4" t="n">
        <f aca="false">Assumptions!L29</f>
        <v>1</v>
      </c>
    </row>
    <row r="10" customFormat="false" ht="15" hidden="false" customHeight="false" outlineLevel="0" collapsed="false">
      <c r="A10" s="0" t="s">
        <v>124</v>
      </c>
      <c r="C10" s="0" t="n">
        <f aca="false">-C6*C9/100</f>
        <v>-6.3934145</v>
      </c>
      <c r="D10" s="0" t="n">
        <f aca="false">-D6*D9/100</f>
        <v>-6.3614474275</v>
      </c>
      <c r="E10" s="0" t="n">
        <f aca="false">-E6*E9/100</f>
        <v>-6.4568691389125</v>
      </c>
      <c r="F10" s="0" t="n">
        <f aca="false">-F6*F9/100</f>
        <v>-6.58600652169075</v>
      </c>
      <c r="G10" s="0" t="n">
        <f aca="false">-G6*G9/100</f>
        <v>-6.71772665212457</v>
      </c>
      <c r="H10" s="0" t="n">
        <f aca="false">-H6*H9/100</f>
        <v>-6.85208118516706</v>
      </c>
      <c r="I10" s="0" t="n">
        <f aca="false">-I6*I9/100</f>
        <v>-6.9891228088704</v>
      </c>
      <c r="J10" s="0" t="n">
        <f aca="false">-J6*J9/100</f>
        <v>-7.09395965100345</v>
      </c>
      <c r="K10" s="0" t="n">
        <f aca="false">-K6*K9/100</f>
        <v>-7.2003690457685</v>
      </c>
      <c r="L10" s="0" t="n">
        <f aca="false">-L6*L9/100</f>
        <v>-7.30837458145503</v>
      </c>
    </row>
    <row r="11" customFormat="false" ht="15" hidden="false" customHeight="false" outlineLevel="0" collapsed="false">
      <c r="A11" s="0" t="s">
        <v>125</v>
      </c>
      <c r="C11" s="0" t="n">
        <f aca="false">C8+C10+C24</f>
        <v>332.457554</v>
      </c>
      <c r="D11" s="0" t="n">
        <f aca="false">D8+D10+D24</f>
        <v>327.61454251625</v>
      </c>
      <c r="E11" s="0" t="n">
        <f aca="false">E8+E10+E24</f>
        <v>332.528760653994</v>
      </c>
      <c r="F11" s="0" t="n">
        <f aca="false">F8+F10+F24</f>
        <v>339.179335867074</v>
      </c>
      <c r="G11" s="0" t="n">
        <f aca="false">G8+G10+G24</f>
        <v>345.962922584415</v>
      </c>
      <c r="H11" s="0" t="n">
        <f aca="false">H8+H10+H24</f>
        <v>352.882181036103</v>
      </c>
      <c r="I11" s="0" t="n">
        <f aca="false">I8+I10+I24</f>
        <v>359.939824656825</v>
      </c>
      <c r="J11" s="0" t="n">
        <f aca="false">J8+J10+J24</f>
        <v>365.338922026678</v>
      </c>
      <c r="K11" s="0" t="n">
        <f aca="false">K8+K10+K24</f>
        <v>370.819005857078</v>
      </c>
      <c r="L11" s="0" t="n">
        <f aca="false">L8+L10+L24</f>
        <v>376.381290944934</v>
      </c>
    </row>
    <row r="12" customFormat="false" ht="15" hidden="false" customHeight="false" outlineLevel="0" collapsed="false">
      <c r="A12" s="0" t="s">
        <v>126</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127</v>
      </c>
      <c r="C13" s="0" t="n">
        <f aca="false">C11+C12</f>
        <v>332.457554</v>
      </c>
      <c r="D13" s="0" t="n">
        <f aca="false">D11+D12</f>
        <v>327.61454251625</v>
      </c>
      <c r="E13" s="0" t="n">
        <f aca="false">E11+E12</f>
        <v>332.528760653994</v>
      </c>
      <c r="F13" s="0" t="n">
        <f aca="false">F11+F12</f>
        <v>339.179335867074</v>
      </c>
      <c r="G13" s="0" t="n">
        <f aca="false">G11+G12</f>
        <v>345.962922584415</v>
      </c>
      <c r="H13" s="0" t="n">
        <f aca="false">H11+H12</f>
        <v>352.882181036103</v>
      </c>
      <c r="I13" s="0" t="n">
        <f aca="false">I11+I12</f>
        <v>359.939824656825</v>
      </c>
      <c r="J13" s="0" t="n">
        <f aca="false">J11+J12</f>
        <v>365.338922026678</v>
      </c>
      <c r="K13" s="0" t="n">
        <f aca="false">K11+K12</f>
        <v>370.819005857078</v>
      </c>
      <c r="L13" s="0" t="n">
        <f aca="false">L11+L12</f>
        <v>376.381290944934</v>
      </c>
    </row>
    <row r="14" customFormat="false" ht="15" hidden="false" customHeight="false" outlineLevel="0" collapsed="false">
      <c r="A14" s="0" t="s">
        <v>113</v>
      </c>
      <c r="C14" s="4" t="n">
        <f aca="false">Assumptions!C33</f>
        <v>0</v>
      </c>
      <c r="D14" s="4" t="n">
        <f aca="false">Assumptions!D33</f>
        <v>0</v>
      </c>
      <c r="E14" s="4" t="n">
        <f aca="false">Assumptions!E33</f>
        <v>0</v>
      </c>
      <c r="F14" s="4" t="n">
        <f aca="false">Assumptions!F33</f>
        <v>0</v>
      </c>
      <c r="G14" s="4" t="n">
        <f aca="false">Assumptions!G33</f>
        <v>0</v>
      </c>
      <c r="H14" s="4" t="n">
        <f aca="false">Assumptions!H33</f>
        <v>0</v>
      </c>
      <c r="I14" s="4" t="n">
        <f aca="false">Assumptions!I33</f>
        <v>0</v>
      </c>
      <c r="J14" s="4" t="n">
        <f aca="false">Assumptions!J33</f>
        <v>0</v>
      </c>
      <c r="K14" s="4" t="n">
        <f aca="false">Assumptions!K33</f>
        <v>0</v>
      </c>
      <c r="L14" s="4" t="n">
        <f aca="false">Assumptions!L33</f>
        <v>0</v>
      </c>
    </row>
    <row r="15" customFormat="false" ht="15" hidden="false" customHeight="false" outlineLevel="0" collapsed="false">
      <c r="A15" s="0" t="s">
        <v>128</v>
      </c>
      <c r="C15" s="0" t="n">
        <f aca="false">C13-MAX(0,C13)*C14/100</f>
        <v>332.457554</v>
      </c>
      <c r="D15" s="0" t="n">
        <f aca="false">D13-MAX(0,D13)*D14/100</f>
        <v>327.61454251625</v>
      </c>
      <c r="E15" s="0" t="n">
        <f aca="false">E13-MAX(0,E13)*E14/100</f>
        <v>332.528760653994</v>
      </c>
      <c r="F15" s="0" t="n">
        <f aca="false">F13-MAX(0,F13)*F14/100</f>
        <v>339.179335867074</v>
      </c>
      <c r="G15" s="0" t="n">
        <f aca="false">G13-MAX(0,G13)*G14/100</f>
        <v>345.962922584415</v>
      </c>
      <c r="H15" s="0" t="n">
        <f aca="false">H13-MAX(0,H13)*H14/100</f>
        <v>352.882181036103</v>
      </c>
      <c r="I15" s="0" t="n">
        <f aca="false">I13-MAX(0,I13)*I14/100</f>
        <v>359.939824656825</v>
      </c>
      <c r="J15" s="0" t="n">
        <f aca="false">J13-MAX(0,J13)*J14/100</f>
        <v>365.338922026678</v>
      </c>
      <c r="K15" s="0" t="n">
        <f aca="false">K13-MAX(0,K13)*K14/100</f>
        <v>370.819005857078</v>
      </c>
      <c r="L15" s="0" t="n">
        <f aca="false">L13-MAX(0,L13)*L14/100</f>
        <v>376.381290944934</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-C6*Assumptions!C32/100</f>
        <v>-15.98353625</v>
      </c>
      <c r="D17" s="4" t="n">
        <f aca="false">-D6*Assumptions!D32/100</f>
        <v>-15.90361856875</v>
      </c>
      <c r="E17" s="4" t="n">
        <f aca="false">-E6*Assumptions!E32/100</f>
        <v>-16.1421728472813</v>
      </c>
      <c r="F17" s="4" t="n">
        <f aca="false">-F6*Assumptions!F32/100</f>
        <v>-16.4650163042269</v>
      </c>
      <c r="G17" s="4" t="n">
        <f aca="false">-G6*Assumptions!G32/100</f>
        <v>-16.7943166303114</v>
      </c>
      <c r="H17" s="4" t="n">
        <f aca="false">-H6*Assumptions!H32/100</f>
        <v>-17.1302029629176</v>
      </c>
      <c r="I17" s="4" t="n">
        <f aca="false">-I6*Assumptions!I32/100</f>
        <v>-17.472807022176</v>
      </c>
      <c r="J17" s="4" t="n">
        <f aca="false">-J6*Assumptions!J32/100</f>
        <v>-17.7348991275086</v>
      </c>
      <c r="K17" s="4" t="n">
        <f aca="false">-K6*Assumptions!K32/100</f>
        <v>-18.0009226144213</v>
      </c>
      <c r="L17" s="4" t="n">
        <f aca="false">-L6*Assumptions!L32/100</f>
        <v>-18.2709364536376</v>
      </c>
    </row>
    <row r="18" customFormat="false" ht="15" hidden="false" customHeight="false" outlineLevel="0" collapsed="false">
      <c r="A18" s="0" t="s">
        <v>131</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132</v>
      </c>
      <c r="C19" s="0" t="n">
        <f aca="false">C15+C16+C17+C18</f>
        <v>316.47401775</v>
      </c>
      <c r="D19" s="0" t="n">
        <f aca="false">D15+D16+D17+D18</f>
        <v>311.7109239475</v>
      </c>
      <c r="E19" s="0" t="n">
        <f aca="false">E15+E16+E17+E18</f>
        <v>316.386587806712</v>
      </c>
      <c r="F19" s="0" t="n">
        <f aca="false">F15+F16+F17+F18</f>
        <v>322.714319562847</v>
      </c>
      <c r="G19" s="0" t="n">
        <f aca="false">G15+G16+G17+G18</f>
        <v>329.168605954104</v>
      </c>
      <c r="H19" s="0" t="n">
        <f aca="false">H15+H16+H17+H18</f>
        <v>335.751978073186</v>
      </c>
      <c r="I19" s="0" t="n">
        <f aca="false">I15+I16+I17+I18</f>
        <v>342.46701763465</v>
      </c>
      <c r="J19" s="0" t="n">
        <f aca="false">J15+J16+J17+J18</f>
        <v>347.604022899169</v>
      </c>
      <c r="K19" s="0" t="n">
        <f aca="false">K15+K16+K17+K18</f>
        <v>352.818083242657</v>
      </c>
      <c r="L19" s="0" t="n">
        <f aca="false">L15+L16+L17+L18</f>
        <v>358.110354491296</v>
      </c>
    </row>
    <row r="20" customFormat="false" ht="15" hidden="false" customHeight="false" outlineLevel="0" collapsed="false">
      <c r="A20" s="0" t="s">
        <v>133</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134</v>
      </c>
      <c r="C21" s="0" t="n">
        <f aca="false">C19*C20</f>
        <v>294.394435116279</v>
      </c>
      <c r="D21" s="0" t="n">
        <f aca="false">D19*D20</f>
        <v>269.73362807788</v>
      </c>
      <c r="E21" s="0" t="n">
        <f aca="false">E19*E20</f>
        <v>254.678727906091</v>
      </c>
      <c r="F21" s="0" t="n">
        <f aca="false">F19*F20</f>
        <v>241.648653455082</v>
      </c>
      <c r="G21" s="0" t="n">
        <f aca="false">G19*G20</f>
        <v>229.285233975985</v>
      </c>
      <c r="H21" s="0" t="n">
        <f aca="false">H19*H20</f>
        <v>217.554361540004</v>
      </c>
      <c r="I21" s="0" t="n">
        <f aca="false">I19*I20</f>
        <v>206.423673275167</v>
      </c>
      <c r="J21" s="0" t="n">
        <f aca="false">J19*J20</f>
        <v>194.902351976088</v>
      </c>
      <c r="K21" s="0" t="n">
        <f aca="false">K19*K20</f>
        <v>184.02408116812</v>
      </c>
      <c r="L21" s="0" t="n">
        <f aca="false">L19*L20</f>
        <v>173.752969661062</v>
      </c>
    </row>
    <row r="23" customFormat="false" ht="15" hidden="false" customHeight="false" outlineLevel="0" collapsed="false">
      <c r="A23" s="0" t="s">
        <v>110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Assumptions!$B$34</f>
        <v>7.5</v>
      </c>
    </row>
    <row r="28" customFormat="false" ht="15" hidden="false" customHeight="false" outlineLevel="0" collapsed="false">
      <c r="A28" s="0" t="s">
        <v>115</v>
      </c>
      <c r="B28" s="4" t="n">
        <f aca="false">Assumptions!$B$35</f>
        <v>1.5</v>
      </c>
    </row>
    <row r="29" customFormat="false" ht="15" hidden="false" customHeight="false" outlineLevel="0" collapsed="false">
      <c r="A29" s="0" t="s">
        <v>116</v>
      </c>
      <c r="B29" s="4" t="n">
        <f aca="false">Assumptions!$B$36</f>
        <v>16</v>
      </c>
    </row>
    <row r="30" customFormat="false" ht="15" hidden="false" customHeight="false" outlineLevel="0" collapsed="false">
      <c r="A30" s="0" t="s">
        <v>137</v>
      </c>
      <c r="B30" s="0" t="n">
        <f aca="false">SUM(C21:L21)</f>
        <v>2266.39811615176</v>
      </c>
    </row>
    <row r="31" customFormat="false" ht="15" hidden="false" customHeight="false" outlineLevel="0" collapsed="false">
      <c r="A31" s="0" t="s">
        <v>138</v>
      </c>
      <c r="B31" s="0" t="n">
        <f aca="false">L19</f>
        <v>358.110354491296</v>
      </c>
    </row>
    <row r="32" customFormat="false" ht="15" hidden="false" customHeight="false" outlineLevel="0" collapsed="false">
      <c r="A32" s="0" t="s">
        <v>139</v>
      </c>
      <c r="B32" s="0" t="n">
        <f aca="false">IF(B27&gt;B28,B31*(1+B28/100)/((B27-B28)/100),B31*B29)</f>
        <v>6058.0334968111</v>
      </c>
    </row>
    <row r="33" customFormat="false" ht="15" hidden="false" customHeight="false" outlineLevel="0" collapsed="false">
      <c r="A33" s="0" t="s">
        <v>140</v>
      </c>
      <c r="B33" s="0" t="n">
        <f aca="false">B31*B29</f>
        <v>5729.76567186074</v>
      </c>
    </row>
    <row r="34" customFormat="false" ht="15" hidden="false" customHeight="false" outlineLevel="0" collapsed="false">
      <c r="A34" s="0" t="s">
        <v>141</v>
      </c>
      <c r="B34" s="0" t="n">
        <f aca="false">MAX(0,MIN(B32,B33))</f>
        <v>5729.76567186074</v>
      </c>
    </row>
    <row r="35" customFormat="false" ht="15" hidden="false" customHeight="false" outlineLevel="0" collapsed="false">
      <c r="A35" s="0" t="s">
        <v>142</v>
      </c>
      <c r="B35" s="0" t="n">
        <f aca="false">B34/(1+B27/100)^L4</f>
        <v>2780.04751457699</v>
      </c>
    </row>
    <row r="36" customFormat="false" ht="15" hidden="false" customHeight="false" outlineLevel="0" collapsed="false">
      <c r="A36" s="0" t="s">
        <v>143</v>
      </c>
      <c r="B36" s="0" t="n">
        <f aca="false">B30+B35</f>
        <v>5046.44563072875</v>
      </c>
    </row>
    <row r="37" customFormat="false" ht="15" hidden="false" customHeight="false" outlineLevel="0" collapsed="false">
      <c r="A37" s="0" t="s">
        <v>144</v>
      </c>
      <c r="B37" s="0" t="n">
        <f aca="false">B36+Assumptions!$B$5-Assumptions!$B$4</f>
        <v>5046.44563072875</v>
      </c>
    </row>
    <row r="38" customFormat="false" ht="15" hidden="false" customHeight="false" outlineLevel="0" collapsed="false">
      <c r="A38" s="0" t="s">
        <v>145</v>
      </c>
      <c r="B38" s="0" t="n">
        <f aca="false">B37/Assumptions!$B$3*Assumptions!$B$10</f>
        <v>1.76808514324</v>
      </c>
    </row>
    <row r="39" customFormat="false" ht="15" hidden="false" customHeight="false" outlineLevel="0" collapsed="false">
      <c r="A39" s="0" t="s">
        <v>146</v>
      </c>
      <c r="B39" s="4" t="n">
        <f aca="false">B38/Assumptions!$B$2-1</f>
        <v>-0.0177304759777768</v>
      </c>
    </row>
    <row r="41" customFormat="false" ht="15" hidden="false" customHeight="false" outlineLevel="0" collapsed="false">
      <c r="A41" s="0" t="s">
        <v>147</v>
      </c>
      <c r="B41" s="0" t="n">
        <f aca="false">SUMPRODUCT(-C10:L10/(1+$B$27/100)^C4:L4)</f>
        <v>46.1923354079381</v>
      </c>
    </row>
    <row r="42" customFormat="false" ht="15" hidden="false" customHeight="false" outlineLevel="0" collapsed="false">
      <c r="A42" s="0" t="s">
        <v>148</v>
      </c>
      <c r="B42" s="0" t="n">
        <f aca="false">IF(B27&gt;B28,-L10*(1+B28/100)/((B27-B28)/100),-L10*20)/(1+B27/100)^L4</f>
        <v>59.9861442877476</v>
      </c>
    </row>
    <row r="43" customFormat="false" ht="15" hidden="false" customHeight="false" outlineLevel="0" collapsed="false">
      <c r="A43" s="0" t="s">
        <v>149</v>
      </c>
      <c r="B43" s="0" t="n">
        <f aca="false">(B37+B41+B42)/Assumptions!$B$3*Assumptions!$B$10</f>
        <v>1.8052860973806</v>
      </c>
    </row>
    <row r="45" customFormat="false" ht="15" hidden="false" customHeight="false" outlineLevel="0" collapsed="false">
      <c r="A45" s="0" t="s">
        <v>90</v>
      </c>
      <c r="B45" s="4" t="n">
        <f aca="false">Assumptions!$B$6</f>
        <v>15</v>
      </c>
    </row>
    <row r="46" customFormat="false" ht="15" hidden="false" customHeight="false" outlineLevel="0" collapsed="false">
      <c r="A46" s="0" t="s">
        <v>150</v>
      </c>
      <c r="B46" s="0" t="n">
        <f aca="false">MAX(0,MIN(IF(B45&gt;B28,B31*(1+B28/100)/((B45-B28)/100),B31*B29),B31*B29))</f>
        <v>2692.45933191604</v>
      </c>
    </row>
    <row r="47" customFormat="false" ht="15" hidden="false" customHeight="false" outlineLevel="0" collapsed="false">
      <c r="A47" s="0" t="s">
        <v>151</v>
      </c>
      <c r="B47" s="0" t="n">
        <f aca="false">(SUMPRODUCT(C19:L19/(1+B45/100)^C4:L4)+B46/(1+B45/100)^L4+Assumptions!$B$5-Assumptions!$B$4)/Assumptions!$B$3*Assumptions!$B$10</f>
        <v>0.808976648607484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153</v>
      </c>
    </row>
    <row r="3" customFormat="false" ht="15" hidden="false" customHeight="false" outlineLevel="0" collapsed="false">
      <c r="A3" s="0" t="s">
        <v>122</v>
      </c>
      <c r="B3" s="0" t="s">
        <v>83</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Assumptions!C41</f>
        <v>-3</v>
      </c>
      <c r="D5" s="4" t="n">
        <f aca="false">Assumptions!D41</f>
        <v>2</v>
      </c>
      <c r="E5" s="4" t="n">
        <f aca="false">Assumptions!E41</f>
        <v>3.5</v>
      </c>
      <c r="F5" s="4" t="n">
        <f aca="false">Assumptions!F41</f>
        <v>3.5</v>
      </c>
      <c r="G5" s="4" t="n">
        <f aca="false">Assumptions!G41</f>
        <v>3</v>
      </c>
      <c r="H5" s="4" t="n">
        <f aca="false">Assumptions!H41</f>
        <v>3</v>
      </c>
      <c r="I5" s="4" t="n">
        <f aca="false">Assumptions!I41</f>
        <v>2.5</v>
      </c>
      <c r="J5" s="4" t="n">
        <f aca="false">Assumptions!J41</f>
        <v>2.5</v>
      </c>
      <c r="K5" s="4" t="n">
        <f aca="false">Assumptions!K41</f>
        <v>2</v>
      </c>
      <c r="L5" s="4" t="n">
        <f aca="false">Assumptions!L41</f>
        <v>2</v>
      </c>
    </row>
    <row r="6" customFormat="false" ht="15" hidden="false" customHeight="false" outlineLevel="0" collapsed="false">
      <c r="A6" s="0" t="s">
        <v>37</v>
      </c>
      <c r="B6" s="3" t="n">
        <v>672.991</v>
      </c>
      <c r="C6" s="0" t="n">
        <f aca="false">B6*(1+C5/100)</f>
        <v>652.80127</v>
      </c>
      <c r="D6" s="0" t="n">
        <f aca="false">C6*(1+D5/100)</f>
        <v>665.8572954</v>
      </c>
      <c r="E6" s="0" t="n">
        <f aca="false">D6*(1+E5/100)</f>
        <v>689.162300739</v>
      </c>
      <c r="F6" s="0" t="n">
        <f aca="false">E6*(1+F5/100)</f>
        <v>713.282981264865</v>
      </c>
      <c r="G6" s="0" t="n">
        <f aca="false">F6*(1+G5/100)</f>
        <v>734.681470702811</v>
      </c>
      <c r="H6" s="0" t="n">
        <f aca="false">G6*(1+H5/100)</f>
        <v>756.721914823895</v>
      </c>
      <c r="I6" s="0" t="n">
        <f aca="false">H6*(1+I5/100)</f>
        <v>775.639962694493</v>
      </c>
      <c r="J6" s="0" t="n">
        <f aca="false">I6*(1+J5/100)</f>
        <v>795.030961761855</v>
      </c>
      <c r="K6" s="0" t="n">
        <f aca="false">J6*(1+K5/100)</f>
        <v>810.931580997092</v>
      </c>
      <c r="L6" s="0" t="n">
        <f aca="false">K6*(1+L5/100)</f>
        <v>827.150212617034</v>
      </c>
    </row>
    <row r="7" customFormat="false" ht="15" hidden="false" customHeight="false" outlineLevel="0" collapsed="false">
      <c r="A7" s="0" t="s">
        <v>108</v>
      </c>
      <c r="C7" s="4" t="n">
        <f aca="false">Assumptions!C42</f>
        <v>53.5</v>
      </c>
      <c r="D7" s="4" t="n">
        <f aca="false">Assumptions!D42</f>
        <v>53.5</v>
      </c>
      <c r="E7" s="4" t="n">
        <f aca="false">Assumptions!E42</f>
        <v>54</v>
      </c>
      <c r="F7" s="4" t="n">
        <f aca="false">Assumptions!F42</f>
        <v>54</v>
      </c>
      <c r="G7" s="4" t="n">
        <f aca="false">Assumptions!G42</f>
        <v>54</v>
      </c>
      <c r="H7" s="4" t="n">
        <f aca="false">Assumptions!H42</f>
        <v>54</v>
      </c>
      <c r="I7" s="4" t="n">
        <f aca="false">Assumptions!I42</f>
        <v>54</v>
      </c>
      <c r="J7" s="4" t="n">
        <f aca="false">Assumptions!J42</f>
        <v>54</v>
      </c>
      <c r="K7" s="4" t="n">
        <f aca="false">Assumptions!K42</f>
        <v>54</v>
      </c>
      <c r="L7" s="4" t="n">
        <f aca="false">Assumptions!L42</f>
        <v>54</v>
      </c>
    </row>
    <row r="8" customFormat="false" ht="15" hidden="false" customHeight="false" outlineLevel="0" collapsed="false">
      <c r="A8" s="0" t="s">
        <v>43</v>
      </c>
      <c r="C8" s="0" t="n">
        <f aca="false">C6*C7/100</f>
        <v>349.24867945</v>
      </c>
      <c r="D8" s="0" t="n">
        <f aca="false">D6*D7/100</f>
        <v>356.233653039</v>
      </c>
      <c r="E8" s="0" t="n">
        <f aca="false">E6*E7/100</f>
        <v>372.14764239906</v>
      </c>
      <c r="F8" s="0" t="n">
        <f aca="false">F6*F7/100</f>
        <v>385.172809883027</v>
      </c>
      <c r="G8" s="0" t="n">
        <f aca="false">G6*G7/100</f>
        <v>396.727994179518</v>
      </c>
      <c r="H8" s="0" t="n">
        <f aca="false">H6*H7/100</f>
        <v>408.629834004903</v>
      </c>
      <c r="I8" s="0" t="n">
        <f aca="false">I6*I7/100</f>
        <v>418.845579855026</v>
      </c>
      <c r="J8" s="0" t="n">
        <f aca="false">J6*J7/100</f>
        <v>429.316719351402</v>
      </c>
      <c r="K8" s="0" t="n">
        <f aca="false">K6*K7/100</f>
        <v>437.90305373843</v>
      </c>
      <c r="L8" s="0" t="n">
        <f aca="false">L6*L7/100</f>
        <v>446.661114813198</v>
      </c>
    </row>
    <row r="9" customFormat="false" ht="15" hidden="false" customHeight="false" outlineLevel="0" collapsed="false">
      <c r="A9" s="0" t="s">
        <v>109</v>
      </c>
      <c r="C9" s="4" t="n">
        <f aca="false">Assumptions!C43</f>
        <v>1</v>
      </c>
      <c r="D9" s="4" t="n">
        <f aca="false">Assumptions!D43</f>
        <v>1</v>
      </c>
      <c r="E9" s="4" t="n">
        <f aca="false">Assumptions!E43</f>
        <v>1</v>
      </c>
      <c r="F9" s="4" t="n">
        <f aca="false">Assumptions!F43</f>
        <v>1</v>
      </c>
      <c r="G9" s="4" t="n">
        <f aca="false">Assumptions!G43</f>
        <v>1</v>
      </c>
      <c r="H9" s="4" t="n">
        <f aca="false">Assumptions!H43</f>
        <v>1</v>
      </c>
      <c r="I9" s="4" t="n">
        <f aca="false">Assumptions!I43</f>
        <v>1</v>
      </c>
      <c r="J9" s="4" t="n">
        <f aca="false">Assumptions!J43</f>
        <v>1</v>
      </c>
      <c r="K9" s="4" t="n">
        <f aca="false">Assumptions!K43</f>
        <v>1</v>
      </c>
      <c r="L9" s="4" t="n">
        <f aca="false">Assumptions!L43</f>
        <v>1</v>
      </c>
    </row>
    <row r="10" customFormat="false" ht="15" hidden="false" customHeight="false" outlineLevel="0" collapsed="false">
      <c r="A10" s="0" t="s">
        <v>124</v>
      </c>
      <c r="C10" s="0" t="n">
        <f aca="false">-C6*C9/100</f>
        <v>-6.5280127</v>
      </c>
      <c r="D10" s="0" t="n">
        <f aca="false">-D6*D9/100</f>
        <v>-6.658572954</v>
      </c>
      <c r="E10" s="0" t="n">
        <f aca="false">-E6*E9/100</f>
        <v>-6.89162300739</v>
      </c>
      <c r="F10" s="0" t="n">
        <f aca="false">-F6*F9/100</f>
        <v>-7.13282981264865</v>
      </c>
      <c r="G10" s="0" t="n">
        <f aca="false">-G6*G9/100</f>
        <v>-7.34681470702811</v>
      </c>
      <c r="H10" s="0" t="n">
        <f aca="false">-H6*H9/100</f>
        <v>-7.56721914823895</v>
      </c>
      <c r="I10" s="0" t="n">
        <f aca="false">-I6*I9/100</f>
        <v>-7.75639962694493</v>
      </c>
      <c r="J10" s="0" t="n">
        <f aca="false">-J6*J9/100</f>
        <v>-7.95030961761855</v>
      </c>
      <c r="K10" s="0" t="n">
        <f aca="false">-K6*K9/100</f>
        <v>-8.10931580997092</v>
      </c>
      <c r="L10" s="0" t="n">
        <f aca="false">-L6*L9/100</f>
        <v>-8.27150212617034</v>
      </c>
    </row>
    <row r="11" customFormat="false" ht="15" hidden="false" customHeight="false" outlineLevel="0" collapsed="false">
      <c r="A11" s="0" t="s">
        <v>125</v>
      </c>
      <c r="C11" s="0" t="n">
        <f aca="false">C8+C10+C24</f>
        <v>342.72066675</v>
      </c>
      <c r="D11" s="0" t="n">
        <f aca="false">D8+D10+D24</f>
        <v>349.575080085</v>
      </c>
      <c r="E11" s="0" t="n">
        <f aca="false">E8+E10+E24</f>
        <v>365.25601939167</v>
      </c>
      <c r="F11" s="0" t="n">
        <f aca="false">F8+F10+F24</f>
        <v>378.039980070378</v>
      </c>
      <c r="G11" s="0" t="n">
        <f aca="false">G8+G10+G24</f>
        <v>389.38117947249</v>
      </c>
      <c r="H11" s="0" t="n">
        <f aca="false">H8+H10+H24</f>
        <v>401.062614856664</v>
      </c>
      <c r="I11" s="0" t="n">
        <f aca="false">I8+I10+I24</f>
        <v>411.089180228081</v>
      </c>
      <c r="J11" s="0" t="n">
        <f aca="false">J8+J10+J24</f>
        <v>421.366409733783</v>
      </c>
      <c r="K11" s="0" t="n">
        <f aca="false">K8+K10+K24</f>
        <v>429.793737928459</v>
      </c>
      <c r="L11" s="0" t="n">
        <f aca="false">L8+L10+L24</f>
        <v>438.389612687028</v>
      </c>
    </row>
    <row r="12" customFormat="false" ht="15" hidden="false" customHeight="false" outlineLevel="0" collapsed="false">
      <c r="A12" s="0" t="s">
        <v>126</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127</v>
      </c>
      <c r="C13" s="0" t="n">
        <f aca="false">C11+C12</f>
        <v>342.72066675</v>
      </c>
      <c r="D13" s="0" t="n">
        <f aca="false">D11+D12</f>
        <v>349.575080085</v>
      </c>
      <c r="E13" s="0" t="n">
        <f aca="false">E11+E12</f>
        <v>365.25601939167</v>
      </c>
      <c r="F13" s="0" t="n">
        <f aca="false">F11+F12</f>
        <v>378.039980070378</v>
      </c>
      <c r="G13" s="0" t="n">
        <f aca="false">G11+G12</f>
        <v>389.38117947249</v>
      </c>
      <c r="H13" s="0" t="n">
        <f aca="false">H11+H12</f>
        <v>401.062614856664</v>
      </c>
      <c r="I13" s="0" t="n">
        <f aca="false">I11+I12</f>
        <v>411.089180228081</v>
      </c>
      <c r="J13" s="0" t="n">
        <f aca="false">J11+J12</f>
        <v>421.366409733783</v>
      </c>
      <c r="K13" s="0" t="n">
        <f aca="false">K11+K12</f>
        <v>429.793737928459</v>
      </c>
      <c r="L13" s="0" t="n">
        <f aca="false">L11+L12</f>
        <v>438.389612687028</v>
      </c>
    </row>
    <row r="14" customFormat="false" ht="15" hidden="false" customHeight="false" outlineLevel="0" collapsed="false">
      <c r="A14" s="0" t="s">
        <v>113</v>
      </c>
      <c r="C14" s="4" t="n">
        <f aca="false">Assumptions!C47</f>
        <v>0</v>
      </c>
      <c r="D14" s="4" t="n">
        <f aca="false">Assumptions!D47</f>
        <v>0</v>
      </c>
      <c r="E14" s="4" t="n">
        <f aca="false">Assumptions!E47</f>
        <v>0</v>
      </c>
      <c r="F14" s="4" t="n">
        <f aca="false">Assumptions!F47</f>
        <v>0</v>
      </c>
      <c r="G14" s="4" t="n">
        <f aca="false">Assumptions!G47</f>
        <v>0</v>
      </c>
      <c r="H14" s="4" t="n">
        <f aca="false">Assumptions!H47</f>
        <v>0</v>
      </c>
      <c r="I14" s="4" t="n">
        <f aca="false">Assumptions!I47</f>
        <v>0</v>
      </c>
      <c r="J14" s="4" t="n">
        <f aca="false">Assumptions!J47</f>
        <v>0</v>
      </c>
      <c r="K14" s="4" t="n">
        <f aca="false">Assumptions!K47</f>
        <v>0</v>
      </c>
      <c r="L14" s="4" t="n">
        <f aca="false">Assumptions!L47</f>
        <v>0</v>
      </c>
    </row>
    <row r="15" customFormat="false" ht="15" hidden="false" customHeight="false" outlineLevel="0" collapsed="false">
      <c r="A15" s="0" t="s">
        <v>128</v>
      </c>
      <c r="C15" s="0" t="n">
        <f aca="false">C13-MAX(0,C13)*C14/100</f>
        <v>342.72066675</v>
      </c>
      <c r="D15" s="0" t="n">
        <f aca="false">D13-MAX(0,D13)*D14/100</f>
        <v>349.575080085</v>
      </c>
      <c r="E15" s="0" t="n">
        <f aca="false">E13-MAX(0,E13)*E14/100</f>
        <v>365.25601939167</v>
      </c>
      <c r="F15" s="0" t="n">
        <f aca="false">F13-MAX(0,F13)*F14/100</f>
        <v>378.039980070378</v>
      </c>
      <c r="G15" s="0" t="n">
        <f aca="false">G13-MAX(0,G13)*G14/100</f>
        <v>389.38117947249</v>
      </c>
      <c r="H15" s="0" t="n">
        <f aca="false">H13-MAX(0,H13)*H14/100</f>
        <v>401.062614856664</v>
      </c>
      <c r="I15" s="0" t="n">
        <f aca="false">I13-MAX(0,I13)*I14/100</f>
        <v>411.089180228081</v>
      </c>
      <c r="J15" s="0" t="n">
        <f aca="false">J13-MAX(0,J13)*J14/100</f>
        <v>421.366409733783</v>
      </c>
      <c r="K15" s="0" t="n">
        <f aca="false">K13-MAX(0,K13)*K14/100</f>
        <v>429.793737928459</v>
      </c>
      <c r="L15" s="0" t="n">
        <f aca="false">L13-MAX(0,L13)*L14/100</f>
        <v>438.389612687028</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-C6*Assumptions!C46/100</f>
        <v>-13.0560254</v>
      </c>
      <c r="D17" s="4" t="n">
        <f aca="false">-D6*Assumptions!D46/100</f>
        <v>-13.317145908</v>
      </c>
      <c r="E17" s="4" t="n">
        <f aca="false">-E6*Assumptions!E46/100</f>
        <v>-13.78324601478</v>
      </c>
      <c r="F17" s="4" t="n">
        <f aca="false">-F6*Assumptions!F46/100</f>
        <v>-14.2656596252973</v>
      </c>
      <c r="G17" s="4" t="n">
        <f aca="false">-G6*Assumptions!G46/100</f>
        <v>-14.6936294140562</v>
      </c>
      <c r="H17" s="4" t="n">
        <f aca="false">-H6*Assumptions!H46/100</f>
        <v>-15.1344382964779</v>
      </c>
      <c r="I17" s="4" t="n">
        <f aca="false">-I6*Assumptions!I46/100</f>
        <v>-15.5127992538899</v>
      </c>
      <c r="J17" s="4" t="n">
        <f aca="false">-J6*Assumptions!J46/100</f>
        <v>-15.9006192352371</v>
      </c>
      <c r="K17" s="4" t="n">
        <f aca="false">-K6*Assumptions!K46/100</f>
        <v>-16.2186316199418</v>
      </c>
      <c r="L17" s="4" t="n">
        <f aca="false">-L6*Assumptions!L46/100</f>
        <v>-16.5430042523407</v>
      </c>
    </row>
    <row r="18" customFormat="false" ht="15" hidden="false" customHeight="false" outlineLevel="0" collapsed="false">
      <c r="A18" s="0" t="s">
        <v>131</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132</v>
      </c>
      <c r="C19" s="0" t="n">
        <f aca="false">C15+C16+C17+C18</f>
        <v>329.66464135</v>
      </c>
      <c r="D19" s="0" t="n">
        <f aca="false">D15+D16+D17+D18</f>
        <v>336.257934177</v>
      </c>
      <c r="E19" s="0" t="n">
        <f aca="false">E15+E16+E17+E18</f>
        <v>351.47277337689</v>
      </c>
      <c r="F19" s="0" t="n">
        <f aca="false">F15+F16+F17+F18</f>
        <v>363.774320445081</v>
      </c>
      <c r="G19" s="0" t="n">
        <f aca="false">G15+G16+G17+G18</f>
        <v>374.687550058434</v>
      </c>
      <c r="H19" s="0" t="n">
        <f aca="false">H15+H16+H17+H18</f>
        <v>385.928176560187</v>
      </c>
      <c r="I19" s="0" t="n">
        <f aca="false">I15+I16+I17+I18</f>
        <v>395.576380974191</v>
      </c>
      <c r="J19" s="0" t="n">
        <f aca="false">J15+J16+J17+J18</f>
        <v>405.465790498546</v>
      </c>
      <c r="K19" s="0" t="n">
        <f aca="false">K15+K16+K17+K18</f>
        <v>413.575106308517</v>
      </c>
      <c r="L19" s="0" t="n">
        <f aca="false">L15+L16+L17+L18</f>
        <v>421.846608434687</v>
      </c>
    </row>
    <row r="20" customFormat="false" ht="15" hidden="false" customHeight="false" outlineLevel="0" collapsed="false">
      <c r="A20" s="0" t="s">
        <v>133</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134</v>
      </c>
      <c r="C21" s="0" t="n">
        <f aca="false">C19*C20</f>
        <v>308.097795654206</v>
      </c>
      <c r="D21" s="0" t="n">
        <f aca="false">D19*D20</f>
        <v>293.700702399336</v>
      </c>
      <c r="E21" s="0" t="n">
        <f aca="false">E19*E20</f>
        <v>286.906478692495</v>
      </c>
      <c r="F21" s="0" t="n">
        <f aca="false">F19*F20</f>
        <v>277.521687333395</v>
      </c>
      <c r="G21" s="0" t="n">
        <f aca="false">G19*G20</f>
        <v>267.147044816258</v>
      </c>
      <c r="H21" s="0" t="n">
        <f aca="false">H19*H20</f>
        <v>257.160239402566</v>
      </c>
      <c r="I21" s="0" t="n">
        <f aca="false">I19*I20</f>
        <v>246.345089147318</v>
      </c>
      <c r="J21" s="0" t="n">
        <f aca="false">J19*J20</f>
        <v>235.984781659814</v>
      </c>
      <c r="K21" s="0" t="n">
        <f aca="false">K19*K20</f>
        <v>224.957455414028</v>
      </c>
      <c r="L21" s="0" t="n">
        <f aca="false">L19*L20</f>
        <v>214.445424787205</v>
      </c>
    </row>
    <row r="23" customFormat="false" ht="15" hidden="false" customHeight="false" outlineLevel="0" collapsed="false">
      <c r="A23" s="0" t="s">
        <v>110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Assumptions!$B$48</f>
        <v>7</v>
      </c>
    </row>
    <row r="28" customFormat="false" ht="15" hidden="false" customHeight="false" outlineLevel="0" collapsed="false">
      <c r="A28" s="0" t="s">
        <v>115</v>
      </c>
      <c r="B28" s="4" t="n">
        <f aca="false">Assumptions!$B$49</f>
        <v>2</v>
      </c>
    </row>
    <row r="29" customFormat="false" ht="15" hidden="false" customHeight="false" outlineLevel="0" collapsed="false">
      <c r="A29" s="0" t="s">
        <v>116</v>
      </c>
      <c r="B29" s="4" t="n">
        <f aca="false">Assumptions!$B$50</f>
        <v>17</v>
      </c>
    </row>
    <row r="30" customFormat="false" ht="15" hidden="false" customHeight="false" outlineLevel="0" collapsed="false">
      <c r="A30" s="0" t="s">
        <v>137</v>
      </c>
      <c r="B30" s="0" t="n">
        <f aca="false">SUM(C21:L21)</f>
        <v>2612.26669930662</v>
      </c>
    </row>
    <row r="31" customFormat="false" ht="15" hidden="false" customHeight="false" outlineLevel="0" collapsed="false">
      <c r="A31" s="0" t="s">
        <v>138</v>
      </c>
      <c r="B31" s="0" t="n">
        <f aca="false">L19</f>
        <v>421.846608434687</v>
      </c>
    </row>
    <row r="32" customFormat="false" ht="15" hidden="false" customHeight="false" outlineLevel="0" collapsed="false">
      <c r="A32" s="0" t="s">
        <v>139</v>
      </c>
      <c r="B32" s="0" t="n">
        <f aca="false">IF(B27&gt;B28,B31*(1+B28/100)/((B27-B28)/100),B31*B29)</f>
        <v>8605.67081206762</v>
      </c>
    </row>
    <row r="33" customFormat="false" ht="15" hidden="false" customHeight="false" outlineLevel="0" collapsed="false">
      <c r="A33" s="0" t="s">
        <v>140</v>
      </c>
      <c r="B33" s="0" t="n">
        <f aca="false">B31*B29</f>
        <v>7171.39234338968</v>
      </c>
    </row>
    <row r="34" customFormat="false" ht="15" hidden="false" customHeight="false" outlineLevel="0" collapsed="false">
      <c r="A34" s="0" t="s">
        <v>141</v>
      </c>
      <c r="B34" s="0" t="n">
        <f aca="false">MAX(0,MIN(B32,B33))</f>
        <v>7171.39234338968</v>
      </c>
    </row>
    <row r="35" customFormat="false" ht="15" hidden="false" customHeight="false" outlineLevel="0" collapsed="false">
      <c r="A35" s="0" t="s">
        <v>142</v>
      </c>
      <c r="B35" s="0" t="n">
        <f aca="false">B34/(1+B27/100)^L4</f>
        <v>3645.57222138248</v>
      </c>
    </row>
    <row r="36" customFormat="false" ht="15" hidden="false" customHeight="false" outlineLevel="0" collapsed="false">
      <c r="A36" s="0" t="s">
        <v>143</v>
      </c>
      <c r="B36" s="0" t="n">
        <f aca="false">B30+B35</f>
        <v>6257.8389206891</v>
      </c>
    </row>
    <row r="37" customFormat="false" ht="15" hidden="false" customHeight="false" outlineLevel="0" collapsed="false">
      <c r="A37" s="0" t="s">
        <v>144</v>
      </c>
      <c r="B37" s="0" t="n">
        <f aca="false">B36+Assumptions!$B$5-Assumptions!$B$4</f>
        <v>6257.8389206891</v>
      </c>
    </row>
    <row r="38" customFormat="false" ht="15" hidden="false" customHeight="false" outlineLevel="0" collapsed="false">
      <c r="A38" s="0" t="s">
        <v>145</v>
      </c>
      <c r="B38" s="0" t="n">
        <f aca="false">B37/Assumptions!$B$3*Assumptions!$B$10</f>
        <v>2.19251188541224</v>
      </c>
    </row>
    <row r="39" customFormat="false" ht="15" hidden="false" customHeight="false" outlineLevel="0" collapsed="false">
      <c r="A39" s="0" t="s">
        <v>146</v>
      </c>
      <c r="B39" s="4" t="n">
        <f aca="false">B38/Assumptions!$B$2-1</f>
        <v>0.218062158562354</v>
      </c>
    </row>
    <row r="41" customFormat="false" ht="15" hidden="false" customHeight="false" outlineLevel="0" collapsed="false">
      <c r="A41" s="0" t="s">
        <v>147</v>
      </c>
      <c r="B41" s="0" t="n">
        <f aca="false">SUMPRODUCT(-C10:L10/(1+$B$27/100)^C4:L4)</f>
        <v>51.3377470642637</v>
      </c>
    </row>
    <row r="42" customFormat="false" ht="15" hidden="false" customHeight="false" outlineLevel="0" collapsed="false">
      <c r="A42" s="0" t="s">
        <v>148</v>
      </c>
      <c r="B42" s="0" t="n">
        <f aca="false">IF(B27&gt;B28,-L10*(1+B28/100)/((B27-B28)/100),-L10*20)/(1+B27/100)^L4</f>
        <v>85.7781699148819</v>
      </c>
    </row>
    <row r="43" customFormat="false" ht="15" hidden="false" customHeight="false" outlineLevel="0" collapsed="false">
      <c r="A43" s="0" t="s">
        <v>149</v>
      </c>
      <c r="B43" s="0" t="n">
        <f aca="false">(B37+B41+B42)/Assumptions!$B$3*Assumptions!$B$10</f>
        <v>2.24055215641731</v>
      </c>
    </row>
    <row r="45" customFormat="false" ht="15" hidden="false" customHeight="false" outlineLevel="0" collapsed="false">
      <c r="A45" s="0" t="s">
        <v>90</v>
      </c>
      <c r="B45" s="4" t="n">
        <f aca="false">Assumptions!$B$6</f>
        <v>15</v>
      </c>
    </row>
    <row r="46" customFormat="false" ht="15" hidden="false" customHeight="false" outlineLevel="0" collapsed="false">
      <c r="A46" s="0" t="s">
        <v>150</v>
      </c>
      <c r="B46" s="0" t="n">
        <f aca="false">MAX(0,MIN(IF(B45&gt;B28,B31*(1+B28/100)/((B45-B28)/100),B31*B29),B31*B29))</f>
        <v>3309.87338925678</v>
      </c>
    </row>
    <row r="47" customFormat="false" ht="15" hidden="false" customHeight="false" outlineLevel="0" collapsed="false">
      <c r="A47" s="0" t="s">
        <v>151</v>
      </c>
      <c r="B47" s="0" t="n">
        <f aca="false">(SUMPRODUCT(C19:L19/(1+B45/100)^C4:L4)+B46/(1+B45/100)^L4+Assumptions!$B$5-Assumptions!$B$4)/Assumptions!$B$3*Assumptions!$B$10</f>
        <v>0.929999687102886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154</v>
      </c>
    </row>
    <row r="3" customFormat="false" ht="15" hidden="false" customHeight="false" outlineLevel="0" collapsed="false">
      <c r="A3" s="2" t="s">
        <v>155</v>
      </c>
      <c r="B3" s="2" t="s">
        <v>156</v>
      </c>
      <c r="C3" s="2" t="s">
        <v>146</v>
      </c>
      <c r="D3" s="2" t="s">
        <v>157</v>
      </c>
      <c r="E3" s="2" t="s">
        <v>149</v>
      </c>
      <c r="F3" s="2" t="s">
        <v>158</v>
      </c>
    </row>
    <row r="4" customFormat="false" ht="15" hidden="false" customHeight="false" outlineLevel="0" collapsed="false">
      <c r="A4" s="0" t="s">
        <v>159</v>
      </c>
      <c r="B4" s="4" t="n">
        <f aca="false">DCF_Bear!$B$38</f>
        <v>1.35879665636005</v>
      </c>
      <c r="C4" s="0" t="n">
        <f aca="false">B4/Assumptions!$B$2-1</f>
        <v>-0.245112968688863</v>
      </c>
      <c r="D4" s="4" t="n">
        <f aca="false">Assumptions!$B$24</f>
        <v>0.25</v>
      </c>
      <c r="E4" s="4" t="n">
        <f aca="false">DCF_Bear!$B$43</f>
        <v>1.38870238936069</v>
      </c>
      <c r="F4" s="4" t="n">
        <f aca="false">DCF_Bear!$B$47</f>
        <v>0.69382787193088</v>
      </c>
    </row>
    <row r="5" customFormat="false" ht="15" hidden="false" customHeight="false" outlineLevel="0" collapsed="false">
      <c r="A5" s="0" t="s">
        <v>160</v>
      </c>
      <c r="B5" s="4" t="n">
        <f aca="false">DCF_Base!$B$38</f>
        <v>1.76808514324</v>
      </c>
      <c r="C5" s="0" t="n">
        <f aca="false">B5/Assumptions!$B$2-1</f>
        <v>-0.0177304759777768</v>
      </c>
      <c r="D5" s="4" t="n">
        <f aca="false">Assumptions!$B$38</f>
        <v>0.5</v>
      </c>
      <c r="E5" s="4" t="n">
        <f aca="false">DCF_Base!$B$43</f>
        <v>1.8052860973806</v>
      </c>
      <c r="F5" s="4" t="n">
        <f aca="false">DCF_Base!$B$47</f>
        <v>0.808976648607484</v>
      </c>
    </row>
    <row r="6" customFormat="false" ht="15" hidden="false" customHeight="false" outlineLevel="0" collapsed="false">
      <c r="A6" s="0" t="s">
        <v>161</v>
      </c>
      <c r="B6" s="4" t="n">
        <f aca="false">DCF_Bull!$B$38</f>
        <v>2.19251188541224</v>
      </c>
      <c r="C6" s="0" t="n">
        <f aca="false">B6/Assumptions!$B$2-1</f>
        <v>0.218062158562354</v>
      </c>
      <c r="D6" s="4" t="n">
        <f aca="false">Assumptions!$B$52</f>
        <v>0.25</v>
      </c>
      <c r="E6" s="4" t="n">
        <f aca="false">DCF_Bull!$B$43</f>
        <v>2.24055215641731</v>
      </c>
      <c r="F6" s="4" t="n">
        <f aca="false">DCF_Bull!$B$47</f>
        <v>0.929999687102886</v>
      </c>
    </row>
    <row r="8" customFormat="false" ht="15" hidden="false" customHeight="false" outlineLevel="0" collapsed="false">
      <c r="A8" s="0" t="s">
        <v>162</v>
      </c>
      <c r="B8" s="0" t="n">
        <f aca="false">SUMPRODUCT(B4:B6,D4:D6)</f>
        <v>1.77186970706307</v>
      </c>
    </row>
    <row r="9" customFormat="false" ht="15" hidden="false" customHeight="false" outlineLevel="0" collapsed="false">
      <c r="A9" s="0" t="s">
        <v>163</v>
      </c>
      <c r="B9" s="0" t="n">
        <f aca="false">SUMPRODUCT(E4:E6,D4:D6)</f>
        <v>1.8099566851348</v>
      </c>
    </row>
    <row r="10" customFormat="false" ht="15" hidden="false" customHeight="false" outlineLevel="0" collapsed="false">
      <c r="A10" s="0" t="s">
        <v>164</v>
      </c>
      <c r="B10" s="0" t="n">
        <f aca="false">1-Assumptions!$B$2/B8</f>
        <v>-0.015876050493326</v>
      </c>
    </row>
    <row r="11" customFormat="false" ht="15" hidden="false" customHeight="false" outlineLevel="0" collapsed="false">
      <c r="A11" s="0" t="s">
        <v>165</v>
      </c>
      <c r="B11" s="0" t="n">
        <f aca="false">IF(ABS(B9-B8)&gt;0.01*ABS(B8),(Assumptions!$B$2-B8)/(B9-B8)*100,"n/a")</f>
        <v>73.8580332730871</v>
      </c>
    </row>
    <row r="12" customFormat="false" ht="15" hidden="false" customHeight="false" outlineLevel="0" collapsed="false">
      <c r="A12" s="0" t="s">
        <v>166</v>
      </c>
      <c r="B12" s="0" t="n">
        <f aca="false">SUMPRODUCT(F4:F6,D4:D6)</f>
        <v>0.810445214062183</v>
      </c>
    </row>
    <row r="14" customFormat="false" ht="15" hidden="false" customHeight="false" outlineLevel="0" collapsed="false">
      <c r="A14" s="2" t="s">
        <v>167</v>
      </c>
      <c r="C14" s="0" t="s">
        <v>168</v>
      </c>
    </row>
    <row r="15" customFormat="false" ht="15" hidden="false" customHeight="false" outlineLevel="0" collapsed="false">
      <c r="A15" s="0" t="s">
        <v>169</v>
      </c>
      <c r="B15" s="0" t="n">
        <f aca="false">(SUMPRODUCT(DCF_Base!$C$19:$L$19/(1+$C$15/100)^DCF_Base!$C$4:$L$4)+MAX(0,MIN(IF($C$15&gt;DCF_Base!$B$28,DCF_Base!$L$19*(1+DCF_Base!$B$28/100)/(($C$15-DCF_Base!$B$28)/100),DCF_Base!$L$19*DCF_Base!$B$29),DCF_Base!$L$19*DCF_Base!$B$29))/(1+$C$15/100)^DCF_Base!$L$4+Assumptions!$B$5-Assumptions!$B$4)/Assumptions!$B$3*Assumptions!$B$10</f>
        <v>1.76808514324</v>
      </c>
      <c r="C15" s="3" t="n">
        <v>7.5</v>
      </c>
    </row>
    <row r="16" customFormat="false" ht="15" hidden="false" customHeight="false" outlineLevel="0" collapsed="false">
      <c r="A16" s="0" t="s">
        <v>170</v>
      </c>
      <c r="B16" s="0" t="n">
        <f aca="false">(SUMPRODUCT(DCF_Base!$C$19:$L$19/(1+$C$16/100)^DCF_Base!$C$4:$L$4)+MAX(0,MIN(IF($C$16&gt;DCF_Base!$B$28,DCF_Base!$L$19*(1+DCF_Base!$B$28/100)/(($C$16-DCF_Base!$B$28)/100),DCF_Base!$L$19*DCF_Base!$B$29),DCF_Base!$L$19*DCF_Base!$B$29))/(1+$C$16/100)^DCF_Base!$L$4+Assumptions!$B$5-Assumptions!$B$4)/Assumptions!$B$3*Assumptions!$B$10</f>
        <v>1.45836915794173</v>
      </c>
      <c r="C16" s="3" t="n">
        <v>9</v>
      </c>
    </row>
    <row r="17" customFormat="false" ht="15" hidden="false" customHeight="false" outlineLevel="0" collapsed="false">
      <c r="A17" s="0" t="s">
        <v>171</v>
      </c>
      <c r="B17" s="0" t="n">
        <f aca="false">(SUMPRODUCT(DCF_Base!$C$19:$L$19/(1+$C$17/100)^DCF_Base!$C$4:$L$4)+MAX(0,MIN(IF($C$17&gt;DCF_Base!$B$28,DCF_Base!$L$19*(1+DCF_Base!$B$28/100)/(($C$17-DCF_Base!$B$28)/100),DCF_Base!$L$19*DCF_Base!$B$29),DCF_Base!$L$19*DCF_Base!$B$29))/(1+$C$17/100)^DCF_Base!$L$4+Assumptions!$B$5-Assumptions!$B$4)/Assumptions!$B$3*Assumptions!$B$10</f>
        <v>1.28640136158132</v>
      </c>
      <c r="C17" s="3" t="n">
        <v>10</v>
      </c>
    </row>
    <row r="18" customFormat="false" ht="15" hidden="false" customHeight="false" outlineLevel="0" collapsed="false">
      <c r="A18" s="0" t="s">
        <v>172</v>
      </c>
      <c r="B18" s="0" t="n">
        <f aca="false">(SUMPRODUCT(DCF_Base!$C$19:$L$19/(1+$C$18/100)^DCF_Base!$C$4:$L$4)+MAX(0,MIN(IF($C$18&gt;DCF_Base!$B$28,DCF_Base!$L$19*(1+DCF_Base!$B$28/100)/(($C$18-DCF_Base!$B$28)/100),DCF_Base!$L$19*DCF_Base!$B$29),DCF_Base!$L$19*DCF_Base!$B$29))/(1+$C$18/100)^DCF_Base!$L$4+Assumptions!$B$5-Assumptions!$B$4)/Assumptions!$B$3*Assumptions!$B$10</f>
        <v>1.15066459419712</v>
      </c>
      <c r="C18" s="3" t="n">
        <v>11</v>
      </c>
    </row>
    <row r="19" customFormat="false" ht="15" hidden="false" customHeight="false" outlineLevel="0" collapsed="false">
      <c r="A19" s="0" t="s">
        <v>173</v>
      </c>
      <c r="B19" s="0" t="n">
        <f aca="false">(SUMPRODUCT(DCF_Base!$C$19:$L$19/(1+$C$19/100)^DCF_Base!$C$4:$L$4)+MAX(0,MIN(IF($C$19&gt;DCF_Base!$B$28,DCF_Base!$L$19*(1+DCF_Base!$B$28/100)/(($C$19-DCF_Base!$B$28)/100),DCF_Base!$L$19*DCF_Base!$B$29),DCF_Base!$L$19*DCF_Base!$B$29))/(1+$C$19/100)^DCF_Base!$L$4+Assumptions!$B$5-Assumptions!$B$4)/Assumptions!$B$3*Assumptions!$B$10</f>
        <v>1.04080547930395</v>
      </c>
      <c r="C19" s="3" t="n">
        <v>12</v>
      </c>
    </row>
    <row r="20" customFormat="false" ht="15" hidden="false" customHeight="false" outlineLevel="0" collapsed="false">
      <c r="A20" s="0" t="s">
        <v>174</v>
      </c>
      <c r="B20" s="0" t="n">
        <f aca="false">(SUMPRODUCT(DCF_Base!$C$19:$L$19/(1+$C$20/100)^DCF_Base!$C$4:$L$4)+MAX(0,MIN(IF($C$20&gt;DCF_Base!$B$28,DCF_Base!$L$19*(1+DCF_Base!$B$28/100)/(($C$20-DCF_Base!$B$28)/100),DCF_Base!$L$19*DCF_Base!$B$29),DCF_Base!$L$19*DCF_Base!$B$29))/(1+$C$20/100)^DCF_Base!$L$4+Assumptions!$B$5-Assumptions!$B$4)/Assumptions!$B$3*Assumptions!$B$10</f>
        <v>0.808976648607484</v>
      </c>
      <c r="C20" s="3" t="n">
        <v>15</v>
      </c>
    </row>
    <row r="22" customFormat="false" ht="15" hidden="false" customHeight="false" outlineLevel="0" collapsed="false">
      <c r="A22" s="2" t="s">
        <v>175</v>
      </c>
    </row>
    <row r="23" customFormat="false" ht="15" hidden="false" customHeight="false" outlineLevel="0" collapsed="false">
      <c r="B23" s="3" t="n">
        <v>0.5</v>
      </c>
      <c r="C23" s="3" t="n">
        <v>1</v>
      </c>
      <c r="D23" s="3" t="n">
        <v>1.5</v>
      </c>
      <c r="E23" s="3" t="n">
        <v>2</v>
      </c>
      <c r="F23" s="3" t="n">
        <v>2.5</v>
      </c>
    </row>
    <row r="24" customFormat="false" ht="15" hidden="false" customHeight="false" outlineLevel="0" collapsed="false">
      <c r="A24" s="3" t="n">
        <v>5.5</v>
      </c>
      <c r="B24" s="0" t="n">
        <f aca="false">(SUMPRODUCT(DCF_Base!$C$19:$L$19/(1+$A$24/100)^DCF_Base!$C$4:$L$4)+MAX(0,MIN(IF($A$24&gt;$B$23,DCF_Base!$L$19*(1+$B$23/100)/(($A$24-$B$23)/100),DCF_Base!$L$19*DCF_Base!$B$29),DCF_Base!$L$19*DCF_Base!$B$29))/(1+$A$24/100)^DCF_Base!$L$4+Assumptions!$B$5-Assumptions!$B$4)/Assumptions!$B$3*Assumptions!$B$10</f>
        <v>2.04933862569553</v>
      </c>
      <c r="C24" s="0" t="n">
        <f aca="false">(SUMPRODUCT(DCF_Base!$C$19:$L$19/(1+$A$24/100)^DCF_Base!$C$4:$L$4)+MAX(0,MIN(IF($A$24&gt;$C$23,DCF_Base!$L$19*(1+$C$23/100)/(($A$24-$C$23)/100),DCF_Base!$L$19*DCF_Base!$B$29),DCF_Base!$L$19*DCF_Base!$B$29))/(1+$A$24/100)^DCF_Base!$L$4+Assumptions!$B$5-Assumptions!$B$4)/Assumptions!$B$3*Assumptions!$B$10</f>
        <v>2.04933862569553</v>
      </c>
      <c r="D24" s="0" t="n">
        <f aca="false">(SUMPRODUCT(DCF_Base!$C$19:$L$19/(1+$A$24/100)^DCF_Base!$C$4:$L$4)+MAX(0,MIN(IF($A$24&gt;$D$23,DCF_Base!$L$19*(1+$D$23/100)/(($A$24-$D$23)/100),DCF_Base!$L$19*DCF_Base!$B$29),DCF_Base!$L$19*DCF_Base!$B$29))/(1+$A$24/100)^DCF_Base!$L$4+Assumptions!$B$5-Assumptions!$B$4)/Assumptions!$B$3*Assumptions!$B$10</f>
        <v>2.04933862569553</v>
      </c>
      <c r="E24" s="0" t="n">
        <f aca="false">(SUMPRODUCT(DCF_Base!$C$19:$L$19/(1+$A$24/100)^DCF_Base!$C$4:$L$4)+MAX(0,MIN(IF($A$24&gt;$E$23,DCF_Base!$L$19*(1+$E$23/100)/(($A$24-$E$23)/100),DCF_Base!$L$19*DCF_Base!$B$29),DCF_Base!$L$19*DCF_Base!$B$29))/(1+$A$24/100)^DCF_Base!$L$4+Assumptions!$B$5-Assumptions!$B$4)/Assumptions!$B$3*Assumptions!$B$10</f>
        <v>2.04933862569553</v>
      </c>
      <c r="F24" s="0" t="n">
        <f aca="false">(SUMPRODUCT(DCF_Base!$C$19:$L$19/(1+$A$24/100)^DCF_Base!$C$4:$L$4)+MAX(0,MIN(IF($A$24&gt;$F$23,DCF_Base!$L$19*(1+$F$23/100)/(($A$24-$F$23)/100),DCF_Base!$L$19*DCF_Base!$B$29),DCF_Base!$L$19*DCF_Base!$B$29))/(1+$A$24/100)^DCF_Base!$L$4+Assumptions!$B$5-Assumptions!$B$4)/Assumptions!$B$3*Assumptions!$B$10</f>
        <v>2.04933862569553</v>
      </c>
    </row>
    <row r="25" customFormat="false" ht="15" hidden="false" customHeight="false" outlineLevel="0" collapsed="false">
      <c r="A25" s="3" t="n">
        <v>6.5</v>
      </c>
      <c r="B25" s="0" t="n">
        <f aca="false">(SUMPRODUCT(DCF_Base!$C$19:$L$19/(1+$A$25/100)^DCF_Base!$C$4:$L$4)+MAX(0,MIN(IF($A$25&gt;$B$23,DCF_Base!$L$19*(1+$B$23/100)/(($A$25-$B$23)/100),DCF_Base!$L$19*DCF_Base!$B$29),DCF_Base!$L$19*DCF_Base!$B$29))/(1+$A$25/100)^DCF_Base!$L$4+Assumptions!$B$5-Assumptions!$B$4)/Assumptions!$B$3*Assumptions!$B$10</f>
        <v>1.90207113318582</v>
      </c>
      <c r="C25" s="0" t="n">
        <f aca="false">(SUMPRODUCT(DCF_Base!$C$19:$L$19/(1+$A$25/100)^DCF_Base!$C$4:$L$4)+MAX(0,MIN(IF($A$25&gt;$C$23,DCF_Base!$L$19*(1+$C$23/100)/(($A$25-$C$23)/100),DCF_Base!$L$19*DCF_Base!$B$29),DCF_Base!$L$19*DCF_Base!$B$29))/(1+$A$25/100)^DCF_Base!$L$4+Assumptions!$B$5-Assumptions!$B$4)/Assumptions!$B$3*Assumptions!$B$10</f>
        <v>1.90207113318582</v>
      </c>
      <c r="D25" s="0" t="n">
        <f aca="false">(SUMPRODUCT(DCF_Base!$C$19:$L$19/(1+$A$25/100)^DCF_Base!$C$4:$L$4)+MAX(0,MIN(IF($A$25&gt;$D$23,DCF_Base!$L$19*(1+$D$23/100)/(($A$25-$D$23)/100),DCF_Base!$L$19*DCF_Base!$B$29),DCF_Base!$L$19*DCF_Base!$B$29))/(1+$A$25/100)^DCF_Base!$L$4+Assumptions!$B$5-Assumptions!$B$4)/Assumptions!$B$3*Assumptions!$B$10</f>
        <v>1.90207113318582</v>
      </c>
      <c r="E25" s="0" t="n">
        <f aca="false">(SUMPRODUCT(DCF_Base!$C$19:$L$19/(1+$A$25/100)^DCF_Base!$C$4:$L$4)+MAX(0,MIN(IF($A$25&gt;$E$23,DCF_Base!$L$19*(1+$E$23/100)/(($A$25-$E$23)/100),DCF_Base!$L$19*DCF_Base!$B$29),DCF_Base!$L$19*DCF_Base!$B$29))/(1+$A$25/100)^DCF_Base!$L$4+Assumptions!$B$5-Assumptions!$B$4)/Assumptions!$B$3*Assumptions!$B$10</f>
        <v>1.90207113318582</v>
      </c>
      <c r="F25" s="0" t="n">
        <f aca="false">(SUMPRODUCT(DCF_Base!$C$19:$L$19/(1+$A$25/100)^DCF_Base!$C$4:$L$4)+MAX(0,MIN(IF($A$25&gt;$F$23,DCF_Base!$L$19*(1+$F$23/100)/(($A$25-$F$23)/100),DCF_Base!$L$19*DCF_Base!$B$29),DCF_Base!$L$19*DCF_Base!$B$29))/(1+$A$25/100)^DCF_Base!$L$4+Assumptions!$B$5-Assumptions!$B$4)/Assumptions!$B$3*Assumptions!$B$10</f>
        <v>1.90207113318582</v>
      </c>
    </row>
    <row r="26" customFormat="false" ht="15" hidden="false" customHeight="false" outlineLevel="0" collapsed="false">
      <c r="A26" s="3" t="n">
        <v>7.5</v>
      </c>
      <c r="B26" s="0" t="n">
        <f aca="false">(SUMPRODUCT(DCF_Base!$C$19:$L$19/(1+$A$26/100)^DCF_Base!$C$4:$L$4)+MAX(0,MIN(IF($A$26&gt;$B$23,DCF_Base!$L$19*(1+$B$23/100)/(($A$26-$B$23)/100),DCF_Base!$L$19*DCF_Base!$B$29),DCF_Base!$L$19*DCF_Base!$B$29))/(1+$A$26/100)^DCF_Base!$L$4+Assumptions!$B$5-Assumptions!$B$4)/Assumptions!$B$3*Assumptions!$B$10</f>
        <v>1.6680737188658</v>
      </c>
      <c r="C26" s="0" t="n">
        <f aca="false">(SUMPRODUCT(DCF_Base!$C$19:$L$19/(1+$A$26/100)^DCF_Base!$C$4:$L$4)+MAX(0,MIN(IF($A$26&gt;$C$23,DCF_Base!$L$19*(1+$C$23/100)/(($A$26-$C$23)/100),DCF_Base!$L$19*DCF_Base!$B$29),DCF_Base!$L$19*DCF_Base!$B$29))/(1+$A$26/100)^DCF_Base!$L$4+Assumptions!$B$5-Assumptions!$B$4)/Assumptions!$B$3*Assumptions!$B$10</f>
        <v>1.73998828823187</v>
      </c>
      <c r="D26" s="0" t="n">
        <f aca="false">(SUMPRODUCT(DCF_Base!$C$19:$L$19/(1+$A$26/100)^DCF_Base!$C$4:$L$4)+MAX(0,MIN(IF($A$26&gt;$D$23,DCF_Base!$L$19*(1+$D$23/100)/(($A$26-$D$23)/100),DCF_Base!$L$19*DCF_Base!$B$29),DCF_Base!$L$19*DCF_Base!$B$29))/(1+$A$26/100)^DCF_Base!$L$4+Assumptions!$B$5-Assumptions!$B$4)/Assumptions!$B$3*Assumptions!$B$10</f>
        <v>1.76808514324</v>
      </c>
      <c r="E26" s="0" t="n">
        <f aca="false">(SUMPRODUCT(DCF_Base!$C$19:$L$19/(1+$A$26/100)^DCF_Base!$C$4:$L$4)+MAX(0,MIN(IF($A$26&gt;$E$23,DCF_Base!$L$19*(1+$E$23/100)/(($A$26-$E$23)/100),DCF_Base!$L$19*DCF_Base!$B$29),DCF_Base!$L$19*DCF_Base!$B$29))/(1+$A$26/100)^DCF_Base!$L$4+Assumptions!$B$5-Assumptions!$B$4)/Assumptions!$B$3*Assumptions!$B$10</f>
        <v>1.76808514324</v>
      </c>
      <c r="F26" s="0" t="n">
        <f aca="false">(SUMPRODUCT(DCF_Base!$C$19:$L$19/(1+$A$26/100)^DCF_Base!$C$4:$L$4)+MAX(0,MIN(IF($A$26&gt;$F$23,DCF_Base!$L$19*(1+$F$23/100)/(($A$26-$F$23)/100),DCF_Base!$L$19*DCF_Base!$B$29),DCF_Base!$L$19*DCF_Base!$B$29))/(1+$A$26/100)^DCF_Base!$L$4+Assumptions!$B$5-Assumptions!$B$4)/Assumptions!$B$3*Assumptions!$B$10</f>
        <v>1.76808514324</v>
      </c>
    </row>
    <row r="27" customFormat="false" ht="15" hidden="false" customHeight="false" outlineLevel="0" collapsed="false">
      <c r="A27" s="3" t="n">
        <v>8.5</v>
      </c>
      <c r="B27" s="0" t="n">
        <f aca="false">(SUMPRODUCT(DCF_Base!$C$19:$L$19/(1+$A$27/100)^DCF_Base!$C$4:$L$4)+MAX(0,MIN(IF($A$27&gt;$B$23,DCF_Base!$L$19*(1+$B$23/100)/(($A$27-$B$23)/100),DCF_Base!$L$19*DCF_Base!$B$29),DCF_Base!$L$19*DCF_Base!$B$29))/(1+$A$27/100)^DCF_Base!$L$4+Assumptions!$B$5-Assumptions!$B$4)/Assumptions!$B$3*Assumptions!$B$10</f>
        <v>1.45527548283615</v>
      </c>
      <c r="C27" s="0" t="n">
        <f aca="false">(SUMPRODUCT(DCF_Base!$C$19:$L$19/(1+$A$27/100)^DCF_Base!$C$4:$L$4)+MAX(0,MIN(IF($A$27&gt;$C$23,DCF_Base!$L$19*(1+$C$23/100)/(($A$27-$C$23)/100),DCF_Base!$L$19*DCF_Base!$B$29),DCF_Base!$L$19*DCF_Base!$B$29))/(1+$A$27/100)^DCF_Base!$L$4+Assumptions!$B$5-Assumptions!$B$4)/Assumptions!$B$3*Assumptions!$B$10</f>
        <v>1.50545027301874</v>
      </c>
      <c r="D27" s="0" t="n">
        <f aca="false">(SUMPRODUCT(DCF_Base!$C$19:$L$19/(1+$A$27/100)^DCF_Base!$C$4:$L$4)+MAX(0,MIN(IF($A$27&gt;$D$23,DCF_Base!$L$19*(1+$D$23/100)/(($A$27-$D$23)/100),DCF_Base!$L$19*DCF_Base!$B$29),DCF_Base!$L$19*DCF_Base!$B$29))/(1+$A$27/100)^DCF_Base!$L$4+Assumptions!$B$5-Assumptions!$B$4)/Assumptions!$B$3*Assumptions!$B$10</f>
        <v>1.56279289037026</v>
      </c>
      <c r="E27" s="0" t="n">
        <f aca="false">(SUMPRODUCT(DCF_Base!$C$19:$L$19/(1+$A$27/100)^DCF_Base!$C$4:$L$4)+MAX(0,MIN(IF($A$27&gt;$E$23,DCF_Base!$L$19*(1+$E$23/100)/(($A$27-$E$23)/100),DCF_Base!$L$19*DCF_Base!$B$29),DCF_Base!$L$19*DCF_Base!$B$29))/(1+$A$27/100)^DCF_Base!$L$4+Assumptions!$B$5-Assumptions!$B$4)/Assumptions!$B$3*Assumptions!$B$10</f>
        <v>1.62895744885279</v>
      </c>
      <c r="F27" s="0" t="n">
        <f aca="false">(SUMPRODUCT(DCF_Base!$C$19:$L$19/(1+$A$27/100)^DCF_Base!$C$4:$L$4)+MAX(0,MIN(IF($A$27&gt;$F$23,DCF_Base!$L$19*(1+$F$23/100)/(($A$27-$F$23)/100),DCF_Base!$L$19*DCF_Base!$B$29),DCF_Base!$L$19*DCF_Base!$B$29))/(1+$A$27/100)^DCF_Base!$L$4+Assumptions!$B$5-Assumptions!$B$4)/Assumptions!$B$3*Assumptions!$B$10</f>
        <v>1.64603217362248</v>
      </c>
    </row>
    <row r="28" customFormat="false" ht="15" hidden="false" customHeight="false" outlineLevel="0" collapsed="false">
      <c r="A28" s="3" t="n">
        <v>9.5</v>
      </c>
      <c r="B28" s="0" t="n">
        <f aca="false">(SUMPRODUCT(DCF_Base!$C$19:$L$19/(1+$A$28/100)^DCF_Base!$C$4:$L$4)+MAX(0,MIN(IF($A$28&gt;$B$23,DCF_Base!$L$19*(1+$B$23/100)/(($A$28-$B$23)/100),DCF_Base!$L$19*DCF_Base!$B$29),DCF_Base!$L$19*DCF_Base!$B$29))/(1+$A$28/100)^DCF_Base!$L$4+Assumptions!$B$5-Assumptions!$B$4)/Assumptions!$B$3*Assumptions!$B$10</f>
        <v>1.29000988245687</v>
      </c>
      <c r="C28" s="0" t="n">
        <f aca="false">(SUMPRODUCT(DCF_Base!$C$19:$L$19/(1+$A$28/100)^DCF_Base!$C$4:$L$4)+MAX(0,MIN(IF($A$28&gt;$C$23,DCF_Base!$L$19*(1+$C$23/100)/(($A$28-$C$23)/100),DCF_Base!$L$19*DCF_Base!$B$29),DCF_Base!$L$19*DCF_Base!$B$29))/(1+$A$28/100)^DCF_Base!$L$4+Assumptions!$B$5-Assumptions!$B$4)/Assumptions!$B$3*Assumptions!$B$10</f>
        <v>1.32624385503908</v>
      </c>
      <c r="D28" s="0" t="n">
        <f aca="false">(SUMPRODUCT(DCF_Base!$C$19:$L$19/(1+$A$28/100)^DCF_Base!$C$4:$L$4)+MAX(0,MIN(IF($A$28&gt;$D$23,DCF_Base!$L$19*(1+$D$23/100)/(($A$28-$D$23)/100),DCF_Base!$L$19*DCF_Base!$B$29),DCF_Base!$L$19*DCF_Base!$B$29))/(1+$A$28/100)^DCF_Base!$L$4+Assumptions!$B$5-Assumptions!$B$4)/Assumptions!$B$3*Assumptions!$B$10</f>
        <v>1.36700707419406</v>
      </c>
      <c r="E28" s="0" t="n">
        <f aca="false">(SUMPRODUCT(DCF_Base!$C$19:$L$19/(1+$A$28/100)^DCF_Base!$C$4:$L$4)+MAX(0,MIN(IF($A$28&gt;$E$23,DCF_Base!$L$19*(1+$E$23/100)/(($A$28-$E$23)/100),DCF_Base!$L$19*DCF_Base!$B$29),DCF_Base!$L$19*DCF_Base!$B$29))/(1+$A$28/100)^DCF_Base!$L$4+Assumptions!$B$5-Assumptions!$B$4)/Assumptions!$B$3*Assumptions!$B$10</f>
        <v>1.41320538923637</v>
      </c>
      <c r="F28" s="0" t="n">
        <f aca="false">(SUMPRODUCT(DCF_Base!$C$19:$L$19/(1+$A$28/100)^DCF_Base!$C$4:$L$4)+MAX(0,MIN(IF($A$28&gt;$F$23,DCF_Base!$L$19*(1+$F$23/100)/(($A$28-$F$23)/100),DCF_Base!$L$19*DCF_Base!$B$29),DCF_Base!$L$19*DCF_Base!$B$29))/(1+$A$28/100)^DCF_Base!$L$4+Assumptions!$B$5-Assumptions!$B$4)/Assumptions!$B$3*Assumptions!$B$10</f>
        <v>1.46600346357044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2026-10-24T04:47:09Z</dcterms:created>
  <dc:creator>openpyxl</dc:creator>
  <dc:description/>
  <dc:language>en-NZ</dc:language>
  <cp:lastModifiedBy/>
  <dcterms:modified xsi:type="dcterms:W3CDTF">2026-10-24T04:47:09Z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