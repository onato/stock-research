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<sst xmlns="http://schemas.openxmlformats.org/spreadsheetml/2006/main" count="351" uniqueCount="165">
  <si>
    <t xml:space="preserve">Ticker</t>
  </si>
  <si>
    <t xml:space="preserve">9699.HK</t>
  </si>
  <si>
    <t xml:space="preserve">Company</t>
  </si>
  <si>
    <t xml:space="preserve">Hangzhou SF Intra-city Industrial Co., Ltd.</t>
  </si>
  <si>
    <t xml:space="preserve">Valuation date</t>
  </si>
  <si>
    <t xml:space="preserve">2026-10-24</t>
  </si>
  <si>
    <t xml:space="preserve">Current price</t>
  </si>
  <si>
    <t xml:space="preserve">Price as of</t>
  </si>
  <si>
    <t xml:space="preserve">2026-10-23T08:08:08Z (HKEX regular close; 52-week range 6.92-16.27)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</si>
  <si>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</si>
  <si>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</si>
  <si>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</si>
  <si>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</si>
  <si>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</si>
  <si>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CNY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</si>
  <si>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</si>
  <si>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</si>
  <si>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</si>
  <si>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</si>
  <si>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</si>
  <si>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</si>
  <si>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</si>
  <si>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2026-10-23T19:02:49Z</t>
  </si>
  <si>
    <t xml:space="preserve">Drivers file</t>
  </si>
  <si>
    <t xml:space="preserve">9699.HK_Drivers.json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</si>
  <si>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</si>
  <si>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</si>
  <si>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</si>
  <si>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SF Intra-city is valued as a stream of owner free cash flow from a thin-margin but asset-light, debt-free delivery marketplace. The valuation deliberately strips the three things that flatter reported profit -- the RMB222m venture-fund IPO mark in H1 FY2026, fair-value gains on RMB1.1bn of wealth-management products, and RMB137m (and rising) of share-based compensation -- and puts the cash pile and the fund interest in the bridge at book instead. What is left is a business compounding revenue at low-teens rates with an EBITDA margin that has to roughly double for the base case to hold; the finding is how much of the current price is the RMB2.7bn of net cash and investments (about HKD 3.5 per share) versus the operating business.
key_risks_to_valuation: Margin path: every 0.5pp of mature EBITDA margin on a 2-4% base moves the operating value by roughly a quarter; the base case assumes admin cost dilutes from 3.8% to ~2.5% of revenue.; Vertically integrated competitors (Meituan, Alibaba/Ele.me, JD/Dada) internalising outsourced volume or reigniting subsidies.; Gig-worker social-insurance and rider-welfare regulation raising cost of revenue structurally.; SBC trajectory: 0 in FY2022 to 0.87% of revenue in H1 FY2026; the model assumes it peaks here and glides down, which management has not committed to.; Tax normalisation: the model assumes the RMB780m loss shelter is largely consumed by FY2029 and the one-off H1 FY2026 current tax charge (RMB352m) does not recur; an opaque restructuring could repeat it.; Key-account and SF Group related-party concentration (Credit Customer revenue RMB452m FY2025) and receivables of ~RMB2.3bn.; The venture-fund mark (RMB289m) is an IPO-price valuation subject to lock-up; it is taken at book, not haircut.</t>
  </si>
  <si>
    <t xml:space="preserve">Data sources</t>
  </si>
  <si>
    <t xml:space="preserve">price: Yahoo Finance chart API at inputs.price_as_of (HKEX regular close); 52-week range 6.92-16.27. FX from Yahoo CNYHKD=X, same date.
financials: research/9699.HK/Reports/9699.HK_Metrics.csv (FY2020-FY2025 annual, H1 FY2023-H1 FY2026; millions CNY); 9699.HK_Annual_FY2025.txt (cash-flow statement, Note 7 other gains, Note 12 tax reconciliation and unrecognised losses, diluted EPS note); 9699.HK_HalfYear_H1-2026.txt (income statement, balance sheet at 30 June 2026, Note 12 tax, Note 17 joint venture, Note 27 leases, share capital section).
qualitative: research/9699.HK/Reports/9699.HK_Analysis.json (business model, competitive position, guidance, bull/bear cases); FY2025 chairman's letter and H1 FY2026 MD&amp;A as summarised there.</t>
  </si>
  <si>
    <t xml:space="preserve">Scenario narrative: bear</t>
  </si>
  <si>
    <t xml:space="preserve">Meituan, Alibaba/Ele.me and JD/Dada internalise the volume they outsourced during peak surges or reopen a price war, and tighter rider social-insurance and injury-protection rules push cost of revenue up on a 6-7% gross margin. Growth falls to 8% in FY2026 and to 2.5% long-run; EBITDA slips to 2.5% and recovers only to 2.8%; SBC keeps growing to 0.9% of revenue before easing; key-account receivables stretch (WC capture -1%). Terminal growth 2%. The business stays cash-generative but earns little more than its cost of capital.</t>
  </si>
  <si>
    <t xml:space="preserve">Scenario narrative: base</t>
  </si>
  <si>
    <t xml:space="preserve">Revenue grows 13% in FY2026 (H1 was +14.7% against a subsidy-war-inflated H2 FY2025 base) and decelerates one point a year to 4% by year 10. The adjusted EBITDA margin (pre-SBC, excluding wealth-management and venture-fund gains) rises from 1.9% in FY2025 to 2.9% in FY2026 -- the H1 FY2026 run-rate of 2.7% plus normal H2 seasonality -- and matures at 4.2% as administrative cost dilutes with scale; the gross margin stays near 7%. SBC glides from 0.85% to 0.50% of revenue, D&amp;A 0.30%, capex 0.35% including right-of-use renewal, working capital neutral. Cash tax starts at 30% in FY2026 (one-off payable), is sheltered at 10-20% through FY2029 by RMB780m of tax losses, then pays the 25% PRC rate. WACC 10%, terminal growth 3%, terminal value capped at 15x owner FCF.</t>
  </si>
  <si>
    <t xml:space="preserve">Scenario narrative: bull</t>
  </si>
  <si>
    <t xml:space="preserve">The 2025-26 subsidy war leaves platforms and chain merchants structurally more willing to outsource to a neutral third party; county-level coverage, SF Group e-commerce last-mile and parcel-return volume compound; revenue grows 20% decelerating to 5%. AI dispatch and a scaled unmanned-vehicle fleet (1,000+ vehicles today; capex 0.40% of revenue in years 2-5) take mature EBITDA to 5.5%, still below the margin of a vertically integrated platform. Loss shelter is used faster (8-18% cash tax in years 2-4). Terminal growth 3.5%, same 10% WACC and 15x cap.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</si>
  <si>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</si>
  <si>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</si>
  <si>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</si>
  <si>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</si>
  <si>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</si>
  <si>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</si>
  <si>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</si>
  <si>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</si>
  <si>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</si>
  <si>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</si>
  <si>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</si>
  <si>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</si>
  <si>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</si>
  <si>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</si>
  <si>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</si>
  <si>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</si>
  <si>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</si>
  <si>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</si>
  <si>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</si>
  <si>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</si>
  <si>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</si>
  <si>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</si>
  <si>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</si>
  <si>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</si>
  <si>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</si>
  <si>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</si>
  <si>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</si>
  <si>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ActiveCustomers</t>
  </si>
  <si>
    <t xml:space="preserve">EffectiveCashTaxRate</t>
  </si>
  <si>
    <t xml:space="preserve">ShareAwardSchemePurchases</t>
  </si>
  <si>
    <t xml:space="preserve">ShortTermInvestments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</si>
  <si>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</si>
  <si>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</si>
  <si>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</si>
  <si>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</si>
  <si>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</si>
  <si>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</si>
  <si>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</si>
  <si>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</si>
  <si>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</si>
  <si>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</si>
  <si>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</si>
  <si>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</si>
  <si>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</si>
  <si>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</si>
  <si>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</si>
  <si>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</si>
  <si>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</si>
  <si>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</si>
  <si>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</si>
  <si>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</si>
  <si>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</si>
  <si>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</si>
  <si>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</si>
  <si>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</si>
  <si>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</si>
  <si>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</si>
  <si>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</si>
  <si>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</si>
  <si>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</si>
  <si>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</si>
  <si>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</si>
  <si>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</si>
  <si>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</si>
  <si>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</si>
  <si>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</si>
  <si>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</si>
  <si>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</si>
  <si>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</si>
  <si>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</si>
  <si>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</si>
  <si>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</si>
  <si>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</si>
  <si>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</si>
  <si>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9699.HK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</si>
  <si>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</si>
  <si>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</si>
  <si>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</si>
  <si>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</si>
  <si>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</si>
  <si>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</si>
  <si>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</si>
  <si>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</si>
  <si>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</si>
  <si>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</si>
  <si>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</si>
  <si>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</si>
  <si>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</si>
  <si>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</si>
  <si>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</si>
  <si>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</si>
  <si>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</si>
  <si>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</si>
  <si>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</si>
  <si>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</si>
  <si>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</si>
  <si>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</si>
  <si>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</si>
  <si>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</si>
  <si>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</si>
  <si>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</si>
  <si>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</si>
  <si>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</si>
  <si>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</si>
  <si>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</si>
  <si>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9699.HK owner-FCF component DCF: base case (millions, CNY)</t>
  </si>
  <si>
    <t xml:space="preserve">9699.HK owner-FCF component DCF: bull case (millions, CNY)</t>
  </si>
  <si>
    <t xml:space="preserve">9699.HK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</si>
  <si>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</si>
  <si>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</si>
  <si>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</si>
  <si>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</si>
  <si>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</si>
  <si>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</si>
  <si>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</si>
  <si>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</si>
  <si>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</si>
  <si>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</si>
  <si>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</si>
  <si>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</si>
  <si>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</si>
  <si>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</si>
  <si>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</si>
  <si>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 (WACC)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</si>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</sst>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8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  <c r="AD1" s="2" t="s">
        <v>65</v>
      </c>
      <c r="AE1" s="2" t="s">
        <v>66</v>
      </c>
      <c r="AF1" s="2" t="s">
        <v>67</v>
      </c>
    </row>
    <row r="2" customFormat="false" ht="15" hidden="false" customHeight="false" outlineLevel="0" collapsed="false">
      <c r="A2" s="0" t="s">
        <v>68</v>
      </c>
      <c r="B2" s="0" t="n">
        <v>4843.37</v>
      </c>
      <c r="C2" s="0" t="n">
        <v>-5031.876</v>
      </c>
      <c r="D2" s="0" t="n">
        <v>-188.506</v>
      </c>
      <c r="E2" s="0" t="n">
        <v>-3.9</v>
      </c>
      <c r="F2" s="0" t="n">
        <v>-769.241</v>
      </c>
      <c r="G2" s="0" t="n">
        <v>-15.9</v>
      </c>
      <c r="H2" s="0" t="n">
        <v>-723.215</v>
      </c>
      <c r="I2" s="0" t="n">
        <v>-757.677</v>
      </c>
      <c r="J2" s="0" t="n">
        <v>-15.6</v>
      </c>
      <c r="K2" s="0" t="n">
        <v>-1.6</v>
      </c>
      <c r="L2" s="0" t="n">
        <v>-563.455</v>
      </c>
      <c r="M2" s="0" t="n">
        <v>75.743</v>
      </c>
      <c r="N2" s="0" t="n">
        <v>-639.198</v>
      </c>
      <c r="O2" s="0" t="n">
        <v>365.464</v>
      </c>
      <c r="P2" s="0" t="n">
        <v>1413.52</v>
      </c>
      <c r="Q2" s="0" t="n">
        <v>1048.056</v>
      </c>
      <c r="R2" s="0" t="n">
        <v>367.08</v>
      </c>
      <c r="S2" s="0" t="n">
        <v>263.468</v>
      </c>
      <c r="T2" s="0" t="n">
        <v>473.887</v>
      </c>
      <c r="U2" s="0" t="n">
        <v>152.726</v>
      </c>
      <c r="V2" s="0" t="n">
        <v>0</v>
      </c>
      <c r="AA2" s="0" t="s">
        <v>18</v>
      </c>
      <c r="AB2" s="0" t="s">
        <v>14</v>
      </c>
      <c r="AC2" s="0" t="n">
        <v>5.1</v>
      </c>
      <c r="AF2" s="0" t="n">
        <v>0</v>
      </c>
    </row>
    <row r="3" customFormat="false" ht="15" hidden="false" customHeight="false" outlineLevel="0" collapsed="false">
      <c r="A3" s="0" t="s">
        <v>69</v>
      </c>
      <c r="B3" s="0" t="n">
        <v>8173.953</v>
      </c>
      <c r="C3" s="0" t="n">
        <v>-8079.144</v>
      </c>
      <c r="D3" s="0" t="n">
        <v>94.809</v>
      </c>
      <c r="E3" s="0" t="n">
        <v>1.2</v>
      </c>
      <c r="F3" s="0" t="n">
        <v>-913.011</v>
      </c>
      <c r="G3" s="0" t="n">
        <v>-11.2</v>
      </c>
      <c r="H3" s="0" t="n">
        <v>-841.578</v>
      </c>
      <c r="I3" s="0" t="n">
        <v>-898.851</v>
      </c>
      <c r="J3" s="0" t="n">
        <v>-11</v>
      </c>
      <c r="K3" s="0" t="n">
        <v>-1.28</v>
      </c>
      <c r="L3" s="0" t="n">
        <v>-532.135</v>
      </c>
      <c r="M3" s="0" t="n">
        <v>90.094</v>
      </c>
      <c r="N3" s="0" t="n">
        <v>-622.229</v>
      </c>
      <c r="O3" s="0" t="n">
        <v>3309.443</v>
      </c>
      <c r="P3" s="0" t="n">
        <v>4208.915</v>
      </c>
      <c r="Q3" s="0" t="n">
        <v>899.472</v>
      </c>
      <c r="R3" s="0" t="n">
        <v>0</v>
      </c>
      <c r="S3" s="0" t="n">
        <v>2538.226</v>
      </c>
      <c r="T3" s="0" t="n">
        <v>701.718</v>
      </c>
      <c r="U3" s="0" t="n">
        <v>231.43</v>
      </c>
      <c r="V3" s="0" t="n">
        <v>0</v>
      </c>
      <c r="AA3" s="0" t="s">
        <v>18</v>
      </c>
      <c r="AB3" s="0" t="s">
        <v>14</v>
      </c>
      <c r="AC3" s="0" t="n">
        <v>10.6</v>
      </c>
      <c r="AE3" s="0" t="n">
        <v>0</v>
      </c>
      <c r="AF3" s="0" t="n">
        <v>330.084</v>
      </c>
    </row>
    <row r="4" customFormat="false" ht="15" hidden="false" customHeight="false" outlineLevel="0" collapsed="false">
      <c r="A4" s="0" t="s">
        <v>70</v>
      </c>
      <c r="B4" s="0" t="n">
        <v>10265.191</v>
      </c>
      <c r="C4" s="0" t="n">
        <v>-9851.834</v>
      </c>
      <c r="D4" s="0" t="n">
        <v>413.357</v>
      </c>
      <c r="E4" s="0" t="n">
        <v>4</v>
      </c>
      <c r="F4" s="0" t="n">
        <v>-331.25</v>
      </c>
      <c r="G4" s="0" t="n">
        <v>-3.2</v>
      </c>
      <c r="H4" s="0" t="n">
        <v>-230.789</v>
      </c>
      <c r="I4" s="0" t="n">
        <v>-286.903</v>
      </c>
      <c r="J4" s="0" t="n">
        <v>-2.8</v>
      </c>
      <c r="K4" s="0" t="n">
        <v>-0.31</v>
      </c>
      <c r="L4" s="0" t="n">
        <v>-414.692</v>
      </c>
      <c r="M4" s="0" t="n">
        <v>108.567</v>
      </c>
      <c r="N4" s="0" t="n">
        <v>-523.259</v>
      </c>
      <c r="O4" s="0" t="n">
        <v>3016.537</v>
      </c>
      <c r="P4" s="0" t="n">
        <v>4102.673</v>
      </c>
      <c r="Q4" s="0" t="n">
        <v>1086.136</v>
      </c>
      <c r="R4" s="0" t="n">
        <v>0</v>
      </c>
      <c r="S4" s="0" t="n">
        <v>1460.024</v>
      </c>
      <c r="T4" s="0" t="n">
        <v>933.458</v>
      </c>
      <c r="U4" s="0" t="n">
        <v>0</v>
      </c>
      <c r="V4" s="0" t="n">
        <v>0</v>
      </c>
      <c r="X4" s="0" t="n">
        <v>10228.787</v>
      </c>
      <c r="AA4" s="0" t="s">
        <v>18</v>
      </c>
      <c r="AB4" s="0" t="s">
        <v>14</v>
      </c>
      <c r="AC4" s="0" t="n">
        <v>15.6</v>
      </c>
      <c r="AE4" s="0" t="n">
        <v>0</v>
      </c>
      <c r="AF4" s="0" t="n">
        <v>601.565</v>
      </c>
    </row>
    <row r="5" customFormat="false" ht="15" hidden="false" customHeight="false" outlineLevel="0" collapsed="false">
      <c r="A5" s="0" t="s">
        <v>71</v>
      </c>
      <c r="B5" s="0" t="n">
        <v>12387.416</v>
      </c>
      <c r="C5" s="0" t="n">
        <v>-11592.676</v>
      </c>
      <c r="D5" s="0" t="n">
        <v>794.74</v>
      </c>
      <c r="E5" s="0" t="n">
        <v>6.4</v>
      </c>
      <c r="F5" s="0" t="n">
        <v>19.151</v>
      </c>
      <c r="G5" s="0" t="n">
        <v>0.2</v>
      </c>
      <c r="H5" s="0" t="n">
        <v>98.784</v>
      </c>
      <c r="I5" s="0" t="n">
        <v>50.595</v>
      </c>
      <c r="J5" s="0" t="n">
        <v>0.4</v>
      </c>
      <c r="K5" s="0" t="n">
        <v>0.05</v>
      </c>
      <c r="L5" s="0" t="n">
        <v>266.291</v>
      </c>
      <c r="M5" s="0" t="n">
        <v>68.992</v>
      </c>
      <c r="N5" s="0" t="n">
        <v>197.299</v>
      </c>
      <c r="O5" s="0" t="n">
        <v>2981.094</v>
      </c>
      <c r="P5" s="0" t="n">
        <v>4199.691</v>
      </c>
      <c r="Q5" s="0" t="n">
        <v>1218.597</v>
      </c>
      <c r="R5" s="0" t="n">
        <v>0</v>
      </c>
      <c r="S5" s="0" t="n">
        <v>1901.651</v>
      </c>
      <c r="T5" s="0" t="n">
        <v>931.349</v>
      </c>
      <c r="U5" s="0" t="n">
        <v>6.805</v>
      </c>
      <c r="V5" s="0" t="n">
        <v>0</v>
      </c>
      <c r="X5" s="0" t="n">
        <v>12387.416</v>
      </c>
      <c r="AA5" s="0" t="s">
        <v>18</v>
      </c>
      <c r="AB5" s="0" t="s">
        <v>14</v>
      </c>
      <c r="AC5" s="0" t="n">
        <v>20.5</v>
      </c>
      <c r="AD5" s="0" t="n">
        <v>14.2</v>
      </c>
      <c r="AE5" s="0" t="n">
        <v>52.37</v>
      </c>
      <c r="AF5" s="0" t="n">
        <v>516.753</v>
      </c>
    </row>
    <row r="6" customFormat="false" ht="15" hidden="false" customHeight="false" outlineLevel="0" collapsed="false">
      <c r="A6" s="0" t="s">
        <v>72</v>
      </c>
      <c r="B6" s="0" t="n">
        <v>15746.083</v>
      </c>
      <c r="C6" s="0" t="n">
        <v>-14674.587</v>
      </c>
      <c r="D6" s="0" t="n">
        <v>1071.496</v>
      </c>
      <c r="E6" s="0" t="n">
        <v>6.8</v>
      </c>
      <c r="F6" s="0" t="n">
        <v>117.283</v>
      </c>
      <c r="G6" s="0" t="n">
        <v>0.7</v>
      </c>
      <c r="H6" s="0" t="n">
        <v>179.264</v>
      </c>
      <c r="I6" s="0" t="n">
        <v>132.46</v>
      </c>
      <c r="J6" s="0" t="n">
        <v>0.8</v>
      </c>
      <c r="K6" s="0" t="n">
        <v>0.15</v>
      </c>
      <c r="L6" s="0" t="n">
        <v>271.924</v>
      </c>
      <c r="M6" s="0" t="n">
        <v>47.731</v>
      </c>
      <c r="N6" s="0" t="n">
        <v>224.193</v>
      </c>
      <c r="O6" s="0" t="n">
        <v>2960.528</v>
      </c>
      <c r="P6" s="0" t="n">
        <v>4669.733</v>
      </c>
      <c r="Q6" s="0" t="n">
        <v>1709.205</v>
      </c>
      <c r="R6" s="0" t="n">
        <v>0</v>
      </c>
      <c r="S6" s="0" t="n">
        <v>1369.593</v>
      </c>
      <c r="T6" s="0" t="n">
        <v>913.443</v>
      </c>
      <c r="U6" s="0" t="n">
        <v>13.392</v>
      </c>
      <c r="V6" s="0" t="n">
        <v>0</v>
      </c>
      <c r="AA6" s="0" t="s">
        <v>18</v>
      </c>
      <c r="AB6" s="0" t="s">
        <v>14</v>
      </c>
      <c r="AC6" s="0" t="n">
        <v>23.41</v>
      </c>
      <c r="AD6" s="0" t="n">
        <v>3.5</v>
      </c>
      <c r="AE6" s="0" t="n">
        <v>0</v>
      </c>
      <c r="AF6" s="0" t="n">
        <v>1115.859</v>
      </c>
    </row>
    <row r="7" customFormat="false" ht="15" hidden="false" customHeight="false" outlineLevel="0" collapsed="false">
      <c r="A7" s="0" t="s">
        <v>73</v>
      </c>
      <c r="B7" s="0" t="n">
        <v>22898.637</v>
      </c>
      <c r="C7" s="0" t="n">
        <v>-21454.108</v>
      </c>
      <c r="D7" s="0" t="n">
        <v>1444.529</v>
      </c>
      <c r="E7" s="0" t="n">
        <v>6.3</v>
      </c>
      <c r="F7" s="0" t="n">
        <v>278.456</v>
      </c>
      <c r="G7" s="0" t="n">
        <v>1.2</v>
      </c>
      <c r="H7" s="0" t="n">
        <v>345.465</v>
      </c>
      <c r="I7" s="0" t="n">
        <v>277.718</v>
      </c>
      <c r="J7" s="0" t="n">
        <v>1.2</v>
      </c>
      <c r="K7" s="0" t="n">
        <v>0.3</v>
      </c>
      <c r="L7" s="0" t="n">
        <v>394.758</v>
      </c>
      <c r="M7" s="0" t="n">
        <v>67.591</v>
      </c>
      <c r="N7" s="0" t="n">
        <v>327.167</v>
      </c>
      <c r="O7" s="0" t="n">
        <v>3281.834</v>
      </c>
      <c r="P7" s="0" t="n">
        <v>5471.063</v>
      </c>
      <c r="Q7" s="0" t="n">
        <v>2189.229</v>
      </c>
      <c r="R7" s="0" t="n">
        <v>0</v>
      </c>
      <c r="S7" s="0" t="n">
        <v>1145.359</v>
      </c>
      <c r="T7" s="0" t="n">
        <v>920.549</v>
      </c>
      <c r="U7" s="0" t="n">
        <v>136.94</v>
      </c>
      <c r="V7" s="0" t="n">
        <v>0</v>
      </c>
      <c r="AA7" s="0" t="s">
        <v>18</v>
      </c>
      <c r="AB7" s="0" t="s">
        <v>14</v>
      </c>
      <c r="AC7" s="0" t="n">
        <v>26.06</v>
      </c>
      <c r="AD7" s="0" t="n">
        <v>0.3</v>
      </c>
      <c r="AE7" s="0" t="n">
        <v>73.218</v>
      </c>
      <c r="AF7" s="0" t="n">
        <v>1504.322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74</v>
      </c>
      <c r="B1" s="2" t="s">
        <v>75</v>
      </c>
    </row>
    <row r="2" customFormat="false" ht="15" hidden="false" customHeight="false" outlineLevel="0" collapsed="false">
      <c r="A2" s="0" t="s">
        <v>76</v>
      </c>
      <c r="B2" s="3" t="n">
        <v>8</v>
      </c>
    </row>
    <row r="3" customFormat="false" ht="15" hidden="false" customHeight="false" outlineLevel="0" collapsed="false">
      <c r="A3" s="0" t="s">
        <v>77</v>
      </c>
      <c r="B3" s="3" t="n">
        <v>920.4</v>
      </c>
    </row>
    <row r="4" customFormat="false" ht="15" hidden="false" customHeight="false" outlineLevel="0" collapsed="false">
      <c r="A4" s="0" t="s">
        <v>78</v>
      </c>
      <c r="B4" s="3" t="n">
        <v>-2427.344</v>
      </c>
    </row>
    <row r="5" customFormat="false" ht="15" hidden="false" customHeight="false" outlineLevel="0" collapsed="false">
      <c r="A5" s="0" t="s">
        <v>79</v>
      </c>
      <c r="B5" s="3" t="n">
        <v>288.551</v>
      </c>
    </row>
    <row r="6" customFormat="false" ht="15" hidden="false" customHeight="false" outlineLevel="0" collapsed="false">
      <c r="A6" s="0" t="s">
        <v>80</v>
      </c>
      <c r="B6" s="3" t="n">
        <v>15</v>
      </c>
    </row>
    <row r="7" customFormat="false" ht="15" hidden="false" customHeight="false" outlineLevel="0" collapsed="false">
      <c r="A7" s="0" t="s">
        <v>81</v>
      </c>
      <c r="B7" s="3" t="n">
        <v>22898.637</v>
      </c>
    </row>
    <row r="8" customFormat="false" ht="15" hidden="false" customHeight="false" outlineLevel="0" collapsed="false">
      <c r="A8" s="0" t="s">
        <v>82</v>
      </c>
      <c r="B8" s="3" t="s">
        <v>73</v>
      </c>
    </row>
    <row r="9" customFormat="false" ht="15" hidden="false" customHeight="false" outlineLevel="0" collapsed="false">
      <c r="A9" s="0" t="s">
        <v>83</v>
      </c>
      <c r="B9" s="3" t="s">
        <v>84</v>
      </c>
    </row>
    <row r="10" customFormat="false" ht="15" hidden="false" customHeight="false" outlineLevel="0" collapsed="false">
      <c r="A10" s="0" t="s">
        <v>85</v>
      </c>
      <c r="B10" s="3" t="n">
        <v>1.1749</v>
      </c>
    </row>
    <row r="12" customFormat="false" ht="15" hidden="false" customHeight="false" outlineLevel="0" collapsed="false">
      <c r="A12" s="2" t="s">
        <v>86</v>
      </c>
      <c r="C12" s="2" t="s">
        <v>87</v>
      </c>
      <c r="D12" s="2" t="s">
        <v>88</v>
      </c>
      <c r="E12" s="2" t="s">
        <v>89</v>
      </c>
      <c r="F12" s="2" t="s">
        <v>90</v>
      </c>
      <c r="G12" s="2" t="s">
        <v>91</v>
      </c>
      <c r="H12" s="2" t="s">
        <v>92</v>
      </c>
      <c r="I12" s="2" t="s">
        <v>93</v>
      </c>
      <c r="J12" s="2" t="s">
        <v>94</v>
      </c>
      <c r="K12" s="2" t="s">
        <v>95</v>
      </c>
      <c r="L12" s="2" t="s">
        <v>96</v>
      </c>
    </row>
    <row r="13" customFormat="false" ht="15" hidden="false" customHeight="false" outlineLevel="0" collapsed="false">
      <c r="A13" s="0" t="s">
        <v>97</v>
      </c>
      <c r="C13" s="3" t="n">
        <v>8</v>
      </c>
      <c r="D13" s="3" t="n">
        <v>6</v>
      </c>
      <c r="E13" s="3" t="n">
        <v>5</v>
      </c>
      <c r="F13" s="3" t="n">
        <v>4</v>
      </c>
      <c r="G13" s="3" t="n">
        <v>3</v>
      </c>
      <c r="H13" s="3" t="n">
        <v>3</v>
      </c>
      <c r="I13" s="3" t="n">
        <v>3</v>
      </c>
      <c r="J13" s="3" t="n">
        <v>3</v>
      </c>
      <c r="K13" s="3" t="n">
        <v>2.5</v>
      </c>
      <c r="L13" s="3" t="n">
        <v>2.5</v>
      </c>
    </row>
    <row r="14" customFormat="false" ht="15" hidden="false" customHeight="false" outlineLevel="0" collapsed="false">
      <c r="A14" s="0" t="s">
        <v>98</v>
      </c>
      <c r="C14" s="3" t="n">
        <v>2.6</v>
      </c>
      <c r="D14" s="3" t="n">
        <v>2.5</v>
      </c>
      <c r="E14" s="3" t="n">
        <v>2.5</v>
      </c>
      <c r="F14" s="3" t="n">
        <v>2.6</v>
      </c>
      <c r="G14" s="3" t="n">
        <v>2.7</v>
      </c>
      <c r="H14" s="3" t="n">
        <v>2.8</v>
      </c>
      <c r="I14" s="3" t="n">
        <v>2.8</v>
      </c>
      <c r="J14" s="3" t="n">
        <v>2.8</v>
      </c>
      <c r="K14" s="3" t="n">
        <v>2.8</v>
      </c>
      <c r="L14" s="3" t="n">
        <v>2.8</v>
      </c>
    </row>
    <row r="15" customFormat="false" ht="15" hidden="false" customHeight="false" outlineLevel="0" collapsed="false">
      <c r="A15" s="0" t="s">
        <v>99</v>
      </c>
      <c r="C15" s="3" t="n">
        <v>0.9</v>
      </c>
      <c r="D15" s="3" t="n">
        <v>0.9</v>
      </c>
      <c r="E15" s="3" t="n">
        <v>0.85</v>
      </c>
      <c r="F15" s="3" t="n">
        <v>0.8</v>
      </c>
      <c r="G15" s="3" t="n">
        <v>0.75</v>
      </c>
      <c r="H15" s="3" t="n">
        <v>0.7</v>
      </c>
      <c r="I15" s="3" t="n">
        <v>0.65</v>
      </c>
      <c r="J15" s="3" t="n">
        <v>0.6</v>
      </c>
      <c r="K15" s="3" t="n">
        <v>0.6</v>
      </c>
      <c r="L15" s="3" t="n">
        <v>0.6</v>
      </c>
    </row>
    <row r="16" customFormat="false" ht="15" hidden="false" customHeight="false" outlineLevel="0" collapsed="false">
      <c r="A16" s="0" t="s">
        <v>100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101</v>
      </c>
      <c r="C17" s="3" t="n">
        <v>0.3</v>
      </c>
      <c r="D17" s="3" t="n">
        <v>0.3</v>
      </c>
      <c r="E17" s="3" t="n">
        <v>0.3</v>
      </c>
      <c r="F17" s="3" t="n">
        <v>0.3</v>
      </c>
      <c r="G17" s="3" t="n">
        <v>0.3</v>
      </c>
      <c r="H17" s="3" t="n">
        <v>0.3</v>
      </c>
      <c r="I17" s="3" t="n">
        <v>0.3</v>
      </c>
      <c r="J17" s="3" t="n">
        <v>0.3</v>
      </c>
      <c r="K17" s="3" t="n">
        <v>0.3</v>
      </c>
      <c r="L17" s="3" t="n">
        <v>0.3</v>
      </c>
    </row>
    <row r="18" customFormat="false" ht="15" hidden="false" customHeight="false" outlineLevel="0" collapsed="false">
      <c r="A18" s="0" t="s">
        <v>102</v>
      </c>
      <c r="C18" s="3" t="n">
        <v>0.35</v>
      </c>
      <c r="D18" s="3" t="n">
        <v>0.35</v>
      </c>
      <c r="E18" s="3" t="n">
        <v>0.35</v>
      </c>
      <c r="F18" s="3" t="n">
        <v>0.35</v>
      </c>
      <c r="G18" s="3" t="n">
        <v>0.35</v>
      </c>
      <c r="H18" s="3" t="n">
        <v>0.35</v>
      </c>
      <c r="I18" s="3" t="n">
        <v>0.35</v>
      </c>
      <c r="J18" s="3" t="n">
        <v>0.35</v>
      </c>
      <c r="K18" s="3" t="n">
        <v>0.35</v>
      </c>
      <c r="L18" s="3" t="n">
        <v>0.35</v>
      </c>
    </row>
    <row r="19" customFormat="false" ht="15" hidden="false" customHeight="false" outlineLevel="0" collapsed="false">
      <c r="A19" s="0" t="s">
        <v>103</v>
      </c>
      <c r="C19" s="3" t="n">
        <v>32</v>
      </c>
      <c r="D19" s="3" t="n">
        <v>12</v>
      </c>
      <c r="E19" s="3" t="n">
        <v>18</v>
      </c>
      <c r="F19" s="3" t="n">
        <v>22</v>
      </c>
      <c r="G19" s="3" t="n">
        <v>25</v>
      </c>
      <c r="H19" s="3" t="n">
        <v>25</v>
      </c>
      <c r="I19" s="3" t="n">
        <v>25</v>
      </c>
      <c r="J19" s="3" t="n">
        <v>25</v>
      </c>
      <c r="K19" s="3" t="n">
        <v>25</v>
      </c>
      <c r="L19" s="3" t="n">
        <v>25</v>
      </c>
    </row>
    <row r="20" customFormat="false" ht="15" hidden="false" customHeight="false" outlineLevel="0" collapsed="false">
      <c r="A20" s="0" t="s">
        <v>104</v>
      </c>
      <c r="B20" s="3" t="n">
        <v>10</v>
      </c>
    </row>
    <row r="21" customFormat="false" ht="15" hidden="false" customHeight="false" outlineLevel="0" collapsed="false">
      <c r="A21" s="0" t="s">
        <v>105</v>
      </c>
      <c r="B21" s="3" t="n">
        <v>2</v>
      </c>
    </row>
    <row r="22" customFormat="false" ht="15" hidden="false" customHeight="false" outlineLevel="0" collapsed="false">
      <c r="A22" s="0" t="s">
        <v>106</v>
      </c>
      <c r="B22" s="3" t="n">
        <v>15</v>
      </c>
    </row>
    <row r="23" customFormat="false" ht="15" hidden="false" customHeight="false" outlineLevel="0" collapsed="false">
      <c r="A23" s="0" t="s">
        <v>107</v>
      </c>
      <c r="B23" s="3" t="n">
        <v>-1</v>
      </c>
    </row>
    <row r="24" customFormat="false" ht="15" hidden="false" customHeight="false" outlineLevel="0" collapsed="false">
      <c r="A24" s="0" t="s">
        <v>108</v>
      </c>
      <c r="B24" s="3" t="n">
        <v>0.25</v>
      </c>
    </row>
    <row r="26" customFormat="false" ht="15" hidden="false" customHeight="false" outlineLevel="0" collapsed="false">
      <c r="A26" s="2" t="s">
        <v>109</v>
      </c>
      <c r="C26" s="2" t="s">
        <v>87</v>
      </c>
      <c r="D26" s="2" t="s">
        <v>88</v>
      </c>
      <c r="E26" s="2" t="s">
        <v>89</v>
      </c>
      <c r="F26" s="2" t="s">
        <v>90</v>
      </c>
      <c r="G26" s="2" t="s">
        <v>91</v>
      </c>
      <c r="H26" s="2" t="s">
        <v>92</v>
      </c>
      <c r="I26" s="2" t="s">
        <v>93</v>
      </c>
      <c r="J26" s="2" t="s">
        <v>94</v>
      </c>
      <c r="K26" s="2" t="s">
        <v>95</v>
      </c>
      <c r="L26" s="2" t="s">
        <v>96</v>
      </c>
    </row>
    <row r="27" customFormat="false" ht="15" hidden="false" customHeight="false" outlineLevel="0" collapsed="false">
      <c r="A27" s="0" t="s">
        <v>97</v>
      </c>
      <c r="C27" s="3" t="n">
        <v>13</v>
      </c>
      <c r="D27" s="3" t="n">
        <v>12</v>
      </c>
      <c r="E27" s="3" t="n">
        <v>11</v>
      </c>
      <c r="F27" s="3" t="n">
        <v>10</v>
      </c>
      <c r="G27" s="3" t="n">
        <v>9</v>
      </c>
      <c r="H27" s="3" t="n">
        <v>8</v>
      </c>
      <c r="I27" s="3" t="n">
        <v>7</v>
      </c>
      <c r="J27" s="3" t="n">
        <v>6</v>
      </c>
      <c r="K27" s="3" t="n">
        <v>5</v>
      </c>
      <c r="L27" s="3" t="n">
        <v>4</v>
      </c>
    </row>
    <row r="28" customFormat="false" ht="15" hidden="false" customHeight="false" outlineLevel="0" collapsed="false">
      <c r="A28" s="0" t="s">
        <v>98</v>
      </c>
      <c r="C28" s="3" t="n">
        <v>2.9</v>
      </c>
      <c r="D28" s="3" t="n">
        <v>3.2</v>
      </c>
      <c r="E28" s="3" t="n">
        <v>3.5</v>
      </c>
      <c r="F28" s="3" t="n">
        <v>3.7</v>
      </c>
      <c r="G28" s="3" t="n">
        <v>3.9</v>
      </c>
      <c r="H28" s="3" t="n">
        <v>4</v>
      </c>
      <c r="I28" s="3" t="n">
        <v>4.1</v>
      </c>
      <c r="J28" s="3" t="n">
        <v>4.2</v>
      </c>
      <c r="K28" s="3" t="n">
        <v>4.2</v>
      </c>
      <c r="L28" s="3" t="n">
        <v>4.2</v>
      </c>
    </row>
    <row r="29" customFormat="false" ht="15" hidden="false" customHeight="false" outlineLevel="0" collapsed="false">
      <c r="A29" s="0" t="s">
        <v>99</v>
      </c>
      <c r="C29" s="3" t="n">
        <v>0.85</v>
      </c>
      <c r="D29" s="3" t="n">
        <v>0.8</v>
      </c>
      <c r="E29" s="3" t="n">
        <v>0.75</v>
      </c>
      <c r="F29" s="3" t="n">
        <v>0.7</v>
      </c>
      <c r="G29" s="3" t="n">
        <v>0.65</v>
      </c>
      <c r="H29" s="3" t="n">
        <v>0.6</v>
      </c>
      <c r="I29" s="3" t="n">
        <v>0.55</v>
      </c>
      <c r="J29" s="3" t="n">
        <v>0.5</v>
      </c>
      <c r="K29" s="3" t="n">
        <v>0.5</v>
      </c>
      <c r="L29" s="3" t="n">
        <v>0.5</v>
      </c>
    </row>
    <row r="30" customFormat="false" ht="15" hidden="false" customHeight="false" outlineLevel="0" collapsed="false">
      <c r="A30" s="0" t="s">
        <v>100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101</v>
      </c>
      <c r="C31" s="3" t="n">
        <v>0.3</v>
      </c>
      <c r="D31" s="3" t="n">
        <v>0.3</v>
      </c>
      <c r="E31" s="3" t="n">
        <v>0.3</v>
      </c>
      <c r="F31" s="3" t="n">
        <v>0.3</v>
      </c>
      <c r="G31" s="3" t="n">
        <v>0.3</v>
      </c>
      <c r="H31" s="3" t="n">
        <v>0.3</v>
      </c>
      <c r="I31" s="3" t="n">
        <v>0.3</v>
      </c>
      <c r="J31" s="3" t="n">
        <v>0.3</v>
      </c>
      <c r="K31" s="3" t="n">
        <v>0.3</v>
      </c>
      <c r="L31" s="3" t="n">
        <v>0.3</v>
      </c>
    </row>
    <row r="32" customFormat="false" ht="15" hidden="false" customHeight="false" outlineLevel="0" collapsed="false">
      <c r="A32" s="0" t="s">
        <v>102</v>
      </c>
      <c r="C32" s="3" t="n">
        <v>0.35</v>
      </c>
      <c r="D32" s="3" t="n">
        <v>0.35</v>
      </c>
      <c r="E32" s="3" t="n">
        <v>0.35</v>
      </c>
      <c r="F32" s="3" t="n">
        <v>0.35</v>
      </c>
      <c r="G32" s="3" t="n">
        <v>0.35</v>
      </c>
      <c r="H32" s="3" t="n">
        <v>0.35</v>
      </c>
      <c r="I32" s="3" t="n">
        <v>0.35</v>
      </c>
      <c r="J32" s="3" t="n">
        <v>0.35</v>
      </c>
      <c r="K32" s="3" t="n">
        <v>0.35</v>
      </c>
      <c r="L32" s="3" t="n">
        <v>0.35</v>
      </c>
    </row>
    <row r="33" customFormat="false" ht="15" hidden="false" customHeight="false" outlineLevel="0" collapsed="false">
      <c r="A33" s="0" t="s">
        <v>103</v>
      </c>
      <c r="C33" s="3" t="n">
        <v>30</v>
      </c>
      <c r="D33" s="3" t="n">
        <v>10</v>
      </c>
      <c r="E33" s="3" t="n">
        <v>15</v>
      </c>
      <c r="F33" s="3" t="n">
        <v>20</v>
      </c>
      <c r="G33" s="3" t="n">
        <v>25</v>
      </c>
      <c r="H33" s="3" t="n">
        <v>25</v>
      </c>
      <c r="I33" s="3" t="n">
        <v>25</v>
      </c>
      <c r="J33" s="3" t="n">
        <v>25</v>
      </c>
      <c r="K33" s="3" t="n">
        <v>25</v>
      </c>
      <c r="L33" s="3" t="n">
        <v>25</v>
      </c>
    </row>
    <row r="34" customFormat="false" ht="15" hidden="false" customHeight="false" outlineLevel="0" collapsed="false">
      <c r="A34" s="0" t="s">
        <v>104</v>
      </c>
      <c r="B34" s="3" t="n">
        <v>10</v>
      </c>
    </row>
    <row r="35" customFormat="false" ht="15" hidden="false" customHeight="false" outlineLevel="0" collapsed="false">
      <c r="A35" s="0" t="s">
        <v>105</v>
      </c>
      <c r="B35" s="3" t="n">
        <v>3</v>
      </c>
    </row>
    <row r="36" customFormat="false" ht="15" hidden="false" customHeight="false" outlineLevel="0" collapsed="false">
      <c r="A36" s="0" t="s">
        <v>106</v>
      </c>
      <c r="B36" s="3" t="n">
        <v>15</v>
      </c>
    </row>
    <row r="37" customFormat="false" ht="15" hidden="false" customHeight="false" outlineLevel="0" collapsed="false">
      <c r="A37" s="0" t="s">
        <v>107</v>
      </c>
      <c r="B37" s="3" t="n">
        <v>0</v>
      </c>
    </row>
    <row r="38" customFormat="false" ht="15" hidden="false" customHeight="false" outlineLevel="0" collapsed="false">
      <c r="A38" s="0" t="s">
        <v>108</v>
      </c>
      <c r="B38" s="3" t="n">
        <v>0.5</v>
      </c>
    </row>
    <row r="40" customFormat="false" ht="15" hidden="false" customHeight="false" outlineLevel="0" collapsed="false">
      <c r="A40" s="2" t="s">
        <v>110</v>
      </c>
      <c r="C40" s="2" t="s">
        <v>87</v>
      </c>
      <c r="D40" s="2" t="s">
        <v>88</v>
      </c>
      <c r="E40" s="2" t="s">
        <v>89</v>
      </c>
      <c r="F40" s="2" t="s">
        <v>90</v>
      </c>
      <c r="G40" s="2" t="s">
        <v>91</v>
      </c>
      <c r="H40" s="2" t="s">
        <v>92</v>
      </c>
      <c r="I40" s="2" t="s">
        <v>93</v>
      </c>
      <c r="J40" s="2" t="s">
        <v>94</v>
      </c>
      <c r="K40" s="2" t="s">
        <v>95</v>
      </c>
      <c r="L40" s="2" t="s">
        <v>96</v>
      </c>
    </row>
    <row r="41" customFormat="false" ht="15" hidden="false" customHeight="false" outlineLevel="0" collapsed="false">
      <c r="A41" s="0" t="s">
        <v>97</v>
      </c>
      <c r="C41" s="3" t="n">
        <v>20</v>
      </c>
      <c r="D41" s="3" t="n">
        <v>18</v>
      </c>
      <c r="E41" s="3" t="n">
        <v>16</v>
      </c>
      <c r="F41" s="3" t="n">
        <v>14</v>
      </c>
      <c r="G41" s="3" t="n">
        <v>12</v>
      </c>
      <c r="H41" s="3" t="n">
        <v>10</v>
      </c>
      <c r="I41" s="3" t="n">
        <v>8</v>
      </c>
      <c r="J41" s="3" t="n">
        <v>7</v>
      </c>
      <c r="K41" s="3" t="n">
        <v>6</v>
      </c>
      <c r="L41" s="3" t="n">
        <v>5</v>
      </c>
    </row>
    <row r="42" customFormat="false" ht="15" hidden="false" customHeight="false" outlineLevel="0" collapsed="false">
      <c r="A42" s="0" t="s">
        <v>98</v>
      </c>
      <c r="C42" s="3" t="n">
        <v>3</v>
      </c>
      <c r="D42" s="3" t="n">
        <v>3.5</v>
      </c>
      <c r="E42" s="3" t="n">
        <v>4</v>
      </c>
      <c r="F42" s="3" t="n">
        <v>4.4</v>
      </c>
      <c r="G42" s="3" t="n">
        <v>4.8</v>
      </c>
      <c r="H42" s="3" t="n">
        <v>5.1</v>
      </c>
      <c r="I42" s="3" t="n">
        <v>5.3</v>
      </c>
      <c r="J42" s="3" t="n">
        <v>5.5</v>
      </c>
      <c r="K42" s="3" t="n">
        <v>5.5</v>
      </c>
      <c r="L42" s="3" t="n">
        <v>5.5</v>
      </c>
    </row>
    <row r="43" customFormat="false" ht="15" hidden="false" customHeight="false" outlineLevel="0" collapsed="false">
      <c r="A43" s="0" t="s">
        <v>99</v>
      </c>
      <c r="C43" s="3" t="n">
        <v>0.85</v>
      </c>
      <c r="D43" s="3" t="n">
        <v>0.8</v>
      </c>
      <c r="E43" s="3" t="n">
        <v>0.75</v>
      </c>
      <c r="F43" s="3" t="n">
        <v>0.7</v>
      </c>
      <c r="G43" s="3" t="n">
        <v>0.65</v>
      </c>
      <c r="H43" s="3" t="n">
        <v>0.6</v>
      </c>
      <c r="I43" s="3" t="n">
        <v>0.55</v>
      </c>
      <c r="J43" s="3" t="n">
        <v>0.5</v>
      </c>
      <c r="K43" s="3" t="n">
        <v>0.5</v>
      </c>
      <c r="L43" s="3" t="n">
        <v>0.5</v>
      </c>
    </row>
    <row r="44" customFormat="false" ht="15" hidden="false" customHeight="false" outlineLevel="0" collapsed="false">
      <c r="A44" s="0" t="s">
        <v>100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101</v>
      </c>
      <c r="C45" s="3" t="n">
        <v>0.3</v>
      </c>
      <c r="D45" s="3" t="n">
        <v>0.3</v>
      </c>
      <c r="E45" s="3" t="n">
        <v>0.3</v>
      </c>
      <c r="F45" s="3" t="n">
        <v>0.3</v>
      </c>
      <c r="G45" s="3" t="n">
        <v>0.3</v>
      </c>
      <c r="H45" s="3" t="n">
        <v>0.3</v>
      </c>
      <c r="I45" s="3" t="n">
        <v>0.3</v>
      </c>
      <c r="J45" s="3" t="n">
        <v>0.3</v>
      </c>
      <c r="K45" s="3" t="n">
        <v>0.3</v>
      </c>
      <c r="L45" s="3" t="n">
        <v>0.3</v>
      </c>
    </row>
    <row r="46" customFormat="false" ht="15" hidden="false" customHeight="false" outlineLevel="0" collapsed="false">
      <c r="A46" s="0" t="s">
        <v>102</v>
      </c>
      <c r="C46" s="3" t="n">
        <v>0.35</v>
      </c>
      <c r="D46" s="3" t="n">
        <v>0.4</v>
      </c>
      <c r="E46" s="3" t="n">
        <v>0.4</v>
      </c>
      <c r="F46" s="3" t="n">
        <v>0.4</v>
      </c>
      <c r="G46" s="3" t="n">
        <v>0.4</v>
      </c>
      <c r="H46" s="3" t="n">
        <v>0.35</v>
      </c>
      <c r="I46" s="3" t="n">
        <v>0.35</v>
      </c>
      <c r="J46" s="3" t="n">
        <v>0.35</v>
      </c>
      <c r="K46" s="3" t="n">
        <v>0.35</v>
      </c>
      <c r="L46" s="3" t="n">
        <v>0.35</v>
      </c>
    </row>
    <row r="47" customFormat="false" ht="15" hidden="false" customHeight="false" outlineLevel="0" collapsed="false">
      <c r="A47" s="0" t="s">
        <v>103</v>
      </c>
      <c r="C47" s="3" t="n">
        <v>28</v>
      </c>
      <c r="D47" s="3" t="n">
        <v>8</v>
      </c>
      <c r="E47" s="3" t="n">
        <v>12</v>
      </c>
      <c r="F47" s="3" t="n">
        <v>18</v>
      </c>
      <c r="G47" s="3" t="n">
        <v>25</v>
      </c>
      <c r="H47" s="3" t="n">
        <v>25</v>
      </c>
      <c r="I47" s="3" t="n">
        <v>25</v>
      </c>
      <c r="J47" s="3" t="n">
        <v>25</v>
      </c>
      <c r="K47" s="3" t="n">
        <v>25</v>
      </c>
      <c r="L47" s="3" t="n">
        <v>25</v>
      </c>
    </row>
    <row r="48" customFormat="false" ht="15" hidden="false" customHeight="false" outlineLevel="0" collapsed="false">
      <c r="A48" s="0" t="s">
        <v>104</v>
      </c>
      <c r="B48" s="3" t="n">
        <v>10</v>
      </c>
    </row>
    <row r="49" customFormat="false" ht="15" hidden="false" customHeight="false" outlineLevel="0" collapsed="false">
      <c r="A49" s="0" t="s">
        <v>105</v>
      </c>
      <c r="B49" s="3" t="n">
        <v>3.5</v>
      </c>
    </row>
    <row r="50" customFormat="false" ht="15" hidden="false" customHeight="false" outlineLevel="0" collapsed="false">
      <c r="A50" s="0" t="s">
        <v>106</v>
      </c>
      <c r="B50" s="3" t="n">
        <v>15</v>
      </c>
    </row>
    <row r="51" customFormat="false" ht="15" hidden="false" customHeight="false" outlineLevel="0" collapsed="false">
      <c r="A51" s="0" t="s">
        <v>107</v>
      </c>
      <c r="B51" s="3" t="n">
        <v>0.5</v>
      </c>
    </row>
    <row r="52" customFormat="false" ht="15" hidden="false" customHeight="false" outlineLevel="0" collapsed="false">
      <c r="A52" s="0" t="s">
        <v>108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111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Assumptions!C13</f>
        <v>8</v>
      </c>
      <c r="D5" s="4" t="n">
        <f aca="false">Assumptions!D13</f>
        <v>6</v>
      </c>
      <c r="E5" s="4" t="n">
        <f aca="false">Assumptions!E13</f>
        <v>5</v>
      </c>
      <c r="F5" s="4" t="n">
        <f aca="false">Assumptions!F13</f>
        <v>4</v>
      </c>
      <c r="G5" s="4" t="n">
        <f aca="false">Assumptions!G13</f>
        <v>3</v>
      </c>
      <c r="H5" s="4" t="n">
        <f aca="false">Assumptions!H13</f>
        <v>3</v>
      </c>
      <c r="I5" s="4" t="n">
        <f aca="false">Assumptions!I13</f>
        <v>3</v>
      </c>
      <c r="J5" s="4" t="n">
        <f aca="false">Assumptions!J13</f>
        <v>3</v>
      </c>
      <c r="K5" s="4" t="n">
        <f aca="false">Assumptions!K13</f>
        <v>2.5</v>
      </c>
      <c r="L5" s="4" t="n">
        <f aca="false">Assumptions!L13</f>
        <v>2.5</v>
      </c>
    </row>
    <row r="6" customFormat="false" ht="15" hidden="false" customHeight="false" outlineLevel="0" collapsed="false">
      <c r="A6" s="0" t="s">
        <v>38</v>
      </c>
      <c r="B6" s="3" t="n">
        <v>22898.637</v>
      </c>
      <c r="C6" s="0" t="n">
        <f aca="false">B6*(1+C5/100)</f>
        <v>24730.52796</v>
      </c>
      <c r="D6" s="0" t="n">
        <f aca="false">C6*(1+D5/100)</f>
        <v>26214.3596376</v>
      </c>
      <c r="E6" s="0" t="n">
        <f aca="false">D6*(1+E5/100)</f>
        <v>27525.07761948</v>
      </c>
      <c r="F6" s="0" t="n">
        <f aca="false">E6*(1+F5/100)</f>
        <v>28626.0807242592</v>
      </c>
      <c r="G6" s="0" t="n">
        <f aca="false">F6*(1+G5/100)</f>
        <v>29484.863145987</v>
      </c>
      <c r="H6" s="0" t="n">
        <f aca="false">G6*(1+H5/100)</f>
        <v>30369.4090403666</v>
      </c>
      <c r="I6" s="0" t="n">
        <f aca="false">H6*(1+I5/100)</f>
        <v>31280.4913115776</v>
      </c>
      <c r="J6" s="0" t="n">
        <f aca="false">I6*(1+J5/100)</f>
        <v>32218.9060509249</v>
      </c>
      <c r="K6" s="0" t="n">
        <f aca="false">J6*(1+K5/100)</f>
        <v>33024.378702198</v>
      </c>
      <c r="L6" s="0" t="n">
        <f aca="false">K6*(1+L5/100)</f>
        <v>33849.988169753</v>
      </c>
    </row>
    <row r="7" customFormat="false" ht="15" hidden="false" customHeight="false" outlineLevel="0" collapsed="false">
      <c r="A7" s="0" t="s">
        <v>98</v>
      </c>
      <c r="C7" s="4" t="n">
        <f aca="false">Assumptions!C14</f>
        <v>2.6</v>
      </c>
      <c r="D7" s="4" t="n">
        <f aca="false">Assumptions!D14</f>
        <v>2.5</v>
      </c>
      <c r="E7" s="4" t="n">
        <f aca="false">Assumptions!E14</f>
        <v>2.5</v>
      </c>
      <c r="F7" s="4" t="n">
        <f aca="false">Assumptions!F14</f>
        <v>2.6</v>
      </c>
      <c r="G7" s="4" t="n">
        <f aca="false">Assumptions!G14</f>
        <v>2.7</v>
      </c>
      <c r="H7" s="4" t="n">
        <f aca="false">Assumptions!H14</f>
        <v>2.8</v>
      </c>
      <c r="I7" s="4" t="n">
        <f aca="false">Assumptions!I14</f>
        <v>2.8</v>
      </c>
      <c r="J7" s="4" t="n">
        <f aca="false">Assumptions!J14</f>
        <v>2.8</v>
      </c>
      <c r="K7" s="4" t="n">
        <f aca="false">Assumptions!K14</f>
        <v>2.8</v>
      </c>
      <c r="L7" s="4" t="n">
        <f aca="false">Assumptions!L14</f>
        <v>2.8</v>
      </c>
    </row>
    <row r="8" customFormat="false" ht="15" hidden="false" customHeight="false" outlineLevel="0" collapsed="false">
      <c r="A8" s="0" t="s">
        <v>44</v>
      </c>
      <c r="C8" s="0" t="n">
        <f aca="false">C6*C7/100</f>
        <v>642.99372696</v>
      </c>
      <c r="D8" s="0" t="n">
        <f aca="false">D6*D7/100</f>
        <v>655.35899094</v>
      </c>
      <c r="E8" s="0" t="n">
        <f aca="false">E6*E7/100</f>
        <v>688.126940487</v>
      </c>
      <c r="F8" s="0" t="n">
        <f aca="false">F6*F7/100</f>
        <v>744.278098830739</v>
      </c>
      <c r="G8" s="0" t="n">
        <f aca="false">G6*G7/100</f>
        <v>796.091304941649</v>
      </c>
      <c r="H8" s="0" t="n">
        <f aca="false">H6*H7/100</f>
        <v>850.343453130265</v>
      </c>
      <c r="I8" s="0" t="n">
        <f aca="false">I6*I7/100</f>
        <v>875.853756724172</v>
      </c>
      <c r="J8" s="0" t="n">
        <f aca="false">J6*J7/100</f>
        <v>902.129369425898</v>
      </c>
      <c r="K8" s="0" t="n">
        <f aca="false">K6*K7/100</f>
        <v>924.682603661545</v>
      </c>
      <c r="L8" s="0" t="n">
        <f aca="false">L6*L7/100</f>
        <v>947.799668753084</v>
      </c>
    </row>
    <row r="9" customFormat="false" ht="15" hidden="false" customHeight="false" outlineLevel="0" collapsed="false">
      <c r="A9" s="0" t="s">
        <v>99</v>
      </c>
      <c r="C9" s="4" t="n">
        <f aca="false">Assumptions!C15</f>
        <v>0.9</v>
      </c>
      <c r="D9" s="4" t="n">
        <f aca="false">Assumptions!D15</f>
        <v>0.9</v>
      </c>
      <c r="E9" s="4" t="n">
        <f aca="false">Assumptions!E15</f>
        <v>0.85</v>
      </c>
      <c r="F9" s="4" t="n">
        <f aca="false">Assumptions!F15</f>
        <v>0.8</v>
      </c>
      <c r="G9" s="4" t="n">
        <f aca="false">Assumptions!G15</f>
        <v>0.75</v>
      </c>
      <c r="H9" s="4" t="n">
        <f aca="false">Assumptions!H15</f>
        <v>0.7</v>
      </c>
      <c r="I9" s="4" t="n">
        <f aca="false">Assumptions!I15</f>
        <v>0.65</v>
      </c>
      <c r="J9" s="4" t="n">
        <f aca="false">Assumptions!J15</f>
        <v>0.6</v>
      </c>
      <c r="K9" s="4" t="n">
        <f aca="false">Assumptions!K15</f>
        <v>0.6</v>
      </c>
      <c r="L9" s="4" t="n">
        <f aca="false">Assumptions!L15</f>
        <v>0.6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-222.57475164</v>
      </c>
      <c r="D10" s="0" t="n">
        <f aca="false">-D6*D9/100</f>
        <v>-235.9292367384</v>
      </c>
      <c r="E10" s="0" t="n">
        <f aca="false">-E6*E9/100</f>
        <v>-233.96315976558</v>
      </c>
      <c r="F10" s="0" t="n">
        <f aca="false">-F6*F9/100</f>
        <v>-229.008645794074</v>
      </c>
      <c r="G10" s="0" t="n">
        <f aca="false">-G6*G9/100</f>
        <v>-221.136473594902</v>
      </c>
      <c r="H10" s="0" t="n">
        <f aca="false">-H6*H9/100</f>
        <v>-212.585863282566</v>
      </c>
      <c r="I10" s="0" t="n">
        <f aca="false">-I6*I9/100</f>
        <v>-203.323193525254</v>
      </c>
      <c r="J10" s="0" t="n">
        <f aca="false">-J6*J9/100</f>
        <v>-193.31343630555</v>
      </c>
      <c r="K10" s="0" t="n">
        <f aca="false">-K6*K9/100</f>
        <v>-198.146272213188</v>
      </c>
      <c r="L10" s="0" t="n">
        <f aca="false">-L6*L9/100</f>
        <v>-203.099929018518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420.41897532</v>
      </c>
      <c r="D11" s="0" t="n">
        <f aca="false">D8+D10+D24</f>
        <v>419.4297542016</v>
      </c>
      <c r="E11" s="0" t="n">
        <f aca="false">E8+E10+E24</f>
        <v>454.16378072142</v>
      </c>
      <c r="F11" s="0" t="n">
        <f aca="false">F8+F10+F24</f>
        <v>515.269453036666</v>
      </c>
      <c r="G11" s="0" t="n">
        <f aca="false">G8+G10+G24</f>
        <v>574.954831346746</v>
      </c>
      <c r="H11" s="0" t="n">
        <f aca="false">H8+H10+H24</f>
        <v>637.757589847698</v>
      </c>
      <c r="I11" s="0" t="n">
        <f aca="false">I8+I10+I24</f>
        <v>672.530563198918</v>
      </c>
      <c r="J11" s="0" t="n">
        <f aca="false">J8+J10+J24</f>
        <v>708.815933120348</v>
      </c>
      <c r="K11" s="0" t="n">
        <f aca="false">K8+K10+K24</f>
        <v>726.536331448357</v>
      </c>
      <c r="L11" s="0" t="n">
        <f aca="false">L8+L10+L24</f>
        <v>744.699739734566</v>
      </c>
    </row>
    <row r="12" customFormat="false" ht="15" hidden="false" customHeight="false" outlineLevel="0" collapsed="false">
      <c r="A12" s="0" t="s">
        <v>116</v>
      </c>
      <c r="C12" s="4" t="n">
        <f aca="false">-C6*Assumptions!C17/100</f>
        <v>-74.19158388</v>
      </c>
      <c r="D12" s="4" t="n">
        <f aca="false">-D6*Assumptions!D17/100</f>
        <v>-78.6430789128</v>
      </c>
      <c r="E12" s="4" t="n">
        <f aca="false">-E6*Assumptions!E17/100</f>
        <v>-82.57523285844</v>
      </c>
      <c r="F12" s="4" t="n">
        <f aca="false">-F6*Assumptions!F17/100</f>
        <v>-85.8782421727776</v>
      </c>
      <c r="G12" s="4" t="n">
        <f aca="false">-G6*Assumptions!G17/100</f>
        <v>-88.4545894379609</v>
      </c>
      <c r="H12" s="4" t="n">
        <f aca="false">-H6*Assumptions!H17/100</f>
        <v>-91.1082271210998</v>
      </c>
      <c r="I12" s="4" t="n">
        <f aca="false">-I6*Assumptions!I17/100</f>
        <v>-93.8414739347328</v>
      </c>
      <c r="J12" s="4" t="n">
        <f aca="false">-J6*Assumptions!J17/100</f>
        <v>-96.6567181527748</v>
      </c>
      <c r="K12" s="4" t="n">
        <f aca="false">-K6*Assumptions!K17/100</f>
        <v>-99.0731361065941</v>
      </c>
      <c r="L12" s="4" t="n">
        <f aca="false">-L6*Assumptions!L17/100</f>
        <v>-101.549964509259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346.22739144</v>
      </c>
      <c r="D13" s="0" t="n">
        <f aca="false">D11+D12</f>
        <v>340.7866752888</v>
      </c>
      <c r="E13" s="0" t="n">
        <f aca="false">E11+E12</f>
        <v>371.58854786298</v>
      </c>
      <c r="F13" s="0" t="n">
        <f aca="false">F11+F12</f>
        <v>429.391210863888</v>
      </c>
      <c r="G13" s="0" t="n">
        <f aca="false">G11+G12</f>
        <v>486.500241908785</v>
      </c>
      <c r="H13" s="0" t="n">
        <f aca="false">H11+H12</f>
        <v>546.649362726599</v>
      </c>
      <c r="I13" s="0" t="n">
        <f aca="false">I11+I12</f>
        <v>578.689089264185</v>
      </c>
      <c r="J13" s="0" t="n">
        <f aca="false">J11+J12</f>
        <v>612.159214967573</v>
      </c>
      <c r="K13" s="0" t="n">
        <f aca="false">K11+K12</f>
        <v>627.463195341763</v>
      </c>
      <c r="L13" s="0" t="n">
        <f aca="false">L11+L12</f>
        <v>643.149775225307</v>
      </c>
    </row>
    <row r="14" customFormat="false" ht="15" hidden="false" customHeight="false" outlineLevel="0" collapsed="false">
      <c r="A14" s="0" t="s">
        <v>103</v>
      </c>
      <c r="C14" s="4" t="n">
        <f aca="false">Assumptions!C19</f>
        <v>32</v>
      </c>
      <c r="D14" s="4" t="n">
        <f aca="false">Assumptions!D19</f>
        <v>12</v>
      </c>
      <c r="E14" s="4" t="n">
        <f aca="false">Assumptions!E19</f>
        <v>18</v>
      </c>
      <c r="F14" s="4" t="n">
        <f aca="false">Assumptions!F19</f>
        <v>22</v>
      </c>
      <c r="G14" s="4" t="n">
        <f aca="false">Assumptions!G19</f>
        <v>25</v>
      </c>
      <c r="H14" s="4" t="n">
        <f aca="false">Assumptions!H19</f>
        <v>25</v>
      </c>
      <c r="I14" s="4" t="n">
        <f aca="false">Assumptions!I19</f>
        <v>25</v>
      </c>
      <c r="J14" s="4" t="n">
        <f aca="false">Assumptions!J19</f>
        <v>25</v>
      </c>
      <c r="K14" s="4" t="n">
        <f aca="false">Assumptions!K19</f>
        <v>25</v>
      </c>
      <c r="L14" s="4" t="n">
        <f aca="false">Assumptions!L19</f>
        <v>25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235.4346261792</v>
      </c>
      <c r="D15" s="0" t="n">
        <f aca="false">D13-MAX(0,D13)*D14/100</f>
        <v>299.892274254144</v>
      </c>
      <c r="E15" s="0" t="n">
        <f aca="false">E13-MAX(0,E13)*E14/100</f>
        <v>304.702609247644</v>
      </c>
      <c r="F15" s="0" t="n">
        <f aca="false">F13-MAX(0,F13)*F14/100</f>
        <v>334.925144473833</v>
      </c>
      <c r="G15" s="0" t="n">
        <f aca="false">G13-MAX(0,G13)*G14/100</f>
        <v>364.875181431589</v>
      </c>
      <c r="H15" s="0" t="n">
        <f aca="false">H13-MAX(0,H13)*H14/100</f>
        <v>409.987022044949</v>
      </c>
      <c r="I15" s="0" t="n">
        <f aca="false">I13-MAX(0,I13)*I14/100</f>
        <v>434.016816948139</v>
      </c>
      <c r="J15" s="0" t="n">
        <f aca="false">J13-MAX(0,J13)*J14/100</f>
        <v>459.11941122568</v>
      </c>
      <c r="K15" s="0" t="n">
        <f aca="false">K13-MAX(0,K13)*K14/100</f>
        <v>470.597396506322</v>
      </c>
      <c r="L15" s="0" t="n">
        <f aca="false">L13-MAX(0,L13)*L14/100</f>
        <v>482.36233141898</v>
      </c>
    </row>
    <row r="16" customFormat="false" ht="15" hidden="false" customHeight="false" outlineLevel="0" collapsed="false">
      <c r="A16" s="0" t="s">
        <v>119</v>
      </c>
      <c r="C16" s="0" t="n">
        <f aca="false">-C12</f>
        <v>74.19158388</v>
      </c>
      <c r="D16" s="0" t="n">
        <f aca="false">-D12</f>
        <v>78.6430789128</v>
      </c>
      <c r="E16" s="0" t="n">
        <f aca="false">-E12</f>
        <v>82.57523285844</v>
      </c>
      <c r="F16" s="0" t="n">
        <f aca="false">-F12</f>
        <v>85.8782421727776</v>
      </c>
      <c r="G16" s="0" t="n">
        <f aca="false">-G12</f>
        <v>88.4545894379609</v>
      </c>
      <c r="H16" s="0" t="n">
        <f aca="false">-H12</f>
        <v>91.1082271210998</v>
      </c>
      <c r="I16" s="0" t="n">
        <f aca="false">-I12</f>
        <v>93.8414739347328</v>
      </c>
      <c r="J16" s="0" t="n">
        <f aca="false">-J12</f>
        <v>96.6567181527748</v>
      </c>
      <c r="K16" s="0" t="n">
        <f aca="false">-K12</f>
        <v>99.0731361065941</v>
      </c>
      <c r="L16" s="0" t="n">
        <f aca="false">-L12</f>
        <v>101.549964509259</v>
      </c>
    </row>
    <row r="17" customFormat="false" ht="15" hidden="false" customHeight="false" outlineLevel="0" collapsed="false">
      <c r="A17" s="0" t="s">
        <v>120</v>
      </c>
      <c r="C17" s="4" t="n">
        <f aca="false">-C6*Assumptions!C18/100</f>
        <v>-86.55684786</v>
      </c>
      <c r="D17" s="4" t="n">
        <f aca="false">-D6*Assumptions!D18/100</f>
        <v>-91.7502587316</v>
      </c>
      <c r="E17" s="4" t="n">
        <f aca="false">-E6*Assumptions!E18/100</f>
        <v>-96.33777166818</v>
      </c>
      <c r="F17" s="4" t="n">
        <f aca="false">-F6*Assumptions!F18/100</f>
        <v>-100.191282534907</v>
      </c>
      <c r="G17" s="4" t="n">
        <f aca="false">-G6*Assumptions!G18/100</f>
        <v>-103.197021010954</v>
      </c>
      <c r="H17" s="4" t="n">
        <f aca="false">-H6*Assumptions!H18/100</f>
        <v>-106.292931641283</v>
      </c>
      <c r="I17" s="4" t="n">
        <f aca="false">-I6*Assumptions!I18/100</f>
        <v>-109.481719590522</v>
      </c>
      <c r="J17" s="4" t="n">
        <f aca="false">-J6*Assumptions!J18/100</f>
        <v>-112.766171178237</v>
      </c>
      <c r="K17" s="4" t="n">
        <f aca="false">-K6*Assumptions!K18/100</f>
        <v>-115.585325457693</v>
      </c>
      <c r="L17" s="4" t="n">
        <f aca="false">-L6*Assumptions!L18/100</f>
        <v>-118.474958594135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(C6-B6)*Assumptions!$B$23/100</f>
        <v>-18.3189096</v>
      </c>
      <c r="D18" s="4" t="n">
        <f aca="false">(D6-C6)*Assumptions!$B$23/100</f>
        <v>-14.838316776</v>
      </c>
      <c r="E18" s="4" t="n">
        <f aca="false">(E6-D6)*Assumptions!$B$23/100</f>
        <v>-13.1071798188</v>
      </c>
      <c r="F18" s="4" t="n">
        <f aca="false">(F6-E6)*Assumptions!$B$23/100</f>
        <v>-11.010031047792</v>
      </c>
      <c r="G18" s="4" t="n">
        <f aca="false">(G6-F6)*Assumptions!$B$23/100</f>
        <v>-8.58782421727778</v>
      </c>
      <c r="H18" s="4" t="n">
        <f aca="false">(H6-G6)*Assumptions!$B$23/100</f>
        <v>-8.84545894379611</v>
      </c>
      <c r="I18" s="4" t="n">
        <f aca="false">(I6-H6)*Assumptions!$B$23/100</f>
        <v>-9.11082271210998</v>
      </c>
      <c r="J18" s="4" t="n">
        <f aca="false">(J6-I6)*Assumptions!$B$23/100</f>
        <v>-9.38414739347329</v>
      </c>
      <c r="K18" s="4" t="n">
        <f aca="false">(K6-J6)*Assumptions!$B$23/100</f>
        <v>-8.05472651273121</v>
      </c>
      <c r="L18" s="4" t="n">
        <f aca="false">(L6-K6)*Assumptions!$B$23/100</f>
        <v>-8.25609467554947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204.7504525992</v>
      </c>
      <c r="D19" s="0" t="n">
        <f aca="false">D15+D16+D17+D18</f>
        <v>271.946777659344</v>
      </c>
      <c r="E19" s="0" t="n">
        <f aca="false">E15+E16+E17+E18</f>
        <v>277.832890619104</v>
      </c>
      <c r="F19" s="0" t="n">
        <f aca="false">F15+F16+F17+F18</f>
        <v>309.602073063911</v>
      </c>
      <c r="G19" s="0" t="n">
        <f aca="false">G15+G16+G17+G18</f>
        <v>341.544925641318</v>
      </c>
      <c r="H19" s="0" t="n">
        <f aca="false">H15+H16+H17+H18</f>
        <v>385.95685858097</v>
      </c>
      <c r="I19" s="0" t="n">
        <f aca="false">I15+I16+I17+I18</f>
        <v>409.26574858024</v>
      </c>
      <c r="J19" s="0" t="n">
        <f aca="false">J15+J16+J17+J18</f>
        <v>433.625810806744</v>
      </c>
      <c r="K19" s="0" t="n">
        <f aca="false">K15+K16+K17+K18</f>
        <v>446.030480642492</v>
      </c>
      <c r="L19" s="0" t="n">
        <f aca="false">L15+L16+L17+L18</f>
        <v>457.181242658554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186.136775090182</v>
      </c>
      <c r="D21" s="0" t="n">
        <f aca="false">D19*D20</f>
        <v>224.749403024251</v>
      </c>
      <c r="E21" s="0" t="n">
        <f aca="false">E19*E20</f>
        <v>208.739962899402</v>
      </c>
      <c r="F21" s="0" t="n">
        <f aca="false">F19*F20</f>
        <v>211.462381711571</v>
      </c>
      <c r="G21" s="0" t="n">
        <f aca="false">G19*G20</f>
        <v>212.072527113348</v>
      </c>
      <c r="H21" s="0" t="n">
        <f aca="false">H19*H20</f>
        <v>217.86258479441</v>
      </c>
      <c r="I21" s="0" t="n">
        <f aca="false">I19*I20</f>
        <v>210.018041397717</v>
      </c>
      <c r="J21" s="0" t="n">
        <f aca="false">J19*J20</f>
        <v>202.289640990776</v>
      </c>
      <c r="K21" s="0" t="n">
        <f aca="false">K19*K20</f>
        <v>189.160464562015</v>
      </c>
      <c r="L21" s="0" t="n">
        <f aca="false">L19*L20</f>
        <v>176.26316016006</v>
      </c>
    </row>
    <row r="23" customFormat="false" ht="15" hidden="false" customHeight="false" outlineLevel="0" collapsed="false">
      <c r="A23" s="0" t="s">
        <v>100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Assumptions!$B$20</f>
        <v>10</v>
      </c>
    </row>
    <row r="28" customFormat="false" ht="15" hidden="false" customHeight="false" outlineLevel="0" collapsed="false">
      <c r="A28" s="0" t="s">
        <v>105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106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2038.75494174373</v>
      </c>
    </row>
    <row r="31" customFormat="false" ht="15" hidden="false" customHeight="false" outlineLevel="0" collapsed="false">
      <c r="A31" s="0" t="s">
        <v>128</v>
      </c>
      <c r="B31" s="0" t="n">
        <f aca="false">L19</f>
        <v>457.181242658554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5829.06084389656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6857.71863987831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5829.06084389656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2247.35529204076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4286.11023378449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7002.00523378449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8.9381311920615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0.117266399007687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1343.68329330482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998.373637637973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11.9277907837224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3587.11436547481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6.66085868780997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Assumptions!C27</f>
        <v>13</v>
      </c>
      <c r="D5" s="4" t="n">
        <f aca="false">Assumptions!D27</f>
        <v>12</v>
      </c>
      <c r="E5" s="4" t="n">
        <f aca="false">Assumptions!E27</f>
        <v>11</v>
      </c>
      <c r="F5" s="4" t="n">
        <f aca="false">Assumptions!F27</f>
        <v>10</v>
      </c>
      <c r="G5" s="4" t="n">
        <f aca="false">Assumptions!G27</f>
        <v>9</v>
      </c>
      <c r="H5" s="4" t="n">
        <f aca="false">Assumptions!H27</f>
        <v>8</v>
      </c>
      <c r="I5" s="4" t="n">
        <f aca="false">Assumptions!I27</f>
        <v>7</v>
      </c>
      <c r="J5" s="4" t="n">
        <f aca="false">Assumptions!J27</f>
        <v>6</v>
      </c>
      <c r="K5" s="4" t="n">
        <f aca="false">Assumptions!K27</f>
        <v>5</v>
      </c>
      <c r="L5" s="4" t="n">
        <f aca="false">Assumptions!L27</f>
        <v>4</v>
      </c>
    </row>
    <row r="6" customFormat="false" ht="15" hidden="false" customHeight="false" outlineLevel="0" collapsed="false">
      <c r="A6" s="0" t="s">
        <v>38</v>
      </c>
      <c r="B6" s="3" t="n">
        <v>22898.637</v>
      </c>
      <c r="C6" s="0" t="n">
        <f aca="false">B6*(1+C5/100)</f>
        <v>25875.45981</v>
      </c>
      <c r="D6" s="0" t="n">
        <f aca="false">C6*(1+D5/100)</f>
        <v>28980.5149872</v>
      </c>
      <c r="E6" s="0" t="n">
        <f aca="false">D6*(1+E5/100)</f>
        <v>32168.371635792</v>
      </c>
      <c r="F6" s="0" t="n">
        <f aca="false">E6*(1+F5/100)</f>
        <v>35385.2087993712</v>
      </c>
      <c r="G6" s="0" t="n">
        <f aca="false">F6*(1+G5/100)</f>
        <v>38569.8775913146</v>
      </c>
      <c r="H6" s="0" t="n">
        <f aca="false">G6*(1+H5/100)</f>
        <v>41655.4677986198</v>
      </c>
      <c r="I6" s="0" t="n">
        <f aca="false">H6*(1+I5/100)</f>
        <v>44571.3505445232</v>
      </c>
      <c r="J6" s="0" t="n">
        <f aca="false">I6*(1+J5/100)</f>
        <v>47245.6315771946</v>
      </c>
      <c r="K6" s="0" t="n">
        <f aca="false">J6*(1+K5/100)</f>
        <v>49607.9131560543</v>
      </c>
      <c r="L6" s="0" t="n">
        <f aca="false">K6*(1+L5/100)</f>
        <v>51592.2296822965</v>
      </c>
    </row>
    <row r="7" customFormat="false" ht="15" hidden="false" customHeight="false" outlineLevel="0" collapsed="false">
      <c r="A7" s="0" t="s">
        <v>98</v>
      </c>
      <c r="C7" s="4" t="n">
        <f aca="false">Assumptions!C28</f>
        <v>2.9</v>
      </c>
      <c r="D7" s="4" t="n">
        <f aca="false">Assumptions!D28</f>
        <v>3.2</v>
      </c>
      <c r="E7" s="4" t="n">
        <f aca="false">Assumptions!E28</f>
        <v>3.5</v>
      </c>
      <c r="F7" s="4" t="n">
        <f aca="false">Assumptions!F28</f>
        <v>3.7</v>
      </c>
      <c r="G7" s="4" t="n">
        <f aca="false">Assumptions!G28</f>
        <v>3.9</v>
      </c>
      <c r="H7" s="4" t="n">
        <f aca="false">Assumptions!H28</f>
        <v>4</v>
      </c>
      <c r="I7" s="4" t="n">
        <f aca="false">Assumptions!I28</f>
        <v>4.1</v>
      </c>
      <c r="J7" s="4" t="n">
        <f aca="false">Assumptions!J28</f>
        <v>4.2</v>
      </c>
      <c r="K7" s="4" t="n">
        <f aca="false">Assumptions!K28</f>
        <v>4.2</v>
      </c>
      <c r="L7" s="4" t="n">
        <f aca="false">Assumptions!L28</f>
        <v>4.2</v>
      </c>
    </row>
    <row r="8" customFormat="false" ht="15" hidden="false" customHeight="false" outlineLevel="0" collapsed="false">
      <c r="A8" s="0" t="s">
        <v>44</v>
      </c>
      <c r="C8" s="0" t="n">
        <f aca="false">C6*C7/100</f>
        <v>750.38833449</v>
      </c>
      <c r="D8" s="0" t="n">
        <f aca="false">D6*D7/100</f>
        <v>927.3764795904</v>
      </c>
      <c r="E8" s="0" t="n">
        <f aca="false">E6*E7/100</f>
        <v>1125.89300725272</v>
      </c>
      <c r="F8" s="0" t="n">
        <f aca="false">F6*F7/100</f>
        <v>1309.25272557673</v>
      </c>
      <c r="G8" s="0" t="n">
        <f aca="false">G6*G7/100</f>
        <v>1504.22522606127</v>
      </c>
      <c r="H8" s="0" t="n">
        <f aca="false">H6*H7/100</f>
        <v>1666.21871194479</v>
      </c>
      <c r="I8" s="0" t="n">
        <f aca="false">I6*I7/100</f>
        <v>1827.42537232545</v>
      </c>
      <c r="J8" s="0" t="n">
        <f aca="false">J6*J7/100</f>
        <v>1984.31652624217</v>
      </c>
      <c r="K8" s="0" t="n">
        <f aca="false">K6*K7/100</f>
        <v>2083.53235255428</v>
      </c>
      <c r="L8" s="0" t="n">
        <f aca="false">L6*L7/100</f>
        <v>2166.87364665645</v>
      </c>
    </row>
    <row r="9" customFormat="false" ht="15" hidden="false" customHeight="false" outlineLevel="0" collapsed="false">
      <c r="A9" s="0" t="s">
        <v>99</v>
      </c>
      <c r="C9" s="4" t="n">
        <f aca="false">Assumptions!C29</f>
        <v>0.85</v>
      </c>
      <c r="D9" s="4" t="n">
        <f aca="false">Assumptions!D29</f>
        <v>0.8</v>
      </c>
      <c r="E9" s="4" t="n">
        <f aca="false">Assumptions!E29</f>
        <v>0.75</v>
      </c>
      <c r="F9" s="4" t="n">
        <f aca="false">Assumptions!F29</f>
        <v>0.7</v>
      </c>
      <c r="G9" s="4" t="n">
        <f aca="false">Assumptions!G29</f>
        <v>0.65</v>
      </c>
      <c r="H9" s="4" t="n">
        <f aca="false">Assumptions!H29</f>
        <v>0.6</v>
      </c>
      <c r="I9" s="4" t="n">
        <f aca="false">Assumptions!I29</f>
        <v>0.55</v>
      </c>
      <c r="J9" s="4" t="n">
        <f aca="false">Assumptions!J29</f>
        <v>0.5</v>
      </c>
      <c r="K9" s="4" t="n">
        <f aca="false">Assumptions!K29</f>
        <v>0.5</v>
      </c>
      <c r="L9" s="4" t="n">
        <f aca="false">Assumptions!L29</f>
        <v>0.5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-219.941408385</v>
      </c>
      <c r="D10" s="0" t="n">
        <f aca="false">-D6*D9/100</f>
        <v>-231.8441198976</v>
      </c>
      <c r="E10" s="0" t="n">
        <f aca="false">-E6*E9/100</f>
        <v>-241.26278726844</v>
      </c>
      <c r="F10" s="0" t="n">
        <f aca="false">-F6*F9/100</f>
        <v>-247.696461595598</v>
      </c>
      <c r="G10" s="0" t="n">
        <f aca="false">-G6*G9/100</f>
        <v>-250.704204343545</v>
      </c>
      <c r="H10" s="0" t="n">
        <f aca="false">-H6*H9/100</f>
        <v>-249.932806791719</v>
      </c>
      <c r="I10" s="0" t="n">
        <f aca="false">-I6*I9/100</f>
        <v>-245.142427994877</v>
      </c>
      <c r="J10" s="0" t="n">
        <f aca="false">-J6*J9/100</f>
        <v>-236.228157885973</v>
      </c>
      <c r="K10" s="0" t="n">
        <f aca="false">-K6*K9/100</f>
        <v>-248.039565780272</v>
      </c>
      <c r="L10" s="0" t="n">
        <f aca="false">-L6*L9/100</f>
        <v>-257.961148411482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530.446926105</v>
      </c>
      <c r="D11" s="0" t="n">
        <f aca="false">D8+D10+D24</f>
        <v>695.5323596928</v>
      </c>
      <c r="E11" s="0" t="n">
        <f aca="false">E8+E10+E24</f>
        <v>884.63021998428</v>
      </c>
      <c r="F11" s="0" t="n">
        <f aca="false">F8+F10+F24</f>
        <v>1061.55626398114</v>
      </c>
      <c r="G11" s="0" t="n">
        <f aca="false">G8+G10+G24</f>
        <v>1253.52102171773</v>
      </c>
      <c r="H11" s="0" t="n">
        <f aca="false">H8+H10+H24</f>
        <v>1416.28590515307</v>
      </c>
      <c r="I11" s="0" t="n">
        <f aca="false">I8+I10+I24</f>
        <v>1582.28294433057</v>
      </c>
      <c r="J11" s="0" t="n">
        <f aca="false">J8+J10+J24</f>
        <v>1748.0883683562</v>
      </c>
      <c r="K11" s="0" t="n">
        <f aca="false">K8+K10+K24</f>
        <v>1835.49278677401</v>
      </c>
      <c r="L11" s="0" t="n">
        <f aca="false">L8+L10+L24</f>
        <v>1908.91249824497</v>
      </c>
    </row>
    <row r="12" customFormat="false" ht="15" hidden="false" customHeight="false" outlineLevel="0" collapsed="false">
      <c r="A12" s="0" t="s">
        <v>116</v>
      </c>
      <c r="C12" s="4" t="n">
        <f aca="false">-C6*Assumptions!C31/100</f>
        <v>-77.62637943</v>
      </c>
      <c r="D12" s="4" t="n">
        <f aca="false">-D6*Assumptions!D31/100</f>
        <v>-86.9415449616</v>
      </c>
      <c r="E12" s="4" t="n">
        <f aca="false">-E6*Assumptions!E31/100</f>
        <v>-96.505114907376</v>
      </c>
      <c r="F12" s="4" t="n">
        <f aca="false">-F6*Assumptions!F31/100</f>
        <v>-106.155626398114</v>
      </c>
      <c r="G12" s="4" t="n">
        <f aca="false">-G6*Assumptions!G31/100</f>
        <v>-115.709632773944</v>
      </c>
      <c r="H12" s="4" t="n">
        <f aca="false">-H6*Assumptions!H31/100</f>
        <v>-124.966403395859</v>
      </c>
      <c r="I12" s="4" t="n">
        <f aca="false">-I6*Assumptions!I31/100</f>
        <v>-133.71405163357</v>
      </c>
      <c r="J12" s="4" t="n">
        <f aca="false">-J6*Assumptions!J31/100</f>
        <v>-141.736894731584</v>
      </c>
      <c r="K12" s="4" t="n">
        <f aca="false">-K6*Assumptions!K31/100</f>
        <v>-148.823739468163</v>
      </c>
      <c r="L12" s="4" t="n">
        <f aca="false">-L6*Assumptions!L31/100</f>
        <v>-154.776689046889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452.820546675</v>
      </c>
      <c r="D13" s="0" t="n">
        <f aca="false">D11+D12</f>
        <v>608.5908147312</v>
      </c>
      <c r="E13" s="0" t="n">
        <f aca="false">E11+E12</f>
        <v>788.125105076904</v>
      </c>
      <c r="F13" s="0" t="n">
        <f aca="false">F11+F12</f>
        <v>955.400637583023</v>
      </c>
      <c r="G13" s="0" t="n">
        <f aca="false">G11+G12</f>
        <v>1137.81138894378</v>
      </c>
      <c r="H13" s="0" t="n">
        <f aca="false">H11+H12</f>
        <v>1291.31950175721</v>
      </c>
      <c r="I13" s="0" t="n">
        <f aca="false">I11+I12</f>
        <v>1448.568892697</v>
      </c>
      <c r="J13" s="0" t="n">
        <f aca="false">J11+J12</f>
        <v>1606.35147362462</v>
      </c>
      <c r="K13" s="0" t="n">
        <f aca="false">K11+K12</f>
        <v>1686.66904730585</v>
      </c>
      <c r="L13" s="0" t="n">
        <f aca="false">L11+L12</f>
        <v>1754.13580919808</v>
      </c>
    </row>
    <row r="14" customFormat="false" ht="15" hidden="false" customHeight="false" outlineLevel="0" collapsed="false">
      <c r="A14" s="0" t="s">
        <v>103</v>
      </c>
      <c r="C14" s="4" t="n">
        <f aca="false">Assumptions!C33</f>
        <v>30</v>
      </c>
      <c r="D14" s="4" t="n">
        <f aca="false">Assumptions!D33</f>
        <v>10</v>
      </c>
      <c r="E14" s="4" t="n">
        <f aca="false">Assumptions!E33</f>
        <v>15</v>
      </c>
      <c r="F14" s="4" t="n">
        <f aca="false">Assumptions!F33</f>
        <v>20</v>
      </c>
      <c r="G14" s="4" t="n">
        <f aca="false">Assumptions!G33</f>
        <v>25</v>
      </c>
      <c r="H14" s="4" t="n">
        <f aca="false">Assumptions!H33</f>
        <v>25</v>
      </c>
      <c r="I14" s="4" t="n">
        <f aca="false">Assumptions!I33</f>
        <v>25</v>
      </c>
      <c r="J14" s="4" t="n">
        <f aca="false">Assumptions!J33</f>
        <v>25</v>
      </c>
      <c r="K14" s="4" t="n">
        <f aca="false">Assumptions!K33</f>
        <v>25</v>
      </c>
      <c r="L14" s="4" t="n">
        <f aca="false">Assumptions!L33</f>
        <v>25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316.9743826725</v>
      </c>
      <c r="D15" s="0" t="n">
        <f aca="false">D13-MAX(0,D13)*D14/100</f>
        <v>547.73173325808</v>
      </c>
      <c r="E15" s="0" t="n">
        <f aca="false">E13-MAX(0,E13)*E14/100</f>
        <v>669.906339315369</v>
      </c>
      <c r="F15" s="0" t="n">
        <f aca="false">F13-MAX(0,F13)*F14/100</f>
        <v>764.320510066418</v>
      </c>
      <c r="G15" s="0" t="n">
        <f aca="false">G13-MAX(0,G13)*G14/100</f>
        <v>853.358541707836</v>
      </c>
      <c r="H15" s="0" t="n">
        <f aca="false">H13-MAX(0,H13)*H14/100</f>
        <v>968.48962631791</v>
      </c>
      <c r="I15" s="0" t="n">
        <f aca="false">I13-MAX(0,I13)*I14/100</f>
        <v>1086.42666952275</v>
      </c>
      <c r="J15" s="0" t="n">
        <f aca="false">J13-MAX(0,J13)*J14/100</f>
        <v>1204.76360521846</v>
      </c>
      <c r="K15" s="0" t="n">
        <f aca="false">K13-MAX(0,K13)*K14/100</f>
        <v>1265.00178547938</v>
      </c>
      <c r="L15" s="0" t="n">
        <f aca="false">L13-MAX(0,L13)*L14/100</f>
        <v>1315.60185689856</v>
      </c>
    </row>
    <row r="16" customFormat="false" ht="15" hidden="false" customHeight="false" outlineLevel="0" collapsed="false">
      <c r="A16" s="0" t="s">
        <v>119</v>
      </c>
      <c r="C16" s="0" t="n">
        <f aca="false">-C12</f>
        <v>77.62637943</v>
      </c>
      <c r="D16" s="0" t="n">
        <f aca="false">-D12</f>
        <v>86.9415449616</v>
      </c>
      <c r="E16" s="0" t="n">
        <f aca="false">-E12</f>
        <v>96.505114907376</v>
      </c>
      <c r="F16" s="0" t="n">
        <f aca="false">-F12</f>
        <v>106.155626398114</v>
      </c>
      <c r="G16" s="0" t="n">
        <f aca="false">-G12</f>
        <v>115.709632773944</v>
      </c>
      <c r="H16" s="0" t="n">
        <f aca="false">-H12</f>
        <v>124.966403395859</v>
      </c>
      <c r="I16" s="0" t="n">
        <f aca="false">-I12</f>
        <v>133.71405163357</v>
      </c>
      <c r="J16" s="0" t="n">
        <f aca="false">-J12</f>
        <v>141.736894731584</v>
      </c>
      <c r="K16" s="0" t="n">
        <f aca="false">-K12</f>
        <v>148.823739468163</v>
      </c>
      <c r="L16" s="0" t="n">
        <f aca="false">-L12</f>
        <v>154.776689046889</v>
      </c>
    </row>
    <row r="17" customFormat="false" ht="15" hidden="false" customHeight="false" outlineLevel="0" collapsed="false">
      <c r="A17" s="0" t="s">
        <v>120</v>
      </c>
      <c r="C17" s="4" t="n">
        <f aca="false">-C6*Assumptions!C32/100</f>
        <v>-90.564109335</v>
      </c>
      <c r="D17" s="4" t="n">
        <f aca="false">-D6*Assumptions!D32/100</f>
        <v>-101.4318024552</v>
      </c>
      <c r="E17" s="4" t="n">
        <f aca="false">-E6*Assumptions!E32/100</f>
        <v>-112.589300725272</v>
      </c>
      <c r="F17" s="4" t="n">
        <f aca="false">-F6*Assumptions!F32/100</f>
        <v>-123.848230797799</v>
      </c>
      <c r="G17" s="4" t="n">
        <f aca="false">-G6*Assumptions!G32/100</f>
        <v>-134.994571569601</v>
      </c>
      <c r="H17" s="4" t="n">
        <f aca="false">-H6*Assumptions!H32/100</f>
        <v>-145.794137295169</v>
      </c>
      <c r="I17" s="4" t="n">
        <f aca="false">-I6*Assumptions!I32/100</f>
        <v>-155.999726905831</v>
      </c>
      <c r="J17" s="4" t="n">
        <f aca="false">-J6*Assumptions!J32/100</f>
        <v>-165.359710520181</v>
      </c>
      <c r="K17" s="4" t="n">
        <f aca="false">-K6*Assumptions!K32/100</f>
        <v>-173.62769604619</v>
      </c>
      <c r="L17" s="4" t="n">
        <f aca="false">-L6*Assumptions!L32/100</f>
        <v>-180.572803888038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304.0366527675</v>
      </c>
      <c r="D19" s="0" t="n">
        <f aca="false">D15+D16+D17+D18</f>
        <v>533.24147576448</v>
      </c>
      <c r="E19" s="0" t="n">
        <f aca="false">E15+E16+E17+E18</f>
        <v>653.822153497473</v>
      </c>
      <c r="F19" s="0" t="n">
        <f aca="false">F15+F16+F17+F18</f>
        <v>746.627905666733</v>
      </c>
      <c r="G19" s="0" t="n">
        <f aca="false">G15+G16+G17+G18</f>
        <v>834.073602912179</v>
      </c>
      <c r="H19" s="0" t="n">
        <f aca="false">H15+H16+H17+H18</f>
        <v>947.6618924186</v>
      </c>
      <c r="I19" s="0" t="n">
        <f aca="false">I15+I16+I17+I18</f>
        <v>1064.14099425049</v>
      </c>
      <c r="J19" s="0" t="n">
        <f aca="false">J15+J16+J17+J18</f>
        <v>1181.14078942986</v>
      </c>
      <c r="K19" s="0" t="n">
        <f aca="false">K15+K16+K17+K18</f>
        <v>1240.19782890136</v>
      </c>
      <c r="L19" s="0" t="n">
        <f aca="false">L15+L16+L17+L18</f>
        <v>1289.80574205741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276.396957061364</v>
      </c>
      <c r="D21" s="0" t="n">
        <f aca="false">D19*D20</f>
        <v>440.695434516099</v>
      </c>
      <c r="E21" s="0" t="n">
        <f aca="false">E19*E20</f>
        <v>491.226261079994</v>
      </c>
      <c r="F21" s="0" t="n">
        <f aca="false">F19*F20</f>
        <v>509.956905721421</v>
      </c>
      <c r="G21" s="0" t="n">
        <f aca="false">G19*G20</f>
        <v>517.894085048946</v>
      </c>
      <c r="H21" s="0" t="n">
        <f aca="false">H19*H20</f>
        <v>534.930432775727</v>
      </c>
      <c r="I21" s="0" t="n">
        <f aca="false">I19*I20</f>
        <v>546.072590141735</v>
      </c>
      <c r="J21" s="0" t="n">
        <f aca="false">J19*J20</f>
        <v>551.010895335782</v>
      </c>
      <c r="K21" s="0" t="n">
        <f aca="false">K19*K20</f>
        <v>525.964945547792</v>
      </c>
      <c r="L21" s="0" t="n">
        <f aca="false">L19*L20</f>
        <v>497.275948517912</v>
      </c>
    </row>
    <row r="23" customFormat="false" ht="15" hidden="false" customHeight="false" outlineLevel="0" collapsed="false">
      <c r="A23" s="0" t="s">
        <v>100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Assumptions!$B$34</f>
        <v>10</v>
      </c>
    </row>
    <row r="28" customFormat="false" ht="15" hidden="false" customHeight="false" outlineLevel="0" collapsed="false">
      <c r="A28" s="0" t="s">
        <v>105</v>
      </c>
      <c r="B28" s="4" t="n">
        <f aca="false">Assumptions!$B$35</f>
        <v>3</v>
      </c>
    </row>
    <row r="29" customFormat="false" ht="15" hidden="false" customHeight="false" outlineLevel="0" collapsed="false">
      <c r="A29" s="0" t="s">
        <v>106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4891.42445574677</v>
      </c>
    </row>
    <row r="31" customFormat="false" ht="15" hidden="false" customHeight="false" outlineLevel="0" collapsed="false">
      <c r="A31" s="0" t="s">
        <v>128</v>
      </c>
      <c r="B31" s="0" t="n">
        <f aca="false">L19</f>
        <v>1289.80574205741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18978.5702045591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19347.0861308612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18978.5702045591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7317.06038533499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12208.4848410818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14924.3798410818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19.0511232890993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1.38139041113741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1479.39308953752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1463.412077067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22.8076441389946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11070.8326193261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11.8188497080162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Assumptions!C41</f>
        <v>20</v>
      </c>
      <c r="D5" s="4" t="n">
        <f aca="false">Assumptions!D41</f>
        <v>18</v>
      </c>
      <c r="E5" s="4" t="n">
        <f aca="false">Assumptions!E41</f>
        <v>16</v>
      </c>
      <c r="F5" s="4" t="n">
        <f aca="false">Assumptions!F41</f>
        <v>14</v>
      </c>
      <c r="G5" s="4" t="n">
        <f aca="false">Assumptions!G41</f>
        <v>12</v>
      </c>
      <c r="H5" s="4" t="n">
        <f aca="false">Assumptions!H41</f>
        <v>10</v>
      </c>
      <c r="I5" s="4" t="n">
        <f aca="false">Assumptions!I41</f>
        <v>8</v>
      </c>
      <c r="J5" s="4" t="n">
        <f aca="false">Assumptions!J41</f>
        <v>7</v>
      </c>
      <c r="K5" s="4" t="n">
        <f aca="false">Assumptions!K41</f>
        <v>6</v>
      </c>
      <c r="L5" s="4" t="n">
        <f aca="false">Assumptions!L41</f>
        <v>5</v>
      </c>
    </row>
    <row r="6" customFormat="false" ht="15" hidden="false" customHeight="false" outlineLevel="0" collapsed="false">
      <c r="A6" s="0" t="s">
        <v>38</v>
      </c>
      <c r="B6" s="3" t="n">
        <v>22898.637</v>
      </c>
      <c r="C6" s="0" t="n">
        <f aca="false">B6*(1+C5/100)</f>
        <v>27478.3644</v>
      </c>
      <c r="D6" s="0" t="n">
        <f aca="false">C6*(1+D5/100)</f>
        <v>32424.469992</v>
      </c>
      <c r="E6" s="0" t="n">
        <f aca="false">D6*(1+E5/100)</f>
        <v>37612.38519072</v>
      </c>
      <c r="F6" s="0" t="n">
        <f aca="false">E6*(1+F5/100)</f>
        <v>42878.1191174208</v>
      </c>
      <c r="G6" s="0" t="n">
        <f aca="false">F6*(1+G5/100)</f>
        <v>48023.4934115113</v>
      </c>
      <c r="H6" s="0" t="n">
        <f aca="false">G6*(1+H5/100)</f>
        <v>52825.8427526624</v>
      </c>
      <c r="I6" s="0" t="n">
        <f aca="false">H6*(1+I5/100)</f>
        <v>57051.9101728754</v>
      </c>
      <c r="J6" s="0" t="n">
        <f aca="false">I6*(1+J5/100)</f>
        <v>61045.5438849767</v>
      </c>
      <c r="K6" s="0" t="n">
        <f aca="false">J6*(1+K5/100)</f>
        <v>64708.2765180753</v>
      </c>
      <c r="L6" s="0" t="n">
        <f aca="false">K6*(1+L5/100)</f>
        <v>67943.6903439791</v>
      </c>
    </row>
    <row r="7" customFormat="false" ht="15" hidden="false" customHeight="false" outlineLevel="0" collapsed="false">
      <c r="A7" s="0" t="s">
        <v>98</v>
      </c>
      <c r="C7" s="4" t="n">
        <f aca="false">Assumptions!C42</f>
        <v>3</v>
      </c>
      <c r="D7" s="4" t="n">
        <f aca="false">Assumptions!D42</f>
        <v>3.5</v>
      </c>
      <c r="E7" s="4" t="n">
        <f aca="false">Assumptions!E42</f>
        <v>4</v>
      </c>
      <c r="F7" s="4" t="n">
        <f aca="false">Assumptions!F42</f>
        <v>4.4</v>
      </c>
      <c r="G7" s="4" t="n">
        <f aca="false">Assumptions!G42</f>
        <v>4.8</v>
      </c>
      <c r="H7" s="4" t="n">
        <f aca="false">Assumptions!H42</f>
        <v>5.1</v>
      </c>
      <c r="I7" s="4" t="n">
        <f aca="false">Assumptions!I42</f>
        <v>5.3</v>
      </c>
      <c r="J7" s="4" t="n">
        <f aca="false">Assumptions!J42</f>
        <v>5.5</v>
      </c>
      <c r="K7" s="4" t="n">
        <f aca="false">Assumptions!K42</f>
        <v>5.5</v>
      </c>
      <c r="L7" s="4" t="n">
        <f aca="false">Assumptions!L42</f>
        <v>5.5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824.350932</v>
      </c>
      <c r="D8" s="0" t="n">
        <f aca="false">D6*D7/100</f>
        <v>1134.85644972</v>
      </c>
      <c r="E8" s="0" t="n">
        <f aca="false">E6*E7/100</f>
        <v>1504.4954076288</v>
      </c>
      <c r="F8" s="0" t="n">
        <f aca="false">F6*F7/100</f>
        <v>1886.63724116652</v>
      </c>
      <c r="G8" s="0" t="n">
        <f aca="false">G6*G7/100</f>
        <v>2305.12768375254</v>
      </c>
      <c r="H8" s="0" t="n">
        <f aca="false">H6*H7/100</f>
        <v>2694.11798038578</v>
      </c>
      <c r="I8" s="0" t="n">
        <f aca="false">I6*I7/100</f>
        <v>3023.7512391624</v>
      </c>
      <c r="J8" s="0" t="n">
        <f aca="false">J6*J7/100</f>
        <v>3357.50491367372</v>
      </c>
      <c r="K8" s="0" t="n">
        <f aca="false">K6*K7/100</f>
        <v>3558.95520849414</v>
      </c>
      <c r="L8" s="0" t="n">
        <f aca="false">L6*L7/100</f>
        <v>3736.90296891885</v>
      </c>
    </row>
    <row r="9" customFormat="false" ht="15" hidden="false" customHeight="false" outlineLevel="0" collapsed="false">
      <c r="A9" s="0" t="s">
        <v>99</v>
      </c>
      <c r="C9" s="4" t="n">
        <f aca="false">Assumptions!C43</f>
        <v>0.85</v>
      </c>
      <c r="D9" s="4" t="n">
        <f aca="false">Assumptions!D43</f>
        <v>0.8</v>
      </c>
      <c r="E9" s="4" t="n">
        <f aca="false">Assumptions!E43</f>
        <v>0.75</v>
      </c>
      <c r="F9" s="4" t="n">
        <f aca="false">Assumptions!F43</f>
        <v>0.7</v>
      </c>
      <c r="G9" s="4" t="n">
        <f aca="false">Assumptions!G43</f>
        <v>0.65</v>
      </c>
      <c r="H9" s="4" t="n">
        <f aca="false">Assumptions!H43</f>
        <v>0.6</v>
      </c>
      <c r="I9" s="4" t="n">
        <f aca="false">Assumptions!I43</f>
        <v>0.55</v>
      </c>
      <c r="J9" s="4" t="n">
        <f aca="false">Assumptions!J43</f>
        <v>0.5</v>
      </c>
      <c r="K9" s="4" t="n">
        <f aca="false">Assumptions!K43</f>
        <v>0.5</v>
      </c>
      <c r="L9" s="4" t="n">
        <f aca="false">Assumptions!L43</f>
        <v>0.5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-233.5660974</v>
      </c>
      <c r="D10" s="0" t="n">
        <f aca="false">-D6*D9/100</f>
        <v>-259.395759936</v>
      </c>
      <c r="E10" s="0" t="n">
        <f aca="false">-E6*E9/100</f>
        <v>-282.0928889304</v>
      </c>
      <c r="F10" s="0" t="n">
        <f aca="false">-F6*F9/100</f>
        <v>-300.146833821946</v>
      </c>
      <c r="G10" s="0" t="n">
        <f aca="false">-G6*G9/100</f>
        <v>-312.152707174823</v>
      </c>
      <c r="H10" s="0" t="n">
        <f aca="false">-H6*H9/100</f>
        <v>-316.955056515975</v>
      </c>
      <c r="I10" s="0" t="n">
        <f aca="false">-I6*I9/100</f>
        <v>-313.785505950815</v>
      </c>
      <c r="J10" s="0" t="n">
        <f aca="false">-J6*J9/100</f>
        <v>-305.227719424884</v>
      </c>
      <c r="K10" s="0" t="n">
        <f aca="false">-K6*K9/100</f>
        <v>-323.541382590377</v>
      </c>
      <c r="L10" s="0" t="n">
        <f aca="false">-L6*L9/100</f>
        <v>-339.718451719896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590.7848346</v>
      </c>
      <c r="D11" s="0" t="n">
        <f aca="false">D8+D10+D24</f>
        <v>875.460689784</v>
      </c>
      <c r="E11" s="0" t="n">
        <f aca="false">E8+E10+E24</f>
        <v>1222.4025186984</v>
      </c>
      <c r="F11" s="0" t="n">
        <f aca="false">F8+F10+F24</f>
        <v>1586.49040734457</v>
      </c>
      <c r="G11" s="0" t="n">
        <f aca="false">G8+G10+G24</f>
        <v>1992.97497657772</v>
      </c>
      <c r="H11" s="0" t="n">
        <f aca="false">H8+H10+H24</f>
        <v>2377.16292386981</v>
      </c>
      <c r="I11" s="0" t="n">
        <f aca="false">I8+I10+I24</f>
        <v>2709.96573321158</v>
      </c>
      <c r="J11" s="0" t="n">
        <f aca="false">J8+J10+J24</f>
        <v>3052.27719424884</v>
      </c>
      <c r="K11" s="0" t="n">
        <f aca="false">K8+K10+K24</f>
        <v>3235.41382590377</v>
      </c>
      <c r="L11" s="0" t="n">
        <f aca="false">L8+L10+L24</f>
        <v>3397.18451719895</v>
      </c>
    </row>
    <row r="12" customFormat="false" ht="15" hidden="false" customHeight="false" outlineLevel="0" collapsed="false">
      <c r="A12" s="0" t="s">
        <v>116</v>
      </c>
      <c r="C12" s="4" t="n">
        <f aca="false">-C6*Assumptions!C45/100</f>
        <v>-82.4350932</v>
      </c>
      <c r="D12" s="4" t="n">
        <f aca="false">-D6*Assumptions!D45/100</f>
        <v>-97.273409976</v>
      </c>
      <c r="E12" s="4" t="n">
        <f aca="false">-E6*Assumptions!E45/100</f>
        <v>-112.83715557216</v>
      </c>
      <c r="F12" s="4" t="n">
        <f aca="false">-F6*Assumptions!F45/100</f>
        <v>-128.634357352262</v>
      </c>
      <c r="G12" s="4" t="n">
        <f aca="false">-G6*Assumptions!G45/100</f>
        <v>-144.070480234534</v>
      </c>
      <c r="H12" s="4" t="n">
        <f aca="false">-H6*Assumptions!H45/100</f>
        <v>-158.477528257987</v>
      </c>
      <c r="I12" s="4" t="n">
        <f aca="false">-I6*Assumptions!I45/100</f>
        <v>-171.155730518626</v>
      </c>
      <c r="J12" s="4" t="n">
        <f aca="false">-J6*Assumptions!J45/100</f>
        <v>-183.13663165493</v>
      </c>
      <c r="K12" s="4" t="n">
        <f aca="false">-K6*Assumptions!K45/100</f>
        <v>-194.124829554226</v>
      </c>
      <c r="L12" s="4" t="n">
        <f aca="false">-L6*Assumptions!L45/100</f>
        <v>-203.831071031937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508.3497414</v>
      </c>
      <c r="D13" s="0" t="n">
        <f aca="false">D11+D12</f>
        <v>778.187279808</v>
      </c>
      <c r="E13" s="0" t="n">
        <f aca="false">E11+E12</f>
        <v>1109.56536312624</v>
      </c>
      <c r="F13" s="0" t="n">
        <f aca="false">F11+F12</f>
        <v>1457.85604999231</v>
      </c>
      <c r="G13" s="0" t="n">
        <f aca="false">G11+G12</f>
        <v>1848.90449634319</v>
      </c>
      <c r="H13" s="0" t="n">
        <f aca="false">H11+H12</f>
        <v>2218.68539561182</v>
      </c>
      <c r="I13" s="0" t="n">
        <f aca="false">I11+I12</f>
        <v>2538.81000269296</v>
      </c>
      <c r="J13" s="0" t="n">
        <f aca="false">J11+J12</f>
        <v>2869.14056259391</v>
      </c>
      <c r="K13" s="0" t="n">
        <f aca="false">K11+K12</f>
        <v>3041.28899634954</v>
      </c>
      <c r="L13" s="0" t="n">
        <f aca="false">L11+L12</f>
        <v>3193.35344616702</v>
      </c>
    </row>
    <row r="14" customFormat="false" ht="15" hidden="false" customHeight="false" outlineLevel="0" collapsed="false">
      <c r="A14" s="0" t="s">
        <v>103</v>
      </c>
      <c r="C14" s="4" t="n">
        <f aca="false">Assumptions!C47</f>
        <v>28</v>
      </c>
      <c r="D14" s="4" t="n">
        <f aca="false">Assumptions!D47</f>
        <v>8</v>
      </c>
      <c r="E14" s="4" t="n">
        <f aca="false">Assumptions!E47</f>
        <v>12</v>
      </c>
      <c r="F14" s="4" t="n">
        <f aca="false">Assumptions!F47</f>
        <v>18</v>
      </c>
      <c r="G14" s="4" t="n">
        <f aca="false">Assumptions!G47</f>
        <v>25</v>
      </c>
      <c r="H14" s="4" t="n">
        <f aca="false">Assumptions!H47</f>
        <v>25</v>
      </c>
      <c r="I14" s="4" t="n">
        <f aca="false">Assumptions!I47</f>
        <v>25</v>
      </c>
      <c r="J14" s="4" t="n">
        <f aca="false">Assumptions!J47</f>
        <v>25</v>
      </c>
      <c r="K14" s="4" t="n">
        <f aca="false">Assumptions!K47</f>
        <v>25</v>
      </c>
      <c r="L14" s="4" t="n">
        <f aca="false">Assumptions!L47</f>
        <v>25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366.011813808</v>
      </c>
      <c r="D15" s="0" t="n">
        <f aca="false">D13-MAX(0,D13)*D14/100</f>
        <v>715.93229742336</v>
      </c>
      <c r="E15" s="0" t="n">
        <f aca="false">E13-MAX(0,E13)*E14/100</f>
        <v>976.417519551091</v>
      </c>
      <c r="F15" s="0" t="n">
        <f aca="false">F13-MAX(0,F13)*F14/100</f>
        <v>1195.44196099369</v>
      </c>
      <c r="G15" s="0" t="n">
        <f aca="false">G13-MAX(0,G13)*G14/100</f>
        <v>1386.67837225739</v>
      </c>
      <c r="H15" s="0" t="n">
        <f aca="false">H13-MAX(0,H13)*H14/100</f>
        <v>1664.01404670887</v>
      </c>
      <c r="I15" s="0" t="n">
        <f aca="false">I13-MAX(0,I13)*I14/100</f>
        <v>1904.10750201972</v>
      </c>
      <c r="J15" s="0" t="n">
        <f aca="false">J13-MAX(0,J13)*J14/100</f>
        <v>2151.85542194543</v>
      </c>
      <c r="K15" s="0" t="n">
        <f aca="false">K13-MAX(0,K13)*K14/100</f>
        <v>2280.96674726216</v>
      </c>
      <c r="L15" s="0" t="n">
        <f aca="false">L13-MAX(0,L13)*L14/100</f>
        <v>2395.01508462526</v>
      </c>
    </row>
    <row r="16" customFormat="false" ht="15" hidden="false" customHeight="false" outlineLevel="0" collapsed="false">
      <c r="A16" s="0" t="s">
        <v>119</v>
      </c>
      <c r="C16" s="0" t="n">
        <f aca="false">-C12</f>
        <v>82.4350932</v>
      </c>
      <c r="D16" s="0" t="n">
        <f aca="false">-D12</f>
        <v>97.273409976</v>
      </c>
      <c r="E16" s="0" t="n">
        <f aca="false">-E12</f>
        <v>112.83715557216</v>
      </c>
      <c r="F16" s="0" t="n">
        <f aca="false">-F12</f>
        <v>128.634357352262</v>
      </c>
      <c r="G16" s="0" t="n">
        <f aca="false">-G12</f>
        <v>144.070480234534</v>
      </c>
      <c r="H16" s="0" t="n">
        <f aca="false">-H12</f>
        <v>158.477528257987</v>
      </c>
      <c r="I16" s="0" t="n">
        <f aca="false">-I12</f>
        <v>171.155730518626</v>
      </c>
      <c r="J16" s="0" t="n">
        <f aca="false">-J12</f>
        <v>183.13663165493</v>
      </c>
      <c r="K16" s="0" t="n">
        <f aca="false">-K12</f>
        <v>194.124829554226</v>
      </c>
      <c r="L16" s="0" t="n">
        <f aca="false">-L12</f>
        <v>203.831071031937</v>
      </c>
    </row>
    <row r="17" customFormat="false" ht="15" hidden="false" customHeight="false" outlineLevel="0" collapsed="false">
      <c r="A17" s="0" t="s">
        <v>120</v>
      </c>
      <c r="C17" s="4" t="n">
        <f aca="false">-C6*Assumptions!C46/100</f>
        <v>-96.1742754</v>
      </c>
      <c r="D17" s="4" t="n">
        <f aca="false">-D6*Assumptions!D46/100</f>
        <v>-129.697879968</v>
      </c>
      <c r="E17" s="4" t="n">
        <f aca="false">-E6*Assumptions!E46/100</f>
        <v>-150.44954076288</v>
      </c>
      <c r="F17" s="4" t="n">
        <f aca="false">-F6*Assumptions!F46/100</f>
        <v>-171.512476469683</v>
      </c>
      <c r="G17" s="4" t="n">
        <f aca="false">-G6*Assumptions!G46/100</f>
        <v>-192.093973646045</v>
      </c>
      <c r="H17" s="4" t="n">
        <f aca="false">-H6*Assumptions!H46/100</f>
        <v>-184.890449634319</v>
      </c>
      <c r="I17" s="4" t="n">
        <f aca="false">-I6*Assumptions!I46/100</f>
        <v>-199.681685605064</v>
      </c>
      <c r="J17" s="4" t="n">
        <f aca="false">-J6*Assumptions!J46/100</f>
        <v>-213.659403597419</v>
      </c>
      <c r="K17" s="4" t="n">
        <f aca="false">-K6*Assumptions!K46/100</f>
        <v>-226.478967813264</v>
      </c>
      <c r="L17" s="4" t="n">
        <f aca="false">-L6*Assumptions!L46/100</f>
        <v>-237.802916203927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(C6-B6)*Assumptions!$B$51/100</f>
        <v>22.898637</v>
      </c>
      <c r="D18" s="4" t="n">
        <f aca="false">(D6-C6)*Assumptions!$B$51/100</f>
        <v>24.73052796</v>
      </c>
      <c r="E18" s="4" t="n">
        <f aca="false">(E6-D6)*Assumptions!$B$51/100</f>
        <v>25.9395759936</v>
      </c>
      <c r="F18" s="4" t="n">
        <f aca="false">(F6-E6)*Assumptions!$B$51/100</f>
        <v>26.328669633504</v>
      </c>
      <c r="G18" s="4" t="n">
        <f aca="false">(G6-F6)*Assumptions!$B$51/100</f>
        <v>25.7268714704525</v>
      </c>
      <c r="H18" s="4" t="n">
        <f aca="false">(H6-G6)*Assumptions!$B$51/100</f>
        <v>24.0117467057557</v>
      </c>
      <c r="I18" s="4" t="n">
        <f aca="false">(I6-H6)*Assumptions!$B$51/100</f>
        <v>21.130337101065</v>
      </c>
      <c r="J18" s="4" t="n">
        <f aca="false">(J6-I6)*Assumptions!$B$51/100</f>
        <v>19.9681685605064</v>
      </c>
      <c r="K18" s="4" t="n">
        <f aca="false">(K6-J6)*Assumptions!$B$51/100</f>
        <v>18.313663165493</v>
      </c>
      <c r="L18" s="4" t="n">
        <f aca="false">(L6-K6)*Assumptions!$B$51/100</f>
        <v>16.1770691295189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375.171268608</v>
      </c>
      <c r="D19" s="0" t="n">
        <f aca="false">D15+D16+D17+D18</f>
        <v>708.23835539136</v>
      </c>
      <c r="E19" s="0" t="n">
        <f aca="false">E15+E16+E17+E18</f>
        <v>964.744710353971</v>
      </c>
      <c r="F19" s="0" t="n">
        <f aca="false">F15+F16+F17+F18</f>
        <v>1178.89251150978</v>
      </c>
      <c r="G19" s="0" t="n">
        <f aca="false">G15+G16+G17+G18</f>
        <v>1364.38175031633</v>
      </c>
      <c r="H19" s="0" t="n">
        <f aca="false">H15+H16+H17+H18</f>
        <v>1661.61287203829</v>
      </c>
      <c r="I19" s="0" t="n">
        <f aca="false">I15+I16+I17+I18</f>
        <v>1896.71188403434</v>
      </c>
      <c r="J19" s="0" t="n">
        <f aca="false">J15+J16+J17+J18</f>
        <v>2141.30081856345</v>
      </c>
      <c r="K19" s="0" t="n">
        <f aca="false">K15+K16+K17+K18</f>
        <v>2266.92627216861</v>
      </c>
      <c r="L19" s="0" t="n">
        <f aca="false">L15+L16+L17+L18</f>
        <v>2377.22030858279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341.064789643636</v>
      </c>
      <c r="D21" s="0" t="n">
        <f aca="false">D19*D20</f>
        <v>585.320954868893</v>
      </c>
      <c r="E21" s="0" t="n">
        <f aca="false">E19*E20</f>
        <v>724.826979980444</v>
      </c>
      <c r="F21" s="0" t="n">
        <f aca="false">F19*F20</f>
        <v>805.199447790298</v>
      </c>
      <c r="G21" s="0" t="n">
        <f aca="false">G19*G20</f>
        <v>847.173721564181</v>
      </c>
      <c r="H21" s="0" t="n">
        <f aca="false">H19*H20</f>
        <v>937.937148107398</v>
      </c>
      <c r="I21" s="0" t="n">
        <f aca="false">I19*I20</f>
        <v>973.313101236882</v>
      </c>
      <c r="J21" s="0" t="n">
        <f aca="false">J19*J20</f>
        <v>998.932635108991</v>
      </c>
      <c r="K21" s="0" t="n">
        <f aca="false">K19*K20</f>
        <v>961.398033052722</v>
      </c>
      <c r="L21" s="0" t="n">
        <f aca="false">L19*L20</f>
        <v>916.521337469695</v>
      </c>
    </row>
    <row r="23" customFormat="false" ht="15" hidden="false" customHeight="false" outlineLevel="0" collapsed="false">
      <c r="A23" s="0" t="s">
        <v>100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Assumptions!$B$48</f>
        <v>10</v>
      </c>
    </row>
    <row r="28" customFormat="false" ht="15" hidden="false" customHeight="false" outlineLevel="0" collapsed="false">
      <c r="A28" s="0" t="s">
        <v>105</v>
      </c>
      <c r="B28" s="4" t="n">
        <f aca="false">Assumptions!$B$49</f>
        <v>3.5</v>
      </c>
    </row>
    <row r="29" customFormat="false" ht="15" hidden="false" customHeight="false" outlineLevel="0" collapsed="false">
      <c r="A29" s="0" t="s">
        <v>106</v>
      </c>
      <c r="B29" s="4" t="n">
        <f aca="false">Assumptions!$B$50</f>
        <v>15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8091.68814882314</v>
      </c>
    </row>
    <row r="31" customFormat="false" ht="15" hidden="false" customHeight="false" outlineLevel="0" collapsed="false">
      <c r="A31" s="0" t="s">
        <v>128</v>
      </c>
      <c r="B31" s="0" t="n">
        <f aca="false">L19</f>
        <v>2377.22030858279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37852.6618366645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35658.3046287419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35658.3046287419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13747.8200620454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21839.5082108686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24555.4032108686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31.3452229818008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2.9181528727251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1787.9913667035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2085.54361974547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36.2898299522255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21394.9827772451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18.1472495535149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2" t="s">
        <v>145</v>
      </c>
      <c r="B3" s="2" t="s">
        <v>146</v>
      </c>
      <c r="C3" s="2" t="s">
        <v>136</v>
      </c>
      <c r="D3" s="2" t="s">
        <v>147</v>
      </c>
      <c r="E3" s="2" t="s">
        <v>139</v>
      </c>
      <c r="F3" s="2" t="s">
        <v>148</v>
      </c>
    </row>
    <row r="4" customFormat="false" ht="15" hidden="false" customHeight="false" outlineLevel="0" collapsed="false">
      <c r="A4" s="0" t="s">
        <v>149</v>
      </c>
      <c r="B4" s="4" t="n">
        <f aca="false">DCF_Bear!$B$38</f>
        <v>8.9381311920615</v>
      </c>
      <c r="C4" s="0" t="n">
        <f aca="false">B4/Assumptions!$B$2-1</f>
        <v>0.117266399007687</v>
      </c>
      <c r="D4" s="4" t="n">
        <f aca="false">Assumptions!$B$24</f>
        <v>0.25</v>
      </c>
      <c r="E4" s="4" t="n">
        <f aca="false">DCF_Bear!$B$43</f>
        <v>11.9277907837224</v>
      </c>
      <c r="F4" s="4" t="n">
        <f aca="false">DCF_Bear!$B$47</f>
        <v>6.66085868780997</v>
      </c>
    </row>
    <row r="5" customFormat="false" ht="15" hidden="false" customHeight="false" outlineLevel="0" collapsed="false">
      <c r="A5" s="0" t="s">
        <v>150</v>
      </c>
      <c r="B5" s="4" t="n">
        <f aca="false">DCF_Base!$B$38</f>
        <v>19.0511232890993</v>
      </c>
      <c r="C5" s="0" t="n">
        <f aca="false">B5/Assumptions!$B$2-1</f>
        <v>1.38139041113741</v>
      </c>
      <c r="D5" s="4" t="n">
        <f aca="false">Assumptions!$B$38</f>
        <v>0.5</v>
      </c>
      <c r="E5" s="4" t="n">
        <f aca="false">DCF_Base!$B$43</f>
        <v>22.8076441389946</v>
      </c>
      <c r="F5" s="4" t="n">
        <f aca="false">DCF_Base!$B$47</f>
        <v>11.8188497080162</v>
      </c>
    </row>
    <row r="6" customFormat="false" ht="15" hidden="false" customHeight="false" outlineLevel="0" collapsed="false">
      <c r="A6" s="0" t="s">
        <v>151</v>
      </c>
      <c r="B6" s="4" t="n">
        <f aca="false">DCF_Bull!$B$38</f>
        <v>31.3452229818008</v>
      </c>
      <c r="C6" s="0" t="n">
        <f aca="false">B6/Assumptions!$B$2-1</f>
        <v>2.9181528727251</v>
      </c>
      <c r="D6" s="4" t="n">
        <f aca="false">Assumptions!$B$52</f>
        <v>0.25</v>
      </c>
      <c r="E6" s="4" t="n">
        <f aca="false">DCF_Bull!$B$43</f>
        <v>36.2898299522255</v>
      </c>
      <c r="F6" s="4" t="n">
        <f aca="false">DCF_Bull!$B$47</f>
        <v>18.1472495535149</v>
      </c>
    </row>
    <row r="8" customFormat="false" ht="15" hidden="false" customHeight="false" outlineLevel="0" collapsed="false">
      <c r="A8" s="0" t="s">
        <v>152</v>
      </c>
      <c r="B8" s="0" t="n">
        <f aca="false">SUMPRODUCT(B4:B6,D4:D6)</f>
        <v>19.5964001880152</v>
      </c>
    </row>
    <row r="9" customFormat="false" ht="15" hidden="false" customHeight="false" outlineLevel="0" collapsed="false">
      <c r="A9" s="0" t="s">
        <v>153</v>
      </c>
      <c r="B9" s="0" t="n">
        <f aca="false">SUMPRODUCT(E4:E6,D4:D6)</f>
        <v>23.4582272534843</v>
      </c>
    </row>
    <row r="10" customFormat="false" ht="15" hidden="false" customHeight="false" outlineLevel="0" collapsed="false">
      <c r="A10" s="0" t="s">
        <v>154</v>
      </c>
      <c r="B10" s="0" t="n">
        <f aca="false">1-Assumptions!$B$2/B8</f>
        <v>0.591761756075351</v>
      </c>
    </row>
    <row r="11" customFormat="false" ht="15" hidden="false" customHeight="false" outlineLevel="0" collapsed="false">
      <c r="A11" s="0" t="s">
        <v>155</v>
      </c>
      <c r="B11" s="0" t="n">
        <f aca="false">IF(ABS(B9-B8)&gt;0.01*ABS(B8),(Assumptions!$B$2-B8)/(B9-B8)*100,"n/a")</f>
        <v>-300.282741599325</v>
      </c>
    </row>
    <row r="12" customFormat="false" ht="15" hidden="false" customHeight="false" outlineLevel="0" collapsed="false">
      <c r="A12" s="0" t="s">
        <v>156</v>
      </c>
      <c r="B12" s="0" t="n">
        <f aca="false">SUMPRODUCT(F4:F6,D4:D6)</f>
        <v>12.1114519143393</v>
      </c>
    </row>
    <row r="14" customFormat="false" ht="15" hidden="false" customHeight="false" outlineLevel="0" collapsed="false">
      <c r="A14" s="2" t="s">
        <v>157</v>
      </c>
      <c r="C14" s="0" t="s">
        <v>158</v>
      </c>
    </row>
    <row r="15" customFormat="false" ht="15" hidden="false" customHeight="false" outlineLevel="0" collapsed="false">
      <c r="A15" s="0" t="s">
        <v>159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20.4851314547428</v>
      </c>
      <c r="C15" s="3" t="n">
        <v>9</v>
      </c>
    </row>
    <row r="16" customFormat="false" ht="15" hidden="false" customHeight="false" outlineLevel="0" collapsed="false">
      <c r="A16" s="0" t="s">
        <v>160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19.0511232890993</v>
      </c>
      <c r="C16" s="3" t="n">
        <v>10</v>
      </c>
    </row>
    <row r="17" customFormat="false" ht="15" hidden="false" customHeight="false" outlineLevel="0" collapsed="false">
      <c r="A17" s="0" t="s">
        <v>161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16.858547434737</v>
      </c>
      <c r="C17" s="3" t="n">
        <v>11</v>
      </c>
    </row>
    <row r="18" customFormat="false" ht="15" hidden="false" customHeight="false" outlineLevel="0" collapsed="false">
      <c r="A18" s="0" t="s">
        <v>162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15.1640688908706</v>
      </c>
      <c r="C18" s="3" t="n">
        <v>12</v>
      </c>
    </row>
    <row r="19" customFormat="false" ht="15" hidden="false" customHeight="false" outlineLevel="0" collapsed="false">
      <c r="A19" s="0" t="s">
        <v>163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11.8188497080162</v>
      </c>
      <c r="C19" s="3" t="n">
        <v>15</v>
      </c>
    </row>
    <row r="21" customFormat="false" ht="15" hidden="false" customHeight="false" outlineLevel="0" collapsed="false">
      <c r="A21" s="2" t="s">
        <v>164</v>
      </c>
    </row>
    <row r="22" customFormat="false" ht="15" hidden="false" customHeight="false" outlineLevel="0" collapsed="false">
      <c r="B22" s="3" t="n">
        <v>2</v>
      </c>
      <c r="C22" s="3" t="n">
        <v>2.5</v>
      </c>
      <c r="D22" s="3" t="n">
        <v>3</v>
      </c>
      <c r="E22" s="3" t="n">
        <v>3.5</v>
      </c>
      <c r="F22" s="3" t="n">
        <v>4</v>
      </c>
    </row>
    <row r="23" customFormat="false" ht="15" hidden="false" customHeight="false" outlineLevel="0" collapsed="false">
      <c r="A23" s="3" t="n">
        <v>8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21.8609694003398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21.8609694003398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21.8609694003398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21.8609694003398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21.8609694003398</v>
      </c>
    </row>
    <row r="24" customFormat="false" ht="15" hidden="false" customHeight="false" outlineLevel="0" collapsed="false">
      <c r="A24" s="3" t="n">
        <v>9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20.1870693010853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20.4851314547428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20.4851314547428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20.4851314547428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20.4851314547428</v>
      </c>
    </row>
    <row r="25" customFormat="false" ht="15" hidden="false" customHeight="false" outlineLevel="0" collapsed="false">
      <c r="A25" s="3" t="n">
        <v>10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17.8042382718997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18.3861179465928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19.0511232890993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19.2324883825101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19.2324883825101</v>
      </c>
    </row>
    <row r="26" customFormat="false" ht="15" hidden="false" customHeight="false" outlineLevel="0" collapsed="false">
      <c r="A26" s="3" t="n">
        <v>11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15.9646055332328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16.3852840751171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16.858547434737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17.3949125756396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18.0079013080996</v>
      </c>
    </row>
    <row r="27" customFormat="false" ht="15" hidden="false" customHeight="false" outlineLevel="0" collapsed="false">
      <c r="A27" s="3" t="n">
        <v>12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14.5043728368265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14.8168604413737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15.1640688908706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15.5521253932495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15.9886889584257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2026-10-23T19:02:49Z</dcterms:created>
  <dc:creator>openpyxl</dc:creator>
  <dc:description/>
  <dc:language>en-NZ</dc:language>
  <cp:lastModifiedBy/>
  <dcterms:modified xsi:type="dcterms:W3CDTF">2026-10-23T19:02:49Z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