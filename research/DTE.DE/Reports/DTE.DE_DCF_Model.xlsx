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<sst xmlns="http://schemas.openxmlformats.org/spreadsheetml/2006/main" count="372" uniqueCount="173">
  <si>
    <t xml:space="preserve">Ticker</t>
  </si>
  <si>
    <t xml:space="preserve">DTE.DE</t>
  </si>
  <si>
    <t xml:space="preserve">Company</t>
  </si>
  <si>
    <t xml:space="preserve">Deutsche Telekom AG</t>
  </si>
  <si>
    <t xml:space="preserve">Valuation date</t>
  </si>
  <si>
    <t xml:space="preserve">2026-10-25</t>
  </si>
  <si>
    <t xml:space="preserve">Current price</t>
  </si>
  <si>
    <t xml:space="preserve">Price as of</t>
  </si>
  <si>
    <t xml:space="preserve">2026-10-23T15:35:12Z regular close (Xetra)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</si>
  <si>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</si>
  <si>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</si>
  <si>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</si>
  <si>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</si>
  <si>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</si>
  <si>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EUR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</si>
  <si>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</si>
  <si>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</si>
  <si>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</si>
  <si>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</si>
  <si>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</si>
  <si>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</si>
  <si>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2026-10-24T21:08:28Z</t>
  </si>
  <si>
    <t xml:space="preserve">Drivers file</t>
  </si>
  <si>
    <t xml:space="preserve">DTE.DE_Drivers.json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</si>
  <si>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</si>
  <si>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</si>
  <si>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</si>
  <si>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Deutsche Telekom as what a DT shareholder actually owns: ~54% of T-Mobile US's free cash flow and debt, plus 100% of Germany/Europe/T-Systems, on an owner-FCF basis (TMUS SBC expensed, leases as an operating cost via EBITDA AL, spectrum mid-cycled, cash tax normalised as the Sprint loss carryforwards run out). Proportionate consolidation keeps the minority charge consistent across scenarios instead of deducting a fixed market or book NCI figure.
key_risks_to_valuation: T-Mobile US net debt (~USD 80bn ex-operating-leases) is an analyst estimate, not taken from DT's filings: +/- USD 5bn is ~EUR 0.43/share; US share of group FCF (0.73) and therefore the proportionate factor (0.666) are derived from segment EBITDA AL and capex, not a disclosed segment FCF; +/-0.02 on the factor is ~+/-EUR 1.5/share; Cash-tax normalisation timing at T-Mobile US: a slower NOL burn-off is upside, a faster one is downside; Terminal cap (15x) binds below Gordon (~20x): value is sensitive to what multiple a mature telco commands; SBC equity-award withholding taxes (EUR 300m) are estimated; TMUS SBC is rising faster than FCF; EUR/USD: two-thirds of flows are USD translated at constant rates; DT guides at USD 1.13 vs spot 1.12</t>
  </si>
  <si>
    <t xml:space="preserve">Data sources</t>
  </si>
  <si>
    <t xml:space="preserve">price: Yahoo Finance chart API (DTE.DE, Xetra) at inputs.price_as_of; 52-week range 23.53-34.36. TMUS and EURUSD=X from the same API on 2026-10-23 for cross-checks only.
financials: DTE.DE_Metrics.csv / DTE.DE.duckdb (core_metrics, kpis); FY2025 Annual Report (FCF AL calculation, segment tables, Note 47 share-based payment, lease and interest lines); H1 2026 Interim Group Report (net debt calculation at 30-Jun-2026, FCF AL, raised 2026 guidance, TMUS ownership 54.2%, share buybacks).
qualitative: DTE.DE_Analysis.json (2026-10-25): business model, competitive position, bull/bear cases, guidance.</t>
  </si>
  <si>
    <t xml:space="preserve">Scenario narrative: bear</t>
  </si>
  <si>
    <t xml:space="preserve">The US wireless market turns into a promotional price war (TMUS near its 52-week low is the market's warning), postpaid ARPA stalls, and German broadband keeps losing lines to fiber challengers while regulated wholesale access caps pricing. Revenue grows 1.5%, EBITDA AL margin erodes ~0.9pp to ~37.5%, capex stays elevated for 5G/6G, fiber and spectrum, cash tax still normalises to 25%, and the terminal is valued as an ex-growth utility (1% growth, 12x cap). Leverage near the 2.75x ceiling limits buybacks but is not a solvency risk.</t>
  </si>
  <si>
    <t xml:space="preserve">Scenario narrative: base</t>
  </si>
  <si>
    <t xml:space="preserve">Deutsche Telekom delivers roughly its 2024 Capital Markets Day path: FY2026 at guidance (adj. EBITDA AL ~EUR 47.5bn, FCF AL ~EUR 20bn), revenue ~3-3.5% a year to 2028 as T-Mobile US keeps adding postpaid accounts and fiber (UScellular, Metronet, Lumos) while Germany is flat-to-low growth under fiber competition from Vodafone/OXG, 1&amp;1-GlasfaserPlus and Deutsche Glasfaser. EBITDA AL margin creeps from ~38.8% to 40% on TMUS and German efficiency; spectrum is a recurring ~1.8% of revenue; the T-Mobile US tax shield burns off and cash tax normalises to 25% by 2031, which absorbs most of the margin gain, so owner-FCF margin is roughly flat. No credit for a DT/TMUS combination.</t>
  </si>
  <si>
    <t xml:space="preserve">Scenario narrative: bull</t>
  </si>
  <si>
    <t xml:space="preserve">T-Mobile US keeps taking profitable share from Verizon and AT&amp;T on network leadership and converged fiber+wireless bundles, the 'strong increase' guided for 2027 materialises, Europe/FMC upsells hold ARPU and German fiber take-up rises toward the 2030 coverage target, so revenue grows 4-4.5% to 2028 and EBITDA AL margin reaches ~41.5%. Capex intensity falls as the German FTTH build passes peak. Terminal growth 2.5% and a 17x cap. A DT/TMUS holding-company combination that collapses the conglomerate discount is upside not modelled in the flows.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</si>
  <si>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</si>
  <si>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</si>
  <si>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</si>
  <si>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</si>
  <si>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</si>
  <si>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</si>
  <si>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</si>
  <si>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</si>
  <si>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</si>
  <si>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</si>
  <si>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</si>
  <si>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</si>
  <si>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</si>
  <si>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</si>
  <si>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</si>
  <si>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</si>
  <si>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</si>
  <si>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</si>
  <si>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</si>
  <si>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</si>
  <si>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</si>
  <si>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</si>
  <si>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</si>
  <si>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</si>
  <si>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</si>
  <si>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</si>
  <si>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</si>
  <si>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CashTaxRate</t>
  </si>
  <si>
    <t xml:space="preserve">FixedLines</t>
  </si>
  <si>
    <t xml:space="preserve">NonControllingInterests</t>
  </si>
  <si>
    <t xml:space="preserve">PostpaidSubscribers</t>
  </si>
  <si>
    <t xml:space="preserve">Subscribers</t>
  </si>
  <si>
    <t xml:space="preserve">SubsidiaryShareBuyback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</si>
  <si>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</si>
  <si>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</si>
  <si>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</si>
  <si>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</si>
  <si>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</si>
  <si>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</si>
  <si>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</si>
  <si>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</si>
  <si>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</si>
  <si>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</si>
  <si>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</si>
  <si>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</si>
  <si>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</si>
  <si>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</si>
  <si>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</si>
  <si>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</si>
  <si>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</si>
  <si>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</si>
  <si>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</si>
  <si>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</si>
  <si>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</si>
  <si>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</si>
  <si>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</si>
  <si>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</si>
  <si>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</si>
  <si>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</si>
  <si>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</si>
  <si>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</si>
  <si>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</si>
  <si>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</si>
  <si>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</si>
  <si>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</si>
  <si>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</si>
  <si>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</si>
  <si>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</si>
  <si>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</si>
  <si>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</si>
  <si>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</si>
  <si>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</si>
  <si>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</si>
  <si>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</si>
  <si>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</si>
  <si>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</si>
  <si>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</si>
  <si>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</si>
  <si>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</si>
  <si>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</si>
  <si>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</si>
  <si>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</si>
  <si>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DTE.DE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</si>
  <si>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</si>
  <si>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</si>
  <si>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</si>
  <si>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</si>
  <si>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</si>
  <si>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</si>
  <si>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</si>
  <si>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</si>
  <si>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</si>
  <si>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</si>
  <si>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</si>
  <si>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</si>
  <si>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</si>
  <si>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</si>
  <si>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</si>
  <si>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</si>
  <si>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</si>
  <si>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</si>
  <si>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</si>
  <si>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</si>
  <si>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</si>
  <si>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</si>
  <si>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</si>
  <si>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</si>
  <si>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</si>
  <si>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</si>
  <si>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</si>
  <si>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</si>
  <si>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</si>
  <si>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</si>
  <si>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DTE.DE owner-FCF component DCF: base case (millions, EUR)</t>
  </si>
  <si>
    <t xml:space="preserve">DTE.DE owner-FCF component DCF: bull case (millions, EUR)</t>
  </si>
  <si>
    <t xml:space="preserve">DTE.DE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</si>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</sst>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25.35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</row>
    <row r="2" customFormat="false" ht="15" hidden="false" customHeight="false" outlineLevel="0" collapsed="false">
      <c r="A2" s="0" t="s">
        <v>69</v>
      </c>
      <c r="B2" s="0" t="n">
        <v>62658</v>
      </c>
      <c r="C2" s="0" t="n">
        <v>38539</v>
      </c>
      <c r="D2" s="0" t="n">
        <v>24119</v>
      </c>
      <c r="E2" s="0" t="n">
        <v>38.5</v>
      </c>
      <c r="F2" s="0" t="n">
        <v>7247</v>
      </c>
      <c r="G2" s="0" t="n">
        <v>11.6</v>
      </c>
      <c r="I2" s="0" t="n">
        <v>2924</v>
      </c>
      <c r="J2" s="0" t="n">
        <v>4.7</v>
      </c>
      <c r="K2" s="0" t="n">
        <v>0.65</v>
      </c>
      <c r="L2" s="0" t="n">
        <v>13393</v>
      </c>
      <c r="O2" s="0" t="n">
        <v>25437</v>
      </c>
      <c r="P2" s="0" t="n">
        <v>129360</v>
      </c>
      <c r="Q2" s="0" t="n">
        <v>95294</v>
      </c>
      <c r="R2" s="0" t="n">
        <v>55227</v>
      </c>
      <c r="S2" s="0" t="n">
        <v>7523</v>
      </c>
      <c r="AA2" s="0" t="s">
        <v>17</v>
      </c>
      <c r="AB2" s="0" t="s">
        <v>14</v>
      </c>
      <c r="AE2" s="0" t="n">
        <v>8629</v>
      </c>
    </row>
    <row r="3" customFormat="false" ht="15" hidden="false" customHeight="false" outlineLevel="0" collapsed="false">
      <c r="A3" s="0" t="s">
        <v>70</v>
      </c>
      <c r="B3" s="0" t="n">
        <v>69228</v>
      </c>
      <c r="C3" s="0" t="n">
        <v>41975</v>
      </c>
      <c r="D3" s="0" t="n">
        <v>27253</v>
      </c>
      <c r="E3" s="0" t="n">
        <v>39.4</v>
      </c>
      <c r="F3" s="0" t="n">
        <v>7028</v>
      </c>
      <c r="G3" s="0" t="n">
        <v>10.2</v>
      </c>
      <c r="I3" s="0" t="n">
        <v>3254</v>
      </c>
      <c r="J3" s="0" t="n">
        <v>4.7</v>
      </c>
      <c r="K3" s="0" t="n">
        <v>0.71</v>
      </c>
      <c r="L3" s="0" t="n">
        <v>14997</v>
      </c>
      <c r="M3" s="0" t="n">
        <v>14613</v>
      </c>
      <c r="N3" s="0" t="n">
        <v>384</v>
      </c>
      <c r="O3" s="0" t="n">
        <v>29400</v>
      </c>
      <c r="P3" s="0" t="n">
        <v>143920</v>
      </c>
      <c r="Q3" s="0" t="n">
        <v>105770</v>
      </c>
      <c r="R3" s="0" t="n">
        <v>62380</v>
      </c>
      <c r="S3" s="0" t="n">
        <v>6897</v>
      </c>
      <c r="AA3" s="0" t="s">
        <v>17</v>
      </c>
      <c r="AB3" s="0" t="s">
        <v>14</v>
      </c>
      <c r="AD3" s="0" t="n">
        <v>29</v>
      </c>
      <c r="AE3" s="0" t="n">
        <v>8750</v>
      </c>
      <c r="AG3" s="0" t="n">
        <v>156.4</v>
      </c>
    </row>
    <row r="4" customFormat="false" ht="15" hidden="false" customHeight="false" outlineLevel="0" collapsed="false">
      <c r="A4" s="0" t="s">
        <v>71</v>
      </c>
      <c r="B4" s="0" t="n">
        <v>73095</v>
      </c>
      <c r="F4" s="0" t="n">
        <v>9164</v>
      </c>
      <c r="G4" s="0" t="n">
        <v>12.5</v>
      </c>
      <c r="H4" s="0" t="n">
        <v>22544</v>
      </c>
      <c r="I4" s="0" t="n">
        <v>2675</v>
      </c>
      <c r="J4" s="0" t="n">
        <v>3.7</v>
      </c>
      <c r="K4" s="0" t="n">
        <v>0.58</v>
      </c>
      <c r="L4" s="0" t="n">
        <v>15533</v>
      </c>
      <c r="M4" s="0" t="n">
        <v>13640</v>
      </c>
      <c r="N4" s="0" t="n">
        <v>1893</v>
      </c>
      <c r="O4" s="0" t="n">
        <v>29305</v>
      </c>
      <c r="P4" s="0" t="n">
        <v>148485</v>
      </c>
      <c r="Q4" s="0" t="n">
        <v>109640</v>
      </c>
      <c r="R4" s="0" t="n">
        <v>64650</v>
      </c>
      <c r="S4" s="0" t="n">
        <v>7747</v>
      </c>
      <c r="T4" s="0" t="n">
        <v>4625</v>
      </c>
      <c r="AA4" s="0" t="s">
        <v>17</v>
      </c>
      <c r="AB4" s="0" t="s">
        <v>14</v>
      </c>
      <c r="AD4" s="0" t="n">
        <v>28.5</v>
      </c>
      <c r="AE4" s="0" t="n">
        <v>9540</v>
      </c>
      <c r="AG4" s="0" t="n">
        <v>165</v>
      </c>
      <c r="AH4" s="0" t="n">
        <v>114</v>
      </c>
    </row>
    <row r="5" customFormat="false" ht="15" hidden="false" customHeight="false" outlineLevel="0" collapsed="false">
      <c r="A5" s="0" t="s">
        <v>72</v>
      </c>
      <c r="B5" s="0" t="n">
        <v>74947</v>
      </c>
      <c r="F5" s="0" t="n">
        <v>9383</v>
      </c>
      <c r="G5" s="0" t="n">
        <v>12.5</v>
      </c>
      <c r="H5" s="0" t="n">
        <v>23969</v>
      </c>
      <c r="I5" s="0" t="n">
        <v>3461</v>
      </c>
      <c r="J5" s="0" t="n">
        <v>4.6</v>
      </c>
      <c r="K5" s="0" t="n">
        <v>0.74</v>
      </c>
      <c r="L5" s="0" t="n">
        <v>17196</v>
      </c>
      <c r="M5" s="0" t="n">
        <v>19494</v>
      </c>
      <c r="N5" s="0" t="n">
        <v>-2298</v>
      </c>
      <c r="O5" s="0" t="n">
        <v>30734</v>
      </c>
      <c r="P5" s="0" t="n">
        <v>141334</v>
      </c>
      <c r="Q5" s="0" t="n">
        <v>98864</v>
      </c>
      <c r="R5" s="0" t="n">
        <v>57529</v>
      </c>
      <c r="S5" s="0" t="n">
        <v>3312</v>
      </c>
      <c r="T5" s="0" t="n">
        <v>4703</v>
      </c>
      <c r="AA5" s="0" t="s">
        <v>17</v>
      </c>
      <c r="AB5" s="0" t="s">
        <v>14</v>
      </c>
      <c r="AD5" s="0" t="n">
        <v>27.9</v>
      </c>
      <c r="AE5" s="0" t="n">
        <v>11736</v>
      </c>
      <c r="AG5" s="0" t="n">
        <v>168.4</v>
      </c>
      <c r="AH5" s="0" t="n">
        <v>522</v>
      </c>
    </row>
    <row r="6" customFormat="false" ht="15" hidden="false" customHeight="false" outlineLevel="0" collapsed="false">
      <c r="A6" s="0" t="s">
        <v>73</v>
      </c>
      <c r="B6" s="0" t="n">
        <v>75656</v>
      </c>
      <c r="F6" s="0" t="n">
        <v>8001</v>
      </c>
      <c r="G6" s="0" t="n">
        <v>10.6</v>
      </c>
      <c r="H6" s="0" t="n">
        <v>21836</v>
      </c>
      <c r="I6" s="0" t="n">
        <v>2166</v>
      </c>
      <c r="J6" s="0" t="n">
        <v>2.9</v>
      </c>
      <c r="K6" s="0" t="n">
        <v>0.46</v>
      </c>
      <c r="L6" s="0" t="n">
        <v>17948</v>
      </c>
      <c r="M6" s="0" t="n">
        <v>12492</v>
      </c>
      <c r="N6" s="0" t="n">
        <v>5456</v>
      </c>
      <c r="O6" s="0" t="n">
        <v>30907</v>
      </c>
      <c r="P6" s="0" t="n">
        <v>145375</v>
      </c>
      <c r="Q6" s="0" t="n">
        <v>101938</v>
      </c>
      <c r="R6" s="0" t="n">
        <v>62275</v>
      </c>
      <c r="S6" s="0" t="n">
        <v>3679</v>
      </c>
      <c r="T6" s="0" t="n">
        <v>4742</v>
      </c>
      <c r="AA6" s="0" t="s">
        <v>17</v>
      </c>
      <c r="AB6" s="0" t="s">
        <v>14</v>
      </c>
      <c r="AC6" s="0" t="n">
        <v>13.5</v>
      </c>
      <c r="AD6" s="0" t="n">
        <v>27.9</v>
      </c>
      <c r="AE6" s="0" t="n">
        <v>12530</v>
      </c>
      <c r="AG6" s="0" t="n">
        <v>178.4</v>
      </c>
      <c r="AH6" s="0" t="n">
        <v>1557</v>
      </c>
    </row>
    <row r="7" customFormat="false" ht="15" hidden="false" customHeight="false" outlineLevel="0" collapsed="false">
      <c r="A7" s="0" t="s">
        <v>74</v>
      </c>
      <c r="B7" s="0" t="n">
        <v>80531</v>
      </c>
      <c r="F7" s="0" t="n">
        <v>9457</v>
      </c>
      <c r="G7" s="0" t="n">
        <v>11.7</v>
      </c>
      <c r="H7" s="0" t="n">
        <v>27120</v>
      </c>
      <c r="I7" s="0" t="n">
        <v>3867</v>
      </c>
      <c r="J7" s="0" t="n">
        <v>4.8</v>
      </c>
      <c r="K7" s="0" t="n">
        <v>0.82</v>
      </c>
      <c r="L7" s="0" t="n">
        <v>23074</v>
      </c>
      <c r="M7" s="0" t="n">
        <v>14357</v>
      </c>
      <c r="N7" s="0" t="n">
        <v>8717</v>
      </c>
      <c r="O7" s="0" t="n">
        <v>31707</v>
      </c>
      <c r="P7" s="0" t="n">
        <v>170672</v>
      </c>
      <c r="Q7" s="0" t="n">
        <v>124441</v>
      </c>
      <c r="R7" s="0" t="n">
        <v>86184</v>
      </c>
      <c r="S7" s="0" t="n">
        <v>5393</v>
      </c>
      <c r="T7" s="0" t="n">
        <v>4743</v>
      </c>
      <c r="AA7" s="0" t="s">
        <v>17</v>
      </c>
      <c r="AB7" s="0" t="s">
        <v>14</v>
      </c>
      <c r="AC7" s="0" t="n">
        <v>10.4</v>
      </c>
      <c r="AD7" s="0" t="n">
        <v>27.5</v>
      </c>
      <c r="AE7" s="0" t="n">
        <v>14524</v>
      </c>
      <c r="AG7" s="0" t="n">
        <v>184</v>
      </c>
      <c r="AH7" s="0" t="n">
        <v>261</v>
      </c>
    </row>
    <row r="8" customFormat="false" ht="15" hidden="false" customHeight="false" outlineLevel="0" collapsed="false">
      <c r="A8" s="0" t="s">
        <v>75</v>
      </c>
      <c r="B8" s="0" t="n">
        <v>100999</v>
      </c>
      <c r="F8" s="0" t="n">
        <v>12804</v>
      </c>
      <c r="G8" s="0" t="n">
        <v>12.7</v>
      </c>
      <c r="H8" s="0" t="n">
        <v>38633</v>
      </c>
      <c r="I8" s="0" t="n">
        <v>4158</v>
      </c>
      <c r="J8" s="0" t="n">
        <v>4.1</v>
      </c>
      <c r="K8" s="0" t="n">
        <v>0.88</v>
      </c>
      <c r="L8" s="0" t="n">
        <v>23743</v>
      </c>
      <c r="M8" s="0" t="n">
        <v>18694</v>
      </c>
      <c r="N8" s="0" t="n">
        <v>5049</v>
      </c>
      <c r="O8" s="0" t="n">
        <v>35922</v>
      </c>
      <c r="P8" s="0" t="n">
        <v>264917</v>
      </c>
      <c r="Q8" s="0" t="n">
        <v>192367</v>
      </c>
      <c r="R8" s="0" t="n">
        <v>139823</v>
      </c>
      <c r="S8" s="0" t="n">
        <v>12939</v>
      </c>
      <c r="T8" s="0" t="n">
        <v>4743</v>
      </c>
      <c r="AA8" s="0" t="s">
        <v>17</v>
      </c>
      <c r="AB8" s="0" t="s">
        <v>14</v>
      </c>
      <c r="AD8" s="0" t="n">
        <v>27.4</v>
      </c>
      <c r="AE8" s="0" t="n">
        <v>36628</v>
      </c>
      <c r="AF8" s="0" t="n">
        <v>81.35</v>
      </c>
      <c r="AH8" s="0" t="n">
        <v>565</v>
      </c>
    </row>
    <row r="9" customFormat="false" ht="15" hidden="false" customHeight="false" outlineLevel="0" collapsed="false">
      <c r="A9" s="0" t="s">
        <v>76</v>
      </c>
      <c r="B9" s="0" t="n">
        <v>108794</v>
      </c>
      <c r="F9" s="0" t="n">
        <v>13057</v>
      </c>
      <c r="G9" s="0" t="n">
        <v>12</v>
      </c>
      <c r="H9" s="0" t="n">
        <v>40539</v>
      </c>
      <c r="I9" s="0" t="n">
        <v>4176</v>
      </c>
      <c r="J9" s="0" t="n">
        <v>3.8</v>
      </c>
      <c r="K9" s="0" t="n">
        <v>0.87</v>
      </c>
      <c r="L9" s="0" t="n">
        <v>32171</v>
      </c>
      <c r="M9" s="0" t="n">
        <v>26365</v>
      </c>
      <c r="N9" s="0" t="n">
        <v>5806</v>
      </c>
      <c r="O9" s="0" t="n">
        <v>42679</v>
      </c>
      <c r="P9" s="0" t="n">
        <v>281627</v>
      </c>
      <c r="Q9" s="0" t="n">
        <v>200158</v>
      </c>
      <c r="R9" s="0" t="n">
        <v>144600</v>
      </c>
      <c r="S9" s="0" t="n">
        <v>7617</v>
      </c>
      <c r="T9" s="0" t="n">
        <v>4813</v>
      </c>
      <c r="AA9" s="0" t="s">
        <v>17</v>
      </c>
      <c r="AB9" s="0" t="s">
        <v>14</v>
      </c>
      <c r="AD9" s="0" t="n">
        <v>26.1</v>
      </c>
      <c r="AE9" s="0" t="n">
        <v>38790</v>
      </c>
      <c r="AF9" s="0" t="n">
        <v>87.663</v>
      </c>
      <c r="AG9" s="0" t="n">
        <v>248.2</v>
      </c>
      <c r="AH9" s="0" t="n">
        <v>506</v>
      </c>
    </row>
    <row r="10" customFormat="false" ht="15" hidden="false" customHeight="false" outlineLevel="0" collapsed="false">
      <c r="A10" s="0" t="s">
        <v>77</v>
      </c>
      <c r="B10" s="0" t="n">
        <v>114197</v>
      </c>
      <c r="F10" s="0" t="n">
        <v>15414</v>
      </c>
      <c r="G10" s="0" t="n">
        <v>13.5</v>
      </c>
      <c r="H10" s="0" t="n">
        <v>43049</v>
      </c>
      <c r="I10" s="0" t="n">
        <v>8001</v>
      </c>
      <c r="J10" s="0" t="n">
        <v>7</v>
      </c>
      <c r="K10" s="0" t="n">
        <v>1.61</v>
      </c>
      <c r="L10" s="0" t="n">
        <v>35819</v>
      </c>
      <c r="M10" s="0" t="n">
        <v>24114</v>
      </c>
      <c r="N10" s="0" t="n">
        <v>11705</v>
      </c>
      <c r="O10" s="0" t="n">
        <v>48558</v>
      </c>
      <c r="P10" s="0" t="n">
        <v>298590</v>
      </c>
      <c r="Q10" s="0" t="n">
        <v>211270</v>
      </c>
      <c r="R10" s="0" t="n">
        <v>151822</v>
      </c>
      <c r="S10" s="0" t="n">
        <v>5767</v>
      </c>
      <c r="T10" s="0" t="n">
        <v>4972</v>
      </c>
      <c r="AA10" s="0" t="s">
        <v>17</v>
      </c>
      <c r="AB10" s="0" t="s">
        <v>14</v>
      </c>
      <c r="AC10" s="0" t="n">
        <v>7.7</v>
      </c>
      <c r="AD10" s="0" t="n">
        <v>25.3</v>
      </c>
      <c r="AE10" s="0" t="n">
        <v>38762</v>
      </c>
      <c r="AF10" s="0" t="n">
        <v>92.232</v>
      </c>
      <c r="AG10" s="0" t="n">
        <v>245.4</v>
      </c>
      <c r="AH10" s="0" t="n">
        <v>5823</v>
      </c>
    </row>
    <row r="11" customFormat="false" ht="15" hidden="false" customHeight="false" outlineLevel="0" collapsed="false">
      <c r="A11" s="0" t="s">
        <v>78</v>
      </c>
      <c r="B11" s="0" t="n">
        <v>111970</v>
      </c>
      <c r="F11" s="0" t="n">
        <v>20798</v>
      </c>
      <c r="G11" s="0" t="n">
        <v>18.6</v>
      </c>
      <c r="H11" s="0" t="n">
        <v>44772</v>
      </c>
      <c r="I11" s="0" t="n">
        <v>17788</v>
      </c>
      <c r="J11" s="0" t="n">
        <v>15.9</v>
      </c>
      <c r="K11" s="0" t="n">
        <v>3.57</v>
      </c>
      <c r="L11" s="0" t="n">
        <v>37298</v>
      </c>
      <c r="M11" s="0" t="n">
        <v>17866</v>
      </c>
      <c r="N11" s="0" t="n">
        <v>19432</v>
      </c>
      <c r="O11" s="0" t="n">
        <v>56925</v>
      </c>
      <c r="P11" s="0" t="n">
        <v>290305</v>
      </c>
      <c r="Q11" s="0" t="n">
        <v>199068</v>
      </c>
      <c r="R11" s="0" t="n">
        <v>145316</v>
      </c>
      <c r="S11" s="0" t="n">
        <v>7274</v>
      </c>
      <c r="T11" s="0" t="n">
        <v>4976</v>
      </c>
      <c r="AA11" s="0" t="s">
        <v>17</v>
      </c>
      <c r="AB11" s="0" t="s">
        <v>14</v>
      </c>
      <c r="AC11" s="0" t="n">
        <v>11</v>
      </c>
      <c r="AD11" s="0" t="n">
        <v>25.4</v>
      </c>
      <c r="AE11" s="0" t="n">
        <v>34312</v>
      </c>
      <c r="AF11" s="0" t="n">
        <v>98.052</v>
      </c>
      <c r="AG11" s="0" t="n">
        <v>252.2</v>
      </c>
      <c r="AH11" s="0" t="n">
        <v>12730</v>
      </c>
    </row>
    <row r="12" customFormat="false" ht="15" hidden="false" customHeight="false" outlineLevel="0" collapsed="false">
      <c r="A12" s="0" t="s">
        <v>79</v>
      </c>
      <c r="B12" s="0" t="n">
        <v>115769</v>
      </c>
      <c r="F12" s="0" t="n">
        <v>26277</v>
      </c>
      <c r="G12" s="0" t="n">
        <v>22.7</v>
      </c>
      <c r="H12" s="0" t="n">
        <v>50304</v>
      </c>
      <c r="I12" s="0" t="n">
        <v>11209</v>
      </c>
      <c r="J12" s="0" t="n">
        <v>9.7</v>
      </c>
      <c r="K12" s="0" t="n">
        <v>2.27</v>
      </c>
      <c r="L12" s="0" t="n">
        <v>39874</v>
      </c>
      <c r="M12" s="0" t="n">
        <v>19171</v>
      </c>
      <c r="N12" s="0" t="n">
        <v>20703</v>
      </c>
      <c r="O12" s="0" t="n">
        <v>63296</v>
      </c>
      <c r="P12" s="0" t="n">
        <v>304934</v>
      </c>
      <c r="Q12" s="0" t="n">
        <v>206294</v>
      </c>
      <c r="R12" s="0" t="n">
        <v>152439</v>
      </c>
      <c r="S12" s="0" t="n">
        <v>8472</v>
      </c>
      <c r="T12" s="0" t="n">
        <v>4938</v>
      </c>
      <c r="AA12" s="0" t="s">
        <v>17</v>
      </c>
      <c r="AB12" s="0" t="s">
        <v>14</v>
      </c>
      <c r="AD12" s="0" t="n">
        <v>25.2</v>
      </c>
      <c r="AE12" s="0" t="n">
        <v>35344</v>
      </c>
      <c r="AG12" s="0" t="n">
        <v>261.4</v>
      </c>
      <c r="AH12" s="0" t="n">
        <v>11530</v>
      </c>
    </row>
    <row r="13" customFormat="false" ht="15" hidden="false" customHeight="false" outlineLevel="0" collapsed="false">
      <c r="A13" s="0" t="s">
        <v>80</v>
      </c>
      <c r="B13" s="0" t="n">
        <v>119081</v>
      </c>
      <c r="F13" s="0" t="n">
        <v>24822</v>
      </c>
      <c r="G13" s="0" t="n">
        <v>20.8</v>
      </c>
      <c r="H13" s="0" t="n">
        <v>48831</v>
      </c>
      <c r="I13" s="0" t="n">
        <v>9609</v>
      </c>
      <c r="J13" s="0" t="n">
        <v>8.1</v>
      </c>
      <c r="K13" s="0" t="n">
        <v>1.97</v>
      </c>
      <c r="L13" s="0" t="n">
        <v>40627</v>
      </c>
      <c r="M13" s="0" t="n">
        <v>19256</v>
      </c>
      <c r="N13" s="0" t="n">
        <v>21371</v>
      </c>
      <c r="O13" s="0" t="n">
        <v>62171</v>
      </c>
      <c r="P13" s="0" t="n">
        <v>289769</v>
      </c>
      <c r="Q13" s="0" t="n">
        <v>197538</v>
      </c>
      <c r="R13" s="0" t="n">
        <v>146723</v>
      </c>
      <c r="S13" s="0" t="n">
        <v>7818</v>
      </c>
      <c r="T13" s="0" t="n">
        <v>4871</v>
      </c>
      <c r="AA13" s="0" t="s">
        <v>17</v>
      </c>
      <c r="AB13" s="0" t="s">
        <v>14</v>
      </c>
      <c r="AD13" s="0" t="n">
        <v>24.8</v>
      </c>
      <c r="AE13" s="0" t="n">
        <v>30060</v>
      </c>
      <c r="AG13" s="0" t="n">
        <v>273.2</v>
      </c>
      <c r="AH13" s="0" t="n">
        <v>9548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81</v>
      </c>
      <c r="B1" s="2" t="s">
        <v>82</v>
      </c>
    </row>
    <row r="2" customFormat="false" ht="15" hidden="false" customHeight="false" outlineLevel="0" collapsed="false">
      <c r="A2" s="0" t="s">
        <v>83</v>
      </c>
      <c r="B2" s="3" t="n">
        <v>25.35</v>
      </c>
    </row>
    <row r="3" customFormat="false" ht="15" hidden="false" customHeight="false" outlineLevel="0" collapsed="false">
      <c r="A3" s="0" t="s">
        <v>84</v>
      </c>
      <c r="B3" s="3" t="n">
        <v>4807</v>
      </c>
    </row>
    <row r="4" customFormat="false" ht="15" hidden="false" customHeight="false" outlineLevel="0" collapsed="false">
      <c r="A4" s="0" t="s">
        <v>85</v>
      </c>
      <c r="B4" s="3" t="n">
        <v>71652</v>
      </c>
    </row>
    <row r="5" customFormat="false" ht="15" hidden="false" customHeight="false" outlineLevel="0" collapsed="false">
      <c r="A5" s="0" t="s">
        <v>86</v>
      </c>
      <c r="B5" s="3" t="n">
        <v>1778</v>
      </c>
    </row>
    <row r="6" customFormat="false" ht="15" hidden="false" customHeight="false" outlineLevel="0" collapsed="false">
      <c r="A6" s="0" t="s">
        <v>87</v>
      </c>
      <c r="B6" s="3" t="n">
        <v>15</v>
      </c>
    </row>
    <row r="7" customFormat="false" ht="15" hidden="false" customHeight="false" outlineLevel="0" collapsed="false">
      <c r="A7" s="0" t="s">
        <v>88</v>
      </c>
      <c r="B7" s="3" t="n">
        <v>79308</v>
      </c>
    </row>
    <row r="8" customFormat="false" ht="15" hidden="false" customHeight="false" outlineLevel="0" collapsed="false">
      <c r="A8" s="0" t="s">
        <v>89</v>
      </c>
      <c r="B8" s="3" t="s">
        <v>80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1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2</v>
      </c>
      <c r="D13" s="3" t="n">
        <v>1.5</v>
      </c>
      <c r="E13" s="3" t="n">
        <v>1.5</v>
      </c>
      <c r="F13" s="3" t="n">
        <v>1.5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105</v>
      </c>
      <c r="C14" s="3" t="n">
        <v>35.2</v>
      </c>
      <c r="D14" s="3" t="n">
        <v>35</v>
      </c>
      <c r="E14" s="3" t="n">
        <v>34.8</v>
      </c>
      <c r="F14" s="3" t="n">
        <v>34.6</v>
      </c>
      <c r="G14" s="3" t="n">
        <v>34.5</v>
      </c>
      <c r="H14" s="3" t="n">
        <v>34.5</v>
      </c>
      <c r="I14" s="3" t="n">
        <v>34.5</v>
      </c>
      <c r="J14" s="3" t="n">
        <v>34.5</v>
      </c>
      <c r="K14" s="3" t="n">
        <v>34.5</v>
      </c>
      <c r="L14" s="3" t="n">
        <v>34.5</v>
      </c>
    </row>
    <row r="15" customFormat="false" ht="15" hidden="false" customHeight="false" outlineLevel="0" collapsed="false">
      <c r="A15" s="0" t="s">
        <v>106</v>
      </c>
      <c r="C15" s="3" t="n">
        <v>1</v>
      </c>
      <c r="D15" s="3" t="n">
        <v>1</v>
      </c>
      <c r="E15" s="3" t="n">
        <v>1</v>
      </c>
      <c r="F15" s="3" t="n">
        <v>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</row>
    <row r="16" customFormat="false" ht="15" hidden="false" customHeight="false" outlineLevel="0" collapsed="false">
      <c r="A16" s="0" t="s">
        <v>107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108</v>
      </c>
      <c r="C17" s="3" t="n">
        <v>16</v>
      </c>
      <c r="D17" s="3" t="n">
        <v>15.9</v>
      </c>
      <c r="E17" s="3" t="n">
        <v>15.8</v>
      </c>
      <c r="F17" s="3" t="n">
        <v>15.7</v>
      </c>
      <c r="G17" s="3" t="n">
        <v>15.6</v>
      </c>
      <c r="H17" s="3" t="n">
        <v>15.5</v>
      </c>
      <c r="I17" s="3" t="n">
        <v>15.5</v>
      </c>
      <c r="J17" s="3" t="n">
        <v>15.5</v>
      </c>
      <c r="K17" s="3" t="n">
        <v>15.5</v>
      </c>
      <c r="L17" s="3" t="n">
        <v>15.5</v>
      </c>
    </row>
    <row r="18" customFormat="false" ht="15" hidden="false" customHeight="false" outlineLevel="0" collapsed="false">
      <c r="A18" s="0" t="s">
        <v>109</v>
      </c>
      <c r="C18" s="3" t="n">
        <v>15.6</v>
      </c>
      <c r="D18" s="3" t="n">
        <v>15.6</v>
      </c>
      <c r="E18" s="3" t="n">
        <v>15.6</v>
      </c>
      <c r="F18" s="3" t="n">
        <v>15.5</v>
      </c>
      <c r="G18" s="3" t="n">
        <v>15.5</v>
      </c>
      <c r="H18" s="3" t="n">
        <v>15.5</v>
      </c>
      <c r="I18" s="3" t="n">
        <v>15.4</v>
      </c>
      <c r="J18" s="3" t="n">
        <v>15.4</v>
      </c>
      <c r="K18" s="3" t="n">
        <v>15.4</v>
      </c>
      <c r="L18" s="3" t="n">
        <v>15.4</v>
      </c>
    </row>
    <row r="19" customFormat="false" ht="15" hidden="false" customHeight="false" outlineLevel="0" collapsed="false">
      <c r="A19" s="0" t="s">
        <v>110</v>
      </c>
      <c r="C19" s="3" t="n">
        <v>10</v>
      </c>
      <c r="D19" s="3" t="n">
        <v>14</v>
      </c>
      <c r="E19" s="3" t="n">
        <v>18</v>
      </c>
      <c r="F19" s="3" t="n">
        <v>21</v>
      </c>
      <c r="G19" s="3" t="n">
        <v>23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111</v>
      </c>
      <c r="B20" s="3" t="n">
        <v>7</v>
      </c>
    </row>
    <row r="21" customFormat="false" ht="15" hidden="false" customHeight="false" outlineLevel="0" collapsed="false">
      <c r="A21" s="0" t="s">
        <v>112</v>
      </c>
      <c r="B21" s="3" t="n">
        <v>1</v>
      </c>
    </row>
    <row r="22" customFormat="false" ht="15" hidden="false" customHeight="false" outlineLevel="0" collapsed="false">
      <c r="A22" s="0" t="s">
        <v>113</v>
      </c>
      <c r="B22" s="3" t="n">
        <v>12</v>
      </c>
    </row>
    <row r="23" customFormat="false" ht="15" hidden="false" customHeight="false" outlineLevel="0" collapsed="false">
      <c r="A23" s="0" t="s">
        <v>114</v>
      </c>
      <c r="B23" s="3" t="n">
        <v>0</v>
      </c>
    </row>
    <row r="24" customFormat="false" ht="15" hidden="false" customHeight="false" outlineLevel="0" collapsed="false">
      <c r="A24" s="0" t="s">
        <v>115</v>
      </c>
      <c r="B24" s="3" t="n">
        <v>0.25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2.7</v>
      </c>
      <c r="D27" s="3" t="n">
        <v>3.5</v>
      </c>
      <c r="E27" s="3" t="n">
        <v>3.5</v>
      </c>
      <c r="F27" s="3" t="n">
        <v>3</v>
      </c>
      <c r="G27" s="3" t="n">
        <v>3</v>
      </c>
      <c r="H27" s="3" t="n">
        <v>2.5</v>
      </c>
      <c r="I27" s="3" t="n">
        <v>2.5</v>
      </c>
      <c r="J27" s="3" t="n">
        <v>2.5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105</v>
      </c>
      <c r="C28" s="3" t="n">
        <v>35.5</v>
      </c>
      <c r="D28" s="3" t="n">
        <v>36.7</v>
      </c>
      <c r="E28" s="3" t="n">
        <v>37.3</v>
      </c>
      <c r="F28" s="3" t="n">
        <v>37.5</v>
      </c>
      <c r="G28" s="3" t="n">
        <v>37.7</v>
      </c>
      <c r="H28" s="3" t="n">
        <v>37.7</v>
      </c>
      <c r="I28" s="3" t="n">
        <v>37.7</v>
      </c>
      <c r="J28" s="3" t="n">
        <v>37.7</v>
      </c>
      <c r="K28" s="3" t="n">
        <v>37.7</v>
      </c>
      <c r="L28" s="3" t="n">
        <v>37.7</v>
      </c>
    </row>
    <row r="29" customFormat="false" ht="15" hidden="false" customHeight="false" outlineLevel="0" collapsed="false">
      <c r="A29" s="0" t="s">
        <v>106</v>
      </c>
      <c r="C29" s="3" t="n">
        <v>1</v>
      </c>
      <c r="D29" s="3" t="n">
        <v>1</v>
      </c>
      <c r="E29" s="3" t="n">
        <v>1</v>
      </c>
      <c r="F29" s="3" t="n">
        <v>1</v>
      </c>
      <c r="G29" s="3" t="n">
        <v>1</v>
      </c>
      <c r="H29" s="3" t="n">
        <v>1</v>
      </c>
      <c r="I29" s="3" t="n">
        <v>1</v>
      </c>
      <c r="J29" s="3" t="n">
        <v>1</v>
      </c>
      <c r="K29" s="3" t="n">
        <v>1</v>
      </c>
      <c r="L29" s="3" t="n">
        <v>1</v>
      </c>
    </row>
    <row r="30" customFormat="false" ht="15" hidden="false" customHeight="false" outlineLevel="0" collapsed="false">
      <c r="A30" s="0" t="s">
        <v>107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108</v>
      </c>
      <c r="C31" s="3" t="n">
        <v>16</v>
      </c>
      <c r="D31" s="3" t="n">
        <v>15.8</v>
      </c>
      <c r="E31" s="3" t="n">
        <v>15.6</v>
      </c>
      <c r="F31" s="3" t="n">
        <v>15.4</v>
      </c>
      <c r="G31" s="3" t="n">
        <v>15.2</v>
      </c>
      <c r="H31" s="3" t="n">
        <v>15</v>
      </c>
      <c r="I31" s="3" t="n">
        <v>15</v>
      </c>
      <c r="J31" s="3" t="n">
        <v>15</v>
      </c>
      <c r="K31" s="3" t="n">
        <v>15</v>
      </c>
      <c r="L31" s="3" t="n">
        <v>15</v>
      </c>
    </row>
    <row r="32" customFormat="false" ht="15" hidden="false" customHeight="false" outlineLevel="0" collapsed="false">
      <c r="A32" s="0" t="s">
        <v>109</v>
      </c>
      <c r="C32" s="3" t="n">
        <v>15.4</v>
      </c>
      <c r="D32" s="3" t="n">
        <v>15.3</v>
      </c>
      <c r="E32" s="3" t="n">
        <v>15.2</v>
      </c>
      <c r="F32" s="3" t="n">
        <v>15</v>
      </c>
      <c r="G32" s="3" t="n">
        <v>15</v>
      </c>
      <c r="H32" s="3" t="n">
        <v>15</v>
      </c>
      <c r="I32" s="3" t="n">
        <v>14.8</v>
      </c>
      <c r="J32" s="3" t="n">
        <v>14.8</v>
      </c>
      <c r="K32" s="3" t="n">
        <v>14.8</v>
      </c>
      <c r="L32" s="3" t="n">
        <v>14.8</v>
      </c>
    </row>
    <row r="33" customFormat="false" ht="15" hidden="false" customHeight="false" outlineLevel="0" collapsed="false">
      <c r="A33" s="0" t="s">
        <v>110</v>
      </c>
      <c r="C33" s="3" t="n">
        <v>10</v>
      </c>
      <c r="D33" s="3" t="n">
        <v>14</v>
      </c>
      <c r="E33" s="3" t="n">
        <v>18</v>
      </c>
      <c r="F33" s="3" t="n">
        <v>21</v>
      </c>
      <c r="G33" s="3" t="n">
        <v>23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111</v>
      </c>
      <c r="B34" s="3" t="n">
        <v>7</v>
      </c>
    </row>
    <row r="35" customFormat="false" ht="15" hidden="false" customHeight="false" outlineLevel="0" collapsed="false">
      <c r="A35" s="0" t="s">
        <v>112</v>
      </c>
      <c r="B35" s="3" t="n">
        <v>2</v>
      </c>
    </row>
    <row r="36" customFormat="false" ht="15" hidden="false" customHeight="false" outlineLevel="0" collapsed="false">
      <c r="A36" s="0" t="s">
        <v>113</v>
      </c>
      <c r="B36" s="3" t="n">
        <v>15</v>
      </c>
    </row>
    <row r="37" customFormat="false" ht="15" hidden="false" customHeight="false" outlineLevel="0" collapsed="false">
      <c r="A37" s="0" t="s">
        <v>114</v>
      </c>
      <c r="B37" s="3" t="n">
        <v>0</v>
      </c>
    </row>
    <row r="38" customFormat="false" ht="15" hidden="false" customHeight="false" outlineLevel="0" collapsed="false">
      <c r="A38" s="0" t="s">
        <v>115</v>
      </c>
      <c r="B38" s="3" t="n">
        <v>0.5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3.5</v>
      </c>
      <c r="D41" s="3" t="n">
        <v>4.5</v>
      </c>
      <c r="E41" s="3" t="n">
        <v>4.5</v>
      </c>
      <c r="F41" s="3" t="n">
        <v>4</v>
      </c>
      <c r="G41" s="3" t="n">
        <v>3.5</v>
      </c>
      <c r="H41" s="3" t="n">
        <v>3</v>
      </c>
      <c r="I41" s="3" t="n">
        <v>3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105</v>
      </c>
      <c r="C42" s="3" t="n">
        <v>36</v>
      </c>
      <c r="D42" s="3" t="n">
        <v>37.5</v>
      </c>
      <c r="E42" s="3" t="n">
        <v>38.3</v>
      </c>
      <c r="F42" s="3" t="n">
        <v>38.8</v>
      </c>
      <c r="G42" s="3" t="n">
        <v>39.2</v>
      </c>
      <c r="H42" s="3" t="n">
        <v>39.5</v>
      </c>
      <c r="I42" s="3" t="n">
        <v>39.5</v>
      </c>
      <c r="J42" s="3" t="n">
        <v>39.5</v>
      </c>
      <c r="K42" s="3" t="n">
        <v>39.5</v>
      </c>
      <c r="L42" s="3" t="n">
        <v>39.5</v>
      </c>
    </row>
    <row r="43" customFormat="false" ht="15" hidden="false" customHeight="false" outlineLevel="0" collapsed="false">
      <c r="A43" s="0" t="s">
        <v>106</v>
      </c>
      <c r="C43" s="3" t="n">
        <v>1</v>
      </c>
      <c r="D43" s="3" t="n">
        <v>1</v>
      </c>
      <c r="E43" s="3" t="n">
        <v>1</v>
      </c>
      <c r="F43" s="3" t="n">
        <v>1</v>
      </c>
      <c r="G43" s="3" t="n">
        <v>1</v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1</v>
      </c>
    </row>
    <row r="44" customFormat="false" ht="15" hidden="false" customHeight="false" outlineLevel="0" collapsed="false">
      <c r="A44" s="0" t="s">
        <v>107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108</v>
      </c>
      <c r="C45" s="3" t="n">
        <v>16</v>
      </c>
      <c r="D45" s="3" t="n">
        <v>15.8</v>
      </c>
      <c r="E45" s="3" t="n">
        <v>15.6</v>
      </c>
      <c r="F45" s="3" t="n">
        <v>15.4</v>
      </c>
      <c r="G45" s="3" t="n">
        <v>15.2</v>
      </c>
      <c r="H45" s="3" t="n">
        <v>15</v>
      </c>
      <c r="I45" s="3" t="n">
        <v>15</v>
      </c>
      <c r="J45" s="3" t="n">
        <v>15</v>
      </c>
      <c r="K45" s="3" t="n">
        <v>15</v>
      </c>
      <c r="L45" s="3" t="n">
        <v>15</v>
      </c>
    </row>
    <row r="46" customFormat="false" ht="15" hidden="false" customHeight="false" outlineLevel="0" collapsed="false">
      <c r="A46" s="0" t="s">
        <v>109</v>
      </c>
      <c r="C46" s="3" t="n">
        <v>15.2</v>
      </c>
      <c r="D46" s="3" t="n">
        <v>15</v>
      </c>
      <c r="E46" s="3" t="n">
        <v>14.8</v>
      </c>
      <c r="F46" s="3" t="n">
        <v>14.6</v>
      </c>
      <c r="G46" s="3" t="n">
        <v>14.5</v>
      </c>
      <c r="H46" s="3" t="n">
        <v>14.5</v>
      </c>
      <c r="I46" s="3" t="n">
        <v>14.5</v>
      </c>
      <c r="J46" s="3" t="n">
        <v>14.5</v>
      </c>
      <c r="K46" s="3" t="n">
        <v>14.5</v>
      </c>
      <c r="L46" s="3" t="n">
        <v>14.5</v>
      </c>
    </row>
    <row r="47" customFormat="false" ht="15" hidden="false" customHeight="false" outlineLevel="0" collapsed="false">
      <c r="A47" s="0" t="s">
        <v>110</v>
      </c>
      <c r="C47" s="3" t="n">
        <v>10</v>
      </c>
      <c r="D47" s="3" t="n">
        <v>14</v>
      </c>
      <c r="E47" s="3" t="n">
        <v>18</v>
      </c>
      <c r="F47" s="3" t="n">
        <v>21</v>
      </c>
      <c r="G47" s="3" t="n">
        <v>23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111</v>
      </c>
      <c r="B48" s="3" t="n">
        <v>7</v>
      </c>
    </row>
    <row r="49" customFormat="false" ht="15" hidden="false" customHeight="false" outlineLevel="0" collapsed="false">
      <c r="A49" s="0" t="s">
        <v>112</v>
      </c>
      <c r="B49" s="3" t="n">
        <v>2.5</v>
      </c>
    </row>
    <row r="50" customFormat="false" ht="15" hidden="false" customHeight="false" outlineLevel="0" collapsed="false">
      <c r="A50" s="0" t="s">
        <v>113</v>
      </c>
      <c r="B50" s="3" t="n">
        <v>17</v>
      </c>
    </row>
    <row r="51" customFormat="false" ht="15" hidden="false" customHeight="false" outlineLevel="0" collapsed="false">
      <c r="A51" s="0" t="s">
        <v>114</v>
      </c>
      <c r="B51" s="3" t="n">
        <v>0</v>
      </c>
    </row>
    <row r="52" customFormat="false" ht="15" hidden="false" customHeight="false" outlineLevel="0" collapsed="false">
      <c r="A52" s="0" t="s">
        <v>115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2</v>
      </c>
      <c r="D5" s="4" t="n">
        <f aca="false">Assumptions!D13</f>
        <v>1.5</v>
      </c>
      <c r="E5" s="4" t="n">
        <f aca="false">Assumptions!E13</f>
        <v>1.5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79308</v>
      </c>
      <c r="C6" s="0" t="n">
        <f aca="false">B6*(1+C5/100)</f>
        <v>80894.16</v>
      </c>
      <c r="D6" s="0" t="n">
        <f aca="false">C6*(1+D5/100)</f>
        <v>82107.5724</v>
      </c>
      <c r="E6" s="0" t="n">
        <f aca="false">D6*(1+E5/100)</f>
        <v>83339.185986</v>
      </c>
      <c r="F6" s="0" t="n">
        <f aca="false">E6*(1+F5/100)</f>
        <v>84589.27377579</v>
      </c>
      <c r="G6" s="0" t="n">
        <f aca="false">F6*(1+G5/100)</f>
        <v>85858.1128824268</v>
      </c>
      <c r="H6" s="0" t="n">
        <f aca="false">G6*(1+H5/100)</f>
        <v>87145.9845756632</v>
      </c>
      <c r="I6" s="0" t="n">
        <f aca="false">H6*(1+I5/100)</f>
        <v>88453.1743442981</v>
      </c>
      <c r="J6" s="0" t="n">
        <f aca="false">I6*(1+J5/100)</f>
        <v>89779.9719594626</v>
      </c>
      <c r="K6" s="0" t="n">
        <f aca="false">J6*(1+K5/100)</f>
        <v>91126.6715388545</v>
      </c>
      <c r="L6" s="0" t="n">
        <f aca="false">K6*(1+L5/100)</f>
        <v>92493.5716119374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35.2</v>
      </c>
      <c r="D7" s="4" t="n">
        <f aca="false">Assumptions!D14</f>
        <v>35</v>
      </c>
      <c r="E7" s="4" t="n">
        <f aca="false">Assumptions!E14</f>
        <v>34.8</v>
      </c>
      <c r="F7" s="4" t="n">
        <f aca="false">Assumptions!F14</f>
        <v>34.6</v>
      </c>
      <c r="G7" s="4" t="n">
        <f aca="false">Assumptions!G14</f>
        <v>34.5</v>
      </c>
      <c r="H7" s="4" t="n">
        <f aca="false">Assumptions!H14</f>
        <v>34.5</v>
      </c>
      <c r="I7" s="4" t="n">
        <f aca="false">Assumptions!I14</f>
        <v>34.5</v>
      </c>
      <c r="J7" s="4" t="n">
        <f aca="false">Assumptions!J14</f>
        <v>34.5</v>
      </c>
      <c r="K7" s="4" t="n">
        <f aca="false">Assumptions!K14</f>
        <v>34.5</v>
      </c>
      <c r="L7" s="4" t="n">
        <f aca="false">Assumptions!L14</f>
        <v>34.5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28474.74432</v>
      </c>
      <c r="D8" s="0" t="n">
        <f aca="false">D6*D7/100</f>
        <v>28737.65034</v>
      </c>
      <c r="E8" s="0" t="n">
        <f aca="false">E6*E7/100</f>
        <v>29002.036723128</v>
      </c>
      <c r="F8" s="0" t="n">
        <f aca="false">F6*F7/100</f>
        <v>29267.8887264233</v>
      </c>
      <c r="G8" s="0" t="n">
        <f aca="false">G6*G7/100</f>
        <v>29621.0489444372</v>
      </c>
      <c r="H8" s="0" t="n">
        <f aca="false">H6*H7/100</f>
        <v>30065.3646786038</v>
      </c>
      <c r="I8" s="0" t="n">
        <f aca="false">I6*I7/100</f>
        <v>30516.3451487829</v>
      </c>
      <c r="J8" s="0" t="n">
        <f aca="false">J6*J7/100</f>
        <v>30974.0903260146</v>
      </c>
      <c r="K8" s="0" t="n">
        <f aca="false">K6*K7/100</f>
        <v>31438.7016809048</v>
      </c>
      <c r="L8" s="0" t="n">
        <f aca="false">L6*L7/100</f>
        <v>31910.2822061184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1</v>
      </c>
      <c r="D9" s="4" t="n">
        <f aca="false">Assumptions!D15</f>
        <v>1</v>
      </c>
      <c r="E9" s="4" t="n">
        <f aca="false">Assumptions!E15</f>
        <v>1</v>
      </c>
      <c r="F9" s="4" t="n">
        <f aca="false">Assumptions!F15</f>
        <v>1</v>
      </c>
      <c r="G9" s="4" t="n">
        <f aca="false">Assumptions!G15</f>
        <v>1</v>
      </c>
      <c r="H9" s="4" t="n">
        <f aca="false">Assumptions!H15</f>
        <v>1</v>
      </c>
      <c r="I9" s="4" t="n">
        <f aca="false">Assumptions!I15</f>
        <v>1</v>
      </c>
      <c r="J9" s="4" t="n">
        <f aca="false">Assumptions!J15</f>
        <v>1</v>
      </c>
      <c r="K9" s="4" t="n">
        <f aca="false">Assumptions!K15</f>
        <v>1</v>
      </c>
      <c r="L9" s="4" t="n">
        <f aca="false">Assumptions!L15</f>
        <v>1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-808.9416</v>
      </c>
      <c r="D10" s="0" t="n">
        <f aca="false">-D6*D9/100</f>
        <v>-821.075724</v>
      </c>
      <c r="E10" s="0" t="n">
        <f aca="false">-E6*E9/100</f>
        <v>-833.39185986</v>
      </c>
      <c r="F10" s="0" t="n">
        <f aca="false">-F6*F9/100</f>
        <v>-845.8927377579</v>
      </c>
      <c r="G10" s="0" t="n">
        <f aca="false">-G6*G9/100</f>
        <v>-858.581128824268</v>
      </c>
      <c r="H10" s="0" t="n">
        <f aca="false">-H6*H9/100</f>
        <v>-871.459845756632</v>
      </c>
      <c r="I10" s="0" t="n">
        <f aca="false">-I6*I9/100</f>
        <v>-884.531743442981</v>
      </c>
      <c r="J10" s="0" t="n">
        <f aca="false">-J6*J9/100</f>
        <v>-897.799719594626</v>
      </c>
      <c r="K10" s="0" t="n">
        <f aca="false">-K6*K9/100</f>
        <v>-911.266715388545</v>
      </c>
      <c r="L10" s="0" t="n">
        <f aca="false">-L6*L9/100</f>
        <v>-924.935716119374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27665.80272</v>
      </c>
      <c r="D11" s="0" t="n">
        <f aca="false">D8+D10+D24</f>
        <v>27916.574616</v>
      </c>
      <c r="E11" s="0" t="n">
        <f aca="false">E8+E10+E24</f>
        <v>28168.644863268</v>
      </c>
      <c r="F11" s="0" t="n">
        <f aca="false">F8+F10+F24</f>
        <v>28421.9959886654</v>
      </c>
      <c r="G11" s="0" t="n">
        <f aca="false">G8+G10+G24</f>
        <v>28762.467815613</v>
      </c>
      <c r="H11" s="0" t="n">
        <f aca="false">H8+H10+H24</f>
        <v>29193.9048328472</v>
      </c>
      <c r="I11" s="0" t="n">
        <f aca="false">I8+I10+I24</f>
        <v>29631.8134053399</v>
      </c>
      <c r="J11" s="0" t="n">
        <f aca="false">J8+J10+J24</f>
        <v>30076.29060642</v>
      </c>
      <c r="K11" s="0" t="n">
        <f aca="false">K8+K10+K24</f>
        <v>30527.4349655163</v>
      </c>
      <c r="L11" s="0" t="n">
        <f aca="false">L8+L10+L24</f>
        <v>30985.346489999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-12943.0656</v>
      </c>
      <c r="D12" s="4" t="n">
        <f aca="false">-D6*Assumptions!D17/100</f>
        <v>-13055.1040116</v>
      </c>
      <c r="E12" s="4" t="n">
        <f aca="false">-E6*Assumptions!E17/100</f>
        <v>-13167.591385788</v>
      </c>
      <c r="F12" s="4" t="n">
        <f aca="false">-F6*Assumptions!F17/100</f>
        <v>-13280.515982799</v>
      </c>
      <c r="G12" s="4" t="n">
        <f aca="false">-G6*Assumptions!G17/100</f>
        <v>-13393.8656096586</v>
      </c>
      <c r="H12" s="4" t="n">
        <f aca="false">-H6*Assumptions!H17/100</f>
        <v>-13507.6276092278</v>
      </c>
      <c r="I12" s="4" t="n">
        <f aca="false">-I6*Assumptions!I17/100</f>
        <v>-13710.2420233662</v>
      </c>
      <c r="J12" s="4" t="n">
        <f aca="false">-J6*Assumptions!J17/100</f>
        <v>-13915.8956537167</v>
      </c>
      <c r="K12" s="4" t="n">
        <f aca="false">-K6*Assumptions!K17/100</f>
        <v>-14124.6340885225</v>
      </c>
      <c r="L12" s="4" t="n">
        <f aca="false">-L6*Assumptions!L17/100</f>
        <v>-14336.5035998503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14722.73712</v>
      </c>
      <c r="D13" s="0" t="n">
        <f aca="false">D11+D12</f>
        <v>14861.4706044</v>
      </c>
      <c r="E13" s="0" t="n">
        <f aca="false">E11+E12</f>
        <v>15001.05347748</v>
      </c>
      <c r="F13" s="0" t="n">
        <f aca="false">F11+F12</f>
        <v>15141.4800058664</v>
      </c>
      <c r="G13" s="0" t="n">
        <f aca="false">G11+G12</f>
        <v>15368.6022059544</v>
      </c>
      <c r="H13" s="0" t="n">
        <f aca="false">H11+H12</f>
        <v>15686.2772236194</v>
      </c>
      <c r="I13" s="0" t="n">
        <f aca="false">I11+I12</f>
        <v>15921.5713819737</v>
      </c>
      <c r="J13" s="0" t="n">
        <f aca="false">J11+J12</f>
        <v>16160.3949527033</v>
      </c>
      <c r="K13" s="0" t="n">
        <f aca="false">K11+K12</f>
        <v>16402.8008769938</v>
      </c>
      <c r="L13" s="0" t="n">
        <f aca="false">L11+L12</f>
        <v>16648.8428901487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10</v>
      </c>
      <c r="D14" s="4" t="n">
        <f aca="false">Assumptions!D19</f>
        <v>14</v>
      </c>
      <c r="E14" s="4" t="n">
        <f aca="false">Assumptions!E19</f>
        <v>18</v>
      </c>
      <c r="F14" s="4" t="n">
        <f aca="false">Assumptions!F19</f>
        <v>21</v>
      </c>
      <c r="G14" s="4" t="n">
        <f aca="false">Assumptions!G19</f>
        <v>23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13250.463408</v>
      </c>
      <c r="D15" s="0" t="n">
        <f aca="false">D13-MAX(0,D13)*D14/100</f>
        <v>12780.864719784</v>
      </c>
      <c r="E15" s="0" t="n">
        <f aca="false">E13-MAX(0,E13)*E14/100</f>
        <v>12300.8638515336</v>
      </c>
      <c r="F15" s="0" t="n">
        <f aca="false">F13-MAX(0,F13)*F14/100</f>
        <v>11961.7692046345</v>
      </c>
      <c r="G15" s="0" t="n">
        <f aca="false">G13-MAX(0,G13)*G14/100</f>
        <v>11833.8236985849</v>
      </c>
      <c r="H15" s="0" t="n">
        <f aca="false">H13-MAX(0,H13)*H14/100</f>
        <v>11764.7079177145</v>
      </c>
      <c r="I15" s="0" t="n">
        <f aca="false">I13-MAX(0,I13)*I14/100</f>
        <v>11941.1785364802</v>
      </c>
      <c r="J15" s="0" t="n">
        <f aca="false">J13-MAX(0,J13)*J14/100</f>
        <v>12120.2962145275</v>
      </c>
      <c r="K15" s="0" t="n">
        <f aca="false">K13-MAX(0,K13)*K14/100</f>
        <v>12302.1006577454</v>
      </c>
      <c r="L15" s="0" t="n">
        <f aca="false">L13-MAX(0,L13)*L14/100</f>
        <v>12486.6321676115</v>
      </c>
    </row>
    <row r="16" customFormat="false" ht="15" hidden="false" customHeight="false" outlineLevel="0" collapsed="false">
      <c r="A16" s="0" t="s">
        <v>126</v>
      </c>
      <c r="C16" s="0" t="n">
        <f aca="false">-C12</f>
        <v>12943.0656</v>
      </c>
      <c r="D16" s="0" t="n">
        <f aca="false">-D12</f>
        <v>13055.1040116</v>
      </c>
      <c r="E16" s="0" t="n">
        <f aca="false">-E12</f>
        <v>13167.591385788</v>
      </c>
      <c r="F16" s="0" t="n">
        <f aca="false">-F12</f>
        <v>13280.515982799</v>
      </c>
      <c r="G16" s="0" t="n">
        <f aca="false">-G12</f>
        <v>13393.8656096586</v>
      </c>
      <c r="H16" s="0" t="n">
        <f aca="false">-H12</f>
        <v>13507.6276092278</v>
      </c>
      <c r="I16" s="0" t="n">
        <f aca="false">-I12</f>
        <v>13710.2420233662</v>
      </c>
      <c r="J16" s="0" t="n">
        <f aca="false">-J12</f>
        <v>13915.8956537167</v>
      </c>
      <c r="K16" s="0" t="n">
        <f aca="false">-K12</f>
        <v>14124.6340885225</v>
      </c>
      <c r="L16" s="0" t="n">
        <f aca="false">-L12</f>
        <v>14336.5035998503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-12619.48896</v>
      </c>
      <c r="D17" s="4" t="n">
        <f aca="false">-D6*Assumptions!D18/100</f>
        <v>-12808.7812944</v>
      </c>
      <c r="E17" s="4" t="n">
        <f aca="false">-E6*Assumptions!E18/100</f>
        <v>-13000.913013816</v>
      </c>
      <c r="F17" s="4" t="n">
        <f aca="false">-F6*Assumptions!F18/100</f>
        <v>-13111.3374352474</v>
      </c>
      <c r="G17" s="4" t="n">
        <f aca="false">-G6*Assumptions!G18/100</f>
        <v>-13308.0074967762</v>
      </c>
      <c r="H17" s="4" t="n">
        <f aca="false">-H6*Assumptions!H18/100</f>
        <v>-13507.6276092278</v>
      </c>
      <c r="I17" s="4" t="n">
        <f aca="false">-I6*Assumptions!I18/100</f>
        <v>-13621.7888490219</v>
      </c>
      <c r="J17" s="4" t="n">
        <f aca="false">-J6*Assumptions!J18/100</f>
        <v>-13826.1156817572</v>
      </c>
      <c r="K17" s="4" t="n">
        <f aca="false">-K6*Assumptions!K18/100</f>
        <v>-14033.5074169836</v>
      </c>
      <c r="L17" s="4" t="n">
        <f aca="false">-L6*Assumptions!L18/100</f>
        <v>-14244.0100282384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13574.040048</v>
      </c>
      <c r="D19" s="0" t="n">
        <f aca="false">D15+D16+D17+D18</f>
        <v>13027.187436984</v>
      </c>
      <c r="E19" s="0" t="n">
        <f aca="false">E15+E16+E17+E18</f>
        <v>12467.5422235056</v>
      </c>
      <c r="F19" s="0" t="n">
        <f aca="false">F15+F16+F17+F18</f>
        <v>12130.947752186</v>
      </c>
      <c r="G19" s="0" t="n">
        <f aca="false">G15+G16+G17+G18</f>
        <v>11919.6818114673</v>
      </c>
      <c r="H19" s="0" t="n">
        <f aca="false">H15+H16+H17+H18</f>
        <v>11764.7079177145</v>
      </c>
      <c r="I19" s="0" t="n">
        <f aca="false">I15+I16+I17+I18</f>
        <v>12029.6317108245</v>
      </c>
      <c r="J19" s="0" t="n">
        <f aca="false">J15+J16+J17+J18</f>
        <v>12210.0761864869</v>
      </c>
      <c r="K19" s="0" t="n">
        <f aca="false">K15+K16+K17+K18</f>
        <v>12393.2273292842</v>
      </c>
      <c r="L19" s="0" t="n">
        <f aca="false">L15+L16+L17+L18</f>
        <v>12579.1257392235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12686.0187364486</v>
      </c>
      <c r="D21" s="0" t="n">
        <f aca="false">D19*D20</f>
        <v>11378.4500279361</v>
      </c>
      <c r="E21" s="0" t="n">
        <f aca="false">E19*E20</f>
        <v>10177.2282470947</v>
      </c>
      <c r="F21" s="0" t="n">
        <f aca="false">F19*F20</f>
        <v>9254.64195774142</v>
      </c>
      <c r="G21" s="0" t="n">
        <f aca="false">G19*G20</f>
        <v>8498.56839541905</v>
      </c>
      <c r="H21" s="0" t="n">
        <f aca="false">H19*H20</f>
        <v>7839.32163644163</v>
      </c>
      <c r="I21" s="0" t="n">
        <f aca="false">I19*I20</f>
        <v>7491.45004288268</v>
      </c>
      <c r="J21" s="0" t="n">
        <f aca="false">J19*J20</f>
        <v>7106.37550796815</v>
      </c>
      <c r="K21" s="0" t="n">
        <f aca="false">K19*K20</f>
        <v>6741.09452391371</v>
      </c>
      <c r="L21" s="0" t="n">
        <f aca="false">L19*L20</f>
        <v>6394.58966520786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87567.7387410538</v>
      </c>
    </row>
    <row r="31" customFormat="false" ht="15" hidden="false" customHeight="false" outlineLevel="0" collapsed="false">
      <c r="A31" s="0" t="s">
        <v>135</v>
      </c>
      <c r="B31" s="0" t="n">
        <f aca="false">L19</f>
        <v>12579.1257392235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211748.616610262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150949.508870682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150949.508870682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76735.0759824944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164302.814723548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94428.8147235482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19.6440222016951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-0.225087881589938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6030.87867622194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7914.87201208326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22.5451561081451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90749.4071186837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3.22527487221704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2.7</v>
      </c>
      <c r="D5" s="4" t="n">
        <f aca="false">Assumptions!D27</f>
        <v>3.5</v>
      </c>
      <c r="E5" s="4" t="n">
        <f aca="false">Assumptions!E27</f>
        <v>3.5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79308</v>
      </c>
      <c r="C6" s="0" t="n">
        <f aca="false">B6*(1+C5/100)</f>
        <v>81449.316</v>
      </c>
      <c r="D6" s="0" t="n">
        <f aca="false">C6*(1+D5/100)</f>
        <v>84300.04206</v>
      </c>
      <c r="E6" s="0" t="n">
        <f aca="false">D6*(1+E5/100)</f>
        <v>87250.5435321</v>
      </c>
      <c r="F6" s="0" t="n">
        <f aca="false">E6*(1+F5/100)</f>
        <v>89868.059838063</v>
      </c>
      <c r="G6" s="0" t="n">
        <f aca="false">F6*(1+G5/100)</f>
        <v>92564.1016332049</v>
      </c>
      <c r="H6" s="0" t="n">
        <f aca="false">G6*(1+H5/100)</f>
        <v>94878.204174035</v>
      </c>
      <c r="I6" s="0" t="n">
        <f aca="false">H6*(1+I5/100)</f>
        <v>97250.1592783858</v>
      </c>
      <c r="J6" s="0" t="n">
        <f aca="false">I6*(1+J5/100)</f>
        <v>99681.4132603455</v>
      </c>
      <c r="K6" s="0" t="n">
        <f aca="false">J6*(1+K5/100)</f>
        <v>101675.041525552</v>
      </c>
      <c r="L6" s="0" t="n">
        <f aca="false">K6*(1+L5/100)</f>
        <v>103708.542356063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35.5</v>
      </c>
      <c r="D7" s="4" t="n">
        <f aca="false">Assumptions!D28</f>
        <v>36.7</v>
      </c>
      <c r="E7" s="4" t="n">
        <f aca="false">Assumptions!E28</f>
        <v>37.3</v>
      </c>
      <c r="F7" s="4" t="n">
        <f aca="false">Assumptions!F28</f>
        <v>37.5</v>
      </c>
      <c r="G7" s="4" t="n">
        <f aca="false">Assumptions!G28</f>
        <v>37.7</v>
      </c>
      <c r="H7" s="4" t="n">
        <f aca="false">Assumptions!H28</f>
        <v>37.7</v>
      </c>
      <c r="I7" s="4" t="n">
        <f aca="false">Assumptions!I28</f>
        <v>37.7</v>
      </c>
      <c r="J7" s="4" t="n">
        <f aca="false">Assumptions!J28</f>
        <v>37.7</v>
      </c>
      <c r="K7" s="4" t="n">
        <f aca="false">Assumptions!K28</f>
        <v>37.7</v>
      </c>
      <c r="L7" s="4" t="n">
        <f aca="false">Assumptions!L28</f>
        <v>37.7</v>
      </c>
    </row>
    <row r="8" customFormat="false" ht="15" hidden="false" customHeight="false" outlineLevel="0" collapsed="false">
      <c r="A8" s="0" t="s">
        <v>43</v>
      </c>
      <c r="C8" s="0" t="n">
        <f aca="false">C6*C7/100</f>
        <v>28914.50718</v>
      </c>
      <c r="D8" s="0" t="n">
        <f aca="false">D6*D7/100</f>
        <v>30938.11543602</v>
      </c>
      <c r="E8" s="0" t="n">
        <f aca="false">E6*E7/100</f>
        <v>32544.4527374733</v>
      </c>
      <c r="F8" s="0" t="n">
        <f aca="false">F6*F7/100</f>
        <v>33700.5224392736</v>
      </c>
      <c r="G8" s="0" t="n">
        <f aca="false">G6*G7/100</f>
        <v>34896.6663157182</v>
      </c>
      <c r="H8" s="0" t="n">
        <f aca="false">H6*H7/100</f>
        <v>35769.0829736112</v>
      </c>
      <c r="I8" s="0" t="n">
        <f aca="false">I6*I7/100</f>
        <v>36663.3100479515</v>
      </c>
      <c r="J8" s="0" t="n">
        <f aca="false">J6*J7/100</f>
        <v>37579.8927991503</v>
      </c>
      <c r="K8" s="0" t="n">
        <f aca="false">K6*K7/100</f>
        <v>38331.4906551333</v>
      </c>
      <c r="L8" s="0" t="n">
        <f aca="false">L6*L7/100</f>
        <v>39098.1204682359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1</v>
      </c>
      <c r="D9" s="4" t="n">
        <f aca="false">Assumptions!D29</f>
        <v>1</v>
      </c>
      <c r="E9" s="4" t="n">
        <f aca="false">Assumptions!E29</f>
        <v>1</v>
      </c>
      <c r="F9" s="4" t="n">
        <f aca="false">Assumptions!F29</f>
        <v>1</v>
      </c>
      <c r="G9" s="4" t="n">
        <f aca="false">Assumptions!G29</f>
        <v>1</v>
      </c>
      <c r="H9" s="4" t="n">
        <f aca="false">Assumptions!H29</f>
        <v>1</v>
      </c>
      <c r="I9" s="4" t="n">
        <f aca="false">Assumptions!I29</f>
        <v>1</v>
      </c>
      <c r="J9" s="4" t="n">
        <f aca="false">Assumptions!J29</f>
        <v>1</v>
      </c>
      <c r="K9" s="4" t="n">
        <f aca="false">Assumptions!K29</f>
        <v>1</v>
      </c>
      <c r="L9" s="4" t="n">
        <f aca="false">Assumptions!L29</f>
        <v>1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-814.49316</v>
      </c>
      <c r="D10" s="0" t="n">
        <f aca="false">-D6*D9/100</f>
        <v>-843.0004206</v>
      </c>
      <c r="E10" s="0" t="n">
        <f aca="false">-E6*E9/100</f>
        <v>-872.505435321</v>
      </c>
      <c r="F10" s="0" t="n">
        <f aca="false">-F6*F9/100</f>
        <v>-898.68059838063</v>
      </c>
      <c r="G10" s="0" t="n">
        <f aca="false">-G6*G9/100</f>
        <v>-925.641016332049</v>
      </c>
      <c r="H10" s="0" t="n">
        <f aca="false">-H6*H9/100</f>
        <v>-948.78204174035</v>
      </c>
      <c r="I10" s="0" t="n">
        <f aca="false">-I6*I9/100</f>
        <v>-972.501592783858</v>
      </c>
      <c r="J10" s="0" t="n">
        <f aca="false">-J6*J9/100</f>
        <v>-996.814132603455</v>
      </c>
      <c r="K10" s="0" t="n">
        <f aca="false">-K6*K9/100</f>
        <v>-1016.75041525552</v>
      </c>
      <c r="L10" s="0" t="n">
        <f aca="false">-L6*L9/100</f>
        <v>-1037.08542356063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28100.01402</v>
      </c>
      <c r="D11" s="0" t="n">
        <f aca="false">D8+D10+D24</f>
        <v>30095.11501542</v>
      </c>
      <c r="E11" s="0" t="n">
        <f aca="false">E8+E10+E24</f>
        <v>31671.9473021523</v>
      </c>
      <c r="F11" s="0" t="n">
        <f aca="false">F8+F10+F24</f>
        <v>32801.841840893</v>
      </c>
      <c r="G11" s="0" t="n">
        <f aca="false">G8+G10+G24</f>
        <v>33971.0252993862</v>
      </c>
      <c r="H11" s="0" t="n">
        <f aca="false">H8+H10+H24</f>
        <v>34820.3009318708</v>
      </c>
      <c r="I11" s="0" t="n">
        <f aca="false">I8+I10+I24</f>
        <v>35690.8084551676</v>
      </c>
      <c r="J11" s="0" t="n">
        <f aca="false">J8+J10+J24</f>
        <v>36583.0786665468</v>
      </c>
      <c r="K11" s="0" t="n">
        <f aca="false">K8+K10+K24</f>
        <v>37314.7402398777</v>
      </c>
      <c r="L11" s="0" t="n">
        <f aca="false">L8+L10+L24</f>
        <v>38061.0350446753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-13031.89056</v>
      </c>
      <c r="D12" s="4" t="n">
        <f aca="false">-D6*Assumptions!D31/100</f>
        <v>-13319.40664548</v>
      </c>
      <c r="E12" s="4" t="n">
        <f aca="false">-E6*Assumptions!E31/100</f>
        <v>-13611.0847910076</v>
      </c>
      <c r="F12" s="4" t="n">
        <f aca="false">-F6*Assumptions!F31/100</f>
        <v>-13839.6812150617</v>
      </c>
      <c r="G12" s="4" t="n">
        <f aca="false">-G6*Assumptions!G31/100</f>
        <v>-14069.7434482471</v>
      </c>
      <c r="H12" s="4" t="n">
        <f aca="false">-H6*Assumptions!H31/100</f>
        <v>-14231.7306261052</v>
      </c>
      <c r="I12" s="4" t="n">
        <f aca="false">-I6*Assumptions!I31/100</f>
        <v>-14587.5238917579</v>
      </c>
      <c r="J12" s="4" t="n">
        <f aca="false">-J6*Assumptions!J31/100</f>
        <v>-14952.2119890518</v>
      </c>
      <c r="K12" s="4" t="n">
        <f aca="false">-K6*Assumptions!K31/100</f>
        <v>-15251.2562288329</v>
      </c>
      <c r="L12" s="4" t="n">
        <f aca="false">-L6*Assumptions!L31/100</f>
        <v>-15556.2813534095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15068.12346</v>
      </c>
      <c r="D13" s="0" t="n">
        <f aca="false">D11+D12</f>
        <v>16775.70836994</v>
      </c>
      <c r="E13" s="0" t="n">
        <f aca="false">E11+E12</f>
        <v>18060.8625111447</v>
      </c>
      <c r="F13" s="0" t="n">
        <f aca="false">F11+F12</f>
        <v>18962.1606258313</v>
      </c>
      <c r="G13" s="0" t="n">
        <f aca="false">G11+G12</f>
        <v>19901.2818511391</v>
      </c>
      <c r="H13" s="0" t="n">
        <f aca="false">H11+H12</f>
        <v>20588.5703057656</v>
      </c>
      <c r="I13" s="0" t="n">
        <f aca="false">I11+I12</f>
        <v>21103.2845634097</v>
      </c>
      <c r="J13" s="0" t="n">
        <f aca="false">J11+J12</f>
        <v>21630.866677495</v>
      </c>
      <c r="K13" s="0" t="n">
        <f aca="false">K11+K12</f>
        <v>22063.4840110449</v>
      </c>
      <c r="L13" s="0" t="n">
        <f aca="false">L11+L12</f>
        <v>22504.7536912658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10</v>
      </c>
      <c r="D14" s="4" t="n">
        <f aca="false">Assumptions!D33</f>
        <v>14</v>
      </c>
      <c r="E14" s="4" t="n">
        <f aca="false">Assumptions!E33</f>
        <v>18</v>
      </c>
      <c r="F14" s="4" t="n">
        <f aca="false">Assumptions!F33</f>
        <v>21</v>
      </c>
      <c r="G14" s="4" t="n">
        <f aca="false">Assumptions!G33</f>
        <v>23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13561.311114</v>
      </c>
      <c r="D15" s="0" t="n">
        <f aca="false">D13-MAX(0,D13)*D14/100</f>
        <v>14427.1091981484</v>
      </c>
      <c r="E15" s="0" t="n">
        <f aca="false">E13-MAX(0,E13)*E14/100</f>
        <v>14809.9072591386</v>
      </c>
      <c r="F15" s="0" t="n">
        <f aca="false">F13-MAX(0,F13)*F14/100</f>
        <v>14980.1068944067</v>
      </c>
      <c r="G15" s="0" t="n">
        <f aca="false">G13-MAX(0,G13)*G14/100</f>
        <v>15323.9870253771</v>
      </c>
      <c r="H15" s="0" t="n">
        <f aca="false">H13-MAX(0,H13)*H14/100</f>
        <v>15441.4277293242</v>
      </c>
      <c r="I15" s="0" t="n">
        <f aca="false">I13-MAX(0,I13)*I14/100</f>
        <v>15827.4634225573</v>
      </c>
      <c r="J15" s="0" t="n">
        <f aca="false">J13-MAX(0,J13)*J14/100</f>
        <v>16223.1500081212</v>
      </c>
      <c r="K15" s="0" t="n">
        <f aca="false">K13-MAX(0,K13)*K14/100</f>
        <v>16547.6130082837</v>
      </c>
      <c r="L15" s="0" t="n">
        <f aca="false">L13-MAX(0,L13)*L14/100</f>
        <v>16878.5652684493</v>
      </c>
    </row>
    <row r="16" customFormat="false" ht="15" hidden="false" customHeight="false" outlineLevel="0" collapsed="false">
      <c r="A16" s="0" t="s">
        <v>126</v>
      </c>
      <c r="C16" s="0" t="n">
        <f aca="false">-C12</f>
        <v>13031.89056</v>
      </c>
      <c r="D16" s="0" t="n">
        <f aca="false">-D12</f>
        <v>13319.40664548</v>
      </c>
      <c r="E16" s="0" t="n">
        <f aca="false">-E12</f>
        <v>13611.0847910076</v>
      </c>
      <c r="F16" s="0" t="n">
        <f aca="false">-F12</f>
        <v>13839.6812150617</v>
      </c>
      <c r="G16" s="0" t="n">
        <f aca="false">-G12</f>
        <v>14069.7434482471</v>
      </c>
      <c r="H16" s="0" t="n">
        <f aca="false">-H12</f>
        <v>14231.7306261052</v>
      </c>
      <c r="I16" s="0" t="n">
        <f aca="false">-I12</f>
        <v>14587.5238917579</v>
      </c>
      <c r="J16" s="0" t="n">
        <f aca="false">-J12</f>
        <v>14952.2119890518</v>
      </c>
      <c r="K16" s="0" t="n">
        <f aca="false">-K12</f>
        <v>15251.2562288329</v>
      </c>
      <c r="L16" s="0" t="n">
        <f aca="false">-L12</f>
        <v>15556.2813534095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-12543.194664</v>
      </c>
      <c r="D17" s="4" t="n">
        <f aca="false">-D6*Assumptions!D32/100</f>
        <v>-12897.90643518</v>
      </c>
      <c r="E17" s="4" t="n">
        <f aca="false">-E6*Assumptions!E32/100</f>
        <v>-13262.0826168792</v>
      </c>
      <c r="F17" s="4" t="n">
        <f aca="false">-F6*Assumptions!F32/100</f>
        <v>-13480.2089757094</v>
      </c>
      <c r="G17" s="4" t="n">
        <f aca="false">-G6*Assumptions!G32/100</f>
        <v>-13884.6152449807</v>
      </c>
      <c r="H17" s="4" t="n">
        <f aca="false">-H6*Assumptions!H32/100</f>
        <v>-14231.7306261052</v>
      </c>
      <c r="I17" s="4" t="n">
        <f aca="false">-I6*Assumptions!I32/100</f>
        <v>-14393.0235732011</v>
      </c>
      <c r="J17" s="4" t="n">
        <f aca="false">-J6*Assumptions!J32/100</f>
        <v>-14752.8491625311</v>
      </c>
      <c r="K17" s="4" t="n">
        <f aca="false">-K6*Assumptions!K32/100</f>
        <v>-15047.9061457818</v>
      </c>
      <c r="L17" s="4" t="n">
        <f aca="false">-L6*Assumptions!L32/100</f>
        <v>-15348.8642686974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14050.00701</v>
      </c>
      <c r="D19" s="0" t="n">
        <f aca="false">D15+D16+D17+D18</f>
        <v>14848.6094084484</v>
      </c>
      <c r="E19" s="0" t="n">
        <f aca="false">E15+E16+E17+E18</f>
        <v>15158.909433267</v>
      </c>
      <c r="F19" s="0" t="n">
        <f aca="false">F15+F16+F17+F18</f>
        <v>15339.579133759</v>
      </c>
      <c r="G19" s="0" t="n">
        <f aca="false">G15+G16+G17+G18</f>
        <v>15509.1152286435</v>
      </c>
      <c r="H19" s="0" t="n">
        <f aca="false">H15+H16+H17+H18</f>
        <v>15441.4277293242</v>
      </c>
      <c r="I19" s="0" t="n">
        <f aca="false">I15+I16+I17+I18</f>
        <v>16021.9637411141</v>
      </c>
      <c r="J19" s="0" t="n">
        <f aca="false">J15+J16+J17+J18</f>
        <v>16422.5128346419</v>
      </c>
      <c r="K19" s="0" t="n">
        <f aca="false">K15+K16+K17+K18</f>
        <v>16750.9630913348</v>
      </c>
      <c r="L19" s="0" t="n">
        <f aca="false">L15+L16+L17+L18</f>
        <v>17085.9823531615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13130.8476728972</v>
      </c>
      <c r="D21" s="0" t="n">
        <f aca="false">D19*D20</f>
        <v>12969.3505183408</v>
      </c>
      <c r="E21" s="0" t="n">
        <f aca="false">E19*E20</f>
        <v>12374.1855863566</v>
      </c>
      <c r="F21" s="0" t="n">
        <f aca="false">F19*F20</f>
        <v>11702.4914759688</v>
      </c>
      <c r="G21" s="0" t="n">
        <f aca="false">G19*G20</f>
        <v>11057.7848140425</v>
      </c>
      <c r="H21" s="0" t="n">
        <f aca="false">H19*H20</f>
        <v>10289.2752920598</v>
      </c>
      <c r="I21" s="0" t="n">
        <f aca="false">I19*I20</f>
        <v>9977.67378426306</v>
      </c>
      <c r="J21" s="0" t="n">
        <f aca="false">J19*J20</f>
        <v>9558.05198959779</v>
      </c>
      <c r="K21" s="0" t="n">
        <f aca="false">K19*K20</f>
        <v>9111.41404615864</v>
      </c>
      <c r="L21" s="0" t="n">
        <f aca="false">L19*L20</f>
        <v>8685.6470346559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108856.722214341</v>
      </c>
    </row>
    <row r="31" customFormat="false" ht="15" hidden="false" customHeight="false" outlineLevel="0" collapsed="false">
      <c r="A31" s="0" t="s">
        <v>135</v>
      </c>
      <c r="B31" s="0" t="n">
        <f aca="false">L19</f>
        <v>17085.9823531615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348554.040004494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256289.735297422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256289.735297422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130284.705519839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239141.42773418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169267.42773418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35.2126955968753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0.38906097029094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6453.55053977858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10754.9134753858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38.792571614176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134059.246155574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8.36478997568123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3.5</v>
      </c>
      <c r="D5" s="4" t="n">
        <f aca="false">Assumptions!D41</f>
        <v>4.5</v>
      </c>
      <c r="E5" s="4" t="n">
        <f aca="false">Assumptions!E41</f>
        <v>4.5</v>
      </c>
      <c r="F5" s="4" t="n">
        <f aca="false">Assumptions!F41</f>
        <v>4</v>
      </c>
      <c r="G5" s="4" t="n">
        <f aca="false">Assumptions!G41</f>
        <v>3.5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79308</v>
      </c>
      <c r="C6" s="0" t="n">
        <f aca="false">B6*(1+C5/100)</f>
        <v>82083.78</v>
      </c>
      <c r="D6" s="0" t="n">
        <f aca="false">C6*(1+D5/100)</f>
        <v>85777.5501</v>
      </c>
      <c r="E6" s="0" t="n">
        <f aca="false">D6*(1+E5/100)</f>
        <v>89637.5398545</v>
      </c>
      <c r="F6" s="0" t="n">
        <f aca="false">E6*(1+F5/100)</f>
        <v>93223.04144868</v>
      </c>
      <c r="G6" s="0" t="n">
        <f aca="false">F6*(1+G5/100)</f>
        <v>96485.8478993838</v>
      </c>
      <c r="H6" s="0" t="n">
        <f aca="false">G6*(1+H5/100)</f>
        <v>99380.4233363653</v>
      </c>
      <c r="I6" s="0" t="n">
        <f aca="false">H6*(1+I5/100)</f>
        <v>102361.836036456</v>
      </c>
      <c r="J6" s="0" t="n">
        <f aca="false">I6*(1+J5/100)</f>
        <v>104920.881937368</v>
      </c>
      <c r="K6" s="0" t="n">
        <f aca="false">J6*(1+K5/100)</f>
        <v>107543.903985802</v>
      </c>
      <c r="L6" s="0" t="n">
        <f aca="false">K6*(1+L5/100)</f>
        <v>110232.501585447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36</v>
      </c>
      <c r="D7" s="4" t="n">
        <f aca="false">Assumptions!D42</f>
        <v>37.5</v>
      </c>
      <c r="E7" s="4" t="n">
        <f aca="false">Assumptions!E42</f>
        <v>38.3</v>
      </c>
      <c r="F7" s="4" t="n">
        <f aca="false">Assumptions!F42</f>
        <v>38.8</v>
      </c>
      <c r="G7" s="4" t="n">
        <f aca="false">Assumptions!G42</f>
        <v>39.2</v>
      </c>
      <c r="H7" s="4" t="n">
        <f aca="false">Assumptions!H42</f>
        <v>39.5</v>
      </c>
      <c r="I7" s="4" t="n">
        <f aca="false">Assumptions!I42</f>
        <v>39.5</v>
      </c>
      <c r="J7" s="4" t="n">
        <f aca="false">Assumptions!J42</f>
        <v>39.5</v>
      </c>
      <c r="K7" s="4" t="n">
        <f aca="false">Assumptions!K42</f>
        <v>39.5</v>
      </c>
      <c r="L7" s="4" t="n">
        <f aca="false">Assumptions!L42</f>
        <v>39.5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29550.1608</v>
      </c>
      <c r="D8" s="0" t="n">
        <f aca="false">D6*D7/100</f>
        <v>32166.5812875</v>
      </c>
      <c r="E8" s="0" t="n">
        <f aca="false">E6*E7/100</f>
        <v>34331.1777642735</v>
      </c>
      <c r="F8" s="0" t="n">
        <f aca="false">F6*F7/100</f>
        <v>36170.5400820878</v>
      </c>
      <c r="G8" s="0" t="n">
        <f aca="false">G6*G7/100</f>
        <v>37822.4523765585</v>
      </c>
      <c r="H8" s="0" t="n">
        <f aca="false">H6*H7/100</f>
        <v>39255.2672178643</v>
      </c>
      <c r="I8" s="0" t="n">
        <f aca="false">I6*I7/100</f>
        <v>40432.9252344002</v>
      </c>
      <c r="J8" s="0" t="n">
        <f aca="false">J6*J7/100</f>
        <v>41443.7483652602</v>
      </c>
      <c r="K8" s="0" t="n">
        <f aca="false">K6*K7/100</f>
        <v>42479.8420743917</v>
      </c>
      <c r="L8" s="0" t="n">
        <f aca="false">L6*L7/100</f>
        <v>43541.8381262515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1</v>
      </c>
      <c r="D9" s="4" t="n">
        <f aca="false">Assumptions!D43</f>
        <v>1</v>
      </c>
      <c r="E9" s="4" t="n">
        <f aca="false">Assumptions!E43</f>
        <v>1</v>
      </c>
      <c r="F9" s="4" t="n">
        <f aca="false">Assumptions!F43</f>
        <v>1</v>
      </c>
      <c r="G9" s="4" t="n">
        <f aca="false">Assumptions!G43</f>
        <v>1</v>
      </c>
      <c r="H9" s="4" t="n">
        <f aca="false">Assumptions!H43</f>
        <v>1</v>
      </c>
      <c r="I9" s="4" t="n">
        <f aca="false">Assumptions!I43</f>
        <v>1</v>
      </c>
      <c r="J9" s="4" t="n">
        <f aca="false">Assumptions!J43</f>
        <v>1</v>
      </c>
      <c r="K9" s="4" t="n">
        <f aca="false">Assumptions!K43</f>
        <v>1</v>
      </c>
      <c r="L9" s="4" t="n">
        <f aca="false">Assumptions!L43</f>
        <v>1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-820.8378</v>
      </c>
      <c r="D10" s="0" t="n">
        <f aca="false">-D6*D9/100</f>
        <v>-857.775501</v>
      </c>
      <c r="E10" s="0" t="n">
        <f aca="false">-E6*E9/100</f>
        <v>-896.375398545</v>
      </c>
      <c r="F10" s="0" t="n">
        <f aca="false">-F6*F9/100</f>
        <v>-932.2304144868</v>
      </c>
      <c r="G10" s="0" t="n">
        <f aca="false">-G6*G9/100</f>
        <v>-964.858478993838</v>
      </c>
      <c r="H10" s="0" t="n">
        <f aca="false">-H6*H9/100</f>
        <v>-993.804233363653</v>
      </c>
      <c r="I10" s="0" t="n">
        <f aca="false">-I6*I9/100</f>
        <v>-1023.61836036456</v>
      </c>
      <c r="J10" s="0" t="n">
        <f aca="false">-J6*J9/100</f>
        <v>-1049.20881937368</v>
      </c>
      <c r="K10" s="0" t="n">
        <f aca="false">-K6*K9/100</f>
        <v>-1075.43903985802</v>
      </c>
      <c r="L10" s="0" t="n">
        <f aca="false">-L6*L9/100</f>
        <v>-1102.32501585447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28729.323</v>
      </c>
      <c r="D11" s="0" t="n">
        <f aca="false">D8+D10+D24</f>
        <v>31308.8057865</v>
      </c>
      <c r="E11" s="0" t="n">
        <f aca="false">E8+E10+E24</f>
        <v>33434.8023657285</v>
      </c>
      <c r="F11" s="0" t="n">
        <f aca="false">F8+F10+F24</f>
        <v>35238.309667601</v>
      </c>
      <c r="G11" s="0" t="n">
        <f aca="false">G8+G10+G24</f>
        <v>36857.5938975646</v>
      </c>
      <c r="H11" s="0" t="n">
        <f aca="false">H8+H10+H24</f>
        <v>38261.4629845006</v>
      </c>
      <c r="I11" s="0" t="n">
        <f aca="false">I8+I10+I24</f>
        <v>39409.3068740357</v>
      </c>
      <c r="J11" s="0" t="n">
        <f aca="false">J8+J10+J24</f>
        <v>40394.5395458865</v>
      </c>
      <c r="K11" s="0" t="n">
        <f aca="false">K8+K10+K24</f>
        <v>41404.4030345337</v>
      </c>
      <c r="L11" s="0" t="n">
        <f aca="false">L8+L10+L24</f>
        <v>42439.5131103971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-13133.4048</v>
      </c>
      <c r="D12" s="4" t="n">
        <f aca="false">-D6*Assumptions!D45/100</f>
        <v>-13552.8529158</v>
      </c>
      <c r="E12" s="4" t="n">
        <f aca="false">-E6*Assumptions!E45/100</f>
        <v>-13983.456217302</v>
      </c>
      <c r="F12" s="4" t="n">
        <f aca="false">-F6*Assumptions!F45/100</f>
        <v>-14356.3483830967</v>
      </c>
      <c r="G12" s="4" t="n">
        <f aca="false">-G6*Assumptions!G45/100</f>
        <v>-14665.8488807063</v>
      </c>
      <c r="H12" s="4" t="n">
        <f aca="false">-H6*Assumptions!H45/100</f>
        <v>-14907.0635004548</v>
      </c>
      <c r="I12" s="4" t="n">
        <f aca="false">-I6*Assumptions!I45/100</f>
        <v>-15354.2754054684</v>
      </c>
      <c r="J12" s="4" t="n">
        <f aca="false">-J6*Assumptions!J45/100</f>
        <v>-15738.1322906052</v>
      </c>
      <c r="K12" s="4" t="n">
        <f aca="false">-K6*Assumptions!K45/100</f>
        <v>-16131.5855978703</v>
      </c>
      <c r="L12" s="4" t="n">
        <f aca="false">-L6*Assumptions!L45/100</f>
        <v>-16534.875237817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15595.9182</v>
      </c>
      <c r="D13" s="0" t="n">
        <f aca="false">D11+D12</f>
        <v>17755.9528707</v>
      </c>
      <c r="E13" s="0" t="n">
        <f aca="false">E11+E12</f>
        <v>19451.3461484265</v>
      </c>
      <c r="F13" s="0" t="n">
        <f aca="false">F11+F12</f>
        <v>20881.9612845043</v>
      </c>
      <c r="G13" s="0" t="n">
        <f aca="false">G11+G12</f>
        <v>22191.7450168583</v>
      </c>
      <c r="H13" s="0" t="n">
        <f aca="false">H11+H12</f>
        <v>23354.3994840458</v>
      </c>
      <c r="I13" s="0" t="n">
        <f aca="false">I11+I12</f>
        <v>24055.0314685672</v>
      </c>
      <c r="J13" s="0" t="n">
        <f aca="false">J11+J12</f>
        <v>24656.4072552814</v>
      </c>
      <c r="K13" s="0" t="n">
        <f aca="false">K11+K12</f>
        <v>25272.8174366634</v>
      </c>
      <c r="L13" s="0" t="n">
        <f aca="false">L11+L12</f>
        <v>25904.63787258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10</v>
      </c>
      <c r="D14" s="4" t="n">
        <f aca="false">Assumptions!D47</f>
        <v>14</v>
      </c>
      <c r="E14" s="4" t="n">
        <f aca="false">Assumptions!E47</f>
        <v>18</v>
      </c>
      <c r="F14" s="4" t="n">
        <f aca="false">Assumptions!F47</f>
        <v>21</v>
      </c>
      <c r="G14" s="4" t="n">
        <f aca="false">Assumptions!G47</f>
        <v>23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14036.32638</v>
      </c>
      <c r="D15" s="0" t="n">
        <f aca="false">D13-MAX(0,D13)*D14/100</f>
        <v>15270.119468802</v>
      </c>
      <c r="E15" s="0" t="n">
        <f aca="false">E13-MAX(0,E13)*E14/100</f>
        <v>15950.1038417097</v>
      </c>
      <c r="F15" s="0" t="n">
        <f aca="false">F13-MAX(0,F13)*F14/100</f>
        <v>16496.7494147584</v>
      </c>
      <c r="G15" s="0" t="n">
        <f aca="false">G13-MAX(0,G13)*G14/100</f>
        <v>17087.6436629809</v>
      </c>
      <c r="H15" s="0" t="n">
        <f aca="false">H13-MAX(0,H13)*H14/100</f>
        <v>17515.7996130344</v>
      </c>
      <c r="I15" s="0" t="n">
        <f aca="false">I13-MAX(0,I13)*I14/100</f>
        <v>18041.2736014254</v>
      </c>
      <c r="J15" s="0" t="n">
        <f aca="false">J13-MAX(0,J13)*J14/100</f>
        <v>18492.305441461</v>
      </c>
      <c r="K15" s="0" t="n">
        <f aca="false">K13-MAX(0,K13)*K14/100</f>
        <v>18954.6130774976</v>
      </c>
      <c r="L15" s="0" t="n">
        <f aca="false">L13-MAX(0,L13)*L14/100</f>
        <v>19428.478404435</v>
      </c>
    </row>
    <row r="16" customFormat="false" ht="15" hidden="false" customHeight="false" outlineLevel="0" collapsed="false">
      <c r="A16" s="0" t="s">
        <v>126</v>
      </c>
      <c r="C16" s="0" t="n">
        <f aca="false">-C12</f>
        <v>13133.4048</v>
      </c>
      <c r="D16" s="0" t="n">
        <f aca="false">-D12</f>
        <v>13552.8529158</v>
      </c>
      <c r="E16" s="0" t="n">
        <f aca="false">-E12</f>
        <v>13983.456217302</v>
      </c>
      <c r="F16" s="0" t="n">
        <f aca="false">-F12</f>
        <v>14356.3483830967</v>
      </c>
      <c r="G16" s="0" t="n">
        <f aca="false">-G12</f>
        <v>14665.8488807063</v>
      </c>
      <c r="H16" s="0" t="n">
        <f aca="false">-H12</f>
        <v>14907.0635004548</v>
      </c>
      <c r="I16" s="0" t="n">
        <f aca="false">-I12</f>
        <v>15354.2754054684</v>
      </c>
      <c r="J16" s="0" t="n">
        <f aca="false">-J12</f>
        <v>15738.1322906052</v>
      </c>
      <c r="K16" s="0" t="n">
        <f aca="false">-K12</f>
        <v>16131.5855978703</v>
      </c>
      <c r="L16" s="0" t="n">
        <f aca="false">-L12</f>
        <v>16534.875237817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-12476.73456</v>
      </c>
      <c r="D17" s="4" t="n">
        <f aca="false">-D6*Assumptions!D46/100</f>
        <v>-12866.632515</v>
      </c>
      <c r="E17" s="4" t="n">
        <f aca="false">-E6*Assumptions!E46/100</f>
        <v>-13266.355898466</v>
      </c>
      <c r="F17" s="4" t="n">
        <f aca="false">-F6*Assumptions!F46/100</f>
        <v>-13610.5640515073</v>
      </c>
      <c r="G17" s="4" t="n">
        <f aca="false">-G6*Assumptions!G46/100</f>
        <v>-13990.4479454107</v>
      </c>
      <c r="H17" s="4" t="n">
        <f aca="false">-H6*Assumptions!H46/100</f>
        <v>-14410.161383773</v>
      </c>
      <c r="I17" s="4" t="n">
        <f aca="false">-I6*Assumptions!I46/100</f>
        <v>-14842.4662252862</v>
      </c>
      <c r="J17" s="4" t="n">
        <f aca="false">-J6*Assumptions!J46/100</f>
        <v>-15213.5278809183</v>
      </c>
      <c r="K17" s="4" t="n">
        <f aca="false">-K6*Assumptions!K46/100</f>
        <v>-15593.8660779413</v>
      </c>
      <c r="L17" s="4" t="n">
        <f aca="false">-L6*Assumptions!L46/100</f>
        <v>-15983.7127298898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14692.99662</v>
      </c>
      <c r="D19" s="0" t="n">
        <f aca="false">D15+D16+D17+D18</f>
        <v>15956.339869602</v>
      </c>
      <c r="E19" s="0" t="n">
        <f aca="false">E15+E16+E17+E18</f>
        <v>16667.2041605457</v>
      </c>
      <c r="F19" s="0" t="n">
        <f aca="false">F15+F16+F17+F18</f>
        <v>17242.5337463478</v>
      </c>
      <c r="G19" s="0" t="n">
        <f aca="false">G15+G16+G17+G18</f>
        <v>17763.0445982766</v>
      </c>
      <c r="H19" s="0" t="n">
        <f aca="false">H15+H16+H17+H18</f>
        <v>18012.7017297162</v>
      </c>
      <c r="I19" s="0" t="n">
        <f aca="false">I15+I16+I17+I18</f>
        <v>18553.0827816077</v>
      </c>
      <c r="J19" s="0" t="n">
        <f aca="false">J15+J16+J17+J18</f>
        <v>19016.9098511479</v>
      </c>
      <c r="K19" s="0" t="n">
        <f aca="false">K15+K16+K17+K18</f>
        <v>19492.3325974266</v>
      </c>
      <c r="L19" s="0" t="n">
        <f aca="false">L15+L16+L17+L18</f>
        <v>19979.6409123622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13731.7725420561</v>
      </c>
      <c r="D21" s="0" t="n">
        <f aca="false">D19*D20</f>
        <v>13936.8852036003</v>
      </c>
      <c r="E21" s="0" t="n">
        <f aca="false">E19*E20</f>
        <v>13605.4033699599</v>
      </c>
      <c r="F21" s="0" t="n">
        <f aca="false">F19*F20</f>
        <v>13154.2464386566</v>
      </c>
      <c r="G21" s="0" t="n">
        <f aca="false">G19*G20</f>
        <v>12664.8053041232</v>
      </c>
      <c r="H21" s="0" t="n">
        <f aca="false">H19*H20</f>
        <v>12002.6237275226</v>
      </c>
      <c r="I21" s="0" t="n">
        <f aca="false">I19*I20</f>
        <v>11553.9275134096</v>
      </c>
      <c r="J21" s="0" t="n">
        <f aca="false">J19*J20</f>
        <v>11068.0146740606</v>
      </c>
      <c r="K21" s="0" t="n">
        <f aca="false">K19*K20</f>
        <v>10602.5374214132</v>
      </c>
      <c r="L21" s="0" t="n">
        <f aca="false">L19*L20</f>
        <v>10156.6363149052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122476.852509707</v>
      </c>
    </row>
    <row r="31" customFormat="false" ht="15" hidden="false" customHeight="false" outlineLevel="0" collapsed="false">
      <c r="A31" s="0" t="s">
        <v>135</v>
      </c>
      <c r="B31" s="0" t="n">
        <f aca="false">L19</f>
        <v>19979.6409123622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455091.820781584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339653.895510158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339653.895510158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172662.817353388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295139.669863096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225265.669863096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46.8620074605982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0.84859989982636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6702.84129017691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12763.8954455514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50.9116718533023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163833.05548137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11.7686860879856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19.6440222016951</v>
      </c>
      <c r="C4" s="0" t="n">
        <f aca="false">B4/Assumptions!$B$2-1</f>
        <v>-0.225087881589938</v>
      </c>
      <c r="D4" s="4" t="n">
        <f aca="false">Assumptions!$B$24</f>
        <v>0.25</v>
      </c>
      <c r="E4" s="4" t="n">
        <f aca="false">DCF_Bear!$B$43</f>
        <v>22.5451561081451</v>
      </c>
      <c r="F4" s="4" t="n">
        <f aca="false">DCF_Bear!$B$47</f>
        <v>3.22527487221704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35.2126955968753</v>
      </c>
      <c r="C5" s="0" t="n">
        <f aca="false">B5/Assumptions!$B$2-1</f>
        <v>0.38906097029094</v>
      </c>
      <c r="D5" s="4" t="n">
        <f aca="false">Assumptions!$B$38</f>
        <v>0.5</v>
      </c>
      <c r="E5" s="4" t="n">
        <f aca="false">DCF_Base!$B$43</f>
        <v>38.792571614176</v>
      </c>
      <c r="F5" s="4" t="n">
        <f aca="false">DCF_Base!$B$47</f>
        <v>8.36478997568123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46.8620074605982</v>
      </c>
      <c r="C6" s="0" t="n">
        <f aca="false">B6/Assumptions!$B$2-1</f>
        <v>0.84859989982636</v>
      </c>
      <c r="D6" s="4" t="n">
        <f aca="false">Assumptions!$B$52</f>
        <v>0.25</v>
      </c>
      <c r="E6" s="4" t="n">
        <f aca="false">DCF_Bull!$B$43</f>
        <v>50.9116718533023</v>
      </c>
      <c r="F6" s="4" t="n">
        <f aca="false">DCF_Bull!$B$47</f>
        <v>11.7686860879856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34.232855214011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37.7604927974498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0.259483328471397</v>
      </c>
    </row>
    <row r="11" customFormat="false" ht="15" hidden="false" customHeight="false" outlineLevel="0" collapsed="false">
      <c r="A11" s="0" t="s">
        <v>162</v>
      </c>
      <c r="B11" s="0" t="n">
        <f aca="false">IF(ABS(B9-B8)&gt;0.01*ABS(B8),(Assumptions!$B$2-B8)/(B9-B8)*100,"n/a")</f>
        <v>-251.807477494662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7.93088522789128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35.2126955968753</v>
      </c>
      <c r="C15" s="3" t="n">
        <v>7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27.9750322738372</v>
      </c>
      <c r="C16" s="3" t="n">
        <v>9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22.6641170027598</v>
      </c>
      <c r="C17" s="3" t="n">
        <v>10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18.5333542824592</v>
      </c>
      <c r="C18" s="3" t="n">
        <v>11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15.2286850008436</v>
      </c>
      <c r="C19" s="3" t="n">
        <v>12</v>
      </c>
    </row>
    <row r="20" customFormat="false" ht="15" hidden="false" customHeight="false" outlineLevel="0" collapsed="false">
      <c r="A20" s="0" t="s">
        <v>171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8.36478997568123</v>
      </c>
      <c r="C20" s="3" t="n">
        <v>15</v>
      </c>
    </row>
    <row r="22" customFormat="false" ht="15" hidden="false" customHeight="false" outlineLevel="0" collapsed="false">
      <c r="A22" s="2" t="s">
        <v>172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43.1647534633164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43.1647534633164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43.1647534633164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43.1647534633164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43.1647534633164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39.000330855084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39.000330855084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39.000330855084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39.000330855084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39.000330855084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35.2126955968753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35.2126955968753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35.2126955968753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35.2126955968753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35.2126955968753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30.8226718579935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31.7634565188766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31.7634565188766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31.7634565188766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31.7634565188766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25.0526345370097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26.4164201475292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27.9750322738372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28.6184959957075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28.6184959957075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2026-10-24T21:08:28Z</dcterms:created>
  <dc:creator>openpyxl</dc:creator>
  <dc:description/>
  <dc:language>en-NZ</dc:language>
  <cp:lastModifiedBy/>
  <dcterms:modified xsi:type="dcterms:W3CDTF">2026-10-24T21:08:28Z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