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TP Model" sheetId="1" r:id="rId1"/>
    <sheet name="Scenarios" sheetId="2" r:id="rId2"/>
    <sheet name="Sensitivity" sheetId="3" r:id="rId3"/>
    <sheet name="FCF Quality" sheetId="4" r:id="rId4"/>
    <sheet name="Model_Info" sheetId="5" r:id="rId5"/>
  </sheets>
  <calcPr calcId="124519" fullCalcOnLoad="1"/>
</workbook>
</file>

<file path=xl/sharedStrings.xml><?xml version="1.0" encoding="utf-8"?>
<sst xmlns="http://schemas.openxmlformats.org/spreadsheetml/2006/main" count="120" uniqueCount="117">
  <si>
    <t>LBTYA Sum-of-the-Parts DCF Valuation (Base Case)</t>
  </si>
  <si>
    <t>Gray cells are INPUTS - adjust to see valuation change. LBTYA is a holding company valued as: Consolidated Ops DCF + JV Stakes + Liberty Growth - Net Debt - VZ Deal Cost</t>
  </si>
  <si>
    <t>KEY INPUTS</t>
  </si>
  <si>
    <t>Current Stock Price</t>
  </si>
  <si>
    <t>Shares Outstanding (M)</t>
  </si>
  <si>
    <t>Net Debt (M), Q2-2026</t>
  </si>
  <si>
    <t>VodafoneZiggo Deal Cash Cost (M)</t>
  </si>
  <si>
    <t>WACC (Consolidated Ops)</t>
  </si>
  <si>
    <t>Terminal Growth Rate</t>
  </si>
  <si>
    <t>Terminal Cap Multiple (x FCF)</t>
  </si>
  <si>
    <t>JV STAKE &amp; PORTFOLIO INPUTS (already fair-valued, not DCF-projected)</t>
  </si>
  <si>
    <t>VMO2 JV Stake Value (50%, M)</t>
  </si>
  <si>
    <t>VodafoneZiggo JV Stake Value (50%, M)</t>
  </si>
  <si>
    <t>Liberty Growth Portfolio FMV (M)</t>
  </si>
  <si>
    <t>CONSOLIDATED OPS ASSUMPTIONS (10-Year Build)</t>
  </si>
  <si>
    <t>Revenue Growth %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</si>
  <si>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</si>
  <si>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</si>
  <si>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</si>
  <si>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</si>
  <si>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</si>
  <si>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</si>
  <si>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</si>
  <si>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</si>
  <si>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</si>
  <si>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</si>
  <si>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Adj. EBITDA Margin %</t>
  </si>
  <si>
    <t>SBC % of Revenue</t>
  </si>
  <si>
    <t>Capex % of Revenue</t>
  </si>
  <si>
    <t>Cash Tax Rate %</t>
  </si>
  <si>
    <t>D&amp;A % of Revenue (constant)</t>
  </si>
  <si>
    <t>Working Capital Capture % (of rev. change)</t>
  </si>
  <si>
    <t>CONSOLIDATED OPS PROJECTIONS</t>
  </si>
  <si>
    <t>Revenue</t>
  </si>
  <si>
    <t>Adj. EBITDA</t>
  </si>
  <si>
    <t>Less: SBC</t>
  </si>
  <si>
    <t>Less: D&amp;A</t>
  </si>
  <si>
    <t>EBIT (post-SBC)</t>
  </si>
  <si>
    <t>NOPAT (post-tax EBIT)</t>
  </si>
  <si>
    <t>Less: Capex</t>
  </si>
  <si>
    <t>Add: Working Capital Change</t>
  </si>
  <si>
    <t>Owner FCF</t>
  </si>
  <si>
    <t>Discount Factor</t>
  </si>
  <si>
    <t>PV of FCF</t>
  </si>
  <si>
    <t>SUM-OF-PARTS VALUATION</t>
  </si>
  <si>
    <t>Sum of PV of Consolidated-Ops FCF (Y1-10)</t>
  </si>
  <si>
    <t>Terminal FCF (Year 10 x (1+g))</t>
  </si>
  <si>
    <t>Terminal Value - Gordon Growth</t>
  </si>
  <si>
    <t>Terminal Value - Cap (x Year 10 FCF)</t>
  </si>
  <si>
    <t>Terminal Value (lower of the two)</t>
  </si>
  <si>
    <t>PV of Terminal Value</t>
  </si>
  <si>
    <t>Consolidated Ops Enterprise Value</t>
  </si>
  <si>
    <t>Add: VMO2 JV Stake Value</t>
  </si>
  <si>
    <t>Add: VodafoneZiggo JV Stake Value</t>
  </si>
  <si>
    <t>Add: Liberty Growth Portfolio FMV</t>
  </si>
  <si>
    <t>Total Enterprise Value</t>
  </si>
  <si>
    <t>Less: Net Debt</t>
  </si>
  <si>
    <t>Less: VodafoneZiggo Deal Cash Cost</t>
  </si>
  <si>
    <t>Equity Value</t>
  </si>
  <si>
    <t>INTRINSIC VALUE/SHARE</t>
  </si>
  <si>
    <t>Upside to Intrinsic Value</t>
  </si>
  <si>
    <t>NOTE: Bear case can produce a negative equity value</t>
  </si>
  <si>
    <t>given elevated opco leverage - see Scenarios sheet.</t>
  </si>
  <si>
    <t>Scenario Comparison</t>
  </si>
  <si>
    <t>Base</t>
  </si>
  <si>
    <t>Bull</t>
  </si>
  <si>
    <t>Bear</t>
  </si>
  <si>
    <t>Consolidated Ops EV</t>
  </si>
  <si>
    <t>VMO2 Stake Value</t>
  </si>
  <si>
    <t>VodafoneZiggo Stake Value</t>
  </si>
  <si>
    <t>Liberty Growth FMV</t>
  </si>
  <si>
    <t>Intrinsic Value/Share</t>
  </si>
  <si>
    <t>Upside vs Current Price</t>
  </si>
  <si>
    <t>Probability Weight</t>
  </si>
  <si>
    <t>Probability-Weighted IV</t>
  </si>
  <si>
    <t>Upside from Current</t>
  </si>
  <si>
    <t>Current Price</t>
  </si>
  <si>
    <t>Sensitivity Analysis (Base Case)</t>
  </si>
  <si>
    <t>Intrinsic Value by Consolidated-Ops WACC &amp; Terminal Growth (JV stakes / Liberty Growth held constant)</t>
  </si>
  <si>
    <t>WACC \ Term G</t>
  </si>
  <si>
    <t>Current Price:</t>
  </si>
  <si>
    <t>FCF Quality Reconciliation</t>
  </si>
  <si>
    <t>Reported FCF (company definition) includes JV cash distributions as an operating inflow.</t>
  </si>
  <si>
    <t>This model VALUES JV stakes separately (sum-of-parts), so the consolidated-ops DCF component</t>
  </si>
  <si>
    <t>uses FCF EX-JV-distributions to avoid double-counting.</t>
  </si>
  <si>
    <t>FY2023</t>
  </si>
  <si>
    <t>FY2024</t>
  </si>
  <si>
    <t>FY2025</t>
  </si>
  <si>
    <t>OCF, continuing operations</t>
  </si>
  <si>
    <t>Less: JV dividend distributions received</t>
  </si>
  <si>
    <t>Memo: Reported FCF (company/CSV definition)</t>
  </si>
  <si>
    <t>Consolidated Revenue</t>
  </si>
  <si>
    <t>Reported FCF Margin %</t>
  </si>
  <si>
    <t>Consolidated Ops FCF Margin (ex-JV dist) %</t>
  </si>
  <si>
    <t>SBC ($M)</t>
  </si>
  <si>
    <t>Buyback Cash ($M)</t>
  </si>
  <si>
    <t>Cash Tax: FY2025 income tax BENEFIT of $75.8M</t>
  </si>
  <si>
    <t>(Bermuda 15% statutory rate; $2.09B valuation allowance shields most jurisdictions)</t>
  </si>
  <si>
    <t>Model Provenance &amp; Notes</t>
  </si>
  <si>
    <t>Built by</t>
  </si>
  <si>
    <t>Claude dcf-analyst agent, Stocks Research project</t>
  </si>
  <si>
    <t>Data vintage</t>
  </si>
  <si>
    <t>Share price fetched live 2026-08-01 ($10.61). Balance sheet data as of Q2-2026 10-Q (June 30, 2026). SBC/buyback data from FY2025 10-K (filed Feb 18, 2026). JV EBITDA figures from Q2-2026 earnings press release (July 24, 2026).</t>
  </si>
  <si>
    <t>Methodology</t>
  </si>
  <si>
    <t>SUM-OF-THE-PARTS, not a single-block consolidated DCF. LBTYA consolidated financials only cover Telenet, Wyre, VM Ireland and Corporate &amp; Services; the 50% VMO2 and VodafoneZiggo JVs are equity-method and invisible in consolidated revenue/EBITDA/FCF. Components: (1) 10-year component-built owner-FCF DCF on consolidated ops only (revenue -&gt; EBITDA -&gt; less SBC -&gt; less D&amp;A -&gt; NOPAT -&gt; +D&amp;A -&gt; less capex -&gt; +/- working capital change); (2) VMO2 and VodafoneZiggo JV stakes valued via EV/EBITDA cross-checked against equity-method carrying values; (3) Liberty Growth portfolio at management-reported FMV ($3.4B, not DCF-projected); less consolidated net debt and the pending ~$1.16B VodafoneZiggo stake buy-in cash cost.</t>
  </si>
  <si>
    <t>Why 10-year horizon for consolidated ops</t>
  </si>
  <si>
    <t>Consolidated-ops owner FCF is still negative in Years 1-4 of the base case (working through the Wyre/Telenet fiber capex cycle) and does not reach a mature margin (~4-5% of revenue) until around Year 10. A 5-year horizon would capitalize an immature, still-negative-to-thin margin in perpetuity, materially understating the business per the standard component-build policy.</t>
  </si>
  <si>
    <t>Why entry price is negative in the base case</t>
  </si>
  <si>
    <t>The 15% IRR hurdle exceeds the 9.5% WACC used for intrinsic value, and IV ($8.61) already sits below the current price ($10.61) in the base case -- i.e. base case does not clear even the lower WACC hurdle, so it cannot clear the higher 15% hurdle either. The bull-case entry price ($12.91) is the more decision-useful reference point: it says the current price already clears a 15% IRR IF the bull scenario (Ziggo Group synergies, VodafoneZiggo turnaround, Liberty Growth appreciation) plays out.</t>
  </si>
  <si>
    <t>Pending VodafoneZiggo transaction</t>
  </si>
  <si>
    <t>On 2026-02-18 Liberty Global agreed to buy Vodafone's remaining 50% of VodafoneZiggo for EUR 1.0bn (~$1.16bn) cash + a 10% stake in a new "Ziggo Group" holding company (Telenet + VodafoneZiggo, ex-Wyre), targeting a 2027 Euronext Amsterdam listing/spin-off. Per the Q2-2026 earnings call (2026-07-24), all regulatory approvals were obtained and close was expected "end of July 2026" -- i.e. AFTER the June 30, 2026 balance sheet used for net debt in this model. The $1.16bn cash cost is subtracted as a near-certain use of cash across all scenarios; the ~$1B of stated synergies and the 2027 spin-off value-unlock are treated as bull-case-only optionality, not underwritten in the base case.</t>
  </si>
  <si>
    <t>What to refresh after next earnings</t>
  </si>
  <si>
    <t>Re-pull Q3-2026 10-Q for updated net debt/cash. Confirm VodafoneZiggo transaction closing and update from "pending cash cost" to "consolidated" if closed -- this would be a major model structure change (VodafoneZiggo would move from a JV stake block to full consolidation within Ziggo Group, with Vodafone's 10% as a minority interest). Re-check FY2026 buyback actuals against the $200M authorization. Re-check Telenet Adjusted FCF guidance delivery (~EUR20M target, first positive year since Wyre buildout began) as the key proof point for the consolidated-ops margin recovery path.</t>
  </si>
  <si>
    <t>Cell colour conventions</t>
  </si>
  <si>
    <t>Gray cells = editable inputs. Green cells = key output/result. Red cells = warning/flag (e.g. bear-case negative equity value). All other cells contain formulas and should not normally be edited directly.</t>
  </si>
  <si>
    <t>Staleness warning</t>
  </si>
  <si>
    <t>All figures in this model will go stale as new quarterly results, buyback activity, and the VodafoneZiggo transaction closing are reported. Re-verify net debt, share count, JV distribution guidance and Liberty Growth FMV before relying on this model more than one quarter after the data vintage above.</t>
  </si>
</sst>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&quot;$&quot;#,##0.00"/>
  </numFmts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D6303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/>
    <xf numFmtId="164" fontId="0" fillId="2" borderId="2" xfId="0" applyNumberFormat="1" applyFill="1" applyBorder="1"/>
    <xf numFmtId="165" fontId="0" fillId="2" borderId="2" xfId="0" applyNumberFormat="1" applyFill="1" applyBorder="1"/>
    <xf numFmtId="0" fontId="4" fillId="3" borderId="2" xfId="0" applyFont="1" applyFill="1" applyBorder="1"/>
    <xf numFmtId="164" fontId="0" fillId="0" borderId="2" xfId="0" applyNumberFormat="1" applyBorder="1"/>
    <xf numFmtId="0" fontId="5" fillId="0" borderId="0" xfId="0" applyFont="1"/>
    <xf numFmtId="166" fontId="4" fillId="4" borderId="2" xfId="0" applyNumberFormat="1" applyFont="1" applyFill="1" applyBorder="1"/>
    <xf numFmtId="165" fontId="0" fillId="0" borderId="2" xfId="0" applyNumberFormat="1" applyBorder="1"/>
    <xf numFmtId="166" fontId="4" fillId="5" borderId="2" xfId="0" applyNumberFormat="1" applyFont="1" applyFill="1" applyBorder="1"/>
    <xf numFmtId="0" fontId="0" fillId="0" borderId="0" xfId="0" applyAlignment="1">
      <alignment vertical="top" wrapText="1"/>
    </xf>
    <xf numFmtId="166" fontId="0" fillId="0" borderId="2" xfId="0" applyNumberFormat="1" applyBorder="1"/>
    <xf numFmtId="165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cols>
    <col min="1" max="1" width="30.7109375" customWidth="1"/>
    <col min="2" max="12" width="12.7109375" customWidth="1"/>
  </cols>
  <sheetData>
    <row r="1" spans="1:2">
      <c r="A1" s="1" t="s">
        <v>0</v>
      </c>
    </row>
    <row r="2" spans="1:2" ht="30" customHeight="1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10.61</v>
      </c>
    </row>
    <row r="6" spans="1:2">
      <c r="A6" t="s">
        <v>4</v>
      </c>
      <c r="B6" s="4">
        <v>339.986</v>
      </c>
    </row>
    <row r="7" spans="1:2">
      <c r="A7" t="s">
        <v>5</v>
      </c>
      <c r="B7" s="4">
        <v>5931.7</v>
      </c>
    </row>
    <row r="8" spans="1:2">
      <c r="A8" t="s">
        <v>6</v>
      </c>
      <c r="B8" s="4">
        <v>1160</v>
      </c>
    </row>
    <row r="10" spans="1:2">
      <c r="A10" t="s">
        <v>7</v>
      </c>
      <c r="B10" s="5">
        <v>0.095</v>
      </c>
    </row>
    <row r="11" spans="1:2">
      <c r="A11" t="s">
        <v>8</v>
      </c>
      <c r="B11" s="5">
        <v>0.02</v>
      </c>
    </row>
    <row r="12" spans="1:2">
      <c r="A12" t="s">
        <v>9</v>
      </c>
      <c r="B12" s="4">
        <v>15</v>
      </c>
    </row>
    <row r="14" spans="1:2">
      <c r="A14" s="3" t="s">
        <v>10</v>
      </c>
    </row>
    <row r="15" spans="1:2">
      <c r="A15" t="s">
        <v>11</v>
      </c>
      <c r="B15" s="4">
        <v>3613</v>
      </c>
    </row>
    <row r="16" spans="1:2">
      <c r="A16" t="s">
        <v>12</v>
      </c>
      <c r="B16" s="4">
        <v>1623.8</v>
      </c>
    </row>
    <row r="17" spans="1:11">
      <c r="A17" t="s">
        <v>13</v>
      </c>
      <c r="B17" s="4">
        <v>3400</v>
      </c>
    </row>
    <row r="19" spans="1:11">
      <c r="A19" s="3" t="s">
        <v>14</v>
      </c>
    </row>
    <row r="20" spans="1:11">
      <c r="B20" s="6" t="s">
        <v>16</v>
      </c>
      <c r="C20" s="6" t="s">
        <v>17</v>
      </c>
      <c r="D20" s="6" t="s">
        <v>18</v>
      </c>
      <c r="E20" s="6" t="s">
        <v>19</v>
      </c>
      <c r="F20" s="6" t="s">
        <v>20</v>
      </c>
      <c r="G20" s="6" t="s">
        <v>21</v>
      </c>
      <c r="H20" s="6" t="s">
        <v>22</v>
      </c>
      <c r="I20" s="6" t="s">
        <v>23</v>
      </c>
      <c r="J20" s="6" t="s">
        <v>24</v>
      </c>
      <c r="K20" s="6" t="s">
        <v>25</v>
      </c>
    </row>
    <row r="21" spans="1:11">
      <c r="A21" t="s">
        <v>15</v>
      </c>
      <c r="B21" s="5">
        <v>0.01</v>
      </c>
      <c r="C21" s="5">
        <v>0.01</v>
      </c>
      <c r="D21" s="5">
        <v>0.015</v>
      </c>
      <c r="E21" s="5">
        <v>0.015</v>
      </c>
      <c r="F21" s="5">
        <v>0.02</v>
      </c>
      <c r="G21" s="5">
        <v>0.02</v>
      </c>
      <c r="H21" s="5">
        <v>0.02</v>
      </c>
      <c r="I21" s="5">
        <v>0.02</v>
      </c>
      <c r="J21" s="5">
        <v>0.02</v>
      </c>
      <c r="K21" s="5">
        <v>0.02</v>
      </c>
    </row>
    <row r="22" spans="1:11">
      <c r="A22" t="s">
        <v>26</v>
      </c>
      <c r="B22" s="5">
        <v>0.215</v>
      </c>
      <c r="C22" s="5">
        <v>0.225</v>
      </c>
      <c r="D22" s="5">
        <v>0.235</v>
      </c>
      <c r="E22" s="5">
        <v>0.243</v>
      </c>
      <c r="F22" s="5">
        <v>0.25</v>
      </c>
      <c r="G22" s="5">
        <v>0.255</v>
      </c>
      <c r="H22" s="5">
        <v>0.258</v>
      </c>
      <c r="I22" s="5">
        <v>0.26</v>
      </c>
      <c r="J22" s="5">
        <v>0.262</v>
      </c>
      <c r="K22" s="5">
        <v>0.263</v>
      </c>
    </row>
    <row r="23" spans="1:11">
      <c r="A23" t="s">
        <v>27</v>
      </c>
      <c r="B23" s="5">
        <v>0.035</v>
      </c>
      <c r="C23" s="5">
        <v>0.034</v>
      </c>
      <c r="D23" s="5">
        <v>0.033</v>
      </c>
      <c r="E23" s="5">
        <v>0.032</v>
      </c>
      <c r="F23" s="5">
        <v>0.031</v>
      </c>
      <c r="G23" s="5">
        <v>0.03</v>
      </c>
      <c r="H23" s="5">
        <v>0.029</v>
      </c>
      <c r="I23" s="5">
        <v>0.028</v>
      </c>
      <c r="J23" s="5">
        <v>0.027</v>
      </c>
      <c r="K23" s="5">
        <v>0.026</v>
      </c>
    </row>
    <row r="24" spans="1:11">
      <c r="A24" t="s">
        <v>28</v>
      </c>
      <c r="B24" s="5">
        <v>0.26</v>
      </c>
      <c r="C24" s="5">
        <v>0.24</v>
      </c>
      <c r="D24" s="5">
        <v>0.225</v>
      </c>
      <c r="E24" s="5">
        <v>0.215</v>
      </c>
      <c r="F24" s="5">
        <v>0.205</v>
      </c>
      <c r="G24" s="5">
        <v>0.2</v>
      </c>
      <c r="H24" s="5">
        <v>0.195</v>
      </c>
      <c r="I24" s="5">
        <v>0.19</v>
      </c>
      <c r="J24" s="5">
        <v>0.185</v>
      </c>
      <c r="K24" s="5">
        <v>0.18</v>
      </c>
    </row>
    <row r="25" spans="1:11">
      <c r="A25" t="s">
        <v>29</v>
      </c>
      <c r="B25" s="5">
        <v>0.05</v>
      </c>
      <c r="C25" s="5">
        <v>0.06</v>
      </c>
      <c r="D25" s="5">
        <v>0.08</v>
      </c>
      <c r="E25" s="5">
        <v>0.1</v>
      </c>
      <c r="F25" s="5">
        <v>0.12</v>
      </c>
      <c r="G25" s="5">
        <v>0.13</v>
      </c>
      <c r="H25" s="5">
        <v>0.14</v>
      </c>
      <c r="I25" s="5">
        <v>0.15</v>
      </c>
      <c r="J25" s="5">
        <v>0.15</v>
      </c>
      <c r="K25" s="5">
        <v>0.15</v>
      </c>
    </row>
    <row r="26" spans="1:11">
      <c r="A26" t="s">
        <v>30</v>
      </c>
      <c r="B26" s="5">
        <v>0.18</v>
      </c>
    </row>
    <row r="27" spans="1:11">
      <c r="A27" t="s">
        <v>31</v>
      </c>
      <c r="B27" s="5">
        <v>0.05</v>
      </c>
    </row>
    <row r="29" spans="1:11">
      <c r="A29" s="3" t="s">
        <v>32</v>
      </c>
    </row>
    <row r="31" spans="1:11">
      <c r="A31" t="s">
        <v>33</v>
      </c>
      <c r="B31" s="7">
        <f>4878.514851485149*(1+B21)</f>
        <v>0</v>
      </c>
      <c r="C31" s="7">
        <f>B31*(1+C21)</f>
        <v>0</v>
      </c>
      <c r="D31" s="7">
        <f>C31*(1+D21)</f>
        <v>0</v>
      </c>
      <c r="E31" s="7">
        <f>D31*(1+E21)</f>
        <v>0</v>
      </c>
      <c r="F31" s="7">
        <f>E31*(1+F21)</f>
        <v>0</v>
      </c>
      <c r="G31" s="7">
        <f>F31*(1+G21)</f>
        <v>0</v>
      </c>
      <c r="H31" s="7">
        <f>G31*(1+H21)</f>
        <v>0</v>
      </c>
      <c r="I31" s="7">
        <f>H31*(1+I21)</f>
        <v>0</v>
      </c>
      <c r="J31" s="7">
        <f>I31*(1+J21)</f>
        <v>0</v>
      </c>
      <c r="K31" s="7">
        <f>J31*(1+K21)</f>
        <v>0</v>
      </c>
    </row>
    <row r="32" spans="1:11">
      <c r="A32" t="s">
        <v>34</v>
      </c>
      <c r="B32" s="7">
        <f>B31*B22</f>
        <v>0</v>
      </c>
      <c r="C32" s="7">
        <f>C31*C22</f>
        <v>0</v>
      </c>
      <c r="D32" s="7">
        <f>D31*D22</f>
        <v>0</v>
      </c>
      <c r="E32" s="7">
        <f>E31*E22</f>
        <v>0</v>
      </c>
      <c r="F32" s="7">
        <f>F31*F22</f>
        <v>0</v>
      </c>
      <c r="G32" s="7">
        <f>G31*G22</f>
        <v>0</v>
      </c>
      <c r="H32" s="7">
        <f>H31*H22</f>
        <v>0</v>
      </c>
      <c r="I32" s="7">
        <f>I31*I22</f>
        <v>0</v>
      </c>
      <c r="J32" s="7">
        <f>J31*J22</f>
        <v>0</v>
      </c>
      <c r="K32" s="7">
        <f>K31*K22</f>
        <v>0</v>
      </c>
    </row>
    <row r="33" spans="1:11">
      <c r="A33" t="s">
        <v>35</v>
      </c>
      <c r="B33" s="7">
        <f>B31*B23</f>
        <v>0</v>
      </c>
      <c r="C33" s="7">
        <f>C31*C23</f>
        <v>0</v>
      </c>
      <c r="D33" s="7">
        <f>D31*D23</f>
        <v>0</v>
      </c>
      <c r="E33" s="7">
        <f>E31*E23</f>
        <v>0</v>
      </c>
      <c r="F33" s="7">
        <f>F31*F23</f>
        <v>0</v>
      </c>
      <c r="G33" s="7">
        <f>G31*G23</f>
        <v>0</v>
      </c>
      <c r="H33" s="7">
        <f>H31*H23</f>
        <v>0</v>
      </c>
      <c r="I33" s="7">
        <f>I31*I23</f>
        <v>0</v>
      </c>
      <c r="J33" s="7">
        <f>J31*J23</f>
        <v>0</v>
      </c>
      <c r="K33" s="7">
        <f>K31*K23</f>
        <v>0</v>
      </c>
    </row>
    <row r="34" spans="1:11">
      <c r="A34" t="s">
        <v>36</v>
      </c>
      <c r="B34" s="7">
        <f>B31*$B$26</f>
        <v>0</v>
      </c>
      <c r="C34" s="7">
        <f>C31*$B$26</f>
        <v>0</v>
      </c>
      <c r="D34" s="7">
        <f>D31*$B$26</f>
        <v>0</v>
      </c>
      <c r="E34" s="7">
        <f>E31*$B$26</f>
        <v>0</v>
      </c>
      <c r="F34" s="7">
        <f>F31*$B$26</f>
        <v>0</v>
      </c>
      <c r="G34" s="7">
        <f>G31*$B$26</f>
        <v>0</v>
      </c>
      <c r="H34" s="7">
        <f>H31*$B$26</f>
        <v>0</v>
      </c>
      <c r="I34" s="7">
        <f>I31*$B$26</f>
        <v>0</v>
      </c>
      <c r="J34" s="7">
        <f>J31*$B$26</f>
        <v>0</v>
      </c>
      <c r="K34" s="7">
        <f>K31*$B$26</f>
        <v>0</v>
      </c>
    </row>
    <row r="35" spans="1:11">
      <c r="A35" t="s">
        <v>37</v>
      </c>
      <c r="B35" s="7">
        <f>B32-B33-B34</f>
        <v>0</v>
      </c>
      <c r="C35" s="7">
        <f>C32-C33-C34</f>
        <v>0</v>
      </c>
      <c r="D35" s="7">
        <f>D32-D33-D34</f>
        <v>0</v>
      </c>
      <c r="E35" s="7">
        <f>E32-E33-E34</f>
        <v>0</v>
      </c>
      <c r="F35" s="7">
        <f>F32-F33-F34</f>
        <v>0</v>
      </c>
      <c r="G35" s="7">
        <f>G32-G33-G34</f>
        <v>0</v>
      </c>
      <c r="H35" s="7">
        <f>H32-H33-H34</f>
        <v>0</v>
      </c>
      <c r="I35" s="7">
        <f>I32-I33-I34</f>
        <v>0</v>
      </c>
      <c r="J35" s="7">
        <f>J32-J33-J34</f>
        <v>0</v>
      </c>
      <c r="K35" s="7">
        <f>K32-K33-K34</f>
        <v>0</v>
      </c>
    </row>
    <row r="36" spans="1:11">
      <c r="A36" t="s">
        <v>38</v>
      </c>
      <c r="B36" s="7">
        <f>B35*(1-B25)</f>
        <v>0</v>
      </c>
      <c r="C36" s="7">
        <f>C35*(1-C25)</f>
        <v>0</v>
      </c>
      <c r="D36" s="7">
        <f>D35*(1-D25)</f>
        <v>0</v>
      </c>
      <c r="E36" s="7">
        <f>E35*(1-E25)</f>
        <v>0</v>
      </c>
      <c r="F36" s="7">
        <f>F35*(1-F25)</f>
        <v>0</v>
      </c>
      <c r="G36" s="7">
        <f>G35*(1-G25)</f>
        <v>0</v>
      </c>
      <c r="H36" s="7">
        <f>H35*(1-H25)</f>
        <v>0</v>
      </c>
      <c r="I36" s="7">
        <f>I35*(1-I25)</f>
        <v>0</v>
      </c>
      <c r="J36" s="7">
        <f>J35*(1-J25)</f>
        <v>0</v>
      </c>
      <c r="K36" s="7">
        <f>K35*(1-K25)</f>
        <v>0</v>
      </c>
    </row>
    <row r="37" spans="1:11">
      <c r="A37" t="s">
        <v>39</v>
      </c>
      <c r="B37" s="7">
        <f>B31*B24</f>
        <v>0</v>
      </c>
      <c r="C37" s="7">
        <f>C31*C24</f>
        <v>0</v>
      </c>
      <c r="D37" s="7">
        <f>D31*D24</f>
        <v>0</v>
      </c>
      <c r="E37" s="7">
        <f>E31*E24</f>
        <v>0</v>
      </c>
      <c r="F37" s="7">
        <f>F31*F24</f>
        <v>0</v>
      </c>
      <c r="G37" s="7">
        <f>G31*G24</f>
        <v>0</v>
      </c>
      <c r="H37" s="7">
        <f>H31*H24</f>
        <v>0</v>
      </c>
      <c r="I37" s="7">
        <f>I31*I24</f>
        <v>0</v>
      </c>
      <c r="J37" s="7">
        <f>J31*J24</f>
        <v>0</v>
      </c>
      <c r="K37" s="7">
        <f>K31*K24</f>
        <v>0</v>
      </c>
    </row>
    <row r="38" spans="1:11">
      <c r="A38" t="s">
        <v>40</v>
      </c>
      <c r="B38" s="7">
        <f>$B$27*(B31-4878.514851485149)</f>
        <v>0</v>
      </c>
      <c r="C38" s="7">
        <f>$B$27*(C31-B31)</f>
        <v>0</v>
      </c>
      <c r="D38" s="7">
        <f>$B$27*(D31-C31)</f>
        <v>0</v>
      </c>
      <c r="E38" s="7">
        <f>$B$27*(E31-D31)</f>
        <v>0</v>
      </c>
      <c r="F38" s="7">
        <f>$B$27*(F31-E31)</f>
        <v>0</v>
      </c>
      <c r="G38" s="7">
        <f>$B$27*(G31-F31)</f>
        <v>0</v>
      </c>
      <c r="H38" s="7">
        <f>$B$27*(H31-G31)</f>
        <v>0</v>
      </c>
      <c r="I38" s="7">
        <f>$B$27*(I31-H31)</f>
        <v>0</v>
      </c>
      <c r="J38" s="7">
        <f>$B$27*(J31-I31)</f>
        <v>0</v>
      </c>
      <c r="K38" s="7">
        <f>$B$27*(K31-J31)</f>
        <v>0</v>
      </c>
    </row>
    <row r="39" spans="1:11">
      <c r="A39" t="s">
        <v>41</v>
      </c>
      <c r="B39" s="7">
        <f>B36+B34-B37+B38</f>
        <v>0</v>
      </c>
      <c r="C39" s="7">
        <f>C36+C34-C37+C38</f>
        <v>0</v>
      </c>
      <c r="D39" s="7">
        <f>D36+D34-D37+D38</f>
        <v>0</v>
      </c>
      <c r="E39" s="7">
        <f>E36+E34-E37+E38</f>
        <v>0</v>
      </c>
      <c r="F39" s="7">
        <f>F36+F34-F37+F38</f>
        <v>0</v>
      </c>
      <c r="G39" s="7">
        <f>G36+G34-G37+G38</f>
        <v>0</v>
      </c>
      <c r="H39" s="7">
        <f>H36+H34-H37+H38</f>
        <v>0</v>
      </c>
      <c r="I39" s="7">
        <f>I36+I34-I37+I38</f>
        <v>0</v>
      </c>
      <c r="J39" s="7">
        <f>J36+J34-J37+J38</f>
        <v>0</v>
      </c>
      <c r="K39" s="7">
        <f>K36+K34-K37+K38</f>
        <v>0</v>
      </c>
    </row>
    <row r="40" spans="1:11">
      <c r="A40" t="s">
        <v>42</v>
      </c>
      <c r="B40" s="7">
        <f>1/(1+$B$10)^1</f>
        <v>0</v>
      </c>
      <c r="C40" s="7">
        <f>1/(1+$B$10)^2</f>
        <v>0</v>
      </c>
      <c r="D40" s="7">
        <f>1/(1+$B$10)^3</f>
        <v>0</v>
      </c>
      <c r="E40" s="7">
        <f>1/(1+$B$10)^4</f>
        <v>0</v>
      </c>
      <c r="F40" s="7">
        <f>1/(1+$B$10)^5</f>
        <v>0</v>
      </c>
      <c r="G40" s="7">
        <f>1/(1+$B$10)^6</f>
        <v>0</v>
      </c>
      <c r="H40" s="7">
        <f>1/(1+$B$10)^7</f>
        <v>0</v>
      </c>
      <c r="I40" s="7">
        <f>1/(1+$B$10)^8</f>
        <v>0</v>
      </c>
      <c r="J40" s="7">
        <f>1/(1+$B$10)^9</f>
        <v>0</v>
      </c>
      <c r="K40" s="7">
        <f>1/(1+$B$10)^10</f>
        <v>0</v>
      </c>
    </row>
    <row r="41" spans="1:11">
      <c r="A41" t="s">
        <v>43</v>
      </c>
      <c r="B41" s="7">
        <f>B39*B40</f>
        <v>0</v>
      </c>
      <c r="C41" s="7">
        <f>C39*C40</f>
        <v>0</v>
      </c>
      <c r="D41" s="7">
        <f>D39*D40</f>
        <v>0</v>
      </c>
      <c r="E41" s="7">
        <f>E39*E40</f>
        <v>0</v>
      </c>
      <c r="F41" s="7">
        <f>F39*F40</f>
        <v>0</v>
      </c>
      <c r="G41" s="7">
        <f>G39*G40</f>
        <v>0</v>
      </c>
      <c r="H41" s="7">
        <f>H39*H40</f>
        <v>0</v>
      </c>
      <c r="I41" s="7">
        <f>I39*I40</f>
        <v>0</v>
      </c>
      <c r="J41" s="7">
        <f>J39*J40</f>
        <v>0</v>
      </c>
      <c r="K41" s="7">
        <f>K39*K40</f>
        <v>0</v>
      </c>
    </row>
    <row r="43" spans="1:11">
      <c r="A43" s="3" t="s">
        <v>44</v>
      </c>
    </row>
    <row r="44" spans="1:11">
      <c r="A44" t="s">
        <v>45</v>
      </c>
      <c r="B44" s="7">
        <f>SUM(B41:K41)</f>
        <v>0</v>
      </c>
    </row>
    <row r="45" spans="1:11">
      <c r="A45" t="s">
        <v>46</v>
      </c>
      <c r="B45" s="7">
        <f>K39*(1+$B$11)</f>
        <v>0</v>
      </c>
    </row>
    <row r="46" spans="1:11">
      <c r="A46" t="s">
        <v>47</v>
      </c>
      <c r="B46" s="7">
        <f>B45/($B$10-$B$11)</f>
        <v>0</v>
      </c>
    </row>
    <row r="47" spans="1:11">
      <c r="A47" t="s">
        <v>48</v>
      </c>
      <c r="B47" s="7">
        <f>$B$12*K39</f>
        <v>0</v>
      </c>
    </row>
    <row r="48" spans="1:11">
      <c r="A48" t="s">
        <v>49</v>
      </c>
      <c r="B48" s="7">
        <f>MIN(B46,B47)</f>
        <v>0</v>
      </c>
    </row>
    <row r="49" spans="1:2">
      <c r="A49" t="s">
        <v>50</v>
      </c>
      <c r="B49" s="7">
        <f>B48*K40</f>
        <v>0</v>
      </c>
    </row>
    <row r="50" spans="1:2">
      <c r="A50" t="s">
        <v>51</v>
      </c>
      <c r="B50" s="7">
        <f>B44+B49</f>
        <v>0</v>
      </c>
    </row>
    <row r="52" spans="1:2">
      <c r="A52" t="s">
        <v>52</v>
      </c>
      <c r="B52" s="7">
        <f>B15</f>
        <v>0</v>
      </c>
    </row>
    <row r="53" spans="1:2">
      <c r="A53" t="s">
        <v>53</v>
      </c>
      <c r="B53" s="7">
        <f>B16</f>
        <v>0</v>
      </c>
    </row>
    <row r="54" spans="1:2">
      <c r="A54" t="s">
        <v>54</v>
      </c>
      <c r="B54" s="7">
        <f>B17</f>
        <v>0</v>
      </c>
    </row>
    <row r="55" spans="1:2">
      <c r="A55" s="8" t="s">
        <v>55</v>
      </c>
      <c r="B55" s="7">
        <f>B50+B52+B53+B54</f>
        <v>0</v>
      </c>
    </row>
    <row r="56" spans="1:2">
      <c r="A56" t="s">
        <v>56</v>
      </c>
      <c r="B56" s="7">
        <f>B7</f>
        <v>0</v>
      </c>
    </row>
    <row r="57" spans="1:2">
      <c r="A57" t="s">
        <v>57</v>
      </c>
      <c r="B57" s="7">
        <f>B8</f>
        <v>0</v>
      </c>
    </row>
    <row r="58" spans="1:2">
      <c r="A58" s="8" t="s">
        <v>58</v>
      </c>
      <c r="B58" s="7">
        <f>B55-B56-B57</f>
        <v>0</v>
      </c>
    </row>
    <row r="59" spans="1:2">
      <c r="A59" s="8" t="s">
        <v>59</v>
      </c>
      <c r="B59" s="9">
        <f>B58/B6</f>
        <v>0</v>
      </c>
    </row>
    <row r="61" spans="1:2">
      <c r="A61" t="s">
        <v>60</v>
      </c>
      <c r="B61" s="10">
        <f>(B59-B5)/B5</f>
        <v>0</v>
      </c>
    </row>
    <row r="63" spans="1:2">
      <c r="A63" s="11" t="s">
        <v>61</v>
      </c>
    </row>
    <row r="64" spans="1:2">
      <c r="A64" s="1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cols>
    <col min="1" max="1" width="32.7109375" customWidth="1"/>
    <col min="2" max="4" width="16.7109375" customWidth="1"/>
  </cols>
  <sheetData>
    <row r="1" spans="1:4">
      <c r="A1" s="1" t="s">
        <v>63</v>
      </c>
    </row>
    <row r="3" spans="1:4">
      <c r="A3" s="6"/>
      <c r="B3" s="6" t="s">
        <v>64</v>
      </c>
      <c r="C3" s="6" t="s">
        <v>65</v>
      </c>
      <c r="D3" s="6" t="s">
        <v>66</v>
      </c>
    </row>
    <row r="5" spans="1:4">
      <c r="A5" t="s">
        <v>67</v>
      </c>
      <c r="B5" s="7">
        <v>1383.4</v>
      </c>
      <c r="C5" s="7">
        <v>6643.2</v>
      </c>
      <c r="D5" s="7">
        <v>-2129.8</v>
      </c>
    </row>
    <row r="6" spans="1:4">
      <c r="A6" t="s">
        <v>68</v>
      </c>
      <c r="B6" s="7">
        <v>3613</v>
      </c>
      <c r="C6" s="7">
        <v>4500</v>
      </c>
      <c r="D6" s="7">
        <v>2800</v>
      </c>
    </row>
    <row r="7" spans="1:4">
      <c r="A7" t="s">
        <v>69</v>
      </c>
      <c r="B7" s="7">
        <v>1623.8</v>
      </c>
      <c r="C7" s="7">
        <v>2192</v>
      </c>
      <c r="D7" s="7">
        <v>1299</v>
      </c>
    </row>
    <row r="8" spans="1:4">
      <c r="A8" t="s">
        <v>70</v>
      </c>
      <c r="B8" s="7">
        <v>3400</v>
      </c>
      <c r="C8" s="7">
        <v>3800</v>
      </c>
      <c r="D8" s="7">
        <v>2700</v>
      </c>
    </row>
    <row r="9" spans="1:4">
      <c r="A9" t="s">
        <v>55</v>
      </c>
      <c r="B9" s="7">
        <v>10020.2</v>
      </c>
      <c r="C9" s="7">
        <v>17135.2</v>
      </c>
      <c r="D9" s="7">
        <v>4669.2</v>
      </c>
    </row>
    <row r="10" spans="1:4">
      <c r="A10" t="s">
        <v>58</v>
      </c>
      <c r="B10" s="7">
        <v>2928.5</v>
      </c>
      <c r="C10" s="7">
        <v>10043.5</v>
      </c>
      <c r="D10" s="7">
        <v>-2422.5</v>
      </c>
    </row>
    <row r="12" spans="1:4">
      <c r="A12" s="8" t="s">
        <v>71</v>
      </c>
      <c r="B12" s="9">
        <v>8.609999999999999</v>
      </c>
      <c r="C12" s="9">
        <v>29.54</v>
      </c>
      <c r="D12" s="11">
        <v>-7.13</v>
      </c>
    </row>
    <row r="13" spans="1:4">
      <c r="A13" t="s">
        <v>72</v>
      </c>
      <c r="B13" s="10">
        <v>-0.188</v>
      </c>
      <c r="C13" s="10">
        <v>1.784</v>
      </c>
      <c r="D13" s="10">
        <v>-1.672</v>
      </c>
    </row>
    <row r="15" spans="1:4">
      <c r="A15" t="s">
        <v>73</v>
      </c>
      <c r="B15" s="10">
        <v>0.5</v>
      </c>
      <c r="C15" s="10">
        <v>0.3</v>
      </c>
      <c r="D15" s="10">
        <v>0.2</v>
      </c>
    </row>
    <row r="17" spans="1:2">
      <c r="A17" s="8" t="s">
        <v>74</v>
      </c>
      <c r="B17" s="9">
        <v>11.74</v>
      </c>
    </row>
    <row r="18" spans="1:2">
      <c r="A18" t="s">
        <v>75</v>
      </c>
      <c r="B18" s="10">
        <v>0.107</v>
      </c>
    </row>
    <row r="20" spans="1:2">
      <c r="A20" t="s">
        <v>76</v>
      </c>
      <c r="B20" s="13">
        <v>10.61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8.7109375" customWidth="1"/>
    <col min="2" max="6" width="12.7109375" customWidth="1"/>
  </cols>
  <sheetData>
    <row r="1" spans="1:6">
      <c r="A1" s="1" t="s">
        <v>77</v>
      </c>
    </row>
    <row r="2" spans="1:6">
      <c r="A2" t="s">
        <v>78</v>
      </c>
    </row>
    <row r="4" spans="1:6">
      <c r="A4" s="6" t="s">
        <v>79</v>
      </c>
      <c r="B4" s="14">
        <v>0.01</v>
      </c>
      <c r="C4" s="14">
        <v>0.015</v>
      </c>
      <c r="D4" s="14">
        <v>0.02</v>
      </c>
      <c r="E4" s="14">
        <v>0.025</v>
      </c>
      <c r="F4" s="14">
        <v>0.03</v>
      </c>
    </row>
    <row r="5" spans="1:6">
      <c r="A5" s="14">
        <v>0.075</v>
      </c>
      <c r="B5" s="13">
        <v>10.29</v>
      </c>
      <c r="C5" s="13">
        <v>10.29</v>
      </c>
      <c r="D5" s="13">
        <v>10.29</v>
      </c>
      <c r="E5" s="13">
        <v>10.29</v>
      </c>
      <c r="F5" s="13">
        <v>10.29</v>
      </c>
    </row>
    <row r="6" spans="1:6">
      <c r="A6" s="14">
        <v>0.08500000000000001</v>
      </c>
      <c r="B6" s="13">
        <v>9.09</v>
      </c>
      <c r="C6" s="13">
        <v>9.470000000000001</v>
      </c>
      <c r="D6" s="13">
        <v>9.66</v>
      </c>
      <c r="E6" s="13">
        <v>9.66</v>
      </c>
      <c r="F6" s="13">
        <v>9.66</v>
      </c>
    </row>
    <row r="7" spans="1:6">
      <c r="A7" s="14">
        <v>0.095</v>
      </c>
      <c r="B7" s="13">
        <v>8.029999999999999</v>
      </c>
      <c r="C7" s="13">
        <v>8.300000000000001</v>
      </c>
      <c r="D7" s="13">
        <v>8.609999999999999</v>
      </c>
      <c r="E7" s="13">
        <v>8.970000000000001</v>
      </c>
      <c r="F7" s="13">
        <v>9.09</v>
      </c>
    </row>
    <row r="8" spans="1:6">
      <c r="A8" s="14">
        <v>0.105</v>
      </c>
      <c r="B8" s="13">
        <v>7.22</v>
      </c>
      <c r="C8" s="13">
        <v>7.42</v>
      </c>
      <c r="D8" s="13">
        <v>7.65</v>
      </c>
      <c r="E8" s="13">
        <v>7.9</v>
      </c>
      <c r="F8" s="13">
        <v>8.18</v>
      </c>
    </row>
    <row r="9" spans="1:6">
      <c r="A9" s="14">
        <v>0.115</v>
      </c>
      <c r="B9" s="13">
        <v>6.59</v>
      </c>
      <c r="C9" s="13">
        <v>6.74</v>
      </c>
      <c r="D9" s="13">
        <v>6.9</v>
      </c>
      <c r="E9" s="13">
        <v>7.09</v>
      </c>
      <c r="F9" s="13">
        <v>7.29</v>
      </c>
    </row>
    <row r="11" spans="1:6">
      <c r="A11" s="8" t="s">
        <v>80</v>
      </c>
      <c r="B11" s="13">
        <v>10.61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cols>
    <col min="1" max="1" width="38.7109375" customWidth="1"/>
    <col min="2" max="4" width="14.7109375" customWidth="1"/>
  </cols>
  <sheetData>
    <row r="1" spans="1:4">
      <c r="A1" s="1" t="s">
        <v>81</v>
      </c>
    </row>
    <row r="2" spans="1:4">
      <c r="A2" s="12" t="s">
        <v>82</v>
      </c>
    </row>
    <row r="3" spans="1:4">
      <c r="A3" s="12" t="s">
        <v>83</v>
      </c>
    </row>
    <row r="4" spans="1:4">
      <c r="A4" s="12" t="s">
        <v>84</v>
      </c>
    </row>
    <row r="6" spans="1:4">
      <c r="A6" s="6"/>
      <c r="B6" s="6" t="s">
        <v>85</v>
      </c>
      <c r="C6" s="6" t="s">
        <v>86</v>
      </c>
      <c r="D6" s="6" t="s">
        <v>87</v>
      </c>
    </row>
    <row r="8" spans="1:4">
      <c r="A8" t="s">
        <v>88</v>
      </c>
      <c r="B8" s="7">
        <v>1199.3</v>
      </c>
      <c r="C8" s="7">
        <v>1331.2</v>
      </c>
      <c r="D8" s="7">
        <v>1211.1</v>
      </c>
    </row>
    <row r="9" spans="1:4">
      <c r="A9" t="s">
        <v>89</v>
      </c>
      <c r="B9" s="7">
        <v>537.8</v>
      </c>
      <c r="C9" s="7">
        <v>394.3</v>
      </c>
      <c r="D9" s="7">
        <v>318.1</v>
      </c>
    </row>
    <row r="10" spans="1:4">
      <c r="A10" t="s">
        <v>39</v>
      </c>
      <c r="B10" s="7">
        <v>921.9</v>
      </c>
      <c r="C10" s="7">
        <v>908.5</v>
      </c>
      <c r="D10" s="7">
        <v>1343.1</v>
      </c>
    </row>
    <row r="11" spans="1:4">
      <c r="A11" t="inlineStr">
        <is>
          <t>= Consolidated FCF ex-JV distributions</t>
        </is>
      </c>
      <c r="B11" s="7">
        <v>-260.4</v>
      </c>
      <c r="C11" s="7">
        <v>28.4</v>
      </c>
      <c r="D11" s="7">
        <v>-450.1</v>
      </c>
    </row>
    <row r="12" spans="1:4">
      <c r="A12" t="s">
        <v>90</v>
      </c>
      <c r="B12" s="7">
        <v>1244</v>
      </c>
      <c r="C12" s="7">
        <v>1124.4</v>
      </c>
      <c r="D12" s="7">
        <v>-132</v>
      </c>
    </row>
    <row r="14" spans="1:4">
      <c r="A14" s="8" t="s">
        <v>91</v>
      </c>
      <c r="B14" s="7">
        <v>4115.8</v>
      </c>
      <c r="C14" s="7">
        <v>4341.9</v>
      </c>
      <c r="D14" s="7">
        <v>4878.5</v>
      </c>
    </row>
    <row r="16" spans="1:4">
      <c r="A16" t="s">
        <v>92</v>
      </c>
      <c r="B16" s="10">
        <f>B12/B14</f>
        <v>0</v>
      </c>
      <c r="C16" s="10">
        <f>C12/C14</f>
        <v>0</v>
      </c>
      <c r="D16" s="10">
        <f>D12/D14</f>
        <v>0</v>
      </c>
    </row>
    <row r="17" spans="1:4">
      <c r="A17" t="s">
        <v>93</v>
      </c>
      <c r="B17" s="10">
        <f>B10/B14</f>
        <v>0</v>
      </c>
      <c r="C17" s="10">
        <f>C10/C14</f>
        <v>0</v>
      </c>
      <c r="D17" s="10">
        <f>D10/D14</f>
        <v>0</v>
      </c>
    </row>
    <row r="19" spans="1:4">
      <c r="A19" t="s">
        <v>94</v>
      </c>
      <c r="B19" s="7">
        <v>204.8</v>
      </c>
      <c r="C19" s="7">
        <v>168.3</v>
      </c>
      <c r="D19" s="7">
        <v>169.4</v>
      </c>
    </row>
    <row r="20" spans="1:4">
      <c r="A20" t="s">
        <v>95</v>
      </c>
      <c r="D20" s="7">
        <v>192.1</v>
      </c>
    </row>
    <row r="22" spans="1:4">
      <c r="A22" s="8" t="s">
        <v>96</v>
      </c>
    </row>
    <row r="23" spans="1:4">
      <c r="A23" s="12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28.7109375" customWidth="1"/>
    <col min="2" max="2" width="80.7109375" customWidth="1"/>
  </cols>
  <sheetData>
    <row r="1" spans="1:2">
      <c r="A1" s="1" t="s">
        <v>98</v>
      </c>
    </row>
    <row r="3" spans="1:2" ht="60" customHeight="1">
      <c r="A3" s="8" t="s">
        <v>99</v>
      </c>
      <c r="B3" s="12" t="s">
        <v>100</v>
      </c>
    </row>
    <row r="4" spans="1:2" ht="60" customHeight="1">
      <c r="A4" s="8" t="s">
        <v>101</v>
      </c>
      <c r="B4" s="12" t="s">
        <v>102</v>
      </c>
    </row>
    <row r="5" spans="1:2" ht="60" customHeight="1">
      <c r="A5" s="8" t="s">
        <v>103</v>
      </c>
      <c r="B5" s="12" t="s">
        <v>104</v>
      </c>
    </row>
    <row r="6" spans="1:2" ht="60" customHeight="1">
      <c r="A6" s="8" t="s">
        <v>105</v>
      </c>
      <c r="B6" s="12" t="s">
        <v>106</v>
      </c>
    </row>
    <row r="7" spans="1:2" ht="60" customHeight="1">
      <c r="A7" s="8" t="s">
        <v>107</v>
      </c>
      <c r="B7" s="12" t="s">
        <v>108</v>
      </c>
    </row>
    <row r="8" spans="1:2" ht="60" customHeight="1">
      <c r="A8" s="8" t="s">
        <v>109</v>
      </c>
      <c r="B8" s="12" t="s">
        <v>110</v>
      </c>
    </row>
    <row r="9" spans="1:2" ht="60" customHeight="1">
      <c r="A9" s="8" t="s">
        <v>111</v>
      </c>
      <c r="B9" s="12" t="s">
        <v>112</v>
      </c>
    </row>
    <row r="10" spans="1:2" ht="60" customHeight="1">
      <c r="A10" s="8" t="s">
        <v>113</v>
      </c>
      <c r="B10" s="12" t="s">
        <v>114</v>
      </c>
    </row>
    <row r="11" spans="1:2" ht="60" customHeight="1">
      <c r="A11" s="8" t="s">
        <v>115</v>
      </c>
      <c r="B11" s="1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SOTP Model</vt:lpstr>
      <vt:lpstr>Scenarios</vt:lpstr>
      <vt:lpstr>Sensitivity</vt:lpstr>
      <vt:lpstr>FCF Quality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2026-08-01T08:53:25Z</dcterms:created>
  <dcterms:modified xsi:type="dcterms:W3CDTF">2026-08-01T08:53:25Z</dcterms:modified>
</cp:coreProperties>
</file>