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<sst xmlns="http://schemas.openxmlformats.org/spreadsheetml/2006/main" count="364" uniqueCount="170">
  <si>
    <t xml:space="preserve">Ticker</t>
  </si>
  <si>
    <t xml:space="preserve">CCEP</t>
  </si>
  <si>
    <t xml:space="preserve">Company</t>
  </si>
  <si>
    <t xml:space="preserve">Coca-Cola Europacific Partners plc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</si>
  <si>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</si>
  <si>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</si>
  <si>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</si>
  <si>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</si>
  <si>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(NASDAQ)</t>
  </si>
  <si>
    <t xml:space="preserve">Balance sheet date</t>
  </si>
  <si>
    <t xml:space="preserve">2026-07-03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</si>
  <si>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</si>
  <si>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</si>
  <si>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</si>
  <si>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</si>
  <si>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</si>
  <si>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</si>
  <si>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</si>
  <si>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</si>
  <si>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</si>
  <si>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</si>
  <si>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</si>
  <si>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2026-09-26T00:35:41Z</t>
  </si>
  <si>
    <t xml:space="preserve">Drivers file</t>
  </si>
  <si>
    <t xml:space="preserve">CCEP_Drivers.json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</si>
  <si>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</si>
  <si>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</si>
  <si>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</si>
  <si>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franchise bottler is a low-growth, capital-intensive cash compounder whose economics are set partly by The Coca-Cola Company. Value it on unlevered owner FCF after the full lease payment and SBC, on guidance-anchored organic growth rather than acquisition-inflated CAGRs, at a EUR-built WACC, then convert to USD for the NASDAQ quote. The buyback and dividend are how the cash is returned, not a source of value.
key_risks_to_valuation: Terminal value dominance: at 7% WACC and 2.5% growth Gordon (~23x) exceeds the 20x cap, so the cap binds in every scenario and ~56-65% of enterprise value sits in the terminal value; WACC sensitivity: each 1pp of WACC moves base value by roughly 15-20% for a long-duration staple; TCCC concentrate pricing and incidence-model changes directly set the EBITDA margin path; EUR/USD: the USD per-share value moves 1:1 with the rate; the EUR value is the economic one; Sugar tax / EPR regulation across France, UK, Australia and Southeast Asia; Acquisition risk: CCEP has done two transformative deals in five years; another (e.g. further TCCC-owned bottler refranchising) would reset the path</t>
  </si>
  <si>
    <t xml:space="preserve">Data sources</t>
  </si>
  <si>
    <t xml:space="preserve">price: Yahoo Finance chart API (CCEP, NASDAQ, USD) at inputs.price_as_of; 52-week range 84.66-113.67. FX from Yahoo EURUSD=X; parity against CCEP.AS (Euronext Amsterdam, EUR).
financials: CCEP_Metrics.csv / CCEP.duckdb (FY2016-FY2025 annual reports, H1 2026 interim); net debt, lease obligations, NCI and share count from CCEP_HalfYear_H1-2026 (period ended 3 July 2026); comparable FCF and comparable OP reconciliations from CCEP_Annual_FY2025.
qualitative: CCEP_Analysis.json (2026-09-26): FY2026 guidance reaffirmed at H1 2026 results, bull/bear axes, Philippines 60/40 JV structure.</t>
  </si>
  <si>
    <t xml:space="preserve">Scenario narrative: bear</t>
  </si>
  <si>
    <t xml:space="preserve">Sugar taxes (France 2025, further UK/Australian changes) and packaging/EPR levies keep eroding sparkling volumes; TCCC lifts concentrate pricing under the incidence model, grocers and private label squeeze promotions, and Indonesia stays weak. Revenue grows ~2% after FY2026, EBITDA margin gives back ~100bp to 17.3% (FY2022-23 levels), capex stays at 4.5-4.8% to defend the network, and OECD Pillar Two / higher UK rates push cash tax to 25.5%. Terminal value capped at 16x for a structurally ex-growth bottler.</t>
  </si>
  <si>
    <t xml:space="preserve">Scenario narrative: base</t>
  </si>
  <si>
    <t xml:space="preserve">CCEP delivers its FY2026 guide (revenue +3-4%, comparable operating profit ~+7%) and then settles into a mid-single-digit-minus top line: Western Europe grows 2-3% on price/mix with zero-sugar, energy (Monster) and sports offsetting flat full-sugar sparkling volume, while Indonesia and the Philippines grow high single digits as the 2027 Philippines plant and new route-to-market add capacity. Productivity (Manila shared services, S/4HANA, revenue growth management) buys ~15bp a year of margin until comparable OP margin reaches ~14.6%. Capex runs high through the Philippines build then normalises; buybacks and a ~50% payout return the cash but do not add value in the model.</t>
  </si>
  <si>
    <t xml:space="preserve">Scenario narrative: bull</t>
  </si>
  <si>
    <t xml:space="preserve">Southeast Asia becomes a genuine second growth engine - the Philippines reaches and passes its ~10% EBIT target, Indonesia sparkling recovers - and energy/zero-sugar mix keeps European price/mix at the top of the range, so revenue compounds at 4.5-5% for several years and EBITDA margin reaches 20% (comparable OP ~15.5%) as concentrate-cost inflation stays low-single-digit and efficiency programmes compound.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</si>
  <si>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</si>
  <si>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</si>
  <si>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</si>
  <si>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</si>
  <si>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</si>
  <si>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</si>
  <si>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</si>
  <si>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</si>
  <si>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</si>
  <si>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</si>
  <si>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</si>
  <si>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</si>
  <si>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</si>
  <si>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</si>
  <si>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</si>
  <si>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</si>
  <si>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</si>
  <si>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</si>
  <si>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</si>
  <si>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</si>
  <si>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</si>
  <si>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</si>
  <si>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</si>
  <si>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</si>
  <si>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</si>
  <si>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</si>
  <si>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</si>
  <si>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Amortisation</t>
  </si>
  <si>
    <t xml:space="preserve">AvgRevenuePerUnit</t>
  </si>
  <si>
    <t xml:space="preserve">CapexIntangibles</t>
  </si>
  <si>
    <t xml:space="preserve">CapexPPE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</si>
  <si>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</si>
  <si>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</si>
  <si>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</si>
  <si>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</si>
  <si>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</si>
  <si>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</si>
  <si>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</si>
  <si>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</si>
  <si>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</si>
  <si>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</si>
  <si>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</si>
  <si>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</si>
  <si>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</si>
  <si>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</si>
  <si>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</si>
  <si>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</si>
  <si>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</si>
  <si>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</si>
  <si>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</si>
  <si>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</si>
  <si>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</si>
  <si>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</si>
  <si>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</si>
  <si>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</si>
  <si>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</si>
  <si>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</si>
  <si>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</si>
  <si>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</si>
  <si>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</si>
  <si>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</si>
  <si>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</si>
  <si>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</si>
  <si>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</si>
  <si>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</si>
  <si>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</si>
  <si>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</si>
  <si>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</si>
  <si>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</si>
  <si>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</si>
  <si>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</si>
  <si>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</si>
  <si>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</si>
  <si>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</si>
  <si>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</si>
  <si>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</si>
  <si>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</si>
  <si>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</si>
  <si>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CCEP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</si>
  <si>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</si>
  <si>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</si>
  <si>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</si>
  <si>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</si>
  <si>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</si>
  <si>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</si>
  <si>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</si>
  <si>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</si>
  <si>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</si>
  <si>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</si>
  <si>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</si>
  <si>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</si>
  <si>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</si>
  <si>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</si>
  <si>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</si>
  <si>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</si>
  <si>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</si>
  <si>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</si>
  <si>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</si>
  <si>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</si>
  <si>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</si>
  <si>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</si>
  <si>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</si>
  <si>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</si>
  <si>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</si>
  <si>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</si>
  <si>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</si>
  <si>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</si>
  <si>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</si>
  <si>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</si>
  <si>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CCEP owner-FCF component DCF: base case (millions, EUR)</t>
  </si>
  <si>
    <t xml:space="preserve">CCEP owner-FCF component DCF: bull case (millions, EUR)</t>
  </si>
  <si>
    <t xml:space="preserve">CCEP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</si>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</sst>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101.73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9133</v>
      </c>
      <c r="C2" s="0" t="n">
        <v>5584</v>
      </c>
      <c r="D2" s="0" t="n">
        <v>3549</v>
      </c>
      <c r="E2" s="0" t="n">
        <v>38.9</v>
      </c>
      <c r="F2" s="0" t="n">
        <v>851</v>
      </c>
      <c r="G2" s="0" t="n">
        <v>9.3</v>
      </c>
      <c r="H2" s="0" t="n">
        <v>1223</v>
      </c>
      <c r="I2" s="0" t="n">
        <v>549</v>
      </c>
      <c r="J2" s="0" t="n">
        <v>6</v>
      </c>
      <c r="K2" s="0" t="n">
        <v>1.42</v>
      </c>
      <c r="L2" s="0" t="n">
        <v>1244</v>
      </c>
      <c r="M2" s="0" t="n">
        <v>497</v>
      </c>
      <c r="N2" s="0" t="n">
        <v>747</v>
      </c>
      <c r="O2" s="0" t="n">
        <v>6461</v>
      </c>
      <c r="P2" s="0" t="n">
        <v>18568</v>
      </c>
      <c r="Q2" s="0" t="n">
        <v>12107</v>
      </c>
      <c r="R2" s="0" t="n">
        <v>6437</v>
      </c>
      <c r="S2" s="0" t="n">
        <v>386</v>
      </c>
      <c r="T2" s="0" t="n">
        <v>385</v>
      </c>
      <c r="U2" s="0" t="n">
        <v>42</v>
      </c>
      <c r="AA2" s="0" t="s">
        <v>18</v>
      </c>
      <c r="AB2" s="0" t="s">
        <v>14</v>
      </c>
      <c r="AC2" s="0" t="n">
        <v>39</v>
      </c>
      <c r="AE2" s="0" t="n">
        <v>38</v>
      </c>
      <c r="AF2" s="0" t="n">
        <v>459</v>
      </c>
    </row>
    <row r="3" customFormat="false" ht="15" hidden="false" customHeight="false" outlineLevel="0" collapsed="false">
      <c r="A3" s="0" t="s">
        <v>69</v>
      </c>
      <c r="B3" s="0" t="n">
        <v>11062</v>
      </c>
      <c r="C3" s="0" t="n">
        <v>6772</v>
      </c>
      <c r="D3" s="0" t="n">
        <v>4290</v>
      </c>
      <c r="E3" s="0" t="n">
        <v>38.8</v>
      </c>
      <c r="F3" s="0" t="n">
        <v>1260</v>
      </c>
      <c r="G3" s="0" t="n">
        <v>11.4</v>
      </c>
      <c r="H3" s="0" t="n">
        <v>1750</v>
      </c>
      <c r="I3" s="0" t="n">
        <v>688</v>
      </c>
      <c r="J3" s="0" t="n">
        <v>6.2</v>
      </c>
      <c r="K3" s="0" t="n">
        <v>1.41</v>
      </c>
      <c r="L3" s="0" t="n">
        <v>1623</v>
      </c>
      <c r="M3" s="0" t="n">
        <v>520</v>
      </c>
      <c r="N3" s="0" t="n">
        <v>1103</v>
      </c>
      <c r="O3" s="0" t="n">
        <v>6685</v>
      </c>
      <c r="P3" s="0" t="n">
        <v>18194</v>
      </c>
      <c r="Q3" s="0" t="n">
        <v>11509</v>
      </c>
      <c r="R3" s="0" t="n">
        <v>5748</v>
      </c>
      <c r="S3" s="0" t="n">
        <v>360</v>
      </c>
      <c r="T3" s="0" t="n">
        <v>489</v>
      </c>
      <c r="U3" s="0" t="n">
        <v>14</v>
      </c>
      <c r="AA3" s="0" t="s">
        <v>18</v>
      </c>
      <c r="AB3" s="0" t="s">
        <v>14</v>
      </c>
      <c r="AC3" s="0" t="n">
        <v>47</v>
      </c>
      <c r="AE3" s="0" t="n">
        <v>36</v>
      </c>
      <c r="AF3" s="0" t="n">
        <v>484</v>
      </c>
    </row>
    <row r="4" customFormat="false" ht="15" hidden="false" customHeight="false" outlineLevel="0" collapsed="false">
      <c r="A4" s="0" t="s">
        <v>70</v>
      </c>
      <c r="B4" s="0" t="n">
        <v>11518</v>
      </c>
      <c r="C4" s="0" t="n">
        <v>7060</v>
      </c>
      <c r="D4" s="0" t="n">
        <v>4458</v>
      </c>
      <c r="E4" s="0" t="n">
        <v>38.7</v>
      </c>
      <c r="F4" s="0" t="n">
        <v>1300</v>
      </c>
      <c r="G4" s="0" t="n">
        <v>11.3</v>
      </c>
      <c r="H4" s="0" t="n">
        <v>1812</v>
      </c>
      <c r="I4" s="0" t="n">
        <v>909</v>
      </c>
      <c r="J4" s="0" t="n">
        <v>7.9</v>
      </c>
      <c r="K4" s="0" t="n">
        <v>1.86</v>
      </c>
      <c r="L4" s="0" t="n">
        <v>1806</v>
      </c>
      <c r="M4" s="0" t="n">
        <v>600</v>
      </c>
      <c r="N4" s="0" t="n">
        <v>1206</v>
      </c>
      <c r="O4" s="0" t="n">
        <v>6564</v>
      </c>
      <c r="P4" s="0" t="n">
        <v>18216</v>
      </c>
      <c r="Q4" s="0" t="n">
        <v>11652</v>
      </c>
      <c r="R4" s="0" t="n">
        <v>5618</v>
      </c>
      <c r="S4" s="0" t="n">
        <v>309</v>
      </c>
      <c r="T4" s="0" t="n">
        <v>488</v>
      </c>
      <c r="U4" s="0" t="n">
        <v>17</v>
      </c>
      <c r="AA4" s="0" t="s">
        <v>18</v>
      </c>
      <c r="AB4" s="0" t="s">
        <v>14</v>
      </c>
      <c r="AC4" s="0" t="n">
        <v>51</v>
      </c>
      <c r="AE4" s="0" t="n">
        <v>75</v>
      </c>
      <c r="AF4" s="0" t="n">
        <v>525</v>
      </c>
    </row>
    <row r="5" customFormat="false" ht="15" hidden="false" customHeight="false" outlineLevel="0" collapsed="false">
      <c r="A5" s="0" t="s">
        <v>71</v>
      </c>
      <c r="B5" s="0" t="n">
        <v>12017</v>
      </c>
      <c r="C5" s="0" t="n">
        <v>7424</v>
      </c>
      <c r="D5" s="0" t="n">
        <v>4593</v>
      </c>
      <c r="E5" s="0" t="n">
        <v>38.2</v>
      </c>
      <c r="F5" s="0" t="n">
        <v>1548</v>
      </c>
      <c r="G5" s="0" t="n">
        <v>12.9</v>
      </c>
      <c r="H5" s="0" t="n">
        <v>2187</v>
      </c>
      <c r="I5" s="0" t="n">
        <v>1090</v>
      </c>
      <c r="J5" s="0" t="n">
        <v>9.1</v>
      </c>
      <c r="K5" s="0" t="n">
        <v>2.32</v>
      </c>
      <c r="L5" s="0" t="n">
        <v>1904</v>
      </c>
      <c r="M5" s="0" t="n">
        <v>602</v>
      </c>
      <c r="N5" s="0" t="n">
        <v>1302</v>
      </c>
      <c r="O5" s="0" t="n">
        <v>6156</v>
      </c>
      <c r="P5" s="0" t="n">
        <v>18685</v>
      </c>
      <c r="Q5" s="0" t="n">
        <v>12529</v>
      </c>
      <c r="R5" s="0" t="n">
        <v>6421</v>
      </c>
      <c r="S5" s="0" t="n">
        <v>316</v>
      </c>
      <c r="T5" s="0" t="n">
        <v>469</v>
      </c>
      <c r="U5" s="0" t="n">
        <v>15</v>
      </c>
      <c r="AA5" s="0" t="s">
        <v>18</v>
      </c>
      <c r="AB5" s="0" t="s">
        <v>14</v>
      </c>
      <c r="AC5" s="0" t="n">
        <v>52</v>
      </c>
      <c r="AE5" s="0" t="n">
        <v>96</v>
      </c>
      <c r="AF5" s="0" t="n">
        <v>506</v>
      </c>
    </row>
    <row r="6" customFormat="false" ht="15" hidden="false" customHeight="false" outlineLevel="0" collapsed="false">
      <c r="A6" s="0" t="s">
        <v>72</v>
      </c>
      <c r="B6" s="0" t="n">
        <v>10606</v>
      </c>
      <c r="C6" s="0" t="n">
        <v>6871</v>
      </c>
      <c r="D6" s="0" t="n">
        <v>3735</v>
      </c>
      <c r="E6" s="0" t="n">
        <v>35.2</v>
      </c>
      <c r="F6" s="0" t="n">
        <v>813</v>
      </c>
      <c r="G6" s="0" t="n">
        <v>7.7</v>
      </c>
      <c r="H6" s="0" t="n">
        <v>1540</v>
      </c>
      <c r="I6" s="0" t="n">
        <v>498</v>
      </c>
      <c r="J6" s="0" t="n">
        <v>4.7</v>
      </c>
      <c r="K6" s="0" t="n">
        <v>1.09</v>
      </c>
      <c r="L6" s="0" t="n">
        <v>1490</v>
      </c>
      <c r="M6" s="0" t="n">
        <v>408</v>
      </c>
      <c r="N6" s="0" t="n">
        <v>1082</v>
      </c>
      <c r="O6" s="0" t="n">
        <v>6025</v>
      </c>
      <c r="P6" s="0" t="n">
        <v>19237</v>
      </c>
      <c r="Q6" s="0" t="n">
        <v>13212</v>
      </c>
      <c r="R6" s="0" t="n">
        <v>7187</v>
      </c>
      <c r="S6" s="0" t="n">
        <v>1523</v>
      </c>
      <c r="T6" s="0" t="n">
        <v>456</v>
      </c>
      <c r="U6" s="0" t="n">
        <v>14</v>
      </c>
      <c r="AA6" s="0" t="s">
        <v>18</v>
      </c>
      <c r="AB6" s="0" t="s">
        <v>14</v>
      </c>
      <c r="AC6" s="0" t="n">
        <v>62</v>
      </c>
      <c r="AE6" s="0" t="n">
        <v>60</v>
      </c>
      <c r="AF6" s="0" t="n">
        <v>348</v>
      </c>
    </row>
    <row r="7" customFormat="false" ht="15" hidden="false" customHeight="false" outlineLevel="0" collapsed="false">
      <c r="A7" s="0" t="s">
        <v>73</v>
      </c>
      <c r="B7" s="0" t="n">
        <v>13763</v>
      </c>
      <c r="C7" s="0" t="n">
        <v>8677</v>
      </c>
      <c r="D7" s="0" t="n">
        <v>5086</v>
      </c>
      <c r="E7" s="0" t="n">
        <v>37</v>
      </c>
      <c r="F7" s="0" t="n">
        <v>1516</v>
      </c>
      <c r="G7" s="0" t="n">
        <v>11</v>
      </c>
      <c r="H7" s="0" t="n">
        <v>2298</v>
      </c>
      <c r="I7" s="0" t="n">
        <v>982</v>
      </c>
      <c r="J7" s="0" t="n">
        <v>7.1</v>
      </c>
      <c r="K7" s="0" t="n">
        <v>2.15</v>
      </c>
      <c r="L7" s="0" t="n">
        <v>2117</v>
      </c>
      <c r="M7" s="0" t="n">
        <v>446</v>
      </c>
      <c r="N7" s="0" t="n">
        <v>1671</v>
      </c>
      <c r="O7" s="0" t="n">
        <v>7033</v>
      </c>
      <c r="P7" s="0" t="n">
        <v>29090</v>
      </c>
      <c r="Q7" s="0" t="n">
        <v>21880</v>
      </c>
      <c r="R7" s="0" t="n">
        <v>13140</v>
      </c>
      <c r="S7" s="0" t="n">
        <v>1407</v>
      </c>
      <c r="T7" s="0" t="n">
        <v>457</v>
      </c>
      <c r="U7" s="0" t="n">
        <v>16</v>
      </c>
      <c r="AA7" s="0" t="s">
        <v>18</v>
      </c>
      <c r="AB7" s="0" t="s">
        <v>14</v>
      </c>
      <c r="AC7" s="0" t="n">
        <v>89</v>
      </c>
      <c r="AE7" s="0" t="n">
        <v>97</v>
      </c>
      <c r="AF7" s="0" t="n">
        <v>349</v>
      </c>
    </row>
    <row r="8" customFormat="false" ht="15" hidden="false" customHeight="false" outlineLevel="0" collapsed="false">
      <c r="A8" s="0" t="s">
        <v>74</v>
      </c>
      <c r="B8" s="0" t="n">
        <v>17320</v>
      </c>
      <c r="C8" s="0" t="n">
        <v>11096</v>
      </c>
      <c r="D8" s="0" t="n">
        <v>6224</v>
      </c>
      <c r="E8" s="0" t="n">
        <v>35.9</v>
      </c>
      <c r="F8" s="0" t="n">
        <v>2086</v>
      </c>
      <c r="G8" s="0" t="n">
        <v>12</v>
      </c>
      <c r="H8" s="0" t="n">
        <v>2902</v>
      </c>
      <c r="I8" s="0" t="n">
        <v>1508</v>
      </c>
      <c r="J8" s="0" t="n">
        <v>8.7</v>
      </c>
      <c r="K8" s="0" t="n">
        <v>3.29</v>
      </c>
      <c r="L8" s="0" t="n">
        <v>2932</v>
      </c>
      <c r="M8" s="0" t="n">
        <v>603</v>
      </c>
      <c r="N8" s="0" t="n">
        <v>2329</v>
      </c>
      <c r="O8" s="0" t="n">
        <v>7447</v>
      </c>
      <c r="P8" s="0" t="n">
        <v>29313</v>
      </c>
      <c r="Q8" s="0" t="n">
        <v>21866</v>
      </c>
      <c r="R8" s="0" t="n">
        <v>11907</v>
      </c>
      <c r="S8" s="0" t="n">
        <v>1387</v>
      </c>
      <c r="T8" s="0" t="n">
        <v>458</v>
      </c>
      <c r="U8" s="0" t="n">
        <v>33</v>
      </c>
      <c r="AA8" s="0" t="s">
        <v>18</v>
      </c>
      <c r="AB8" s="0" t="s">
        <v>14</v>
      </c>
      <c r="AC8" s="0" t="n">
        <v>101</v>
      </c>
      <c r="AE8" s="0" t="n">
        <v>103</v>
      </c>
      <c r="AF8" s="0" t="n">
        <v>500</v>
      </c>
    </row>
    <row r="9" customFormat="false" ht="15" hidden="false" customHeight="false" outlineLevel="0" collapsed="false">
      <c r="A9" s="0" t="s">
        <v>75</v>
      </c>
      <c r="B9" s="0" t="n">
        <v>18302</v>
      </c>
      <c r="C9" s="0" t="n">
        <v>11582</v>
      </c>
      <c r="D9" s="0" t="n">
        <v>6720</v>
      </c>
      <c r="E9" s="0" t="n">
        <v>36.7</v>
      </c>
      <c r="F9" s="0" t="n">
        <v>2339</v>
      </c>
      <c r="G9" s="0" t="n">
        <v>12.8</v>
      </c>
      <c r="H9" s="0" t="n">
        <v>3131</v>
      </c>
      <c r="I9" s="0" t="n">
        <v>1669</v>
      </c>
      <c r="J9" s="0" t="n">
        <v>9.1</v>
      </c>
      <c r="K9" s="0" t="n">
        <v>3.63</v>
      </c>
      <c r="L9" s="0" t="n">
        <v>2806</v>
      </c>
      <c r="M9" s="0" t="n">
        <v>812</v>
      </c>
      <c r="N9" s="0" t="n">
        <v>1994</v>
      </c>
      <c r="O9" s="0" t="n">
        <v>7976</v>
      </c>
      <c r="P9" s="0" t="n">
        <v>29254</v>
      </c>
      <c r="Q9" s="0" t="n">
        <v>21278</v>
      </c>
      <c r="R9" s="0" t="n">
        <v>11396</v>
      </c>
      <c r="S9" s="0" t="n">
        <v>1419</v>
      </c>
      <c r="T9" s="0" t="n">
        <v>459</v>
      </c>
      <c r="U9" s="0" t="n">
        <v>57</v>
      </c>
      <c r="AA9" s="0" t="s">
        <v>18</v>
      </c>
      <c r="AB9" s="0" t="s">
        <v>14</v>
      </c>
      <c r="AC9" s="0" t="n">
        <v>139</v>
      </c>
      <c r="AE9" s="0" t="n">
        <v>140</v>
      </c>
      <c r="AF9" s="0" t="n">
        <v>672</v>
      </c>
    </row>
    <row r="10" customFormat="false" ht="15" hidden="false" customHeight="false" outlineLevel="0" collapsed="false">
      <c r="A10" s="0" t="s">
        <v>76</v>
      </c>
      <c r="B10" s="0" t="n">
        <v>20438</v>
      </c>
      <c r="C10" s="0" t="n">
        <v>13227</v>
      </c>
      <c r="D10" s="0" t="n">
        <v>7211</v>
      </c>
      <c r="E10" s="0" t="n">
        <v>35.3</v>
      </c>
      <c r="F10" s="0" t="n">
        <v>2132</v>
      </c>
      <c r="G10" s="0" t="n">
        <v>10.4</v>
      </c>
      <c r="H10" s="0" t="n">
        <v>3065</v>
      </c>
      <c r="I10" s="0" t="n">
        <v>1418</v>
      </c>
      <c r="J10" s="0" t="n">
        <v>6.9</v>
      </c>
      <c r="K10" s="0" t="n">
        <v>3.08</v>
      </c>
      <c r="L10" s="0" t="n">
        <v>3061</v>
      </c>
      <c r="M10" s="0" t="n">
        <v>939</v>
      </c>
      <c r="N10" s="0" t="n">
        <v>2122</v>
      </c>
      <c r="O10" s="0" t="n">
        <v>8489</v>
      </c>
      <c r="P10" s="0" t="n">
        <v>31100</v>
      </c>
      <c r="Q10" s="0" t="n">
        <v>22115</v>
      </c>
      <c r="R10" s="0" t="n">
        <v>11331</v>
      </c>
      <c r="S10" s="0" t="n">
        <v>1563</v>
      </c>
      <c r="T10" s="0" t="n">
        <v>461</v>
      </c>
      <c r="U10" s="0" t="n">
        <v>45</v>
      </c>
      <c r="AA10" s="0" t="s">
        <v>18</v>
      </c>
      <c r="AB10" s="0" t="s">
        <v>14</v>
      </c>
      <c r="AC10" s="0" t="n">
        <v>182</v>
      </c>
      <c r="AE10" s="0" t="n">
        <v>148</v>
      </c>
      <c r="AF10" s="0" t="n">
        <v>791</v>
      </c>
    </row>
    <row r="11" customFormat="false" ht="15" hidden="false" customHeight="false" outlineLevel="0" collapsed="false">
      <c r="A11" s="0" t="s">
        <v>77</v>
      </c>
      <c r="B11" s="0" t="n">
        <v>20901</v>
      </c>
      <c r="C11" s="0" t="n">
        <v>13461</v>
      </c>
      <c r="D11" s="0" t="n">
        <v>7440</v>
      </c>
      <c r="E11" s="0" t="n">
        <v>35.6</v>
      </c>
      <c r="F11" s="0" t="n">
        <v>2793</v>
      </c>
      <c r="G11" s="0" t="n">
        <v>13.4</v>
      </c>
      <c r="H11" s="0" t="n">
        <v>3716</v>
      </c>
      <c r="I11" s="0" t="n">
        <v>1942</v>
      </c>
      <c r="J11" s="0" t="n">
        <v>9.3</v>
      </c>
      <c r="K11" s="0" t="n">
        <v>4.26</v>
      </c>
      <c r="L11" s="0" t="n">
        <v>2953</v>
      </c>
      <c r="M11" s="0" t="n">
        <v>950</v>
      </c>
      <c r="N11" s="0" t="n">
        <v>2003</v>
      </c>
      <c r="O11" s="0" t="n">
        <v>7835</v>
      </c>
      <c r="P11" s="0" t="n">
        <v>29872</v>
      </c>
      <c r="Q11" s="0" t="n">
        <v>21569</v>
      </c>
      <c r="R11" s="0" t="n">
        <v>10694</v>
      </c>
      <c r="S11" s="0" t="n">
        <v>918</v>
      </c>
      <c r="T11" s="0" t="n">
        <v>456</v>
      </c>
      <c r="U11" s="0" t="n">
        <v>47</v>
      </c>
      <c r="AA11" s="0" t="s">
        <v>18</v>
      </c>
      <c r="AB11" s="0" t="s">
        <v>14</v>
      </c>
      <c r="AC11" s="0" t="n">
        <v>152</v>
      </c>
      <c r="AE11" s="0" t="n">
        <v>200</v>
      </c>
      <c r="AF11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101.73</v>
      </c>
    </row>
    <row r="3" customFormat="false" ht="15" hidden="false" customHeight="false" outlineLevel="0" collapsed="false">
      <c r="A3" s="0" t="s">
        <v>81</v>
      </c>
      <c r="B3" s="3" t="n">
        <v>443.2</v>
      </c>
    </row>
    <row r="4" customFormat="false" ht="15" hidden="false" customHeight="false" outlineLevel="0" collapsed="false">
      <c r="A4" s="0" t="s">
        <v>82</v>
      </c>
      <c r="B4" s="3" t="n">
        <v>9610</v>
      </c>
    </row>
    <row r="5" customFormat="false" ht="15" hidden="false" customHeight="false" outlineLevel="0" collapsed="false">
      <c r="A5" s="0" t="s">
        <v>83</v>
      </c>
      <c r="B5" s="3" t="n">
        <v>-800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20901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1.1392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3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18.1</v>
      </c>
      <c r="D14" s="3" t="n">
        <v>17.9</v>
      </c>
      <c r="E14" s="3" t="n">
        <v>17.7</v>
      </c>
      <c r="F14" s="3" t="n">
        <v>17.5</v>
      </c>
      <c r="G14" s="3" t="n">
        <v>17.4</v>
      </c>
      <c r="H14" s="3" t="n">
        <v>17.3</v>
      </c>
      <c r="I14" s="3" t="n">
        <v>17.3</v>
      </c>
      <c r="J14" s="3" t="n">
        <v>17.3</v>
      </c>
      <c r="K14" s="3" t="n">
        <v>17.3</v>
      </c>
      <c r="L14" s="3" t="n">
        <v>17.3</v>
      </c>
    </row>
    <row r="15" customFormat="false" ht="15" hidden="false" customHeight="false" outlineLevel="0" collapsed="false">
      <c r="A15" s="0" t="s">
        <v>103</v>
      </c>
      <c r="C15" s="3" t="n">
        <v>0.25</v>
      </c>
      <c r="D15" s="3" t="n">
        <v>0.25</v>
      </c>
      <c r="E15" s="3" t="n">
        <v>0.25</v>
      </c>
      <c r="F15" s="3" t="n">
        <v>0.25</v>
      </c>
      <c r="G15" s="3" t="n">
        <v>0.25</v>
      </c>
      <c r="H15" s="3" t="n">
        <v>0.25</v>
      </c>
      <c r="I15" s="3" t="n">
        <v>0.25</v>
      </c>
      <c r="J15" s="3" t="n">
        <v>0.25</v>
      </c>
      <c r="K15" s="3" t="n">
        <v>0.25</v>
      </c>
      <c r="L15" s="3" t="n">
        <v>0.25</v>
      </c>
    </row>
    <row r="16" customFormat="false" ht="15" hidden="false" customHeight="false" outlineLevel="0" collapsed="false">
      <c r="A16" s="0" t="s">
        <v>104</v>
      </c>
      <c r="C16" s="3" t="n">
        <v>0.9</v>
      </c>
      <c r="D16" s="3" t="n">
        <v>0.9</v>
      </c>
      <c r="E16" s="3" t="n">
        <v>0.9</v>
      </c>
      <c r="F16" s="3" t="n">
        <v>0.9</v>
      </c>
      <c r="G16" s="3" t="n">
        <v>0.9</v>
      </c>
      <c r="H16" s="3" t="n">
        <v>0.9</v>
      </c>
      <c r="I16" s="3" t="n">
        <v>0.9</v>
      </c>
      <c r="J16" s="3" t="n">
        <v>0.9</v>
      </c>
      <c r="K16" s="3" t="n">
        <v>0.9</v>
      </c>
      <c r="L16" s="3" t="n">
        <v>0.9</v>
      </c>
    </row>
    <row r="17" customFormat="false" ht="15" hidden="false" customHeight="false" outlineLevel="0" collapsed="false">
      <c r="A17" s="0" t="s">
        <v>105</v>
      </c>
      <c r="C17" s="3" t="n">
        <v>3.5</v>
      </c>
      <c r="D17" s="3" t="n">
        <v>3.55</v>
      </c>
      <c r="E17" s="3" t="n">
        <v>3.6</v>
      </c>
      <c r="F17" s="3" t="n">
        <v>3.65</v>
      </c>
      <c r="G17" s="3" t="n">
        <v>3.7</v>
      </c>
      <c r="H17" s="3" t="n">
        <v>3.75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106</v>
      </c>
      <c r="C18" s="3" t="n">
        <v>4.8</v>
      </c>
      <c r="D18" s="3" t="n">
        <v>4.8</v>
      </c>
      <c r="E18" s="3" t="n">
        <v>4.7</v>
      </c>
      <c r="F18" s="3" t="n">
        <v>4.6</v>
      </c>
      <c r="G18" s="3" t="n">
        <v>4.6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107</v>
      </c>
      <c r="C19" s="3" t="n">
        <v>23.5</v>
      </c>
      <c r="D19" s="3" t="n">
        <v>24</v>
      </c>
      <c r="E19" s="3" t="n">
        <v>24.5</v>
      </c>
      <c r="F19" s="3" t="n">
        <v>25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108</v>
      </c>
      <c r="B20" s="3" t="n">
        <v>7</v>
      </c>
    </row>
    <row r="21" customFormat="false" ht="15" hidden="false" customHeight="false" outlineLevel="0" collapsed="false">
      <c r="A21" s="0" t="s">
        <v>109</v>
      </c>
      <c r="B21" s="3" t="n">
        <v>1.75</v>
      </c>
    </row>
    <row r="22" customFormat="false" ht="15" hidden="false" customHeight="false" outlineLevel="0" collapsed="false">
      <c r="A22" s="0" t="s">
        <v>110</v>
      </c>
      <c r="B22" s="3" t="n">
        <v>16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3.5</v>
      </c>
      <c r="D27" s="3" t="n">
        <v>4</v>
      </c>
      <c r="E27" s="3" t="n">
        <v>4</v>
      </c>
      <c r="F27" s="3" t="n">
        <v>3.75</v>
      </c>
      <c r="G27" s="3" t="n">
        <v>3.5</v>
      </c>
      <c r="H27" s="3" t="n">
        <v>3.25</v>
      </c>
      <c r="I27" s="3" t="n">
        <v>3</v>
      </c>
      <c r="J27" s="3" t="n">
        <v>3</v>
      </c>
      <c r="K27" s="3" t="n">
        <v>2.75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18.3</v>
      </c>
      <c r="D28" s="3" t="n">
        <v>18.5</v>
      </c>
      <c r="E28" s="3" t="n">
        <v>18.7</v>
      </c>
      <c r="F28" s="3" t="n">
        <v>18.85</v>
      </c>
      <c r="G28" s="3" t="n">
        <v>19</v>
      </c>
      <c r="H28" s="3" t="n">
        <v>19.1</v>
      </c>
      <c r="I28" s="3" t="n">
        <v>19.2</v>
      </c>
      <c r="J28" s="3" t="n">
        <v>19.2</v>
      </c>
      <c r="K28" s="3" t="n">
        <v>19.2</v>
      </c>
      <c r="L28" s="3" t="n">
        <v>19.2</v>
      </c>
    </row>
    <row r="29" customFormat="false" ht="15" hidden="false" customHeight="false" outlineLevel="0" collapsed="false">
      <c r="A29" s="0" t="s">
        <v>103</v>
      </c>
      <c r="C29" s="3" t="n">
        <v>0.25</v>
      </c>
      <c r="D29" s="3" t="n">
        <v>0.25</v>
      </c>
      <c r="E29" s="3" t="n">
        <v>0.25</v>
      </c>
      <c r="F29" s="3" t="n">
        <v>0.25</v>
      </c>
      <c r="G29" s="3" t="n">
        <v>0.25</v>
      </c>
      <c r="H29" s="3" t="n">
        <v>0.25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104</v>
      </c>
      <c r="C30" s="3" t="n">
        <v>0.87</v>
      </c>
      <c r="D30" s="3" t="n">
        <v>0.87</v>
      </c>
      <c r="E30" s="3" t="n">
        <v>0.87</v>
      </c>
      <c r="F30" s="3" t="n">
        <v>0.87</v>
      </c>
      <c r="G30" s="3" t="n">
        <v>0.87</v>
      </c>
      <c r="H30" s="3" t="n">
        <v>0.87</v>
      </c>
      <c r="I30" s="3" t="n">
        <v>0.87</v>
      </c>
      <c r="J30" s="3" t="n">
        <v>0.87</v>
      </c>
      <c r="K30" s="3" t="n">
        <v>0.87</v>
      </c>
      <c r="L30" s="3" t="n">
        <v>0.87</v>
      </c>
    </row>
    <row r="31" customFormat="false" ht="15" hidden="false" customHeight="false" outlineLevel="0" collapsed="false">
      <c r="A31" s="0" t="s">
        <v>105</v>
      </c>
      <c r="C31" s="3" t="n">
        <v>3.5</v>
      </c>
      <c r="D31" s="3" t="n">
        <v>3.5</v>
      </c>
      <c r="E31" s="3" t="n">
        <v>3.55</v>
      </c>
      <c r="F31" s="3" t="n">
        <v>3.6</v>
      </c>
      <c r="G31" s="3" t="n">
        <v>3.6</v>
      </c>
      <c r="H31" s="3" t="n">
        <v>3.65</v>
      </c>
      <c r="I31" s="3" t="n">
        <v>3.7</v>
      </c>
      <c r="J31" s="3" t="n">
        <v>3.7</v>
      </c>
      <c r="K31" s="3" t="n">
        <v>3.7</v>
      </c>
      <c r="L31" s="3" t="n">
        <v>3.7</v>
      </c>
    </row>
    <row r="32" customFormat="false" ht="15" hidden="false" customHeight="false" outlineLevel="0" collapsed="false">
      <c r="A32" s="0" t="s">
        <v>106</v>
      </c>
      <c r="C32" s="3" t="n">
        <v>4.8</v>
      </c>
      <c r="D32" s="3" t="n">
        <v>4.8</v>
      </c>
      <c r="E32" s="3" t="n">
        <v>4.6</v>
      </c>
      <c r="F32" s="3" t="n">
        <v>4.5</v>
      </c>
      <c r="G32" s="3" t="n">
        <v>4.5</v>
      </c>
      <c r="H32" s="3" t="n">
        <v>4.4</v>
      </c>
      <c r="I32" s="3" t="n">
        <v>4.3</v>
      </c>
      <c r="J32" s="3" t="n">
        <v>4.3</v>
      </c>
      <c r="K32" s="3" t="n">
        <v>4.3</v>
      </c>
      <c r="L32" s="3" t="n">
        <v>4.3</v>
      </c>
    </row>
    <row r="33" customFormat="false" ht="15" hidden="false" customHeight="false" outlineLevel="0" collapsed="false">
      <c r="A33" s="0" t="s">
        <v>107</v>
      </c>
      <c r="C33" s="3" t="n">
        <v>23</v>
      </c>
      <c r="D33" s="3" t="n">
        <v>23.5</v>
      </c>
      <c r="E33" s="3" t="n">
        <v>24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108</v>
      </c>
      <c r="B34" s="3" t="n">
        <v>7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20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4</v>
      </c>
      <c r="D41" s="3" t="n">
        <v>5</v>
      </c>
      <c r="E41" s="3" t="n">
        <v>5</v>
      </c>
      <c r="F41" s="3" t="n">
        <v>4.75</v>
      </c>
      <c r="G41" s="3" t="n">
        <v>4.5</v>
      </c>
      <c r="H41" s="3" t="n">
        <v>4</v>
      </c>
      <c r="I41" s="3" t="n">
        <v>3.75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18.4</v>
      </c>
      <c r="D42" s="3" t="n">
        <v>18.8</v>
      </c>
      <c r="E42" s="3" t="n">
        <v>19.1</v>
      </c>
      <c r="F42" s="3" t="n">
        <v>19.4</v>
      </c>
      <c r="G42" s="3" t="n">
        <v>19.6</v>
      </c>
      <c r="H42" s="3" t="n">
        <v>19.8</v>
      </c>
      <c r="I42" s="3" t="n">
        <v>20</v>
      </c>
      <c r="J42" s="3" t="n">
        <v>20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103</v>
      </c>
      <c r="C43" s="3" t="n">
        <v>0.25</v>
      </c>
      <c r="D43" s="3" t="n">
        <v>0.25</v>
      </c>
      <c r="E43" s="3" t="n">
        <v>0.25</v>
      </c>
      <c r="F43" s="3" t="n">
        <v>0.25</v>
      </c>
      <c r="G43" s="3" t="n">
        <v>0.25</v>
      </c>
      <c r="H43" s="3" t="n">
        <v>0.25</v>
      </c>
      <c r="I43" s="3" t="n">
        <v>0.25</v>
      </c>
      <c r="J43" s="3" t="n">
        <v>0.25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104</v>
      </c>
      <c r="C44" s="3" t="n">
        <v>0.87</v>
      </c>
      <c r="D44" s="3" t="n">
        <v>0.87</v>
      </c>
      <c r="E44" s="3" t="n">
        <v>0.87</v>
      </c>
      <c r="F44" s="3" t="n">
        <v>0.87</v>
      </c>
      <c r="G44" s="3" t="n">
        <v>0.87</v>
      </c>
      <c r="H44" s="3" t="n">
        <v>0.87</v>
      </c>
      <c r="I44" s="3" t="n">
        <v>0.87</v>
      </c>
      <c r="J44" s="3" t="n">
        <v>0.87</v>
      </c>
      <c r="K44" s="3" t="n">
        <v>0.87</v>
      </c>
      <c r="L44" s="3" t="n">
        <v>0.87</v>
      </c>
    </row>
    <row r="45" customFormat="false" ht="15" hidden="false" customHeight="false" outlineLevel="0" collapsed="false">
      <c r="A45" s="0" t="s">
        <v>105</v>
      </c>
      <c r="C45" s="3" t="n">
        <v>3.5</v>
      </c>
      <c r="D45" s="3" t="n">
        <v>3.5</v>
      </c>
      <c r="E45" s="3" t="n">
        <v>3.55</v>
      </c>
      <c r="F45" s="3" t="n">
        <v>3.6</v>
      </c>
      <c r="G45" s="3" t="n">
        <v>3.6</v>
      </c>
      <c r="H45" s="3" t="n">
        <v>3.65</v>
      </c>
      <c r="I45" s="3" t="n">
        <v>3.7</v>
      </c>
      <c r="J45" s="3" t="n">
        <v>3.7</v>
      </c>
      <c r="K45" s="3" t="n">
        <v>3.7</v>
      </c>
      <c r="L45" s="3" t="n">
        <v>3.7</v>
      </c>
    </row>
    <row r="46" customFormat="false" ht="15" hidden="false" customHeight="false" outlineLevel="0" collapsed="false">
      <c r="A46" s="0" t="s">
        <v>106</v>
      </c>
      <c r="C46" s="3" t="n">
        <v>4.8</v>
      </c>
      <c r="D46" s="3" t="n">
        <v>4.8</v>
      </c>
      <c r="E46" s="3" t="n">
        <v>4.7</v>
      </c>
      <c r="F46" s="3" t="n">
        <v>4.6</v>
      </c>
      <c r="G46" s="3" t="n">
        <v>4.5</v>
      </c>
      <c r="H46" s="3" t="n">
        <v>4.4</v>
      </c>
      <c r="I46" s="3" t="n">
        <v>4.3</v>
      </c>
      <c r="J46" s="3" t="n">
        <v>4.3</v>
      </c>
      <c r="K46" s="3" t="n">
        <v>4.3</v>
      </c>
      <c r="L46" s="3" t="n">
        <v>4.3</v>
      </c>
    </row>
    <row r="47" customFormat="false" ht="15" hidden="false" customHeight="false" outlineLevel="0" collapsed="false">
      <c r="A47" s="0" t="s">
        <v>107</v>
      </c>
      <c r="C47" s="3" t="n">
        <v>23</v>
      </c>
      <c r="D47" s="3" t="n">
        <v>23</v>
      </c>
      <c r="E47" s="3" t="n">
        <v>23.5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108</v>
      </c>
      <c r="B48" s="3" t="n">
        <v>7</v>
      </c>
    </row>
    <row r="49" customFormat="false" ht="15" hidden="false" customHeight="false" outlineLevel="0" collapsed="false">
      <c r="A49" s="0" t="s">
        <v>109</v>
      </c>
      <c r="B49" s="3" t="n">
        <v>2.75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20901</v>
      </c>
      <c r="C6" s="0" t="n">
        <f aca="false">B6*(1+C5/100)</f>
        <v>21528.03</v>
      </c>
      <c r="D6" s="0" t="n">
        <f aca="false">C6*(1+D5/100)</f>
        <v>21958.5906</v>
      </c>
      <c r="E6" s="0" t="n">
        <f aca="false">D6*(1+E5/100)</f>
        <v>22397.762412</v>
      </c>
      <c r="F6" s="0" t="n">
        <f aca="false">E6*(1+F5/100)</f>
        <v>22845.71766024</v>
      </c>
      <c r="G6" s="0" t="n">
        <f aca="false">F6*(1+G5/100)</f>
        <v>23302.6320134448</v>
      </c>
      <c r="H6" s="0" t="n">
        <f aca="false">G6*(1+H5/100)</f>
        <v>23768.6846537137</v>
      </c>
      <c r="I6" s="0" t="n">
        <f aca="false">H6*(1+I5/100)</f>
        <v>24244.058346788</v>
      </c>
      <c r="J6" s="0" t="n">
        <f aca="false">I6*(1+J5/100)</f>
        <v>24728.9395137237</v>
      </c>
      <c r="K6" s="0" t="n">
        <f aca="false">J6*(1+K5/100)</f>
        <v>25223.5183039982</v>
      </c>
      <c r="L6" s="0" t="n">
        <f aca="false">K6*(1+L5/100)</f>
        <v>25727.9886700782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18.1</v>
      </c>
      <c r="D7" s="4" t="n">
        <f aca="false">Assumptions!D14</f>
        <v>17.9</v>
      </c>
      <c r="E7" s="4" t="n">
        <f aca="false">Assumptions!E14</f>
        <v>17.7</v>
      </c>
      <c r="F7" s="4" t="n">
        <f aca="false">Assumptions!F14</f>
        <v>17.5</v>
      </c>
      <c r="G7" s="4" t="n">
        <f aca="false">Assumptions!G14</f>
        <v>17.4</v>
      </c>
      <c r="H7" s="4" t="n">
        <f aca="false">Assumptions!H14</f>
        <v>17.3</v>
      </c>
      <c r="I7" s="4" t="n">
        <f aca="false">Assumptions!I14</f>
        <v>17.3</v>
      </c>
      <c r="J7" s="4" t="n">
        <f aca="false">Assumptions!J14</f>
        <v>17.3</v>
      </c>
      <c r="K7" s="4" t="n">
        <f aca="false">Assumptions!K14</f>
        <v>17.3</v>
      </c>
      <c r="L7" s="4" t="n">
        <f aca="false">Assumptions!L14</f>
        <v>17.3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3896.57343</v>
      </c>
      <c r="D8" s="0" t="n">
        <f aca="false">D6*D7/100</f>
        <v>3930.5877174</v>
      </c>
      <c r="E8" s="0" t="n">
        <f aca="false">E6*E7/100</f>
        <v>3964.403946924</v>
      </c>
      <c r="F8" s="0" t="n">
        <f aca="false">F6*F7/100</f>
        <v>3998.000590542</v>
      </c>
      <c r="G8" s="0" t="n">
        <f aca="false">G6*G7/100</f>
        <v>4054.65797033939</v>
      </c>
      <c r="H8" s="0" t="n">
        <f aca="false">H6*H7/100</f>
        <v>4111.98244509247</v>
      </c>
      <c r="I8" s="0" t="n">
        <f aca="false">I6*I7/100</f>
        <v>4194.22209399432</v>
      </c>
      <c r="J8" s="0" t="n">
        <f aca="false">J6*J7/100</f>
        <v>4278.10653587421</v>
      </c>
      <c r="K8" s="0" t="n">
        <f aca="false">K6*K7/100</f>
        <v>4363.66866659169</v>
      </c>
      <c r="L8" s="0" t="n">
        <f aca="false">L6*L7/100</f>
        <v>4450.94203992352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0.25</v>
      </c>
      <c r="D9" s="4" t="n">
        <f aca="false">Assumptions!D15</f>
        <v>0.25</v>
      </c>
      <c r="E9" s="4" t="n">
        <f aca="false">Assumptions!E15</f>
        <v>0.25</v>
      </c>
      <c r="F9" s="4" t="n">
        <f aca="false">Assumptions!F15</f>
        <v>0.25</v>
      </c>
      <c r="G9" s="4" t="n">
        <f aca="false">Assumptions!G15</f>
        <v>0.25</v>
      </c>
      <c r="H9" s="4" t="n">
        <f aca="false">Assumptions!H15</f>
        <v>0.25</v>
      </c>
      <c r="I9" s="4" t="n">
        <f aca="false">Assumptions!I15</f>
        <v>0.25</v>
      </c>
      <c r="J9" s="4" t="n">
        <f aca="false">Assumptions!J15</f>
        <v>0.25</v>
      </c>
      <c r="K9" s="4" t="n">
        <f aca="false">Assumptions!K15</f>
        <v>0.25</v>
      </c>
      <c r="L9" s="4" t="n">
        <f aca="false">Assumptions!L15</f>
        <v>0.25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-53.820075</v>
      </c>
      <c r="D10" s="0" t="n">
        <f aca="false">-D6*D9/100</f>
        <v>-54.8964765</v>
      </c>
      <c r="E10" s="0" t="n">
        <f aca="false">-E6*E9/100</f>
        <v>-55.99440603</v>
      </c>
      <c r="F10" s="0" t="n">
        <f aca="false">-F6*F9/100</f>
        <v>-57.1142941506</v>
      </c>
      <c r="G10" s="0" t="n">
        <f aca="false">-G6*G9/100</f>
        <v>-58.256580033612</v>
      </c>
      <c r="H10" s="0" t="n">
        <f aca="false">-H6*H9/100</f>
        <v>-59.4217116342842</v>
      </c>
      <c r="I10" s="0" t="n">
        <f aca="false">-I6*I9/100</f>
        <v>-60.6101458669699</v>
      </c>
      <c r="J10" s="0" t="n">
        <f aca="false">-J6*J9/100</f>
        <v>-61.8223487843093</v>
      </c>
      <c r="K10" s="0" t="n">
        <f aca="false">-K6*K9/100</f>
        <v>-63.0587957599955</v>
      </c>
      <c r="L10" s="0" t="n">
        <f aca="false">-L6*L9/100</f>
        <v>-64.3199716751954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3649.001085</v>
      </c>
      <c r="D11" s="0" t="n">
        <f aca="false">D8+D10+D24</f>
        <v>3678.0639255</v>
      </c>
      <c r="E11" s="0" t="n">
        <f aca="false">E8+E10+E24</f>
        <v>3706.829679186</v>
      </c>
      <c r="F11" s="0" t="n">
        <f aca="false">F8+F10+F24</f>
        <v>3735.27483744924</v>
      </c>
      <c r="G11" s="0" t="n">
        <f aca="false">G8+G10+G24</f>
        <v>3786.67770218478</v>
      </c>
      <c r="H11" s="0" t="n">
        <f aca="false">H8+H10+H24</f>
        <v>3838.64257157476</v>
      </c>
      <c r="I11" s="0" t="n">
        <f aca="false">I8+I10+I24</f>
        <v>3915.41542300626</v>
      </c>
      <c r="J11" s="0" t="n">
        <f aca="false">J8+J10+J24</f>
        <v>3993.72373146638</v>
      </c>
      <c r="K11" s="0" t="n">
        <f aca="false">K8+K10+K24</f>
        <v>4073.59820609571</v>
      </c>
      <c r="L11" s="0" t="n">
        <f aca="false">L8+L10+L24</f>
        <v>4155.07017021763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-753.48105</v>
      </c>
      <c r="D12" s="4" t="n">
        <f aca="false">-D6*Assumptions!D17/100</f>
        <v>-779.5299663</v>
      </c>
      <c r="E12" s="4" t="n">
        <f aca="false">-E6*Assumptions!E17/100</f>
        <v>-806.319446832</v>
      </c>
      <c r="F12" s="4" t="n">
        <f aca="false">-F6*Assumptions!F17/100</f>
        <v>-833.86869459876</v>
      </c>
      <c r="G12" s="4" t="n">
        <f aca="false">-G6*Assumptions!G17/100</f>
        <v>-862.197384497458</v>
      </c>
      <c r="H12" s="4" t="n">
        <f aca="false">-H6*Assumptions!H17/100</f>
        <v>-891.325674514264</v>
      </c>
      <c r="I12" s="4" t="n">
        <f aca="false">-I6*Assumptions!I17/100</f>
        <v>-921.274217177943</v>
      </c>
      <c r="J12" s="4" t="n">
        <f aca="false">-J6*Assumptions!J17/100</f>
        <v>-939.699701521502</v>
      </c>
      <c r="K12" s="4" t="n">
        <f aca="false">-K6*Assumptions!K17/100</f>
        <v>-958.493695551932</v>
      </c>
      <c r="L12" s="4" t="n">
        <f aca="false">-L6*Assumptions!L17/100</f>
        <v>-977.66356946297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2895.520035</v>
      </c>
      <c r="D13" s="0" t="n">
        <f aca="false">D11+D12</f>
        <v>2898.5339592</v>
      </c>
      <c r="E13" s="0" t="n">
        <f aca="false">E11+E12</f>
        <v>2900.510232354</v>
      </c>
      <c r="F13" s="0" t="n">
        <f aca="false">F11+F12</f>
        <v>2901.40614285048</v>
      </c>
      <c r="G13" s="0" t="n">
        <f aca="false">G11+G12</f>
        <v>2924.48031768732</v>
      </c>
      <c r="H13" s="0" t="n">
        <f aca="false">H11+H12</f>
        <v>2947.3168970605</v>
      </c>
      <c r="I13" s="0" t="n">
        <f aca="false">I11+I12</f>
        <v>2994.14120582831</v>
      </c>
      <c r="J13" s="0" t="n">
        <f aca="false">J11+J12</f>
        <v>3054.02402994488</v>
      </c>
      <c r="K13" s="0" t="n">
        <f aca="false">K11+K12</f>
        <v>3115.10451054378</v>
      </c>
      <c r="L13" s="0" t="n">
        <f aca="false">L11+L12</f>
        <v>3177.40660075465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23.5</v>
      </c>
      <c r="D14" s="4" t="n">
        <f aca="false">Assumptions!D19</f>
        <v>24</v>
      </c>
      <c r="E14" s="4" t="n">
        <f aca="false">Assumptions!E19</f>
        <v>24.5</v>
      </c>
      <c r="F14" s="4" t="n">
        <f aca="false">Assumptions!F19</f>
        <v>25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2215.072826775</v>
      </c>
      <c r="D15" s="0" t="n">
        <f aca="false">D13-MAX(0,D13)*D14/100</f>
        <v>2202.885808992</v>
      </c>
      <c r="E15" s="0" t="n">
        <f aca="false">E13-MAX(0,E13)*E14/100</f>
        <v>2189.88522542727</v>
      </c>
      <c r="F15" s="0" t="n">
        <f aca="false">F13-MAX(0,F13)*F14/100</f>
        <v>2176.05460713786</v>
      </c>
      <c r="G15" s="0" t="n">
        <f aca="false">G13-MAX(0,G13)*G14/100</f>
        <v>2178.73783667705</v>
      </c>
      <c r="H15" s="0" t="n">
        <f aca="false">H13-MAX(0,H13)*H14/100</f>
        <v>2195.75108831007</v>
      </c>
      <c r="I15" s="0" t="n">
        <f aca="false">I13-MAX(0,I13)*I14/100</f>
        <v>2230.63519834209</v>
      </c>
      <c r="J15" s="0" t="n">
        <f aca="false">J13-MAX(0,J13)*J14/100</f>
        <v>2275.24790230894</v>
      </c>
      <c r="K15" s="0" t="n">
        <f aca="false">K13-MAX(0,K13)*K14/100</f>
        <v>2320.75286035512</v>
      </c>
      <c r="L15" s="0" t="n">
        <f aca="false">L13-MAX(0,L13)*L14/100</f>
        <v>2367.16791756222</v>
      </c>
    </row>
    <row r="16" customFormat="false" ht="15" hidden="false" customHeight="false" outlineLevel="0" collapsed="false">
      <c r="A16" s="0" t="s">
        <v>123</v>
      </c>
      <c r="C16" s="0" t="n">
        <f aca="false">-C12</f>
        <v>753.48105</v>
      </c>
      <c r="D16" s="0" t="n">
        <f aca="false">-D12</f>
        <v>779.5299663</v>
      </c>
      <c r="E16" s="0" t="n">
        <f aca="false">-E12</f>
        <v>806.319446832</v>
      </c>
      <c r="F16" s="0" t="n">
        <f aca="false">-F12</f>
        <v>833.86869459876</v>
      </c>
      <c r="G16" s="0" t="n">
        <f aca="false">-G12</f>
        <v>862.197384497458</v>
      </c>
      <c r="H16" s="0" t="n">
        <f aca="false">-H12</f>
        <v>891.325674514264</v>
      </c>
      <c r="I16" s="0" t="n">
        <f aca="false">-I12</f>
        <v>921.274217177943</v>
      </c>
      <c r="J16" s="0" t="n">
        <f aca="false">-J12</f>
        <v>939.699701521502</v>
      </c>
      <c r="K16" s="0" t="n">
        <f aca="false">-K12</f>
        <v>958.493695551932</v>
      </c>
      <c r="L16" s="0" t="n">
        <f aca="false">-L12</f>
        <v>977.66356946297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-1033.34544</v>
      </c>
      <c r="D17" s="4" t="n">
        <f aca="false">-D6*Assumptions!D18/100</f>
        <v>-1054.0123488</v>
      </c>
      <c r="E17" s="4" t="n">
        <f aca="false">-E6*Assumptions!E18/100</f>
        <v>-1052.694833364</v>
      </c>
      <c r="F17" s="4" t="n">
        <f aca="false">-F6*Assumptions!F18/100</f>
        <v>-1050.90301237104</v>
      </c>
      <c r="G17" s="4" t="n">
        <f aca="false">-G6*Assumptions!G18/100</f>
        <v>-1071.92107261846</v>
      </c>
      <c r="H17" s="4" t="n">
        <f aca="false">-H6*Assumptions!H18/100</f>
        <v>-1069.59080941712</v>
      </c>
      <c r="I17" s="4" t="n">
        <f aca="false">-I6*Assumptions!I18/100</f>
        <v>-1090.98262560546</v>
      </c>
      <c r="J17" s="4" t="n">
        <f aca="false">-J6*Assumptions!J18/100</f>
        <v>-1112.80227811757</v>
      </c>
      <c r="K17" s="4" t="n">
        <f aca="false">-K6*Assumptions!K18/100</f>
        <v>-1135.05832367992</v>
      </c>
      <c r="L17" s="4" t="n">
        <f aca="false">-L6*Assumptions!L18/100</f>
        <v>-1157.75949015352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1935.208436775</v>
      </c>
      <c r="D19" s="0" t="n">
        <f aca="false">D15+D16+D17+D18</f>
        <v>1928.403426492</v>
      </c>
      <c r="E19" s="0" t="n">
        <f aca="false">E15+E16+E17+E18</f>
        <v>1943.50983889527</v>
      </c>
      <c r="F19" s="0" t="n">
        <f aca="false">F15+F16+F17+F18</f>
        <v>1959.02028936558</v>
      </c>
      <c r="G19" s="0" t="n">
        <f aca="false">G15+G16+G17+G18</f>
        <v>1969.01414855605</v>
      </c>
      <c r="H19" s="0" t="n">
        <f aca="false">H15+H16+H17+H18</f>
        <v>2017.48595340722</v>
      </c>
      <c r="I19" s="0" t="n">
        <f aca="false">I15+I16+I17+I18</f>
        <v>2060.92678991458</v>
      </c>
      <c r="J19" s="0" t="n">
        <f aca="false">J15+J16+J17+J18</f>
        <v>2102.14532571287</v>
      </c>
      <c r="K19" s="0" t="n">
        <f aca="false">K15+K16+K17+K18</f>
        <v>2144.18823222713</v>
      </c>
      <c r="L19" s="0" t="n">
        <f aca="false">L15+L16+L17+L18</f>
        <v>2187.07199687167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1808.60601567757</v>
      </c>
      <c r="D21" s="0" t="n">
        <f aca="false">D19*D20</f>
        <v>1684.34223643288</v>
      </c>
      <c r="E21" s="0" t="n">
        <f aca="false">E19*E20</f>
        <v>1586.48295520669</v>
      </c>
      <c r="F21" s="0" t="n">
        <f aca="false">F19*F20</f>
        <v>1494.52719906096</v>
      </c>
      <c r="G21" s="0" t="n">
        <f aca="false">G19*G20</f>
        <v>1403.87987512827</v>
      </c>
      <c r="H21" s="0" t="n">
        <f aca="false">H19*H20</f>
        <v>1344.33607671194</v>
      </c>
      <c r="I21" s="0" t="n">
        <f aca="false">I19*I20</f>
        <v>1283.44162646234</v>
      </c>
      <c r="J21" s="0" t="n">
        <f aca="false">J19*J20</f>
        <v>1223.46771868373</v>
      </c>
      <c r="K21" s="0" t="n">
        <f aca="false">K19*K20</f>
        <v>1166.29632996019</v>
      </c>
      <c r="L21" s="0" t="n">
        <f aca="false">L19*L20</f>
        <v>1111.79650145738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0.9</v>
      </c>
      <c r="D23" s="4" t="n">
        <f aca="false">Assumptions!D16</f>
        <v>0.9</v>
      </c>
      <c r="E23" s="4" t="n">
        <f aca="false">Assumptions!E16</f>
        <v>0.9</v>
      </c>
      <c r="F23" s="4" t="n">
        <f aca="false">Assumptions!F16</f>
        <v>0.9</v>
      </c>
      <c r="G23" s="4" t="n">
        <f aca="false">Assumptions!G16</f>
        <v>0.9</v>
      </c>
      <c r="H23" s="4" t="n">
        <f aca="false">Assumptions!H16</f>
        <v>0.9</v>
      </c>
      <c r="I23" s="4" t="n">
        <f aca="false">Assumptions!I16</f>
        <v>0.9</v>
      </c>
      <c r="J23" s="4" t="n">
        <f aca="false">Assumptions!J16</f>
        <v>0.9</v>
      </c>
      <c r="K23" s="4" t="n">
        <f aca="false">Assumptions!K16</f>
        <v>0.9</v>
      </c>
      <c r="L23" s="4" t="n">
        <f aca="false">Assumptions!L16</f>
        <v>0.9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-193.75227</v>
      </c>
      <c r="D24" s="0" t="n">
        <f aca="false">-D6*D23/100</f>
        <v>-197.6273154</v>
      </c>
      <c r="E24" s="0" t="n">
        <f aca="false">-E6*E23/100</f>
        <v>-201.579861708</v>
      </c>
      <c r="F24" s="0" t="n">
        <f aca="false">-F6*F23/100</f>
        <v>-205.61145894216</v>
      </c>
      <c r="G24" s="0" t="n">
        <f aca="false">-G6*G23/100</f>
        <v>-209.723688121003</v>
      </c>
      <c r="H24" s="0" t="n">
        <f aca="false">-H6*H23/100</f>
        <v>-213.918161883423</v>
      </c>
      <c r="I24" s="0" t="n">
        <f aca="false">-I6*I23/100</f>
        <v>-218.196525121092</v>
      </c>
      <c r="J24" s="0" t="n">
        <f aca="false">-J6*J23/100</f>
        <v>-222.560455623514</v>
      </c>
      <c r="K24" s="0" t="n">
        <f aca="false">-K6*K23/100</f>
        <v>-227.011664735984</v>
      </c>
      <c r="L24" s="0" t="n">
        <f aca="false">-L6*L23/100</f>
        <v>-231.551898030704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1.75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14107.1765347819</v>
      </c>
    </row>
    <row r="31" customFormat="false" ht="15" hidden="false" customHeight="false" outlineLevel="0" collapsed="false">
      <c r="A31" s="0" t="s">
        <v>132</v>
      </c>
      <c r="B31" s="0" t="n">
        <f aca="false">L19</f>
        <v>2187.07199687167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42387.5382250843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34993.1519499467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34993.1519499467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17788.744023318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31895.9205581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21485.9205581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55.22734814934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-0.457118370693601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409.382453747302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633.699233951559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57.9084823068909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16795.0623155994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9.62266072412447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3.5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3.75</v>
      </c>
      <c r="G5" s="4" t="n">
        <f aca="false">Assumptions!G27</f>
        <v>3.5</v>
      </c>
      <c r="H5" s="4" t="n">
        <f aca="false">Assumptions!H27</f>
        <v>3.25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2.75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20901</v>
      </c>
      <c r="C6" s="0" t="n">
        <f aca="false">B6*(1+C5/100)</f>
        <v>21632.535</v>
      </c>
      <c r="D6" s="0" t="n">
        <f aca="false">C6*(1+D5/100)</f>
        <v>22497.8364</v>
      </c>
      <c r="E6" s="0" t="n">
        <f aca="false">D6*(1+E5/100)</f>
        <v>23397.749856</v>
      </c>
      <c r="F6" s="0" t="n">
        <f aca="false">E6*(1+F5/100)</f>
        <v>24275.1654756</v>
      </c>
      <c r="G6" s="0" t="n">
        <f aca="false">F6*(1+G5/100)</f>
        <v>25124.796267246</v>
      </c>
      <c r="H6" s="0" t="n">
        <f aca="false">G6*(1+H5/100)</f>
        <v>25941.3521459315</v>
      </c>
      <c r="I6" s="0" t="n">
        <f aca="false">H6*(1+I5/100)</f>
        <v>26719.5927103094</v>
      </c>
      <c r="J6" s="0" t="n">
        <f aca="false">I6*(1+J5/100)</f>
        <v>27521.1804916187</v>
      </c>
      <c r="K6" s="0" t="n">
        <f aca="false">J6*(1+K5/100)</f>
        <v>28278.0129551382</v>
      </c>
      <c r="L6" s="0" t="n">
        <f aca="false">K6*(1+L5/100)</f>
        <v>28984.9632790167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18.3</v>
      </c>
      <c r="D7" s="4" t="n">
        <f aca="false">Assumptions!D28</f>
        <v>18.5</v>
      </c>
      <c r="E7" s="4" t="n">
        <f aca="false">Assumptions!E28</f>
        <v>18.7</v>
      </c>
      <c r="F7" s="4" t="n">
        <f aca="false">Assumptions!F28</f>
        <v>18.85</v>
      </c>
      <c r="G7" s="4" t="n">
        <f aca="false">Assumptions!G28</f>
        <v>19</v>
      </c>
      <c r="H7" s="4" t="n">
        <f aca="false">Assumptions!H28</f>
        <v>19.1</v>
      </c>
      <c r="I7" s="4" t="n">
        <f aca="false">Assumptions!I28</f>
        <v>19.2</v>
      </c>
      <c r="J7" s="4" t="n">
        <f aca="false">Assumptions!J28</f>
        <v>19.2</v>
      </c>
      <c r="K7" s="4" t="n">
        <f aca="false">Assumptions!K28</f>
        <v>19.2</v>
      </c>
      <c r="L7" s="4" t="n">
        <f aca="false">Assumptions!L28</f>
        <v>19.2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3958.753905</v>
      </c>
      <c r="D8" s="0" t="n">
        <f aca="false">D6*D7/100</f>
        <v>4162.099734</v>
      </c>
      <c r="E8" s="0" t="n">
        <f aca="false">E6*E7/100</f>
        <v>4375.379223072</v>
      </c>
      <c r="F8" s="0" t="n">
        <f aca="false">F6*F7/100</f>
        <v>4575.8686921506</v>
      </c>
      <c r="G8" s="0" t="n">
        <f aca="false">G6*G7/100</f>
        <v>4773.71129077674</v>
      </c>
      <c r="H8" s="0" t="n">
        <f aca="false">H6*H7/100</f>
        <v>4954.79825987292</v>
      </c>
      <c r="I8" s="0" t="n">
        <f aca="false">I6*I7/100</f>
        <v>5130.16180037941</v>
      </c>
      <c r="J8" s="0" t="n">
        <f aca="false">J6*J7/100</f>
        <v>5284.0666543908</v>
      </c>
      <c r="K8" s="0" t="n">
        <f aca="false">K6*K7/100</f>
        <v>5429.37848738654</v>
      </c>
      <c r="L8" s="0" t="n">
        <f aca="false">L6*L7/100</f>
        <v>5565.11294957121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0.25</v>
      </c>
      <c r="G9" s="4" t="n">
        <f aca="false">Assumptions!G29</f>
        <v>0.25</v>
      </c>
      <c r="H9" s="4" t="n">
        <f aca="false">Assumptions!H29</f>
        <v>0.25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-54.0813375</v>
      </c>
      <c r="D10" s="0" t="n">
        <f aca="false">-D6*D9/100</f>
        <v>-56.244591</v>
      </c>
      <c r="E10" s="0" t="n">
        <f aca="false">-E6*E9/100</f>
        <v>-58.49437464</v>
      </c>
      <c r="F10" s="0" t="n">
        <f aca="false">-F6*F9/100</f>
        <v>-60.687913689</v>
      </c>
      <c r="G10" s="0" t="n">
        <f aca="false">-G6*G9/100</f>
        <v>-62.811990668115</v>
      </c>
      <c r="H10" s="0" t="n">
        <f aca="false">-H6*H9/100</f>
        <v>-64.8533803648287</v>
      </c>
      <c r="I10" s="0" t="n">
        <f aca="false">-I6*I9/100</f>
        <v>-66.7989817757736</v>
      </c>
      <c r="J10" s="0" t="n">
        <f aca="false">-J6*J9/100</f>
        <v>-68.8029512290468</v>
      </c>
      <c r="K10" s="0" t="n">
        <f aca="false">-K6*K9/100</f>
        <v>-70.6950323878456</v>
      </c>
      <c r="L10" s="0" t="n">
        <f aca="false">-L6*L9/100</f>
        <v>-72.4624081975417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3716.469513</v>
      </c>
      <c r="D11" s="0" t="n">
        <f aca="false">D8+D10+D24</f>
        <v>3910.12396632</v>
      </c>
      <c r="E11" s="0" t="n">
        <f aca="false">E8+E10+E24</f>
        <v>4113.3244246848</v>
      </c>
      <c r="F11" s="0" t="n">
        <f aca="false">F8+F10+F24</f>
        <v>4303.98683882388</v>
      </c>
      <c r="G11" s="0" t="n">
        <f aca="false">G8+G10+G24</f>
        <v>4492.31357258359</v>
      </c>
      <c r="H11" s="0" t="n">
        <f aca="false">H8+H10+H24</f>
        <v>4664.25511583848</v>
      </c>
      <c r="I11" s="0" t="n">
        <f aca="false">I8+I10+I24</f>
        <v>4830.90236202395</v>
      </c>
      <c r="J11" s="0" t="n">
        <f aca="false">J8+J10+J24</f>
        <v>4975.82943288467</v>
      </c>
      <c r="K11" s="0" t="n">
        <f aca="false">K8+K10+K24</f>
        <v>5112.66474228899</v>
      </c>
      <c r="L11" s="0" t="n">
        <f aca="false">L8+L10+L24</f>
        <v>5240.48136084622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-757.138725</v>
      </c>
      <c r="D12" s="4" t="n">
        <f aca="false">-D6*Assumptions!D31/100</f>
        <v>-787.424274</v>
      </c>
      <c r="E12" s="4" t="n">
        <f aca="false">-E6*Assumptions!E31/100</f>
        <v>-830.620119888</v>
      </c>
      <c r="F12" s="4" t="n">
        <f aca="false">-F6*Assumptions!F31/100</f>
        <v>-873.9059571216</v>
      </c>
      <c r="G12" s="4" t="n">
        <f aca="false">-G6*Assumptions!G31/100</f>
        <v>-904.492665620856</v>
      </c>
      <c r="H12" s="4" t="n">
        <f aca="false">-H6*Assumptions!H31/100</f>
        <v>-946.8593533265</v>
      </c>
      <c r="I12" s="4" t="n">
        <f aca="false">-I6*Assumptions!I31/100</f>
        <v>-988.624930281449</v>
      </c>
      <c r="J12" s="4" t="n">
        <f aca="false">-J6*Assumptions!J31/100</f>
        <v>-1018.28367818989</v>
      </c>
      <c r="K12" s="4" t="n">
        <f aca="false">-K6*Assumptions!K31/100</f>
        <v>-1046.28647934012</v>
      </c>
      <c r="L12" s="4" t="n">
        <f aca="false">-L6*Assumptions!L31/100</f>
        <v>-1072.44364132362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2959.330788</v>
      </c>
      <c r="D13" s="0" t="n">
        <f aca="false">D11+D12</f>
        <v>3122.69969232</v>
      </c>
      <c r="E13" s="0" t="n">
        <f aca="false">E11+E12</f>
        <v>3282.7043047968</v>
      </c>
      <c r="F13" s="0" t="n">
        <f aca="false">F11+F12</f>
        <v>3430.08088170228</v>
      </c>
      <c r="G13" s="0" t="n">
        <f aca="false">G11+G12</f>
        <v>3587.82090696273</v>
      </c>
      <c r="H13" s="0" t="n">
        <f aca="false">H11+H12</f>
        <v>3717.39576251198</v>
      </c>
      <c r="I13" s="0" t="n">
        <f aca="false">I11+I12</f>
        <v>3842.2774317425</v>
      </c>
      <c r="J13" s="0" t="n">
        <f aca="false">J11+J12</f>
        <v>3957.54575469477</v>
      </c>
      <c r="K13" s="0" t="n">
        <f aca="false">K11+K12</f>
        <v>4066.37826294888</v>
      </c>
      <c r="L13" s="0" t="n">
        <f aca="false">L11+L12</f>
        <v>4168.0377195226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23</v>
      </c>
      <c r="D14" s="4" t="n">
        <f aca="false">Assumptions!D33</f>
        <v>23.5</v>
      </c>
      <c r="E14" s="4" t="n">
        <f aca="false">Assumptions!E33</f>
        <v>24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2278.68470676</v>
      </c>
      <c r="D15" s="0" t="n">
        <f aca="false">D13-MAX(0,D13)*D14/100</f>
        <v>2388.8652646248</v>
      </c>
      <c r="E15" s="0" t="n">
        <f aca="false">E13-MAX(0,E13)*E14/100</f>
        <v>2494.85527164557</v>
      </c>
      <c r="F15" s="0" t="n">
        <f aca="false">F13-MAX(0,F13)*F14/100</f>
        <v>2589.71106568522</v>
      </c>
      <c r="G15" s="0" t="n">
        <f aca="false">G13-MAX(0,G13)*G14/100</f>
        <v>2708.80478475686</v>
      </c>
      <c r="H15" s="0" t="n">
        <f aca="false">H13-MAX(0,H13)*H14/100</f>
        <v>2806.63380069655</v>
      </c>
      <c r="I15" s="0" t="n">
        <f aca="false">I13-MAX(0,I13)*I14/100</f>
        <v>2900.91946096559</v>
      </c>
      <c r="J15" s="0" t="n">
        <f aca="false">J13-MAX(0,J13)*J14/100</f>
        <v>2987.94704479455</v>
      </c>
      <c r="K15" s="0" t="n">
        <f aca="false">K13-MAX(0,K13)*K14/100</f>
        <v>3070.1155885264</v>
      </c>
      <c r="L15" s="0" t="n">
        <f aca="false">L13-MAX(0,L13)*L14/100</f>
        <v>3146.86847823956</v>
      </c>
    </row>
    <row r="16" customFormat="false" ht="15" hidden="false" customHeight="false" outlineLevel="0" collapsed="false">
      <c r="A16" s="0" t="s">
        <v>123</v>
      </c>
      <c r="C16" s="0" t="n">
        <f aca="false">-C12</f>
        <v>757.138725</v>
      </c>
      <c r="D16" s="0" t="n">
        <f aca="false">-D12</f>
        <v>787.424274</v>
      </c>
      <c r="E16" s="0" t="n">
        <f aca="false">-E12</f>
        <v>830.620119888</v>
      </c>
      <c r="F16" s="0" t="n">
        <f aca="false">-F12</f>
        <v>873.9059571216</v>
      </c>
      <c r="G16" s="0" t="n">
        <f aca="false">-G12</f>
        <v>904.492665620856</v>
      </c>
      <c r="H16" s="0" t="n">
        <f aca="false">-H12</f>
        <v>946.8593533265</v>
      </c>
      <c r="I16" s="0" t="n">
        <f aca="false">-I12</f>
        <v>988.624930281449</v>
      </c>
      <c r="J16" s="0" t="n">
        <f aca="false">-J12</f>
        <v>1018.28367818989</v>
      </c>
      <c r="K16" s="0" t="n">
        <f aca="false">-K12</f>
        <v>1046.28647934012</v>
      </c>
      <c r="L16" s="0" t="n">
        <f aca="false">-L12</f>
        <v>1072.44364132362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-1038.36168</v>
      </c>
      <c r="D17" s="4" t="n">
        <f aca="false">-D6*Assumptions!D32/100</f>
        <v>-1079.8961472</v>
      </c>
      <c r="E17" s="4" t="n">
        <f aca="false">-E6*Assumptions!E32/100</f>
        <v>-1076.296493376</v>
      </c>
      <c r="F17" s="4" t="n">
        <f aca="false">-F6*Assumptions!F32/100</f>
        <v>-1092.382446402</v>
      </c>
      <c r="G17" s="4" t="n">
        <f aca="false">-G6*Assumptions!G32/100</f>
        <v>-1130.61583202607</v>
      </c>
      <c r="H17" s="4" t="n">
        <f aca="false">-H6*Assumptions!H32/100</f>
        <v>-1141.41949442099</v>
      </c>
      <c r="I17" s="4" t="n">
        <f aca="false">-I6*Assumptions!I32/100</f>
        <v>-1148.94248654331</v>
      </c>
      <c r="J17" s="4" t="n">
        <f aca="false">-J6*Assumptions!J32/100</f>
        <v>-1183.41076113961</v>
      </c>
      <c r="K17" s="4" t="n">
        <f aca="false">-K6*Assumptions!K32/100</f>
        <v>-1215.95455707094</v>
      </c>
      <c r="L17" s="4" t="n">
        <f aca="false">-L6*Assumptions!L32/100</f>
        <v>-1246.35342099772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1997.46175176</v>
      </c>
      <c r="D19" s="0" t="n">
        <f aca="false">D15+D16+D17+D18</f>
        <v>2096.3933914248</v>
      </c>
      <c r="E19" s="0" t="n">
        <f aca="false">E15+E16+E17+E18</f>
        <v>2249.17889815757</v>
      </c>
      <c r="F19" s="0" t="n">
        <f aca="false">F15+F16+F17+F18</f>
        <v>2371.23457640482</v>
      </c>
      <c r="G19" s="0" t="n">
        <f aca="false">G15+G16+G17+G18</f>
        <v>2482.68161835165</v>
      </c>
      <c r="H19" s="0" t="n">
        <f aca="false">H15+H16+H17+H18</f>
        <v>2612.07365960206</v>
      </c>
      <c r="I19" s="0" t="n">
        <f aca="false">I15+I16+I17+I18</f>
        <v>2740.60190470373</v>
      </c>
      <c r="J19" s="0" t="n">
        <f aca="false">J15+J16+J17+J18</f>
        <v>2822.81996184484</v>
      </c>
      <c r="K19" s="0" t="n">
        <f aca="false">K15+K16+K17+K18</f>
        <v>2900.44751079557</v>
      </c>
      <c r="L19" s="0" t="n">
        <f aca="false">L15+L16+L17+L18</f>
        <v>2972.95869856546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1866.78668388785</v>
      </c>
      <c r="D21" s="0" t="n">
        <f aca="false">D19*D20</f>
        <v>1831.07117776644</v>
      </c>
      <c r="E21" s="0" t="n">
        <f aca="false">E19*E20</f>
        <v>1835.99995931373</v>
      </c>
      <c r="F21" s="0" t="n">
        <f aca="false">F19*F20</f>
        <v>1809.00350498078</v>
      </c>
      <c r="G21" s="0" t="n">
        <f aca="false">G19*G20</f>
        <v>1770.11768194287</v>
      </c>
      <c r="H21" s="0" t="n">
        <f aca="false">H19*H20</f>
        <v>1740.53497111177</v>
      </c>
      <c r="I21" s="0" t="n">
        <f aca="false">I19*I20</f>
        <v>1706.70912876267</v>
      </c>
      <c r="J21" s="0" t="n">
        <f aca="false">J19*J20</f>
        <v>1642.90691834163</v>
      </c>
      <c r="K21" s="0" t="n">
        <f aca="false">K19*K20</f>
        <v>1577.65126971591</v>
      </c>
      <c r="L21" s="0" t="n">
        <f aca="false">L19*L20</f>
        <v>1511.3014499615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0.87</v>
      </c>
      <c r="D23" s="4" t="n">
        <f aca="false">Assumptions!D30</f>
        <v>0.87</v>
      </c>
      <c r="E23" s="4" t="n">
        <f aca="false">Assumptions!E30</f>
        <v>0.87</v>
      </c>
      <c r="F23" s="4" t="n">
        <f aca="false">Assumptions!F30</f>
        <v>0.87</v>
      </c>
      <c r="G23" s="4" t="n">
        <f aca="false">Assumptions!G30</f>
        <v>0.87</v>
      </c>
      <c r="H23" s="4" t="n">
        <f aca="false">Assumptions!H30</f>
        <v>0.87</v>
      </c>
      <c r="I23" s="4" t="n">
        <f aca="false">Assumptions!I30</f>
        <v>0.87</v>
      </c>
      <c r="J23" s="4" t="n">
        <f aca="false">Assumptions!J30</f>
        <v>0.87</v>
      </c>
      <c r="K23" s="4" t="n">
        <f aca="false">Assumptions!K30</f>
        <v>0.87</v>
      </c>
      <c r="L23" s="4" t="n">
        <f aca="false">Assumptions!L30</f>
        <v>0.87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-188.2030545</v>
      </c>
      <c r="D24" s="0" t="n">
        <f aca="false">-D6*D23/100</f>
        <v>-195.73117668</v>
      </c>
      <c r="E24" s="0" t="n">
        <f aca="false">-E6*E23/100</f>
        <v>-203.5604237472</v>
      </c>
      <c r="F24" s="0" t="n">
        <f aca="false">-F6*F23/100</f>
        <v>-211.19393963772</v>
      </c>
      <c r="G24" s="0" t="n">
        <f aca="false">-G6*G23/100</f>
        <v>-218.58572752504</v>
      </c>
      <c r="H24" s="0" t="n">
        <f aca="false">-H6*H23/100</f>
        <v>-225.689763669604</v>
      </c>
      <c r="I24" s="0" t="n">
        <f aca="false">-I6*I23/100</f>
        <v>-232.460456579692</v>
      </c>
      <c r="J24" s="0" t="n">
        <f aca="false">-J6*J23/100</f>
        <v>-239.434270277083</v>
      </c>
      <c r="K24" s="0" t="n">
        <f aca="false">-K6*K23/100</f>
        <v>-246.018712709703</v>
      </c>
      <c r="L24" s="0" t="n">
        <f aca="false">-L6*L23/100</f>
        <v>-252.169180527445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17292.0827457852</v>
      </c>
    </row>
    <row r="31" customFormat="false" ht="15" hidden="false" customHeight="false" outlineLevel="0" collapsed="false">
      <c r="A31" s="0" t="s">
        <v>132</v>
      </c>
      <c r="B31" s="0" t="n">
        <f aca="false">L19</f>
        <v>2972.95869856546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67717.3925784356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59459.1739713093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59459.1739713093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30226.0289992301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47518.1117450153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37108.1117450153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95.3825832579453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-0.0623947384454405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438.648109825468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839.047094698605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98.6667673215596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24378.2613282368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19.6602059708954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4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4.75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3.75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20901</v>
      </c>
      <c r="C6" s="0" t="n">
        <f aca="false">B6*(1+C5/100)</f>
        <v>21737.04</v>
      </c>
      <c r="D6" s="0" t="n">
        <f aca="false">C6*(1+D5/100)</f>
        <v>22823.892</v>
      </c>
      <c r="E6" s="0" t="n">
        <f aca="false">D6*(1+E5/100)</f>
        <v>23965.0866</v>
      </c>
      <c r="F6" s="0" t="n">
        <f aca="false">E6*(1+F5/100)</f>
        <v>25103.4282135</v>
      </c>
      <c r="G6" s="0" t="n">
        <f aca="false">F6*(1+G5/100)</f>
        <v>26233.0824831075</v>
      </c>
      <c r="H6" s="0" t="n">
        <f aca="false">G6*(1+H5/100)</f>
        <v>27282.4057824318</v>
      </c>
      <c r="I6" s="0" t="n">
        <f aca="false">H6*(1+I5/100)</f>
        <v>28305.495999273</v>
      </c>
      <c r="J6" s="0" t="n">
        <f aca="false">I6*(1+J5/100)</f>
        <v>29296.1883592476</v>
      </c>
      <c r="K6" s="0" t="n">
        <f aca="false">J6*(1+K5/100)</f>
        <v>30175.074010025</v>
      </c>
      <c r="L6" s="0" t="n">
        <f aca="false">K6*(1+L5/100)</f>
        <v>31080.3262303257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18.4</v>
      </c>
      <c r="D7" s="4" t="n">
        <f aca="false">Assumptions!D42</f>
        <v>18.8</v>
      </c>
      <c r="E7" s="4" t="n">
        <f aca="false">Assumptions!E42</f>
        <v>19.1</v>
      </c>
      <c r="F7" s="4" t="n">
        <f aca="false">Assumptions!F42</f>
        <v>19.4</v>
      </c>
      <c r="G7" s="4" t="n">
        <f aca="false">Assumptions!G42</f>
        <v>19.6</v>
      </c>
      <c r="H7" s="4" t="n">
        <f aca="false">Assumptions!H42</f>
        <v>19.8</v>
      </c>
      <c r="I7" s="4" t="n">
        <f aca="false">Assumptions!I42</f>
        <v>20</v>
      </c>
      <c r="J7" s="4" t="n">
        <f aca="false">Assumptions!J42</f>
        <v>20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3999.61536</v>
      </c>
      <c r="D8" s="0" t="n">
        <f aca="false">D6*D7/100</f>
        <v>4290.891696</v>
      </c>
      <c r="E8" s="0" t="n">
        <f aca="false">E6*E7/100</f>
        <v>4577.3315406</v>
      </c>
      <c r="F8" s="0" t="n">
        <f aca="false">F6*F7/100</f>
        <v>4870.065073419</v>
      </c>
      <c r="G8" s="0" t="n">
        <f aca="false">G6*G7/100</f>
        <v>5141.68416668907</v>
      </c>
      <c r="H8" s="0" t="n">
        <f aca="false">H6*H7/100</f>
        <v>5401.9163449215</v>
      </c>
      <c r="I8" s="0" t="n">
        <f aca="false">I6*I7/100</f>
        <v>5661.0991998546</v>
      </c>
      <c r="J8" s="0" t="n">
        <f aca="false">J6*J7/100</f>
        <v>5859.23767184951</v>
      </c>
      <c r="K8" s="0" t="n">
        <f aca="false">K6*K7/100</f>
        <v>6035.014802005</v>
      </c>
      <c r="L8" s="0" t="n">
        <f aca="false">L6*L7/100</f>
        <v>6216.06524606515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0.25</v>
      </c>
      <c r="D9" s="4" t="n">
        <f aca="false">Assumptions!D43</f>
        <v>0.25</v>
      </c>
      <c r="E9" s="4" t="n">
        <f aca="false">Assumptions!E43</f>
        <v>0.25</v>
      </c>
      <c r="F9" s="4" t="n">
        <f aca="false">Assumptions!F43</f>
        <v>0.25</v>
      </c>
      <c r="G9" s="4" t="n">
        <f aca="false">Assumptions!G43</f>
        <v>0.25</v>
      </c>
      <c r="H9" s="4" t="n">
        <f aca="false">Assumptions!H43</f>
        <v>0.25</v>
      </c>
      <c r="I9" s="4" t="n">
        <f aca="false">Assumptions!I43</f>
        <v>0.25</v>
      </c>
      <c r="J9" s="4" t="n">
        <f aca="false">Assumptions!J43</f>
        <v>0.25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-54.3426</v>
      </c>
      <c r="D10" s="0" t="n">
        <f aca="false">-D6*D9/100</f>
        <v>-57.05973</v>
      </c>
      <c r="E10" s="0" t="n">
        <f aca="false">-E6*E9/100</f>
        <v>-59.9127165</v>
      </c>
      <c r="F10" s="0" t="n">
        <f aca="false">-F6*F9/100</f>
        <v>-62.75857053375</v>
      </c>
      <c r="G10" s="0" t="n">
        <f aca="false">-G6*G9/100</f>
        <v>-65.5827062077688</v>
      </c>
      <c r="H10" s="0" t="n">
        <f aca="false">-H6*H9/100</f>
        <v>-68.2060144560795</v>
      </c>
      <c r="I10" s="0" t="n">
        <f aca="false">-I6*I9/100</f>
        <v>-70.7637399981825</v>
      </c>
      <c r="J10" s="0" t="n">
        <f aca="false">-J6*J9/100</f>
        <v>-73.2404708981189</v>
      </c>
      <c r="K10" s="0" t="n">
        <f aca="false">-K6*K9/100</f>
        <v>-75.4376850250625</v>
      </c>
      <c r="L10" s="0" t="n">
        <f aca="false">-L6*L9/100</f>
        <v>-77.7008155758144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3756.160512</v>
      </c>
      <c r="D11" s="0" t="n">
        <f aca="false">D8+D10+D24</f>
        <v>4035.2641056</v>
      </c>
      <c r="E11" s="0" t="n">
        <f aca="false">E8+E10+E24</f>
        <v>4308.92257068</v>
      </c>
      <c r="F11" s="0" t="n">
        <f aca="false">F8+F10+F24</f>
        <v>4588.9066774278</v>
      </c>
      <c r="G11" s="0" t="n">
        <f aca="false">G8+G10+G24</f>
        <v>4847.87364287827</v>
      </c>
      <c r="H11" s="0" t="n">
        <f aca="false">H8+H10+H24</f>
        <v>5096.35340015826</v>
      </c>
      <c r="I11" s="0" t="n">
        <f aca="false">I8+I10+I24</f>
        <v>5344.07764466274</v>
      </c>
      <c r="J11" s="0" t="n">
        <f aca="false">J8+J10+J24</f>
        <v>5531.12036222594</v>
      </c>
      <c r="K11" s="0" t="n">
        <f aca="false">K8+K10+K24</f>
        <v>5697.05397309272</v>
      </c>
      <c r="L11" s="0" t="n">
        <f aca="false">L8+L10+L24</f>
        <v>5867.9655922855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-760.7964</v>
      </c>
      <c r="D12" s="4" t="n">
        <f aca="false">-D6*Assumptions!D45/100</f>
        <v>-798.83622</v>
      </c>
      <c r="E12" s="4" t="n">
        <f aca="false">-E6*Assumptions!E45/100</f>
        <v>-850.7605743</v>
      </c>
      <c r="F12" s="4" t="n">
        <f aca="false">-F6*Assumptions!F45/100</f>
        <v>-903.723415686</v>
      </c>
      <c r="G12" s="4" t="n">
        <f aca="false">-G6*Assumptions!G45/100</f>
        <v>-944.39096939187</v>
      </c>
      <c r="H12" s="4" t="n">
        <f aca="false">-H6*Assumptions!H45/100</f>
        <v>-995.807811058761</v>
      </c>
      <c r="I12" s="4" t="n">
        <f aca="false">-I6*Assumptions!I45/100</f>
        <v>-1047.3033519731</v>
      </c>
      <c r="J12" s="4" t="n">
        <f aca="false">-J6*Assumptions!J45/100</f>
        <v>-1083.95896929216</v>
      </c>
      <c r="K12" s="4" t="n">
        <f aca="false">-K6*Assumptions!K45/100</f>
        <v>-1116.47773837092</v>
      </c>
      <c r="L12" s="4" t="n">
        <f aca="false">-L6*Assumptions!L45/100</f>
        <v>-1149.97207052205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2995.364112</v>
      </c>
      <c r="D13" s="0" t="n">
        <f aca="false">D11+D12</f>
        <v>3236.4278856</v>
      </c>
      <c r="E13" s="0" t="n">
        <f aca="false">E11+E12</f>
        <v>3458.16199638</v>
      </c>
      <c r="F13" s="0" t="n">
        <f aca="false">F11+F12</f>
        <v>3685.1832617418</v>
      </c>
      <c r="G13" s="0" t="n">
        <f aca="false">G11+G12</f>
        <v>3903.4826734864</v>
      </c>
      <c r="H13" s="0" t="n">
        <f aca="false">H11+H12</f>
        <v>4100.5455890995</v>
      </c>
      <c r="I13" s="0" t="n">
        <f aca="false">I11+I12</f>
        <v>4296.77429268964</v>
      </c>
      <c r="J13" s="0" t="n">
        <f aca="false">J11+J12</f>
        <v>4447.16139293378</v>
      </c>
      <c r="K13" s="0" t="n">
        <f aca="false">K11+K12</f>
        <v>4580.57623472179</v>
      </c>
      <c r="L13" s="0" t="n">
        <f aca="false">L11+L12</f>
        <v>4717.99352176345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23.5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2306.43036624</v>
      </c>
      <c r="D15" s="0" t="n">
        <f aca="false">D13-MAX(0,D13)*D14/100</f>
        <v>2492.049471912</v>
      </c>
      <c r="E15" s="0" t="n">
        <f aca="false">E13-MAX(0,E13)*E14/100</f>
        <v>2645.4939272307</v>
      </c>
      <c r="F15" s="0" t="n">
        <f aca="false">F13-MAX(0,F13)*F14/100</f>
        <v>2800.73927892377</v>
      </c>
      <c r="G15" s="0" t="n">
        <f aca="false">G13-MAX(0,G13)*G14/100</f>
        <v>2966.64683184966</v>
      </c>
      <c r="H15" s="0" t="n">
        <f aca="false">H13-MAX(0,H13)*H14/100</f>
        <v>3116.41464771562</v>
      </c>
      <c r="I15" s="0" t="n">
        <f aca="false">I13-MAX(0,I13)*I14/100</f>
        <v>3265.54846244413</v>
      </c>
      <c r="J15" s="0" t="n">
        <f aca="false">J13-MAX(0,J13)*J14/100</f>
        <v>3379.84265862967</v>
      </c>
      <c r="K15" s="0" t="n">
        <f aca="false">K13-MAX(0,K13)*K14/100</f>
        <v>3481.23793838856</v>
      </c>
      <c r="L15" s="0" t="n">
        <f aca="false">L13-MAX(0,L13)*L14/100</f>
        <v>3585.67507654022</v>
      </c>
    </row>
    <row r="16" customFormat="false" ht="15" hidden="false" customHeight="false" outlineLevel="0" collapsed="false">
      <c r="A16" s="0" t="s">
        <v>123</v>
      </c>
      <c r="C16" s="0" t="n">
        <f aca="false">-C12</f>
        <v>760.7964</v>
      </c>
      <c r="D16" s="0" t="n">
        <f aca="false">-D12</f>
        <v>798.83622</v>
      </c>
      <c r="E16" s="0" t="n">
        <f aca="false">-E12</f>
        <v>850.7605743</v>
      </c>
      <c r="F16" s="0" t="n">
        <f aca="false">-F12</f>
        <v>903.723415686</v>
      </c>
      <c r="G16" s="0" t="n">
        <f aca="false">-G12</f>
        <v>944.39096939187</v>
      </c>
      <c r="H16" s="0" t="n">
        <f aca="false">-H12</f>
        <v>995.807811058761</v>
      </c>
      <c r="I16" s="0" t="n">
        <f aca="false">-I12</f>
        <v>1047.3033519731</v>
      </c>
      <c r="J16" s="0" t="n">
        <f aca="false">-J12</f>
        <v>1083.95896929216</v>
      </c>
      <c r="K16" s="0" t="n">
        <f aca="false">-K12</f>
        <v>1116.47773837092</v>
      </c>
      <c r="L16" s="0" t="n">
        <f aca="false">-L12</f>
        <v>1149.97207052205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-1043.37792</v>
      </c>
      <c r="D17" s="4" t="n">
        <f aca="false">-D6*Assumptions!D46/100</f>
        <v>-1095.546816</v>
      </c>
      <c r="E17" s="4" t="n">
        <f aca="false">-E6*Assumptions!E46/100</f>
        <v>-1126.3590702</v>
      </c>
      <c r="F17" s="4" t="n">
        <f aca="false">-F6*Assumptions!F46/100</f>
        <v>-1154.757697821</v>
      </c>
      <c r="G17" s="4" t="n">
        <f aca="false">-G6*Assumptions!G46/100</f>
        <v>-1180.48871173984</v>
      </c>
      <c r="H17" s="4" t="n">
        <f aca="false">-H6*Assumptions!H46/100</f>
        <v>-1200.425854427</v>
      </c>
      <c r="I17" s="4" t="n">
        <f aca="false">-I6*Assumptions!I46/100</f>
        <v>-1217.13632796874</v>
      </c>
      <c r="J17" s="4" t="n">
        <f aca="false">-J6*Assumptions!J46/100</f>
        <v>-1259.73609944764</v>
      </c>
      <c r="K17" s="4" t="n">
        <f aca="false">-K6*Assumptions!K46/100</f>
        <v>-1297.52818243107</v>
      </c>
      <c r="L17" s="4" t="n">
        <f aca="false">-L6*Assumptions!L46/100</f>
        <v>-1336.45402790401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2023.84884624</v>
      </c>
      <c r="D19" s="0" t="n">
        <f aca="false">D15+D16+D17+D18</f>
        <v>2195.338875912</v>
      </c>
      <c r="E19" s="0" t="n">
        <f aca="false">E15+E16+E17+E18</f>
        <v>2369.8954313307</v>
      </c>
      <c r="F19" s="0" t="n">
        <f aca="false">F15+F16+F17+F18</f>
        <v>2549.70499678877</v>
      </c>
      <c r="G19" s="0" t="n">
        <f aca="false">G15+G16+G17+G18</f>
        <v>2730.5490895017</v>
      </c>
      <c r="H19" s="0" t="n">
        <f aca="false">H15+H16+H17+H18</f>
        <v>2911.79660434738</v>
      </c>
      <c r="I19" s="0" t="n">
        <f aca="false">I15+I16+I17+I18</f>
        <v>3095.71548644849</v>
      </c>
      <c r="J19" s="0" t="n">
        <f aca="false">J15+J16+J17+J18</f>
        <v>3204.06552847419</v>
      </c>
      <c r="K19" s="0" t="n">
        <f aca="false">K15+K16+K17+K18</f>
        <v>3300.18749432841</v>
      </c>
      <c r="L19" s="0" t="n">
        <f aca="false">L15+L16+L17+L18</f>
        <v>3399.19311915827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1891.44751985047</v>
      </c>
      <c r="D21" s="0" t="n">
        <f aca="false">D19*D20</f>
        <v>1917.49399590532</v>
      </c>
      <c r="E21" s="0" t="n">
        <f aca="false">E19*E20</f>
        <v>1934.54060904858</v>
      </c>
      <c r="F21" s="0" t="n">
        <f aca="false">F19*F20</f>
        <v>1945.1577341838</v>
      </c>
      <c r="G21" s="0" t="n">
        <f aca="false">G19*G20</f>
        <v>1946.84376321642</v>
      </c>
      <c r="H21" s="0" t="n">
        <f aca="false">H19*H20</f>
        <v>1940.2530246422</v>
      </c>
      <c r="I21" s="0" t="n">
        <f aca="false">I19*I20</f>
        <v>1927.85602013393</v>
      </c>
      <c r="J21" s="0" t="n">
        <f aca="false">J19*J20</f>
        <v>1864.79530919497</v>
      </c>
      <c r="K21" s="0" t="n">
        <f aca="false">K19*K20</f>
        <v>1795.08333501945</v>
      </c>
      <c r="L21" s="0" t="n">
        <f aca="false">L19*L20</f>
        <v>1727.97741595331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0.87</v>
      </c>
      <c r="D23" s="4" t="n">
        <f aca="false">Assumptions!D44</f>
        <v>0.87</v>
      </c>
      <c r="E23" s="4" t="n">
        <f aca="false">Assumptions!E44</f>
        <v>0.87</v>
      </c>
      <c r="F23" s="4" t="n">
        <f aca="false">Assumptions!F44</f>
        <v>0.87</v>
      </c>
      <c r="G23" s="4" t="n">
        <f aca="false">Assumptions!G44</f>
        <v>0.87</v>
      </c>
      <c r="H23" s="4" t="n">
        <f aca="false">Assumptions!H44</f>
        <v>0.87</v>
      </c>
      <c r="I23" s="4" t="n">
        <f aca="false">Assumptions!I44</f>
        <v>0.87</v>
      </c>
      <c r="J23" s="4" t="n">
        <f aca="false">Assumptions!J44</f>
        <v>0.87</v>
      </c>
      <c r="K23" s="4" t="n">
        <f aca="false">Assumptions!K44</f>
        <v>0.87</v>
      </c>
      <c r="L23" s="4" t="n">
        <f aca="false">Assumptions!L44</f>
        <v>0.87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-189.112248</v>
      </c>
      <c r="D24" s="0" t="n">
        <f aca="false">-D6*D23/100</f>
        <v>-198.5678604</v>
      </c>
      <c r="E24" s="0" t="n">
        <f aca="false">-E6*E23/100</f>
        <v>-208.49625342</v>
      </c>
      <c r="F24" s="0" t="n">
        <f aca="false">-F6*F23/100</f>
        <v>-218.39982545745</v>
      </c>
      <c r="G24" s="0" t="n">
        <f aca="false">-G6*G23/100</f>
        <v>-228.227817603035</v>
      </c>
      <c r="H24" s="0" t="n">
        <f aca="false">-H6*H23/100</f>
        <v>-237.356930307157</v>
      </c>
      <c r="I24" s="0" t="n">
        <f aca="false">-I6*I23/100</f>
        <v>-246.257815193675</v>
      </c>
      <c r="J24" s="0" t="n">
        <f aca="false">-J6*J23/100</f>
        <v>-254.876838725454</v>
      </c>
      <c r="K24" s="0" t="n">
        <f aca="false">-K6*K23/100</f>
        <v>-262.523143887217</v>
      </c>
      <c r="L24" s="0" t="n">
        <f aca="false">-L6*L23/100</f>
        <v>-270.398838203834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18891.4487271485</v>
      </c>
    </row>
    <row r="31" customFormat="false" ht="15" hidden="false" customHeight="false" outlineLevel="0" collapsed="false">
      <c r="A31" s="0" t="s">
        <v>132</v>
      </c>
      <c r="B31" s="0" t="n">
        <f aca="false">L19</f>
        <v>3399.19311915827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82180.4924690616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67983.8623831653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67983.8623831653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34559.5483190661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53450.9970462146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43040.9970462146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110.632454501461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0.0875106114367574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456.845580032601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954.950149356529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114.261330166895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28511.5994280418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24.880185672181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55.22734814934</v>
      </c>
      <c r="C4" s="0" t="n">
        <f aca="false">B4/Assumptions!$B$2-1</f>
        <v>-0.457118370693601</v>
      </c>
      <c r="D4" s="4" t="n">
        <f aca="false">Assumptions!$B$24</f>
        <v>0.2</v>
      </c>
      <c r="E4" s="4" t="n">
        <f aca="false">DCF_Bear!$B$43</f>
        <v>57.9084823068909</v>
      </c>
      <c r="F4" s="4" t="n">
        <f aca="false">DCF_Bear!$B$47</f>
        <v>9.62266072412447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95.3825832579453</v>
      </c>
      <c r="C5" s="0" t="n">
        <f aca="false">B5/Assumptions!$B$2-1</f>
        <v>-0.0623947384454405</v>
      </c>
      <c r="D5" s="4" t="n">
        <f aca="false">Assumptions!$B$38</f>
        <v>0.55</v>
      </c>
      <c r="E5" s="4" t="n">
        <f aca="false">DCF_Base!$B$43</f>
        <v>98.6667673215596</v>
      </c>
      <c r="F5" s="4" t="n">
        <f aca="false">DCF_Base!$B$47</f>
        <v>19.6602059708954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110.632454501461</v>
      </c>
      <c r="C6" s="0" t="n">
        <f aca="false">B6/Assumptions!$B$2-1</f>
        <v>0.0875106114367574</v>
      </c>
      <c r="D6" s="4" t="n">
        <f aca="false">Assumptions!$B$52</f>
        <v>0.25</v>
      </c>
      <c r="E6" s="4" t="n">
        <f aca="false">DCF_Bull!$B$43</f>
        <v>114.261330166895</v>
      </c>
      <c r="F6" s="4" t="n">
        <f aca="false">DCF_Bull!$B$47</f>
        <v>24.880185672181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91.1640040471033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94.4137510299596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-0.11590096401906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325.132879840688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18.9576918468626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95.3825832579453</v>
      </c>
      <c r="C15" s="3" t="n">
        <v>7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64.4784313445254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51.9943839668644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42.4609522132977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34.9456535511504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19.6602059708954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116.279251490755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116.279251490755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116.279251490755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116.279251490755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116.279251490755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105.323984305409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105.323984305409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105.323984305409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105.323984305409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105.323984305409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89.3790411672548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95.3825832579453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95.3825832579453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95.3825832579453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95.3825832579453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70.8308490662852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75.7318038798401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81.5238413867687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86.3505393092092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86.3505393092092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57.2611107203432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60.6120095815706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64.4784313445254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68.9892567346393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74.320232195683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2026-09-26T00:35:41Z</dcterms:created>
  <dc:creator>openpyxl</dc:creator>
  <dc:description/>
  <dc:language>en-NZ</dc:language>
  <cp:lastModifiedBy/>
  <dcterms:modified xsi:type="dcterms:W3CDTF">2026-09-26T00:35:41Z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