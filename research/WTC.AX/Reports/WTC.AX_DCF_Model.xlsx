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<sst xmlns="http://schemas.openxmlformats.org/spreadsheetml/2006/main" count="363" uniqueCount="167">
  <si>
    <t xml:space="preserve">Ticker</t>
  </si>
  <si>
    <t xml:space="preserve">WTC.AX</t>
  </si>
  <si>
    <t xml:space="preserve">Company</t>
  </si>
  <si>
    <t xml:space="preserve">WiseTech Global Limited</t>
  </si>
  <si>
    <t xml:space="preserve">Valuation date</t>
  </si>
  <si>
    <t xml:space="preserve">2026-09-25</t>
  </si>
  <si>
    <t xml:space="preserve">Current price</t>
  </si>
  <si>
    <t xml:space="preserve">Price as of</t>
  </si>
  <si>
    <t xml:space="preserve">2026-09-25T06:10:10Z (ASX regular close)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</si>
  <si>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</si>
  <si>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</si>
  <si>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</si>
  <si>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</si>
  <si>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</si>
  <si>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</si>
  <si>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</si>
  <si>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AUD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</si>
  <si>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</si>
  <si>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</si>
  <si>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</si>
  <si>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</si>
  <si>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</si>
  <si>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2026-09-25T06:38:08Z</t>
  </si>
  <si>
    <t xml:space="preserve">Drivers file</t>
  </si>
  <si>
    <t xml:space="preserve">WTC.AX_Drivers.json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</si>
  <si>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</si>
  <si>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</si>
  <si>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</si>
  <si>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WiseTech is valued as a USD-reporting, AUD-quoted owner-FCF compounder that has just levered up for a large, lower-quality acquisition. SBC (~5.75% of revenue) is expensed in the flows and the diluted count held flat. The FY26 base has one-offs on both sides (11 months of e2open, restructuring and M&amp;A cash out, an interest-depressed tax bill), so the forward flows are built from components anchored to FY27 guidance rather than from FY26 FCF. Risk is charged once: one USD WACC of 9.5%, with governance, ACCC and e2open risk carried in the bear flows and its 30% weight.
key_risks_to_valuation: ACCC investigation outcome (penalty and/or forced change to CargoWise commercial terms) -- unquantified, not in the equity bridge; e2open subscription attrition continues and its margin never converges toward WiseTech's; Organic growth: FY27 guidance of 6-10% includes ~3.5pp from the 12th month of e2open; Leverage: US$2.22bn term loans maturing 2027-2030; Tranche A (572.5m) due Jul-2027 needs refinancing; AUDUSD: IV is USD-based; a 5% AUD appreciation cuts the AUD value per share ~5%; Terminal value share of EV is high (long-duration software); see required-return table</t>
  </si>
  <si>
    <t xml:space="preserve">Data sources</t>
  </si>
  <si>
    <t xml:space="preserve">price: Yahoo Finance chart API at inputs.price_as_of (ASX close); 52-week range A$28.76-94.35. FX Yahoo AUDUSD=X; parity vs WTCHF (US OTC).
financials: WTC.AX_Metrics.csv / core_metrics (AUD FY16-FY24, USD H1 FY25 onward); FY26 Annual Report (Appendix 4E, OFR, statements, notes 5, 15, 19, 22, 23); FY25 Annual Report USD five-year summary.
qualitative: WTC.AX_Analysis.json (2026-09-25); FY26 Outlook section (FY27 guidance).</t>
  </si>
  <si>
    <t xml:space="preserve">Scenario narrative: bear</t>
  </si>
  <si>
    <t xml:space="preserve">The market's read of the guidance is right: organic growth is really ~3-5% once the e2open 12th month is removed, e2open subscription attrition persists, and the CVP transition (2H26 'refinements') and competitor probing of CargoWise lock-in slow LGFF monetisation. The ACCC investigation forces changes to pricing/contract terms, and governance/founder-continuity friction slows execution. Growth runs 4-4.5%, margins stall at ~54% pre-SBC with SBC sticky at ~5.5-6%, and the exit multiple is capped at 15x as a slower, leveraged software roll-up.</t>
  </si>
  <si>
    <t xml:space="preserve">Scenario narrative: base</t>
  </si>
  <si>
    <t xml:space="preserve">FY27 lands at the guidance midpoint (8% revenue, ~50% underlying EBITDA). CargoWise keeps compounding ~10-11% as the 61 secured LGFF rollouts (over 75% of contracted volume not yet live) go live and CVP pricing beds in, while e2open stabilises roughly flat as attrition fades into the product-led model. Group growth holds ~8% for five years then glides to 4%; pre-SBC margin rises to ~59.5% on the 64m e2open synergies and 51m AI Transformation run-rate savings. Leverage (~2.9x EBITDA) is paid down from FCF; the ACCC investigation ends without changing the commercial model.</t>
  </si>
  <si>
    <t xml:space="preserve">Scenario narrative: bull</t>
  </si>
  <si>
    <t xml:space="preserve">Upper-end guidance and beyond: CVP lifts monetisation of the base, agentic AI inside CargoWise (six agents live, targeting ~50% labour savings for forwarders) is priced as a product rather than given away, VerifyWise, TradeWise and customs/government add a new leg, and e2open returns to growth as a cross-sell channel into 500,000 connected enterprises. Revenue compounds 10-12% for five years and the group reaches CargoWise-like ~63% pre-SBC margins.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</si>
  <si>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</si>
  <si>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</si>
  <si>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</si>
  <si>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</si>
  <si>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</si>
  <si>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</si>
  <si>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</si>
  <si>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</si>
  <si>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</si>
  <si>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</si>
  <si>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</si>
  <si>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</si>
  <si>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</si>
  <si>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</si>
  <si>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</si>
  <si>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</si>
  <si>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</si>
  <si>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</si>
  <si>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</si>
  <si>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</si>
  <si>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</si>
  <si>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</si>
  <si>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</si>
  <si>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</si>
  <si>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</si>
  <si>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</si>
  <si>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</si>
  <si>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</si>
  <si>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</si>
  <si>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</si>
  <si>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</si>
  <si>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</si>
  <si>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</si>
  <si>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</si>
  <si>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</si>
  <si>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</si>
  <si>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</si>
  <si>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</si>
  <si>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</si>
  <si>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</si>
  <si>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</si>
  <si>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</si>
  <si>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</si>
  <si>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</si>
  <si>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</si>
  <si>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</si>
  <si>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</si>
  <si>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</si>
  <si>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</si>
  <si>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</si>
  <si>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</si>
  <si>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</si>
  <si>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</si>
  <si>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</si>
  <si>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</si>
  <si>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</si>
  <si>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</si>
  <si>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</si>
  <si>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</si>
  <si>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</si>
  <si>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</si>
  <si>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</si>
  <si>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</si>
  <si>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</si>
  <si>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</si>
  <si>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</si>
  <si>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</si>
  <si>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</si>
  <si>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</si>
  <si>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</si>
  <si>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</si>
  <si>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</si>
  <si>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</si>
  <si>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</si>
  <si>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</si>
  <si>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WTC.AX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</si>
  <si>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</si>
  <si>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</si>
  <si>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</si>
  <si>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</si>
  <si>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</si>
  <si>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</si>
  <si>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</si>
  <si>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</si>
  <si>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</si>
  <si>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</si>
  <si>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</si>
  <si>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</si>
  <si>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</si>
  <si>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</si>
  <si>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</si>
  <si>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</si>
  <si>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</si>
  <si>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</si>
  <si>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</si>
  <si>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</si>
  <si>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</si>
  <si>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</si>
  <si>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</si>
  <si>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</si>
  <si>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</si>
  <si>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</si>
  <si>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</si>
  <si>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</si>
  <si>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</si>
  <si>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</si>
  <si>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WTC.AX owner-FCF component DCF: base case (millions, USD)</t>
  </si>
  <si>
    <t xml:space="preserve">WTC.AX owner-FCF component DCF: bull case (millions, USD)</t>
  </si>
  <si>
    <t xml:space="preserve">WTC.AX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</si>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</sst>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31.33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102.809</v>
      </c>
      <c r="C2" s="0" t="n">
        <v>-15.416</v>
      </c>
      <c r="D2" s="0" t="n">
        <v>87.393</v>
      </c>
      <c r="E2" s="0" t="n">
        <v>85</v>
      </c>
      <c r="F2" s="0" t="n">
        <v>4.639</v>
      </c>
      <c r="G2" s="0" t="n">
        <v>4.5</v>
      </c>
      <c r="H2" s="0" t="n">
        <v>15.833</v>
      </c>
      <c r="I2" s="0" t="n">
        <v>2.167</v>
      </c>
      <c r="J2" s="0" t="n">
        <v>2.1</v>
      </c>
      <c r="K2" s="0" t="n">
        <v>0.008</v>
      </c>
      <c r="L2" s="0" t="n">
        <v>21.082</v>
      </c>
      <c r="M2" s="0" t="n">
        <v>20.134</v>
      </c>
      <c r="N2" s="0" t="n">
        <v>0.948</v>
      </c>
      <c r="O2" s="0" t="n">
        <v>196.176</v>
      </c>
      <c r="P2" s="0" t="n">
        <v>245.779</v>
      </c>
      <c r="Q2" s="0" t="n">
        <v>49.603</v>
      </c>
      <c r="R2" s="0" t="n">
        <v>6.324</v>
      </c>
      <c r="S2" s="0" t="n">
        <v>109.527</v>
      </c>
      <c r="T2" s="0" t="n">
        <v>261.875</v>
      </c>
      <c r="U2" s="0" t="n">
        <v>7.014</v>
      </c>
      <c r="AA2" s="0" t="s">
        <v>18</v>
      </c>
      <c r="AB2" s="0" t="s">
        <v>16</v>
      </c>
    </row>
    <row r="3" customFormat="false" ht="15" hidden="false" customHeight="false" outlineLevel="0" collapsed="false">
      <c r="A3" s="0" t="s">
        <v>65</v>
      </c>
      <c r="B3" s="0" t="n">
        <v>153.759</v>
      </c>
      <c r="C3" s="0" t="n">
        <v>-26.055</v>
      </c>
      <c r="D3" s="0" t="n">
        <v>127.704</v>
      </c>
      <c r="E3" s="0" t="n">
        <v>83.1</v>
      </c>
      <c r="F3" s="0" t="n">
        <v>41.497</v>
      </c>
      <c r="G3" s="0" t="n">
        <v>27</v>
      </c>
      <c r="H3" s="0" t="n">
        <v>53.896</v>
      </c>
      <c r="I3" s="0" t="n">
        <v>31.86</v>
      </c>
      <c r="J3" s="0" t="n">
        <v>20.7</v>
      </c>
      <c r="K3" s="0" t="n">
        <v>0.109</v>
      </c>
      <c r="L3" s="0" t="n">
        <v>54.929</v>
      </c>
      <c r="M3" s="0" t="n">
        <v>28.897</v>
      </c>
      <c r="N3" s="0" t="n">
        <v>26.032</v>
      </c>
      <c r="O3" s="0" t="n">
        <v>213.762</v>
      </c>
      <c r="P3" s="0" t="n">
        <v>276.226</v>
      </c>
      <c r="Q3" s="0" t="n">
        <v>62.464</v>
      </c>
      <c r="R3" s="0" t="n">
        <v>3.845</v>
      </c>
      <c r="S3" s="0" t="n">
        <v>101.603</v>
      </c>
      <c r="T3" s="0" t="n">
        <v>293.29</v>
      </c>
      <c r="U3" s="0" t="n">
        <v>3.218</v>
      </c>
      <c r="AA3" s="0" t="s">
        <v>18</v>
      </c>
      <c r="AB3" s="0" t="s">
        <v>16</v>
      </c>
    </row>
    <row r="4" customFormat="false" ht="15" hidden="false" customHeight="false" outlineLevel="0" collapsed="false">
      <c r="A4" s="0" t="s">
        <v>66</v>
      </c>
      <c r="B4" s="0" t="n">
        <v>221.598</v>
      </c>
      <c r="C4" s="0" t="n">
        <v>-38.672</v>
      </c>
      <c r="D4" s="0" t="n">
        <v>182.926</v>
      </c>
      <c r="E4" s="0" t="n">
        <v>82.5</v>
      </c>
      <c r="F4" s="0" t="n">
        <v>58.363</v>
      </c>
      <c r="G4" s="0" t="n">
        <v>26.3</v>
      </c>
      <c r="H4" s="0" t="n">
        <v>78.067</v>
      </c>
      <c r="I4" s="0" t="n">
        <v>40.799</v>
      </c>
      <c r="J4" s="0" t="n">
        <v>18.4</v>
      </c>
      <c r="K4" s="0" t="n">
        <v>0.139</v>
      </c>
      <c r="L4" s="0" t="n">
        <v>74.175</v>
      </c>
      <c r="M4" s="0" t="n">
        <v>40.322</v>
      </c>
      <c r="N4" s="0" t="n">
        <v>33.853</v>
      </c>
      <c r="O4" s="0" t="n">
        <v>352.155</v>
      </c>
      <c r="P4" s="0" t="n">
        <v>537.226</v>
      </c>
      <c r="Q4" s="0" t="n">
        <v>185.071</v>
      </c>
      <c r="R4" s="0" t="n">
        <v>2.488</v>
      </c>
      <c r="S4" s="0" t="n">
        <v>121.824</v>
      </c>
      <c r="T4" s="0" t="n">
        <v>293.641</v>
      </c>
      <c r="U4" s="0" t="n">
        <v>7.777</v>
      </c>
      <c r="AA4" s="0" t="s">
        <v>18</v>
      </c>
      <c r="AB4" s="0" t="s">
        <v>16</v>
      </c>
    </row>
    <row r="5" customFormat="false" ht="15" hidden="false" customHeight="false" outlineLevel="0" collapsed="false">
      <c r="A5" s="0" t="s">
        <v>67</v>
      </c>
      <c r="B5" s="0" t="n">
        <v>348.266</v>
      </c>
      <c r="C5" s="0" t="n">
        <v>-66.675</v>
      </c>
      <c r="D5" s="0" t="n">
        <v>281.591</v>
      </c>
      <c r="E5" s="0" t="n">
        <v>80.9</v>
      </c>
      <c r="F5" s="0" t="n">
        <v>80.249</v>
      </c>
      <c r="G5" s="0" t="n">
        <v>23</v>
      </c>
      <c r="H5" s="0" t="n">
        <v>108.105</v>
      </c>
      <c r="I5" s="0" t="n">
        <v>54.12</v>
      </c>
      <c r="J5" s="0" t="n">
        <v>15.5</v>
      </c>
      <c r="K5" s="0" t="n">
        <v>0.177</v>
      </c>
      <c r="L5" s="0" t="n">
        <v>112.459</v>
      </c>
      <c r="M5" s="0" t="n">
        <v>50.403</v>
      </c>
      <c r="N5" s="0" t="n">
        <v>62.056</v>
      </c>
      <c r="O5" s="0" t="n">
        <v>766.567</v>
      </c>
      <c r="P5" s="0" t="n">
        <v>1130.645</v>
      </c>
      <c r="Q5" s="0" t="n">
        <v>364.078</v>
      </c>
      <c r="R5" s="0" t="n">
        <v>1.21</v>
      </c>
      <c r="S5" s="0" t="n">
        <v>260.092</v>
      </c>
      <c r="T5" s="0" t="n">
        <v>306.428</v>
      </c>
      <c r="U5" s="0" t="n">
        <v>10.859</v>
      </c>
      <c r="AA5" s="0" t="s">
        <v>18</v>
      </c>
      <c r="AB5" s="0" t="s">
        <v>16</v>
      </c>
    </row>
    <row r="6" customFormat="false" ht="15" hidden="false" customHeight="false" outlineLevel="0" collapsed="false">
      <c r="A6" s="0" t="s">
        <v>68</v>
      </c>
      <c r="B6" s="0" t="n">
        <v>429.4</v>
      </c>
      <c r="C6" s="0" t="n">
        <v>-83.5</v>
      </c>
      <c r="D6" s="0" t="n">
        <v>345.9</v>
      </c>
      <c r="E6" s="0" t="n">
        <v>80.6</v>
      </c>
      <c r="F6" s="0" t="n">
        <v>80.5</v>
      </c>
      <c r="G6" s="0" t="n">
        <v>18.7</v>
      </c>
      <c r="H6" s="0" t="n">
        <v>126.7</v>
      </c>
      <c r="I6" s="0" t="n">
        <v>160.8</v>
      </c>
      <c r="J6" s="0" t="n">
        <v>37.4</v>
      </c>
      <c r="K6" s="0" t="n">
        <v>0.503</v>
      </c>
      <c r="L6" s="0" t="n">
        <v>129.9</v>
      </c>
      <c r="M6" s="0" t="n">
        <v>90.5</v>
      </c>
      <c r="N6" s="0" t="n">
        <v>39.4</v>
      </c>
      <c r="O6" s="0" t="n">
        <v>1003.4</v>
      </c>
      <c r="P6" s="0" t="n">
        <v>1276.9</v>
      </c>
      <c r="Q6" s="0" t="n">
        <v>273.5</v>
      </c>
      <c r="R6" s="0" t="n">
        <v>0</v>
      </c>
      <c r="S6" s="0" t="n">
        <v>223.7</v>
      </c>
      <c r="T6" s="0" t="n">
        <v>319.8</v>
      </c>
      <c r="U6" s="0" t="n">
        <v>17.2</v>
      </c>
      <c r="AA6" s="0" t="s">
        <v>18</v>
      </c>
      <c r="AB6" s="0" t="s">
        <v>16</v>
      </c>
    </row>
    <row r="7" customFormat="false" ht="15" hidden="false" customHeight="false" outlineLevel="0" collapsed="false">
      <c r="A7" s="0" t="s">
        <v>69</v>
      </c>
      <c r="B7" s="0" t="n">
        <v>507.5</v>
      </c>
      <c r="C7" s="0" t="n">
        <v>-85.6</v>
      </c>
      <c r="D7" s="0" t="n">
        <v>421.9</v>
      </c>
      <c r="E7" s="0" t="n">
        <v>83.1</v>
      </c>
      <c r="F7" s="0" t="n">
        <v>149.8</v>
      </c>
      <c r="G7" s="0" t="n">
        <v>29.5</v>
      </c>
      <c r="H7" s="0" t="n">
        <v>206.7</v>
      </c>
      <c r="I7" s="0" t="n">
        <v>108.1</v>
      </c>
      <c r="J7" s="0" t="n">
        <v>21.3</v>
      </c>
      <c r="K7" s="0" t="n">
        <v>0.332</v>
      </c>
      <c r="L7" s="0" t="n">
        <v>211.6</v>
      </c>
      <c r="M7" s="0" t="n">
        <v>90.8</v>
      </c>
      <c r="N7" s="0" t="n">
        <v>120.8</v>
      </c>
      <c r="O7" s="0" t="n">
        <v>1106</v>
      </c>
      <c r="P7" s="0" t="n">
        <v>1399.8</v>
      </c>
      <c r="Q7" s="0" t="n">
        <v>293.9</v>
      </c>
      <c r="R7" s="0" t="n">
        <v>0</v>
      </c>
      <c r="S7" s="0" t="n">
        <v>315</v>
      </c>
      <c r="T7" s="0" t="n">
        <v>325</v>
      </c>
      <c r="U7" s="0" t="n">
        <v>22.1</v>
      </c>
      <c r="AA7" s="0" t="s">
        <v>18</v>
      </c>
      <c r="AB7" s="0" t="s">
        <v>16</v>
      </c>
    </row>
    <row r="8" customFormat="false" ht="15" hidden="false" customHeight="false" outlineLevel="0" collapsed="false">
      <c r="A8" s="0" t="s">
        <v>70</v>
      </c>
      <c r="B8" s="0" t="n">
        <v>632.2</v>
      </c>
      <c r="C8" s="0" t="n">
        <v>-92.5</v>
      </c>
      <c r="D8" s="0" t="n">
        <v>539.7</v>
      </c>
      <c r="E8" s="0" t="n">
        <v>85.4</v>
      </c>
      <c r="F8" s="0" t="n">
        <v>255</v>
      </c>
      <c r="G8" s="0" t="n">
        <v>40.3</v>
      </c>
      <c r="H8" s="0" t="n">
        <v>319</v>
      </c>
      <c r="I8" s="0" t="n">
        <v>194.6</v>
      </c>
      <c r="J8" s="0" t="n">
        <v>30.8</v>
      </c>
      <c r="K8" s="0" t="n">
        <v>0.597</v>
      </c>
      <c r="L8" s="0" t="n">
        <v>306.7</v>
      </c>
      <c r="M8" s="0" t="n">
        <v>102.2</v>
      </c>
      <c r="N8" s="0" t="n">
        <v>204.5</v>
      </c>
      <c r="O8" s="0" t="n">
        <v>1315.2</v>
      </c>
      <c r="P8" s="0" t="n">
        <v>1663.6</v>
      </c>
      <c r="Q8" s="0" t="n">
        <v>348.4</v>
      </c>
      <c r="R8" s="0" t="n">
        <v>0</v>
      </c>
      <c r="S8" s="0" t="n">
        <v>483.4</v>
      </c>
      <c r="T8" s="0" t="n">
        <v>326</v>
      </c>
      <c r="U8" s="0" t="n">
        <v>31.2</v>
      </c>
      <c r="AA8" s="0" t="s">
        <v>18</v>
      </c>
      <c r="AB8" s="0" t="s">
        <v>16</v>
      </c>
    </row>
    <row r="9" customFormat="false" ht="15" hidden="false" customHeight="false" outlineLevel="0" collapsed="false">
      <c r="A9" s="0" t="s">
        <v>71</v>
      </c>
      <c r="B9" s="0" t="n">
        <v>816.8</v>
      </c>
      <c r="C9" s="0" t="n">
        <v>-125.6</v>
      </c>
      <c r="D9" s="0" t="n">
        <v>691.3</v>
      </c>
      <c r="E9" s="0" t="n">
        <v>84.6</v>
      </c>
      <c r="F9" s="0" t="n">
        <v>300.2</v>
      </c>
      <c r="G9" s="0" t="n">
        <v>36.8</v>
      </c>
      <c r="H9" s="0" t="n">
        <v>385.7</v>
      </c>
      <c r="I9" s="0" t="n">
        <v>212.2</v>
      </c>
      <c r="J9" s="0" t="n">
        <v>26</v>
      </c>
      <c r="K9" s="0" t="n">
        <v>0.646</v>
      </c>
      <c r="L9" s="0" t="n">
        <v>380.5</v>
      </c>
      <c r="M9" s="0" t="n">
        <v>141.9</v>
      </c>
      <c r="N9" s="0" t="n">
        <v>238.6</v>
      </c>
      <c r="O9" s="0" t="n">
        <v>1894.6</v>
      </c>
      <c r="P9" s="0" t="n">
        <v>2658.6</v>
      </c>
      <c r="Q9" s="0" t="n">
        <v>764.1</v>
      </c>
      <c r="R9" s="0" t="n">
        <v>225</v>
      </c>
      <c r="S9" s="0" t="n">
        <v>143</v>
      </c>
      <c r="T9" s="0" t="n">
        <v>328.5</v>
      </c>
      <c r="U9" s="0" t="n">
        <v>48.5</v>
      </c>
      <c r="AA9" s="0" t="s">
        <v>18</v>
      </c>
      <c r="AB9" s="0" t="s">
        <v>16</v>
      </c>
    </row>
    <row r="10" customFormat="false" ht="15" hidden="false" customHeight="false" outlineLevel="0" collapsed="false">
      <c r="A10" s="0" t="s">
        <v>72</v>
      </c>
      <c r="B10" s="0" t="n">
        <v>1041.7</v>
      </c>
      <c r="C10" s="0" t="n">
        <v>-166.5</v>
      </c>
      <c r="D10" s="0" t="n">
        <v>875.2</v>
      </c>
      <c r="E10" s="0" t="n">
        <v>84</v>
      </c>
      <c r="F10" s="0" t="n">
        <v>380.7</v>
      </c>
      <c r="G10" s="0" t="n">
        <v>36.5</v>
      </c>
      <c r="H10" s="0" t="n">
        <v>495.6</v>
      </c>
      <c r="I10" s="0" t="n">
        <v>262.8</v>
      </c>
      <c r="J10" s="0" t="n">
        <v>25.2</v>
      </c>
      <c r="K10" s="0" t="n">
        <v>0.789</v>
      </c>
      <c r="L10" s="0" t="n">
        <v>448.7</v>
      </c>
      <c r="M10" s="0" t="n">
        <v>198.1</v>
      </c>
      <c r="N10" s="0" t="n">
        <v>250.6</v>
      </c>
      <c r="O10" s="0" t="n">
        <v>2213.4</v>
      </c>
      <c r="P10" s="0" t="n">
        <v>2827.1</v>
      </c>
      <c r="Q10" s="0" t="n">
        <v>613.8</v>
      </c>
      <c r="R10" s="0" t="n">
        <v>80</v>
      </c>
      <c r="S10" s="0" t="n">
        <v>121.7</v>
      </c>
      <c r="T10" s="0" t="n">
        <v>333.2</v>
      </c>
      <c r="U10" s="0" t="n">
        <v>61.4</v>
      </c>
      <c r="AA10" s="0" t="s">
        <v>18</v>
      </c>
      <c r="AB10" s="0" t="s">
        <v>16</v>
      </c>
    </row>
    <row r="11" customFormat="false" ht="15" hidden="false" customHeight="false" outlineLevel="0" collapsed="false">
      <c r="A11" s="0" t="s">
        <v>73</v>
      </c>
      <c r="B11" s="0" t="n">
        <v>778.7</v>
      </c>
      <c r="C11" s="0" t="n">
        <v>-107.7</v>
      </c>
      <c r="D11" s="0" t="n">
        <v>671</v>
      </c>
      <c r="E11" s="0" t="n">
        <v>86.2</v>
      </c>
      <c r="F11" s="0" t="n">
        <v>291.3</v>
      </c>
      <c r="G11" s="0" t="n">
        <v>37.4</v>
      </c>
      <c r="H11" s="0" t="n">
        <v>381.6</v>
      </c>
      <c r="I11" s="0" t="n">
        <v>200.7</v>
      </c>
      <c r="J11" s="0" t="n">
        <v>25.8</v>
      </c>
      <c r="K11" s="0" t="n">
        <v>0.6</v>
      </c>
      <c r="L11" s="0" t="n">
        <v>367</v>
      </c>
      <c r="M11" s="0" t="n">
        <v>149.5</v>
      </c>
      <c r="N11" s="0" t="n">
        <v>217.5</v>
      </c>
      <c r="O11" s="0" t="n">
        <v>1703.9</v>
      </c>
      <c r="P11" s="0" t="n">
        <v>2234.1</v>
      </c>
      <c r="Q11" s="0" t="n">
        <v>530.1</v>
      </c>
      <c r="R11" s="0" t="n">
        <v>65</v>
      </c>
      <c r="S11" s="0" t="n">
        <v>167.4</v>
      </c>
      <c r="T11" s="0" t="n">
        <v>334.4</v>
      </c>
      <c r="U11" s="0" t="n">
        <v>48.7</v>
      </c>
      <c r="AA11" s="0" t="s">
        <v>18</v>
      </c>
      <c r="AB11" s="0" t="s">
        <v>14</v>
      </c>
    </row>
    <row r="12" customFormat="false" ht="15" hidden="false" customHeight="false" outlineLevel="0" collapsed="false">
      <c r="A12" s="0" t="s">
        <v>74</v>
      </c>
      <c r="B12" s="0" t="n">
        <v>1395.9</v>
      </c>
      <c r="C12" s="0" t="n">
        <v>-315</v>
      </c>
      <c r="D12" s="0" t="n">
        <v>1080.9</v>
      </c>
      <c r="E12" s="0" t="n">
        <v>77.4</v>
      </c>
      <c r="F12" s="0" t="n">
        <v>353.3</v>
      </c>
      <c r="G12" s="0" t="n">
        <v>25.3</v>
      </c>
      <c r="H12" s="0" t="n">
        <v>558.4</v>
      </c>
      <c r="I12" s="0" t="n">
        <v>178.7</v>
      </c>
      <c r="J12" s="0" t="n">
        <v>12.8</v>
      </c>
      <c r="K12" s="0" t="n">
        <v>0.532</v>
      </c>
      <c r="L12" s="0" t="n">
        <v>509.6</v>
      </c>
      <c r="M12" s="0" t="n">
        <v>153.3</v>
      </c>
      <c r="N12" s="0" t="n">
        <v>356.3</v>
      </c>
      <c r="O12" s="0" t="n">
        <v>1942.4</v>
      </c>
      <c r="P12" s="0" t="n">
        <v>4870.6</v>
      </c>
      <c r="Q12" s="0" t="n">
        <v>2928.2</v>
      </c>
      <c r="R12" s="0" t="n">
        <v>2187.4</v>
      </c>
      <c r="S12" s="0" t="n">
        <v>343.5</v>
      </c>
      <c r="T12" s="0" t="n">
        <v>335.9</v>
      </c>
      <c r="U12" s="0" t="n">
        <v>80.3</v>
      </c>
      <c r="AA12" s="0" t="s">
        <v>18</v>
      </c>
      <c r="AB12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75</v>
      </c>
      <c r="B1" s="2" t="s">
        <v>76</v>
      </c>
    </row>
    <row r="2" customFormat="false" ht="15" hidden="false" customHeight="false" outlineLevel="0" collapsed="false">
      <c r="A2" s="0" t="s">
        <v>77</v>
      </c>
      <c r="B2" s="3" t="n">
        <v>31.33</v>
      </c>
    </row>
    <row r="3" customFormat="false" ht="15" hidden="false" customHeight="false" outlineLevel="0" collapsed="false">
      <c r="A3" s="0" t="s">
        <v>78</v>
      </c>
      <c r="B3" s="3" t="n">
        <v>338.4</v>
      </c>
    </row>
    <row r="4" customFormat="false" ht="15" hidden="false" customHeight="false" outlineLevel="0" collapsed="false">
      <c r="A4" s="0" t="s">
        <v>79</v>
      </c>
      <c r="B4" s="3" t="n">
        <v>1876.5</v>
      </c>
    </row>
    <row r="5" customFormat="false" ht="15" hidden="false" customHeight="false" outlineLevel="0" collapsed="false">
      <c r="A5" s="0" t="s">
        <v>80</v>
      </c>
      <c r="B5" s="3" t="n">
        <v>-46.7</v>
      </c>
    </row>
    <row r="6" customFormat="false" ht="15" hidden="false" customHeight="false" outlineLevel="0" collapsed="false">
      <c r="A6" s="0" t="s">
        <v>81</v>
      </c>
      <c r="B6" s="3" t="n">
        <v>15</v>
      </c>
    </row>
    <row r="7" customFormat="false" ht="15" hidden="false" customHeight="false" outlineLevel="0" collapsed="false">
      <c r="A7" s="0" t="s">
        <v>82</v>
      </c>
      <c r="B7" s="3" t="n">
        <v>1395.9</v>
      </c>
    </row>
    <row r="8" customFormat="false" ht="15" hidden="false" customHeight="false" outlineLevel="0" collapsed="false">
      <c r="A8" s="0" t="s">
        <v>83</v>
      </c>
      <c r="B8" s="3" t="s">
        <v>74</v>
      </c>
    </row>
    <row r="9" customFormat="false" ht="15" hidden="false" customHeight="false" outlineLevel="0" collapsed="false">
      <c r="A9" s="0" t="s">
        <v>84</v>
      </c>
      <c r="B9" s="3" t="s">
        <v>85</v>
      </c>
    </row>
    <row r="10" customFormat="false" ht="15" hidden="false" customHeight="false" outlineLevel="0" collapsed="false">
      <c r="A10" s="0" t="s">
        <v>86</v>
      </c>
      <c r="B10" s="3" t="n">
        <v>1.4233</v>
      </c>
    </row>
    <row r="12" customFormat="false" ht="15" hidden="false" customHeight="false" outlineLevel="0" collapsed="false">
      <c r="A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</row>
    <row r="13" customFormat="false" ht="15" hidden="false" customHeight="false" outlineLevel="0" collapsed="false">
      <c r="A13" s="0" t="s">
        <v>98</v>
      </c>
      <c r="C13" s="3" t="n">
        <v>6</v>
      </c>
      <c r="D13" s="3" t="n">
        <v>4</v>
      </c>
      <c r="E13" s="3" t="n">
        <v>4</v>
      </c>
      <c r="F13" s="3" t="n">
        <v>4.5</v>
      </c>
      <c r="G13" s="3" t="n">
        <v>4.5</v>
      </c>
      <c r="H13" s="3" t="n">
        <v>4.5</v>
      </c>
      <c r="I13" s="3" t="n">
        <v>4</v>
      </c>
      <c r="J13" s="3" t="n">
        <v>4</v>
      </c>
      <c r="K13" s="3" t="n">
        <v>3.5</v>
      </c>
      <c r="L13" s="3" t="n">
        <v>3</v>
      </c>
    </row>
    <row r="14" customFormat="false" ht="15" hidden="false" customHeight="false" outlineLevel="0" collapsed="false">
      <c r="A14" s="0" t="s">
        <v>99</v>
      </c>
      <c r="C14" s="3" t="n">
        <v>53</v>
      </c>
      <c r="D14" s="3" t="n">
        <v>53.5</v>
      </c>
      <c r="E14" s="3" t="n">
        <v>54</v>
      </c>
      <c r="F14" s="3" t="n">
        <v>54</v>
      </c>
      <c r="G14" s="3" t="n">
        <v>54</v>
      </c>
      <c r="H14" s="3" t="n">
        <v>54</v>
      </c>
      <c r="I14" s="3" t="n">
        <v>54</v>
      </c>
      <c r="J14" s="3" t="n">
        <v>54</v>
      </c>
      <c r="K14" s="3" t="n">
        <v>54</v>
      </c>
      <c r="L14" s="3" t="n">
        <v>54</v>
      </c>
    </row>
    <row r="15" customFormat="false" ht="15" hidden="false" customHeight="false" outlineLevel="0" collapsed="false">
      <c r="A15" s="0" t="s">
        <v>100</v>
      </c>
      <c r="C15" s="3" t="n">
        <v>6</v>
      </c>
      <c r="D15" s="3" t="n">
        <v>6</v>
      </c>
      <c r="E15" s="3" t="n">
        <v>5.9</v>
      </c>
      <c r="F15" s="3" t="n">
        <v>5.8</v>
      </c>
      <c r="G15" s="3" t="n">
        <v>5.7</v>
      </c>
      <c r="H15" s="3" t="n">
        <v>5.6</v>
      </c>
      <c r="I15" s="3" t="n">
        <v>5.5</v>
      </c>
      <c r="J15" s="3" t="n">
        <v>5.5</v>
      </c>
      <c r="K15" s="3" t="n">
        <v>5.5</v>
      </c>
      <c r="L15" s="3" t="n">
        <v>5.5</v>
      </c>
    </row>
    <row r="16" customFormat="false" ht="15" hidden="false" customHeight="false" outlineLevel="0" collapsed="false">
      <c r="A16" s="0" t="s">
        <v>101</v>
      </c>
      <c r="C16" s="3" t="n">
        <v>1</v>
      </c>
      <c r="D16" s="3" t="n">
        <v>1</v>
      </c>
      <c r="E16" s="3" t="n">
        <v>1</v>
      </c>
      <c r="F16" s="3" t="n">
        <v>1</v>
      </c>
      <c r="G16" s="3" t="n">
        <v>1</v>
      </c>
      <c r="H16" s="3" t="n">
        <v>1</v>
      </c>
      <c r="I16" s="3" t="n">
        <v>1</v>
      </c>
      <c r="J16" s="3" t="n">
        <v>1</v>
      </c>
      <c r="K16" s="3" t="n">
        <v>1</v>
      </c>
      <c r="L16" s="3" t="n">
        <v>1</v>
      </c>
    </row>
    <row r="17" customFormat="false" ht="15" hidden="false" customHeight="false" outlineLevel="0" collapsed="false">
      <c r="A17" s="0" t="s">
        <v>102</v>
      </c>
      <c r="C17" s="3" t="n">
        <v>6.2</v>
      </c>
      <c r="D17" s="3" t="n">
        <v>6.5</v>
      </c>
      <c r="E17" s="3" t="n">
        <v>6.8</v>
      </c>
      <c r="F17" s="3" t="n">
        <v>7</v>
      </c>
      <c r="G17" s="3" t="n">
        <v>7.3</v>
      </c>
      <c r="H17" s="3" t="n">
        <v>7.5</v>
      </c>
      <c r="I17" s="3" t="n">
        <v>7.8</v>
      </c>
      <c r="J17" s="3" t="n">
        <v>8</v>
      </c>
      <c r="K17" s="3" t="n">
        <v>8.2</v>
      </c>
      <c r="L17" s="3" t="n">
        <v>8.5</v>
      </c>
    </row>
    <row r="18" customFormat="false" ht="15" hidden="false" customHeight="false" outlineLevel="0" collapsed="false">
      <c r="A18" s="0" t="s">
        <v>103</v>
      </c>
      <c r="C18" s="3" t="n">
        <v>11.5</v>
      </c>
      <c r="D18" s="3" t="n">
        <v>12</v>
      </c>
      <c r="E18" s="3" t="n">
        <v>12</v>
      </c>
      <c r="F18" s="3" t="n">
        <v>11.5</v>
      </c>
      <c r="G18" s="3" t="n">
        <v>11</v>
      </c>
      <c r="H18" s="3" t="n">
        <v>10.5</v>
      </c>
      <c r="I18" s="3" t="n">
        <v>10</v>
      </c>
      <c r="J18" s="3" t="n">
        <v>10</v>
      </c>
      <c r="K18" s="3" t="n">
        <v>10</v>
      </c>
      <c r="L18" s="3" t="n">
        <v>10</v>
      </c>
    </row>
    <row r="19" customFormat="false" ht="15" hidden="false" customHeight="false" outlineLevel="0" collapsed="false">
      <c r="A19" s="0" t="s">
        <v>104</v>
      </c>
      <c r="C19" s="3" t="n">
        <v>22</v>
      </c>
      <c r="D19" s="3" t="n">
        <v>23</v>
      </c>
      <c r="E19" s="3" t="n">
        <v>24</v>
      </c>
      <c r="F19" s="3" t="n">
        <v>25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105</v>
      </c>
      <c r="B20" s="3" t="n">
        <v>9.5</v>
      </c>
    </row>
    <row r="21" customFormat="false" ht="15" hidden="false" customHeight="false" outlineLevel="0" collapsed="false">
      <c r="A21" s="0" t="s">
        <v>106</v>
      </c>
      <c r="B21" s="3" t="n">
        <v>2.5</v>
      </c>
    </row>
    <row r="22" customFormat="false" ht="15" hidden="false" customHeight="false" outlineLevel="0" collapsed="false">
      <c r="A22" s="0" t="s">
        <v>107</v>
      </c>
      <c r="B22" s="3" t="n">
        <v>15</v>
      </c>
    </row>
    <row r="23" customFormat="false" ht="15" hidden="false" customHeight="false" outlineLevel="0" collapsed="false">
      <c r="A23" s="0" t="s">
        <v>108</v>
      </c>
      <c r="B23" s="3" t="n">
        <v>5</v>
      </c>
    </row>
    <row r="24" customFormat="false" ht="15" hidden="false" customHeight="false" outlineLevel="0" collapsed="false">
      <c r="A24" s="0" t="s">
        <v>109</v>
      </c>
      <c r="B24" s="3" t="n">
        <v>0.3</v>
      </c>
    </row>
    <row r="26" customFormat="false" ht="15" hidden="false" customHeight="false" outlineLevel="0" collapsed="false">
      <c r="A26" s="2" t="s">
        <v>110</v>
      </c>
      <c r="C26" s="2" t="s">
        <v>88</v>
      </c>
      <c r="D26" s="2" t="s">
        <v>89</v>
      </c>
      <c r="E26" s="2" t="s">
        <v>90</v>
      </c>
      <c r="F26" s="2" t="s">
        <v>91</v>
      </c>
      <c r="G26" s="2" t="s">
        <v>92</v>
      </c>
      <c r="H26" s="2" t="s">
        <v>93</v>
      </c>
      <c r="I26" s="2" t="s">
        <v>94</v>
      </c>
      <c r="J26" s="2" t="s">
        <v>95</v>
      </c>
      <c r="K26" s="2" t="s">
        <v>96</v>
      </c>
      <c r="L26" s="2" t="s">
        <v>97</v>
      </c>
    </row>
    <row r="27" customFormat="false" ht="15" hidden="false" customHeight="false" outlineLevel="0" collapsed="false">
      <c r="A27" s="0" t="s">
        <v>98</v>
      </c>
      <c r="C27" s="3" t="n">
        <v>8</v>
      </c>
      <c r="D27" s="3" t="n">
        <v>7.5</v>
      </c>
      <c r="E27" s="3" t="n">
        <v>8</v>
      </c>
      <c r="F27" s="3" t="n">
        <v>8</v>
      </c>
      <c r="G27" s="3" t="n">
        <v>8</v>
      </c>
      <c r="H27" s="3" t="n">
        <v>7.5</v>
      </c>
      <c r="I27" s="3" t="n">
        <v>7</v>
      </c>
      <c r="J27" s="3" t="n">
        <v>6</v>
      </c>
      <c r="K27" s="3" t="n">
        <v>5</v>
      </c>
      <c r="L27" s="3" t="n">
        <v>4</v>
      </c>
    </row>
    <row r="28" customFormat="false" ht="15" hidden="false" customHeight="false" outlineLevel="0" collapsed="false">
      <c r="A28" s="0" t="s">
        <v>99</v>
      </c>
      <c r="C28" s="3" t="n">
        <v>54</v>
      </c>
      <c r="D28" s="3" t="n">
        <v>55.8</v>
      </c>
      <c r="E28" s="3" t="n">
        <v>57</v>
      </c>
      <c r="F28" s="3" t="n">
        <v>58</v>
      </c>
      <c r="G28" s="3" t="n">
        <v>58.6</v>
      </c>
      <c r="H28" s="3" t="n">
        <v>59</v>
      </c>
      <c r="I28" s="3" t="n">
        <v>59.3</v>
      </c>
      <c r="J28" s="3" t="n">
        <v>59.5</v>
      </c>
      <c r="K28" s="3" t="n">
        <v>59.5</v>
      </c>
      <c r="L28" s="3" t="n">
        <v>59.5</v>
      </c>
    </row>
    <row r="29" customFormat="false" ht="15" hidden="false" customHeight="false" outlineLevel="0" collapsed="false">
      <c r="A29" s="0" t="s">
        <v>100</v>
      </c>
      <c r="C29" s="3" t="n">
        <v>5.7</v>
      </c>
      <c r="D29" s="3" t="n">
        <v>5.6</v>
      </c>
      <c r="E29" s="3" t="n">
        <v>5.5</v>
      </c>
      <c r="F29" s="3" t="n">
        <v>5.3</v>
      </c>
      <c r="G29" s="3" t="n">
        <v>5.1</v>
      </c>
      <c r="H29" s="3" t="n">
        <v>5</v>
      </c>
      <c r="I29" s="3" t="n">
        <v>4.8</v>
      </c>
      <c r="J29" s="3" t="n">
        <v>4.7</v>
      </c>
      <c r="K29" s="3" t="n">
        <v>4.6</v>
      </c>
      <c r="L29" s="3" t="n">
        <v>4.5</v>
      </c>
    </row>
    <row r="30" customFormat="false" ht="15" hidden="false" customHeight="false" outlineLevel="0" collapsed="false">
      <c r="A30" s="0" t="s">
        <v>101</v>
      </c>
      <c r="C30" s="3" t="n">
        <v>1</v>
      </c>
      <c r="D30" s="3" t="n">
        <v>1</v>
      </c>
      <c r="E30" s="3" t="n">
        <v>1</v>
      </c>
      <c r="F30" s="3" t="n">
        <v>1</v>
      </c>
      <c r="G30" s="3" t="n">
        <v>1</v>
      </c>
      <c r="H30" s="3" t="n">
        <v>1</v>
      </c>
      <c r="I30" s="3" t="n">
        <v>1</v>
      </c>
      <c r="J30" s="3" t="n">
        <v>1</v>
      </c>
      <c r="K30" s="3" t="n">
        <v>1</v>
      </c>
      <c r="L30" s="3" t="n">
        <v>1</v>
      </c>
    </row>
    <row r="31" customFormat="false" ht="15" hidden="false" customHeight="false" outlineLevel="0" collapsed="false">
      <c r="A31" s="0" t="s">
        <v>102</v>
      </c>
      <c r="C31" s="3" t="n">
        <v>6.2</v>
      </c>
      <c r="D31" s="3" t="n">
        <v>6.5</v>
      </c>
      <c r="E31" s="3" t="n">
        <v>6.8</v>
      </c>
      <c r="F31" s="3" t="n">
        <v>7</v>
      </c>
      <c r="G31" s="3" t="n">
        <v>7.3</v>
      </c>
      <c r="H31" s="3" t="n">
        <v>7.5</v>
      </c>
      <c r="I31" s="3" t="n">
        <v>7.8</v>
      </c>
      <c r="J31" s="3" t="n">
        <v>8</v>
      </c>
      <c r="K31" s="3" t="n">
        <v>8.2</v>
      </c>
      <c r="L31" s="3" t="n">
        <v>8.5</v>
      </c>
    </row>
    <row r="32" customFormat="false" ht="15" hidden="false" customHeight="false" outlineLevel="0" collapsed="false">
      <c r="A32" s="0" t="s">
        <v>103</v>
      </c>
      <c r="C32" s="3" t="n">
        <v>11.5</v>
      </c>
      <c r="D32" s="3" t="n">
        <v>12</v>
      </c>
      <c r="E32" s="3" t="n">
        <v>12</v>
      </c>
      <c r="F32" s="3" t="n">
        <v>11.5</v>
      </c>
      <c r="G32" s="3" t="n">
        <v>11</v>
      </c>
      <c r="H32" s="3" t="n">
        <v>10.5</v>
      </c>
      <c r="I32" s="3" t="n">
        <v>10</v>
      </c>
      <c r="J32" s="3" t="n">
        <v>10</v>
      </c>
      <c r="K32" s="3" t="n">
        <v>10</v>
      </c>
      <c r="L32" s="3" t="n">
        <v>10</v>
      </c>
    </row>
    <row r="33" customFormat="false" ht="15" hidden="false" customHeight="false" outlineLevel="0" collapsed="false">
      <c r="A33" s="0" t="s">
        <v>104</v>
      </c>
      <c r="C33" s="3" t="n">
        <v>22</v>
      </c>
      <c r="D33" s="3" t="n">
        <v>22</v>
      </c>
      <c r="E33" s="3" t="n">
        <v>23</v>
      </c>
      <c r="F33" s="3" t="n">
        <v>23</v>
      </c>
      <c r="G33" s="3" t="n">
        <v>24</v>
      </c>
      <c r="H33" s="3" t="n">
        <v>24</v>
      </c>
      <c r="I33" s="3" t="n">
        <v>24</v>
      </c>
      <c r="J33" s="3" t="n">
        <v>24</v>
      </c>
      <c r="K33" s="3" t="n">
        <v>24</v>
      </c>
      <c r="L33" s="3" t="n">
        <v>24</v>
      </c>
    </row>
    <row r="34" customFormat="false" ht="15" hidden="false" customHeight="false" outlineLevel="0" collapsed="false">
      <c r="A34" s="0" t="s">
        <v>105</v>
      </c>
      <c r="B34" s="3" t="n">
        <v>9.5</v>
      </c>
    </row>
    <row r="35" customFormat="false" ht="15" hidden="false" customHeight="false" outlineLevel="0" collapsed="false">
      <c r="A35" s="0" t="s">
        <v>106</v>
      </c>
      <c r="B35" s="3" t="n">
        <v>3</v>
      </c>
    </row>
    <row r="36" customFormat="false" ht="15" hidden="false" customHeight="false" outlineLevel="0" collapsed="false">
      <c r="A36" s="0" t="s">
        <v>107</v>
      </c>
      <c r="B36" s="3" t="n">
        <v>20</v>
      </c>
    </row>
    <row r="37" customFormat="false" ht="15" hidden="false" customHeight="false" outlineLevel="0" collapsed="false">
      <c r="A37" s="0" t="s">
        <v>108</v>
      </c>
      <c r="B37" s="3" t="n">
        <v>5</v>
      </c>
    </row>
    <row r="38" customFormat="false" ht="15" hidden="false" customHeight="false" outlineLevel="0" collapsed="false">
      <c r="A38" s="0" t="s">
        <v>109</v>
      </c>
      <c r="B38" s="3" t="n">
        <v>0.5</v>
      </c>
    </row>
    <row r="40" customFormat="false" ht="15" hidden="false" customHeight="false" outlineLevel="0" collapsed="false">
      <c r="A40" s="2" t="s">
        <v>111</v>
      </c>
      <c r="C40" s="2" t="s">
        <v>88</v>
      </c>
      <c r="D40" s="2" t="s">
        <v>89</v>
      </c>
      <c r="E40" s="2" t="s">
        <v>90</v>
      </c>
      <c r="F40" s="2" t="s">
        <v>91</v>
      </c>
      <c r="G40" s="2" t="s">
        <v>92</v>
      </c>
      <c r="H40" s="2" t="s">
        <v>93</v>
      </c>
      <c r="I40" s="2" t="s">
        <v>94</v>
      </c>
      <c r="J40" s="2" t="s">
        <v>95</v>
      </c>
      <c r="K40" s="2" t="s">
        <v>96</v>
      </c>
      <c r="L40" s="2" t="s">
        <v>97</v>
      </c>
    </row>
    <row r="41" customFormat="false" ht="15" hidden="false" customHeight="false" outlineLevel="0" collapsed="false">
      <c r="A41" s="0" t="s">
        <v>98</v>
      </c>
      <c r="C41" s="3" t="n">
        <v>10</v>
      </c>
      <c r="D41" s="3" t="n">
        <v>11</v>
      </c>
      <c r="E41" s="3" t="n">
        <v>12</v>
      </c>
      <c r="F41" s="3" t="n">
        <v>12</v>
      </c>
      <c r="G41" s="3" t="n">
        <v>11</v>
      </c>
      <c r="H41" s="3" t="n">
        <v>10</v>
      </c>
      <c r="I41" s="3" t="n">
        <v>9</v>
      </c>
      <c r="J41" s="3" t="n">
        <v>8</v>
      </c>
      <c r="K41" s="3" t="n">
        <v>7</v>
      </c>
      <c r="L41" s="3" t="n">
        <v>6</v>
      </c>
    </row>
    <row r="42" customFormat="false" ht="15" hidden="false" customHeight="false" outlineLevel="0" collapsed="false">
      <c r="A42" s="0" t="s">
        <v>99</v>
      </c>
      <c r="C42" s="3" t="n">
        <v>55</v>
      </c>
      <c r="D42" s="3" t="n">
        <v>57.5</v>
      </c>
      <c r="E42" s="3" t="n">
        <v>59.5</v>
      </c>
      <c r="F42" s="3" t="n">
        <v>61</v>
      </c>
      <c r="G42" s="3" t="n">
        <v>62</v>
      </c>
      <c r="H42" s="3" t="n">
        <v>62.5</v>
      </c>
      <c r="I42" s="3" t="n">
        <v>63</v>
      </c>
      <c r="J42" s="3" t="n">
        <v>63</v>
      </c>
      <c r="K42" s="3" t="n">
        <v>63</v>
      </c>
      <c r="L42" s="3" t="n">
        <v>63</v>
      </c>
    </row>
    <row r="43" customFormat="false" ht="15" hidden="false" customHeight="false" outlineLevel="0" collapsed="false">
      <c r="A43" s="0" t="s">
        <v>100</v>
      </c>
      <c r="C43" s="3" t="n">
        <v>5.7</v>
      </c>
      <c r="D43" s="3" t="n">
        <v>5.6</v>
      </c>
      <c r="E43" s="3" t="n">
        <v>5.5</v>
      </c>
      <c r="F43" s="3" t="n">
        <v>5.3</v>
      </c>
      <c r="G43" s="3" t="n">
        <v>5.1</v>
      </c>
      <c r="H43" s="3" t="n">
        <v>5</v>
      </c>
      <c r="I43" s="3" t="n">
        <v>4.8</v>
      </c>
      <c r="J43" s="3" t="n">
        <v>4.7</v>
      </c>
      <c r="K43" s="3" t="n">
        <v>4.6</v>
      </c>
      <c r="L43" s="3" t="n">
        <v>4.5</v>
      </c>
    </row>
    <row r="44" customFormat="false" ht="15" hidden="false" customHeight="false" outlineLevel="0" collapsed="false">
      <c r="A44" s="0" t="s">
        <v>101</v>
      </c>
      <c r="C44" s="3" t="n">
        <v>1</v>
      </c>
      <c r="D44" s="3" t="n">
        <v>1</v>
      </c>
      <c r="E44" s="3" t="n">
        <v>1</v>
      </c>
      <c r="F44" s="3" t="n">
        <v>1</v>
      </c>
      <c r="G44" s="3" t="n">
        <v>1</v>
      </c>
      <c r="H44" s="3" t="n">
        <v>1</v>
      </c>
      <c r="I44" s="3" t="n">
        <v>1</v>
      </c>
      <c r="J44" s="3" t="n">
        <v>1</v>
      </c>
      <c r="K44" s="3" t="n">
        <v>1</v>
      </c>
      <c r="L44" s="3" t="n">
        <v>1</v>
      </c>
    </row>
    <row r="45" customFormat="false" ht="15" hidden="false" customHeight="false" outlineLevel="0" collapsed="false">
      <c r="A45" s="0" t="s">
        <v>102</v>
      </c>
      <c r="C45" s="3" t="n">
        <v>6.2</v>
      </c>
      <c r="D45" s="3" t="n">
        <v>6.5</v>
      </c>
      <c r="E45" s="3" t="n">
        <v>6.8</v>
      </c>
      <c r="F45" s="3" t="n">
        <v>7</v>
      </c>
      <c r="G45" s="3" t="n">
        <v>7.3</v>
      </c>
      <c r="H45" s="3" t="n">
        <v>7.5</v>
      </c>
      <c r="I45" s="3" t="n">
        <v>7.8</v>
      </c>
      <c r="J45" s="3" t="n">
        <v>8</v>
      </c>
      <c r="K45" s="3" t="n">
        <v>8.2</v>
      </c>
      <c r="L45" s="3" t="n">
        <v>8.5</v>
      </c>
    </row>
    <row r="46" customFormat="false" ht="15" hidden="false" customHeight="false" outlineLevel="0" collapsed="false">
      <c r="A46" s="0" t="s">
        <v>103</v>
      </c>
      <c r="C46" s="3" t="n">
        <v>11.5</v>
      </c>
      <c r="D46" s="3" t="n">
        <v>12</v>
      </c>
      <c r="E46" s="3" t="n">
        <v>12</v>
      </c>
      <c r="F46" s="3" t="n">
        <v>11.5</v>
      </c>
      <c r="G46" s="3" t="n">
        <v>11</v>
      </c>
      <c r="H46" s="3" t="n">
        <v>10.5</v>
      </c>
      <c r="I46" s="3" t="n">
        <v>10</v>
      </c>
      <c r="J46" s="3" t="n">
        <v>10</v>
      </c>
      <c r="K46" s="3" t="n">
        <v>10</v>
      </c>
      <c r="L46" s="3" t="n">
        <v>10</v>
      </c>
    </row>
    <row r="47" customFormat="false" ht="15" hidden="false" customHeight="false" outlineLevel="0" collapsed="false">
      <c r="A47" s="0" t="s">
        <v>104</v>
      </c>
      <c r="C47" s="3" t="n">
        <v>22</v>
      </c>
      <c r="D47" s="3" t="n">
        <v>22</v>
      </c>
      <c r="E47" s="3" t="n">
        <v>23</v>
      </c>
      <c r="F47" s="3" t="n">
        <v>23</v>
      </c>
      <c r="G47" s="3" t="n">
        <v>24</v>
      </c>
      <c r="H47" s="3" t="n">
        <v>24</v>
      </c>
      <c r="I47" s="3" t="n">
        <v>24</v>
      </c>
      <c r="J47" s="3" t="n">
        <v>24</v>
      </c>
      <c r="K47" s="3" t="n">
        <v>24</v>
      </c>
      <c r="L47" s="3" t="n">
        <v>24</v>
      </c>
    </row>
    <row r="48" customFormat="false" ht="15" hidden="false" customHeight="false" outlineLevel="0" collapsed="false">
      <c r="A48" s="0" t="s">
        <v>105</v>
      </c>
      <c r="B48" s="3" t="n">
        <v>9.5</v>
      </c>
    </row>
    <row r="49" customFormat="false" ht="15" hidden="false" customHeight="false" outlineLevel="0" collapsed="false">
      <c r="A49" s="0" t="s">
        <v>106</v>
      </c>
      <c r="B49" s="3" t="n">
        <v>3.5</v>
      </c>
    </row>
    <row r="50" customFormat="false" ht="15" hidden="false" customHeight="false" outlineLevel="0" collapsed="false">
      <c r="A50" s="0" t="s">
        <v>107</v>
      </c>
      <c r="B50" s="3" t="n">
        <v>20</v>
      </c>
    </row>
    <row r="51" customFormat="false" ht="15" hidden="false" customHeight="false" outlineLevel="0" collapsed="false">
      <c r="A51" s="0" t="s">
        <v>108</v>
      </c>
      <c r="B51" s="3" t="n">
        <v>5</v>
      </c>
    </row>
    <row r="52" customFormat="false" ht="15" hidden="false" customHeight="false" outlineLevel="0" collapsed="false">
      <c r="A52" s="0" t="s">
        <v>109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112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Assumptions!C13</f>
        <v>6</v>
      </c>
      <c r="D5" s="4" t="n">
        <f aca="false">Assumptions!D13</f>
        <v>4</v>
      </c>
      <c r="E5" s="4" t="n">
        <f aca="false">Assumptions!E13</f>
        <v>4</v>
      </c>
      <c r="F5" s="4" t="n">
        <f aca="false">Assumptions!F13</f>
        <v>4.5</v>
      </c>
      <c r="G5" s="4" t="n">
        <f aca="false">Assumptions!G13</f>
        <v>4.5</v>
      </c>
      <c r="H5" s="4" t="n">
        <f aca="false">Assumptions!H13</f>
        <v>4.5</v>
      </c>
      <c r="I5" s="4" t="n">
        <f aca="false">Assumptions!I13</f>
        <v>4</v>
      </c>
      <c r="J5" s="4" t="n">
        <f aca="false">Assumptions!J13</f>
        <v>4</v>
      </c>
      <c r="K5" s="4" t="n">
        <f aca="false">Assumptions!K13</f>
        <v>3.5</v>
      </c>
      <c r="L5" s="4" t="n">
        <f aca="false">Assumptions!L13</f>
        <v>3</v>
      </c>
    </row>
    <row r="6" customFormat="false" ht="15" hidden="false" customHeight="false" outlineLevel="0" collapsed="false">
      <c r="A6" s="0" t="s">
        <v>38</v>
      </c>
      <c r="B6" s="3" t="n">
        <v>1395.9</v>
      </c>
      <c r="C6" s="0" t="n">
        <f aca="false">B6*(1+C5/100)</f>
        <v>1479.654</v>
      </c>
      <c r="D6" s="0" t="n">
        <f aca="false">C6*(1+D5/100)</f>
        <v>1538.84016</v>
      </c>
      <c r="E6" s="0" t="n">
        <f aca="false">D6*(1+E5/100)</f>
        <v>1600.3937664</v>
      </c>
      <c r="F6" s="0" t="n">
        <f aca="false">E6*(1+F5/100)</f>
        <v>1672.411485888</v>
      </c>
      <c r="G6" s="0" t="n">
        <f aca="false">F6*(1+G5/100)</f>
        <v>1747.67000275296</v>
      </c>
      <c r="H6" s="0" t="n">
        <f aca="false">G6*(1+H5/100)</f>
        <v>1826.31515287684</v>
      </c>
      <c r="I6" s="0" t="n">
        <f aca="false">H6*(1+I5/100)</f>
        <v>1899.36775899192</v>
      </c>
      <c r="J6" s="0" t="n">
        <f aca="false">I6*(1+J5/100)</f>
        <v>1975.34246935159</v>
      </c>
      <c r="K6" s="0" t="n">
        <f aca="false">J6*(1+K5/100)</f>
        <v>2044.4794557789</v>
      </c>
      <c r="L6" s="0" t="n">
        <f aca="false">K6*(1+L5/100)</f>
        <v>2105.81383945227</v>
      </c>
    </row>
    <row r="7" customFormat="false" ht="15" hidden="false" customHeight="false" outlineLevel="0" collapsed="false">
      <c r="A7" s="0" t="s">
        <v>99</v>
      </c>
      <c r="C7" s="4" t="n">
        <f aca="false">Assumptions!C14</f>
        <v>53</v>
      </c>
      <c r="D7" s="4" t="n">
        <f aca="false">Assumptions!D14</f>
        <v>53.5</v>
      </c>
      <c r="E7" s="4" t="n">
        <f aca="false">Assumptions!E14</f>
        <v>54</v>
      </c>
      <c r="F7" s="4" t="n">
        <f aca="false">Assumptions!F14</f>
        <v>54</v>
      </c>
      <c r="G7" s="4" t="n">
        <f aca="false">Assumptions!G14</f>
        <v>54</v>
      </c>
      <c r="H7" s="4" t="n">
        <f aca="false">Assumptions!H14</f>
        <v>54</v>
      </c>
      <c r="I7" s="4" t="n">
        <f aca="false">Assumptions!I14</f>
        <v>54</v>
      </c>
      <c r="J7" s="4" t="n">
        <f aca="false">Assumptions!J14</f>
        <v>54</v>
      </c>
      <c r="K7" s="4" t="n">
        <f aca="false">Assumptions!K14</f>
        <v>54</v>
      </c>
      <c r="L7" s="4" t="n">
        <f aca="false">Assumptions!L14</f>
        <v>54</v>
      </c>
    </row>
    <row r="8" customFormat="false" ht="15" hidden="false" customHeight="false" outlineLevel="0" collapsed="false">
      <c r="A8" s="0" t="s">
        <v>44</v>
      </c>
      <c r="C8" s="0" t="n">
        <f aca="false">C6*C7/100</f>
        <v>784.21662</v>
      </c>
      <c r="D8" s="0" t="n">
        <f aca="false">D6*D7/100</f>
        <v>823.2794856</v>
      </c>
      <c r="E8" s="0" t="n">
        <f aca="false">E6*E7/100</f>
        <v>864.212633856</v>
      </c>
      <c r="F8" s="0" t="n">
        <f aca="false">F6*F7/100</f>
        <v>903.10220237952</v>
      </c>
      <c r="G8" s="0" t="n">
        <f aca="false">G6*G7/100</f>
        <v>943.741801486598</v>
      </c>
      <c r="H8" s="0" t="n">
        <f aca="false">H6*H7/100</f>
        <v>986.210182553495</v>
      </c>
      <c r="I8" s="0" t="n">
        <f aca="false">I6*I7/100</f>
        <v>1025.65858985564</v>
      </c>
      <c r="J8" s="0" t="n">
        <f aca="false">J6*J7/100</f>
        <v>1066.68493344986</v>
      </c>
      <c r="K8" s="0" t="n">
        <f aca="false">K6*K7/100</f>
        <v>1104.01890612061</v>
      </c>
      <c r="L8" s="0" t="n">
        <f aca="false">L6*L7/100</f>
        <v>1137.13947330422</v>
      </c>
    </row>
    <row r="9" customFormat="false" ht="15" hidden="false" customHeight="false" outlineLevel="0" collapsed="false">
      <c r="A9" s="0" t="s">
        <v>100</v>
      </c>
      <c r="C9" s="4" t="n">
        <f aca="false">Assumptions!C15</f>
        <v>6</v>
      </c>
      <c r="D9" s="4" t="n">
        <f aca="false">Assumptions!D15</f>
        <v>6</v>
      </c>
      <c r="E9" s="4" t="n">
        <f aca="false">Assumptions!E15</f>
        <v>5.9</v>
      </c>
      <c r="F9" s="4" t="n">
        <f aca="false">Assumptions!F15</f>
        <v>5.8</v>
      </c>
      <c r="G9" s="4" t="n">
        <f aca="false">Assumptions!G15</f>
        <v>5.7</v>
      </c>
      <c r="H9" s="4" t="n">
        <f aca="false">Assumptions!H15</f>
        <v>5.6</v>
      </c>
      <c r="I9" s="4" t="n">
        <f aca="false">Assumptions!I15</f>
        <v>5.5</v>
      </c>
      <c r="J9" s="4" t="n">
        <f aca="false">Assumptions!J15</f>
        <v>5.5</v>
      </c>
      <c r="K9" s="4" t="n">
        <f aca="false">Assumptions!K15</f>
        <v>5.5</v>
      </c>
      <c r="L9" s="4" t="n">
        <f aca="false">Assumptions!L15</f>
        <v>5.5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-88.77924</v>
      </c>
      <c r="D10" s="0" t="n">
        <f aca="false">-D6*D9/100</f>
        <v>-92.3304096</v>
      </c>
      <c r="E10" s="0" t="n">
        <f aca="false">-E6*E9/100</f>
        <v>-94.4232322176</v>
      </c>
      <c r="F10" s="0" t="n">
        <f aca="false">-F6*F9/100</f>
        <v>-96.999866181504</v>
      </c>
      <c r="G10" s="0" t="n">
        <f aca="false">-G6*G9/100</f>
        <v>-99.6171901569187</v>
      </c>
      <c r="H10" s="0" t="n">
        <f aca="false">-H6*H9/100</f>
        <v>-102.273648561103</v>
      </c>
      <c r="I10" s="0" t="n">
        <f aca="false">-I6*I9/100</f>
        <v>-104.465226744555</v>
      </c>
      <c r="J10" s="0" t="n">
        <f aca="false">-J6*J9/100</f>
        <v>-108.643835814338</v>
      </c>
      <c r="K10" s="0" t="n">
        <f aca="false">-K6*K9/100</f>
        <v>-112.446370067839</v>
      </c>
      <c r="L10" s="0" t="n">
        <f aca="false">-L6*L9/100</f>
        <v>-115.819761169875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680.64084</v>
      </c>
      <c r="D11" s="0" t="n">
        <f aca="false">D8+D10+D24</f>
        <v>715.5606744</v>
      </c>
      <c r="E11" s="0" t="n">
        <f aca="false">E8+E10+E24</f>
        <v>753.7854639744</v>
      </c>
      <c r="F11" s="0" t="n">
        <f aca="false">F8+F10+F24</f>
        <v>789.378221339136</v>
      </c>
      <c r="G11" s="0" t="n">
        <f aca="false">G8+G10+G24</f>
        <v>826.64791130215</v>
      </c>
      <c r="H11" s="0" t="n">
        <f aca="false">H8+H10+H24</f>
        <v>865.673382463624</v>
      </c>
      <c r="I11" s="0" t="n">
        <f aca="false">I8+I10+I24</f>
        <v>902.199685521161</v>
      </c>
      <c r="J11" s="0" t="n">
        <f aca="false">J8+J10+J24</f>
        <v>938.287672942007</v>
      </c>
      <c r="K11" s="0" t="n">
        <f aca="false">K8+K10+K24</f>
        <v>971.127741494977</v>
      </c>
      <c r="L11" s="0" t="n">
        <f aca="false">L8+L10+L24</f>
        <v>1000.26157373983</v>
      </c>
    </row>
    <row r="12" customFormat="false" ht="15" hidden="false" customHeight="false" outlineLevel="0" collapsed="false">
      <c r="A12" s="0" t="s">
        <v>117</v>
      </c>
      <c r="C12" s="4" t="n">
        <f aca="false">-C6*Assumptions!C17/100</f>
        <v>-91.738548</v>
      </c>
      <c r="D12" s="4" t="n">
        <f aca="false">-D6*Assumptions!D17/100</f>
        <v>-100.0246104</v>
      </c>
      <c r="E12" s="4" t="n">
        <f aca="false">-E6*Assumptions!E17/100</f>
        <v>-108.8267761152</v>
      </c>
      <c r="F12" s="4" t="n">
        <f aca="false">-F6*Assumptions!F17/100</f>
        <v>-117.06880401216</v>
      </c>
      <c r="G12" s="4" t="n">
        <f aca="false">-G6*Assumptions!G17/100</f>
        <v>-127.579910200966</v>
      </c>
      <c r="H12" s="4" t="n">
        <f aca="false">-H6*Assumptions!H17/100</f>
        <v>-136.973636465763</v>
      </c>
      <c r="I12" s="4" t="n">
        <f aca="false">-I6*Assumptions!I17/100</f>
        <v>-148.15068520137</v>
      </c>
      <c r="J12" s="4" t="n">
        <f aca="false">-J6*Assumptions!J17/100</f>
        <v>-158.027397548127</v>
      </c>
      <c r="K12" s="4" t="n">
        <f aca="false">-K6*Assumptions!K17/100</f>
        <v>-167.64731537387</v>
      </c>
      <c r="L12" s="4" t="n">
        <f aca="false">-L6*Assumptions!L17/100</f>
        <v>-178.994176353443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588.902292</v>
      </c>
      <c r="D13" s="0" t="n">
        <f aca="false">D11+D12</f>
        <v>615.536064</v>
      </c>
      <c r="E13" s="0" t="n">
        <f aca="false">E11+E12</f>
        <v>644.9586878592</v>
      </c>
      <c r="F13" s="0" t="n">
        <f aca="false">F11+F12</f>
        <v>672.309417326976</v>
      </c>
      <c r="G13" s="0" t="n">
        <f aca="false">G11+G12</f>
        <v>699.068001101184</v>
      </c>
      <c r="H13" s="0" t="n">
        <f aca="false">H11+H12</f>
        <v>728.69974599786</v>
      </c>
      <c r="I13" s="0" t="n">
        <f aca="false">I11+I12</f>
        <v>754.049000319791</v>
      </c>
      <c r="J13" s="0" t="n">
        <f aca="false">J11+J12</f>
        <v>780.260275393879</v>
      </c>
      <c r="K13" s="0" t="n">
        <f aca="false">K11+K12</f>
        <v>803.480426121107</v>
      </c>
      <c r="L13" s="0" t="n">
        <f aca="false">L11+L12</f>
        <v>821.267397386384</v>
      </c>
    </row>
    <row r="14" customFormat="false" ht="15" hidden="false" customHeight="false" outlineLevel="0" collapsed="false">
      <c r="A14" s="0" t="s">
        <v>104</v>
      </c>
      <c r="C14" s="4" t="n">
        <f aca="false">Assumptions!C19</f>
        <v>22</v>
      </c>
      <c r="D14" s="4" t="n">
        <f aca="false">Assumptions!D19</f>
        <v>23</v>
      </c>
      <c r="E14" s="4" t="n">
        <f aca="false">Assumptions!E19</f>
        <v>24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459.34378776</v>
      </c>
      <c r="D15" s="0" t="n">
        <f aca="false">D13-MAX(0,D13)*D14/100</f>
        <v>473.96276928</v>
      </c>
      <c r="E15" s="0" t="n">
        <f aca="false">E13-MAX(0,E13)*E14/100</f>
        <v>490.168602772992</v>
      </c>
      <c r="F15" s="0" t="n">
        <f aca="false">F13-MAX(0,F13)*F14/100</f>
        <v>504.232062995232</v>
      </c>
      <c r="G15" s="0" t="n">
        <f aca="false">G13-MAX(0,G13)*G14/100</f>
        <v>524.301000825888</v>
      </c>
      <c r="H15" s="0" t="n">
        <f aca="false">H13-MAX(0,H13)*H14/100</f>
        <v>546.524809498395</v>
      </c>
      <c r="I15" s="0" t="n">
        <f aca="false">I13-MAX(0,I13)*I14/100</f>
        <v>565.536750239843</v>
      </c>
      <c r="J15" s="0" t="n">
        <f aca="false">J13-MAX(0,J13)*J14/100</f>
        <v>585.19520654541</v>
      </c>
      <c r="K15" s="0" t="n">
        <f aca="false">K13-MAX(0,K13)*K14/100</f>
        <v>602.61031959083</v>
      </c>
      <c r="L15" s="0" t="n">
        <f aca="false">L13-MAX(0,L13)*L14/100</f>
        <v>615.950548039788</v>
      </c>
    </row>
    <row r="16" customFormat="false" ht="15" hidden="false" customHeight="false" outlineLevel="0" collapsed="false">
      <c r="A16" s="0" t="s">
        <v>120</v>
      </c>
      <c r="C16" s="0" t="n">
        <f aca="false">-C12</f>
        <v>91.738548</v>
      </c>
      <c r="D16" s="0" t="n">
        <f aca="false">-D12</f>
        <v>100.0246104</v>
      </c>
      <c r="E16" s="0" t="n">
        <f aca="false">-E12</f>
        <v>108.8267761152</v>
      </c>
      <c r="F16" s="0" t="n">
        <f aca="false">-F12</f>
        <v>117.06880401216</v>
      </c>
      <c r="G16" s="0" t="n">
        <f aca="false">-G12</f>
        <v>127.579910200966</v>
      </c>
      <c r="H16" s="0" t="n">
        <f aca="false">-H12</f>
        <v>136.973636465763</v>
      </c>
      <c r="I16" s="0" t="n">
        <f aca="false">-I12</f>
        <v>148.15068520137</v>
      </c>
      <c r="J16" s="0" t="n">
        <f aca="false">-J12</f>
        <v>158.027397548127</v>
      </c>
      <c r="K16" s="0" t="n">
        <f aca="false">-K12</f>
        <v>167.64731537387</v>
      </c>
      <c r="L16" s="0" t="n">
        <f aca="false">-L12</f>
        <v>178.994176353443</v>
      </c>
    </row>
    <row r="17" customFormat="false" ht="15" hidden="false" customHeight="false" outlineLevel="0" collapsed="false">
      <c r="A17" s="0" t="s">
        <v>121</v>
      </c>
      <c r="C17" s="4" t="n">
        <f aca="false">-C6*Assumptions!C18/100</f>
        <v>-170.16021</v>
      </c>
      <c r="D17" s="4" t="n">
        <f aca="false">-D6*Assumptions!D18/100</f>
        <v>-184.6608192</v>
      </c>
      <c r="E17" s="4" t="n">
        <f aca="false">-E6*Assumptions!E18/100</f>
        <v>-192.047251968</v>
      </c>
      <c r="F17" s="4" t="n">
        <f aca="false">-F6*Assumptions!F18/100</f>
        <v>-192.32732087712</v>
      </c>
      <c r="G17" s="4" t="n">
        <f aca="false">-G6*Assumptions!G18/100</f>
        <v>-192.243700302826</v>
      </c>
      <c r="H17" s="4" t="n">
        <f aca="false">-H6*Assumptions!H18/100</f>
        <v>-191.763091052069</v>
      </c>
      <c r="I17" s="4" t="n">
        <f aca="false">-I6*Assumptions!I18/100</f>
        <v>-189.936775899192</v>
      </c>
      <c r="J17" s="4" t="n">
        <f aca="false">-J6*Assumptions!J18/100</f>
        <v>-197.534246935159</v>
      </c>
      <c r="K17" s="4" t="n">
        <f aca="false">-K6*Assumptions!K18/100</f>
        <v>-204.44794557789</v>
      </c>
      <c r="L17" s="4" t="n">
        <f aca="false">-L6*Assumptions!L18/100</f>
        <v>-210.581383945227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(C6-B6)*Assumptions!$B$23/100</f>
        <v>4.18770000000001</v>
      </c>
      <c r="D18" s="4" t="n">
        <f aca="false">(D6-C6)*Assumptions!$B$23/100</f>
        <v>2.959308</v>
      </c>
      <c r="E18" s="4" t="n">
        <f aca="false">(E6-D6)*Assumptions!$B$23/100</f>
        <v>3.07768032</v>
      </c>
      <c r="F18" s="4" t="n">
        <f aca="false">(F6-E6)*Assumptions!$B$23/100</f>
        <v>3.60088597439999</v>
      </c>
      <c r="G18" s="4" t="n">
        <f aca="false">(G6-F6)*Assumptions!$B$23/100</f>
        <v>3.76292584324799</v>
      </c>
      <c r="H18" s="4" t="n">
        <f aca="false">(H6-G6)*Assumptions!$B$23/100</f>
        <v>3.93225750619415</v>
      </c>
      <c r="I18" s="4" t="n">
        <f aca="false">(I6-H6)*Assumptions!$B$23/100</f>
        <v>3.65263030575369</v>
      </c>
      <c r="J18" s="4" t="n">
        <f aca="false">(J6-I6)*Assumptions!$B$23/100</f>
        <v>3.79873551798383</v>
      </c>
      <c r="K18" s="4" t="n">
        <f aca="false">(K6-J6)*Assumptions!$B$23/100</f>
        <v>3.45684932136528</v>
      </c>
      <c r="L18" s="4" t="n">
        <f aca="false">(L6-K6)*Assumptions!$B$23/100</f>
        <v>3.06671918366834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385.10982576</v>
      </c>
      <c r="D19" s="0" t="n">
        <f aca="false">D15+D16+D17+D18</f>
        <v>392.28586848</v>
      </c>
      <c r="E19" s="0" t="n">
        <f aca="false">E15+E16+E17+E18</f>
        <v>410.025807240192</v>
      </c>
      <c r="F19" s="0" t="n">
        <f aca="false">F15+F16+F17+F18</f>
        <v>432.574432104672</v>
      </c>
      <c r="G19" s="0" t="n">
        <f aca="false">G15+G16+G17+G18</f>
        <v>463.400136567277</v>
      </c>
      <c r="H19" s="0" t="n">
        <f aca="false">H15+H16+H17+H18</f>
        <v>495.667612418284</v>
      </c>
      <c r="I19" s="0" t="n">
        <f aca="false">I15+I16+I17+I18</f>
        <v>527.403289847775</v>
      </c>
      <c r="J19" s="0" t="n">
        <f aca="false">J15+J16+J17+J18</f>
        <v>549.487092676362</v>
      </c>
      <c r="K19" s="0" t="n">
        <f aca="false">K15+K16+K17+K18</f>
        <v>569.266538708176</v>
      </c>
      <c r="L19" s="0" t="n">
        <f aca="false">L15+L16+L17+L18</f>
        <v>587.430059631672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351.698471013699</v>
      </c>
      <c r="D21" s="0" t="n">
        <f aca="false">D19*D20</f>
        <v>327.170716607243</v>
      </c>
      <c r="E21" s="0" t="n">
        <f aca="false">E19*E20</f>
        <v>312.297735243365</v>
      </c>
      <c r="F21" s="0" t="n">
        <f aca="false">F19*F20</f>
        <v>300.887654990293</v>
      </c>
      <c r="G21" s="0" t="n">
        <f aca="false">G19*G20</f>
        <v>294.364586842927</v>
      </c>
      <c r="H21" s="0" t="n">
        <f aca="false">H19*H20</f>
        <v>287.545004741828</v>
      </c>
      <c r="I21" s="0" t="n">
        <f aca="false">I19*I20</f>
        <v>279.411322092513</v>
      </c>
      <c r="J21" s="0" t="n">
        <f aca="false">J19*J20</f>
        <v>265.854822098757</v>
      </c>
      <c r="K21" s="0" t="n">
        <f aca="false">K19*K20</f>
        <v>251.529301223265</v>
      </c>
      <c r="L21" s="0" t="n">
        <f aca="false">L19*L20</f>
        <v>237.036362778578</v>
      </c>
    </row>
    <row r="23" customFormat="false" ht="15" hidden="false" customHeight="false" outlineLevel="0" collapsed="false">
      <c r="A23" s="0" t="s">
        <v>101</v>
      </c>
      <c r="C23" s="4" t="n">
        <f aca="false">Assumptions!C16</f>
        <v>1</v>
      </c>
      <c r="D23" s="4" t="n">
        <f aca="false">Assumptions!D16</f>
        <v>1</v>
      </c>
      <c r="E23" s="4" t="n">
        <f aca="false">Assumptions!E16</f>
        <v>1</v>
      </c>
      <c r="F23" s="4" t="n">
        <f aca="false">Assumptions!F16</f>
        <v>1</v>
      </c>
      <c r="G23" s="4" t="n">
        <f aca="false">Assumptions!G16</f>
        <v>1</v>
      </c>
      <c r="H23" s="4" t="n">
        <f aca="false">Assumptions!H16</f>
        <v>1</v>
      </c>
      <c r="I23" s="4" t="n">
        <f aca="false">Assumptions!I16</f>
        <v>1</v>
      </c>
      <c r="J23" s="4" t="n">
        <f aca="false">Assumptions!J16</f>
        <v>1</v>
      </c>
      <c r="K23" s="4" t="n">
        <f aca="false">Assumptions!K16</f>
        <v>1</v>
      </c>
      <c r="L23" s="4" t="n">
        <f aca="false">Assumptions!L16</f>
        <v>1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-14.79654</v>
      </c>
      <c r="D24" s="0" t="n">
        <f aca="false">-D6*D23/100</f>
        <v>-15.3884016</v>
      </c>
      <c r="E24" s="0" t="n">
        <f aca="false">-E6*E23/100</f>
        <v>-16.003937664</v>
      </c>
      <c r="F24" s="0" t="n">
        <f aca="false">-F6*F23/100</f>
        <v>-16.72411485888</v>
      </c>
      <c r="G24" s="0" t="n">
        <f aca="false">-G6*G23/100</f>
        <v>-17.4767000275296</v>
      </c>
      <c r="H24" s="0" t="n">
        <f aca="false">-H6*H23/100</f>
        <v>-18.2631515287684</v>
      </c>
      <c r="I24" s="0" t="n">
        <f aca="false">-I6*I23/100</f>
        <v>-18.9936775899192</v>
      </c>
      <c r="J24" s="0" t="n">
        <f aca="false">-J6*J23/100</f>
        <v>-19.7534246935159</v>
      </c>
      <c r="K24" s="0" t="n">
        <f aca="false">-K6*K23/100</f>
        <v>-20.444794557789</v>
      </c>
      <c r="L24" s="0" t="n">
        <f aca="false">-L6*L23/100</f>
        <v>-21.0581383945227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106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107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2907.79597763247</v>
      </c>
    </row>
    <row r="31" customFormat="false" ht="15" hidden="false" customHeight="false" outlineLevel="0" collapsed="false">
      <c r="A31" s="0" t="s">
        <v>129</v>
      </c>
      <c r="B31" s="0" t="n">
        <f aca="false">L19</f>
        <v>587.430059631672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8601.65444460663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8811.45089447508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8601.65444460663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3470.88959782917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6378.68557546164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4455.48557546164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18.7396354005749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-0.401862898162307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624.408051063467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684.332709360559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24.2441588175711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4816.92648897971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6.50034106411238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Assumptions!C27</f>
        <v>8</v>
      </c>
      <c r="D5" s="4" t="n">
        <f aca="false">Assumptions!D27</f>
        <v>7.5</v>
      </c>
      <c r="E5" s="4" t="n">
        <f aca="false">Assumptions!E27</f>
        <v>8</v>
      </c>
      <c r="F5" s="4" t="n">
        <f aca="false">Assumptions!F27</f>
        <v>8</v>
      </c>
      <c r="G5" s="4" t="n">
        <f aca="false">Assumptions!G27</f>
        <v>8</v>
      </c>
      <c r="H5" s="4" t="n">
        <f aca="false">Assumptions!H27</f>
        <v>7.5</v>
      </c>
      <c r="I5" s="4" t="n">
        <f aca="false">Assumptions!I27</f>
        <v>7</v>
      </c>
      <c r="J5" s="4" t="n">
        <f aca="false">Assumptions!J27</f>
        <v>6</v>
      </c>
      <c r="K5" s="4" t="n">
        <f aca="false">Assumptions!K27</f>
        <v>5</v>
      </c>
      <c r="L5" s="4" t="n">
        <f aca="false">Assumptions!L27</f>
        <v>4</v>
      </c>
    </row>
    <row r="6" customFormat="false" ht="15" hidden="false" customHeight="false" outlineLevel="0" collapsed="false">
      <c r="A6" s="0" t="s">
        <v>38</v>
      </c>
      <c r="B6" s="3" t="n">
        <v>1395.9</v>
      </c>
      <c r="C6" s="0" t="n">
        <f aca="false">B6*(1+C5/100)</f>
        <v>1507.572</v>
      </c>
      <c r="D6" s="0" t="n">
        <f aca="false">C6*(1+D5/100)</f>
        <v>1620.6399</v>
      </c>
      <c r="E6" s="0" t="n">
        <f aca="false">D6*(1+E5/100)</f>
        <v>1750.291092</v>
      </c>
      <c r="F6" s="0" t="n">
        <f aca="false">E6*(1+F5/100)</f>
        <v>1890.31437936</v>
      </c>
      <c r="G6" s="0" t="n">
        <f aca="false">F6*(1+G5/100)</f>
        <v>2041.5395297088</v>
      </c>
      <c r="H6" s="0" t="n">
        <f aca="false">G6*(1+H5/100)</f>
        <v>2194.65499443696</v>
      </c>
      <c r="I6" s="0" t="n">
        <f aca="false">H6*(1+I5/100)</f>
        <v>2348.28084404755</v>
      </c>
      <c r="J6" s="0" t="n">
        <f aca="false">I6*(1+J5/100)</f>
        <v>2489.1776946904</v>
      </c>
      <c r="K6" s="0" t="n">
        <f aca="false">J6*(1+K5/100)</f>
        <v>2613.63657942492</v>
      </c>
      <c r="L6" s="0" t="n">
        <f aca="false">K6*(1+L5/100)</f>
        <v>2718.18204260192</v>
      </c>
    </row>
    <row r="7" customFormat="false" ht="15" hidden="false" customHeight="false" outlineLevel="0" collapsed="false">
      <c r="A7" s="0" t="s">
        <v>99</v>
      </c>
      <c r="C7" s="4" t="n">
        <f aca="false">Assumptions!C28</f>
        <v>54</v>
      </c>
      <c r="D7" s="4" t="n">
        <f aca="false">Assumptions!D28</f>
        <v>55.8</v>
      </c>
      <c r="E7" s="4" t="n">
        <f aca="false">Assumptions!E28</f>
        <v>57</v>
      </c>
      <c r="F7" s="4" t="n">
        <f aca="false">Assumptions!F28</f>
        <v>58</v>
      </c>
      <c r="G7" s="4" t="n">
        <f aca="false">Assumptions!G28</f>
        <v>58.6</v>
      </c>
      <c r="H7" s="4" t="n">
        <f aca="false">Assumptions!H28</f>
        <v>59</v>
      </c>
      <c r="I7" s="4" t="n">
        <f aca="false">Assumptions!I28</f>
        <v>59.3</v>
      </c>
      <c r="J7" s="4" t="n">
        <f aca="false">Assumptions!J28</f>
        <v>59.5</v>
      </c>
      <c r="K7" s="4" t="n">
        <f aca="false">Assumptions!K28</f>
        <v>59.5</v>
      </c>
      <c r="L7" s="4" t="n">
        <f aca="false">Assumptions!L28</f>
        <v>59.5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814.08888</v>
      </c>
      <c r="D8" s="0" t="n">
        <f aca="false">D6*D7/100</f>
        <v>904.3170642</v>
      </c>
      <c r="E8" s="0" t="n">
        <f aca="false">E6*E7/100</f>
        <v>997.66592244</v>
      </c>
      <c r="F8" s="0" t="n">
        <f aca="false">F6*F7/100</f>
        <v>1096.3823400288</v>
      </c>
      <c r="G8" s="0" t="n">
        <f aca="false">G6*G7/100</f>
        <v>1196.34216440936</v>
      </c>
      <c r="H8" s="0" t="n">
        <f aca="false">H6*H7/100</f>
        <v>1294.84644671781</v>
      </c>
      <c r="I8" s="0" t="n">
        <f aca="false">I6*I7/100</f>
        <v>1392.5305405202</v>
      </c>
      <c r="J8" s="0" t="n">
        <f aca="false">J6*J7/100</f>
        <v>1481.06072834079</v>
      </c>
      <c r="K8" s="0" t="n">
        <f aca="false">K6*K7/100</f>
        <v>1555.11376475783</v>
      </c>
      <c r="L8" s="0" t="n">
        <f aca="false">L6*L7/100</f>
        <v>1617.31831534814</v>
      </c>
    </row>
    <row r="9" customFormat="false" ht="15" hidden="false" customHeight="false" outlineLevel="0" collapsed="false">
      <c r="A9" s="0" t="s">
        <v>100</v>
      </c>
      <c r="C9" s="4" t="n">
        <f aca="false">Assumptions!C29</f>
        <v>5.7</v>
      </c>
      <c r="D9" s="4" t="n">
        <f aca="false">Assumptions!D29</f>
        <v>5.6</v>
      </c>
      <c r="E9" s="4" t="n">
        <f aca="false">Assumptions!E29</f>
        <v>5.5</v>
      </c>
      <c r="F9" s="4" t="n">
        <f aca="false">Assumptions!F29</f>
        <v>5.3</v>
      </c>
      <c r="G9" s="4" t="n">
        <f aca="false">Assumptions!G29</f>
        <v>5.1</v>
      </c>
      <c r="H9" s="4" t="n">
        <f aca="false">Assumptions!H29</f>
        <v>5</v>
      </c>
      <c r="I9" s="4" t="n">
        <f aca="false">Assumptions!I29</f>
        <v>4.8</v>
      </c>
      <c r="J9" s="4" t="n">
        <f aca="false">Assumptions!J29</f>
        <v>4.7</v>
      </c>
      <c r="K9" s="4" t="n">
        <f aca="false">Assumptions!K29</f>
        <v>4.6</v>
      </c>
      <c r="L9" s="4" t="n">
        <f aca="false">Assumptions!L29</f>
        <v>4.5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-85.931604</v>
      </c>
      <c r="D10" s="0" t="n">
        <f aca="false">-D6*D9/100</f>
        <v>-90.7558344</v>
      </c>
      <c r="E10" s="0" t="n">
        <f aca="false">-E6*E9/100</f>
        <v>-96.26601006</v>
      </c>
      <c r="F10" s="0" t="n">
        <f aca="false">-F6*F9/100</f>
        <v>-100.18666210608</v>
      </c>
      <c r="G10" s="0" t="n">
        <f aca="false">-G6*G9/100</f>
        <v>-104.118516015149</v>
      </c>
      <c r="H10" s="0" t="n">
        <f aca="false">-H6*H9/100</f>
        <v>-109.732749721848</v>
      </c>
      <c r="I10" s="0" t="n">
        <f aca="false">-I6*I9/100</f>
        <v>-112.717480514282</v>
      </c>
      <c r="J10" s="0" t="n">
        <f aca="false">-J6*J9/100</f>
        <v>-116.991351650449</v>
      </c>
      <c r="K10" s="0" t="n">
        <f aca="false">-K6*K9/100</f>
        <v>-120.227282653546</v>
      </c>
      <c r="L10" s="0" t="n">
        <f aca="false">-L6*L9/100</f>
        <v>-122.318191917086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713.081556</v>
      </c>
      <c r="D11" s="0" t="n">
        <f aca="false">D8+D10+D24</f>
        <v>797.3548308</v>
      </c>
      <c r="E11" s="0" t="n">
        <f aca="false">E8+E10+E24</f>
        <v>883.89700146</v>
      </c>
      <c r="F11" s="0" t="n">
        <f aca="false">F8+F10+F24</f>
        <v>977.29253412912</v>
      </c>
      <c r="G11" s="0" t="n">
        <f aca="false">G8+G10+G24</f>
        <v>1071.80825309712</v>
      </c>
      <c r="H11" s="0" t="n">
        <f aca="false">H8+H10+H24</f>
        <v>1163.16714705159</v>
      </c>
      <c r="I11" s="0" t="n">
        <f aca="false">I8+I10+I24</f>
        <v>1256.33025156544</v>
      </c>
      <c r="J11" s="0" t="n">
        <f aca="false">J8+J10+J24</f>
        <v>1339.17759974344</v>
      </c>
      <c r="K11" s="0" t="n">
        <f aca="false">K8+K10+K24</f>
        <v>1408.75011631003</v>
      </c>
      <c r="L11" s="0" t="n">
        <f aca="false">L8+L10+L24</f>
        <v>1467.81830300504</v>
      </c>
    </row>
    <row r="12" customFormat="false" ht="15" hidden="false" customHeight="false" outlineLevel="0" collapsed="false">
      <c r="A12" s="0" t="s">
        <v>117</v>
      </c>
      <c r="C12" s="4" t="n">
        <f aca="false">-C6*Assumptions!C31/100</f>
        <v>-93.469464</v>
      </c>
      <c r="D12" s="4" t="n">
        <f aca="false">-D6*Assumptions!D31/100</f>
        <v>-105.3415935</v>
      </c>
      <c r="E12" s="4" t="n">
        <f aca="false">-E6*Assumptions!E31/100</f>
        <v>-119.019794256</v>
      </c>
      <c r="F12" s="4" t="n">
        <f aca="false">-F6*Assumptions!F31/100</f>
        <v>-132.3220065552</v>
      </c>
      <c r="G12" s="4" t="n">
        <f aca="false">-G6*Assumptions!G31/100</f>
        <v>-149.032385668742</v>
      </c>
      <c r="H12" s="4" t="n">
        <f aca="false">-H6*Assumptions!H31/100</f>
        <v>-164.599124582772</v>
      </c>
      <c r="I12" s="4" t="n">
        <f aca="false">-I6*Assumptions!I31/100</f>
        <v>-183.165905835709</v>
      </c>
      <c r="J12" s="4" t="n">
        <f aca="false">-J6*Assumptions!J31/100</f>
        <v>-199.134215575232</v>
      </c>
      <c r="K12" s="4" t="n">
        <f aca="false">-K6*Assumptions!K31/100</f>
        <v>-214.318199512844</v>
      </c>
      <c r="L12" s="4" t="n">
        <f aca="false">-L6*Assumptions!L31/100</f>
        <v>-231.045473621163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619.612092</v>
      </c>
      <c r="D13" s="0" t="n">
        <f aca="false">D11+D12</f>
        <v>692.0132373</v>
      </c>
      <c r="E13" s="0" t="n">
        <f aca="false">E11+E12</f>
        <v>764.877207204</v>
      </c>
      <c r="F13" s="0" t="n">
        <f aca="false">F11+F12</f>
        <v>844.97052757392</v>
      </c>
      <c r="G13" s="0" t="n">
        <f aca="false">G11+G12</f>
        <v>922.775867428378</v>
      </c>
      <c r="H13" s="0" t="n">
        <f aca="false">H11+H12</f>
        <v>998.568022468817</v>
      </c>
      <c r="I13" s="0" t="n">
        <f aca="false">I11+I12</f>
        <v>1073.16434572973</v>
      </c>
      <c r="J13" s="0" t="n">
        <f aca="false">J11+J12</f>
        <v>1140.0433841682</v>
      </c>
      <c r="K13" s="0" t="n">
        <f aca="false">K11+K12</f>
        <v>1194.43191679719</v>
      </c>
      <c r="L13" s="0" t="n">
        <f aca="false">L11+L12</f>
        <v>1236.77282938387</v>
      </c>
    </row>
    <row r="14" customFormat="false" ht="15" hidden="false" customHeight="false" outlineLevel="0" collapsed="false">
      <c r="A14" s="0" t="s">
        <v>104</v>
      </c>
      <c r="C14" s="4" t="n">
        <f aca="false">Assumptions!C33</f>
        <v>22</v>
      </c>
      <c r="D14" s="4" t="n">
        <f aca="false">Assumptions!D33</f>
        <v>22</v>
      </c>
      <c r="E14" s="4" t="n">
        <f aca="false">Assumptions!E33</f>
        <v>23</v>
      </c>
      <c r="F14" s="4" t="n">
        <f aca="false">Assumptions!F33</f>
        <v>23</v>
      </c>
      <c r="G14" s="4" t="n">
        <f aca="false">Assumptions!G33</f>
        <v>24</v>
      </c>
      <c r="H14" s="4" t="n">
        <f aca="false">Assumptions!H33</f>
        <v>24</v>
      </c>
      <c r="I14" s="4" t="n">
        <f aca="false">Assumptions!I33</f>
        <v>24</v>
      </c>
      <c r="J14" s="4" t="n">
        <f aca="false">Assumptions!J33</f>
        <v>24</v>
      </c>
      <c r="K14" s="4" t="n">
        <f aca="false">Assumptions!K33</f>
        <v>24</v>
      </c>
      <c r="L14" s="4" t="n">
        <f aca="false">Assumptions!L33</f>
        <v>24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483.29743176</v>
      </c>
      <c r="D15" s="0" t="n">
        <f aca="false">D13-MAX(0,D13)*D14/100</f>
        <v>539.770325094</v>
      </c>
      <c r="E15" s="0" t="n">
        <f aca="false">E13-MAX(0,E13)*E14/100</f>
        <v>588.95544954708</v>
      </c>
      <c r="F15" s="0" t="n">
        <f aca="false">F13-MAX(0,F13)*F14/100</f>
        <v>650.627306231919</v>
      </c>
      <c r="G15" s="0" t="n">
        <f aca="false">G13-MAX(0,G13)*G14/100</f>
        <v>701.309659245567</v>
      </c>
      <c r="H15" s="0" t="n">
        <f aca="false">H13-MAX(0,H13)*H14/100</f>
        <v>758.911697076301</v>
      </c>
      <c r="I15" s="0" t="n">
        <f aca="false">I13-MAX(0,I13)*I14/100</f>
        <v>815.604902754594</v>
      </c>
      <c r="J15" s="0" t="n">
        <f aca="false">J13-MAX(0,J13)*J14/100</f>
        <v>866.432971967835</v>
      </c>
      <c r="K15" s="0" t="n">
        <f aca="false">K13-MAX(0,K13)*K14/100</f>
        <v>907.768256765864</v>
      </c>
      <c r="L15" s="0" t="n">
        <f aca="false">L13-MAX(0,L13)*L14/100</f>
        <v>939.947350331743</v>
      </c>
    </row>
    <row r="16" customFormat="false" ht="15" hidden="false" customHeight="false" outlineLevel="0" collapsed="false">
      <c r="A16" s="0" t="s">
        <v>120</v>
      </c>
      <c r="C16" s="0" t="n">
        <f aca="false">-C12</f>
        <v>93.469464</v>
      </c>
      <c r="D16" s="0" t="n">
        <f aca="false">-D12</f>
        <v>105.3415935</v>
      </c>
      <c r="E16" s="0" t="n">
        <f aca="false">-E12</f>
        <v>119.019794256</v>
      </c>
      <c r="F16" s="0" t="n">
        <f aca="false">-F12</f>
        <v>132.3220065552</v>
      </c>
      <c r="G16" s="0" t="n">
        <f aca="false">-G12</f>
        <v>149.032385668742</v>
      </c>
      <c r="H16" s="0" t="n">
        <f aca="false">-H12</f>
        <v>164.599124582772</v>
      </c>
      <c r="I16" s="0" t="n">
        <f aca="false">-I12</f>
        <v>183.165905835709</v>
      </c>
      <c r="J16" s="0" t="n">
        <f aca="false">-J12</f>
        <v>199.134215575232</v>
      </c>
      <c r="K16" s="0" t="n">
        <f aca="false">-K12</f>
        <v>214.318199512844</v>
      </c>
      <c r="L16" s="0" t="n">
        <f aca="false">-L12</f>
        <v>231.045473621163</v>
      </c>
    </row>
    <row r="17" customFormat="false" ht="15" hidden="false" customHeight="false" outlineLevel="0" collapsed="false">
      <c r="A17" s="0" t="s">
        <v>121</v>
      </c>
      <c r="C17" s="4" t="n">
        <f aca="false">-C6*Assumptions!C32/100</f>
        <v>-173.37078</v>
      </c>
      <c r="D17" s="4" t="n">
        <f aca="false">-D6*Assumptions!D32/100</f>
        <v>-194.476788</v>
      </c>
      <c r="E17" s="4" t="n">
        <f aca="false">-E6*Assumptions!E32/100</f>
        <v>-210.03493104</v>
      </c>
      <c r="F17" s="4" t="n">
        <f aca="false">-F6*Assumptions!F32/100</f>
        <v>-217.3861536264</v>
      </c>
      <c r="G17" s="4" t="n">
        <f aca="false">-G6*Assumptions!G32/100</f>
        <v>-224.569348267968</v>
      </c>
      <c r="H17" s="4" t="n">
        <f aca="false">-H6*Assumptions!H32/100</f>
        <v>-230.438774415881</v>
      </c>
      <c r="I17" s="4" t="n">
        <f aca="false">-I6*Assumptions!I32/100</f>
        <v>-234.828084404755</v>
      </c>
      <c r="J17" s="4" t="n">
        <f aca="false">-J6*Assumptions!J32/100</f>
        <v>-248.91776946904</v>
      </c>
      <c r="K17" s="4" t="n">
        <f aca="false">-K6*Assumptions!K32/100</f>
        <v>-261.363657942492</v>
      </c>
      <c r="L17" s="4" t="n">
        <f aca="false">-L6*Assumptions!L32/100</f>
        <v>-271.818204260192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(C6-B6)*Assumptions!$B$37/100</f>
        <v>5.5836</v>
      </c>
      <c r="D18" s="4" t="n">
        <f aca="false">(D6-C6)*Assumptions!$B$37/100</f>
        <v>5.653395</v>
      </c>
      <c r="E18" s="4" t="n">
        <f aca="false">(E6-D6)*Assumptions!$B$37/100</f>
        <v>6.4825596</v>
      </c>
      <c r="F18" s="4" t="n">
        <f aca="false">(F6-E6)*Assumptions!$B$37/100</f>
        <v>7.001164368</v>
      </c>
      <c r="G18" s="4" t="n">
        <f aca="false">(G6-F6)*Assumptions!$B$37/100</f>
        <v>7.56125751744</v>
      </c>
      <c r="H18" s="4" t="n">
        <f aca="false">(H6-G6)*Assumptions!$B$37/100</f>
        <v>7.655773236408</v>
      </c>
      <c r="I18" s="4" t="n">
        <f aca="false">(I6-H6)*Assumptions!$B$37/100</f>
        <v>7.68129248052937</v>
      </c>
      <c r="J18" s="4" t="n">
        <f aca="false">(J6-I6)*Assumptions!$B$37/100</f>
        <v>7.04484253214264</v>
      </c>
      <c r="K18" s="4" t="n">
        <f aca="false">(K6-J6)*Assumptions!$B$37/100</f>
        <v>6.22294423672602</v>
      </c>
      <c r="L18" s="4" t="n">
        <f aca="false">(L6-K6)*Assumptions!$B$37/100</f>
        <v>5.22727315884986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408.97971576</v>
      </c>
      <c r="D19" s="0" t="n">
        <f aca="false">D15+D16+D17+D18</f>
        <v>456.288525594</v>
      </c>
      <c r="E19" s="0" t="n">
        <f aca="false">E15+E16+E17+E18</f>
        <v>504.42287236308</v>
      </c>
      <c r="F19" s="0" t="n">
        <f aca="false">F15+F16+F17+F18</f>
        <v>572.564323528718</v>
      </c>
      <c r="G19" s="0" t="n">
        <f aca="false">G15+G16+G17+G18</f>
        <v>633.333954163781</v>
      </c>
      <c r="H19" s="0" t="n">
        <f aca="false">H15+H16+H17+H18</f>
        <v>700.7278204796</v>
      </c>
      <c r="I19" s="0" t="n">
        <f aca="false">I15+I16+I17+I18</f>
        <v>771.624016666077</v>
      </c>
      <c r="J19" s="0" t="n">
        <f aca="false">J15+J16+J17+J18</f>
        <v>823.694260606169</v>
      </c>
      <c r="K19" s="0" t="n">
        <f aca="false">K15+K16+K17+K18</f>
        <v>866.945742572941</v>
      </c>
      <c r="L19" s="0" t="n">
        <f aca="false">L15+L16+L17+L18</f>
        <v>904.401892851564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373.497457315069</v>
      </c>
      <c r="D21" s="0" t="n">
        <f aca="false">D19*D20</f>
        <v>380.549634573091</v>
      </c>
      <c r="E21" s="0" t="n">
        <f aca="false">E19*E20</f>
        <v>384.195623451726</v>
      </c>
      <c r="F21" s="0" t="n">
        <f aca="false">F19*F20</f>
        <v>398.261024812426</v>
      </c>
      <c r="G21" s="0" t="n">
        <f aca="false">G19*G20</f>
        <v>402.311249047188</v>
      </c>
      <c r="H21" s="0" t="n">
        <f aca="false">H19*H20</f>
        <v>406.5038332432</v>
      </c>
      <c r="I21" s="0" t="n">
        <f aca="false">I19*I20</f>
        <v>408.796249104234</v>
      </c>
      <c r="J21" s="0" t="n">
        <f aca="false">J19*J20</f>
        <v>398.522720616838</v>
      </c>
      <c r="K21" s="0" t="n">
        <f aca="false">K19*K20</f>
        <v>383.058272356391</v>
      </c>
      <c r="L21" s="0" t="n">
        <f aca="false">L19*L20</f>
        <v>364.938994279613</v>
      </c>
    </row>
    <row r="23" customFormat="false" ht="15" hidden="false" customHeight="false" outlineLevel="0" collapsed="false">
      <c r="A23" s="0" t="s">
        <v>101</v>
      </c>
      <c r="C23" s="4" t="n">
        <f aca="false">Assumptions!C30</f>
        <v>1</v>
      </c>
      <c r="D23" s="4" t="n">
        <f aca="false">Assumptions!D30</f>
        <v>1</v>
      </c>
      <c r="E23" s="4" t="n">
        <f aca="false">Assumptions!E30</f>
        <v>1</v>
      </c>
      <c r="F23" s="4" t="n">
        <f aca="false">Assumptions!F30</f>
        <v>1</v>
      </c>
      <c r="G23" s="4" t="n">
        <f aca="false">Assumptions!G30</f>
        <v>1</v>
      </c>
      <c r="H23" s="4" t="n">
        <f aca="false">Assumptions!H30</f>
        <v>1</v>
      </c>
      <c r="I23" s="4" t="n">
        <f aca="false">Assumptions!I30</f>
        <v>1</v>
      </c>
      <c r="J23" s="4" t="n">
        <f aca="false">Assumptions!J30</f>
        <v>1</v>
      </c>
      <c r="K23" s="4" t="n">
        <f aca="false">Assumptions!K30</f>
        <v>1</v>
      </c>
      <c r="L23" s="4" t="n">
        <f aca="false">Assumptions!L30</f>
        <v>1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-15.07572</v>
      </c>
      <c r="D24" s="0" t="n">
        <f aca="false">-D6*D23/100</f>
        <v>-16.206399</v>
      </c>
      <c r="E24" s="0" t="n">
        <f aca="false">-E6*E23/100</f>
        <v>-17.50291092</v>
      </c>
      <c r="F24" s="0" t="n">
        <f aca="false">-F6*F23/100</f>
        <v>-18.9031437936</v>
      </c>
      <c r="G24" s="0" t="n">
        <f aca="false">-G6*G23/100</f>
        <v>-20.415395297088</v>
      </c>
      <c r="H24" s="0" t="n">
        <f aca="false">-H6*H23/100</f>
        <v>-21.9465499443696</v>
      </c>
      <c r="I24" s="0" t="n">
        <f aca="false">-I6*I23/100</f>
        <v>-23.4828084404755</v>
      </c>
      <c r="J24" s="0" t="n">
        <f aca="false">-J6*J23/100</f>
        <v>-24.891776946904</v>
      </c>
      <c r="K24" s="0" t="n">
        <f aca="false">-K6*K23/100</f>
        <v>-26.1363657942492</v>
      </c>
      <c r="L24" s="0" t="n">
        <f aca="false">-L6*L23/100</f>
        <v>-27.1818204260192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106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107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3900.63505879977</v>
      </c>
    </row>
    <row r="31" customFormat="false" ht="15" hidden="false" customHeight="false" outlineLevel="0" collapsed="false">
      <c r="A31" s="0" t="s">
        <v>129</v>
      </c>
      <c r="B31" s="0" t="n">
        <f aca="false">L19</f>
        <v>904.401892851564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14331.2915328786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18088.0378570313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14331.2915328786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5782.87944781541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9683.51450661519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7760.31450661519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32.6396443181601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0.0418016060695865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645.77183497919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782.120607798589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38.6453160492642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7762.78291364259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12.6283958650838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Assumptions!C41</f>
        <v>10</v>
      </c>
      <c r="D5" s="4" t="n">
        <f aca="false">Assumptions!D41</f>
        <v>11</v>
      </c>
      <c r="E5" s="4" t="n">
        <f aca="false">Assumptions!E41</f>
        <v>12</v>
      </c>
      <c r="F5" s="4" t="n">
        <f aca="false">Assumptions!F41</f>
        <v>12</v>
      </c>
      <c r="G5" s="4" t="n">
        <f aca="false">Assumptions!G41</f>
        <v>11</v>
      </c>
      <c r="H5" s="4" t="n">
        <f aca="false">Assumptions!H41</f>
        <v>10</v>
      </c>
      <c r="I5" s="4" t="n">
        <f aca="false">Assumptions!I41</f>
        <v>9</v>
      </c>
      <c r="J5" s="4" t="n">
        <f aca="false">Assumptions!J41</f>
        <v>8</v>
      </c>
      <c r="K5" s="4" t="n">
        <f aca="false">Assumptions!K41</f>
        <v>7</v>
      </c>
      <c r="L5" s="4" t="n">
        <f aca="false">Assumptions!L41</f>
        <v>6</v>
      </c>
    </row>
    <row r="6" customFormat="false" ht="15" hidden="false" customHeight="false" outlineLevel="0" collapsed="false">
      <c r="A6" s="0" t="s">
        <v>38</v>
      </c>
      <c r="B6" s="3" t="n">
        <v>1395.9</v>
      </c>
      <c r="C6" s="0" t="n">
        <f aca="false">B6*(1+C5/100)</f>
        <v>1535.49</v>
      </c>
      <c r="D6" s="0" t="n">
        <f aca="false">C6*(1+D5/100)</f>
        <v>1704.3939</v>
      </c>
      <c r="E6" s="0" t="n">
        <f aca="false">D6*(1+E5/100)</f>
        <v>1908.921168</v>
      </c>
      <c r="F6" s="0" t="n">
        <f aca="false">E6*(1+F5/100)</f>
        <v>2137.99170816</v>
      </c>
      <c r="G6" s="0" t="n">
        <f aca="false">F6*(1+G5/100)</f>
        <v>2373.1707960576</v>
      </c>
      <c r="H6" s="0" t="n">
        <f aca="false">G6*(1+H5/100)</f>
        <v>2610.48787566336</v>
      </c>
      <c r="I6" s="0" t="n">
        <f aca="false">H6*(1+I5/100)</f>
        <v>2845.43178447306</v>
      </c>
      <c r="J6" s="0" t="n">
        <f aca="false">I6*(1+J5/100)</f>
        <v>3073.06632723091</v>
      </c>
      <c r="K6" s="0" t="n">
        <f aca="false">J6*(1+K5/100)</f>
        <v>3288.18097013707</v>
      </c>
      <c r="L6" s="0" t="n">
        <f aca="false">K6*(1+L5/100)</f>
        <v>3485.4718283453</v>
      </c>
    </row>
    <row r="7" customFormat="false" ht="15" hidden="false" customHeight="false" outlineLevel="0" collapsed="false">
      <c r="A7" s="0" t="s">
        <v>99</v>
      </c>
      <c r="C7" s="4" t="n">
        <f aca="false">Assumptions!C42</f>
        <v>55</v>
      </c>
      <c r="D7" s="4" t="n">
        <f aca="false">Assumptions!D42</f>
        <v>57.5</v>
      </c>
      <c r="E7" s="4" t="n">
        <f aca="false">Assumptions!E42</f>
        <v>59.5</v>
      </c>
      <c r="F7" s="4" t="n">
        <f aca="false">Assumptions!F42</f>
        <v>61</v>
      </c>
      <c r="G7" s="4" t="n">
        <f aca="false">Assumptions!G42</f>
        <v>62</v>
      </c>
      <c r="H7" s="4" t="n">
        <f aca="false">Assumptions!H42</f>
        <v>62.5</v>
      </c>
      <c r="I7" s="4" t="n">
        <f aca="false">Assumptions!I42</f>
        <v>63</v>
      </c>
      <c r="J7" s="4" t="n">
        <f aca="false">Assumptions!J42</f>
        <v>63</v>
      </c>
      <c r="K7" s="4" t="n">
        <f aca="false">Assumptions!K42</f>
        <v>63</v>
      </c>
      <c r="L7" s="4" t="n">
        <f aca="false">Assumptions!L42</f>
        <v>63</v>
      </c>
    </row>
    <row r="8" customFormat="false" ht="15" hidden="false" customHeight="false" outlineLevel="0" collapsed="false">
      <c r="A8" s="0" t="s">
        <v>44</v>
      </c>
      <c r="C8" s="0" t="n">
        <f aca="false">C6*C7/100</f>
        <v>844.5195</v>
      </c>
      <c r="D8" s="0" t="n">
        <f aca="false">D6*D7/100</f>
        <v>980.0264925</v>
      </c>
      <c r="E8" s="0" t="n">
        <f aca="false">E6*E7/100</f>
        <v>1135.80809496</v>
      </c>
      <c r="F8" s="0" t="n">
        <f aca="false">F6*F7/100</f>
        <v>1304.1749419776</v>
      </c>
      <c r="G8" s="0" t="n">
        <f aca="false">G6*G7/100</f>
        <v>1471.36589355571</v>
      </c>
      <c r="H8" s="0" t="n">
        <f aca="false">H6*H7/100</f>
        <v>1631.5549222896</v>
      </c>
      <c r="I8" s="0" t="n">
        <f aca="false">I6*I7/100</f>
        <v>1792.62202421803</v>
      </c>
      <c r="J8" s="0" t="n">
        <f aca="false">J6*J7/100</f>
        <v>1936.03178615547</v>
      </c>
      <c r="K8" s="0" t="n">
        <f aca="false">K6*K7/100</f>
        <v>2071.55401118636</v>
      </c>
      <c r="L8" s="0" t="n">
        <f aca="false">L6*L7/100</f>
        <v>2195.84725185754</v>
      </c>
    </row>
    <row r="9" customFormat="false" ht="15" hidden="false" customHeight="false" outlineLevel="0" collapsed="false">
      <c r="A9" s="0" t="s">
        <v>100</v>
      </c>
      <c r="C9" s="4" t="n">
        <f aca="false">Assumptions!C43</f>
        <v>5.7</v>
      </c>
      <c r="D9" s="4" t="n">
        <f aca="false">Assumptions!D43</f>
        <v>5.6</v>
      </c>
      <c r="E9" s="4" t="n">
        <f aca="false">Assumptions!E43</f>
        <v>5.5</v>
      </c>
      <c r="F9" s="4" t="n">
        <f aca="false">Assumptions!F43</f>
        <v>5.3</v>
      </c>
      <c r="G9" s="4" t="n">
        <f aca="false">Assumptions!G43</f>
        <v>5.1</v>
      </c>
      <c r="H9" s="4" t="n">
        <f aca="false">Assumptions!H43</f>
        <v>5</v>
      </c>
      <c r="I9" s="4" t="n">
        <f aca="false">Assumptions!I43</f>
        <v>4.8</v>
      </c>
      <c r="J9" s="4" t="n">
        <f aca="false">Assumptions!J43</f>
        <v>4.7</v>
      </c>
      <c r="K9" s="4" t="n">
        <f aca="false">Assumptions!K43</f>
        <v>4.6</v>
      </c>
      <c r="L9" s="4" t="n">
        <f aca="false">Assumptions!L43</f>
        <v>4.5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-87.52293</v>
      </c>
      <c r="D10" s="0" t="n">
        <f aca="false">-D6*D9/100</f>
        <v>-95.4460584</v>
      </c>
      <c r="E10" s="0" t="n">
        <f aca="false">-E6*E9/100</f>
        <v>-104.99066424</v>
      </c>
      <c r="F10" s="0" t="n">
        <f aca="false">-F6*F9/100</f>
        <v>-113.31356053248</v>
      </c>
      <c r="G10" s="0" t="n">
        <f aca="false">-G6*G9/100</f>
        <v>-121.031710598938</v>
      </c>
      <c r="H10" s="0" t="n">
        <f aca="false">-H6*H9/100</f>
        <v>-130.524393783168</v>
      </c>
      <c r="I10" s="0" t="n">
        <f aca="false">-I6*I9/100</f>
        <v>-136.580725654707</v>
      </c>
      <c r="J10" s="0" t="n">
        <f aca="false">-J6*J9/100</f>
        <v>-144.434117379853</v>
      </c>
      <c r="K10" s="0" t="n">
        <f aca="false">-K6*K9/100</f>
        <v>-151.256324626305</v>
      </c>
      <c r="L10" s="0" t="n">
        <f aca="false">-L6*L9/100</f>
        <v>-156.846232275538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741.64167</v>
      </c>
      <c r="D11" s="0" t="n">
        <f aca="false">D8+D10+D24</f>
        <v>867.5364951</v>
      </c>
      <c r="E11" s="0" t="n">
        <f aca="false">E8+E10+E24</f>
        <v>1011.72821904</v>
      </c>
      <c r="F11" s="0" t="n">
        <f aca="false">F8+F10+F24</f>
        <v>1169.48146436352</v>
      </c>
      <c r="G11" s="0" t="n">
        <f aca="false">G8+G10+G24</f>
        <v>1326.6024749962</v>
      </c>
      <c r="H11" s="0" t="n">
        <f aca="false">H8+H10+H24</f>
        <v>1474.9256497498</v>
      </c>
      <c r="I11" s="0" t="n">
        <f aca="false">I8+I10+I24</f>
        <v>1627.58698071859</v>
      </c>
      <c r="J11" s="0" t="n">
        <f aca="false">J8+J10+J24</f>
        <v>1760.86700550331</v>
      </c>
      <c r="K11" s="0" t="n">
        <f aca="false">K8+K10+K24</f>
        <v>1887.41587685868</v>
      </c>
      <c r="L11" s="0" t="n">
        <f aca="false">L8+L10+L24</f>
        <v>2004.14630129855</v>
      </c>
    </row>
    <row r="12" customFormat="false" ht="15" hidden="false" customHeight="false" outlineLevel="0" collapsed="false">
      <c r="A12" s="0" t="s">
        <v>117</v>
      </c>
      <c r="C12" s="4" t="n">
        <f aca="false">-C6*Assumptions!C45/100</f>
        <v>-95.20038</v>
      </c>
      <c r="D12" s="4" t="n">
        <f aca="false">-D6*Assumptions!D45/100</f>
        <v>-110.7856035</v>
      </c>
      <c r="E12" s="4" t="n">
        <f aca="false">-E6*Assumptions!E45/100</f>
        <v>-129.806639424</v>
      </c>
      <c r="F12" s="4" t="n">
        <f aca="false">-F6*Assumptions!F45/100</f>
        <v>-149.6594195712</v>
      </c>
      <c r="G12" s="4" t="n">
        <f aca="false">-G6*Assumptions!G45/100</f>
        <v>-173.241468112205</v>
      </c>
      <c r="H12" s="4" t="n">
        <f aca="false">-H6*Assumptions!H45/100</f>
        <v>-195.786590674752</v>
      </c>
      <c r="I12" s="4" t="n">
        <f aca="false">-I6*Assumptions!I45/100</f>
        <v>-221.943679188899</v>
      </c>
      <c r="J12" s="4" t="n">
        <f aca="false">-J6*Assumptions!J45/100</f>
        <v>-245.845306178473</v>
      </c>
      <c r="K12" s="4" t="n">
        <f aca="false">-K6*Assumptions!K45/100</f>
        <v>-269.63083955124</v>
      </c>
      <c r="L12" s="4" t="n">
        <f aca="false">-L6*Assumptions!L45/100</f>
        <v>-296.26510540935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646.44129</v>
      </c>
      <c r="D13" s="0" t="n">
        <f aca="false">D11+D12</f>
        <v>756.7508916</v>
      </c>
      <c r="E13" s="0" t="n">
        <f aca="false">E11+E12</f>
        <v>881.921579616</v>
      </c>
      <c r="F13" s="0" t="n">
        <f aca="false">F11+F12</f>
        <v>1019.82204479232</v>
      </c>
      <c r="G13" s="0" t="n">
        <f aca="false">G11+G12</f>
        <v>1153.36100688399</v>
      </c>
      <c r="H13" s="0" t="n">
        <f aca="false">H11+H12</f>
        <v>1279.13905907505</v>
      </c>
      <c r="I13" s="0" t="n">
        <f aca="false">I11+I12</f>
        <v>1405.64330152969</v>
      </c>
      <c r="J13" s="0" t="n">
        <f aca="false">J11+J12</f>
        <v>1515.02169932484</v>
      </c>
      <c r="K13" s="0" t="n">
        <f aca="false">K11+K12</f>
        <v>1617.78503730744</v>
      </c>
      <c r="L13" s="0" t="n">
        <f aca="false">L11+L12</f>
        <v>1707.8811958892</v>
      </c>
    </row>
    <row r="14" customFormat="false" ht="15" hidden="false" customHeight="false" outlineLevel="0" collapsed="false">
      <c r="A14" s="0" t="s">
        <v>104</v>
      </c>
      <c r="C14" s="4" t="n">
        <f aca="false">Assumptions!C47</f>
        <v>22</v>
      </c>
      <c r="D14" s="4" t="n">
        <f aca="false">Assumptions!D47</f>
        <v>22</v>
      </c>
      <c r="E14" s="4" t="n">
        <f aca="false">Assumptions!E47</f>
        <v>23</v>
      </c>
      <c r="F14" s="4" t="n">
        <f aca="false">Assumptions!F47</f>
        <v>23</v>
      </c>
      <c r="G14" s="4" t="n">
        <f aca="false">Assumptions!G47</f>
        <v>24</v>
      </c>
      <c r="H14" s="4" t="n">
        <f aca="false">Assumptions!H47</f>
        <v>24</v>
      </c>
      <c r="I14" s="4" t="n">
        <f aca="false">Assumptions!I47</f>
        <v>24</v>
      </c>
      <c r="J14" s="4" t="n">
        <f aca="false">Assumptions!J47</f>
        <v>24</v>
      </c>
      <c r="K14" s="4" t="n">
        <f aca="false">Assumptions!K47</f>
        <v>24</v>
      </c>
      <c r="L14" s="4" t="n">
        <f aca="false">Assumptions!L47</f>
        <v>24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504.2242062</v>
      </c>
      <c r="D15" s="0" t="n">
        <f aca="false">D13-MAX(0,D13)*D14/100</f>
        <v>590.265695448</v>
      </c>
      <c r="E15" s="0" t="n">
        <f aca="false">E13-MAX(0,E13)*E14/100</f>
        <v>679.07961630432</v>
      </c>
      <c r="F15" s="0" t="n">
        <f aca="false">F13-MAX(0,F13)*F14/100</f>
        <v>785.262974490087</v>
      </c>
      <c r="G15" s="0" t="n">
        <f aca="false">G13-MAX(0,G13)*G14/100</f>
        <v>876.554365231836</v>
      </c>
      <c r="H15" s="0" t="n">
        <f aca="false">H13-MAX(0,H13)*H14/100</f>
        <v>972.145684897036</v>
      </c>
      <c r="I15" s="0" t="n">
        <f aca="false">I13-MAX(0,I13)*I14/100</f>
        <v>1068.28890916257</v>
      </c>
      <c r="J15" s="0" t="n">
        <f aca="false">J13-MAX(0,J13)*J14/100</f>
        <v>1151.41649148688</v>
      </c>
      <c r="K15" s="0" t="n">
        <f aca="false">K13-MAX(0,K13)*K14/100</f>
        <v>1229.51662835366</v>
      </c>
      <c r="L15" s="0" t="n">
        <f aca="false">L13-MAX(0,L13)*L14/100</f>
        <v>1297.98970887579</v>
      </c>
    </row>
    <row r="16" customFormat="false" ht="15" hidden="false" customHeight="false" outlineLevel="0" collapsed="false">
      <c r="A16" s="0" t="s">
        <v>120</v>
      </c>
      <c r="C16" s="0" t="n">
        <f aca="false">-C12</f>
        <v>95.20038</v>
      </c>
      <c r="D16" s="0" t="n">
        <f aca="false">-D12</f>
        <v>110.7856035</v>
      </c>
      <c r="E16" s="0" t="n">
        <f aca="false">-E12</f>
        <v>129.806639424</v>
      </c>
      <c r="F16" s="0" t="n">
        <f aca="false">-F12</f>
        <v>149.6594195712</v>
      </c>
      <c r="G16" s="0" t="n">
        <f aca="false">-G12</f>
        <v>173.241468112205</v>
      </c>
      <c r="H16" s="0" t="n">
        <f aca="false">-H12</f>
        <v>195.786590674752</v>
      </c>
      <c r="I16" s="0" t="n">
        <f aca="false">-I12</f>
        <v>221.943679188899</v>
      </c>
      <c r="J16" s="0" t="n">
        <f aca="false">-J12</f>
        <v>245.845306178473</v>
      </c>
      <c r="K16" s="0" t="n">
        <f aca="false">-K12</f>
        <v>269.63083955124</v>
      </c>
      <c r="L16" s="0" t="n">
        <f aca="false">-L12</f>
        <v>296.26510540935</v>
      </c>
    </row>
    <row r="17" customFormat="false" ht="15" hidden="false" customHeight="false" outlineLevel="0" collapsed="false">
      <c r="A17" s="0" t="s">
        <v>121</v>
      </c>
      <c r="C17" s="4" t="n">
        <f aca="false">-C6*Assumptions!C46/100</f>
        <v>-176.58135</v>
      </c>
      <c r="D17" s="4" t="n">
        <f aca="false">-D6*Assumptions!D46/100</f>
        <v>-204.527268</v>
      </c>
      <c r="E17" s="4" t="n">
        <f aca="false">-E6*Assumptions!E46/100</f>
        <v>-229.07054016</v>
      </c>
      <c r="F17" s="4" t="n">
        <f aca="false">-F6*Assumptions!F46/100</f>
        <v>-245.8690464384</v>
      </c>
      <c r="G17" s="4" t="n">
        <f aca="false">-G6*Assumptions!G46/100</f>
        <v>-261.048787566336</v>
      </c>
      <c r="H17" s="4" t="n">
        <f aca="false">-H6*Assumptions!H46/100</f>
        <v>-274.101226944653</v>
      </c>
      <c r="I17" s="4" t="n">
        <f aca="false">-I6*Assumptions!I46/100</f>
        <v>-284.543178447306</v>
      </c>
      <c r="J17" s="4" t="n">
        <f aca="false">-J6*Assumptions!J46/100</f>
        <v>-307.306632723091</v>
      </c>
      <c r="K17" s="4" t="n">
        <f aca="false">-K6*Assumptions!K46/100</f>
        <v>-328.818097013707</v>
      </c>
      <c r="L17" s="4" t="n">
        <f aca="false">-L6*Assumptions!L46/100</f>
        <v>-348.54718283453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(C6-B6)*Assumptions!$B$51/100</f>
        <v>6.97950000000001</v>
      </c>
      <c r="D18" s="4" t="n">
        <f aca="false">(D6-C6)*Assumptions!$B$51/100</f>
        <v>8.44519500000001</v>
      </c>
      <c r="E18" s="4" t="n">
        <f aca="false">(E6-D6)*Assumptions!$B$51/100</f>
        <v>10.2263634</v>
      </c>
      <c r="F18" s="4" t="n">
        <f aca="false">(F6-E6)*Assumptions!$B$51/100</f>
        <v>11.453527008</v>
      </c>
      <c r="G18" s="4" t="n">
        <f aca="false">(G6-F6)*Assumptions!$B$51/100</f>
        <v>11.75895439488</v>
      </c>
      <c r="H18" s="4" t="n">
        <f aca="false">(H6-G6)*Assumptions!$B$51/100</f>
        <v>11.865853980288</v>
      </c>
      <c r="I18" s="4" t="n">
        <f aca="false">(I6-H6)*Assumptions!$B$51/100</f>
        <v>11.7471954404851</v>
      </c>
      <c r="J18" s="4" t="n">
        <f aca="false">(J6-I6)*Assumptions!$B$51/100</f>
        <v>11.3817271378923</v>
      </c>
      <c r="K18" s="4" t="n">
        <f aca="false">(K6-J6)*Assumptions!$B$51/100</f>
        <v>10.7557321453082</v>
      </c>
      <c r="L18" s="4" t="n">
        <f aca="false">(L6-K6)*Assumptions!$B$51/100</f>
        <v>9.86454291041123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429.8227362</v>
      </c>
      <c r="D19" s="0" t="n">
        <f aca="false">D15+D16+D17+D18</f>
        <v>504.969225948</v>
      </c>
      <c r="E19" s="0" t="n">
        <f aca="false">E15+E16+E17+E18</f>
        <v>590.04207896832</v>
      </c>
      <c r="F19" s="0" t="n">
        <f aca="false">F15+F16+F17+F18</f>
        <v>700.506874630887</v>
      </c>
      <c r="G19" s="0" t="n">
        <f aca="false">G15+G16+G17+G18</f>
        <v>800.506000172584</v>
      </c>
      <c r="H19" s="0" t="n">
        <f aca="false">H15+H16+H17+H18</f>
        <v>905.696902607423</v>
      </c>
      <c r="I19" s="0" t="n">
        <f aca="false">I15+I16+I17+I18</f>
        <v>1017.43660534465</v>
      </c>
      <c r="J19" s="0" t="n">
        <f aca="false">J15+J16+J17+J18</f>
        <v>1101.33689208015</v>
      </c>
      <c r="K19" s="0" t="n">
        <f aca="false">K15+K16+K17+K18</f>
        <v>1181.0851030365</v>
      </c>
      <c r="L19" s="0" t="n">
        <f aca="false">L15+L16+L17+L18</f>
        <v>1255.57217436102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392.532179178082</v>
      </c>
      <c r="D21" s="0" t="n">
        <f aca="false">D19*D20</f>
        <v>421.149872561456</v>
      </c>
      <c r="E21" s="0" t="n">
        <f aca="false">E19*E20</f>
        <v>449.407821913387</v>
      </c>
      <c r="F21" s="0" t="n">
        <f aca="false">F19*F20</f>
        <v>487.254574401811</v>
      </c>
      <c r="G21" s="0" t="n">
        <f aca="false">G19*G20</f>
        <v>508.503557533752</v>
      </c>
      <c r="H21" s="0" t="n">
        <f aca="false">H19*H20</f>
        <v>525.409798078837</v>
      </c>
      <c r="I21" s="0" t="n">
        <f aca="false">I19*I20</f>
        <v>539.024523579893</v>
      </c>
      <c r="J21" s="0" t="n">
        <f aca="false">J19*J20</f>
        <v>532.852777466818</v>
      </c>
      <c r="K21" s="0" t="n">
        <f aca="false">K19*K20</f>
        <v>521.86013132992</v>
      </c>
      <c r="L21" s="0" t="n">
        <f aca="false">L19*L20</f>
        <v>506.641184829963</v>
      </c>
    </row>
    <row r="23" customFormat="false" ht="15" hidden="false" customHeight="false" outlineLevel="0" collapsed="false">
      <c r="A23" s="0" t="s">
        <v>101</v>
      </c>
      <c r="C23" s="4" t="n">
        <f aca="false">Assumptions!C44</f>
        <v>1</v>
      </c>
      <c r="D23" s="4" t="n">
        <f aca="false">Assumptions!D44</f>
        <v>1</v>
      </c>
      <c r="E23" s="4" t="n">
        <f aca="false">Assumptions!E44</f>
        <v>1</v>
      </c>
      <c r="F23" s="4" t="n">
        <f aca="false">Assumptions!F44</f>
        <v>1</v>
      </c>
      <c r="G23" s="4" t="n">
        <f aca="false">Assumptions!G44</f>
        <v>1</v>
      </c>
      <c r="H23" s="4" t="n">
        <f aca="false">Assumptions!H44</f>
        <v>1</v>
      </c>
      <c r="I23" s="4" t="n">
        <f aca="false">Assumptions!I44</f>
        <v>1</v>
      </c>
      <c r="J23" s="4" t="n">
        <f aca="false">Assumptions!J44</f>
        <v>1</v>
      </c>
      <c r="K23" s="4" t="n">
        <f aca="false">Assumptions!K44</f>
        <v>1</v>
      </c>
      <c r="L23" s="4" t="n">
        <f aca="false">Assumptions!L44</f>
        <v>1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-15.3549</v>
      </c>
      <c r="D24" s="0" t="n">
        <f aca="false">-D6*D23/100</f>
        <v>-17.043939</v>
      </c>
      <c r="E24" s="0" t="n">
        <f aca="false">-E6*E23/100</f>
        <v>-19.08921168</v>
      </c>
      <c r="F24" s="0" t="n">
        <f aca="false">-F6*F23/100</f>
        <v>-21.3799170816</v>
      </c>
      <c r="G24" s="0" t="n">
        <f aca="false">-G6*G23/100</f>
        <v>-23.731707960576</v>
      </c>
      <c r="H24" s="0" t="n">
        <f aca="false">-H6*H23/100</f>
        <v>-26.1048787566336</v>
      </c>
      <c r="I24" s="0" t="n">
        <f aca="false">-I6*I23/100</f>
        <v>-28.4543178447306</v>
      </c>
      <c r="J24" s="0" t="n">
        <f aca="false">-J6*J23/100</f>
        <v>-30.7306632723091</v>
      </c>
      <c r="K24" s="0" t="n">
        <f aca="false">-K6*K23/100</f>
        <v>-32.8818097013707</v>
      </c>
      <c r="L24" s="0" t="n">
        <f aca="false">-L6*L23/100</f>
        <v>-34.854718283453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106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107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4884.63642087392</v>
      </c>
    </row>
    <row r="31" customFormat="false" ht="15" hidden="false" customHeight="false" outlineLevel="0" collapsed="false">
      <c r="A31" s="0" t="s">
        <v>129</v>
      </c>
      <c r="B31" s="0" t="n">
        <f aca="false">L19</f>
        <v>1255.57217436102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21658.6200077276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25111.4434872204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21658.6200077276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8739.56043831687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13624.1968591908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11700.9968591908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49.214033184652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0.570827742887075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743.280571494838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1091.74697758172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56.9321026604223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11300.1495692492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19.3149036295864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2" t="s">
        <v>146</v>
      </c>
      <c r="B3" s="2" t="s">
        <v>147</v>
      </c>
      <c r="C3" s="2" t="s">
        <v>137</v>
      </c>
      <c r="D3" s="2" t="s">
        <v>148</v>
      </c>
      <c r="E3" s="2" t="s">
        <v>140</v>
      </c>
      <c r="F3" s="2" t="s">
        <v>149</v>
      </c>
    </row>
    <row r="4" customFormat="false" ht="15" hidden="false" customHeight="false" outlineLevel="0" collapsed="false">
      <c r="A4" s="0" t="s">
        <v>150</v>
      </c>
      <c r="B4" s="4" t="n">
        <f aca="false">DCF_Bear!$B$38</f>
        <v>18.7396354005749</v>
      </c>
      <c r="C4" s="0" t="n">
        <f aca="false">B4/Assumptions!$B$2-1</f>
        <v>-0.401862898162307</v>
      </c>
      <c r="D4" s="4" t="n">
        <f aca="false">Assumptions!$B$24</f>
        <v>0.3</v>
      </c>
      <c r="E4" s="4" t="n">
        <f aca="false">DCF_Bear!$B$43</f>
        <v>24.2441588175711</v>
      </c>
      <c r="F4" s="4" t="n">
        <f aca="false">DCF_Bear!$B$47</f>
        <v>6.50034106411238</v>
      </c>
    </row>
    <row r="5" customFormat="false" ht="15" hidden="false" customHeight="false" outlineLevel="0" collapsed="false">
      <c r="A5" s="0" t="s">
        <v>151</v>
      </c>
      <c r="B5" s="4" t="n">
        <f aca="false">DCF_Base!$B$38</f>
        <v>32.6396443181601</v>
      </c>
      <c r="C5" s="0" t="n">
        <f aca="false">B5/Assumptions!$B$2-1</f>
        <v>0.0418016060695865</v>
      </c>
      <c r="D5" s="4" t="n">
        <f aca="false">Assumptions!$B$38</f>
        <v>0.5</v>
      </c>
      <c r="E5" s="4" t="n">
        <f aca="false">DCF_Base!$B$43</f>
        <v>38.6453160492642</v>
      </c>
      <c r="F5" s="4" t="n">
        <f aca="false">DCF_Base!$B$47</f>
        <v>12.6283958650838</v>
      </c>
    </row>
    <row r="6" customFormat="false" ht="15" hidden="false" customHeight="false" outlineLevel="0" collapsed="false">
      <c r="A6" s="0" t="s">
        <v>152</v>
      </c>
      <c r="B6" s="4" t="n">
        <f aca="false">DCF_Bull!$B$38</f>
        <v>49.214033184652</v>
      </c>
      <c r="C6" s="0" t="n">
        <f aca="false">B6/Assumptions!$B$2-1</f>
        <v>0.570827742887075</v>
      </c>
      <c r="D6" s="4" t="n">
        <f aca="false">Assumptions!$B$52</f>
        <v>0.2</v>
      </c>
      <c r="E6" s="4" t="n">
        <f aca="false">DCF_Bull!$B$43</f>
        <v>56.9321026604223</v>
      </c>
      <c r="F6" s="4" t="n">
        <f aca="false">DCF_Bull!$B$47</f>
        <v>19.3149036295864</v>
      </c>
    </row>
    <row r="8" customFormat="false" ht="15" hidden="false" customHeight="false" outlineLevel="0" collapsed="false">
      <c r="A8" s="0" t="s">
        <v>153</v>
      </c>
      <c r="B8" s="0" t="n">
        <f aca="false">SUMPRODUCT(B4:B6,D4:D6)</f>
        <v>31.784519416183</v>
      </c>
    </row>
    <row r="9" customFormat="false" ht="15" hidden="false" customHeight="false" outlineLevel="0" collapsed="false">
      <c r="A9" s="0" t="s">
        <v>154</v>
      </c>
      <c r="B9" s="0" t="n">
        <f aca="false">SUMPRODUCT(E4:E6,D4:D6)</f>
        <v>37.9823262019879</v>
      </c>
    </row>
    <row r="10" customFormat="false" ht="15" hidden="false" customHeight="false" outlineLevel="0" collapsed="false">
      <c r="A10" s="0" t="s">
        <v>155</v>
      </c>
      <c r="B10" s="0" t="n">
        <f aca="false">1-Assumptions!$B$2/B8</f>
        <v>0.0143000248086663</v>
      </c>
    </row>
    <row r="11" customFormat="false" ht="15" hidden="false" customHeight="false" outlineLevel="0" collapsed="false">
      <c r="A11" s="0" t="s">
        <v>156</v>
      </c>
      <c r="B11" s="0" t="n">
        <f aca="false">IF(ABS(B9-B8)&gt;0.01*ABS(B8),(Assumptions!$B$2-B8)/(B9-B8)*100,"n/a")</f>
        <v>-7.33355252738688</v>
      </c>
    </row>
    <row r="12" customFormat="false" ht="15" hidden="false" customHeight="false" outlineLevel="0" collapsed="false">
      <c r="A12" s="0" t="s">
        <v>157</v>
      </c>
      <c r="B12" s="0" t="n">
        <f aca="false">SUMPRODUCT(F4:F6,D4:D6)</f>
        <v>12.1272809776929</v>
      </c>
    </row>
    <row r="14" customFormat="false" ht="15" hidden="false" customHeight="false" outlineLevel="0" collapsed="false">
      <c r="A14" s="2" t="s">
        <v>158</v>
      </c>
      <c r="C14" s="0" t="s">
        <v>159</v>
      </c>
    </row>
    <row r="15" customFormat="false" ht="15" hidden="false" customHeight="false" outlineLevel="0" collapsed="false">
      <c r="A15" s="0" t="s">
        <v>160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36.3205692158353</v>
      </c>
      <c r="C15" s="3" t="n">
        <v>9</v>
      </c>
    </row>
    <row r="16" customFormat="false" ht="15" hidden="false" customHeight="false" outlineLevel="0" collapsed="false">
      <c r="A16" s="0" t="s">
        <v>161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32.6396443181601</v>
      </c>
      <c r="C16" s="3" t="n">
        <v>9.5</v>
      </c>
    </row>
    <row r="17" customFormat="false" ht="15" hidden="false" customHeight="false" outlineLevel="0" collapsed="false">
      <c r="A17" s="0" t="s">
        <v>162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29.4913616771026</v>
      </c>
      <c r="C17" s="3" t="n">
        <v>10</v>
      </c>
    </row>
    <row r="18" customFormat="false" ht="15" hidden="false" customHeight="false" outlineLevel="0" collapsed="false">
      <c r="A18" s="0" t="s">
        <v>163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24.3924203969141</v>
      </c>
      <c r="C18" s="3" t="n">
        <v>11</v>
      </c>
    </row>
    <row r="19" customFormat="false" ht="15" hidden="false" customHeight="false" outlineLevel="0" collapsed="false">
      <c r="A19" s="0" t="s">
        <v>164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20.4456040173104</v>
      </c>
      <c r="C19" s="3" t="n">
        <v>12</v>
      </c>
    </row>
    <row r="20" customFormat="false" ht="15" hidden="false" customHeight="false" outlineLevel="0" collapsed="false">
      <c r="A20" s="0" t="s">
        <v>165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12.6283958650838</v>
      </c>
      <c r="C20" s="3" t="n">
        <v>15</v>
      </c>
    </row>
    <row r="22" customFormat="false" ht="15" hidden="false" customHeight="false" outlineLevel="0" collapsed="false">
      <c r="A22" s="2" t="s">
        <v>166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44.3222615747164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47.0068036343555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47.0068036343555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47.0068036343555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47.0068036343555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35.5736811997236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37.9139476746671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40.6797171450548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42.820958025355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42.820958025355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29.1919729278395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30.7926775019169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32.6396443181601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34.7944389371106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37.3410143958701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24.3396396374603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25.4783890004811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26.7689716119047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28.2439231678174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29.9457903477167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20.5319730654746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21.3671099032161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22.300498133633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23.3505598928521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24.5406298866337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2026-09-25T06:38:08Z</dcterms:created>
  <dc:creator>openpyxl</dc:creator>
  <dc:description/>
  <dc:language>en-NZ</dc:language>
  <cp:lastModifiedBy/>
  <dcterms:modified xsi:type="dcterms:W3CDTF">2026-09-25T06:38:08Z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