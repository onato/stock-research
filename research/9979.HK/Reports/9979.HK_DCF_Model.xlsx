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<sst xmlns="http://schemas.openxmlformats.org/spreadsheetml/2006/main" count="353" uniqueCount="165">
  <si>
    <t xml:space="preserve">Ticker</t>
  </si>
  <si>
    <t xml:space="preserve">9979.HK</t>
  </si>
  <si>
    <t xml:space="preserve">Company</t>
  </si>
  <si>
    <t xml:space="preserve">Greentown Management Holdings Company Limited</t>
  </si>
  <si>
    <t xml:space="preserve">Valuation date</t>
  </si>
  <si>
    <t xml:space="preserve">2026-10-24</t>
  </si>
  <si>
    <t xml:space="preserve">Current price</t>
  </si>
  <si>
    <t xml:space="preserve">Price as of</t>
  </si>
  <si>
    <t xml:space="preserve">2026-10-23T08:08:08Z HKEX regular close (Yahoo chart API); 52-week range 1.64-3.39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</si>
  <si>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</si>
  <si>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</si>
  <si>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</si>
  <si>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</si>
  <si>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</si>
  <si>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CNY</t>
  </si>
  <si>
    <t xml:space="preserve">Currency (quote)</t>
  </si>
  <si>
    <t xml:space="preserve">HKD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</si>
  <si>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</si>
  <si>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</si>
  <si>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</si>
  <si>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</si>
  <si>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</si>
  <si>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2026-10-23T22:06:19Z</t>
  </si>
  <si>
    <t xml:space="preserve">Drivers file</t>
  </si>
  <si>
    <t xml:space="preserve">9979.HK_Drivers.json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</si>
  <si>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</si>
  <si>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</si>
  <si>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</si>
  <si>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A capital-light fee business with net cash, valued on its cash-realised owner FCF rather than its reported profit, because over FY2024-25 a large share of reported profit has ended up in contract assets and receivables from stressed clients instead of cash. Scenarios are built off the FY2025/H1 FY2026 trough, not the FY2023 peak (EBITDA margin then ~38% incl. interest). In every scenario the margin stays below its FY2023-24 level.
key_risks_to_valuation: Cash conversion: if contract assets (RMB1.75bn, +14% in six months) keep building, even the base cash-realised margin is too high; Fee-rate compression continuing as backlog reprices to buyer's-market terms; Industry new-contract volumes falling faster than the base path (H1 FY2026 industry -8.2%); Credit losses on developer/LGFV clients and on related-party balances (RMB436m due from related parties); Governance churn (two chairman changes, auditor change to KPMG) during the Strategy 2030 pivot; RMB/HKD translation of a CNY valuation against an HKD quote; fx_rate is not refreshed automatically</t>
  </si>
  <si>
    <t xml:space="preserve">Data sources</t>
  </si>
  <si>
    <t xml:space="preserve">price: Yahoo Finance chart API at inputs.price_as_of; 52-week range 1.64-3.39 HKD
financials: 9979.HK_Metrics.csv (core_metrics), FY2025 annual report (income statement, cash-flow statement, notes 7-8), H1 FY2026 interim report (balance sheet at 30 Jun 2026, EPS note, share capital note, interest income note)
qualitative: 9979.HK_Analysis.json (2026-10-24)
fx: Yahoo Finance CNYHKD=X at 2026-10-23T21:58Z</t>
  </si>
  <si>
    <t xml:space="preserve">Scenario narrative: bear</t>
  </si>
  <si>
    <t xml:space="preserve">The H1 FY2026 industry contraction (-8.2% new contract scale) continues for three more years as land acquisition by developers and LGFVs keeps falling and the market moves to existing homes. Fee rates compress further in a buyer's market. Credit losses and stalled collections from developer and LGFV clients become a persistent cash drain, taking the cash-realised margin to ~13.5%. Two chairman changes and an auditor change hint that Strategy 2030 slips. Revenue falls about 23% from FY2025 before flattening. The business stays profitable and net-cash, so this is not a solvency case.</t>
  </si>
  <si>
    <t xml:space="preserve">Scenario narrative: base</t>
  </si>
  <si>
    <t xml:space="preserve">The China new-home cycle keeps contracting through FY2028 and then stabilises. Greentown keeps its &gt;20% share and its Tier-1/2 skew (64% of new fees in H1 FY2026), so revenue dips ~5% from the FY2026 level before growing ~2% a year. Fee rates on new contracts stay near today's level (60% of new projects above 3%), the reported operating margin holds around 24-25%, and collection leakage from stressed developer and LGFV clients takes 4-5pp off the cash-realised margin. The government 'guaranteed-delivery' mandates run off with no like-for-like replacement, and urban renewal and capital-owner project management stay small. The dividend payout of 80%+ continues.</t>
  </si>
  <si>
    <t xml:space="preserve">Scenario narrative: bull</t>
  </si>
  <si>
    <t xml:space="preserve">Two things go right. First, LGFV land revitalisation (340-400m sqm nationally) and urban renewal turn into real project-management mandates from FY2028, and the shake-out to ~30 capable firms concentrates share with Greentown and CCMGT. Second, client credit improves, so contract assets stop building and the cash margin recovers toward 26%. That is still about 7-12pp below the FY2023-24 peak, because the fee-rate competition is treated as structural. Revenue grows 3-5% a year.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</si>
  <si>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</si>
  <si>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</si>
  <si>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</si>
  <si>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</si>
  <si>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</si>
  <si>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</si>
  <si>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</si>
  <si>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</si>
  <si>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</si>
  <si>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</si>
  <si>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</si>
  <si>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</si>
  <si>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</si>
  <si>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</si>
  <si>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</si>
  <si>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</si>
  <si>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</si>
  <si>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</si>
  <si>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</si>
  <si>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</si>
  <si>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</si>
  <si>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</si>
  <si>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</si>
  <si>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</si>
  <si>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</si>
  <si>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</si>
  <si>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</si>
  <si>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CashGeneratedFromOperations</t>
  </si>
  <si>
    <t xml:space="preserve">ContractedGFA</t>
  </si>
  <si>
    <t xml:space="preserve">ProfitAttributableToNCI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</si>
  <si>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</si>
  <si>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</si>
  <si>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</si>
  <si>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</si>
  <si>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</si>
  <si>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</si>
  <si>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</si>
  <si>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</si>
  <si>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</si>
  <si>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</si>
  <si>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</si>
  <si>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</si>
  <si>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</si>
  <si>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</si>
  <si>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</si>
  <si>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</si>
  <si>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</si>
  <si>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CNY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</si>
  <si>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</si>
  <si>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</si>
  <si>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</si>
  <si>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</si>
  <si>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</si>
  <si>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</si>
  <si>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</si>
  <si>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</si>
  <si>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</si>
  <si>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</si>
  <si>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</si>
  <si>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</si>
  <si>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</si>
  <si>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</si>
  <si>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</si>
  <si>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</si>
  <si>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</si>
  <si>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</si>
  <si>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</si>
  <si>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</si>
  <si>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</si>
  <si>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</si>
  <si>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</si>
  <si>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</si>
  <si>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</si>
  <si>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</si>
  <si>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9979.HK owner-FCF component DCF: bear case (millions, CNY)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</si>
  <si>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</si>
  <si>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</si>
  <si>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</si>
  <si>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</si>
  <si>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</si>
  <si>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</si>
  <si>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</si>
  <si>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</si>
  <si>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</si>
  <si>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</si>
  <si>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</si>
  <si>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</si>
  <si>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</si>
  <si>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</si>
  <si>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</si>
  <si>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</si>
  <si>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</si>
  <si>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</si>
  <si>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</si>
  <si>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</si>
  <si>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</si>
  <si>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</si>
  <si>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</si>
  <si>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</si>
  <si>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</si>
  <si>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</si>
  <si>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</si>
  <si>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</si>
  <si>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</si>
  <si>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</si>
  <si>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9979.HK owner-FCF component DCF: base case (millions, CNY)</t>
  </si>
  <si>
    <t xml:space="preserve">9979.HK owner-FCF component DCF: bull case (millions, CNY)</t>
  </si>
  <si>
    <t xml:space="preserve">9979.HK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</si>
  <si>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</si>
  <si>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</si>
  <si>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</si>
  <si>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</si>
  <si>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</si>
  <si>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</si>
  <si>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</si>
  <si>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</si>
  <si>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</si>
  <si>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</si>
  <si>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</si>
  <si>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</si>
  <si>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</si>
  <si>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</si>
  <si>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</si>
  <si>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10% (WACC)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</si>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</sst>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1.69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46.2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  <c r="AC1" s="2" t="s">
        <v>64</v>
      </c>
      <c r="AD1" s="2" t="s">
        <v>65</v>
      </c>
      <c r="AE1" s="2" t="s">
        <v>66</v>
      </c>
    </row>
    <row r="2" customFormat="false" ht="15" hidden="false" customHeight="false" outlineLevel="0" collapsed="false">
      <c r="A2" s="0" t="s">
        <v>67</v>
      </c>
      <c r="B2" s="0" t="n">
        <v>1993.892</v>
      </c>
      <c r="C2" s="0" t="n">
        <v>1112.321</v>
      </c>
      <c r="D2" s="0" t="n">
        <v>881.571</v>
      </c>
      <c r="E2" s="0" t="n">
        <v>44.2</v>
      </c>
      <c r="F2" s="0" t="n">
        <v>539.965</v>
      </c>
      <c r="G2" s="0" t="n">
        <v>27.1</v>
      </c>
      <c r="H2" s="0" t="n">
        <v>573.407</v>
      </c>
      <c r="I2" s="0" t="n">
        <v>324.769</v>
      </c>
      <c r="J2" s="0" t="n">
        <v>16.3</v>
      </c>
      <c r="K2" s="0" t="n">
        <v>0.24</v>
      </c>
      <c r="L2" s="0" t="n">
        <v>121.116</v>
      </c>
      <c r="M2" s="0" t="n">
        <v>27.15</v>
      </c>
      <c r="N2" s="0" t="n">
        <v>93.966</v>
      </c>
      <c r="O2" s="0" t="n">
        <v>1594.759</v>
      </c>
      <c r="P2" s="0" t="n">
        <v>3759.707</v>
      </c>
      <c r="Q2" s="0" t="n">
        <v>2078.518</v>
      </c>
      <c r="R2" s="0" t="n">
        <v>0</v>
      </c>
      <c r="S2" s="0" t="n">
        <v>1126.771</v>
      </c>
      <c r="U2" s="0" t="n">
        <v>0</v>
      </c>
      <c r="AA2" s="0" t="s">
        <v>18</v>
      </c>
      <c r="AB2" s="0" t="s">
        <v>14</v>
      </c>
      <c r="AC2" s="0" t="n">
        <v>208.563</v>
      </c>
      <c r="AE2" s="0" t="n">
        <v>45.949</v>
      </c>
    </row>
    <row r="3" customFormat="false" ht="15" hidden="false" customHeight="false" outlineLevel="0" collapsed="false">
      <c r="A3" s="0" t="s">
        <v>68</v>
      </c>
      <c r="B3" s="0" t="n">
        <v>1812.975</v>
      </c>
      <c r="C3" s="0" t="n">
        <v>947.146</v>
      </c>
      <c r="D3" s="0" t="n">
        <v>865.829</v>
      </c>
      <c r="E3" s="0" t="n">
        <v>47.8</v>
      </c>
      <c r="F3" s="0" t="n">
        <v>526.399</v>
      </c>
      <c r="G3" s="0" t="n">
        <v>29</v>
      </c>
      <c r="H3" s="0" t="n">
        <v>549.962</v>
      </c>
      <c r="I3" s="0" t="n">
        <v>439.325</v>
      </c>
      <c r="J3" s="0" t="n">
        <v>24.2</v>
      </c>
      <c r="K3" s="0" t="n">
        <v>0.25</v>
      </c>
      <c r="L3" s="0" t="n">
        <v>903.329</v>
      </c>
      <c r="M3" s="0" t="n">
        <v>6.438</v>
      </c>
      <c r="N3" s="0" t="n">
        <v>896.891</v>
      </c>
      <c r="O3" s="0" t="n">
        <v>3075.199</v>
      </c>
      <c r="P3" s="0" t="n">
        <v>4747.544</v>
      </c>
      <c r="Q3" s="0" t="n">
        <v>1645.335</v>
      </c>
      <c r="R3" s="0" t="n">
        <v>0</v>
      </c>
      <c r="S3" s="0" t="n">
        <v>2397.335</v>
      </c>
      <c r="T3" s="0" t="n">
        <v>1681.4</v>
      </c>
      <c r="U3" s="0" t="n">
        <v>1.52</v>
      </c>
      <c r="AA3" s="0" t="s">
        <v>18</v>
      </c>
      <c r="AB3" s="0" t="s">
        <v>14</v>
      </c>
      <c r="AC3" s="0" t="n">
        <v>984.665</v>
      </c>
      <c r="AE3" s="0" t="n">
        <v>-27.071</v>
      </c>
    </row>
    <row r="4" customFormat="false" ht="15" hidden="false" customHeight="false" outlineLevel="0" collapsed="false">
      <c r="A4" s="0" t="s">
        <v>69</v>
      </c>
      <c r="B4" s="0" t="n">
        <v>2243.158</v>
      </c>
      <c r="C4" s="0" t="n">
        <v>1202.5</v>
      </c>
      <c r="D4" s="0" t="n">
        <v>1040.658</v>
      </c>
      <c r="E4" s="0" t="n">
        <v>46.4</v>
      </c>
      <c r="F4" s="0" t="n">
        <v>728.089</v>
      </c>
      <c r="G4" s="0" t="n">
        <v>32.5</v>
      </c>
      <c r="H4" s="0" t="n">
        <v>753.072</v>
      </c>
      <c r="I4" s="0" t="n">
        <v>565.224</v>
      </c>
      <c r="J4" s="0" t="n">
        <v>25.2</v>
      </c>
      <c r="K4" s="0" t="n">
        <v>0.29</v>
      </c>
      <c r="L4" s="0" t="n">
        <v>565.656</v>
      </c>
      <c r="M4" s="0" t="n">
        <v>20.708</v>
      </c>
      <c r="N4" s="0" t="n">
        <v>544.948</v>
      </c>
      <c r="O4" s="0" t="n">
        <v>3341.26</v>
      </c>
      <c r="P4" s="0" t="n">
        <v>5244.163</v>
      </c>
      <c r="Q4" s="0" t="n">
        <v>1872.452</v>
      </c>
      <c r="R4" s="0" t="n">
        <v>0</v>
      </c>
      <c r="S4" s="0" t="n">
        <v>2137.648</v>
      </c>
      <c r="T4" s="0" t="n">
        <v>1951.285</v>
      </c>
      <c r="U4" s="0" t="n">
        <v>22.128</v>
      </c>
      <c r="AA4" s="0" t="s">
        <v>18</v>
      </c>
      <c r="AB4" s="0" t="s">
        <v>14</v>
      </c>
      <c r="AC4" s="0" t="n">
        <v>685.085</v>
      </c>
      <c r="AE4" s="0" t="n">
        <v>5.441</v>
      </c>
    </row>
    <row r="5" customFormat="false" ht="15" hidden="false" customHeight="false" outlineLevel="0" collapsed="false">
      <c r="A5" s="0" t="s">
        <v>70</v>
      </c>
      <c r="B5" s="0" t="n">
        <v>2655.992</v>
      </c>
      <c r="C5" s="0" t="n">
        <v>1267.385</v>
      </c>
      <c r="D5" s="0" t="n">
        <v>1388.607</v>
      </c>
      <c r="E5" s="0" t="n">
        <v>52.3</v>
      </c>
      <c r="F5" s="0" t="n">
        <v>931.523</v>
      </c>
      <c r="G5" s="0" t="n">
        <v>35.1</v>
      </c>
      <c r="H5" s="0" t="n">
        <v>1008.807</v>
      </c>
      <c r="I5" s="0" t="n">
        <v>744.544</v>
      </c>
      <c r="J5" s="0" t="n">
        <v>28</v>
      </c>
      <c r="K5" s="0" t="n">
        <v>0.38</v>
      </c>
      <c r="L5" s="0" t="n">
        <v>724.655</v>
      </c>
      <c r="M5" s="0" t="n">
        <v>27.586</v>
      </c>
      <c r="N5" s="0" t="n">
        <v>697.069</v>
      </c>
      <c r="O5" s="0" t="n">
        <v>3739.203</v>
      </c>
      <c r="P5" s="0" t="n">
        <v>6161.319</v>
      </c>
      <c r="Q5" s="0" t="n">
        <v>2288.291</v>
      </c>
      <c r="R5" s="0" t="n">
        <v>0</v>
      </c>
      <c r="S5" s="0" t="n">
        <v>1933.099</v>
      </c>
      <c r="T5" s="0" t="n">
        <v>1975.055</v>
      </c>
      <c r="U5" s="0" t="n">
        <v>65.805</v>
      </c>
      <c r="AA5" s="0" t="s">
        <v>18</v>
      </c>
      <c r="AB5" s="0" t="s">
        <v>14</v>
      </c>
      <c r="AC5" s="0" t="n">
        <v>908.603</v>
      </c>
      <c r="AE5" s="0" t="n">
        <v>-9.179</v>
      </c>
    </row>
    <row r="6" customFormat="false" ht="15" hidden="false" customHeight="false" outlineLevel="0" collapsed="false">
      <c r="A6" s="0" t="s">
        <v>71</v>
      </c>
      <c r="B6" s="0" t="n">
        <v>3302.422</v>
      </c>
      <c r="C6" s="0" t="n">
        <v>1580.12</v>
      </c>
      <c r="D6" s="0" t="n">
        <v>1722.302</v>
      </c>
      <c r="E6" s="0" t="n">
        <v>52.2</v>
      </c>
      <c r="F6" s="0" t="n">
        <v>1182.901</v>
      </c>
      <c r="G6" s="0" t="n">
        <v>35.8</v>
      </c>
      <c r="H6" s="0" t="n">
        <v>1267.143</v>
      </c>
      <c r="I6" s="0" t="n">
        <v>973.607</v>
      </c>
      <c r="J6" s="0" t="n">
        <v>29.5</v>
      </c>
      <c r="K6" s="0" t="n">
        <v>0.49</v>
      </c>
      <c r="L6" s="0" t="n">
        <v>955.075</v>
      </c>
      <c r="M6" s="0" t="n">
        <v>24.359</v>
      </c>
      <c r="N6" s="0" t="n">
        <v>930.716</v>
      </c>
      <c r="O6" s="0" t="n">
        <v>3995.747</v>
      </c>
      <c r="P6" s="0" t="n">
        <v>6732.651</v>
      </c>
      <c r="Q6" s="0" t="n">
        <v>2599.045</v>
      </c>
      <c r="R6" s="0" t="n">
        <v>0</v>
      </c>
      <c r="S6" s="0" t="n">
        <v>2044.377</v>
      </c>
      <c r="T6" s="0" t="n">
        <v>1998.966</v>
      </c>
      <c r="U6" s="0" t="n">
        <v>39.068</v>
      </c>
      <c r="AA6" s="0" t="s">
        <v>18</v>
      </c>
      <c r="AB6" s="0" t="s">
        <v>14</v>
      </c>
      <c r="AC6" s="0" t="n">
        <v>1204.47</v>
      </c>
      <c r="AE6" s="0" t="n">
        <v>7.09</v>
      </c>
    </row>
    <row r="7" customFormat="false" ht="15" hidden="false" customHeight="false" outlineLevel="0" collapsed="false">
      <c r="A7" s="0" t="s">
        <v>72</v>
      </c>
      <c r="B7" s="0" t="n">
        <v>3441.234</v>
      </c>
      <c r="C7" s="0" t="n">
        <v>1735.67</v>
      </c>
      <c r="D7" s="0" t="n">
        <v>1705.564</v>
      </c>
      <c r="E7" s="0" t="n">
        <v>49.6</v>
      </c>
      <c r="F7" s="0" t="n">
        <v>1042.271</v>
      </c>
      <c r="G7" s="0" t="n">
        <v>30.3</v>
      </c>
      <c r="H7" s="0" t="n">
        <v>1125.83</v>
      </c>
      <c r="I7" s="0" t="n">
        <v>801.134</v>
      </c>
      <c r="J7" s="0" t="n">
        <v>23.3</v>
      </c>
      <c r="K7" s="0" t="n">
        <v>0.4</v>
      </c>
      <c r="L7" s="0" t="n">
        <v>291.674</v>
      </c>
      <c r="M7" s="0" t="n">
        <v>20.627</v>
      </c>
      <c r="N7" s="0" t="n">
        <v>271.047</v>
      </c>
      <c r="O7" s="0" t="n">
        <v>3810.17</v>
      </c>
      <c r="P7" s="0" t="n">
        <v>6776.768</v>
      </c>
      <c r="Q7" s="0" t="n">
        <v>2835.187</v>
      </c>
      <c r="R7" s="0" t="n">
        <v>0</v>
      </c>
      <c r="S7" s="0" t="n">
        <v>1518.287</v>
      </c>
      <c r="T7" s="0" t="n">
        <v>1998.563</v>
      </c>
      <c r="U7" s="0" t="n">
        <v>7.861</v>
      </c>
      <c r="AA7" s="0" t="s">
        <v>18</v>
      </c>
      <c r="AB7" s="0" t="s">
        <v>14</v>
      </c>
      <c r="AC7" s="0" t="n">
        <v>481.337</v>
      </c>
      <c r="AD7" s="0" t="n">
        <v>125.6</v>
      </c>
      <c r="AE7" s="0" t="n">
        <v>-10.605</v>
      </c>
    </row>
    <row r="8" customFormat="false" ht="15" hidden="false" customHeight="false" outlineLevel="0" collapsed="false">
      <c r="A8" s="0" t="s">
        <v>73</v>
      </c>
      <c r="B8" s="0" t="n">
        <v>3120.143</v>
      </c>
      <c r="C8" s="0" t="n">
        <v>1881.48</v>
      </c>
      <c r="D8" s="0" t="n">
        <v>1238.663</v>
      </c>
      <c r="E8" s="0" t="n">
        <v>39.7</v>
      </c>
      <c r="F8" s="0" t="n">
        <v>588.896</v>
      </c>
      <c r="G8" s="0" t="n">
        <v>18.9</v>
      </c>
      <c r="H8" s="0" t="n">
        <v>662.055</v>
      </c>
      <c r="I8" s="0" t="n">
        <v>419.036</v>
      </c>
      <c r="J8" s="0" t="n">
        <v>13.4</v>
      </c>
      <c r="K8" s="0" t="n">
        <v>0.21</v>
      </c>
      <c r="L8" s="0" t="n">
        <v>415.222</v>
      </c>
      <c r="M8" s="0" t="n">
        <v>15.833</v>
      </c>
      <c r="N8" s="0" t="n">
        <v>399.389</v>
      </c>
      <c r="O8" s="0" t="n">
        <v>3617.567</v>
      </c>
      <c r="P8" s="0" t="n">
        <v>6521.144</v>
      </c>
      <c r="Q8" s="0" t="n">
        <v>2806.645</v>
      </c>
      <c r="R8" s="0" t="n">
        <v>0</v>
      </c>
      <c r="S8" s="0" t="n">
        <v>1399.917</v>
      </c>
      <c r="T8" s="0" t="n">
        <v>1980.11</v>
      </c>
      <c r="U8" s="0" t="n">
        <v>21.18</v>
      </c>
      <c r="AA8" s="0" t="s">
        <v>18</v>
      </c>
      <c r="AB8" s="0" t="s">
        <v>14</v>
      </c>
      <c r="AC8" s="0" t="n">
        <v>613.629</v>
      </c>
      <c r="AD8" s="0" t="n">
        <v>121</v>
      </c>
      <c r="AE8" s="0" t="n">
        <v>-33.06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74</v>
      </c>
      <c r="B1" s="2" t="s">
        <v>75</v>
      </c>
    </row>
    <row r="2" customFormat="false" ht="15" hidden="false" customHeight="false" outlineLevel="0" collapsed="false">
      <c r="A2" s="0" t="s">
        <v>76</v>
      </c>
      <c r="B2" s="3" t="n">
        <v>1.69</v>
      </c>
    </row>
    <row r="3" customFormat="false" ht="15" hidden="false" customHeight="false" outlineLevel="0" collapsed="false">
      <c r="A3" s="0" t="s">
        <v>77</v>
      </c>
      <c r="B3" s="3" t="n">
        <v>1969.369</v>
      </c>
    </row>
    <row r="4" customFormat="false" ht="15" hidden="false" customHeight="false" outlineLevel="0" collapsed="false">
      <c r="A4" s="0" t="s">
        <v>78</v>
      </c>
      <c r="B4" s="3" t="n">
        <v>-1402.175</v>
      </c>
    </row>
    <row r="5" customFormat="false" ht="15" hidden="false" customHeight="false" outlineLevel="0" collapsed="false">
      <c r="A5" s="0" t="s">
        <v>79</v>
      </c>
      <c r="B5" s="3" t="n">
        <v>-186</v>
      </c>
    </row>
    <row r="6" customFormat="false" ht="15" hidden="false" customHeight="false" outlineLevel="0" collapsed="false">
      <c r="A6" s="0" t="s">
        <v>80</v>
      </c>
      <c r="B6" s="3" t="n">
        <v>15</v>
      </c>
    </row>
    <row r="7" customFormat="false" ht="15" hidden="false" customHeight="false" outlineLevel="0" collapsed="false">
      <c r="A7" s="0" t="s">
        <v>81</v>
      </c>
      <c r="B7" s="3" t="n">
        <v>3120.143</v>
      </c>
    </row>
    <row r="8" customFormat="false" ht="15" hidden="false" customHeight="false" outlineLevel="0" collapsed="false">
      <c r="A8" s="0" t="s">
        <v>82</v>
      </c>
      <c r="B8" s="3" t="s">
        <v>73</v>
      </c>
    </row>
    <row r="9" customFormat="false" ht="15" hidden="false" customHeight="false" outlineLevel="0" collapsed="false">
      <c r="A9" s="0" t="s">
        <v>83</v>
      </c>
      <c r="B9" s="3" t="s">
        <v>84</v>
      </c>
    </row>
    <row r="10" customFormat="false" ht="15" hidden="false" customHeight="false" outlineLevel="0" collapsed="false">
      <c r="A10" s="0" t="s">
        <v>85</v>
      </c>
      <c r="B10" s="3" t="n">
        <v>1.1744</v>
      </c>
    </row>
    <row r="12" customFormat="false" ht="15" hidden="false" customHeight="false" outlineLevel="0" collapsed="false">
      <c r="A12" s="2" t="s">
        <v>86</v>
      </c>
      <c r="C12" s="2" t="s">
        <v>87</v>
      </c>
      <c r="D12" s="2" t="s">
        <v>88</v>
      </c>
      <c r="E12" s="2" t="s">
        <v>89</v>
      </c>
      <c r="F12" s="2" t="s">
        <v>90</v>
      </c>
      <c r="G12" s="2" t="s">
        <v>91</v>
      </c>
      <c r="H12" s="2" t="s">
        <v>92</v>
      </c>
      <c r="I12" s="2" t="s">
        <v>93</v>
      </c>
      <c r="J12" s="2" t="s">
        <v>94</v>
      </c>
      <c r="K12" s="2" t="s">
        <v>95</v>
      </c>
      <c r="L12" s="2" t="s">
        <v>96</v>
      </c>
    </row>
    <row r="13" customFormat="false" ht="15" hidden="false" customHeight="false" outlineLevel="0" collapsed="false">
      <c r="A13" s="0" t="s">
        <v>97</v>
      </c>
      <c r="C13" s="3" t="n">
        <v>-2</v>
      </c>
      <c r="D13" s="3" t="n">
        <v>-8</v>
      </c>
      <c r="E13" s="3" t="n">
        <v>-8</v>
      </c>
      <c r="F13" s="3" t="n">
        <v>-5</v>
      </c>
      <c r="G13" s="3" t="n">
        <v>-3</v>
      </c>
      <c r="H13" s="3" t="n">
        <v>0</v>
      </c>
      <c r="I13" s="3" t="n">
        <v>1</v>
      </c>
      <c r="J13" s="3" t="n">
        <v>1</v>
      </c>
      <c r="K13" s="3" t="n">
        <v>1</v>
      </c>
      <c r="L13" s="3" t="n">
        <v>1</v>
      </c>
    </row>
    <row r="14" customFormat="false" ht="15" hidden="false" customHeight="false" outlineLevel="0" collapsed="false">
      <c r="A14" s="0" t="s">
        <v>98</v>
      </c>
      <c r="C14" s="3" t="n">
        <v>18</v>
      </c>
      <c r="D14" s="3" t="n">
        <v>15.5</v>
      </c>
      <c r="E14" s="3" t="n">
        <v>14</v>
      </c>
      <c r="F14" s="3" t="n">
        <v>13.5</v>
      </c>
      <c r="G14" s="3" t="n">
        <v>13.5</v>
      </c>
      <c r="H14" s="3" t="n">
        <v>13.5</v>
      </c>
      <c r="I14" s="3" t="n">
        <v>13.5</v>
      </c>
      <c r="J14" s="3" t="n">
        <v>13.5</v>
      </c>
      <c r="K14" s="3" t="n">
        <v>13.5</v>
      </c>
      <c r="L14" s="3" t="n">
        <v>13.5</v>
      </c>
    </row>
    <row r="15" customFormat="false" ht="15" hidden="false" customHeight="false" outlineLevel="0" collapsed="false">
      <c r="A15" s="0" t="s">
        <v>99</v>
      </c>
      <c r="C15" s="3" t="n">
        <v>0.6</v>
      </c>
      <c r="D15" s="3" t="n">
        <v>0.6</v>
      </c>
      <c r="E15" s="3" t="n">
        <v>0.6</v>
      </c>
      <c r="F15" s="3" t="n">
        <v>0.55</v>
      </c>
      <c r="G15" s="3" t="n">
        <v>0.55</v>
      </c>
      <c r="H15" s="3" t="n">
        <v>0.5</v>
      </c>
      <c r="I15" s="3" t="n">
        <v>0.5</v>
      </c>
      <c r="J15" s="3" t="n">
        <v>0.5</v>
      </c>
      <c r="K15" s="3" t="n">
        <v>0.5</v>
      </c>
      <c r="L15" s="3" t="n">
        <v>0.5</v>
      </c>
    </row>
    <row r="16" customFormat="false" ht="15" hidden="false" customHeight="false" outlineLevel="0" collapsed="false">
      <c r="A16" s="0" t="s">
        <v>100</v>
      </c>
      <c r="C16" s="3" t="n">
        <v>0.25</v>
      </c>
      <c r="D16" s="3" t="n">
        <v>0.25</v>
      </c>
      <c r="E16" s="3" t="n">
        <v>0.25</v>
      </c>
      <c r="F16" s="3" t="n">
        <v>0.25</v>
      </c>
      <c r="G16" s="3" t="n">
        <v>0.25</v>
      </c>
      <c r="H16" s="3" t="n">
        <v>0.25</v>
      </c>
      <c r="I16" s="3" t="n">
        <v>0.25</v>
      </c>
      <c r="J16" s="3" t="n">
        <v>0.25</v>
      </c>
      <c r="K16" s="3" t="n">
        <v>0.25</v>
      </c>
      <c r="L16" s="3" t="n">
        <v>0.25</v>
      </c>
    </row>
    <row r="17" customFormat="false" ht="15" hidden="false" customHeight="false" outlineLevel="0" collapsed="false">
      <c r="A17" s="0" t="s">
        <v>101</v>
      </c>
      <c r="C17" s="3" t="n">
        <v>1.6</v>
      </c>
      <c r="D17" s="3" t="n">
        <v>1.3</v>
      </c>
      <c r="E17" s="3" t="n">
        <v>1</v>
      </c>
      <c r="F17" s="3" t="n">
        <v>0.8</v>
      </c>
      <c r="G17" s="3" t="n">
        <v>0.7</v>
      </c>
      <c r="H17" s="3" t="n">
        <v>0.6</v>
      </c>
      <c r="I17" s="3" t="n">
        <v>0.6</v>
      </c>
      <c r="J17" s="3" t="n">
        <v>0.6</v>
      </c>
      <c r="K17" s="3" t="n">
        <v>0.6</v>
      </c>
      <c r="L17" s="3" t="n">
        <v>0.6</v>
      </c>
    </row>
    <row r="18" customFormat="false" ht="15" hidden="false" customHeight="false" outlineLevel="0" collapsed="false">
      <c r="A18" s="0" t="s">
        <v>102</v>
      </c>
      <c r="C18" s="3" t="n">
        <v>0.6</v>
      </c>
      <c r="D18" s="3" t="n">
        <v>0.6</v>
      </c>
      <c r="E18" s="3" t="n">
        <v>0.6</v>
      </c>
      <c r="F18" s="3" t="n">
        <v>0.6</v>
      </c>
      <c r="G18" s="3" t="n">
        <v>0.6</v>
      </c>
      <c r="H18" s="3" t="n">
        <v>0.6</v>
      </c>
      <c r="I18" s="3" t="n">
        <v>0.6</v>
      </c>
      <c r="J18" s="3" t="n">
        <v>0.6</v>
      </c>
      <c r="K18" s="3" t="n">
        <v>0.6</v>
      </c>
      <c r="L18" s="3" t="n">
        <v>0.6</v>
      </c>
    </row>
    <row r="19" customFormat="false" ht="15" hidden="false" customHeight="false" outlineLevel="0" collapsed="false">
      <c r="A19" s="0" t="s">
        <v>103</v>
      </c>
      <c r="C19" s="3" t="n">
        <v>28</v>
      </c>
      <c r="D19" s="3" t="n">
        <v>28</v>
      </c>
      <c r="E19" s="3" t="n">
        <v>28</v>
      </c>
      <c r="F19" s="3" t="n">
        <v>28</v>
      </c>
      <c r="G19" s="3" t="n">
        <v>28</v>
      </c>
      <c r="H19" s="3" t="n">
        <v>28</v>
      </c>
      <c r="I19" s="3" t="n">
        <v>28</v>
      </c>
      <c r="J19" s="3" t="n">
        <v>28</v>
      </c>
      <c r="K19" s="3" t="n">
        <v>28</v>
      </c>
      <c r="L19" s="3" t="n">
        <v>28</v>
      </c>
    </row>
    <row r="20" customFormat="false" ht="15" hidden="false" customHeight="false" outlineLevel="0" collapsed="false">
      <c r="A20" s="0" t="s">
        <v>104</v>
      </c>
      <c r="B20" s="3" t="n">
        <v>10</v>
      </c>
    </row>
    <row r="21" customFormat="false" ht="15" hidden="false" customHeight="false" outlineLevel="0" collapsed="false">
      <c r="A21" s="0" t="s">
        <v>105</v>
      </c>
      <c r="B21" s="3" t="n">
        <v>0.5</v>
      </c>
    </row>
    <row r="22" customFormat="false" ht="15" hidden="false" customHeight="false" outlineLevel="0" collapsed="false">
      <c r="A22" s="0" t="s">
        <v>106</v>
      </c>
      <c r="B22" s="3" t="n">
        <v>8</v>
      </c>
    </row>
    <row r="23" customFormat="false" ht="15" hidden="false" customHeight="false" outlineLevel="0" collapsed="false">
      <c r="A23" s="0" t="s">
        <v>107</v>
      </c>
      <c r="B23" s="3" t="n">
        <v>0</v>
      </c>
    </row>
    <row r="24" customFormat="false" ht="15" hidden="false" customHeight="false" outlineLevel="0" collapsed="false">
      <c r="A24" s="0" t="s">
        <v>108</v>
      </c>
      <c r="B24" s="3" t="n">
        <v>0.3</v>
      </c>
    </row>
    <row r="26" customFormat="false" ht="15" hidden="false" customHeight="false" outlineLevel="0" collapsed="false">
      <c r="A26" s="2" t="s">
        <v>109</v>
      </c>
      <c r="C26" s="2" t="s">
        <v>87</v>
      </c>
      <c r="D26" s="2" t="s">
        <v>88</v>
      </c>
      <c r="E26" s="2" t="s">
        <v>89</v>
      </c>
      <c r="F26" s="2" t="s">
        <v>90</v>
      </c>
      <c r="G26" s="2" t="s">
        <v>91</v>
      </c>
      <c r="H26" s="2" t="s">
        <v>92</v>
      </c>
      <c r="I26" s="2" t="s">
        <v>93</v>
      </c>
      <c r="J26" s="2" t="s">
        <v>94</v>
      </c>
      <c r="K26" s="2" t="s">
        <v>95</v>
      </c>
      <c r="L26" s="2" t="s">
        <v>96</v>
      </c>
    </row>
    <row r="27" customFormat="false" ht="15" hidden="false" customHeight="false" outlineLevel="0" collapsed="false">
      <c r="A27" s="0" t="s">
        <v>97</v>
      </c>
      <c r="C27" s="3" t="n">
        <v>2</v>
      </c>
      <c r="D27" s="3" t="n">
        <v>-3</v>
      </c>
      <c r="E27" s="3" t="n">
        <v>-2</v>
      </c>
      <c r="F27" s="3" t="n">
        <v>0</v>
      </c>
      <c r="G27" s="3" t="n">
        <v>1.5</v>
      </c>
      <c r="H27" s="3" t="n">
        <v>2</v>
      </c>
      <c r="I27" s="3" t="n">
        <v>2</v>
      </c>
      <c r="J27" s="3" t="n">
        <v>2</v>
      </c>
      <c r="K27" s="3" t="n">
        <v>2</v>
      </c>
      <c r="L27" s="3" t="n">
        <v>2</v>
      </c>
    </row>
    <row r="28" customFormat="false" ht="15" hidden="false" customHeight="false" outlineLevel="0" collapsed="false">
      <c r="A28" s="0" t="s">
        <v>98</v>
      </c>
      <c r="C28" s="3" t="n">
        <v>20</v>
      </c>
      <c r="D28" s="3" t="n">
        <v>19.5</v>
      </c>
      <c r="E28" s="3" t="n">
        <v>19.5</v>
      </c>
      <c r="F28" s="3" t="n">
        <v>20</v>
      </c>
      <c r="G28" s="3" t="n">
        <v>20.5</v>
      </c>
      <c r="H28" s="3" t="n">
        <v>21</v>
      </c>
      <c r="I28" s="3" t="n">
        <v>21</v>
      </c>
      <c r="J28" s="3" t="n">
        <v>21</v>
      </c>
      <c r="K28" s="3" t="n">
        <v>21</v>
      </c>
      <c r="L28" s="3" t="n">
        <v>21</v>
      </c>
    </row>
    <row r="29" customFormat="false" ht="15" hidden="false" customHeight="false" outlineLevel="0" collapsed="false">
      <c r="A29" s="0" t="s">
        <v>99</v>
      </c>
      <c r="C29" s="3" t="n">
        <v>0.6</v>
      </c>
      <c r="D29" s="3" t="n">
        <v>0.6</v>
      </c>
      <c r="E29" s="3" t="n">
        <v>0.6</v>
      </c>
      <c r="F29" s="3" t="n">
        <v>0.55</v>
      </c>
      <c r="G29" s="3" t="n">
        <v>0.55</v>
      </c>
      <c r="H29" s="3" t="n">
        <v>0.5</v>
      </c>
      <c r="I29" s="3" t="n">
        <v>0.5</v>
      </c>
      <c r="J29" s="3" t="n">
        <v>0.5</v>
      </c>
      <c r="K29" s="3" t="n">
        <v>0.5</v>
      </c>
      <c r="L29" s="3" t="n">
        <v>0.5</v>
      </c>
    </row>
    <row r="30" customFormat="false" ht="15" hidden="false" customHeight="false" outlineLevel="0" collapsed="false">
      <c r="A30" s="0" t="s">
        <v>100</v>
      </c>
      <c r="C30" s="3" t="n">
        <v>0.25</v>
      </c>
      <c r="D30" s="3" t="n">
        <v>0.25</v>
      </c>
      <c r="E30" s="3" t="n">
        <v>0.25</v>
      </c>
      <c r="F30" s="3" t="n">
        <v>0.25</v>
      </c>
      <c r="G30" s="3" t="n">
        <v>0.25</v>
      </c>
      <c r="H30" s="3" t="n">
        <v>0.25</v>
      </c>
      <c r="I30" s="3" t="n">
        <v>0.25</v>
      </c>
      <c r="J30" s="3" t="n">
        <v>0.25</v>
      </c>
      <c r="K30" s="3" t="n">
        <v>0.25</v>
      </c>
      <c r="L30" s="3" t="n">
        <v>0.25</v>
      </c>
    </row>
    <row r="31" customFormat="false" ht="15" hidden="false" customHeight="false" outlineLevel="0" collapsed="false">
      <c r="A31" s="0" t="s">
        <v>101</v>
      </c>
      <c r="C31" s="3" t="n">
        <v>1.6</v>
      </c>
      <c r="D31" s="3" t="n">
        <v>1.3</v>
      </c>
      <c r="E31" s="3" t="n">
        <v>1</v>
      </c>
      <c r="F31" s="3" t="n">
        <v>0.8</v>
      </c>
      <c r="G31" s="3" t="n">
        <v>0.7</v>
      </c>
      <c r="H31" s="3" t="n">
        <v>0.6</v>
      </c>
      <c r="I31" s="3" t="n">
        <v>0.6</v>
      </c>
      <c r="J31" s="3" t="n">
        <v>0.6</v>
      </c>
      <c r="K31" s="3" t="n">
        <v>0.6</v>
      </c>
      <c r="L31" s="3" t="n">
        <v>0.6</v>
      </c>
    </row>
    <row r="32" customFormat="false" ht="15" hidden="false" customHeight="false" outlineLevel="0" collapsed="false">
      <c r="A32" s="0" t="s">
        <v>102</v>
      </c>
      <c r="C32" s="3" t="n">
        <v>0.6</v>
      </c>
      <c r="D32" s="3" t="n">
        <v>0.6</v>
      </c>
      <c r="E32" s="3" t="n">
        <v>0.6</v>
      </c>
      <c r="F32" s="3" t="n">
        <v>0.6</v>
      </c>
      <c r="G32" s="3" t="n">
        <v>0.6</v>
      </c>
      <c r="H32" s="3" t="n">
        <v>0.6</v>
      </c>
      <c r="I32" s="3" t="n">
        <v>0.6</v>
      </c>
      <c r="J32" s="3" t="n">
        <v>0.6</v>
      </c>
      <c r="K32" s="3" t="n">
        <v>0.6</v>
      </c>
      <c r="L32" s="3" t="n">
        <v>0.6</v>
      </c>
    </row>
    <row r="33" customFormat="false" ht="15" hidden="false" customHeight="false" outlineLevel="0" collapsed="false">
      <c r="A33" s="0" t="s">
        <v>103</v>
      </c>
      <c r="C33" s="3" t="n">
        <v>28</v>
      </c>
      <c r="D33" s="3" t="n">
        <v>28</v>
      </c>
      <c r="E33" s="3" t="n">
        <v>28</v>
      </c>
      <c r="F33" s="3" t="n">
        <v>28</v>
      </c>
      <c r="G33" s="3" t="n">
        <v>28</v>
      </c>
      <c r="H33" s="3" t="n">
        <v>28</v>
      </c>
      <c r="I33" s="3" t="n">
        <v>28</v>
      </c>
      <c r="J33" s="3" t="n">
        <v>28</v>
      </c>
      <c r="K33" s="3" t="n">
        <v>28</v>
      </c>
      <c r="L33" s="3" t="n">
        <v>28</v>
      </c>
    </row>
    <row r="34" customFormat="false" ht="15" hidden="false" customHeight="false" outlineLevel="0" collapsed="false">
      <c r="A34" s="0" t="s">
        <v>104</v>
      </c>
      <c r="B34" s="3" t="n">
        <v>10</v>
      </c>
    </row>
    <row r="35" customFormat="false" ht="15" hidden="false" customHeight="false" outlineLevel="0" collapsed="false">
      <c r="A35" s="0" t="s">
        <v>105</v>
      </c>
      <c r="B35" s="3" t="n">
        <v>1.5</v>
      </c>
    </row>
    <row r="36" customFormat="false" ht="15" hidden="false" customHeight="false" outlineLevel="0" collapsed="false">
      <c r="A36" s="0" t="s">
        <v>106</v>
      </c>
      <c r="B36" s="3" t="n">
        <v>10</v>
      </c>
    </row>
    <row r="37" customFormat="false" ht="15" hidden="false" customHeight="false" outlineLevel="0" collapsed="false">
      <c r="A37" s="0" t="s">
        <v>107</v>
      </c>
      <c r="B37" s="3" t="n">
        <v>-25</v>
      </c>
    </row>
    <row r="38" customFormat="false" ht="15" hidden="false" customHeight="false" outlineLevel="0" collapsed="false">
      <c r="A38" s="0" t="s">
        <v>108</v>
      </c>
      <c r="B38" s="3" t="n">
        <v>0.5</v>
      </c>
    </row>
    <row r="40" customFormat="false" ht="15" hidden="false" customHeight="false" outlineLevel="0" collapsed="false">
      <c r="A40" s="2" t="s">
        <v>110</v>
      </c>
      <c r="C40" s="2" t="s">
        <v>87</v>
      </c>
      <c r="D40" s="2" t="s">
        <v>88</v>
      </c>
      <c r="E40" s="2" t="s">
        <v>89</v>
      </c>
      <c r="F40" s="2" t="s">
        <v>90</v>
      </c>
      <c r="G40" s="2" t="s">
        <v>91</v>
      </c>
      <c r="H40" s="2" t="s">
        <v>92</v>
      </c>
      <c r="I40" s="2" t="s">
        <v>93</v>
      </c>
      <c r="J40" s="2" t="s">
        <v>94</v>
      </c>
      <c r="K40" s="2" t="s">
        <v>95</v>
      </c>
      <c r="L40" s="2" t="s">
        <v>96</v>
      </c>
    </row>
    <row r="41" customFormat="false" ht="15" hidden="false" customHeight="false" outlineLevel="0" collapsed="false">
      <c r="A41" s="0" t="s">
        <v>97</v>
      </c>
      <c r="C41" s="3" t="n">
        <v>4</v>
      </c>
      <c r="D41" s="3" t="n">
        <v>3</v>
      </c>
      <c r="E41" s="3" t="n">
        <v>4</v>
      </c>
      <c r="F41" s="3" t="n">
        <v>5</v>
      </c>
      <c r="G41" s="3" t="n">
        <v>5</v>
      </c>
      <c r="H41" s="3" t="n">
        <v>4</v>
      </c>
      <c r="I41" s="3" t="n">
        <v>3</v>
      </c>
      <c r="J41" s="3" t="n">
        <v>3</v>
      </c>
      <c r="K41" s="3" t="n">
        <v>3</v>
      </c>
      <c r="L41" s="3" t="n">
        <v>3</v>
      </c>
    </row>
    <row r="42" customFormat="false" ht="15" hidden="false" customHeight="false" outlineLevel="0" collapsed="false">
      <c r="A42" s="0" t="s">
        <v>98</v>
      </c>
      <c r="C42" s="3" t="n">
        <v>22</v>
      </c>
      <c r="D42" s="3" t="n">
        <v>23</v>
      </c>
      <c r="E42" s="3" t="n">
        <v>24</v>
      </c>
      <c r="F42" s="3" t="n">
        <v>25</v>
      </c>
      <c r="G42" s="3" t="n">
        <v>25.5</v>
      </c>
      <c r="H42" s="3" t="n">
        <v>26</v>
      </c>
      <c r="I42" s="3" t="n">
        <v>26</v>
      </c>
      <c r="J42" s="3" t="n">
        <v>26</v>
      </c>
      <c r="K42" s="3" t="n">
        <v>26</v>
      </c>
      <c r="L42" s="3" t="n">
        <v>26</v>
      </c>
    </row>
    <row r="43" customFormat="false" ht="15" hidden="false" customHeight="false" outlineLevel="0" collapsed="false">
      <c r="A43" s="0" t="s">
        <v>99</v>
      </c>
      <c r="C43" s="3" t="n">
        <v>0.6</v>
      </c>
      <c r="D43" s="3" t="n">
        <v>0.6</v>
      </c>
      <c r="E43" s="3" t="n">
        <v>0.6</v>
      </c>
      <c r="F43" s="3" t="n">
        <v>0.55</v>
      </c>
      <c r="G43" s="3" t="n">
        <v>0.55</v>
      </c>
      <c r="H43" s="3" t="n">
        <v>0.5</v>
      </c>
      <c r="I43" s="3" t="n">
        <v>0.5</v>
      </c>
      <c r="J43" s="3" t="n">
        <v>0.5</v>
      </c>
      <c r="K43" s="3" t="n">
        <v>0.5</v>
      </c>
      <c r="L43" s="3" t="n">
        <v>0.5</v>
      </c>
    </row>
    <row r="44" customFormat="false" ht="15" hidden="false" customHeight="false" outlineLevel="0" collapsed="false">
      <c r="A44" s="0" t="s">
        <v>100</v>
      </c>
      <c r="C44" s="3" t="n">
        <v>0.25</v>
      </c>
      <c r="D44" s="3" t="n">
        <v>0.25</v>
      </c>
      <c r="E44" s="3" t="n">
        <v>0.25</v>
      </c>
      <c r="F44" s="3" t="n">
        <v>0.25</v>
      </c>
      <c r="G44" s="3" t="n">
        <v>0.25</v>
      </c>
      <c r="H44" s="3" t="n">
        <v>0.25</v>
      </c>
      <c r="I44" s="3" t="n">
        <v>0.25</v>
      </c>
      <c r="J44" s="3" t="n">
        <v>0.25</v>
      </c>
      <c r="K44" s="3" t="n">
        <v>0.25</v>
      </c>
      <c r="L44" s="3" t="n">
        <v>0.25</v>
      </c>
    </row>
    <row r="45" customFormat="false" ht="15" hidden="false" customHeight="false" outlineLevel="0" collapsed="false">
      <c r="A45" s="0" t="s">
        <v>101</v>
      </c>
      <c r="C45" s="3" t="n">
        <v>1.6</v>
      </c>
      <c r="D45" s="3" t="n">
        <v>1.3</v>
      </c>
      <c r="E45" s="3" t="n">
        <v>1</v>
      </c>
      <c r="F45" s="3" t="n">
        <v>0.8</v>
      </c>
      <c r="G45" s="3" t="n">
        <v>0.7</v>
      </c>
      <c r="H45" s="3" t="n">
        <v>0.6</v>
      </c>
      <c r="I45" s="3" t="n">
        <v>0.6</v>
      </c>
      <c r="J45" s="3" t="n">
        <v>0.6</v>
      </c>
      <c r="K45" s="3" t="n">
        <v>0.6</v>
      </c>
      <c r="L45" s="3" t="n">
        <v>0.6</v>
      </c>
    </row>
    <row r="46" customFormat="false" ht="15" hidden="false" customHeight="false" outlineLevel="0" collapsed="false">
      <c r="A46" s="0" t="s">
        <v>102</v>
      </c>
      <c r="C46" s="3" t="n">
        <v>0.6</v>
      </c>
      <c r="D46" s="3" t="n">
        <v>0.6</v>
      </c>
      <c r="E46" s="3" t="n">
        <v>0.6</v>
      </c>
      <c r="F46" s="3" t="n">
        <v>0.6</v>
      </c>
      <c r="G46" s="3" t="n">
        <v>0.6</v>
      </c>
      <c r="H46" s="3" t="n">
        <v>0.6</v>
      </c>
      <c r="I46" s="3" t="n">
        <v>0.6</v>
      </c>
      <c r="J46" s="3" t="n">
        <v>0.6</v>
      </c>
      <c r="K46" s="3" t="n">
        <v>0.6</v>
      </c>
      <c r="L46" s="3" t="n">
        <v>0.6</v>
      </c>
    </row>
    <row r="47" customFormat="false" ht="15" hidden="false" customHeight="false" outlineLevel="0" collapsed="false">
      <c r="A47" s="0" t="s">
        <v>103</v>
      </c>
      <c r="C47" s="3" t="n">
        <v>28</v>
      </c>
      <c r="D47" s="3" t="n">
        <v>28</v>
      </c>
      <c r="E47" s="3" t="n">
        <v>28</v>
      </c>
      <c r="F47" s="3" t="n">
        <v>28</v>
      </c>
      <c r="G47" s="3" t="n">
        <v>28</v>
      </c>
      <c r="H47" s="3" t="n">
        <v>28</v>
      </c>
      <c r="I47" s="3" t="n">
        <v>28</v>
      </c>
      <c r="J47" s="3" t="n">
        <v>28</v>
      </c>
      <c r="K47" s="3" t="n">
        <v>28</v>
      </c>
      <c r="L47" s="3" t="n">
        <v>28</v>
      </c>
    </row>
    <row r="48" customFormat="false" ht="15" hidden="false" customHeight="false" outlineLevel="0" collapsed="false">
      <c r="A48" s="0" t="s">
        <v>104</v>
      </c>
      <c r="B48" s="3" t="n">
        <v>10</v>
      </c>
    </row>
    <row r="49" customFormat="false" ht="15" hidden="false" customHeight="false" outlineLevel="0" collapsed="false">
      <c r="A49" s="0" t="s">
        <v>105</v>
      </c>
      <c r="B49" s="3" t="n">
        <v>2</v>
      </c>
    </row>
    <row r="50" customFormat="false" ht="15" hidden="false" customHeight="false" outlineLevel="0" collapsed="false">
      <c r="A50" s="0" t="s">
        <v>106</v>
      </c>
      <c r="B50" s="3" t="n">
        <v>12</v>
      </c>
    </row>
    <row r="51" customFormat="false" ht="15" hidden="false" customHeight="false" outlineLevel="0" collapsed="false">
      <c r="A51" s="0" t="s">
        <v>107</v>
      </c>
      <c r="B51" s="3" t="n">
        <v>-25</v>
      </c>
    </row>
    <row r="52" customFormat="false" ht="15" hidden="false" customHeight="false" outlineLevel="0" collapsed="false">
      <c r="A52" s="0" t="s">
        <v>108</v>
      </c>
      <c r="B52" s="3" t="n">
        <v>0.2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111</v>
      </c>
    </row>
    <row r="3" customFormat="false" ht="15" hidden="false" customHeight="false" outlineLevel="0" collapsed="false">
      <c r="A3" s="0" t="s">
        <v>112</v>
      </c>
      <c r="B3" s="0" t="s">
        <v>73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</row>
    <row r="4" customFormat="false" ht="15" hidden="false" customHeight="false" outlineLevel="0" collapsed="false">
      <c r="A4" s="0" t="s">
        <v>113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97</v>
      </c>
      <c r="C5" s="4" t="n">
        <f aca="false">Assumptions!C13</f>
        <v>-2</v>
      </c>
      <c r="D5" s="4" t="n">
        <f aca="false">Assumptions!D13</f>
        <v>-8</v>
      </c>
      <c r="E5" s="4" t="n">
        <f aca="false">Assumptions!E13</f>
        <v>-8</v>
      </c>
      <c r="F5" s="4" t="n">
        <f aca="false">Assumptions!F13</f>
        <v>-5</v>
      </c>
      <c r="G5" s="4" t="n">
        <f aca="false">Assumptions!G13</f>
        <v>-3</v>
      </c>
      <c r="H5" s="4" t="n">
        <f aca="false">Assumptions!H13</f>
        <v>0</v>
      </c>
      <c r="I5" s="4" t="n">
        <f aca="false">Assumptions!I13</f>
        <v>1</v>
      </c>
      <c r="J5" s="4" t="n">
        <f aca="false">Assumptions!J13</f>
        <v>1</v>
      </c>
      <c r="K5" s="4" t="n">
        <f aca="false">Assumptions!K13</f>
        <v>1</v>
      </c>
      <c r="L5" s="4" t="n">
        <f aca="false">Assumptions!L13</f>
        <v>1</v>
      </c>
    </row>
    <row r="6" customFormat="false" ht="15" hidden="false" customHeight="false" outlineLevel="0" collapsed="false">
      <c r="A6" s="0" t="s">
        <v>38</v>
      </c>
      <c r="B6" s="3" t="n">
        <v>3120.143</v>
      </c>
      <c r="C6" s="0" t="n">
        <f aca="false">B6*(1+C5/100)</f>
        <v>3057.74014</v>
      </c>
      <c r="D6" s="0" t="n">
        <f aca="false">C6*(1+D5/100)</f>
        <v>2813.1209288</v>
      </c>
      <c r="E6" s="0" t="n">
        <f aca="false">D6*(1+E5/100)</f>
        <v>2588.071254496</v>
      </c>
      <c r="F6" s="0" t="n">
        <f aca="false">E6*(1+F5/100)</f>
        <v>2458.6676917712</v>
      </c>
      <c r="G6" s="0" t="n">
        <f aca="false">F6*(1+G5/100)</f>
        <v>2384.90766101806</v>
      </c>
      <c r="H6" s="0" t="n">
        <f aca="false">G6*(1+H5/100)</f>
        <v>2384.90766101806</v>
      </c>
      <c r="I6" s="0" t="n">
        <f aca="false">H6*(1+I5/100)</f>
        <v>2408.75673762825</v>
      </c>
      <c r="J6" s="0" t="n">
        <f aca="false">I6*(1+J5/100)</f>
        <v>2432.84430500453</v>
      </c>
      <c r="K6" s="0" t="n">
        <f aca="false">J6*(1+K5/100)</f>
        <v>2457.17274805457</v>
      </c>
      <c r="L6" s="0" t="n">
        <f aca="false">K6*(1+L5/100)</f>
        <v>2481.74447553512</v>
      </c>
    </row>
    <row r="7" customFormat="false" ht="15" hidden="false" customHeight="false" outlineLevel="0" collapsed="false">
      <c r="A7" s="0" t="s">
        <v>98</v>
      </c>
      <c r="C7" s="4" t="n">
        <f aca="false">Assumptions!C14</f>
        <v>18</v>
      </c>
      <c r="D7" s="4" t="n">
        <f aca="false">Assumptions!D14</f>
        <v>15.5</v>
      </c>
      <c r="E7" s="4" t="n">
        <f aca="false">Assumptions!E14</f>
        <v>14</v>
      </c>
      <c r="F7" s="4" t="n">
        <f aca="false">Assumptions!F14</f>
        <v>13.5</v>
      </c>
      <c r="G7" s="4" t="n">
        <f aca="false">Assumptions!G14</f>
        <v>13.5</v>
      </c>
      <c r="H7" s="4" t="n">
        <f aca="false">Assumptions!H14</f>
        <v>13.5</v>
      </c>
      <c r="I7" s="4" t="n">
        <f aca="false">Assumptions!I14</f>
        <v>13.5</v>
      </c>
      <c r="J7" s="4" t="n">
        <f aca="false">Assumptions!J14</f>
        <v>13.5</v>
      </c>
      <c r="K7" s="4" t="n">
        <f aca="false">Assumptions!K14</f>
        <v>13.5</v>
      </c>
      <c r="L7" s="4" t="n">
        <f aca="false">Assumptions!L14</f>
        <v>13.5</v>
      </c>
    </row>
    <row r="8" customFormat="false" ht="15" hidden="false" customHeight="false" outlineLevel="0" collapsed="false">
      <c r="A8" s="0" t="s">
        <v>44</v>
      </c>
      <c r="C8" s="0" t="n">
        <f aca="false">C6*C7/100</f>
        <v>550.3932252</v>
      </c>
      <c r="D8" s="0" t="n">
        <f aca="false">D6*D7/100</f>
        <v>436.033743964</v>
      </c>
      <c r="E8" s="0" t="n">
        <f aca="false">E6*E7/100</f>
        <v>362.32997562944</v>
      </c>
      <c r="F8" s="0" t="n">
        <f aca="false">F6*F7/100</f>
        <v>331.920138389112</v>
      </c>
      <c r="G8" s="0" t="n">
        <f aca="false">G6*G7/100</f>
        <v>321.962534237439</v>
      </c>
      <c r="H8" s="0" t="n">
        <f aca="false">H6*H7/100</f>
        <v>321.962534237439</v>
      </c>
      <c r="I8" s="0" t="n">
        <f aca="false">I6*I7/100</f>
        <v>325.182159579813</v>
      </c>
      <c r="J8" s="0" t="n">
        <f aca="false">J6*J7/100</f>
        <v>328.433981175611</v>
      </c>
      <c r="K8" s="0" t="n">
        <f aca="false">K6*K7/100</f>
        <v>331.718320987367</v>
      </c>
      <c r="L8" s="0" t="n">
        <f aca="false">L6*L7/100</f>
        <v>335.035504197241</v>
      </c>
    </row>
    <row r="9" customFormat="false" ht="15" hidden="false" customHeight="false" outlineLevel="0" collapsed="false">
      <c r="A9" s="0" t="s">
        <v>99</v>
      </c>
      <c r="C9" s="4" t="n">
        <f aca="false">Assumptions!C15</f>
        <v>0.6</v>
      </c>
      <c r="D9" s="4" t="n">
        <f aca="false">Assumptions!D15</f>
        <v>0.6</v>
      </c>
      <c r="E9" s="4" t="n">
        <f aca="false">Assumptions!E15</f>
        <v>0.6</v>
      </c>
      <c r="F9" s="4" t="n">
        <f aca="false">Assumptions!F15</f>
        <v>0.55</v>
      </c>
      <c r="G9" s="4" t="n">
        <f aca="false">Assumptions!G15</f>
        <v>0.55</v>
      </c>
      <c r="H9" s="4" t="n">
        <f aca="false">Assumptions!H15</f>
        <v>0.5</v>
      </c>
      <c r="I9" s="4" t="n">
        <f aca="false">Assumptions!I15</f>
        <v>0.5</v>
      </c>
      <c r="J9" s="4" t="n">
        <f aca="false">Assumptions!J15</f>
        <v>0.5</v>
      </c>
      <c r="K9" s="4" t="n">
        <f aca="false">Assumptions!K15</f>
        <v>0.5</v>
      </c>
      <c r="L9" s="4" t="n">
        <f aca="false">Assumptions!L15</f>
        <v>0.5</v>
      </c>
    </row>
    <row r="10" customFormat="false" ht="15" hidden="false" customHeight="false" outlineLevel="0" collapsed="false">
      <c r="A10" s="0" t="s">
        <v>114</v>
      </c>
      <c r="C10" s="0" t="n">
        <f aca="false">-C6*C9/100</f>
        <v>-18.34644084</v>
      </c>
      <c r="D10" s="0" t="n">
        <f aca="false">-D6*D9/100</f>
        <v>-16.8787255728</v>
      </c>
      <c r="E10" s="0" t="n">
        <f aca="false">-E6*E9/100</f>
        <v>-15.528427526976</v>
      </c>
      <c r="F10" s="0" t="n">
        <f aca="false">-F6*F9/100</f>
        <v>-13.5226723047416</v>
      </c>
      <c r="G10" s="0" t="n">
        <f aca="false">-G6*G9/100</f>
        <v>-13.1169921355994</v>
      </c>
      <c r="H10" s="0" t="n">
        <f aca="false">-H6*H9/100</f>
        <v>-11.9245383050903</v>
      </c>
      <c r="I10" s="0" t="n">
        <f aca="false">-I6*I9/100</f>
        <v>-12.0437836881412</v>
      </c>
      <c r="J10" s="0" t="n">
        <f aca="false">-J6*J9/100</f>
        <v>-12.1642215250226</v>
      </c>
      <c r="K10" s="0" t="n">
        <f aca="false">-K6*K9/100</f>
        <v>-12.2858637402729</v>
      </c>
      <c r="L10" s="0" t="n">
        <f aca="false">-L6*L9/100</f>
        <v>-12.4087223776756</v>
      </c>
    </row>
    <row r="11" customFormat="false" ht="15" hidden="false" customHeight="false" outlineLevel="0" collapsed="false">
      <c r="A11" s="0" t="s">
        <v>115</v>
      </c>
      <c r="C11" s="0" t="n">
        <f aca="false">C8+C10+C24</f>
        <v>524.40243401</v>
      </c>
      <c r="D11" s="0" t="n">
        <f aca="false">D8+D10+D24</f>
        <v>412.1222160692</v>
      </c>
      <c r="E11" s="0" t="n">
        <f aca="false">E8+E10+E24</f>
        <v>340.331369966224</v>
      </c>
      <c r="F11" s="0" t="n">
        <f aca="false">F8+F10+F24</f>
        <v>312.250796854942</v>
      </c>
      <c r="G11" s="0" t="n">
        <f aca="false">G8+G10+G24</f>
        <v>302.883272949294</v>
      </c>
      <c r="H11" s="0" t="n">
        <f aca="false">H8+H10+H24</f>
        <v>304.075726779803</v>
      </c>
      <c r="I11" s="0" t="n">
        <f aca="false">I8+I10+I24</f>
        <v>307.116484047601</v>
      </c>
      <c r="J11" s="0" t="n">
        <f aca="false">J8+J10+J24</f>
        <v>310.187648888077</v>
      </c>
      <c r="K11" s="0" t="n">
        <f aca="false">K8+K10+K24</f>
        <v>313.289525376958</v>
      </c>
      <c r="L11" s="0" t="n">
        <f aca="false">L8+L10+L24</f>
        <v>316.422420630728</v>
      </c>
    </row>
    <row r="12" customFormat="false" ht="15" hidden="false" customHeight="false" outlineLevel="0" collapsed="false">
      <c r="A12" s="0" t="s">
        <v>116</v>
      </c>
      <c r="C12" s="4" t="n">
        <f aca="false">-C6*Assumptions!C17/100</f>
        <v>-48.92384224</v>
      </c>
      <c r="D12" s="4" t="n">
        <f aca="false">-D6*Assumptions!D17/100</f>
        <v>-36.5705720744</v>
      </c>
      <c r="E12" s="4" t="n">
        <f aca="false">-E6*Assumptions!E17/100</f>
        <v>-25.88071254496</v>
      </c>
      <c r="F12" s="4" t="n">
        <f aca="false">-F6*Assumptions!F17/100</f>
        <v>-19.6693415341696</v>
      </c>
      <c r="G12" s="4" t="n">
        <f aca="false">-G6*Assumptions!G17/100</f>
        <v>-16.6943536271264</v>
      </c>
      <c r="H12" s="4" t="n">
        <f aca="false">-H6*Assumptions!H17/100</f>
        <v>-14.3094459661084</v>
      </c>
      <c r="I12" s="4" t="n">
        <f aca="false">-I6*Assumptions!I17/100</f>
        <v>-14.4525404257695</v>
      </c>
      <c r="J12" s="4" t="n">
        <f aca="false">-J6*Assumptions!J17/100</f>
        <v>-14.5970658300272</v>
      </c>
      <c r="K12" s="4" t="n">
        <f aca="false">-K6*Assumptions!K17/100</f>
        <v>-14.7430364883274</v>
      </c>
      <c r="L12" s="4" t="n">
        <f aca="false">-L6*Assumptions!L17/100</f>
        <v>-14.8904668532107</v>
      </c>
    </row>
    <row r="13" customFormat="false" ht="15" hidden="false" customHeight="false" outlineLevel="0" collapsed="false">
      <c r="A13" s="0" t="s">
        <v>117</v>
      </c>
      <c r="C13" s="0" t="n">
        <f aca="false">C11+C12</f>
        <v>475.47859177</v>
      </c>
      <c r="D13" s="0" t="n">
        <f aca="false">D11+D12</f>
        <v>375.5516439948</v>
      </c>
      <c r="E13" s="0" t="n">
        <f aca="false">E11+E12</f>
        <v>314.450657421264</v>
      </c>
      <c r="F13" s="0" t="n">
        <f aca="false">F11+F12</f>
        <v>292.581455320773</v>
      </c>
      <c r="G13" s="0" t="n">
        <f aca="false">G11+G12</f>
        <v>286.188919322168</v>
      </c>
      <c r="H13" s="0" t="n">
        <f aca="false">H11+H12</f>
        <v>289.766280813695</v>
      </c>
      <c r="I13" s="0" t="n">
        <f aca="false">I11+I12</f>
        <v>292.663943621832</v>
      </c>
      <c r="J13" s="0" t="n">
        <f aca="false">J11+J12</f>
        <v>295.59058305805</v>
      </c>
      <c r="K13" s="0" t="n">
        <f aca="false">K11+K12</f>
        <v>298.546488888631</v>
      </c>
      <c r="L13" s="0" t="n">
        <f aca="false">L11+L12</f>
        <v>301.531953777517</v>
      </c>
    </row>
    <row r="14" customFormat="false" ht="15" hidden="false" customHeight="false" outlineLevel="0" collapsed="false">
      <c r="A14" s="0" t="s">
        <v>103</v>
      </c>
      <c r="C14" s="4" t="n">
        <f aca="false">Assumptions!C19</f>
        <v>28</v>
      </c>
      <c r="D14" s="4" t="n">
        <f aca="false">Assumptions!D19</f>
        <v>28</v>
      </c>
      <c r="E14" s="4" t="n">
        <f aca="false">Assumptions!E19</f>
        <v>28</v>
      </c>
      <c r="F14" s="4" t="n">
        <f aca="false">Assumptions!F19</f>
        <v>28</v>
      </c>
      <c r="G14" s="4" t="n">
        <f aca="false">Assumptions!G19</f>
        <v>28</v>
      </c>
      <c r="H14" s="4" t="n">
        <f aca="false">Assumptions!H19</f>
        <v>28</v>
      </c>
      <c r="I14" s="4" t="n">
        <f aca="false">Assumptions!I19</f>
        <v>28</v>
      </c>
      <c r="J14" s="4" t="n">
        <f aca="false">Assumptions!J19</f>
        <v>28</v>
      </c>
      <c r="K14" s="4" t="n">
        <f aca="false">Assumptions!K19</f>
        <v>28</v>
      </c>
      <c r="L14" s="4" t="n">
        <f aca="false">Assumptions!L19</f>
        <v>28</v>
      </c>
    </row>
    <row r="15" customFormat="false" ht="15" hidden="false" customHeight="false" outlineLevel="0" collapsed="false">
      <c r="A15" s="0" t="s">
        <v>118</v>
      </c>
      <c r="C15" s="0" t="n">
        <f aca="false">C13-MAX(0,C13)*C14/100</f>
        <v>342.3445860744</v>
      </c>
      <c r="D15" s="0" t="n">
        <f aca="false">D13-MAX(0,D13)*D14/100</f>
        <v>270.397183676256</v>
      </c>
      <c r="E15" s="0" t="n">
        <f aca="false">E13-MAX(0,E13)*E14/100</f>
        <v>226.40447334331</v>
      </c>
      <c r="F15" s="0" t="n">
        <f aca="false">F13-MAX(0,F13)*F14/100</f>
        <v>210.658647830956</v>
      </c>
      <c r="G15" s="0" t="n">
        <f aca="false">G13-MAX(0,G13)*G14/100</f>
        <v>206.056021911961</v>
      </c>
      <c r="H15" s="0" t="n">
        <f aca="false">H13-MAX(0,H13)*H14/100</f>
        <v>208.63172218586</v>
      </c>
      <c r="I15" s="0" t="n">
        <f aca="false">I13-MAX(0,I13)*I14/100</f>
        <v>210.718039407719</v>
      </c>
      <c r="J15" s="0" t="n">
        <f aca="false">J13-MAX(0,J13)*J14/100</f>
        <v>212.825219801796</v>
      </c>
      <c r="K15" s="0" t="n">
        <f aca="false">K13-MAX(0,K13)*K14/100</f>
        <v>214.953471999814</v>
      </c>
      <c r="L15" s="0" t="n">
        <f aca="false">L13-MAX(0,L13)*L14/100</f>
        <v>217.103006719812</v>
      </c>
    </row>
    <row r="16" customFormat="false" ht="15" hidden="false" customHeight="false" outlineLevel="0" collapsed="false">
      <c r="A16" s="0" t="s">
        <v>119</v>
      </c>
      <c r="C16" s="0" t="n">
        <f aca="false">-C12</f>
        <v>48.92384224</v>
      </c>
      <c r="D16" s="0" t="n">
        <f aca="false">-D12</f>
        <v>36.5705720744</v>
      </c>
      <c r="E16" s="0" t="n">
        <f aca="false">-E12</f>
        <v>25.88071254496</v>
      </c>
      <c r="F16" s="0" t="n">
        <f aca="false">-F12</f>
        <v>19.6693415341696</v>
      </c>
      <c r="G16" s="0" t="n">
        <f aca="false">-G12</f>
        <v>16.6943536271264</v>
      </c>
      <c r="H16" s="0" t="n">
        <f aca="false">-H12</f>
        <v>14.3094459661084</v>
      </c>
      <c r="I16" s="0" t="n">
        <f aca="false">-I12</f>
        <v>14.4525404257695</v>
      </c>
      <c r="J16" s="0" t="n">
        <f aca="false">-J12</f>
        <v>14.5970658300272</v>
      </c>
      <c r="K16" s="0" t="n">
        <f aca="false">-K12</f>
        <v>14.7430364883274</v>
      </c>
      <c r="L16" s="0" t="n">
        <f aca="false">-L12</f>
        <v>14.8904668532107</v>
      </c>
    </row>
    <row r="17" customFormat="false" ht="15" hidden="false" customHeight="false" outlineLevel="0" collapsed="false">
      <c r="A17" s="0" t="s">
        <v>120</v>
      </c>
      <c r="C17" s="4" t="n">
        <f aca="false">-C6*Assumptions!C18/100</f>
        <v>-18.34644084</v>
      </c>
      <c r="D17" s="4" t="n">
        <f aca="false">-D6*Assumptions!D18/100</f>
        <v>-16.8787255728</v>
      </c>
      <c r="E17" s="4" t="n">
        <f aca="false">-E6*Assumptions!E18/100</f>
        <v>-15.528427526976</v>
      </c>
      <c r="F17" s="4" t="n">
        <f aca="false">-F6*Assumptions!F18/100</f>
        <v>-14.7520061506272</v>
      </c>
      <c r="G17" s="4" t="n">
        <f aca="false">-G6*Assumptions!G18/100</f>
        <v>-14.3094459661084</v>
      </c>
      <c r="H17" s="4" t="n">
        <f aca="false">-H6*Assumptions!H18/100</f>
        <v>-14.3094459661084</v>
      </c>
      <c r="I17" s="4" t="n">
        <f aca="false">-I6*Assumptions!I18/100</f>
        <v>-14.4525404257695</v>
      </c>
      <c r="J17" s="4" t="n">
        <f aca="false">-J6*Assumptions!J18/100</f>
        <v>-14.5970658300272</v>
      </c>
      <c r="K17" s="4" t="n">
        <f aca="false">-K6*Assumptions!K18/100</f>
        <v>-14.7430364883274</v>
      </c>
      <c r="L17" s="4" t="n">
        <f aca="false">-L6*Assumptions!L18/100</f>
        <v>-14.8904668532107</v>
      </c>
    </row>
    <row r="18" customFormat="false" ht="15" hidden="false" customHeight="false" outlineLevel="0" collapsed="false">
      <c r="A18" s="0" t="s">
        <v>121</v>
      </c>
      <c r="C18" s="4" t="n">
        <f aca="false">(C6-B6)*Assumptions!$B$23/100</f>
        <v>-0</v>
      </c>
      <c r="D18" s="4" t="n">
        <f aca="false">(D6-C6)*Assumptions!$B$23/100</f>
        <v>-0</v>
      </c>
      <c r="E18" s="4" t="n">
        <f aca="false">(E6-D6)*Assumptions!$B$23/100</f>
        <v>-0</v>
      </c>
      <c r="F18" s="4" t="n">
        <f aca="false">(F6-E6)*Assumptions!$B$23/100</f>
        <v>-0</v>
      </c>
      <c r="G18" s="4" t="n">
        <f aca="false">(G6-F6)*Assumptions!$B$23/100</f>
        <v>-0</v>
      </c>
      <c r="H18" s="4" t="n">
        <f aca="false">(H6-G6)*Assumptions!$B$23/100</f>
        <v>0</v>
      </c>
      <c r="I18" s="4" t="n">
        <f aca="false">(I6-H6)*Assumptions!$B$23/100</f>
        <v>0</v>
      </c>
      <c r="J18" s="4" t="n">
        <f aca="false">(J6-I6)*Assumptions!$B$23/100</f>
        <v>0</v>
      </c>
      <c r="K18" s="4" t="n">
        <f aca="false">(K6-J6)*Assumptions!$B$23/100</f>
        <v>0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122</v>
      </c>
      <c r="C19" s="0" t="n">
        <f aca="false">C15+C16+C17+C18</f>
        <v>372.9219874744</v>
      </c>
      <c r="D19" s="0" t="n">
        <f aca="false">D15+D16+D17+D18</f>
        <v>290.089030177856</v>
      </c>
      <c r="E19" s="0" t="n">
        <f aca="false">E15+E16+E17+E18</f>
        <v>236.756758361294</v>
      </c>
      <c r="F19" s="0" t="n">
        <f aca="false">F15+F16+F17+F18</f>
        <v>215.575983214499</v>
      </c>
      <c r="G19" s="0" t="n">
        <f aca="false">G15+G16+G17+G18</f>
        <v>208.440929572979</v>
      </c>
      <c r="H19" s="0" t="n">
        <f aca="false">H15+H16+H17+H18</f>
        <v>208.63172218586</v>
      </c>
      <c r="I19" s="0" t="n">
        <f aca="false">I15+I16+I17+I18</f>
        <v>210.718039407719</v>
      </c>
      <c r="J19" s="0" t="n">
        <f aca="false">J15+J16+J17+J18</f>
        <v>212.825219801796</v>
      </c>
      <c r="K19" s="0" t="n">
        <f aca="false">K15+K16+K17+K18</f>
        <v>214.953471999814</v>
      </c>
      <c r="L19" s="0" t="n">
        <f aca="false">L15+L16+L17+L18</f>
        <v>217.103006719812</v>
      </c>
    </row>
    <row r="20" customFormat="false" ht="15" hidden="false" customHeight="false" outlineLevel="0" collapsed="false">
      <c r="A20" s="0" t="s">
        <v>123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124</v>
      </c>
      <c r="C21" s="0" t="n">
        <f aca="false">C19*C20</f>
        <v>339.019988613091</v>
      </c>
      <c r="D21" s="0" t="n">
        <f aca="false">D19*D20</f>
        <v>239.743000146988</v>
      </c>
      <c r="E21" s="0" t="n">
        <f aca="false">E19*E20</f>
        <v>177.878856770319</v>
      </c>
      <c r="F21" s="0" t="n">
        <f aca="false">F19*F20</f>
        <v>147.241297189057</v>
      </c>
      <c r="G21" s="0" t="n">
        <f aca="false">G19*G20</f>
        <v>129.425417770134</v>
      </c>
      <c r="H21" s="0" t="n">
        <f aca="false">H19*H20</f>
        <v>117.76716815614</v>
      </c>
      <c r="I21" s="0" t="n">
        <f aca="false">I19*I20</f>
        <v>108.131672579729</v>
      </c>
      <c r="J21" s="0" t="n">
        <f aca="false">J19*J20</f>
        <v>99.2845357322965</v>
      </c>
      <c r="K21" s="0" t="n">
        <f aca="false">K19*K20</f>
        <v>91.1612555360177</v>
      </c>
      <c r="L21" s="0" t="n">
        <f aca="false">L19*L20</f>
        <v>83.7026073557981</v>
      </c>
    </row>
    <row r="23" customFormat="false" ht="15" hidden="false" customHeight="false" outlineLevel="0" collapsed="false">
      <c r="A23" s="0" t="s">
        <v>100</v>
      </c>
      <c r="C23" s="4" t="n">
        <f aca="false">Assumptions!C16</f>
        <v>0.25</v>
      </c>
      <c r="D23" s="4" t="n">
        <f aca="false">Assumptions!D16</f>
        <v>0.25</v>
      </c>
      <c r="E23" s="4" t="n">
        <f aca="false">Assumptions!E16</f>
        <v>0.25</v>
      </c>
      <c r="F23" s="4" t="n">
        <f aca="false">Assumptions!F16</f>
        <v>0.25</v>
      </c>
      <c r="G23" s="4" t="n">
        <f aca="false">Assumptions!G16</f>
        <v>0.25</v>
      </c>
      <c r="H23" s="4" t="n">
        <f aca="false">Assumptions!H16</f>
        <v>0.25</v>
      </c>
      <c r="I23" s="4" t="n">
        <f aca="false">Assumptions!I16</f>
        <v>0.25</v>
      </c>
      <c r="J23" s="4" t="n">
        <f aca="false">Assumptions!J16</f>
        <v>0.25</v>
      </c>
      <c r="K23" s="4" t="n">
        <f aca="false">Assumptions!K16</f>
        <v>0.25</v>
      </c>
      <c r="L23" s="4" t="n">
        <f aca="false">Assumptions!L16</f>
        <v>0.25</v>
      </c>
    </row>
    <row r="24" customFormat="false" ht="15" hidden="false" customHeight="false" outlineLevel="0" collapsed="false">
      <c r="A24" s="0" t="s">
        <v>125</v>
      </c>
      <c r="C24" s="0" t="n">
        <f aca="false">-C6*C23/100</f>
        <v>-7.64435035</v>
      </c>
      <c r="D24" s="0" t="n">
        <f aca="false">-D6*D23/100</f>
        <v>-7.032802322</v>
      </c>
      <c r="E24" s="0" t="n">
        <f aca="false">-E6*E23/100</f>
        <v>-6.47017813624</v>
      </c>
      <c r="F24" s="0" t="n">
        <f aca="false">-F6*F23/100</f>
        <v>-6.146669229428</v>
      </c>
      <c r="G24" s="0" t="n">
        <f aca="false">-G6*G23/100</f>
        <v>-5.96226915254516</v>
      </c>
      <c r="H24" s="0" t="n">
        <f aca="false">-H6*H23/100</f>
        <v>-5.96226915254516</v>
      </c>
      <c r="I24" s="0" t="n">
        <f aca="false">-I6*I23/100</f>
        <v>-6.02189184407061</v>
      </c>
      <c r="J24" s="0" t="n">
        <f aca="false">-J6*J23/100</f>
        <v>-6.08211076251132</v>
      </c>
      <c r="K24" s="0" t="n">
        <f aca="false">-K6*K23/100</f>
        <v>-6.14293187013643</v>
      </c>
      <c r="L24" s="0" t="n">
        <f aca="false">-L6*L23/100</f>
        <v>-6.2043611888378</v>
      </c>
    </row>
    <row r="26" customFormat="false" ht="15" hidden="false" customHeight="false" outlineLevel="0" collapsed="false">
      <c r="A26" s="2" t="s">
        <v>126</v>
      </c>
    </row>
    <row r="27" customFormat="false" ht="15" hidden="false" customHeight="false" outlineLevel="0" collapsed="false">
      <c r="A27" s="0" t="s">
        <v>104</v>
      </c>
      <c r="B27" s="4" t="n">
        <f aca="false">Assumptions!$B$20</f>
        <v>10</v>
      </c>
    </row>
    <row r="28" customFormat="false" ht="15" hidden="false" customHeight="false" outlineLevel="0" collapsed="false">
      <c r="A28" s="0" t="s">
        <v>105</v>
      </c>
      <c r="B28" s="4" t="n">
        <f aca="false">Assumptions!$B$21</f>
        <v>0.5</v>
      </c>
    </row>
    <row r="29" customFormat="false" ht="15" hidden="false" customHeight="false" outlineLevel="0" collapsed="false">
      <c r="A29" s="0" t="s">
        <v>106</v>
      </c>
      <c r="B29" s="4" t="n">
        <f aca="false">Assumptions!$B$22</f>
        <v>8</v>
      </c>
    </row>
    <row r="30" customFormat="false" ht="15" hidden="false" customHeight="false" outlineLevel="0" collapsed="false">
      <c r="A30" s="0" t="s">
        <v>127</v>
      </c>
      <c r="B30" s="0" t="n">
        <f aca="false">SUM(C21:L21)</f>
        <v>1533.35579984957</v>
      </c>
    </row>
    <row r="31" customFormat="false" ht="15" hidden="false" customHeight="false" outlineLevel="0" collapsed="false">
      <c r="A31" s="0" t="s">
        <v>128</v>
      </c>
      <c r="B31" s="0" t="n">
        <f aca="false">L19</f>
        <v>217.103006719812</v>
      </c>
    </row>
    <row r="32" customFormat="false" ht="15" hidden="false" customHeight="false" outlineLevel="0" collapsed="false">
      <c r="A32" s="0" t="s">
        <v>129</v>
      </c>
      <c r="B32" s="0" t="n">
        <f aca="false">IF(B27&gt;B28,B31*(1+B28/100)/((B27-B28)/100),B31*B29)</f>
        <v>2296.72128161486</v>
      </c>
    </row>
    <row r="33" customFormat="false" ht="15" hidden="false" customHeight="false" outlineLevel="0" collapsed="false">
      <c r="A33" s="0" t="s">
        <v>130</v>
      </c>
      <c r="B33" s="0" t="n">
        <f aca="false">B31*B29</f>
        <v>1736.8240537585</v>
      </c>
    </row>
    <row r="34" customFormat="false" ht="15" hidden="false" customHeight="false" outlineLevel="0" collapsed="false">
      <c r="A34" s="0" t="s">
        <v>131</v>
      </c>
      <c r="B34" s="0" t="n">
        <f aca="false">MAX(0,MIN(B32,B33))</f>
        <v>1736.8240537585</v>
      </c>
    </row>
    <row r="35" customFormat="false" ht="15" hidden="false" customHeight="false" outlineLevel="0" collapsed="false">
      <c r="A35" s="0" t="s">
        <v>132</v>
      </c>
      <c r="B35" s="0" t="n">
        <f aca="false">B34/(1+B27/100)^L4</f>
        <v>669.620858846384</v>
      </c>
    </row>
    <row r="36" customFormat="false" ht="15" hidden="false" customHeight="false" outlineLevel="0" collapsed="false">
      <c r="A36" s="0" t="s">
        <v>133</v>
      </c>
      <c r="B36" s="0" t="n">
        <f aca="false">B30+B35</f>
        <v>2202.97665869596</v>
      </c>
    </row>
    <row r="37" customFormat="false" ht="15" hidden="false" customHeight="false" outlineLevel="0" collapsed="false">
      <c r="A37" s="0" t="s">
        <v>134</v>
      </c>
      <c r="B37" s="0" t="n">
        <f aca="false">B36+Assumptions!$B$5-Assumptions!$B$4</f>
        <v>3419.15165869596</v>
      </c>
    </row>
    <row r="38" customFormat="false" ht="15" hidden="false" customHeight="false" outlineLevel="0" collapsed="false">
      <c r="A38" s="0" t="s">
        <v>135</v>
      </c>
      <c r="B38" s="0" t="n">
        <f aca="false">B37/Assumptions!$B$3*Assumptions!$B$10</f>
        <v>2.03895344548052</v>
      </c>
    </row>
    <row r="39" customFormat="false" ht="15" hidden="false" customHeight="false" outlineLevel="0" collapsed="false">
      <c r="A39" s="0" t="s">
        <v>136</v>
      </c>
      <c r="B39" s="4" t="n">
        <f aca="false">B38/Assumptions!$B$2-1</f>
        <v>0.2064813286867</v>
      </c>
    </row>
    <row r="41" customFormat="false" ht="15" hidden="false" customHeight="false" outlineLevel="0" collapsed="false">
      <c r="A41" s="0" t="s">
        <v>137</v>
      </c>
      <c r="B41" s="0" t="n">
        <f aca="false">SUMPRODUCT(-C10:L10/(1+$B$27/100)^C4:L4)</f>
        <v>88.2561279289774</v>
      </c>
    </row>
    <row r="42" customFormat="false" ht="15" hidden="false" customHeight="false" outlineLevel="0" collapsed="false">
      <c r="A42" s="0" t="s">
        <v>138</v>
      </c>
      <c r="B42" s="0" t="n">
        <f aca="false">IF(B27&gt;B28,-L10*(1+B28/100)/((B27-B28)/100),-L10*20)/(1+B27/100)^L4</f>
        <v>50.6107383297097</v>
      </c>
    </row>
    <row r="43" customFormat="false" ht="15" hidden="false" customHeight="false" outlineLevel="0" collapsed="false">
      <c r="A43" s="0" t="s">
        <v>139</v>
      </c>
      <c r="B43" s="0" t="n">
        <f aca="false">(B37+B41+B42)/Assumptions!$B$3*Assumptions!$B$10</f>
        <v>2.12176435990753</v>
      </c>
    </row>
    <row r="45" customFormat="false" ht="15" hidden="false" customHeight="false" outlineLevel="0" collapsed="false">
      <c r="A45" s="0" t="s">
        <v>80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140</v>
      </c>
      <c r="B46" s="0" t="n">
        <f aca="false">MAX(0,MIN(IF(B45&gt;B28,B31*(1+B28/100)/((B45-B28)/100),B31*B29),B31*B29))</f>
        <v>1504.74842588559</v>
      </c>
    </row>
    <row r="47" customFormat="false" ht="15" hidden="false" customHeight="false" outlineLevel="0" collapsed="false">
      <c r="A47" s="0" t="s">
        <v>141</v>
      </c>
      <c r="B47" s="0" t="n">
        <f aca="false">(SUMPRODUCT(C19:L19/(1+B45/100)^C4:L4)+B46/(1+B45/100)^L4+Assumptions!$B$5-Assumptions!$B$4)/Assumptions!$B$3*Assumptions!$B$10</f>
        <v>1.71032463751034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142</v>
      </c>
    </row>
    <row r="3" customFormat="false" ht="15" hidden="false" customHeight="false" outlineLevel="0" collapsed="false">
      <c r="A3" s="0" t="s">
        <v>112</v>
      </c>
      <c r="B3" s="0" t="s">
        <v>73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</row>
    <row r="4" customFormat="false" ht="15" hidden="false" customHeight="false" outlineLevel="0" collapsed="false">
      <c r="A4" s="0" t="s">
        <v>113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97</v>
      </c>
      <c r="C5" s="4" t="n">
        <f aca="false">Assumptions!C27</f>
        <v>2</v>
      </c>
      <c r="D5" s="4" t="n">
        <f aca="false">Assumptions!D27</f>
        <v>-3</v>
      </c>
      <c r="E5" s="4" t="n">
        <f aca="false">Assumptions!E27</f>
        <v>-2</v>
      </c>
      <c r="F5" s="4" t="n">
        <f aca="false">Assumptions!F27</f>
        <v>0</v>
      </c>
      <c r="G5" s="4" t="n">
        <f aca="false">Assumptions!G27</f>
        <v>1.5</v>
      </c>
      <c r="H5" s="4" t="n">
        <f aca="false">Assumptions!H27</f>
        <v>2</v>
      </c>
      <c r="I5" s="4" t="n">
        <f aca="false">Assumptions!I27</f>
        <v>2</v>
      </c>
      <c r="J5" s="4" t="n">
        <f aca="false">Assumptions!J27</f>
        <v>2</v>
      </c>
      <c r="K5" s="4" t="n">
        <f aca="false">Assumptions!K27</f>
        <v>2</v>
      </c>
      <c r="L5" s="4" t="n">
        <f aca="false">Assumptions!L27</f>
        <v>2</v>
      </c>
    </row>
    <row r="6" customFormat="false" ht="15" hidden="false" customHeight="false" outlineLevel="0" collapsed="false">
      <c r="A6" s="0" t="s">
        <v>38</v>
      </c>
      <c r="B6" s="3" t="n">
        <v>3120.143</v>
      </c>
      <c r="C6" s="0" t="n">
        <f aca="false">B6*(1+C5/100)</f>
        <v>3182.54586</v>
      </c>
      <c r="D6" s="0" t="n">
        <f aca="false">C6*(1+D5/100)</f>
        <v>3087.0694842</v>
      </c>
      <c r="E6" s="0" t="n">
        <f aca="false">D6*(1+E5/100)</f>
        <v>3025.328094516</v>
      </c>
      <c r="F6" s="0" t="n">
        <f aca="false">E6*(1+F5/100)</f>
        <v>3025.328094516</v>
      </c>
      <c r="G6" s="0" t="n">
        <f aca="false">F6*(1+G5/100)</f>
        <v>3070.70801593374</v>
      </c>
      <c r="H6" s="0" t="n">
        <f aca="false">G6*(1+H5/100)</f>
        <v>3132.12217625242</v>
      </c>
      <c r="I6" s="0" t="n">
        <f aca="false">H6*(1+I5/100)</f>
        <v>3194.76461977746</v>
      </c>
      <c r="J6" s="0" t="n">
        <f aca="false">I6*(1+J5/100)</f>
        <v>3258.65991217301</v>
      </c>
      <c r="K6" s="0" t="n">
        <f aca="false">J6*(1+K5/100)</f>
        <v>3323.83311041647</v>
      </c>
      <c r="L6" s="0" t="n">
        <f aca="false">K6*(1+L5/100)</f>
        <v>3390.3097726248</v>
      </c>
    </row>
    <row r="7" customFormat="false" ht="15" hidden="false" customHeight="false" outlineLevel="0" collapsed="false">
      <c r="A7" s="0" t="s">
        <v>98</v>
      </c>
      <c r="C7" s="4" t="n">
        <f aca="false">Assumptions!C28</f>
        <v>20</v>
      </c>
      <c r="D7" s="4" t="n">
        <f aca="false">Assumptions!D28</f>
        <v>19.5</v>
      </c>
      <c r="E7" s="4" t="n">
        <f aca="false">Assumptions!E28</f>
        <v>19.5</v>
      </c>
      <c r="F7" s="4" t="n">
        <f aca="false">Assumptions!F28</f>
        <v>20</v>
      </c>
      <c r="G7" s="4" t="n">
        <f aca="false">Assumptions!G28</f>
        <v>20.5</v>
      </c>
      <c r="H7" s="4" t="n">
        <f aca="false">Assumptions!H28</f>
        <v>21</v>
      </c>
      <c r="I7" s="4" t="n">
        <f aca="false">Assumptions!I28</f>
        <v>21</v>
      </c>
      <c r="J7" s="4" t="n">
        <f aca="false">Assumptions!J28</f>
        <v>21</v>
      </c>
      <c r="K7" s="4" t="n">
        <f aca="false">Assumptions!K28</f>
        <v>21</v>
      </c>
      <c r="L7" s="4" t="n">
        <f aca="false">Assumptions!L28</f>
        <v>21</v>
      </c>
    </row>
    <row r="8" customFormat="false" ht="15" hidden="false" customHeight="false" outlineLevel="0" collapsed="false">
      <c r="A8" s="0" t="s">
        <v>44</v>
      </c>
      <c r="C8" s="0" t="n">
        <f aca="false">C6*C7/100</f>
        <v>636.509172</v>
      </c>
      <c r="D8" s="0" t="n">
        <f aca="false">D6*D7/100</f>
        <v>601.978549419</v>
      </c>
      <c r="E8" s="0" t="n">
        <f aca="false">E6*E7/100</f>
        <v>589.93897843062</v>
      </c>
      <c r="F8" s="0" t="n">
        <f aca="false">F6*F7/100</f>
        <v>605.0656189032</v>
      </c>
      <c r="G8" s="0" t="n">
        <f aca="false">G6*G7/100</f>
        <v>629.495143266417</v>
      </c>
      <c r="H8" s="0" t="n">
        <f aca="false">H6*H7/100</f>
        <v>657.745657013007</v>
      </c>
      <c r="I8" s="0" t="n">
        <f aca="false">I6*I7/100</f>
        <v>670.900570153267</v>
      </c>
      <c r="J8" s="0" t="n">
        <f aca="false">J6*J7/100</f>
        <v>684.318581556333</v>
      </c>
      <c r="K8" s="0" t="n">
        <f aca="false">K6*K7/100</f>
        <v>698.004953187459</v>
      </c>
      <c r="L8" s="0" t="n">
        <f aca="false">L6*L7/100</f>
        <v>711.965052251209</v>
      </c>
    </row>
    <row r="9" customFormat="false" ht="15" hidden="false" customHeight="false" outlineLevel="0" collapsed="false">
      <c r="A9" s="0" t="s">
        <v>99</v>
      </c>
      <c r="C9" s="4" t="n">
        <f aca="false">Assumptions!C29</f>
        <v>0.6</v>
      </c>
      <c r="D9" s="4" t="n">
        <f aca="false">Assumptions!D29</f>
        <v>0.6</v>
      </c>
      <c r="E9" s="4" t="n">
        <f aca="false">Assumptions!E29</f>
        <v>0.6</v>
      </c>
      <c r="F9" s="4" t="n">
        <f aca="false">Assumptions!F29</f>
        <v>0.55</v>
      </c>
      <c r="G9" s="4" t="n">
        <f aca="false">Assumptions!G29</f>
        <v>0.55</v>
      </c>
      <c r="H9" s="4" t="n">
        <f aca="false">Assumptions!H29</f>
        <v>0.5</v>
      </c>
      <c r="I9" s="4" t="n">
        <f aca="false">Assumptions!I29</f>
        <v>0.5</v>
      </c>
      <c r="J9" s="4" t="n">
        <f aca="false">Assumptions!J29</f>
        <v>0.5</v>
      </c>
      <c r="K9" s="4" t="n">
        <f aca="false">Assumptions!K29</f>
        <v>0.5</v>
      </c>
      <c r="L9" s="4" t="n">
        <f aca="false">Assumptions!L29</f>
        <v>0.5</v>
      </c>
    </row>
    <row r="10" customFormat="false" ht="15" hidden="false" customHeight="false" outlineLevel="0" collapsed="false">
      <c r="A10" s="0" t="s">
        <v>114</v>
      </c>
      <c r="C10" s="0" t="n">
        <f aca="false">-C6*C9/100</f>
        <v>-19.09527516</v>
      </c>
      <c r="D10" s="0" t="n">
        <f aca="false">-D6*D9/100</f>
        <v>-18.5224169052</v>
      </c>
      <c r="E10" s="0" t="n">
        <f aca="false">-E6*E9/100</f>
        <v>-18.151968567096</v>
      </c>
      <c r="F10" s="0" t="n">
        <f aca="false">-F6*F9/100</f>
        <v>-16.639304519838</v>
      </c>
      <c r="G10" s="0" t="n">
        <f aca="false">-G6*G9/100</f>
        <v>-16.8888940876356</v>
      </c>
      <c r="H10" s="0" t="n">
        <f aca="false">-H6*H9/100</f>
        <v>-15.6606108812621</v>
      </c>
      <c r="I10" s="0" t="n">
        <f aca="false">-I6*I9/100</f>
        <v>-15.9738230988873</v>
      </c>
      <c r="J10" s="0" t="n">
        <f aca="false">-J6*J9/100</f>
        <v>-16.2932995608651</v>
      </c>
      <c r="K10" s="0" t="n">
        <f aca="false">-K6*K9/100</f>
        <v>-16.6191655520824</v>
      </c>
      <c r="L10" s="0" t="n">
        <f aca="false">-L6*L9/100</f>
        <v>-16.951548863124</v>
      </c>
    </row>
    <row r="11" customFormat="false" ht="15" hidden="false" customHeight="false" outlineLevel="0" collapsed="false">
      <c r="A11" s="0" t="s">
        <v>115</v>
      </c>
      <c r="C11" s="0" t="n">
        <f aca="false">C8+C10+C24</f>
        <v>609.45753219</v>
      </c>
      <c r="D11" s="0" t="n">
        <f aca="false">D8+D10+D24</f>
        <v>575.7384588033</v>
      </c>
      <c r="E11" s="0" t="n">
        <f aca="false">E8+E10+E24</f>
        <v>564.223689627234</v>
      </c>
      <c r="F11" s="0" t="n">
        <f aca="false">F8+F10+F24</f>
        <v>580.862994147072</v>
      </c>
      <c r="G11" s="0" t="n">
        <f aca="false">G8+G10+G24</f>
        <v>604.929479138947</v>
      </c>
      <c r="H11" s="0" t="n">
        <f aca="false">H8+H10+H24</f>
        <v>634.254740691114</v>
      </c>
      <c r="I11" s="0" t="n">
        <f aca="false">I8+I10+I24</f>
        <v>646.939835504936</v>
      </c>
      <c r="J11" s="0" t="n">
        <f aca="false">J8+J10+J24</f>
        <v>659.878632215035</v>
      </c>
      <c r="K11" s="0" t="n">
        <f aca="false">K8+K10+K24</f>
        <v>673.076204859336</v>
      </c>
      <c r="L11" s="0" t="n">
        <f aca="false">L8+L10+L24</f>
        <v>686.537728956523</v>
      </c>
    </row>
    <row r="12" customFormat="false" ht="15" hidden="false" customHeight="false" outlineLevel="0" collapsed="false">
      <c r="A12" s="0" t="s">
        <v>116</v>
      </c>
      <c r="C12" s="4" t="n">
        <f aca="false">-C6*Assumptions!C31/100</f>
        <v>-50.92073376</v>
      </c>
      <c r="D12" s="4" t="n">
        <f aca="false">-D6*Assumptions!D31/100</f>
        <v>-40.1319032946</v>
      </c>
      <c r="E12" s="4" t="n">
        <f aca="false">-E6*Assumptions!E31/100</f>
        <v>-30.25328094516</v>
      </c>
      <c r="F12" s="4" t="n">
        <f aca="false">-F6*Assumptions!F31/100</f>
        <v>-24.202624756128</v>
      </c>
      <c r="G12" s="4" t="n">
        <f aca="false">-G6*Assumptions!G31/100</f>
        <v>-21.4949561115362</v>
      </c>
      <c r="H12" s="4" t="n">
        <f aca="false">-H6*Assumptions!H31/100</f>
        <v>-18.7927330575145</v>
      </c>
      <c r="I12" s="4" t="n">
        <f aca="false">-I6*Assumptions!I31/100</f>
        <v>-19.1685877186648</v>
      </c>
      <c r="J12" s="4" t="n">
        <f aca="false">-J6*Assumptions!J31/100</f>
        <v>-19.5519594730381</v>
      </c>
      <c r="K12" s="4" t="n">
        <f aca="false">-K6*Assumptions!K31/100</f>
        <v>-19.9429986624988</v>
      </c>
      <c r="L12" s="4" t="n">
        <f aca="false">-L6*Assumptions!L31/100</f>
        <v>-20.3418586357488</v>
      </c>
    </row>
    <row r="13" customFormat="false" ht="15" hidden="false" customHeight="false" outlineLevel="0" collapsed="false">
      <c r="A13" s="0" t="s">
        <v>117</v>
      </c>
      <c r="C13" s="0" t="n">
        <f aca="false">C11+C12</f>
        <v>558.53679843</v>
      </c>
      <c r="D13" s="0" t="n">
        <f aca="false">D11+D12</f>
        <v>535.6065555087</v>
      </c>
      <c r="E13" s="0" t="n">
        <f aca="false">E11+E12</f>
        <v>533.970408682074</v>
      </c>
      <c r="F13" s="0" t="n">
        <f aca="false">F11+F12</f>
        <v>556.660369390944</v>
      </c>
      <c r="G13" s="0" t="n">
        <f aca="false">G11+G12</f>
        <v>583.434523027411</v>
      </c>
      <c r="H13" s="0" t="n">
        <f aca="false">H11+H12</f>
        <v>615.4620076336</v>
      </c>
      <c r="I13" s="0" t="n">
        <f aca="false">I11+I12</f>
        <v>627.771247786272</v>
      </c>
      <c r="J13" s="0" t="n">
        <f aca="false">J11+J12</f>
        <v>640.326672741997</v>
      </c>
      <c r="K13" s="0" t="n">
        <f aca="false">K11+K12</f>
        <v>653.133206196837</v>
      </c>
      <c r="L13" s="0" t="n">
        <f aca="false">L11+L12</f>
        <v>666.195870320774</v>
      </c>
    </row>
    <row r="14" customFormat="false" ht="15" hidden="false" customHeight="false" outlineLevel="0" collapsed="false">
      <c r="A14" s="0" t="s">
        <v>103</v>
      </c>
      <c r="C14" s="4" t="n">
        <f aca="false">Assumptions!C33</f>
        <v>28</v>
      </c>
      <c r="D14" s="4" t="n">
        <f aca="false">Assumptions!D33</f>
        <v>28</v>
      </c>
      <c r="E14" s="4" t="n">
        <f aca="false">Assumptions!E33</f>
        <v>28</v>
      </c>
      <c r="F14" s="4" t="n">
        <f aca="false">Assumptions!F33</f>
        <v>28</v>
      </c>
      <c r="G14" s="4" t="n">
        <f aca="false">Assumptions!G33</f>
        <v>28</v>
      </c>
      <c r="H14" s="4" t="n">
        <f aca="false">Assumptions!H33</f>
        <v>28</v>
      </c>
      <c r="I14" s="4" t="n">
        <f aca="false">Assumptions!I33</f>
        <v>28</v>
      </c>
      <c r="J14" s="4" t="n">
        <f aca="false">Assumptions!J33</f>
        <v>28</v>
      </c>
      <c r="K14" s="4" t="n">
        <f aca="false">Assumptions!K33</f>
        <v>28</v>
      </c>
      <c r="L14" s="4" t="n">
        <f aca="false">Assumptions!L33</f>
        <v>28</v>
      </c>
    </row>
    <row r="15" customFormat="false" ht="15" hidden="false" customHeight="false" outlineLevel="0" collapsed="false">
      <c r="A15" s="0" t="s">
        <v>118</v>
      </c>
      <c r="C15" s="0" t="n">
        <f aca="false">C13-MAX(0,C13)*C14/100</f>
        <v>402.1464948696</v>
      </c>
      <c r="D15" s="0" t="n">
        <f aca="false">D13-MAX(0,D13)*D14/100</f>
        <v>385.636719966264</v>
      </c>
      <c r="E15" s="0" t="n">
        <f aca="false">E13-MAX(0,E13)*E14/100</f>
        <v>384.458694251093</v>
      </c>
      <c r="F15" s="0" t="n">
        <f aca="false">F13-MAX(0,F13)*F14/100</f>
        <v>400.79546596148</v>
      </c>
      <c r="G15" s="0" t="n">
        <f aca="false">G13-MAX(0,G13)*G14/100</f>
        <v>420.072856579736</v>
      </c>
      <c r="H15" s="0" t="n">
        <f aca="false">H13-MAX(0,H13)*H14/100</f>
        <v>443.132645496192</v>
      </c>
      <c r="I15" s="0" t="n">
        <f aca="false">I13-MAX(0,I13)*I14/100</f>
        <v>451.995298406116</v>
      </c>
      <c r="J15" s="0" t="n">
        <f aca="false">J13-MAX(0,J13)*J14/100</f>
        <v>461.035204374238</v>
      </c>
      <c r="K15" s="0" t="n">
        <f aca="false">K13-MAX(0,K13)*K14/100</f>
        <v>470.255908461723</v>
      </c>
      <c r="L15" s="0" t="n">
        <f aca="false">L13-MAX(0,L13)*L14/100</f>
        <v>479.661026630957</v>
      </c>
    </row>
    <row r="16" customFormat="false" ht="15" hidden="false" customHeight="false" outlineLevel="0" collapsed="false">
      <c r="A16" s="0" t="s">
        <v>119</v>
      </c>
      <c r="C16" s="0" t="n">
        <f aca="false">-C12</f>
        <v>50.92073376</v>
      </c>
      <c r="D16" s="0" t="n">
        <f aca="false">-D12</f>
        <v>40.1319032946</v>
      </c>
      <c r="E16" s="0" t="n">
        <f aca="false">-E12</f>
        <v>30.25328094516</v>
      </c>
      <c r="F16" s="0" t="n">
        <f aca="false">-F12</f>
        <v>24.202624756128</v>
      </c>
      <c r="G16" s="0" t="n">
        <f aca="false">-G12</f>
        <v>21.4949561115362</v>
      </c>
      <c r="H16" s="0" t="n">
        <f aca="false">-H12</f>
        <v>18.7927330575145</v>
      </c>
      <c r="I16" s="0" t="n">
        <f aca="false">-I12</f>
        <v>19.1685877186648</v>
      </c>
      <c r="J16" s="0" t="n">
        <f aca="false">-J12</f>
        <v>19.5519594730381</v>
      </c>
      <c r="K16" s="0" t="n">
        <f aca="false">-K12</f>
        <v>19.9429986624988</v>
      </c>
      <c r="L16" s="0" t="n">
        <f aca="false">-L12</f>
        <v>20.3418586357488</v>
      </c>
    </row>
    <row r="17" customFormat="false" ht="15" hidden="false" customHeight="false" outlineLevel="0" collapsed="false">
      <c r="A17" s="0" t="s">
        <v>120</v>
      </c>
      <c r="C17" s="4" t="n">
        <f aca="false">-C6*Assumptions!C32/100</f>
        <v>-19.09527516</v>
      </c>
      <c r="D17" s="4" t="n">
        <f aca="false">-D6*Assumptions!D32/100</f>
        <v>-18.5224169052</v>
      </c>
      <c r="E17" s="4" t="n">
        <f aca="false">-E6*Assumptions!E32/100</f>
        <v>-18.151968567096</v>
      </c>
      <c r="F17" s="4" t="n">
        <f aca="false">-F6*Assumptions!F32/100</f>
        <v>-18.151968567096</v>
      </c>
      <c r="G17" s="4" t="n">
        <f aca="false">-G6*Assumptions!G32/100</f>
        <v>-18.4242480956024</v>
      </c>
      <c r="H17" s="4" t="n">
        <f aca="false">-H6*Assumptions!H32/100</f>
        <v>-18.7927330575145</v>
      </c>
      <c r="I17" s="4" t="n">
        <f aca="false">-I6*Assumptions!I32/100</f>
        <v>-19.1685877186648</v>
      </c>
      <c r="J17" s="4" t="n">
        <f aca="false">-J6*Assumptions!J32/100</f>
        <v>-19.5519594730381</v>
      </c>
      <c r="K17" s="4" t="n">
        <f aca="false">-K6*Assumptions!K32/100</f>
        <v>-19.9429986624988</v>
      </c>
      <c r="L17" s="4" t="n">
        <f aca="false">-L6*Assumptions!L32/100</f>
        <v>-20.3418586357488</v>
      </c>
    </row>
    <row r="18" customFormat="false" ht="15" hidden="false" customHeight="false" outlineLevel="0" collapsed="false">
      <c r="A18" s="0" t="s">
        <v>121</v>
      </c>
      <c r="C18" s="4" t="n">
        <f aca="false">(C6-B6)*Assumptions!$B$37/100</f>
        <v>-15.600715</v>
      </c>
      <c r="D18" s="4" t="n">
        <f aca="false">(D6-C6)*Assumptions!$B$37/100</f>
        <v>23.86909395</v>
      </c>
      <c r="E18" s="4" t="n">
        <f aca="false">(E6-D6)*Assumptions!$B$37/100</f>
        <v>15.435347421</v>
      </c>
      <c r="F18" s="4" t="n">
        <f aca="false">(F6-E6)*Assumptions!$B$37/100</f>
        <v>-0</v>
      </c>
      <c r="G18" s="4" t="n">
        <f aca="false">(G6-F6)*Assumptions!$B$37/100</f>
        <v>-11.3449803544349</v>
      </c>
      <c r="H18" s="4" t="n">
        <f aca="false">(H6-G6)*Assumptions!$B$37/100</f>
        <v>-15.3535400796687</v>
      </c>
      <c r="I18" s="4" t="n">
        <f aca="false">(I6-H6)*Assumptions!$B$37/100</f>
        <v>-15.6606108812621</v>
      </c>
      <c r="J18" s="4" t="n">
        <f aca="false">(J6-I6)*Assumptions!$B$37/100</f>
        <v>-15.9738230988874</v>
      </c>
      <c r="K18" s="4" t="n">
        <f aca="false">(K6-J6)*Assumptions!$B$37/100</f>
        <v>-16.2932995608651</v>
      </c>
      <c r="L18" s="4" t="n">
        <f aca="false">(L6-K6)*Assumptions!$B$37/100</f>
        <v>-16.6191655520823</v>
      </c>
    </row>
    <row r="19" customFormat="false" ht="15" hidden="false" customHeight="false" outlineLevel="0" collapsed="false">
      <c r="A19" s="0" t="s">
        <v>122</v>
      </c>
      <c r="C19" s="0" t="n">
        <f aca="false">C15+C16+C17+C18</f>
        <v>418.3712384696</v>
      </c>
      <c r="D19" s="0" t="n">
        <f aca="false">D15+D16+D17+D18</f>
        <v>431.115300305664</v>
      </c>
      <c r="E19" s="0" t="n">
        <f aca="false">E15+E16+E17+E18</f>
        <v>411.995354050157</v>
      </c>
      <c r="F19" s="0" t="n">
        <f aca="false">F15+F16+F17+F18</f>
        <v>406.846122150512</v>
      </c>
      <c r="G19" s="0" t="n">
        <f aca="false">G15+G16+G17+G18</f>
        <v>411.798584241234</v>
      </c>
      <c r="H19" s="0" t="n">
        <f aca="false">H15+H16+H17+H18</f>
        <v>427.779105416523</v>
      </c>
      <c r="I19" s="0" t="n">
        <f aca="false">I15+I16+I17+I18</f>
        <v>436.334687524854</v>
      </c>
      <c r="J19" s="0" t="n">
        <f aca="false">J15+J16+J17+J18</f>
        <v>445.06138127535</v>
      </c>
      <c r="K19" s="0" t="n">
        <f aca="false">K15+K16+K17+K18</f>
        <v>453.962608900858</v>
      </c>
      <c r="L19" s="0" t="n">
        <f aca="false">L15+L16+L17+L18</f>
        <v>463.041861078875</v>
      </c>
    </row>
    <row r="20" customFormat="false" ht="15" hidden="false" customHeight="false" outlineLevel="0" collapsed="false">
      <c r="A20" s="0" t="s">
        <v>123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124</v>
      </c>
      <c r="C21" s="0" t="n">
        <f aca="false">C19*C20</f>
        <v>380.337489517818</v>
      </c>
      <c r="D21" s="0" t="n">
        <f aca="false">D19*D20</f>
        <v>356.293636616251</v>
      </c>
      <c r="E21" s="0" t="n">
        <f aca="false">E19*E20</f>
        <v>309.538207400569</v>
      </c>
      <c r="F21" s="0" t="n">
        <f aca="false">F19*F20</f>
        <v>277.881375691901</v>
      </c>
      <c r="G21" s="0" t="n">
        <f aca="false">G19*G20</f>
        <v>255.694521760954</v>
      </c>
      <c r="H21" s="0" t="n">
        <f aca="false">H19*H20</f>
        <v>241.470152829354</v>
      </c>
      <c r="I21" s="0" t="n">
        <f aca="false">I19*I20</f>
        <v>223.908687169037</v>
      </c>
      <c r="J21" s="0" t="n">
        <f aca="false">J19*J20</f>
        <v>207.624419011289</v>
      </c>
      <c r="K21" s="0" t="n">
        <f aca="false">K19*K20</f>
        <v>192.524461265013</v>
      </c>
      <c r="L21" s="0" t="n">
        <f aca="false">L19*L20</f>
        <v>178.522682263921</v>
      </c>
    </row>
    <row r="23" customFormat="false" ht="15" hidden="false" customHeight="false" outlineLevel="0" collapsed="false">
      <c r="A23" s="0" t="s">
        <v>100</v>
      </c>
      <c r="C23" s="4" t="n">
        <f aca="false">Assumptions!C30</f>
        <v>0.25</v>
      </c>
      <c r="D23" s="4" t="n">
        <f aca="false">Assumptions!D30</f>
        <v>0.25</v>
      </c>
      <c r="E23" s="4" t="n">
        <f aca="false">Assumptions!E30</f>
        <v>0.25</v>
      </c>
      <c r="F23" s="4" t="n">
        <f aca="false">Assumptions!F30</f>
        <v>0.25</v>
      </c>
      <c r="G23" s="4" t="n">
        <f aca="false">Assumptions!G30</f>
        <v>0.25</v>
      </c>
      <c r="H23" s="4" t="n">
        <f aca="false">Assumptions!H30</f>
        <v>0.25</v>
      </c>
      <c r="I23" s="4" t="n">
        <f aca="false">Assumptions!I30</f>
        <v>0.25</v>
      </c>
      <c r="J23" s="4" t="n">
        <f aca="false">Assumptions!J30</f>
        <v>0.25</v>
      </c>
      <c r="K23" s="4" t="n">
        <f aca="false">Assumptions!K30</f>
        <v>0.25</v>
      </c>
      <c r="L23" s="4" t="n">
        <f aca="false">Assumptions!L30</f>
        <v>0.25</v>
      </c>
    </row>
    <row r="24" customFormat="false" ht="15" hidden="false" customHeight="false" outlineLevel="0" collapsed="false">
      <c r="A24" s="0" t="s">
        <v>125</v>
      </c>
      <c r="C24" s="0" t="n">
        <f aca="false">-C6*C23/100</f>
        <v>-7.95636465</v>
      </c>
      <c r="D24" s="0" t="n">
        <f aca="false">-D6*D23/100</f>
        <v>-7.7176737105</v>
      </c>
      <c r="E24" s="0" t="n">
        <f aca="false">-E6*E23/100</f>
        <v>-7.56332023629</v>
      </c>
      <c r="F24" s="0" t="n">
        <f aca="false">-F6*F23/100</f>
        <v>-7.56332023629</v>
      </c>
      <c r="G24" s="0" t="n">
        <f aca="false">-G6*G23/100</f>
        <v>-7.67677003983435</v>
      </c>
      <c r="H24" s="0" t="n">
        <f aca="false">-H6*H23/100</f>
        <v>-7.83030544063104</v>
      </c>
      <c r="I24" s="0" t="n">
        <f aca="false">-I6*I23/100</f>
        <v>-7.98691154944366</v>
      </c>
      <c r="J24" s="0" t="n">
        <f aca="false">-J6*J23/100</f>
        <v>-8.14664978043253</v>
      </c>
      <c r="K24" s="0" t="n">
        <f aca="false">-K6*K23/100</f>
        <v>-8.30958277604118</v>
      </c>
      <c r="L24" s="0" t="n">
        <f aca="false">-L6*L23/100</f>
        <v>-8.47577443156201</v>
      </c>
    </row>
    <row r="26" customFormat="false" ht="15" hidden="false" customHeight="false" outlineLevel="0" collapsed="false">
      <c r="A26" s="2" t="s">
        <v>126</v>
      </c>
    </row>
    <row r="27" customFormat="false" ht="15" hidden="false" customHeight="false" outlineLevel="0" collapsed="false">
      <c r="A27" s="0" t="s">
        <v>104</v>
      </c>
      <c r="B27" s="4" t="n">
        <f aca="false">Assumptions!$B$34</f>
        <v>10</v>
      </c>
    </row>
    <row r="28" customFormat="false" ht="15" hidden="false" customHeight="false" outlineLevel="0" collapsed="false">
      <c r="A28" s="0" t="s">
        <v>105</v>
      </c>
      <c r="B28" s="4" t="n">
        <f aca="false">Assumptions!$B$35</f>
        <v>1.5</v>
      </c>
    </row>
    <row r="29" customFormat="false" ht="15" hidden="false" customHeight="false" outlineLevel="0" collapsed="false">
      <c r="A29" s="0" t="s">
        <v>106</v>
      </c>
      <c r="B29" s="4" t="n">
        <f aca="false">Assumptions!$B$36</f>
        <v>10</v>
      </c>
    </row>
    <row r="30" customFormat="false" ht="15" hidden="false" customHeight="false" outlineLevel="0" collapsed="false">
      <c r="A30" s="0" t="s">
        <v>127</v>
      </c>
      <c r="B30" s="0" t="n">
        <f aca="false">SUM(C21:L21)</f>
        <v>2623.79563352611</v>
      </c>
    </row>
    <row r="31" customFormat="false" ht="15" hidden="false" customHeight="false" outlineLevel="0" collapsed="false">
      <c r="A31" s="0" t="s">
        <v>128</v>
      </c>
      <c r="B31" s="0" t="n">
        <f aca="false">L19</f>
        <v>463.041861078875</v>
      </c>
    </row>
    <row r="32" customFormat="false" ht="15" hidden="false" customHeight="false" outlineLevel="0" collapsed="false">
      <c r="A32" s="0" t="s">
        <v>129</v>
      </c>
      <c r="B32" s="0" t="n">
        <f aca="false">IF(B27&gt;B28,B31*(1+B28/100)/((B27-B28)/100),B31*B29)</f>
        <v>5529.26457641244</v>
      </c>
    </row>
    <row r="33" customFormat="false" ht="15" hidden="false" customHeight="false" outlineLevel="0" collapsed="false">
      <c r="A33" s="0" t="s">
        <v>130</v>
      </c>
      <c r="B33" s="0" t="n">
        <f aca="false">B31*B29</f>
        <v>4630.41861078875</v>
      </c>
    </row>
    <row r="34" customFormat="false" ht="15" hidden="false" customHeight="false" outlineLevel="0" collapsed="false">
      <c r="A34" s="0" t="s">
        <v>131</v>
      </c>
      <c r="B34" s="0" t="n">
        <f aca="false">MAX(0,MIN(B32,B33))</f>
        <v>4630.41861078875</v>
      </c>
    </row>
    <row r="35" customFormat="false" ht="15" hidden="false" customHeight="false" outlineLevel="0" collapsed="false">
      <c r="A35" s="0" t="s">
        <v>132</v>
      </c>
      <c r="B35" s="0" t="n">
        <f aca="false">B34/(1+B27/100)^L4</f>
        <v>1785.22682263921</v>
      </c>
    </row>
    <row r="36" customFormat="false" ht="15" hidden="false" customHeight="false" outlineLevel="0" collapsed="false">
      <c r="A36" s="0" t="s">
        <v>133</v>
      </c>
      <c r="B36" s="0" t="n">
        <f aca="false">B30+B35</f>
        <v>4409.02245616532</v>
      </c>
    </row>
    <row r="37" customFormat="false" ht="15" hidden="false" customHeight="false" outlineLevel="0" collapsed="false">
      <c r="A37" s="0" t="s">
        <v>134</v>
      </c>
      <c r="B37" s="0" t="n">
        <f aca="false">B36+Assumptions!$B$5-Assumptions!$B$4</f>
        <v>5625.19745616532</v>
      </c>
    </row>
    <row r="38" customFormat="false" ht="15" hidden="false" customHeight="false" outlineLevel="0" collapsed="false">
      <c r="A38" s="0" t="s">
        <v>135</v>
      </c>
      <c r="B38" s="0" t="n">
        <f aca="false">B37/Assumptions!$B$3*Assumptions!$B$10</f>
        <v>3.35449166333001</v>
      </c>
    </row>
    <row r="39" customFormat="false" ht="15" hidden="false" customHeight="false" outlineLevel="0" collapsed="false">
      <c r="A39" s="0" t="s">
        <v>136</v>
      </c>
      <c r="B39" s="4" t="n">
        <f aca="false">B38/Assumptions!$B$2-1</f>
        <v>0.984906309662727</v>
      </c>
    </row>
    <row r="41" customFormat="false" ht="15" hidden="false" customHeight="false" outlineLevel="0" collapsed="false">
      <c r="A41" s="0" t="s">
        <v>137</v>
      </c>
      <c r="B41" s="0" t="n">
        <f aca="false">SUMPRODUCT(-C10:L10/(1+$B$27/100)^C4:L4)</f>
        <v>106.378262113919</v>
      </c>
    </row>
    <row r="42" customFormat="false" ht="15" hidden="false" customHeight="false" outlineLevel="0" collapsed="false">
      <c r="A42" s="0" t="s">
        <v>138</v>
      </c>
      <c r="B42" s="0" t="n">
        <f aca="false">IF(B27&gt;B28,-L10*(1+B28/100)/((B27-B28)/100),-L10*20)/(1+B27/100)^L4</f>
        <v>78.0422264500998</v>
      </c>
    </row>
    <row r="43" customFormat="false" ht="15" hidden="false" customHeight="false" outlineLevel="0" collapsed="false">
      <c r="A43" s="0" t="s">
        <v>139</v>
      </c>
      <c r="B43" s="0" t="n">
        <f aca="false">(B37+B41+B42)/Assumptions!$B$3*Assumptions!$B$10</f>
        <v>3.46446771239424</v>
      </c>
    </row>
    <row r="45" customFormat="false" ht="15" hidden="false" customHeight="false" outlineLevel="0" collapsed="false">
      <c r="A45" s="0" t="s">
        <v>80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140</v>
      </c>
      <c r="B46" s="0" t="n">
        <f aca="false">MAX(0,MIN(IF(B45&gt;B28,B31*(1+B28/100)/((B45-B28)/100),B31*B29),B31*B29))</f>
        <v>3481.3888073708</v>
      </c>
    </row>
    <row r="47" customFormat="false" ht="15" hidden="false" customHeight="false" outlineLevel="0" collapsed="false">
      <c r="A47" s="0" t="s">
        <v>141</v>
      </c>
      <c r="B47" s="0" t="n">
        <f aca="false">(SUMPRODUCT(C19:L19/(1+B45/100)^C4:L4)+B46/(1+B45/100)^L4+Assumptions!$B$5-Assumptions!$B$4)/Assumptions!$B$3*Assumptions!$B$10</f>
        <v>2.51218511918416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143</v>
      </c>
    </row>
    <row r="3" customFormat="false" ht="15" hidden="false" customHeight="false" outlineLevel="0" collapsed="false">
      <c r="A3" s="0" t="s">
        <v>112</v>
      </c>
      <c r="B3" s="0" t="s">
        <v>73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</row>
    <row r="4" customFormat="false" ht="15" hidden="false" customHeight="false" outlineLevel="0" collapsed="false">
      <c r="A4" s="0" t="s">
        <v>113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97</v>
      </c>
      <c r="C5" s="4" t="n">
        <f aca="false">Assumptions!C41</f>
        <v>4</v>
      </c>
      <c r="D5" s="4" t="n">
        <f aca="false">Assumptions!D41</f>
        <v>3</v>
      </c>
      <c r="E5" s="4" t="n">
        <f aca="false">Assumptions!E41</f>
        <v>4</v>
      </c>
      <c r="F5" s="4" t="n">
        <f aca="false">Assumptions!F41</f>
        <v>5</v>
      </c>
      <c r="G5" s="4" t="n">
        <f aca="false">Assumptions!G41</f>
        <v>5</v>
      </c>
      <c r="H5" s="4" t="n">
        <f aca="false">Assumptions!H41</f>
        <v>4</v>
      </c>
      <c r="I5" s="4" t="n">
        <f aca="false">Assumptions!I41</f>
        <v>3</v>
      </c>
      <c r="J5" s="4" t="n">
        <f aca="false">Assumptions!J41</f>
        <v>3</v>
      </c>
      <c r="K5" s="4" t="n">
        <f aca="false">Assumptions!K41</f>
        <v>3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38</v>
      </c>
      <c r="B6" s="3" t="n">
        <v>3120.143</v>
      </c>
      <c r="C6" s="0" t="n">
        <f aca="false">B6*(1+C5/100)</f>
        <v>3244.94872</v>
      </c>
      <c r="D6" s="0" t="n">
        <f aca="false">C6*(1+D5/100)</f>
        <v>3342.2971816</v>
      </c>
      <c r="E6" s="0" t="n">
        <f aca="false">D6*(1+E5/100)</f>
        <v>3475.989068864</v>
      </c>
      <c r="F6" s="0" t="n">
        <f aca="false">E6*(1+F5/100)</f>
        <v>3649.7885223072</v>
      </c>
      <c r="G6" s="0" t="n">
        <f aca="false">F6*(1+G5/100)</f>
        <v>3832.27794842256</v>
      </c>
      <c r="H6" s="0" t="n">
        <f aca="false">G6*(1+H5/100)</f>
        <v>3985.56906635946</v>
      </c>
      <c r="I6" s="0" t="n">
        <f aca="false">H6*(1+I5/100)</f>
        <v>4105.13613835025</v>
      </c>
      <c r="J6" s="0" t="n">
        <f aca="false">I6*(1+J5/100)</f>
        <v>4228.29022250076</v>
      </c>
      <c r="K6" s="0" t="n">
        <f aca="false">J6*(1+K5/100)</f>
        <v>4355.13892917578</v>
      </c>
      <c r="L6" s="0" t="n">
        <f aca="false">K6*(1+L5/100)</f>
        <v>4485.79309705105</v>
      </c>
    </row>
    <row r="7" customFormat="false" ht="15" hidden="false" customHeight="false" outlineLevel="0" collapsed="false">
      <c r="A7" s="0" t="s">
        <v>98</v>
      </c>
      <c r="C7" s="4" t="n">
        <f aca="false">Assumptions!C42</f>
        <v>22</v>
      </c>
      <c r="D7" s="4" t="n">
        <f aca="false">Assumptions!D42</f>
        <v>23</v>
      </c>
      <c r="E7" s="4" t="n">
        <f aca="false">Assumptions!E42</f>
        <v>24</v>
      </c>
      <c r="F7" s="4" t="n">
        <f aca="false">Assumptions!F42</f>
        <v>25</v>
      </c>
      <c r="G7" s="4" t="n">
        <f aca="false">Assumptions!G42</f>
        <v>25.5</v>
      </c>
      <c r="H7" s="4" t="n">
        <f aca="false">Assumptions!H42</f>
        <v>26</v>
      </c>
      <c r="I7" s="4" t="n">
        <f aca="false">Assumptions!I42</f>
        <v>26</v>
      </c>
      <c r="J7" s="4" t="n">
        <f aca="false">Assumptions!J42</f>
        <v>26</v>
      </c>
      <c r="K7" s="4" t="n">
        <f aca="false">Assumptions!K42</f>
        <v>26</v>
      </c>
      <c r="L7" s="4" t="n">
        <f aca="false">Assumptions!L42</f>
        <v>26</v>
      </c>
    </row>
    <row r="8" customFormat="false" ht="15" hidden="false" customHeight="false" outlineLevel="0" collapsed="false">
      <c r="A8" s="0" t="s">
        <v>44</v>
      </c>
      <c r="C8" s="0" t="n">
        <f aca="false">C6*C7/100</f>
        <v>713.8887184</v>
      </c>
      <c r="D8" s="0" t="n">
        <f aca="false">D6*D7/100</f>
        <v>768.728351768</v>
      </c>
      <c r="E8" s="0" t="n">
        <f aca="false">E6*E7/100</f>
        <v>834.23737652736</v>
      </c>
      <c r="F8" s="0" t="n">
        <f aca="false">F6*F7/100</f>
        <v>912.4471305768</v>
      </c>
      <c r="G8" s="0" t="n">
        <f aca="false">G6*G7/100</f>
        <v>977.230876847753</v>
      </c>
      <c r="H8" s="0" t="n">
        <f aca="false">H6*H7/100</f>
        <v>1036.24795725346</v>
      </c>
      <c r="I8" s="0" t="n">
        <f aca="false">I6*I7/100</f>
        <v>1067.33539597106</v>
      </c>
      <c r="J8" s="0" t="n">
        <f aca="false">J6*J7/100</f>
        <v>1099.3554578502</v>
      </c>
      <c r="K8" s="0" t="n">
        <f aca="false">K6*K7/100</f>
        <v>1132.3361215857</v>
      </c>
      <c r="L8" s="0" t="n">
        <f aca="false">L6*L7/100</f>
        <v>1166.30620523327</v>
      </c>
    </row>
    <row r="9" customFormat="false" ht="15" hidden="false" customHeight="false" outlineLevel="0" collapsed="false">
      <c r="A9" s="0" t="s">
        <v>99</v>
      </c>
      <c r="C9" s="4" t="n">
        <f aca="false">Assumptions!C43</f>
        <v>0.6</v>
      </c>
      <c r="D9" s="4" t="n">
        <f aca="false">Assumptions!D43</f>
        <v>0.6</v>
      </c>
      <c r="E9" s="4" t="n">
        <f aca="false">Assumptions!E43</f>
        <v>0.6</v>
      </c>
      <c r="F9" s="4" t="n">
        <f aca="false">Assumptions!F43</f>
        <v>0.55</v>
      </c>
      <c r="G9" s="4" t="n">
        <f aca="false">Assumptions!G43</f>
        <v>0.55</v>
      </c>
      <c r="H9" s="4" t="n">
        <f aca="false">Assumptions!H43</f>
        <v>0.5</v>
      </c>
      <c r="I9" s="4" t="n">
        <f aca="false">Assumptions!I43</f>
        <v>0.5</v>
      </c>
      <c r="J9" s="4" t="n">
        <f aca="false">Assumptions!J43</f>
        <v>0.5</v>
      </c>
      <c r="K9" s="4" t="n">
        <f aca="false">Assumptions!K43</f>
        <v>0.5</v>
      </c>
      <c r="L9" s="4" t="n">
        <f aca="false">Assumptions!L43</f>
        <v>0.5</v>
      </c>
    </row>
    <row r="10" customFormat="false" ht="15" hidden="false" customHeight="false" outlineLevel="0" collapsed="false">
      <c r="A10" s="0" t="s">
        <v>114</v>
      </c>
      <c r="C10" s="0" t="n">
        <f aca="false">-C6*C9/100</f>
        <v>-19.46969232</v>
      </c>
      <c r="D10" s="0" t="n">
        <f aca="false">-D6*D9/100</f>
        <v>-20.0537830896</v>
      </c>
      <c r="E10" s="0" t="n">
        <f aca="false">-E6*E9/100</f>
        <v>-20.855934413184</v>
      </c>
      <c r="F10" s="0" t="n">
        <f aca="false">-F6*F9/100</f>
        <v>-20.0738368726896</v>
      </c>
      <c r="G10" s="0" t="n">
        <f aca="false">-G6*G9/100</f>
        <v>-21.0775287163241</v>
      </c>
      <c r="H10" s="0" t="n">
        <f aca="false">-H6*H9/100</f>
        <v>-19.9278453317973</v>
      </c>
      <c r="I10" s="0" t="n">
        <f aca="false">-I6*I9/100</f>
        <v>-20.5256806917512</v>
      </c>
      <c r="J10" s="0" t="n">
        <f aca="false">-J6*J9/100</f>
        <v>-21.1414511125038</v>
      </c>
      <c r="K10" s="0" t="n">
        <f aca="false">-K6*K9/100</f>
        <v>-21.7756946458789</v>
      </c>
      <c r="L10" s="0" t="n">
        <f aca="false">-L6*L9/100</f>
        <v>-22.4289654852553</v>
      </c>
    </row>
    <row r="11" customFormat="false" ht="15" hidden="false" customHeight="false" outlineLevel="0" collapsed="false">
      <c r="A11" s="0" t="s">
        <v>115</v>
      </c>
      <c r="C11" s="0" t="n">
        <f aca="false">C8+C10+C24</f>
        <v>686.30665428</v>
      </c>
      <c r="D11" s="0" t="n">
        <f aca="false">D8+D10+D24</f>
        <v>740.3188257244</v>
      </c>
      <c r="E11" s="0" t="n">
        <f aca="false">E8+E10+E24</f>
        <v>804.691469442016</v>
      </c>
      <c r="F11" s="0" t="n">
        <f aca="false">F8+F10+F24</f>
        <v>883.248822398343</v>
      </c>
      <c r="G11" s="0" t="n">
        <f aca="false">G8+G10+G24</f>
        <v>946.572653260373</v>
      </c>
      <c r="H11" s="0" t="n">
        <f aca="false">H8+H10+H24</f>
        <v>1006.35618925576</v>
      </c>
      <c r="I11" s="0" t="n">
        <f aca="false">I8+I10+I24</f>
        <v>1036.54687493344</v>
      </c>
      <c r="J11" s="0" t="n">
        <f aca="false">J8+J10+J24</f>
        <v>1067.64328118144</v>
      </c>
      <c r="K11" s="0" t="n">
        <f aca="false">K8+K10+K24</f>
        <v>1099.67257961688</v>
      </c>
      <c r="L11" s="0" t="n">
        <f aca="false">L8+L10+L24</f>
        <v>1132.66275700539</v>
      </c>
    </row>
    <row r="12" customFormat="false" ht="15" hidden="false" customHeight="false" outlineLevel="0" collapsed="false">
      <c r="A12" s="0" t="s">
        <v>116</v>
      </c>
      <c r="C12" s="4" t="n">
        <f aca="false">-C6*Assumptions!C45/100</f>
        <v>-51.91917952</v>
      </c>
      <c r="D12" s="4" t="n">
        <f aca="false">-D6*Assumptions!D45/100</f>
        <v>-43.4498633608</v>
      </c>
      <c r="E12" s="4" t="n">
        <f aca="false">-E6*Assumptions!E45/100</f>
        <v>-34.75989068864</v>
      </c>
      <c r="F12" s="4" t="n">
        <f aca="false">-F6*Assumptions!F45/100</f>
        <v>-29.1983081784576</v>
      </c>
      <c r="G12" s="4" t="n">
        <f aca="false">-G6*Assumptions!G45/100</f>
        <v>-26.8259456389579</v>
      </c>
      <c r="H12" s="4" t="n">
        <f aca="false">-H6*Assumptions!H45/100</f>
        <v>-23.9134143981568</v>
      </c>
      <c r="I12" s="4" t="n">
        <f aca="false">-I6*Assumptions!I45/100</f>
        <v>-24.6308168301015</v>
      </c>
      <c r="J12" s="4" t="n">
        <f aca="false">-J6*Assumptions!J45/100</f>
        <v>-25.3697413350045</v>
      </c>
      <c r="K12" s="4" t="n">
        <f aca="false">-K6*Assumptions!K45/100</f>
        <v>-26.1308335750547</v>
      </c>
      <c r="L12" s="4" t="n">
        <f aca="false">-L6*Assumptions!L45/100</f>
        <v>-26.9147585823063</v>
      </c>
    </row>
    <row r="13" customFormat="false" ht="15" hidden="false" customHeight="false" outlineLevel="0" collapsed="false">
      <c r="A13" s="0" t="s">
        <v>117</v>
      </c>
      <c r="C13" s="0" t="n">
        <f aca="false">C11+C12</f>
        <v>634.38747476</v>
      </c>
      <c r="D13" s="0" t="n">
        <f aca="false">D11+D12</f>
        <v>696.8689623636</v>
      </c>
      <c r="E13" s="0" t="n">
        <f aca="false">E11+E12</f>
        <v>769.931578753376</v>
      </c>
      <c r="F13" s="0" t="n">
        <f aca="false">F11+F12</f>
        <v>854.050514219885</v>
      </c>
      <c r="G13" s="0" t="n">
        <f aca="false">G11+G12</f>
        <v>919.746707621415</v>
      </c>
      <c r="H13" s="0" t="n">
        <f aca="false">H11+H12</f>
        <v>982.442774857608</v>
      </c>
      <c r="I13" s="0" t="n">
        <f aca="false">I11+I12</f>
        <v>1011.91605810334</v>
      </c>
      <c r="J13" s="0" t="n">
        <f aca="false">J11+J12</f>
        <v>1042.27353984644</v>
      </c>
      <c r="K13" s="0" t="n">
        <f aca="false">K11+K12</f>
        <v>1073.54174604183</v>
      </c>
      <c r="L13" s="0" t="n">
        <f aca="false">L11+L12</f>
        <v>1105.74799842308</v>
      </c>
    </row>
    <row r="14" customFormat="false" ht="15" hidden="false" customHeight="false" outlineLevel="0" collapsed="false">
      <c r="A14" s="0" t="s">
        <v>103</v>
      </c>
      <c r="C14" s="4" t="n">
        <f aca="false">Assumptions!C47</f>
        <v>28</v>
      </c>
      <c r="D14" s="4" t="n">
        <f aca="false">Assumptions!D47</f>
        <v>28</v>
      </c>
      <c r="E14" s="4" t="n">
        <f aca="false">Assumptions!E47</f>
        <v>28</v>
      </c>
      <c r="F14" s="4" t="n">
        <f aca="false">Assumptions!F47</f>
        <v>28</v>
      </c>
      <c r="G14" s="4" t="n">
        <f aca="false">Assumptions!G47</f>
        <v>28</v>
      </c>
      <c r="H14" s="4" t="n">
        <f aca="false">Assumptions!H47</f>
        <v>28</v>
      </c>
      <c r="I14" s="4" t="n">
        <f aca="false">Assumptions!I47</f>
        <v>28</v>
      </c>
      <c r="J14" s="4" t="n">
        <f aca="false">Assumptions!J47</f>
        <v>28</v>
      </c>
      <c r="K14" s="4" t="n">
        <f aca="false">Assumptions!K47</f>
        <v>28</v>
      </c>
      <c r="L14" s="4" t="n">
        <f aca="false">Assumptions!L47</f>
        <v>28</v>
      </c>
    </row>
    <row r="15" customFormat="false" ht="15" hidden="false" customHeight="false" outlineLevel="0" collapsed="false">
      <c r="A15" s="0" t="s">
        <v>118</v>
      </c>
      <c r="C15" s="0" t="n">
        <f aca="false">C13-MAX(0,C13)*C14/100</f>
        <v>456.7589818272</v>
      </c>
      <c r="D15" s="0" t="n">
        <f aca="false">D13-MAX(0,D13)*D14/100</f>
        <v>501.745652901792</v>
      </c>
      <c r="E15" s="0" t="n">
        <f aca="false">E13-MAX(0,E13)*E14/100</f>
        <v>554.350736702431</v>
      </c>
      <c r="F15" s="0" t="n">
        <f aca="false">F13-MAX(0,F13)*F14/100</f>
        <v>614.916370238317</v>
      </c>
      <c r="G15" s="0" t="n">
        <f aca="false">G13-MAX(0,G13)*G14/100</f>
        <v>662.217629487419</v>
      </c>
      <c r="H15" s="0" t="n">
        <f aca="false">H13-MAX(0,H13)*H14/100</f>
        <v>707.358797897478</v>
      </c>
      <c r="I15" s="0" t="n">
        <f aca="false">I13-MAX(0,I13)*I14/100</f>
        <v>728.579561834402</v>
      </c>
      <c r="J15" s="0" t="n">
        <f aca="false">J13-MAX(0,J13)*J14/100</f>
        <v>750.436948689434</v>
      </c>
      <c r="K15" s="0" t="n">
        <f aca="false">K13-MAX(0,K13)*K14/100</f>
        <v>772.950057150117</v>
      </c>
      <c r="L15" s="0" t="n">
        <f aca="false">L13-MAX(0,L13)*L14/100</f>
        <v>796.138558864621</v>
      </c>
    </row>
    <row r="16" customFormat="false" ht="15" hidden="false" customHeight="false" outlineLevel="0" collapsed="false">
      <c r="A16" s="0" t="s">
        <v>119</v>
      </c>
      <c r="C16" s="0" t="n">
        <f aca="false">-C12</f>
        <v>51.91917952</v>
      </c>
      <c r="D16" s="0" t="n">
        <f aca="false">-D12</f>
        <v>43.4498633608</v>
      </c>
      <c r="E16" s="0" t="n">
        <f aca="false">-E12</f>
        <v>34.75989068864</v>
      </c>
      <c r="F16" s="0" t="n">
        <f aca="false">-F12</f>
        <v>29.1983081784576</v>
      </c>
      <c r="G16" s="0" t="n">
        <f aca="false">-G12</f>
        <v>26.8259456389579</v>
      </c>
      <c r="H16" s="0" t="n">
        <f aca="false">-H12</f>
        <v>23.9134143981568</v>
      </c>
      <c r="I16" s="0" t="n">
        <f aca="false">-I12</f>
        <v>24.6308168301015</v>
      </c>
      <c r="J16" s="0" t="n">
        <f aca="false">-J12</f>
        <v>25.3697413350045</v>
      </c>
      <c r="K16" s="0" t="n">
        <f aca="false">-K12</f>
        <v>26.1308335750547</v>
      </c>
      <c r="L16" s="0" t="n">
        <f aca="false">-L12</f>
        <v>26.9147585823063</v>
      </c>
    </row>
    <row r="17" customFormat="false" ht="15" hidden="false" customHeight="false" outlineLevel="0" collapsed="false">
      <c r="A17" s="0" t="s">
        <v>120</v>
      </c>
      <c r="C17" s="4" t="n">
        <f aca="false">-C6*Assumptions!C46/100</f>
        <v>-19.46969232</v>
      </c>
      <c r="D17" s="4" t="n">
        <f aca="false">-D6*Assumptions!D46/100</f>
        <v>-20.0537830896</v>
      </c>
      <c r="E17" s="4" t="n">
        <f aca="false">-E6*Assumptions!E46/100</f>
        <v>-20.855934413184</v>
      </c>
      <c r="F17" s="4" t="n">
        <f aca="false">-F6*Assumptions!F46/100</f>
        <v>-21.8987311338432</v>
      </c>
      <c r="G17" s="4" t="n">
        <f aca="false">-G6*Assumptions!G46/100</f>
        <v>-22.9936676905354</v>
      </c>
      <c r="H17" s="4" t="n">
        <f aca="false">-H6*Assumptions!H46/100</f>
        <v>-23.9134143981568</v>
      </c>
      <c r="I17" s="4" t="n">
        <f aca="false">-I6*Assumptions!I46/100</f>
        <v>-24.6308168301015</v>
      </c>
      <c r="J17" s="4" t="n">
        <f aca="false">-J6*Assumptions!J46/100</f>
        <v>-25.3697413350045</v>
      </c>
      <c r="K17" s="4" t="n">
        <f aca="false">-K6*Assumptions!K46/100</f>
        <v>-26.1308335750547</v>
      </c>
      <c r="L17" s="4" t="n">
        <f aca="false">-L6*Assumptions!L46/100</f>
        <v>-26.9147585823063</v>
      </c>
    </row>
    <row r="18" customFormat="false" ht="15" hidden="false" customHeight="false" outlineLevel="0" collapsed="false">
      <c r="A18" s="0" t="s">
        <v>121</v>
      </c>
      <c r="C18" s="4" t="n">
        <f aca="false">(C6-B6)*Assumptions!$B$51/100</f>
        <v>-31.2014300000001</v>
      </c>
      <c r="D18" s="4" t="n">
        <f aca="false">(D6-C6)*Assumptions!$B$51/100</f>
        <v>-24.3371154</v>
      </c>
      <c r="E18" s="4" t="n">
        <f aca="false">(E6-D6)*Assumptions!$B$51/100</f>
        <v>-33.4229718160001</v>
      </c>
      <c r="F18" s="4" t="n">
        <f aca="false">(F6-E6)*Assumptions!$B$51/100</f>
        <v>-43.4498633608</v>
      </c>
      <c r="G18" s="4" t="n">
        <f aca="false">(G6-F6)*Assumptions!$B$51/100</f>
        <v>-45.6223565288401</v>
      </c>
      <c r="H18" s="4" t="n">
        <f aca="false">(H6-G6)*Assumptions!$B$51/100</f>
        <v>-38.3227794842256</v>
      </c>
      <c r="I18" s="4" t="n">
        <f aca="false">(I6-H6)*Assumptions!$B$51/100</f>
        <v>-29.8917679976961</v>
      </c>
      <c r="J18" s="4" t="n">
        <f aca="false">(J6-I6)*Assumptions!$B$51/100</f>
        <v>-30.7885210376269</v>
      </c>
      <c r="K18" s="4" t="n">
        <f aca="false">(K6-J6)*Assumptions!$B$51/100</f>
        <v>-31.7121766687558</v>
      </c>
      <c r="L18" s="4" t="n">
        <f aca="false">(L6-K6)*Assumptions!$B$51/100</f>
        <v>-32.6635419688184</v>
      </c>
    </row>
    <row r="19" customFormat="false" ht="15" hidden="false" customHeight="false" outlineLevel="0" collapsed="false">
      <c r="A19" s="0" t="s">
        <v>122</v>
      </c>
      <c r="C19" s="0" t="n">
        <f aca="false">C15+C16+C17+C18</f>
        <v>458.0070390272</v>
      </c>
      <c r="D19" s="0" t="n">
        <f aca="false">D15+D16+D17+D18</f>
        <v>500.804617772992</v>
      </c>
      <c r="E19" s="0" t="n">
        <f aca="false">E15+E16+E17+E18</f>
        <v>534.831721161887</v>
      </c>
      <c r="F19" s="0" t="n">
        <f aca="false">F15+F16+F17+F18</f>
        <v>578.766083922132</v>
      </c>
      <c r="G19" s="0" t="n">
        <f aca="false">G15+G16+G17+G18</f>
        <v>620.427550907001</v>
      </c>
      <c r="H19" s="0" t="n">
        <f aca="false">H15+H16+H17+H18</f>
        <v>669.036018413252</v>
      </c>
      <c r="I19" s="0" t="n">
        <f aca="false">I15+I16+I17+I18</f>
        <v>698.687793836706</v>
      </c>
      <c r="J19" s="0" t="n">
        <f aca="false">J15+J16+J17+J18</f>
        <v>719.648427651807</v>
      </c>
      <c r="K19" s="0" t="n">
        <f aca="false">K15+K16+K17+K18</f>
        <v>741.237880481362</v>
      </c>
      <c r="L19" s="0" t="n">
        <f aca="false">L15+L16+L17+L18</f>
        <v>763.475016895802</v>
      </c>
    </row>
    <row r="20" customFormat="false" ht="15" hidden="false" customHeight="false" outlineLevel="0" collapsed="false">
      <c r="A20" s="0" t="s">
        <v>123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124</v>
      </c>
      <c r="C21" s="0" t="n">
        <f aca="false">C19*C20</f>
        <v>416.370035479273</v>
      </c>
      <c r="D21" s="0" t="n">
        <f aca="false">D19*D20</f>
        <v>413.888113861977</v>
      </c>
      <c r="E21" s="0" t="n">
        <f aca="false">E19*E20</f>
        <v>401.826988100591</v>
      </c>
      <c r="F21" s="0" t="n">
        <f aca="false">F19*F20</f>
        <v>395.305022827766</v>
      </c>
      <c r="G21" s="0" t="n">
        <f aca="false">G19*G20</f>
        <v>385.236695771526</v>
      </c>
      <c r="H21" s="0" t="n">
        <f aca="false">H19*H20</f>
        <v>377.65339066126</v>
      </c>
      <c r="I21" s="0" t="n">
        <f aca="false">I19*I20</f>
        <v>358.537313516008</v>
      </c>
      <c r="J21" s="0" t="n">
        <f aca="false">J19*J20</f>
        <v>335.721302655898</v>
      </c>
      <c r="K21" s="0" t="n">
        <f aca="false">K19*K20</f>
        <v>314.357219759614</v>
      </c>
      <c r="L21" s="0" t="n">
        <f aca="false">L19*L20</f>
        <v>294.352669411275</v>
      </c>
    </row>
    <row r="23" customFormat="false" ht="15" hidden="false" customHeight="false" outlineLevel="0" collapsed="false">
      <c r="A23" s="0" t="s">
        <v>100</v>
      </c>
      <c r="C23" s="4" t="n">
        <f aca="false">Assumptions!C44</f>
        <v>0.25</v>
      </c>
      <c r="D23" s="4" t="n">
        <f aca="false">Assumptions!D44</f>
        <v>0.25</v>
      </c>
      <c r="E23" s="4" t="n">
        <f aca="false">Assumptions!E44</f>
        <v>0.25</v>
      </c>
      <c r="F23" s="4" t="n">
        <f aca="false">Assumptions!F44</f>
        <v>0.25</v>
      </c>
      <c r="G23" s="4" t="n">
        <f aca="false">Assumptions!G44</f>
        <v>0.25</v>
      </c>
      <c r="H23" s="4" t="n">
        <f aca="false">Assumptions!H44</f>
        <v>0.25</v>
      </c>
      <c r="I23" s="4" t="n">
        <f aca="false">Assumptions!I44</f>
        <v>0.25</v>
      </c>
      <c r="J23" s="4" t="n">
        <f aca="false">Assumptions!J44</f>
        <v>0.25</v>
      </c>
      <c r="K23" s="4" t="n">
        <f aca="false">Assumptions!K44</f>
        <v>0.25</v>
      </c>
      <c r="L23" s="4" t="n">
        <f aca="false">Assumptions!L44</f>
        <v>0.25</v>
      </c>
    </row>
    <row r="24" customFormat="false" ht="15" hidden="false" customHeight="false" outlineLevel="0" collapsed="false">
      <c r="A24" s="0" t="s">
        <v>125</v>
      </c>
      <c r="C24" s="0" t="n">
        <f aca="false">-C6*C23/100</f>
        <v>-8.1123718</v>
      </c>
      <c r="D24" s="0" t="n">
        <f aca="false">-D6*D23/100</f>
        <v>-8.355742954</v>
      </c>
      <c r="E24" s="0" t="n">
        <f aca="false">-E6*E23/100</f>
        <v>-8.68997267216</v>
      </c>
      <c r="F24" s="0" t="n">
        <f aca="false">-F6*F23/100</f>
        <v>-9.124471305768</v>
      </c>
      <c r="G24" s="0" t="n">
        <f aca="false">-G6*G23/100</f>
        <v>-9.5806948710564</v>
      </c>
      <c r="H24" s="0" t="n">
        <f aca="false">-H6*H23/100</f>
        <v>-9.96392266589866</v>
      </c>
      <c r="I24" s="0" t="n">
        <f aca="false">-I6*I23/100</f>
        <v>-10.2628403458756</v>
      </c>
      <c r="J24" s="0" t="n">
        <f aca="false">-J6*J23/100</f>
        <v>-10.5707255562519</v>
      </c>
      <c r="K24" s="0" t="n">
        <f aca="false">-K6*K23/100</f>
        <v>-10.8878473229394</v>
      </c>
      <c r="L24" s="0" t="n">
        <f aca="false">-L6*L23/100</f>
        <v>-11.2144827426276</v>
      </c>
    </row>
    <row r="26" customFormat="false" ht="15" hidden="false" customHeight="false" outlineLevel="0" collapsed="false">
      <c r="A26" s="2" t="s">
        <v>126</v>
      </c>
    </row>
    <row r="27" customFormat="false" ht="15" hidden="false" customHeight="false" outlineLevel="0" collapsed="false">
      <c r="A27" s="0" t="s">
        <v>104</v>
      </c>
      <c r="B27" s="4" t="n">
        <f aca="false">Assumptions!$B$48</f>
        <v>10</v>
      </c>
    </row>
    <row r="28" customFormat="false" ht="15" hidden="false" customHeight="false" outlineLevel="0" collapsed="false">
      <c r="A28" s="0" t="s">
        <v>105</v>
      </c>
      <c r="B28" s="4" t="n">
        <f aca="false">Assumptions!$B$49</f>
        <v>2</v>
      </c>
    </row>
    <row r="29" customFormat="false" ht="15" hidden="false" customHeight="false" outlineLevel="0" collapsed="false">
      <c r="A29" s="0" t="s">
        <v>106</v>
      </c>
      <c r="B29" s="4" t="n">
        <f aca="false">Assumptions!$B$50</f>
        <v>12</v>
      </c>
    </row>
    <row r="30" customFormat="false" ht="15" hidden="false" customHeight="false" outlineLevel="0" collapsed="false">
      <c r="A30" s="0" t="s">
        <v>127</v>
      </c>
      <c r="B30" s="0" t="n">
        <f aca="false">SUM(C21:L21)</f>
        <v>3693.24875204519</v>
      </c>
    </row>
    <row r="31" customFormat="false" ht="15" hidden="false" customHeight="false" outlineLevel="0" collapsed="false">
      <c r="A31" s="0" t="s">
        <v>128</v>
      </c>
      <c r="B31" s="0" t="n">
        <f aca="false">L19</f>
        <v>763.475016895802</v>
      </c>
    </row>
    <row r="32" customFormat="false" ht="15" hidden="false" customHeight="false" outlineLevel="0" collapsed="false">
      <c r="A32" s="0" t="s">
        <v>129</v>
      </c>
      <c r="B32" s="0" t="n">
        <f aca="false">IF(B27&gt;B28,B31*(1+B28/100)/((B27-B28)/100),B31*B29)</f>
        <v>9734.30646542148</v>
      </c>
    </row>
    <row r="33" customFormat="false" ht="15" hidden="false" customHeight="false" outlineLevel="0" collapsed="false">
      <c r="A33" s="0" t="s">
        <v>130</v>
      </c>
      <c r="B33" s="0" t="n">
        <f aca="false">B31*B29</f>
        <v>9161.70020274963</v>
      </c>
    </row>
    <row r="34" customFormat="false" ht="15" hidden="false" customHeight="false" outlineLevel="0" collapsed="false">
      <c r="A34" s="0" t="s">
        <v>131</v>
      </c>
      <c r="B34" s="0" t="n">
        <f aca="false">MAX(0,MIN(B32,B33))</f>
        <v>9161.70020274963</v>
      </c>
    </row>
    <row r="35" customFormat="false" ht="15" hidden="false" customHeight="false" outlineLevel="0" collapsed="false">
      <c r="A35" s="0" t="s">
        <v>132</v>
      </c>
      <c r="B35" s="0" t="n">
        <f aca="false">B34/(1+B27/100)^L4</f>
        <v>3532.2320329353</v>
      </c>
    </row>
    <row r="36" customFormat="false" ht="15" hidden="false" customHeight="false" outlineLevel="0" collapsed="false">
      <c r="A36" s="0" t="s">
        <v>133</v>
      </c>
      <c r="B36" s="0" t="n">
        <f aca="false">B30+B35</f>
        <v>7225.48078498048</v>
      </c>
    </row>
    <row r="37" customFormat="false" ht="15" hidden="false" customHeight="false" outlineLevel="0" collapsed="false">
      <c r="A37" s="0" t="s">
        <v>134</v>
      </c>
      <c r="B37" s="0" t="n">
        <f aca="false">B36+Assumptions!$B$5-Assumptions!$B$4</f>
        <v>8441.65578498048</v>
      </c>
    </row>
    <row r="38" customFormat="false" ht="15" hidden="false" customHeight="false" outlineLevel="0" collapsed="false">
      <c r="A38" s="0" t="s">
        <v>135</v>
      </c>
      <c r="B38" s="0" t="n">
        <f aca="false">B37/Assumptions!$B$3*Assumptions!$B$10</f>
        <v>5.03403910281978</v>
      </c>
    </row>
    <row r="39" customFormat="false" ht="15" hidden="false" customHeight="false" outlineLevel="0" collapsed="false">
      <c r="A39" s="0" t="s">
        <v>136</v>
      </c>
      <c r="B39" s="4" t="n">
        <f aca="false">B38/Assumptions!$B$2-1</f>
        <v>1.97872136261525</v>
      </c>
    </row>
    <row r="41" customFormat="false" ht="15" hidden="false" customHeight="false" outlineLevel="0" collapsed="false">
      <c r="A41" s="0" t="s">
        <v>137</v>
      </c>
      <c r="B41" s="0" t="n">
        <f aca="false">SUMPRODUCT(-C10:L10/(1+$B$27/100)^C4:L4)</f>
        <v>126.267323851453</v>
      </c>
    </row>
    <row r="42" customFormat="false" ht="15" hidden="false" customHeight="false" outlineLevel="0" collapsed="false">
      <c r="A42" s="0" t="s">
        <v>138</v>
      </c>
      <c r="B42" s="0" t="n">
        <f aca="false">IF(B27&gt;B28,-L10*(1+B28/100)/((B27-B28)/100),-L10*20)/(1+B27/100)^L4</f>
        <v>110.253548429006</v>
      </c>
    </row>
    <row r="43" customFormat="false" ht="15" hidden="false" customHeight="false" outlineLevel="0" collapsed="false">
      <c r="A43" s="0" t="s">
        <v>139</v>
      </c>
      <c r="B43" s="0" t="n">
        <f aca="false">(B37+B41+B42)/Assumptions!$B$3*Assumptions!$B$10</f>
        <v>5.17508433731172</v>
      </c>
    </row>
    <row r="45" customFormat="false" ht="15" hidden="false" customHeight="false" outlineLevel="0" collapsed="false">
      <c r="A45" s="0" t="s">
        <v>80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140</v>
      </c>
      <c r="B46" s="0" t="n">
        <f aca="false">MAX(0,MIN(IF(B45&gt;B28,B31*(1+B28/100)/((B45-B28)/100),B31*B29),B31*B29))</f>
        <v>5990.34244025937</v>
      </c>
    </row>
    <row r="47" customFormat="false" ht="15" hidden="false" customHeight="false" outlineLevel="0" collapsed="false">
      <c r="A47" s="0" t="s">
        <v>141</v>
      </c>
      <c r="B47" s="0" t="n">
        <f aca="false">(SUMPRODUCT(C19:L19/(1+B45/100)^C4:L4)+B46/(1+B45/100)^L4+Assumptions!$B$5-Assumptions!$B$4)/Assumptions!$B$3*Assumptions!$B$10</f>
        <v>3.37015435158029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144</v>
      </c>
    </row>
    <row r="3" customFormat="false" ht="15" hidden="false" customHeight="false" outlineLevel="0" collapsed="false">
      <c r="A3" s="2" t="s">
        <v>145</v>
      </c>
      <c r="B3" s="2" t="s">
        <v>146</v>
      </c>
      <c r="C3" s="2" t="s">
        <v>136</v>
      </c>
      <c r="D3" s="2" t="s">
        <v>147</v>
      </c>
      <c r="E3" s="2" t="s">
        <v>139</v>
      </c>
      <c r="F3" s="2" t="s">
        <v>148</v>
      </c>
    </row>
    <row r="4" customFormat="false" ht="15" hidden="false" customHeight="false" outlineLevel="0" collapsed="false">
      <c r="A4" s="0" t="s">
        <v>149</v>
      </c>
      <c r="B4" s="4" t="n">
        <f aca="false">DCF_Bear!$B$38</f>
        <v>2.03895344548052</v>
      </c>
      <c r="C4" s="0" t="n">
        <f aca="false">B4/Assumptions!$B$2-1</f>
        <v>0.2064813286867</v>
      </c>
      <c r="D4" s="4" t="n">
        <f aca="false">Assumptions!$B$24</f>
        <v>0.3</v>
      </c>
      <c r="E4" s="4" t="n">
        <f aca="false">DCF_Bear!$B$43</f>
        <v>2.12176435990753</v>
      </c>
      <c r="F4" s="4" t="n">
        <f aca="false">DCF_Bear!$B$47</f>
        <v>1.71032463751034</v>
      </c>
    </row>
    <row r="5" customFormat="false" ht="15" hidden="false" customHeight="false" outlineLevel="0" collapsed="false">
      <c r="A5" s="0" t="s">
        <v>150</v>
      </c>
      <c r="B5" s="4" t="n">
        <f aca="false">DCF_Base!$B$38</f>
        <v>3.35449166333001</v>
      </c>
      <c r="C5" s="0" t="n">
        <f aca="false">B5/Assumptions!$B$2-1</f>
        <v>0.984906309662727</v>
      </c>
      <c r="D5" s="4" t="n">
        <f aca="false">Assumptions!$B$38</f>
        <v>0.5</v>
      </c>
      <c r="E5" s="4" t="n">
        <f aca="false">DCF_Base!$B$43</f>
        <v>3.46446771239424</v>
      </c>
      <c r="F5" s="4" t="n">
        <f aca="false">DCF_Base!$B$47</f>
        <v>2.51218511918416</v>
      </c>
    </row>
    <row r="6" customFormat="false" ht="15" hidden="false" customHeight="false" outlineLevel="0" collapsed="false">
      <c r="A6" s="0" t="s">
        <v>151</v>
      </c>
      <c r="B6" s="4" t="n">
        <f aca="false">DCF_Bull!$B$38</f>
        <v>5.03403910281978</v>
      </c>
      <c r="C6" s="0" t="n">
        <f aca="false">B6/Assumptions!$B$2-1</f>
        <v>1.97872136261525</v>
      </c>
      <c r="D6" s="4" t="n">
        <f aca="false">Assumptions!$B$52</f>
        <v>0.2</v>
      </c>
      <c r="E6" s="4" t="n">
        <f aca="false">DCF_Bull!$B$43</f>
        <v>5.17508433731172</v>
      </c>
      <c r="F6" s="4" t="n">
        <f aca="false">DCF_Bull!$B$47</f>
        <v>3.37015435158029</v>
      </c>
    </row>
    <row r="8" customFormat="false" ht="15" hidden="false" customHeight="false" outlineLevel="0" collapsed="false">
      <c r="A8" s="0" t="s">
        <v>152</v>
      </c>
      <c r="B8" s="0" t="n">
        <f aca="false">SUMPRODUCT(B4:B6,D4:D6)</f>
        <v>3.29573968587312</v>
      </c>
    </row>
    <row r="9" customFormat="false" ht="15" hidden="false" customHeight="false" outlineLevel="0" collapsed="false">
      <c r="A9" s="0" t="s">
        <v>153</v>
      </c>
      <c r="B9" s="0" t="n">
        <f aca="false">SUMPRODUCT(E4:E6,D4:D6)</f>
        <v>3.40378003163173</v>
      </c>
    </row>
    <row r="10" customFormat="false" ht="15" hidden="false" customHeight="false" outlineLevel="0" collapsed="false">
      <c r="A10" s="0" t="s">
        <v>154</v>
      </c>
      <c r="B10" s="0" t="n">
        <f aca="false">1-Assumptions!$B$2/B8</f>
        <v>0.4872167825499</v>
      </c>
    </row>
    <row r="11" customFormat="false" ht="15" hidden="false" customHeight="false" outlineLevel="0" collapsed="false">
      <c r="A11" s="0" t="s">
        <v>155</v>
      </c>
      <c r="B11" s="0" t="n">
        <f aca="false">IF(ABS(B9-B8)&gt;0.01*ABS(B8),(Assumptions!$B$2-B8)/(B9-B8)*100,"n/a")</f>
        <v>-1486.24078773384</v>
      </c>
    </row>
    <row r="12" customFormat="false" ht="15" hidden="false" customHeight="false" outlineLevel="0" collapsed="false">
      <c r="A12" s="0" t="s">
        <v>156</v>
      </c>
      <c r="B12" s="0" t="n">
        <f aca="false">SUMPRODUCT(F4:F6,D4:D6)</f>
        <v>2.44322082116124</v>
      </c>
    </row>
    <row r="14" customFormat="false" ht="15" hidden="false" customHeight="false" outlineLevel="0" collapsed="false">
      <c r="A14" s="2" t="s">
        <v>157</v>
      </c>
      <c r="C14" s="0" t="s">
        <v>158</v>
      </c>
    </row>
    <row r="15" customFormat="false" ht="15" hidden="false" customHeight="false" outlineLevel="0" collapsed="false">
      <c r="A15" s="0" t="s">
        <v>159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3.52703119695424</v>
      </c>
      <c r="C15" s="3" t="n">
        <v>9</v>
      </c>
    </row>
    <row r="16" customFormat="false" ht="15" hidden="false" customHeight="false" outlineLevel="0" collapsed="false">
      <c r="A16" s="0" t="s">
        <v>160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3.35449166333001</v>
      </c>
      <c r="C16" s="3" t="n">
        <v>10</v>
      </c>
    </row>
    <row r="17" customFormat="false" ht="15" hidden="false" customHeight="false" outlineLevel="0" collapsed="false">
      <c r="A17" s="0" t="s">
        <v>161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3.19629805186679</v>
      </c>
      <c r="C17" s="3" t="n">
        <v>11</v>
      </c>
    </row>
    <row r="18" customFormat="false" ht="15" hidden="false" customHeight="false" outlineLevel="0" collapsed="false">
      <c r="A18" s="0" t="s">
        <v>162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3.02143959353937</v>
      </c>
      <c r="C18" s="3" t="n">
        <v>12</v>
      </c>
    </row>
    <row r="19" customFormat="false" ht="15" hidden="false" customHeight="false" outlineLevel="0" collapsed="false">
      <c r="A19" s="0" t="s">
        <v>163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2.51218511918416</v>
      </c>
      <c r="C19" s="3" t="n">
        <v>15</v>
      </c>
    </row>
    <row r="21" customFormat="false" ht="15" hidden="false" customHeight="false" outlineLevel="0" collapsed="false">
      <c r="A21" s="2" t="s">
        <v>164</v>
      </c>
    </row>
    <row r="22" customFormat="false" ht="15" hidden="false" customHeight="false" outlineLevel="0" collapsed="false">
      <c r="B22" s="3" t="n">
        <v>0.5</v>
      </c>
      <c r="C22" s="3" t="n">
        <v>1</v>
      </c>
      <c r="D22" s="3" t="n">
        <v>1.5</v>
      </c>
      <c r="E22" s="3" t="n">
        <v>2</v>
      </c>
      <c r="F22" s="3" t="n">
        <v>2.5</v>
      </c>
    </row>
    <row r="23" customFormat="false" ht="15" hidden="false" customHeight="false" outlineLevel="0" collapsed="false">
      <c r="A23" s="3" t="n">
        <v>8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3.71545688601861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3.71545688601861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3.71545688601861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3.71545688601861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3.71545688601861</v>
      </c>
    </row>
    <row r="24" customFormat="false" ht="15" hidden="false" customHeight="false" outlineLevel="0" collapsed="false">
      <c r="A24" s="3" t="n">
        <v>9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3.52703119695424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3.52703119695424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3.52703119695424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3.52703119695424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3.52703119695424</v>
      </c>
    </row>
    <row r="25" customFormat="false" ht="15" hidden="false" customHeight="false" outlineLevel="0" collapsed="false">
      <c r="A25" s="3" t="n">
        <v>10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3.35449166333001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3.35449166333001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3.35449166333001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3.35449166333001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3.35449166333001</v>
      </c>
    </row>
    <row r="26" customFormat="false" ht="15" hidden="false" customHeight="false" outlineLevel="0" collapsed="false">
      <c r="A26" s="3" t="n">
        <v>11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3.1546204590829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3.19629805186679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3.19629805186679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3.19629805186679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3.19629805186679</v>
      </c>
    </row>
    <row r="27" customFormat="false" ht="15" hidden="false" customHeight="false" outlineLevel="0" collapsed="false">
      <c r="A27" s="3" t="n">
        <v>12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2.93897645561976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2.97833386235412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3.02143959353937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3.05107478372922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3.05107478372922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2026-10-23T22:06:19Z</dcterms:created>
  <dc:creator>openpyxl</dc:creator>
  <dc:description/>
  <dc:language>en-NZ</dc:language>
  <cp:lastModifiedBy/>
  <dcterms:modified xsi:type="dcterms:W3CDTF">2026-10-23T22:06:19Z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