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Bull-Bear 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TWR.NZ - Tower Limited — Book Value Compounding Model (Base Case)</t>
        </is>
      </c>
    </row>
    <row r="2">
      <c r="A2" t="inlineStr">
        <is>
          <t>Gray cells are INPUTS. Insurer model: BVPS x ROE path, dividends at payout ratio, exit P/B at cost of equity. NOT an FCF DCF. NZD.</t>
        </is>
      </c>
    </row>
    <row r="4">
      <c r="A4" s="1" t="inlineStr">
        <is>
          <t>KEY INPUTS</t>
        </is>
      </c>
    </row>
    <row r="5">
      <c r="A5" t="inlineStr">
        <is>
          <t>Current Stock Price (NZD)</t>
        </is>
      </c>
      <c r="B5" s="2" t="n">
        <v>1.965</v>
      </c>
    </row>
    <row r="6">
      <c r="A6" t="inlineStr">
        <is>
          <t>Shares (diluted, M)</t>
        </is>
      </c>
      <c r="B6" s="2" t="n">
        <v>346.467669</v>
      </c>
    </row>
    <row r="7">
      <c r="A7" t="inlineStr">
        <is>
          <t>Shares on issue (M)</t>
        </is>
      </c>
      <c r="B7" s="2" t="n">
        <v>343.411351</v>
      </c>
    </row>
    <row r="8">
      <c r="A8" t="inlineStr">
        <is>
          <t>Equity 31-Mar-2026 (NZ$M)</t>
        </is>
      </c>
      <c r="B8" s="2" t="n">
        <v>318.068</v>
      </c>
    </row>
    <row r="9">
      <c r="A9" t="inlineStr">
        <is>
          <t>H2 FY26 reported NPAT est (NZ$M)</t>
        </is>
      </c>
      <c r="B9" s="2" t="n">
        <v>18</v>
      </c>
    </row>
    <row r="10">
      <c r="A10" t="inlineStr">
        <is>
          <t>FY26 interim dividend (NZ$/sh)</t>
        </is>
      </c>
      <c r="B10" s="2" t="n">
        <v>0.05</v>
      </c>
    </row>
    <row r="11">
      <c r="A11" t="inlineStr">
        <is>
          <t>Cash (NZ$M)</t>
        </is>
      </c>
      <c r="B11" s="2" t="n">
        <v>95.611</v>
      </c>
    </row>
    <row r="12">
      <c r="A12" t="inlineStr">
        <is>
          <t>Fixed-interest investments (NZ$M)</t>
        </is>
      </c>
      <c r="B12" s="2" t="n">
        <v>325.896</v>
      </c>
    </row>
    <row r="13">
      <c r="A13" t="inlineStr">
        <is>
          <t>Lease liabilities (NZ$M) - not deducted</t>
        </is>
      </c>
      <c r="B13" s="2" t="n">
        <v>23.287</v>
      </c>
    </row>
    <row r="14">
      <c r="A14" t="inlineStr">
        <is>
          <t>Starting BVPS FY26E (30-Sep-2026)</t>
        </is>
      </c>
      <c r="B14">
        <f>(B8+B9-B10*B7)/B6</f>
        <v/>
      </c>
    </row>
    <row r="15">
      <c r="A15" t="inlineStr">
        <is>
          <t>Reported BVPS 31-Mar-2026 (diluted)</t>
        </is>
      </c>
      <c r="B15">
        <f>B8/B6</f>
        <v/>
      </c>
    </row>
    <row r="17">
      <c r="A17" t="inlineStr">
        <is>
          <t>Cost of Equity (Base)</t>
        </is>
      </c>
      <c r="B17" s="2" t="n">
        <v>0.11</v>
      </c>
    </row>
    <row r="18">
      <c r="A18" t="inlineStr">
        <is>
          <t>Exit Price-to-Book (Base)</t>
        </is>
      </c>
      <c r="B18" s="2" t="n">
        <v>1.6</v>
      </c>
    </row>
    <row r="19">
      <c r="A19" t="inlineStr">
        <is>
          <t>Payout ratio of reported NPAT (Base)</t>
        </is>
      </c>
      <c r="B19" s="2" t="n">
        <v>0.7</v>
      </c>
    </row>
    <row r="21">
      <c r="A21" s="1" t="inlineStr">
        <is>
          <t>ROE PATH (reported NPAT / opening equity)</t>
        </is>
      </c>
    </row>
    <row r="22">
      <c r="B22" t="inlineStr">
        <is>
          <t>FY2027</t>
        </is>
      </c>
      <c r="C22" t="inlineStr">
        <is>
          <t>FY2028</t>
        </is>
      </c>
      <c r="D22" t="inlineStr">
        <is>
          <t>FY2029</t>
        </is>
      </c>
      <c r="E22" t="inlineStr">
        <is>
          <t>FY2030</t>
        </is>
      </c>
      <c r="F22" t="inlineStr">
        <is>
          <t>FY2031</t>
        </is>
      </c>
    </row>
    <row r="23">
      <c r="A23" t="inlineStr">
        <is>
          <t>ROE</t>
        </is>
      </c>
      <c r="B23" s="2" t="n">
        <v>0.16</v>
      </c>
      <c r="C23" s="2" t="n">
        <v>0.17</v>
      </c>
      <c r="D23" s="2" t="n">
        <v>0.17</v>
      </c>
      <c r="E23" s="2" t="n">
        <v>0.165</v>
      </c>
      <c r="F23" s="2" t="n">
        <v>0.16</v>
      </c>
    </row>
    <row r="25">
      <c r="A25" s="1" t="inlineStr">
        <is>
          <t>PROJECTIONS</t>
        </is>
      </c>
    </row>
    <row r="26">
      <c r="B26" t="inlineStr">
        <is>
          <t>FY26E</t>
        </is>
      </c>
      <c r="C26" t="inlineStr">
        <is>
          <t>FY2027</t>
        </is>
      </c>
      <c r="D26" t="inlineStr">
        <is>
          <t>FY2028</t>
        </is>
      </c>
      <c r="E26" t="inlineStr">
        <is>
          <t>FY2029</t>
        </is>
      </c>
      <c r="F26" t="inlineStr">
        <is>
          <t>FY2030</t>
        </is>
      </c>
      <c r="G26" t="inlineStr">
        <is>
          <t>FY2031</t>
        </is>
      </c>
    </row>
    <row r="27">
      <c r="A27" t="inlineStr">
        <is>
          <t>Opening BVPS</t>
        </is>
      </c>
      <c r="C27">
        <f>B30</f>
        <v/>
      </c>
      <c r="D27">
        <f>C30</f>
        <v/>
      </c>
      <c r="E27">
        <f>D30</f>
        <v/>
      </c>
      <c r="F27">
        <f>E30</f>
        <v/>
      </c>
      <c r="G27">
        <f>F30</f>
        <v/>
      </c>
    </row>
    <row r="28">
      <c r="A28" t="inlineStr">
        <is>
          <t>EPS (= opening BVPS x ROE)</t>
        </is>
      </c>
      <c r="C28">
        <f>C27*B23</f>
        <v/>
      </c>
      <c r="D28">
        <f>D27*C23</f>
        <v/>
      </c>
      <c r="E28">
        <f>E27*D23</f>
        <v/>
      </c>
      <c r="F28">
        <f>F27*E23</f>
        <v/>
      </c>
      <c r="G28">
        <f>G27*F23</f>
        <v/>
      </c>
    </row>
    <row r="29">
      <c r="A29" t="inlineStr">
        <is>
          <t>Dividend per share</t>
        </is>
      </c>
      <c r="C29">
        <f>C28*$B$19</f>
        <v/>
      </c>
      <c r="D29">
        <f>D28*$B$19</f>
        <v/>
      </c>
      <c r="E29">
        <f>E28*$B$19</f>
        <v/>
      </c>
      <c r="F29">
        <f>F28*$B$19</f>
        <v/>
      </c>
      <c r="G29">
        <f>G28*$B$19</f>
        <v/>
      </c>
    </row>
    <row r="30">
      <c r="A30" t="inlineStr">
        <is>
          <t>Closing BVPS</t>
        </is>
      </c>
      <c r="B30">
        <f>B14</f>
        <v/>
      </c>
      <c r="C30">
        <f>C27+C28-C29</f>
        <v/>
      </c>
      <c r="D30">
        <f>D27+D28-D29</f>
        <v/>
      </c>
      <c r="E30">
        <f>E27+E28-E29</f>
        <v/>
      </c>
      <c r="F30">
        <f>F27+F28-F29</f>
        <v/>
      </c>
      <c r="G30">
        <f>G27+G28-G29</f>
        <v/>
      </c>
    </row>
    <row r="31">
      <c r="A31" t="inlineStr">
        <is>
          <t>Discount factor</t>
        </is>
      </c>
      <c r="C31">
        <f>1/(1+$B$17)^1</f>
        <v/>
      </c>
      <c r="D31">
        <f>1/(1+$B$17)^2</f>
        <v/>
      </c>
      <c r="E31">
        <f>1/(1+$B$17)^3</f>
        <v/>
      </c>
      <c r="F31">
        <f>1/(1+$B$17)^4</f>
        <v/>
      </c>
      <c r="G31">
        <f>1/(1+$B$17)^5</f>
        <v/>
      </c>
    </row>
    <row r="32">
      <c r="A32" t="inlineStr">
        <is>
          <t>PV of dividend</t>
        </is>
      </c>
      <c r="C32">
        <f>C29*C31</f>
        <v/>
      </c>
      <c r="D32">
        <f>D29*D31</f>
        <v/>
      </c>
      <c r="E32">
        <f>E29*E31</f>
        <v/>
      </c>
      <c r="F32">
        <f>F29*F31</f>
        <v/>
      </c>
      <c r="G32">
        <f>G29*G31</f>
        <v/>
      </c>
    </row>
    <row r="34">
      <c r="A34" s="1" t="inlineStr">
        <is>
          <t>VALUATION</t>
        </is>
      </c>
    </row>
    <row r="35">
      <c r="A35" t="inlineStr">
        <is>
          <t>Sum of PV of dividends</t>
        </is>
      </c>
      <c r="B35">
        <f>SUM(C32:G32)</f>
        <v/>
      </c>
    </row>
    <row r="36">
      <c r="A36" t="inlineStr">
        <is>
          <t>Terminal BVPS (Year 5)</t>
        </is>
      </c>
      <c r="B36">
        <f>G30</f>
        <v/>
      </c>
    </row>
    <row r="37">
      <c r="A37" t="inlineStr">
        <is>
          <t>Exit P/B</t>
        </is>
      </c>
      <c r="B37">
        <f>B18</f>
        <v/>
      </c>
    </row>
    <row r="38">
      <c r="A38" t="inlineStr">
        <is>
          <t>Terminal value per share</t>
        </is>
      </c>
      <c r="B38">
        <f>B36*B37</f>
        <v/>
      </c>
    </row>
    <row r="39">
      <c r="A39" t="inlineStr">
        <is>
          <t>PV of terminal value</t>
        </is>
      </c>
      <c r="B39">
        <f>B38*G31</f>
        <v/>
      </c>
    </row>
    <row r="40">
      <c r="A40" s="1" t="inlineStr">
        <is>
          <t>INTRINSIC VALUE / SHARE</t>
        </is>
      </c>
      <c r="B40">
        <f>B35+B39</f>
        <v/>
      </c>
    </row>
    <row r="41">
      <c r="A41" t="inlineStr">
        <is>
          <t>Upside / (downside) vs price</t>
        </is>
      </c>
      <c r="B41">
        <f>(B40-B5)/B5</f>
        <v/>
      </c>
    </row>
    <row r="42">
      <c r="A42" t="inlineStr">
        <is>
          <t>Implied P/B on reported BVPS</t>
        </is>
      </c>
      <c r="B42">
        <f>B40/B15</f>
        <v/>
      </c>
    </row>
    <row r="43">
      <c r="A43" t="inlineStr">
        <is>
          <t>Implied P/E on FY27 EPS</t>
        </is>
      </c>
      <c r="B43">
        <f>B40/C28</f>
        <v/>
      </c>
    </row>
    <row r="45">
      <c r="A45" s="1" t="inlineStr">
        <is>
          <t>ENTRY PRICE (15% CAGR target)</t>
        </is>
      </c>
    </row>
    <row r="46">
      <c r="A46" t="inlineStr">
        <is>
          <t>Target CAGR</t>
        </is>
      </c>
      <c r="B46" s="2" t="n">
        <v>0.15</v>
      </c>
    </row>
    <row r="47">
      <c r="A47" t="inlineStr">
        <is>
          <t>Reinvested dividends FV (at target, to Yr 5)</t>
        </is>
      </c>
      <c r="B47">
        <f>C29*(1+$B$46)^4+D29*(1+$B$46)^3+E29*(1+$B$46)^2+F29*(1+$B$46)+G29</f>
        <v/>
      </c>
    </row>
    <row r="48">
      <c r="A48" t="inlineStr">
        <is>
          <t>Total Year-5 value</t>
        </is>
      </c>
      <c r="B48">
        <f>B38+B47</f>
        <v/>
      </c>
    </row>
    <row r="49">
      <c r="A49" t="inlineStr">
        <is>
          <t>Entry price (15% CAGR)</t>
        </is>
      </c>
      <c r="B49">
        <f>B48/(1+$B$46)^5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Bull / Bear scenario detail</t>
        </is>
      </c>
    </row>
    <row r="3">
      <c r="A3" s="1" t="inlineStr">
        <is>
          <t>BULL CASE</t>
        </is>
      </c>
    </row>
    <row r="4">
      <c r="A4" t="inlineStr">
        <is>
          <t>Cost of equity</t>
        </is>
      </c>
      <c r="B4" s="2" t="n">
        <v>0.1</v>
      </c>
    </row>
    <row r="5">
      <c r="A5" t="inlineStr">
        <is>
          <t>Exit P/B</t>
        </is>
      </c>
      <c r="B5" s="2" t="n">
        <v>2.1</v>
      </c>
    </row>
    <row r="6">
      <c r="A6" t="inlineStr">
        <is>
          <t>Payout ratio</t>
        </is>
      </c>
      <c r="B6" s="2" t="n">
        <v>0.7</v>
      </c>
    </row>
    <row r="7">
      <c r="B7" t="inlineStr">
        <is>
          <t>FY2027</t>
        </is>
      </c>
      <c r="C7" t="inlineStr">
        <is>
          <t>FY2028</t>
        </is>
      </c>
      <c r="D7" t="inlineStr">
        <is>
          <t>FY2029</t>
        </is>
      </c>
      <c r="E7" t="inlineStr">
        <is>
          <t>FY2030</t>
        </is>
      </c>
      <c r="F7" t="inlineStr">
        <is>
          <t>FY2031</t>
        </is>
      </c>
    </row>
    <row r="8">
      <c r="A8" t="inlineStr">
        <is>
          <t>ROE</t>
        </is>
      </c>
      <c r="B8" s="2" t="n">
        <v>0.19</v>
      </c>
      <c r="C8" s="2" t="n">
        <v>0.21</v>
      </c>
      <c r="D8" s="2" t="n">
        <v>0.21</v>
      </c>
      <c r="E8" s="2" t="n">
        <v>0.2</v>
      </c>
      <c r="F8" s="2" t="n">
        <v>0.2</v>
      </c>
    </row>
    <row r="9">
      <c r="B9" t="inlineStr">
        <is>
          <t>FY26E</t>
        </is>
      </c>
      <c r="C9" t="inlineStr">
        <is>
          <t>FY2027</t>
        </is>
      </c>
      <c r="D9" t="inlineStr">
        <is>
          <t>FY2028</t>
        </is>
      </c>
      <c r="E9" t="inlineStr">
        <is>
          <t>FY2029</t>
        </is>
      </c>
      <c r="F9" t="inlineStr">
        <is>
          <t>FY2030</t>
        </is>
      </c>
      <c r="G9" t="inlineStr">
        <is>
          <t>FY2031</t>
        </is>
      </c>
    </row>
    <row r="10">
      <c r="A10" t="inlineStr">
        <is>
          <t>Opening BVPS</t>
        </is>
      </c>
      <c r="C10">
        <f>B13</f>
        <v/>
      </c>
      <c r="D10">
        <f>C13</f>
        <v/>
      </c>
      <c r="E10">
        <f>D13</f>
        <v/>
      </c>
      <c r="F10">
        <f>E13</f>
        <v/>
      </c>
      <c r="G10">
        <f>F13</f>
        <v/>
      </c>
    </row>
    <row r="11">
      <c r="A11" t="inlineStr">
        <is>
          <t>EPS</t>
        </is>
      </c>
      <c r="C11">
        <f>C10*B8</f>
        <v/>
      </c>
      <c r="D11">
        <f>D10*C8</f>
        <v/>
      </c>
      <c r="E11">
        <f>E10*D8</f>
        <v/>
      </c>
      <c r="F11">
        <f>F10*E8</f>
        <v/>
      </c>
      <c r="G11">
        <f>G10*F8</f>
        <v/>
      </c>
    </row>
    <row r="12">
      <c r="A12" t="inlineStr">
        <is>
          <t>Dividend per share</t>
        </is>
      </c>
      <c r="C12">
        <f>C11*$B$6</f>
        <v/>
      </c>
      <c r="D12">
        <f>D11*$B$6</f>
        <v/>
      </c>
      <c r="E12">
        <f>E11*$B$6</f>
        <v/>
      </c>
      <c r="F12">
        <f>F11*$B$6</f>
        <v/>
      </c>
      <c r="G12">
        <f>G11*$B$6</f>
        <v/>
      </c>
    </row>
    <row r="13">
      <c r="A13" t="inlineStr">
        <is>
          <t>Closing BVPS</t>
        </is>
      </c>
      <c r="B13">
        <f>'DCF Model'!B14</f>
        <v/>
      </c>
      <c r="C13">
        <f>C10+C11-C12</f>
        <v/>
      </c>
      <c r="D13">
        <f>D10+D11-D12</f>
        <v/>
      </c>
      <c r="E13">
        <f>E10+E11-E12</f>
        <v/>
      </c>
      <c r="F13">
        <f>F10+F11-F12</f>
        <v/>
      </c>
      <c r="G13">
        <f>G10+G11-G12</f>
        <v/>
      </c>
    </row>
    <row r="14">
      <c r="A14" t="inlineStr">
        <is>
          <t>Discount factor</t>
        </is>
      </c>
      <c r="C14">
        <f>1/(1+$B$4)^1</f>
        <v/>
      </c>
      <c r="D14">
        <f>1/(1+$B$4)^2</f>
        <v/>
      </c>
      <c r="E14">
        <f>1/(1+$B$4)^3</f>
        <v/>
      </c>
      <c r="F14">
        <f>1/(1+$B$4)^4</f>
        <v/>
      </c>
      <c r="G14">
        <f>1/(1+$B$4)^5</f>
        <v/>
      </c>
    </row>
    <row r="15">
      <c r="A15" t="inlineStr">
        <is>
          <t>PV of dividend</t>
        </is>
      </c>
      <c r="C15">
        <f>C12*C14</f>
        <v/>
      </c>
      <c r="D15">
        <f>D12*D14</f>
        <v/>
      </c>
      <c r="E15">
        <f>E12*E14</f>
        <v/>
      </c>
      <c r="F15">
        <f>F12*F14</f>
        <v/>
      </c>
      <c r="G15">
        <f>G12*G14</f>
        <v/>
      </c>
    </row>
    <row r="17">
      <c r="A17" t="inlineStr">
        <is>
          <t>Sum PV dividends</t>
        </is>
      </c>
      <c r="B17">
        <f>SUM(C15:G15)</f>
        <v/>
      </c>
    </row>
    <row r="18">
      <c r="A18" t="inlineStr">
        <is>
          <t>Terminal value per share</t>
        </is>
      </c>
      <c r="B18">
        <f>G13*B5</f>
        <v/>
      </c>
    </row>
    <row r="19">
      <c r="A19" t="inlineStr">
        <is>
          <t>PV terminal value</t>
        </is>
      </c>
      <c r="B19">
        <f>B18*G14</f>
        <v/>
      </c>
    </row>
    <row r="20">
      <c r="A20" s="1" t="inlineStr">
        <is>
          <t>INTRINSIC VALUE / SHARE</t>
        </is>
      </c>
      <c r="B20">
        <f>B17+B19</f>
        <v/>
      </c>
    </row>
    <row r="21">
      <c r="A21" t="inlineStr">
        <is>
          <t>Entry price (15%)</t>
        </is>
      </c>
      <c r="B21">
        <f>(B18+C12*(1+'DCF Model'!$B$46)^4+D12*(1+'DCF Model'!$B$46)^3+E12*(1+'DCF Model'!$B$46)^2+F12*(1+'DCF Model'!$B$46)+G12)/(1+'DCF Model'!$B$46)^5</f>
        <v/>
      </c>
    </row>
    <row r="22">
      <c r="A22" s="1" t="inlineStr">
        <is>
          <t>BEAR CASE</t>
        </is>
      </c>
    </row>
    <row r="23">
      <c r="A23" t="inlineStr">
        <is>
          <t>Cost of equity</t>
        </is>
      </c>
      <c r="B23" s="2" t="n">
        <v>0.125</v>
      </c>
    </row>
    <row r="24">
      <c r="A24" t="inlineStr">
        <is>
          <t>Exit P/B</t>
        </is>
      </c>
      <c r="B24" s="2" t="n">
        <v>0.9</v>
      </c>
    </row>
    <row r="25">
      <c r="A25" t="inlineStr">
        <is>
          <t>Payout ratio</t>
        </is>
      </c>
      <c r="B25" s="2" t="n">
        <v>0.6</v>
      </c>
    </row>
    <row r="26">
      <c r="B26" t="inlineStr">
        <is>
          <t>FY2027</t>
        </is>
      </c>
      <c r="C26" t="inlineStr">
        <is>
          <t>FY2028</t>
        </is>
      </c>
      <c r="D26" t="inlineStr">
        <is>
          <t>FY2029</t>
        </is>
      </c>
      <c r="E26" t="inlineStr">
        <is>
          <t>FY2030</t>
        </is>
      </c>
      <c r="F26" t="inlineStr">
        <is>
          <t>FY2031</t>
        </is>
      </c>
    </row>
    <row r="27">
      <c r="A27" t="inlineStr">
        <is>
          <t>ROE</t>
        </is>
      </c>
      <c r="B27" s="2" t="n">
        <v>0.08</v>
      </c>
      <c r="C27" s="2" t="n">
        <v>0.1</v>
      </c>
      <c r="D27" s="2" t="n">
        <v>0.11</v>
      </c>
      <c r="E27" s="2" t="n">
        <v>0.11</v>
      </c>
      <c r="F27" s="2" t="n">
        <v>0.11</v>
      </c>
    </row>
    <row r="28">
      <c r="B28" t="inlineStr">
        <is>
          <t>FY26E</t>
        </is>
      </c>
      <c r="C28" t="inlineStr">
        <is>
          <t>FY2027</t>
        </is>
      </c>
      <c r="D28" t="inlineStr">
        <is>
          <t>FY2028</t>
        </is>
      </c>
      <c r="E28" t="inlineStr">
        <is>
          <t>FY2029</t>
        </is>
      </c>
      <c r="F28" t="inlineStr">
        <is>
          <t>FY2030</t>
        </is>
      </c>
      <c r="G28" t="inlineStr">
        <is>
          <t>FY2031</t>
        </is>
      </c>
    </row>
    <row r="29">
      <c r="A29" t="inlineStr">
        <is>
          <t>Opening BVPS</t>
        </is>
      </c>
      <c r="C29">
        <f>B32</f>
        <v/>
      </c>
      <c r="D29">
        <f>C32</f>
        <v/>
      </c>
      <c r="E29">
        <f>D32</f>
        <v/>
      </c>
      <c r="F29">
        <f>E32</f>
        <v/>
      </c>
      <c r="G29">
        <f>F32</f>
        <v/>
      </c>
    </row>
    <row r="30">
      <c r="A30" t="inlineStr">
        <is>
          <t>EPS</t>
        </is>
      </c>
      <c r="C30">
        <f>C29*B27</f>
        <v/>
      </c>
      <c r="D30">
        <f>D29*C27</f>
        <v/>
      </c>
      <c r="E30">
        <f>E29*D27</f>
        <v/>
      </c>
      <c r="F30">
        <f>F29*E27</f>
        <v/>
      </c>
      <c r="G30">
        <f>G29*F27</f>
        <v/>
      </c>
    </row>
    <row r="31">
      <c r="A31" t="inlineStr">
        <is>
          <t>Dividend per share</t>
        </is>
      </c>
      <c r="C31">
        <f>C30*$B$25</f>
        <v/>
      </c>
      <c r="D31">
        <f>D30*$B$25</f>
        <v/>
      </c>
      <c r="E31">
        <f>E30*$B$25</f>
        <v/>
      </c>
      <c r="F31">
        <f>F30*$B$25</f>
        <v/>
      </c>
      <c r="G31">
        <f>G30*$B$25</f>
        <v/>
      </c>
    </row>
    <row r="32">
      <c r="A32" t="inlineStr">
        <is>
          <t>Closing BVPS</t>
        </is>
      </c>
      <c r="B32">
        <f>'DCF Model'!B14</f>
        <v/>
      </c>
      <c r="C32">
        <f>C29+C30-C31</f>
        <v/>
      </c>
      <c r="D32">
        <f>D29+D30-D31</f>
        <v/>
      </c>
      <c r="E32">
        <f>E29+E30-E31</f>
        <v/>
      </c>
      <c r="F32">
        <f>F29+F30-F31</f>
        <v/>
      </c>
      <c r="G32">
        <f>G29+G30-G31</f>
        <v/>
      </c>
    </row>
    <row r="33">
      <c r="A33" t="inlineStr">
        <is>
          <t>Discount factor</t>
        </is>
      </c>
      <c r="C33">
        <f>1/(1+$B$23)^1</f>
        <v/>
      </c>
      <c r="D33">
        <f>1/(1+$B$23)^2</f>
        <v/>
      </c>
      <c r="E33">
        <f>1/(1+$B$23)^3</f>
        <v/>
      </c>
      <c r="F33">
        <f>1/(1+$B$23)^4</f>
        <v/>
      </c>
      <c r="G33">
        <f>1/(1+$B$23)^5</f>
        <v/>
      </c>
    </row>
    <row r="34">
      <c r="A34" t="inlineStr">
        <is>
          <t>PV of dividend</t>
        </is>
      </c>
      <c r="C34">
        <f>C31*C33</f>
        <v/>
      </c>
      <c r="D34">
        <f>D31*D33</f>
        <v/>
      </c>
      <c r="E34">
        <f>E31*E33</f>
        <v/>
      </c>
      <c r="F34">
        <f>F31*F33</f>
        <v/>
      </c>
      <c r="G34">
        <f>G31*G33</f>
        <v/>
      </c>
    </row>
    <row r="36">
      <c r="A36" t="inlineStr">
        <is>
          <t>Sum PV dividends</t>
        </is>
      </c>
      <c r="B36">
        <f>SUM(C34:G34)</f>
        <v/>
      </c>
    </row>
    <row r="37">
      <c r="A37" t="inlineStr">
        <is>
          <t>Terminal value per share</t>
        </is>
      </c>
      <c r="B37">
        <f>G32*B24</f>
        <v/>
      </c>
    </row>
    <row r="38">
      <c r="A38" t="inlineStr">
        <is>
          <t>PV terminal value</t>
        </is>
      </c>
      <c r="B38">
        <f>B37*G33</f>
        <v/>
      </c>
    </row>
    <row r="39">
      <c r="A39" s="1" t="inlineStr">
        <is>
          <t>INTRINSIC VALUE / SHARE</t>
        </is>
      </c>
      <c r="B39">
        <f>B36+B38</f>
        <v/>
      </c>
    </row>
    <row r="40">
      <c r="A40" t="inlineStr">
        <is>
          <t>Entry price (15%)</t>
        </is>
      </c>
      <c r="B40">
        <f>(B37+C31*(1+'DCF Model'!$B$46)^4+D31*(1+'DCF Model'!$B$46)^3+E31*(1+'DCF Model'!$B$46)^2+F31*(1+'DCF Model'!$B$46)+G31)/(1+'DCF Model'!$B$46)^5</f>
        <v/>
      </c>
    </row>
    <row r="42">
      <c r="A42" s="1" t="inlineStr">
        <is>
          <t>PROBABILITY WEIGHTED</t>
        </is>
      </c>
    </row>
    <row r="43">
      <c r="A43" t="inlineStr">
        <is>
          <t>Weight bear</t>
        </is>
      </c>
      <c r="B43" s="2" t="n">
        <v>0.2</v>
      </c>
    </row>
    <row r="44">
      <c r="A44" t="inlineStr">
        <is>
          <t>Weight base</t>
        </is>
      </c>
      <c r="B44" s="2" t="n">
        <v>0.5</v>
      </c>
    </row>
    <row r="45">
      <c r="A45" t="inlineStr">
        <is>
          <t>Weight bull</t>
        </is>
      </c>
      <c r="B45" s="2" t="n">
        <v>0.3</v>
      </c>
    </row>
    <row r="46">
      <c r="A46" t="inlineStr">
        <is>
          <t>Weighted intrinsic value</t>
        </is>
      </c>
      <c r="B46">
        <f>B43*B39+B44*'DCF Model'!B40+B45*B20</f>
        <v/>
      </c>
    </row>
    <row r="47">
      <c r="A47" t="inlineStr">
        <is>
          <t>Weighted entry price</t>
        </is>
      </c>
      <c r="B47">
        <f>B43*B40+B44*'DCF Model'!B49+B45*B21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Intrinsic value / share: cost of equity (rows) x exit P/B (columns), base ROE path</t>
        </is>
      </c>
    </row>
    <row r="3">
      <c r="A3" t="inlineStr">
        <is>
          <t>CoE \ Exit P/B</t>
        </is>
      </c>
      <c r="B3" t="n">
        <v>1.2</v>
      </c>
      <c r="C3" t="n">
        <v>1.4</v>
      </c>
      <c r="D3" t="n">
        <v>1.6</v>
      </c>
      <c r="E3" t="n">
        <v>1.8</v>
      </c>
      <c r="F3" t="n">
        <v>2</v>
      </c>
    </row>
    <row r="4">
      <c r="A4" t="n">
        <v>0.09</v>
      </c>
      <c r="B4">
        <f>('DCF Model'!C$29/(1+0.09)^1+'DCF Model'!D$29/(1+0.09)^2+'DCF Model'!E$29/(1+0.09)^3+'DCF Model'!F$29/(1+0.09)^4+'DCF Model'!G$29/(1+0.09)^5)+((((('DCF Model'!$B$14*(1+'DCF Model'!B$23*(1-'DCF Model'!$B$19)))*(1+'DCF Model'!C$23*(1-'DCF Model'!$B$19)))*(1+'DCF Model'!D$23*(1-'DCF Model'!$B$19)))*(1+'DCF Model'!E$23*(1-'DCF Model'!$B$19)))*(1+'DCF Model'!F$23*(1-'DCF Model'!$B$19)))*B$3/(1+0.09)^5</f>
        <v/>
      </c>
      <c r="C4">
        <f>('DCF Model'!C$29/(1+0.09)^1+'DCF Model'!D$29/(1+0.09)^2+'DCF Model'!E$29/(1+0.09)^3+'DCF Model'!F$29/(1+0.09)^4+'DCF Model'!G$29/(1+0.09)^5)+((((('DCF Model'!$B$14*(1+'DCF Model'!B$23*(1-'DCF Model'!$B$19)))*(1+'DCF Model'!C$23*(1-'DCF Model'!$B$19)))*(1+'DCF Model'!D$23*(1-'DCF Model'!$B$19)))*(1+'DCF Model'!E$23*(1-'DCF Model'!$B$19)))*(1+'DCF Model'!F$23*(1-'DCF Model'!$B$19)))*C$3/(1+0.09)^5</f>
        <v/>
      </c>
      <c r="D4">
        <f>('DCF Model'!C$29/(1+0.09)^1+'DCF Model'!D$29/(1+0.09)^2+'DCF Model'!E$29/(1+0.09)^3+'DCF Model'!F$29/(1+0.09)^4+'DCF Model'!G$29/(1+0.09)^5)+((((('DCF Model'!$B$14*(1+'DCF Model'!B$23*(1-'DCF Model'!$B$19)))*(1+'DCF Model'!C$23*(1-'DCF Model'!$B$19)))*(1+'DCF Model'!D$23*(1-'DCF Model'!$B$19)))*(1+'DCF Model'!E$23*(1-'DCF Model'!$B$19)))*(1+'DCF Model'!F$23*(1-'DCF Model'!$B$19)))*D$3/(1+0.09)^5</f>
        <v/>
      </c>
      <c r="E4">
        <f>('DCF Model'!C$29/(1+0.09)^1+'DCF Model'!D$29/(1+0.09)^2+'DCF Model'!E$29/(1+0.09)^3+'DCF Model'!F$29/(1+0.09)^4+'DCF Model'!G$29/(1+0.09)^5)+((((('DCF Model'!$B$14*(1+'DCF Model'!B$23*(1-'DCF Model'!$B$19)))*(1+'DCF Model'!C$23*(1-'DCF Model'!$B$19)))*(1+'DCF Model'!D$23*(1-'DCF Model'!$B$19)))*(1+'DCF Model'!E$23*(1-'DCF Model'!$B$19)))*(1+'DCF Model'!F$23*(1-'DCF Model'!$B$19)))*E$3/(1+0.09)^5</f>
        <v/>
      </c>
      <c r="F4">
        <f>('DCF Model'!C$29/(1+0.09)^1+'DCF Model'!D$29/(1+0.09)^2+'DCF Model'!E$29/(1+0.09)^3+'DCF Model'!F$29/(1+0.09)^4+'DCF Model'!G$29/(1+0.09)^5)+((((('DCF Model'!$B$14*(1+'DCF Model'!B$23*(1-'DCF Model'!$B$19)))*(1+'DCF Model'!C$23*(1-'DCF Model'!$B$19)))*(1+'DCF Model'!D$23*(1-'DCF Model'!$B$19)))*(1+'DCF Model'!E$23*(1-'DCF Model'!$B$19)))*(1+'DCF Model'!F$23*(1-'DCF Model'!$B$19)))*F$3/(1+0.09)^5</f>
        <v/>
      </c>
    </row>
    <row r="5">
      <c r="A5" t="n">
        <v>0.1</v>
      </c>
      <c r="B5">
        <f>('DCF Model'!C$29/(1+0.1)^1+'DCF Model'!D$29/(1+0.1)^2+'DCF Model'!E$29/(1+0.1)^3+'DCF Model'!F$29/(1+0.1)^4+'DCF Model'!G$29/(1+0.1)^5)+((((('DCF Model'!$B$14*(1+'DCF Model'!B$23*(1-'DCF Model'!$B$19)))*(1+'DCF Model'!C$23*(1-'DCF Model'!$B$19)))*(1+'DCF Model'!D$23*(1-'DCF Model'!$B$19)))*(1+'DCF Model'!E$23*(1-'DCF Model'!$B$19)))*(1+'DCF Model'!F$23*(1-'DCF Model'!$B$19)))*B$3/(1+0.1)^5</f>
        <v/>
      </c>
      <c r="C5">
        <f>('DCF Model'!C$29/(1+0.1)^1+'DCF Model'!D$29/(1+0.1)^2+'DCF Model'!E$29/(1+0.1)^3+'DCF Model'!F$29/(1+0.1)^4+'DCF Model'!G$29/(1+0.1)^5)+((((('DCF Model'!$B$14*(1+'DCF Model'!B$23*(1-'DCF Model'!$B$19)))*(1+'DCF Model'!C$23*(1-'DCF Model'!$B$19)))*(1+'DCF Model'!D$23*(1-'DCF Model'!$B$19)))*(1+'DCF Model'!E$23*(1-'DCF Model'!$B$19)))*(1+'DCF Model'!F$23*(1-'DCF Model'!$B$19)))*C$3/(1+0.1)^5</f>
        <v/>
      </c>
      <c r="D5">
        <f>('DCF Model'!C$29/(1+0.1)^1+'DCF Model'!D$29/(1+0.1)^2+'DCF Model'!E$29/(1+0.1)^3+'DCF Model'!F$29/(1+0.1)^4+'DCF Model'!G$29/(1+0.1)^5)+((((('DCF Model'!$B$14*(1+'DCF Model'!B$23*(1-'DCF Model'!$B$19)))*(1+'DCF Model'!C$23*(1-'DCF Model'!$B$19)))*(1+'DCF Model'!D$23*(1-'DCF Model'!$B$19)))*(1+'DCF Model'!E$23*(1-'DCF Model'!$B$19)))*(1+'DCF Model'!F$23*(1-'DCF Model'!$B$19)))*D$3/(1+0.1)^5</f>
        <v/>
      </c>
      <c r="E5">
        <f>('DCF Model'!C$29/(1+0.1)^1+'DCF Model'!D$29/(1+0.1)^2+'DCF Model'!E$29/(1+0.1)^3+'DCF Model'!F$29/(1+0.1)^4+'DCF Model'!G$29/(1+0.1)^5)+((((('DCF Model'!$B$14*(1+'DCF Model'!B$23*(1-'DCF Model'!$B$19)))*(1+'DCF Model'!C$23*(1-'DCF Model'!$B$19)))*(1+'DCF Model'!D$23*(1-'DCF Model'!$B$19)))*(1+'DCF Model'!E$23*(1-'DCF Model'!$B$19)))*(1+'DCF Model'!F$23*(1-'DCF Model'!$B$19)))*E$3/(1+0.1)^5</f>
        <v/>
      </c>
      <c r="F5">
        <f>('DCF Model'!C$29/(1+0.1)^1+'DCF Model'!D$29/(1+0.1)^2+'DCF Model'!E$29/(1+0.1)^3+'DCF Model'!F$29/(1+0.1)^4+'DCF Model'!G$29/(1+0.1)^5)+((((('DCF Model'!$B$14*(1+'DCF Model'!B$23*(1-'DCF Model'!$B$19)))*(1+'DCF Model'!C$23*(1-'DCF Model'!$B$19)))*(1+'DCF Model'!D$23*(1-'DCF Model'!$B$19)))*(1+'DCF Model'!E$23*(1-'DCF Model'!$B$19)))*(1+'DCF Model'!F$23*(1-'DCF Model'!$B$19)))*F$3/(1+0.1)^5</f>
        <v/>
      </c>
    </row>
    <row r="6">
      <c r="A6" t="n">
        <v>0.11</v>
      </c>
      <c r="B6">
        <f>('DCF Model'!C$29/(1+0.11)^1+'DCF Model'!D$29/(1+0.11)^2+'DCF Model'!E$29/(1+0.11)^3+'DCF Model'!F$29/(1+0.11)^4+'DCF Model'!G$29/(1+0.11)^5)+((((('DCF Model'!$B$14*(1+'DCF Model'!B$23*(1-'DCF Model'!$B$19)))*(1+'DCF Model'!C$23*(1-'DCF Model'!$B$19)))*(1+'DCF Model'!D$23*(1-'DCF Model'!$B$19)))*(1+'DCF Model'!E$23*(1-'DCF Model'!$B$19)))*(1+'DCF Model'!F$23*(1-'DCF Model'!$B$19)))*B$3/(1+0.11)^5</f>
        <v/>
      </c>
      <c r="C6">
        <f>('DCF Model'!C$29/(1+0.11)^1+'DCF Model'!D$29/(1+0.11)^2+'DCF Model'!E$29/(1+0.11)^3+'DCF Model'!F$29/(1+0.11)^4+'DCF Model'!G$29/(1+0.11)^5)+((((('DCF Model'!$B$14*(1+'DCF Model'!B$23*(1-'DCF Model'!$B$19)))*(1+'DCF Model'!C$23*(1-'DCF Model'!$B$19)))*(1+'DCF Model'!D$23*(1-'DCF Model'!$B$19)))*(1+'DCF Model'!E$23*(1-'DCF Model'!$B$19)))*(1+'DCF Model'!F$23*(1-'DCF Model'!$B$19)))*C$3/(1+0.11)^5</f>
        <v/>
      </c>
      <c r="D6">
        <f>('DCF Model'!C$29/(1+0.11)^1+'DCF Model'!D$29/(1+0.11)^2+'DCF Model'!E$29/(1+0.11)^3+'DCF Model'!F$29/(1+0.11)^4+'DCF Model'!G$29/(1+0.11)^5)+((((('DCF Model'!$B$14*(1+'DCF Model'!B$23*(1-'DCF Model'!$B$19)))*(1+'DCF Model'!C$23*(1-'DCF Model'!$B$19)))*(1+'DCF Model'!D$23*(1-'DCF Model'!$B$19)))*(1+'DCF Model'!E$23*(1-'DCF Model'!$B$19)))*(1+'DCF Model'!F$23*(1-'DCF Model'!$B$19)))*D$3/(1+0.11)^5</f>
        <v/>
      </c>
      <c r="E6">
        <f>('DCF Model'!C$29/(1+0.11)^1+'DCF Model'!D$29/(1+0.11)^2+'DCF Model'!E$29/(1+0.11)^3+'DCF Model'!F$29/(1+0.11)^4+'DCF Model'!G$29/(1+0.11)^5)+((((('DCF Model'!$B$14*(1+'DCF Model'!B$23*(1-'DCF Model'!$B$19)))*(1+'DCF Model'!C$23*(1-'DCF Model'!$B$19)))*(1+'DCF Model'!D$23*(1-'DCF Model'!$B$19)))*(1+'DCF Model'!E$23*(1-'DCF Model'!$B$19)))*(1+'DCF Model'!F$23*(1-'DCF Model'!$B$19)))*E$3/(1+0.11)^5</f>
        <v/>
      </c>
      <c r="F6">
        <f>('DCF Model'!C$29/(1+0.11)^1+'DCF Model'!D$29/(1+0.11)^2+'DCF Model'!E$29/(1+0.11)^3+'DCF Model'!F$29/(1+0.11)^4+'DCF Model'!G$29/(1+0.11)^5)+((((('DCF Model'!$B$14*(1+'DCF Model'!B$23*(1-'DCF Model'!$B$19)))*(1+'DCF Model'!C$23*(1-'DCF Model'!$B$19)))*(1+'DCF Model'!D$23*(1-'DCF Model'!$B$19)))*(1+'DCF Model'!E$23*(1-'DCF Model'!$B$19)))*(1+'DCF Model'!F$23*(1-'DCF Model'!$B$19)))*F$3/(1+0.11)^5</f>
        <v/>
      </c>
    </row>
    <row r="7">
      <c r="A7" t="n">
        <v>0.12</v>
      </c>
      <c r="B7">
        <f>('DCF Model'!C$29/(1+0.12)^1+'DCF Model'!D$29/(1+0.12)^2+'DCF Model'!E$29/(1+0.12)^3+'DCF Model'!F$29/(1+0.12)^4+'DCF Model'!G$29/(1+0.12)^5)+((((('DCF Model'!$B$14*(1+'DCF Model'!B$23*(1-'DCF Model'!$B$19)))*(1+'DCF Model'!C$23*(1-'DCF Model'!$B$19)))*(1+'DCF Model'!D$23*(1-'DCF Model'!$B$19)))*(1+'DCF Model'!E$23*(1-'DCF Model'!$B$19)))*(1+'DCF Model'!F$23*(1-'DCF Model'!$B$19)))*B$3/(1+0.12)^5</f>
        <v/>
      </c>
      <c r="C7">
        <f>('DCF Model'!C$29/(1+0.12)^1+'DCF Model'!D$29/(1+0.12)^2+'DCF Model'!E$29/(1+0.12)^3+'DCF Model'!F$29/(1+0.12)^4+'DCF Model'!G$29/(1+0.12)^5)+((((('DCF Model'!$B$14*(1+'DCF Model'!B$23*(1-'DCF Model'!$B$19)))*(1+'DCF Model'!C$23*(1-'DCF Model'!$B$19)))*(1+'DCF Model'!D$23*(1-'DCF Model'!$B$19)))*(1+'DCF Model'!E$23*(1-'DCF Model'!$B$19)))*(1+'DCF Model'!F$23*(1-'DCF Model'!$B$19)))*C$3/(1+0.12)^5</f>
        <v/>
      </c>
      <c r="D7">
        <f>('DCF Model'!C$29/(1+0.12)^1+'DCF Model'!D$29/(1+0.12)^2+'DCF Model'!E$29/(1+0.12)^3+'DCF Model'!F$29/(1+0.12)^4+'DCF Model'!G$29/(1+0.12)^5)+((((('DCF Model'!$B$14*(1+'DCF Model'!B$23*(1-'DCF Model'!$B$19)))*(1+'DCF Model'!C$23*(1-'DCF Model'!$B$19)))*(1+'DCF Model'!D$23*(1-'DCF Model'!$B$19)))*(1+'DCF Model'!E$23*(1-'DCF Model'!$B$19)))*(1+'DCF Model'!F$23*(1-'DCF Model'!$B$19)))*D$3/(1+0.12)^5</f>
        <v/>
      </c>
      <c r="E7">
        <f>('DCF Model'!C$29/(1+0.12)^1+'DCF Model'!D$29/(1+0.12)^2+'DCF Model'!E$29/(1+0.12)^3+'DCF Model'!F$29/(1+0.12)^4+'DCF Model'!G$29/(1+0.12)^5)+((((('DCF Model'!$B$14*(1+'DCF Model'!B$23*(1-'DCF Model'!$B$19)))*(1+'DCF Model'!C$23*(1-'DCF Model'!$B$19)))*(1+'DCF Model'!D$23*(1-'DCF Model'!$B$19)))*(1+'DCF Model'!E$23*(1-'DCF Model'!$B$19)))*(1+'DCF Model'!F$23*(1-'DCF Model'!$B$19)))*E$3/(1+0.12)^5</f>
        <v/>
      </c>
      <c r="F7">
        <f>('DCF Model'!C$29/(1+0.12)^1+'DCF Model'!D$29/(1+0.12)^2+'DCF Model'!E$29/(1+0.12)^3+'DCF Model'!F$29/(1+0.12)^4+'DCF Model'!G$29/(1+0.12)^5)+((((('DCF Model'!$B$14*(1+'DCF Model'!B$23*(1-'DCF Model'!$B$19)))*(1+'DCF Model'!C$23*(1-'DCF Model'!$B$19)))*(1+'DCF Model'!D$23*(1-'DCF Model'!$B$19)))*(1+'DCF Model'!E$23*(1-'DCF Model'!$B$19)))*(1+'DCF Model'!F$23*(1-'DCF Model'!$B$19)))*F$3/(1+0.12)^5</f>
        <v/>
      </c>
    </row>
    <row r="8">
      <c r="A8" t="n">
        <v>0.13</v>
      </c>
      <c r="B8">
        <f>('DCF Model'!C$29/(1+0.13)^1+'DCF Model'!D$29/(1+0.13)^2+'DCF Model'!E$29/(1+0.13)^3+'DCF Model'!F$29/(1+0.13)^4+'DCF Model'!G$29/(1+0.13)^5)+((((('DCF Model'!$B$14*(1+'DCF Model'!B$23*(1-'DCF Model'!$B$19)))*(1+'DCF Model'!C$23*(1-'DCF Model'!$B$19)))*(1+'DCF Model'!D$23*(1-'DCF Model'!$B$19)))*(1+'DCF Model'!E$23*(1-'DCF Model'!$B$19)))*(1+'DCF Model'!F$23*(1-'DCF Model'!$B$19)))*B$3/(1+0.13)^5</f>
        <v/>
      </c>
      <c r="C8">
        <f>('DCF Model'!C$29/(1+0.13)^1+'DCF Model'!D$29/(1+0.13)^2+'DCF Model'!E$29/(1+0.13)^3+'DCF Model'!F$29/(1+0.13)^4+'DCF Model'!G$29/(1+0.13)^5)+((((('DCF Model'!$B$14*(1+'DCF Model'!B$23*(1-'DCF Model'!$B$19)))*(1+'DCF Model'!C$23*(1-'DCF Model'!$B$19)))*(1+'DCF Model'!D$23*(1-'DCF Model'!$B$19)))*(1+'DCF Model'!E$23*(1-'DCF Model'!$B$19)))*(1+'DCF Model'!F$23*(1-'DCF Model'!$B$19)))*C$3/(1+0.13)^5</f>
        <v/>
      </c>
      <c r="D8">
        <f>('DCF Model'!C$29/(1+0.13)^1+'DCF Model'!D$29/(1+0.13)^2+'DCF Model'!E$29/(1+0.13)^3+'DCF Model'!F$29/(1+0.13)^4+'DCF Model'!G$29/(1+0.13)^5)+((((('DCF Model'!$B$14*(1+'DCF Model'!B$23*(1-'DCF Model'!$B$19)))*(1+'DCF Model'!C$23*(1-'DCF Model'!$B$19)))*(1+'DCF Model'!D$23*(1-'DCF Model'!$B$19)))*(1+'DCF Model'!E$23*(1-'DCF Model'!$B$19)))*(1+'DCF Model'!F$23*(1-'DCF Model'!$B$19)))*D$3/(1+0.13)^5</f>
        <v/>
      </c>
      <c r="E8">
        <f>('DCF Model'!C$29/(1+0.13)^1+'DCF Model'!D$29/(1+0.13)^2+'DCF Model'!E$29/(1+0.13)^3+'DCF Model'!F$29/(1+0.13)^4+'DCF Model'!G$29/(1+0.13)^5)+((((('DCF Model'!$B$14*(1+'DCF Model'!B$23*(1-'DCF Model'!$B$19)))*(1+'DCF Model'!C$23*(1-'DCF Model'!$B$19)))*(1+'DCF Model'!D$23*(1-'DCF Model'!$B$19)))*(1+'DCF Model'!E$23*(1-'DCF Model'!$B$19)))*(1+'DCF Model'!F$23*(1-'DCF Model'!$B$19)))*E$3/(1+0.13)^5</f>
        <v/>
      </c>
      <c r="F8">
        <f>('DCF Model'!C$29/(1+0.13)^1+'DCF Model'!D$29/(1+0.13)^2+'DCF Model'!E$29/(1+0.13)^3+'DCF Model'!F$29/(1+0.13)^4+'DCF Model'!G$29/(1+0.13)^5)+((((('DCF Model'!$B$14*(1+'DCF Model'!B$23*(1-'DCF Model'!$B$19)))*(1+'DCF Model'!C$23*(1-'DCF Model'!$B$19)))*(1+'DCF Model'!D$23*(1-'DCF Model'!$B$19)))*(1+'DCF Model'!E$23*(1-'DCF Model'!$B$19)))*(1+'DCF Model'!F$23*(1-'DCF Model'!$B$19)))*F$3/(1+0.13)^5</f>
        <v/>
      </c>
    </row>
    <row r="10">
      <c r="A10" t="inlineStr">
        <is>
          <t>Note: dividends here use the base-case DPS row from 'DCF Model' (payout x EPS); BVPS5 compounds at ROE x (1 - payout). Rows 9-13% CoE, columns exit P/B 1.2-2.0x.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Historical (NZD m, basic shares)</t>
        </is>
      </c>
    </row>
    <row r="3">
      <c r="A3" t="inlineStr">
        <is>
          <t>Period</t>
        </is>
      </c>
      <c r="B3" t="inlineStr">
        <is>
          <t>Revenue</t>
        </is>
      </c>
      <c r="C3" t="inlineStr">
        <is>
          <t>NPAT</t>
        </is>
      </c>
      <c r="D3" t="inlineStr">
        <is>
          <t>Equity</t>
        </is>
      </c>
      <c r="E3" t="inlineStr">
        <is>
          <t>Shares (M)</t>
        </is>
      </c>
      <c r="F3" t="inlineStr">
        <is>
          <t>BVPS</t>
        </is>
      </c>
      <c r="G3" t="inlineStr">
        <is>
          <t>ROE</t>
        </is>
      </c>
      <c r="H3" t="inlineStr">
        <is>
          <t>FY-end price</t>
        </is>
      </c>
      <c r="I3" t="inlineStr">
        <is>
          <t>P/B</t>
        </is>
      </c>
      <c r="J3" t="inlineStr">
        <is>
          <t>FCF (reported)</t>
        </is>
      </c>
    </row>
    <row r="4">
      <c r="A4" t="inlineStr">
        <is>
          <t>FY2022</t>
        </is>
      </c>
      <c r="B4" t="n">
        <v>409.601</v>
      </c>
      <c r="C4" t="n">
        <v>18.855</v>
      </c>
      <c r="D4" t="n">
        <v>317.528</v>
      </c>
      <c r="E4" t="n">
        <v>379.484</v>
      </c>
      <c r="F4" t="n">
        <v>0.8367</v>
      </c>
      <c r="G4" t="n">
        <v>0.0594</v>
      </c>
      <c r="H4" t="n">
        <v>0.7279</v>
      </c>
      <c r="I4" t="n">
        <v>0.87</v>
      </c>
      <c r="J4" t="n">
        <v>39</v>
      </c>
    </row>
    <row r="5">
      <c r="A5" t="inlineStr">
        <is>
          <t>FY2023</t>
        </is>
      </c>
      <c r="B5" t="n">
        <v>470.813</v>
      </c>
      <c r="C5" t="n">
        <v>-1.228</v>
      </c>
      <c r="D5" t="n">
        <v>300.265</v>
      </c>
      <c r="E5" t="n">
        <v>379.484</v>
      </c>
      <c r="F5" t="n">
        <v>0.7912</v>
      </c>
      <c r="G5" t="n">
        <v>-0.0041</v>
      </c>
      <c r="H5" t="n">
        <v>0.7111</v>
      </c>
      <c r="I5" t="n">
        <v>0.9</v>
      </c>
      <c r="J5" t="n">
        <v>-11.235</v>
      </c>
    </row>
    <row r="6">
      <c r="A6" t="inlineStr">
        <is>
          <t>FY2024</t>
        </is>
      </c>
      <c r="B6" t="n">
        <v>555.818</v>
      </c>
      <c r="C6" t="n">
        <v>74.285</v>
      </c>
      <c r="D6" t="n">
        <v>360.156</v>
      </c>
      <c r="E6" t="n">
        <v>379.484</v>
      </c>
      <c r="F6" t="n">
        <v>0.9491000000000001</v>
      </c>
      <c r="G6" t="n">
        <v>0.2063</v>
      </c>
      <c r="H6" t="n">
        <v>1.4889</v>
      </c>
      <c r="I6" t="n">
        <v>1.57</v>
      </c>
      <c r="J6" t="n">
        <v>125.432</v>
      </c>
    </row>
    <row r="7">
      <c r="A7" t="inlineStr">
        <is>
          <t>FY2025</t>
        </is>
      </c>
      <c r="B7" t="n">
        <v>594.348</v>
      </c>
      <c r="C7" t="n">
        <v>83.673</v>
      </c>
      <c r="D7" t="n">
        <v>350.665</v>
      </c>
      <c r="E7" t="n">
        <v>342.552</v>
      </c>
      <c r="F7" t="n">
        <v>1.0237</v>
      </c>
      <c r="G7" t="n">
        <v>0.2386</v>
      </c>
      <c r="H7" t="n">
        <v>1.85</v>
      </c>
      <c r="I7" t="n">
        <v>1.81</v>
      </c>
      <c r="J7" t="n">
        <v>121.701</v>
      </c>
    </row>
    <row r="8">
      <c r="A8" t="inlineStr">
        <is>
          <t>H1 FY2026</t>
        </is>
      </c>
      <c r="B8" t="n">
        <v>291.169</v>
      </c>
      <c r="C8" t="n">
        <v>22.855</v>
      </c>
      <c r="D8" t="n">
        <v>318.068</v>
      </c>
      <c r="E8" t="n">
        <v>343.411351</v>
      </c>
      <c r="F8" t="n">
        <v>0.9262</v>
      </c>
      <c r="H8" t="n">
        <v>1.965</v>
      </c>
      <c r="I8" t="n">
        <v>2.12</v>
      </c>
      <c r="J8" t="n">
        <v>21.5</v>
      </c>
    </row>
    <row r="10">
      <c r="A10" t="inlineStr">
        <is>
          <t>Large events (NZ$m net)</t>
        </is>
      </c>
      <c r="B10" t="inlineStr">
        <is>
          <t>FY2023</t>
        </is>
      </c>
      <c r="C10" t="n">
        <v>38</v>
      </c>
      <c r="D10" t="inlineStr">
        <is>
          <t>FY2024</t>
        </is>
      </c>
      <c r="E10" t="n">
        <v>0</v>
      </c>
      <c r="F10" t="inlineStr">
        <is>
          <t>FY2025</t>
        </is>
      </c>
      <c r="G10" t="n">
        <v>7.2</v>
      </c>
      <c r="H10" t="inlineStr">
        <is>
          <t>FY2026 ytd</t>
        </is>
      </c>
      <c r="I10" t="n">
        <v>23.5</v>
      </c>
      <c r="J10" t="inlineStr">
        <is>
          <t>Allowance FY26</t>
        </is>
      </c>
      <c r="K10" t="n">
        <v>45</v>
      </c>
    </row>
    <row r="11">
      <c r="A11" t="inlineStr">
        <is>
          <t>Dividends (cps)</t>
        </is>
      </c>
      <c r="B11" t="inlineStr">
        <is>
          <t>FY2023</t>
        </is>
      </c>
      <c r="C11" t="n">
        <v>4</v>
      </c>
      <c r="D11" t="inlineStr">
        <is>
          <t>FY2024</t>
        </is>
      </c>
      <c r="E11" t="n">
        <v>6.5</v>
      </c>
      <c r="F11" t="inlineStr">
        <is>
          <t>FY2025</t>
        </is>
      </c>
      <c r="G11" t="n">
        <v>24.5</v>
      </c>
      <c r="H11" t="inlineStr">
        <is>
          <t>FY2026 interim</t>
        </is>
      </c>
      <c r="I11" t="n">
        <v>5</v>
      </c>
    </row>
    <row r="12">
      <c r="A12" t="inlineStr">
        <is>
          <t>Growth divergence warning</t>
        </is>
      </c>
      <c r="B12" t="inlineStr">
        <is>
          <t>Every trailing CAGR describes a turnaround, not a trend: FY2022 was a weak year (NPAT NZ$18.9m), FY2023 a catastrophe loss (NZ$-1.2m; Auckland floods + Cyclone Gabrielle, NZ$38m large events) and FY2024-25 benign weather years (large events NZ$0 and NZ$7.2m vs NZ$45-50m allowances). EPS 3yr CAGR 70% and FCF 3yr CAGR 46% are meaningless; equity CAGR 3.4% is depressed by the NZ$45.5m capital return; revenue CAGR 13% straddles the IFRS 4 -&gt; IFRS 17 break. Five-year figures are unavailable (Metrics.csv starts FY2022). Base case is anchored on FY26 guidance and a mid-cycle ROE, not on any CAGR.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2026-09-19T01:33:52Z</dcterms:created>
  <dcterms:modified xsi:type="dcterms:W3CDTF">2026-09-19T01:33:52Z</dcterms:modified>
</cp:coreProperties>
</file>