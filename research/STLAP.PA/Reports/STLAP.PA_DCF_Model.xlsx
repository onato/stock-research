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<sst xmlns="http://schemas.openxmlformats.org/spreadsheetml/2006/main" count="365" uniqueCount="166">
  <si>
    <t xml:space="preserve">Ticker</t>
  </si>
  <si>
    <t xml:space="preserve">STLAP.PA</t>
  </si>
  <si>
    <t xml:space="preserve">Company</t>
  </si>
  <si>
    <t xml:space="preserve">Stellantis N.V.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</si>
  <si>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</si>
  <si>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</si>
  <si>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</si>
  <si>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</si>
  <si>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2026-10-23T15:35:25Z (Friday regular close, Euronext Paris)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</si>
  <si>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</si>
  <si>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</si>
  <si>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</si>
  <si>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</si>
  <si>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</si>
  <si>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</si>
  <si>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</si>
  <si>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</si>
  <si>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</si>
  <si>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</si>
  <si>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</si>
  <si>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</si>
  <si>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2026-10-25T20:23:59Z</t>
  </si>
  <si>
    <t xml:space="preserve">Drivers file</t>
  </si>
  <si>
    <t xml:space="preserve">STLAP.PA_Drivers.json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</si>
  <si>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</si>
  <si>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</si>
  <si>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</si>
  <si>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cyclical, capital-intensive volume OEM valued on mid-cycle owner FCF built from AOI margins, not on FY2025's restructuring trough or the 2021-2023 pricing peak. Risk is carried in the scenario paths and a 30% bear weight, with a single EUR 9% WACC and a 12x terminal cap (about 3x mature EBITDA) so that no scenario assumes a multiple the market has not historically paid for this kind of business. The equity bridge credits industrial net cash once and charges every claim ranking ahead of common holders: hybrids, pension deficit, minorities and the unpaid restructuring cash.
key_risks_to_valuation: Margin recovery: every 1pp of mature AOI margin is roughly EUR1.4bn of owner FCF and ~EUR5/share of base value; the base assumes 6% mature vs 7% plan and 3.5% bear; Cash burn before the turn: FY2026 IFCF is negative again and FY2027 positive only on guidance; the industrial net cash that supports the bear case erodes if 2027 slips; US tariff policy on Mexico/Canada-built vehicles (Cherokee from Toluca) and EU CO2 penalties from 2027 are policy variables outside management's control; Deferred tax assets: a further NA loss year risks DTA derecognition and a longer cash-tax shelter than modelled, cutting both ways; Captive finance (SFS US, Banco Stellantis) is excluded from net debt on the assumption its receivables fund its debt; a US auto-credit shock would surface there first; Working-capital sign: negative WC releases cash in growth years and absorbs it in a downturn; the bear's 2028-2029 contraction is where this bites</t>
  </si>
  <si>
    <t xml:space="preserve">Data sources</t>
  </si>
  <si>
    <t xml:space="preserve">price: Yahoo Finance chart API, EUR, at inputs.price_as_of; 52-week range 3.505-10.494
financials: STLAP.PA_Metrics.csv (FY2014-H1 2026, EUR millions; FY2014-FY2020 = FCA standalone); FY2025 Annual Report (IFCF reconciliation p.73, Note 19 SBC, Note 20 employee benefits, ROU depreciation 702); H1 2026 Interim Report (industrial net financial position p.47, IFCF reconciliation, Note 18 hybrids, Note 19 diluted shares, FY2026 guidance p.53)
qualitative: STLAP.PA_Analysis.json (2026-10-26): FaSTLAne 2030 targets, Q3 2026 trading update, tariff guidance, bull/bear axes. Its 'net industrial debt ~EUR10bn at June 2026' is a sign error; the filing shows +EUR10.0bn industrial net cash.</t>
  </si>
  <si>
    <t xml:space="preserve">Scenario narrative: bear</t>
  </si>
  <si>
    <t xml:space="preserve">The 2021-2025 pattern repeats: three more years of US and EU30 share loss, warranty and launch-quality problems on new platforms, tariffs permanent at EUR1bn+, EU CO2 penalties biting from 2027, then a cyclical downturn in 2028-2029 that negative working capital amplifies. AOI never exceeds 3.5%; owner FCF is negative through FY2029 and only ~EUR1.5-1.8bn mature. The EUR12.6bn industrial net cash (less hybrids, pension and restructuring claims) is what keeps equity value positive; no going-concern issue given EUR44bn industrial liquidity, but the hybrids' 6-8% coupons are a permanent drag on common holders.</t>
  </si>
  <si>
    <t xml:space="preserve">Scenario narrative: base</t>
  </si>
  <si>
    <t xml:space="preserve">Filosa's FaSTLAne 2030 reset works, slowly and partially. FY2026 is the guidance year (revenue +5%, AOI 2.5%, IFCF still negative after ~EUR2bn of restructuring cash); 2027 brings positive IFCF as guided; the EUR6bn cost programme, Belvidere/Toledo/Warren launches and HEMI mix recover North America to a mid-single-digit margin while Enlarged Europe stays thin on CO2 compliance and Chinese price pressure. The company reaches 5% AOI a year behind plan (FY2029) and matures at 6%, the FCA/Stellantis mid-cycle, never revisiting the 2021-2023 12-13% pricing windfall. Owner FCF ramps from ~EUR0.7bn in FY2026 to ~EUR5bn by the early 2030s (plan: EUR6bn by 2030). Terminal value bound by the 12x cap (3x mature EBITDA), consistent with how the market has historically priced volume OEMs.</t>
  </si>
  <si>
    <t xml:space="preserve">Scenario narrative: bull</t>
  </si>
  <si>
    <t xml:space="preserve">The plan lands on time. North America regains share toward 9% on Cherokee/Ram midsize/large SUV launches and the USD13bn US capacity programme neutralises tariffs; Europe's LCV leadership and B-segment BEV position hold; three global platforms carry 50% of volume and utilisation reaches 80%, delivering the full EUR6bn cost run-rate. AOI 7% by 2030 and 7.5% mature, revenue EUR191bn in 2030. Still capped at 12x terminal FCF: no multiple re-rating is assumed, only the plan's own cash flows.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</si>
  <si>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</si>
  <si>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</si>
  <si>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</si>
  <si>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</si>
  <si>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</si>
  <si>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</si>
  <si>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</si>
  <si>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</si>
  <si>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</si>
  <si>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</si>
  <si>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</si>
  <si>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</si>
  <si>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</si>
  <si>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</si>
  <si>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</si>
  <si>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</si>
  <si>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</si>
  <si>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</si>
  <si>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</si>
  <si>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</si>
  <si>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</si>
  <si>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</si>
  <si>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</si>
  <si>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</si>
  <si>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</si>
  <si>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</si>
  <si>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</si>
  <si>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</si>
  <si>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</si>
  <si>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</si>
  <si>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</si>
  <si>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</si>
  <si>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</si>
  <si>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</si>
  <si>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</si>
  <si>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</si>
  <si>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</si>
  <si>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</si>
  <si>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</si>
  <si>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</si>
  <si>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</si>
  <si>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</si>
  <si>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</si>
  <si>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</si>
  <si>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</si>
  <si>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</si>
  <si>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</si>
  <si>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</si>
  <si>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</si>
  <si>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</si>
  <si>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</si>
  <si>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</si>
  <si>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</si>
  <si>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</si>
  <si>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</si>
  <si>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</si>
  <si>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</si>
  <si>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</si>
  <si>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</si>
  <si>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</si>
  <si>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</si>
  <si>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</si>
  <si>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</si>
  <si>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</si>
  <si>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</si>
  <si>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</si>
  <si>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</si>
  <si>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</si>
  <si>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</si>
  <si>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</si>
  <si>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</si>
  <si>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</si>
  <si>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</si>
  <si>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</si>
  <si>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</si>
  <si>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</si>
  <si>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STLAP.PA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</si>
  <si>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</si>
  <si>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</si>
  <si>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</si>
  <si>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</si>
  <si>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</si>
  <si>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</si>
  <si>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</si>
  <si>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</si>
  <si>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</si>
  <si>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</si>
  <si>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</si>
  <si>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</si>
  <si>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</si>
  <si>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</si>
  <si>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</si>
  <si>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</si>
  <si>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</si>
  <si>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</si>
  <si>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</si>
  <si>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</si>
  <si>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</si>
  <si>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</si>
  <si>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</si>
  <si>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</si>
  <si>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</si>
  <si>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</si>
  <si>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</si>
  <si>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</si>
  <si>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</si>
  <si>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</si>
  <si>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STLAP.PA owner-FCF component DCF: base case (millions, EUR)</t>
  </si>
  <si>
    <t xml:space="preserve">STLAP.PA owner-FCF component DCF: bull case (millions, EUR)</t>
  </si>
  <si>
    <t xml:space="preserve">STLAP.PA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</si>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</sst>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3.553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93640</v>
      </c>
      <c r="C2" s="0" t="n">
        <v>81592</v>
      </c>
      <c r="D2" s="0" t="n">
        <v>12048</v>
      </c>
      <c r="E2" s="0" t="n">
        <v>12.9</v>
      </c>
      <c r="F2" s="0" t="n">
        <v>2834</v>
      </c>
      <c r="G2" s="0" t="n">
        <v>3</v>
      </c>
      <c r="H2" s="0" t="n">
        <v>7441</v>
      </c>
      <c r="I2" s="0" t="n">
        <v>568</v>
      </c>
      <c r="J2" s="0" t="n">
        <v>0.6</v>
      </c>
      <c r="K2" s="0" t="n">
        <v>0.46</v>
      </c>
      <c r="L2" s="0" t="n">
        <v>8169</v>
      </c>
      <c r="M2" s="0" t="n">
        <v>7804</v>
      </c>
      <c r="N2" s="0" t="n">
        <v>365</v>
      </c>
      <c r="O2" s="0" t="n">
        <v>14064</v>
      </c>
      <c r="P2" s="0" t="n">
        <v>101149</v>
      </c>
      <c r="Q2" s="0" t="n">
        <v>86772</v>
      </c>
      <c r="R2" s="0" t="n">
        <v>33724</v>
      </c>
      <c r="S2" s="0" t="n">
        <v>22840</v>
      </c>
      <c r="T2" s="0" t="n">
        <v>1235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110595</v>
      </c>
      <c r="C3" s="0" t="n">
        <v>97620</v>
      </c>
      <c r="D3" s="0" t="n">
        <v>12975</v>
      </c>
      <c r="E3" s="0" t="n">
        <v>11.7</v>
      </c>
      <c r="F3" s="0" t="n">
        <v>2625</v>
      </c>
      <c r="G3" s="0" t="n">
        <v>2.4</v>
      </c>
      <c r="H3" s="0" t="n">
        <v>8039</v>
      </c>
      <c r="I3" s="0" t="n">
        <v>334</v>
      </c>
      <c r="J3" s="0" t="n">
        <v>0.3</v>
      </c>
      <c r="K3" s="0" t="n">
        <v>0.221</v>
      </c>
      <c r="L3" s="0" t="n">
        <v>9751</v>
      </c>
      <c r="M3" s="0" t="n">
        <v>8819</v>
      </c>
      <c r="N3" s="0" t="n">
        <v>932</v>
      </c>
      <c r="O3" s="0" t="n">
        <v>16805</v>
      </c>
      <c r="P3" s="0" t="n">
        <v>105753</v>
      </c>
      <c r="Q3" s="0" t="n">
        <v>88785</v>
      </c>
      <c r="R3" s="0" t="n">
        <v>27786</v>
      </c>
      <c r="S3" s="0" t="n">
        <v>20662</v>
      </c>
      <c r="T3" s="0" t="n">
        <v>1514.01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105798</v>
      </c>
      <c r="C4" s="0" t="n">
        <v>90927</v>
      </c>
      <c r="D4" s="0" t="n">
        <v>14871</v>
      </c>
      <c r="E4" s="0" t="n">
        <v>14.1</v>
      </c>
      <c r="F4" s="0" t="n">
        <v>4808</v>
      </c>
      <c r="G4" s="0" t="n">
        <v>4.5</v>
      </c>
      <c r="H4" s="0" t="n">
        <v>10764</v>
      </c>
      <c r="I4" s="0" t="n">
        <v>1803</v>
      </c>
      <c r="J4" s="0" t="n">
        <v>1.7</v>
      </c>
      <c r="K4" s="0" t="n">
        <v>1.18</v>
      </c>
      <c r="L4" s="0" t="n">
        <v>10594</v>
      </c>
      <c r="M4" s="0" t="n">
        <v>8815</v>
      </c>
      <c r="N4" s="0" t="n">
        <v>1779</v>
      </c>
      <c r="O4" s="0" t="n">
        <v>19168</v>
      </c>
      <c r="P4" s="0" t="n">
        <v>104343</v>
      </c>
      <c r="Q4" s="0" t="n">
        <v>84990</v>
      </c>
      <c r="R4" s="0" t="n">
        <v>24048</v>
      </c>
      <c r="S4" s="0" t="n">
        <v>17318</v>
      </c>
      <c r="T4" s="0" t="n">
        <v>1526.38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105730</v>
      </c>
      <c r="C5" s="0" t="n">
        <v>89710</v>
      </c>
      <c r="D5" s="0" t="n">
        <v>16020</v>
      </c>
      <c r="E5" s="0" t="n">
        <v>15.2</v>
      </c>
      <c r="F5" s="0" t="n">
        <v>7224</v>
      </c>
      <c r="G5" s="0" t="n">
        <v>6.8</v>
      </c>
      <c r="H5" s="0" t="n">
        <v>12698</v>
      </c>
      <c r="I5" s="0" t="n">
        <v>3491</v>
      </c>
      <c r="J5" s="0" t="n">
        <v>3.3</v>
      </c>
      <c r="K5" s="0" t="n">
        <v>2.24</v>
      </c>
      <c r="L5" s="0" t="n">
        <v>10385</v>
      </c>
      <c r="M5" s="0" t="n">
        <v>8105</v>
      </c>
      <c r="N5" s="0" t="n">
        <v>2280</v>
      </c>
      <c r="O5" s="0" t="n">
        <v>20819</v>
      </c>
      <c r="P5" s="0" t="n">
        <v>96299</v>
      </c>
      <c r="Q5" s="0" t="n">
        <v>75312</v>
      </c>
      <c r="R5" s="0" t="n">
        <v>17971</v>
      </c>
      <c r="S5" s="0" t="n">
        <v>12638</v>
      </c>
      <c r="T5" s="0" t="n">
        <v>1556.31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110412</v>
      </c>
      <c r="C6" s="0" t="n">
        <v>95011</v>
      </c>
      <c r="D6" s="0" t="n">
        <v>15401</v>
      </c>
      <c r="E6" s="0" t="n">
        <v>13.9</v>
      </c>
      <c r="F6" s="0" t="n">
        <v>5164</v>
      </c>
      <c r="G6" s="0" t="n">
        <v>4.7</v>
      </c>
      <c r="H6" s="0" t="n">
        <v>10671</v>
      </c>
      <c r="I6" s="0" t="n">
        <v>3608</v>
      </c>
      <c r="J6" s="0" t="n">
        <v>3.3</v>
      </c>
      <c r="K6" s="0" t="n">
        <v>2.3</v>
      </c>
      <c r="L6" s="0" t="n">
        <v>9948</v>
      </c>
      <c r="M6" s="0" t="n">
        <v>5392</v>
      </c>
      <c r="N6" s="0" t="n">
        <v>4556</v>
      </c>
      <c r="O6" s="0" t="n">
        <v>24702</v>
      </c>
      <c r="P6" s="0" t="n">
        <v>96873</v>
      </c>
      <c r="Q6" s="0" t="n">
        <v>71970</v>
      </c>
      <c r="R6" s="0" t="n">
        <v>14528</v>
      </c>
      <c r="S6" s="0" t="n">
        <v>12450</v>
      </c>
      <c r="T6" s="0" t="n">
        <v>1567.839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108187</v>
      </c>
      <c r="C7" s="0" t="n">
        <v>93164</v>
      </c>
      <c r="D7" s="0" t="n">
        <v>15023</v>
      </c>
      <c r="E7" s="0" t="n">
        <v>13.9</v>
      </c>
      <c r="F7" s="0" t="n">
        <v>5026</v>
      </c>
      <c r="G7" s="0" t="n">
        <v>4.6</v>
      </c>
      <c r="H7" s="0" t="n">
        <v>10471</v>
      </c>
      <c r="I7" s="0" t="n">
        <v>6622</v>
      </c>
      <c r="J7" s="0" t="n">
        <v>6.1</v>
      </c>
      <c r="K7" s="0" t="n">
        <v>4.22</v>
      </c>
      <c r="L7" s="0" t="n">
        <v>10462</v>
      </c>
      <c r="M7" s="0" t="n">
        <v>8385</v>
      </c>
      <c r="N7" s="0" t="n">
        <v>2077</v>
      </c>
      <c r="O7" s="0" t="n">
        <v>28537</v>
      </c>
      <c r="P7" s="0" t="n">
        <v>98044</v>
      </c>
      <c r="Q7" s="0" t="n">
        <v>69369</v>
      </c>
      <c r="R7" s="0" t="n">
        <v>12901</v>
      </c>
      <c r="S7" s="0" t="n">
        <v>15014</v>
      </c>
      <c r="T7" s="0" t="n">
        <v>1570.85</v>
      </c>
      <c r="U7" s="0" t="n">
        <v>115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86676</v>
      </c>
      <c r="C8" s="0" t="n">
        <v>75962</v>
      </c>
      <c r="D8" s="0" t="n">
        <v>10714</v>
      </c>
      <c r="E8" s="0" t="n">
        <v>12.4</v>
      </c>
      <c r="F8" s="0" t="n">
        <v>2344</v>
      </c>
      <c r="G8" s="0" t="n">
        <v>2.7</v>
      </c>
      <c r="H8" s="0" t="n">
        <v>7487</v>
      </c>
      <c r="I8" s="0" t="n">
        <v>29</v>
      </c>
      <c r="J8" s="0" t="n">
        <v>0</v>
      </c>
      <c r="K8" s="0" t="n">
        <v>0.02</v>
      </c>
      <c r="L8" s="0" t="n">
        <v>9183</v>
      </c>
      <c r="M8" s="0" t="n">
        <v>8600</v>
      </c>
      <c r="N8" s="0" t="n">
        <v>583</v>
      </c>
      <c r="O8" s="0" t="n">
        <v>25737</v>
      </c>
      <c r="P8" s="0" t="n">
        <v>99730</v>
      </c>
      <c r="Q8" s="0" t="n">
        <v>73869</v>
      </c>
      <c r="R8" s="0" t="n">
        <v>21117</v>
      </c>
      <c r="S8" s="0" t="n">
        <v>23846</v>
      </c>
      <c r="T8" s="0" t="n">
        <v>1577.313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149419</v>
      </c>
      <c r="C9" s="0" t="n">
        <v>119943</v>
      </c>
      <c r="D9" s="0" t="n">
        <v>29476</v>
      </c>
      <c r="E9" s="0" t="n">
        <v>19.7</v>
      </c>
      <c r="F9" s="0" t="n">
        <v>15863</v>
      </c>
      <c r="G9" s="0" t="n">
        <v>10.6</v>
      </c>
      <c r="H9" s="0" t="n">
        <v>21734</v>
      </c>
      <c r="I9" s="0" t="n">
        <v>14200</v>
      </c>
      <c r="J9" s="0" t="n">
        <v>9.5</v>
      </c>
      <c r="K9" s="0" t="n">
        <v>4.51</v>
      </c>
      <c r="L9" s="0" t="n">
        <v>18646</v>
      </c>
      <c r="M9" s="0" t="n">
        <v>8687</v>
      </c>
      <c r="N9" s="0" t="n">
        <v>9959</v>
      </c>
      <c r="O9" s="0" t="n">
        <v>55907</v>
      </c>
      <c r="P9" s="0" t="n">
        <v>171766</v>
      </c>
      <c r="Q9" s="0" t="n">
        <v>115459</v>
      </c>
      <c r="R9" s="0" t="n">
        <v>33582</v>
      </c>
      <c r="S9" s="0" t="n">
        <v>49629</v>
      </c>
      <c r="T9" s="0" t="n">
        <v>3149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179592</v>
      </c>
      <c r="C10" s="0" t="n">
        <v>144327</v>
      </c>
      <c r="D10" s="0" t="n">
        <v>35265</v>
      </c>
      <c r="E10" s="0" t="n">
        <v>19.6</v>
      </c>
      <c r="F10" s="0" t="n">
        <v>20276</v>
      </c>
      <c r="G10" s="0" t="n">
        <v>11.3</v>
      </c>
      <c r="H10" s="0" t="n">
        <v>27073</v>
      </c>
      <c r="I10" s="0" t="n">
        <v>16799</v>
      </c>
      <c r="J10" s="0" t="n">
        <v>9.4</v>
      </c>
      <c r="K10" s="0" t="n">
        <v>5.31</v>
      </c>
      <c r="L10" s="0" t="n">
        <v>19959</v>
      </c>
      <c r="M10" s="0" t="n">
        <v>8615</v>
      </c>
      <c r="N10" s="0" t="n">
        <v>11344</v>
      </c>
      <c r="O10" s="0" t="n">
        <v>71999</v>
      </c>
      <c r="P10" s="0" t="n">
        <v>186156</v>
      </c>
      <c r="Q10" s="0" t="n">
        <v>113774</v>
      </c>
      <c r="R10" s="0" t="n">
        <v>27153</v>
      </c>
      <c r="S10" s="0" t="n">
        <v>46433</v>
      </c>
      <c r="T10" s="0" t="n">
        <v>3164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189544</v>
      </c>
      <c r="C11" s="0" t="n">
        <v>151400</v>
      </c>
      <c r="D11" s="0" t="n">
        <v>38144</v>
      </c>
      <c r="E11" s="0" t="n">
        <v>20.1</v>
      </c>
      <c r="F11" s="0" t="n">
        <v>22376</v>
      </c>
      <c r="G11" s="0" t="n">
        <v>11.8</v>
      </c>
      <c r="H11" s="0" t="n">
        <v>29925</v>
      </c>
      <c r="I11" s="0" t="n">
        <v>18596</v>
      </c>
      <c r="J11" s="0" t="n">
        <v>9.8</v>
      </c>
      <c r="K11" s="0" t="n">
        <v>5.94</v>
      </c>
      <c r="L11" s="0" t="n">
        <v>17954</v>
      </c>
      <c r="M11" s="0" t="n">
        <v>10193</v>
      </c>
      <c r="N11" s="0" t="n">
        <v>7761</v>
      </c>
      <c r="O11" s="0" t="n">
        <v>81693</v>
      </c>
      <c r="P11" s="0" t="n">
        <v>202128</v>
      </c>
      <c r="Q11" s="0" t="n">
        <v>120008</v>
      </c>
      <c r="R11" s="0" t="n">
        <v>29463</v>
      </c>
      <c r="S11" s="0" t="n">
        <v>43669</v>
      </c>
      <c r="T11" s="0" t="n">
        <v>3132.458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156878</v>
      </c>
      <c r="C12" s="0" t="n">
        <v>136360</v>
      </c>
      <c r="D12" s="0" t="n">
        <v>20518</v>
      </c>
      <c r="E12" s="0" t="n">
        <v>13.1</v>
      </c>
      <c r="F12" s="0" t="n">
        <v>3687</v>
      </c>
      <c r="G12" s="0" t="n">
        <v>2.4</v>
      </c>
      <c r="H12" s="0" t="n">
        <v>10913</v>
      </c>
      <c r="I12" s="0" t="n">
        <v>5473</v>
      </c>
      <c r="J12" s="0" t="n">
        <v>3.5</v>
      </c>
      <c r="K12" s="0" t="n">
        <v>1.84</v>
      </c>
      <c r="L12" s="0" t="n">
        <v>1535</v>
      </c>
      <c r="M12" s="0" t="n">
        <v>11060</v>
      </c>
      <c r="N12" s="0" t="n">
        <v>-9525</v>
      </c>
      <c r="O12" s="0" t="n">
        <v>81692</v>
      </c>
      <c r="P12" s="0" t="n">
        <v>207607</v>
      </c>
      <c r="Q12" s="0" t="n">
        <v>125492</v>
      </c>
      <c r="R12" s="0" t="n">
        <v>37227</v>
      </c>
      <c r="S12" s="0" t="n">
        <v>34100</v>
      </c>
      <c r="T12" s="0" t="n">
        <v>2975.82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153508</v>
      </c>
      <c r="C13" s="0" t="n">
        <v>155627</v>
      </c>
      <c r="D13" s="0" t="n">
        <v>-2119</v>
      </c>
      <c r="E13" s="0" t="n">
        <v>-1.4</v>
      </c>
      <c r="F13" s="0" t="n">
        <v>-26254</v>
      </c>
      <c r="G13" s="0" t="n">
        <v>-17.1</v>
      </c>
      <c r="H13" s="0" t="n">
        <v>-19273</v>
      </c>
      <c r="I13" s="0" t="n">
        <v>-22368</v>
      </c>
      <c r="J13" s="0" t="n">
        <v>-14.6</v>
      </c>
      <c r="K13" s="0" t="n">
        <v>-7.75</v>
      </c>
      <c r="L13" s="0" t="n">
        <v>-4650</v>
      </c>
      <c r="M13" s="0" t="n">
        <v>7987</v>
      </c>
      <c r="N13" s="0" t="n">
        <v>-12637</v>
      </c>
      <c r="O13" s="0" t="n">
        <v>53551</v>
      </c>
      <c r="P13" s="0" t="n">
        <v>195153</v>
      </c>
      <c r="Q13" s="0" t="n">
        <v>141152</v>
      </c>
      <c r="R13" s="0" t="n">
        <v>45947</v>
      </c>
      <c r="S13" s="0" t="n">
        <v>30146</v>
      </c>
      <c r="T13" s="0" t="n">
        <v>2886.684</v>
      </c>
      <c r="AA13" s="0" t="s">
        <v>17</v>
      </c>
      <c r="AB13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3.553</v>
      </c>
    </row>
    <row r="3" customFormat="false" ht="15" hidden="false" customHeight="false" outlineLevel="0" collapsed="false">
      <c r="A3" s="0" t="s">
        <v>78</v>
      </c>
      <c r="B3" s="3" t="n">
        <v>2917.694</v>
      </c>
    </row>
    <row r="4" customFormat="false" ht="15" hidden="false" customHeight="false" outlineLevel="0" collapsed="false">
      <c r="A4" s="0" t="s">
        <v>79</v>
      </c>
      <c r="B4" s="3" t="n">
        <v>-12602</v>
      </c>
    </row>
    <row r="5" customFormat="false" ht="15" hidden="false" customHeight="false" outlineLevel="0" collapsed="false">
      <c r="A5" s="0" t="s">
        <v>80</v>
      </c>
      <c r="B5" s="3" t="n">
        <v>-10461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153508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2</v>
      </c>
      <c r="D13" s="3" t="n">
        <v>1</v>
      </c>
      <c r="E13" s="3" t="n">
        <v>-4</v>
      </c>
      <c r="F13" s="3" t="n">
        <v>-3</v>
      </c>
      <c r="G13" s="3" t="n">
        <v>3</v>
      </c>
      <c r="H13" s="3" t="n">
        <v>3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5.5</v>
      </c>
      <c r="D14" s="3" t="n">
        <v>6</v>
      </c>
      <c r="E14" s="3" t="n">
        <v>5.1</v>
      </c>
      <c r="F14" s="3" t="n">
        <v>5.7</v>
      </c>
      <c r="G14" s="3" t="n">
        <v>6.8</v>
      </c>
      <c r="H14" s="3" t="n">
        <v>7.4</v>
      </c>
      <c r="I14" s="3" t="n">
        <v>8</v>
      </c>
      <c r="J14" s="3" t="n">
        <v>8</v>
      </c>
      <c r="K14" s="3" t="n">
        <v>8</v>
      </c>
      <c r="L14" s="3" t="n">
        <v>8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0.6</v>
      </c>
      <c r="D16" s="3" t="n">
        <v>0.6</v>
      </c>
      <c r="E16" s="3" t="n">
        <v>0.6</v>
      </c>
      <c r="F16" s="3" t="n">
        <v>0.6</v>
      </c>
      <c r="G16" s="3" t="n">
        <v>0.6</v>
      </c>
      <c r="H16" s="3" t="n">
        <v>0.6</v>
      </c>
      <c r="I16" s="3" t="n">
        <v>0.6</v>
      </c>
      <c r="J16" s="3" t="n">
        <v>0.6</v>
      </c>
      <c r="K16" s="3" t="n">
        <v>0.6</v>
      </c>
      <c r="L16" s="3" t="n">
        <v>0.6</v>
      </c>
    </row>
    <row r="17" customFormat="false" ht="15" hidden="false" customHeight="false" outlineLevel="0" collapsed="false">
      <c r="A17" s="0" t="s">
        <v>102</v>
      </c>
      <c r="C17" s="3" t="n">
        <v>3.5</v>
      </c>
      <c r="D17" s="3" t="n">
        <v>3.5</v>
      </c>
      <c r="E17" s="3" t="n">
        <v>3.6</v>
      </c>
      <c r="F17" s="3" t="n">
        <v>3.7</v>
      </c>
      <c r="G17" s="3" t="n">
        <v>3.8</v>
      </c>
      <c r="H17" s="3" t="n">
        <v>3.9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103</v>
      </c>
      <c r="C18" s="3" t="n">
        <v>5</v>
      </c>
      <c r="D18" s="3" t="n">
        <v>5.25</v>
      </c>
      <c r="E18" s="3" t="n">
        <v>5.5</v>
      </c>
      <c r="F18" s="3" t="n">
        <v>5.5</v>
      </c>
      <c r="G18" s="3" t="n">
        <v>5.5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104</v>
      </c>
      <c r="C19" s="3" t="n">
        <v>10</v>
      </c>
      <c r="D19" s="3" t="n">
        <v>12</v>
      </c>
      <c r="E19" s="3" t="n">
        <v>10</v>
      </c>
      <c r="F19" s="3" t="n">
        <v>12</v>
      </c>
      <c r="G19" s="3" t="n">
        <v>15</v>
      </c>
      <c r="H19" s="3" t="n">
        <v>18</v>
      </c>
      <c r="I19" s="3" t="n">
        <v>20</v>
      </c>
      <c r="J19" s="3" t="n">
        <v>22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105</v>
      </c>
      <c r="B20" s="3" t="n">
        <v>9</v>
      </c>
    </row>
    <row r="21" customFormat="false" ht="15" hidden="false" customHeight="false" outlineLevel="0" collapsed="false">
      <c r="A21" s="0" t="s">
        <v>106</v>
      </c>
      <c r="B21" s="3" t="n">
        <v>2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5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5</v>
      </c>
      <c r="D27" s="3" t="n">
        <v>3.5</v>
      </c>
      <c r="E27" s="3" t="n">
        <v>3</v>
      </c>
      <c r="F27" s="3" t="n">
        <v>2.5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99</v>
      </c>
      <c r="C28" s="3" t="n">
        <v>6.5</v>
      </c>
      <c r="D28" s="3" t="n">
        <v>7.5</v>
      </c>
      <c r="E28" s="3" t="n">
        <v>8.6</v>
      </c>
      <c r="F28" s="3" t="n">
        <v>9.2</v>
      </c>
      <c r="G28" s="3" t="n">
        <v>9.8</v>
      </c>
      <c r="H28" s="3" t="n">
        <v>10.15</v>
      </c>
      <c r="I28" s="3" t="n">
        <v>10.5</v>
      </c>
      <c r="J28" s="3" t="n">
        <v>10.5</v>
      </c>
      <c r="K28" s="3" t="n">
        <v>10.5</v>
      </c>
      <c r="L28" s="3" t="n">
        <v>10.5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0.6</v>
      </c>
      <c r="D30" s="3" t="n">
        <v>0.6</v>
      </c>
      <c r="E30" s="3" t="n">
        <v>0.6</v>
      </c>
      <c r="F30" s="3" t="n">
        <v>0.6</v>
      </c>
      <c r="G30" s="3" t="n">
        <v>0.6</v>
      </c>
      <c r="H30" s="3" t="n">
        <v>0.6</v>
      </c>
      <c r="I30" s="3" t="n">
        <v>0.6</v>
      </c>
      <c r="J30" s="3" t="n">
        <v>0.6</v>
      </c>
      <c r="K30" s="3" t="n">
        <v>0.6</v>
      </c>
      <c r="L30" s="3" t="n">
        <v>0.6</v>
      </c>
    </row>
    <row r="31" customFormat="false" ht="15" hidden="false" customHeight="false" outlineLevel="0" collapsed="false">
      <c r="A31" s="0" t="s">
        <v>102</v>
      </c>
      <c r="C31" s="3" t="n">
        <v>3.5</v>
      </c>
      <c r="D31" s="3" t="n">
        <v>3.5</v>
      </c>
      <c r="E31" s="3" t="n">
        <v>3.6</v>
      </c>
      <c r="F31" s="3" t="n">
        <v>3.7</v>
      </c>
      <c r="G31" s="3" t="n">
        <v>3.8</v>
      </c>
      <c r="H31" s="3" t="n">
        <v>3.9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103</v>
      </c>
      <c r="C32" s="3" t="n">
        <v>5</v>
      </c>
      <c r="D32" s="3" t="n">
        <v>5.25</v>
      </c>
      <c r="E32" s="3" t="n">
        <v>5.5</v>
      </c>
      <c r="F32" s="3" t="n">
        <v>5.5</v>
      </c>
      <c r="G32" s="3" t="n">
        <v>5.75</v>
      </c>
      <c r="H32" s="3" t="n">
        <v>5.75</v>
      </c>
      <c r="I32" s="3" t="n">
        <v>5.75</v>
      </c>
      <c r="J32" s="3" t="n">
        <v>5.75</v>
      </c>
      <c r="K32" s="3" t="n">
        <v>5.75</v>
      </c>
      <c r="L32" s="3" t="n">
        <v>5.75</v>
      </c>
    </row>
    <row r="33" customFormat="false" ht="15" hidden="false" customHeight="false" outlineLevel="0" collapsed="false">
      <c r="A33" s="0" t="s">
        <v>104</v>
      </c>
      <c r="C33" s="3" t="n">
        <v>12</v>
      </c>
      <c r="D33" s="3" t="n">
        <v>15</v>
      </c>
      <c r="E33" s="3" t="n">
        <v>18</v>
      </c>
      <c r="F33" s="3" t="n">
        <v>20</v>
      </c>
      <c r="G33" s="3" t="n">
        <v>22</v>
      </c>
      <c r="H33" s="3" t="n">
        <v>24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105</v>
      </c>
      <c r="B34" s="3" t="n">
        <v>9</v>
      </c>
    </row>
    <row r="35" customFormat="false" ht="15" hidden="false" customHeight="false" outlineLevel="0" collapsed="false">
      <c r="A35" s="0" t="s">
        <v>106</v>
      </c>
      <c r="B35" s="3" t="n">
        <v>2</v>
      </c>
    </row>
    <row r="36" customFormat="false" ht="15" hidden="false" customHeight="false" outlineLevel="0" collapsed="false">
      <c r="A36" s="0" t="s">
        <v>107</v>
      </c>
      <c r="B36" s="3" t="n">
        <v>12</v>
      </c>
    </row>
    <row r="37" customFormat="false" ht="15" hidden="false" customHeight="false" outlineLevel="0" collapsed="false">
      <c r="A37" s="0" t="s">
        <v>108</v>
      </c>
      <c r="B37" s="3" t="n">
        <v>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6</v>
      </c>
      <c r="D41" s="3" t="n">
        <v>5</v>
      </c>
      <c r="E41" s="3" t="n">
        <v>4.5</v>
      </c>
      <c r="F41" s="3" t="n">
        <v>4</v>
      </c>
      <c r="G41" s="3" t="n">
        <v>3.5</v>
      </c>
      <c r="H41" s="3" t="n">
        <v>3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99</v>
      </c>
      <c r="C42" s="3" t="n">
        <v>7</v>
      </c>
      <c r="D42" s="3" t="n">
        <v>8.5</v>
      </c>
      <c r="E42" s="3" t="n">
        <v>9.6</v>
      </c>
      <c r="F42" s="3" t="n">
        <v>10.7</v>
      </c>
      <c r="G42" s="3" t="n">
        <v>11.3</v>
      </c>
      <c r="H42" s="3" t="n">
        <v>11.65</v>
      </c>
      <c r="I42" s="3" t="n">
        <v>12</v>
      </c>
      <c r="J42" s="3" t="n">
        <v>12</v>
      </c>
      <c r="K42" s="3" t="n">
        <v>12</v>
      </c>
      <c r="L42" s="3" t="n">
        <v>12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0.6</v>
      </c>
      <c r="D44" s="3" t="n">
        <v>0.6</v>
      </c>
      <c r="E44" s="3" t="n">
        <v>0.6</v>
      </c>
      <c r="F44" s="3" t="n">
        <v>0.6</v>
      </c>
      <c r="G44" s="3" t="n">
        <v>0.6</v>
      </c>
      <c r="H44" s="3" t="n">
        <v>0.6</v>
      </c>
      <c r="I44" s="3" t="n">
        <v>0.6</v>
      </c>
      <c r="J44" s="3" t="n">
        <v>0.6</v>
      </c>
      <c r="K44" s="3" t="n">
        <v>0.6</v>
      </c>
      <c r="L44" s="3" t="n">
        <v>0.6</v>
      </c>
    </row>
    <row r="45" customFormat="false" ht="15" hidden="false" customHeight="false" outlineLevel="0" collapsed="false">
      <c r="A45" s="0" t="s">
        <v>102</v>
      </c>
      <c r="C45" s="3" t="n">
        <v>3.5</v>
      </c>
      <c r="D45" s="3" t="n">
        <v>3.5</v>
      </c>
      <c r="E45" s="3" t="n">
        <v>3.6</v>
      </c>
      <c r="F45" s="3" t="n">
        <v>3.7</v>
      </c>
      <c r="G45" s="3" t="n">
        <v>3.8</v>
      </c>
      <c r="H45" s="3" t="n">
        <v>3.9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103</v>
      </c>
      <c r="C46" s="3" t="n">
        <v>5</v>
      </c>
      <c r="D46" s="3" t="n">
        <v>5.25</v>
      </c>
      <c r="E46" s="3" t="n">
        <v>5.5</v>
      </c>
      <c r="F46" s="3" t="n">
        <v>5.5</v>
      </c>
      <c r="G46" s="3" t="n">
        <v>5.5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104</v>
      </c>
      <c r="C47" s="3" t="n">
        <v>12</v>
      </c>
      <c r="D47" s="3" t="n">
        <v>15</v>
      </c>
      <c r="E47" s="3" t="n">
        <v>18</v>
      </c>
      <c r="F47" s="3" t="n">
        <v>20</v>
      </c>
      <c r="G47" s="3" t="n">
        <v>22</v>
      </c>
      <c r="H47" s="3" t="n">
        <v>24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105</v>
      </c>
      <c r="B48" s="3" t="n">
        <v>9</v>
      </c>
    </row>
    <row r="49" customFormat="false" ht="15" hidden="false" customHeight="false" outlineLevel="0" collapsed="false">
      <c r="A49" s="0" t="s">
        <v>106</v>
      </c>
      <c r="B49" s="3" t="n">
        <v>2</v>
      </c>
    </row>
    <row r="50" customFormat="false" ht="15" hidden="false" customHeight="false" outlineLevel="0" collapsed="false">
      <c r="A50" s="0" t="s">
        <v>107</v>
      </c>
      <c r="B50" s="3" t="n">
        <v>12</v>
      </c>
    </row>
    <row r="51" customFormat="false" ht="15" hidden="false" customHeight="false" outlineLevel="0" collapsed="false">
      <c r="A51" s="0" t="s">
        <v>108</v>
      </c>
      <c r="B51" s="3" t="n">
        <v>8</v>
      </c>
    </row>
    <row r="52" customFormat="false" ht="15" hidden="false" customHeight="false" outlineLevel="0" collapsed="false">
      <c r="A52" s="0" t="s">
        <v>109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2</v>
      </c>
      <c r="D5" s="4" t="n">
        <f aca="false">Assumptions!D13</f>
        <v>1</v>
      </c>
      <c r="E5" s="4" t="n">
        <f aca="false">Assumptions!E13</f>
        <v>-4</v>
      </c>
      <c r="F5" s="4" t="n">
        <f aca="false">Assumptions!F13</f>
        <v>-3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153508</v>
      </c>
      <c r="C6" s="0" t="n">
        <f aca="false">B6*(1+C5/100)</f>
        <v>156578.16</v>
      </c>
      <c r="D6" s="0" t="n">
        <f aca="false">C6*(1+D5/100)</f>
        <v>158143.9416</v>
      </c>
      <c r="E6" s="0" t="n">
        <f aca="false">D6*(1+E5/100)</f>
        <v>151818.183936</v>
      </c>
      <c r="F6" s="0" t="n">
        <f aca="false">E6*(1+F5/100)</f>
        <v>147263.63841792</v>
      </c>
      <c r="G6" s="0" t="n">
        <f aca="false">F6*(1+G5/100)</f>
        <v>151681.547570458</v>
      </c>
      <c r="H6" s="0" t="n">
        <f aca="false">G6*(1+H5/100)</f>
        <v>156231.993997571</v>
      </c>
      <c r="I6" s="0" t="n">
        <f aca="false">H6*(1+I5/100)</f>
        <v>159356.633877523</v>
      </c>
      <c r="J6" s="0" t="n">
        <f aca="false">I6*(1+J5/100)</f>
        <v>162543.766555073</v>
      </c>
      <c r="K6" s="0" t="n">
        <f aca="false">J6*(1+K5/100)</f>
        <v>165794.641886175</v>
      </c>
      <c r="L6" s="0" t="n">
        <f aca="false">K6*(1+L5/100)</f>
        <v>169110.534723898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5.5</v>
      </c>
      <c r="D7" s="4" t="n">
        <f aca="false">Assumptions!D14</f>
        <v>6</v>
      </c>
      <c r="E7" s="4" t="n">
        <f aca="false">Assumptions!E14</f>
        <v>5.1</v>
      </c>
      <c r="F7" s="4" t="n">
        <f aca="false">Assumptions!F14</f>
        <v>5.7</v>
      </c>
      <c r="G7" s="4" t="n">
        <f aca="false">Assumptions!G14</f>
        <v>6.8</v>
      </c>
      <c r="H7" s="4" t="n">
        <f aca="false">Assumptions!H14</f>
        <v>7.4</v>
      </c>
      <c r="I7" s="4" t="n">
        <f aca="false">Assumptions!I14</f>
        <v>8</v>
      </c>
      <c r="J7" s="4" t="n">
        <f aca="false">Assumptions!J14</f>
        <v>8</v>
      </c>
      <c r="K7" s="4" t="n">
        <f aca="false">Assumptions!K14</f>
        <v>8</v>
      </c>
      <c r="L7" s="4" t="n">
        <f aca="false">Assumptions!L14</f>
        <v>8</v>
      </c>
    </row>
    <row r="8" customFormat="false" ht="15" hidden="false" customHeight="false" outlineLevel="0" collapsed="false">
      <c r="A8" s="0" t="s">
        <v>43</v>
      </c>
      <c r="C8" s="0" t="n">
        <f aca="false">C6*C7/100</f>
        <v>8611.7988</v>
      </c>
      <c r="D8" s="0" t="n">
        <f aca="false">D6*D7/100</f>
        <v>9488.636496</v>
      </c>
      <c r="E8" s="0" t="n">
        <f aca="false">E6*E7/100</f>
        <v>7742.727380736</v>
      </c>
      <c r="F8" s="0" t="n">
        <f aca="false">F6*F7/100</f>
        <v>8394.02738982144</v>
      </c>
      <c r="G8" s="0" t="n">
        <f aca="false">G6*G7/100</f>
        <v>10314.3452347911</v>
      </c>
      <c r="H8" s="0" t="n">
        <f aca="false">H6*H7/100</f>
        <v>11561.1675558203</v>
      </c>
      <c r="I8" s="0" t="n">
        <f aca="false">I6*I7/100</f>
        <v>12748.5307102018</v>
      </c>
      <c r="J8" s="0" t="n">
        <f aca="false">J6*J7/100</f>
        <v>13003.5013244059</v>
      </c>
      <c r="K8" s="0" t="n">
        <f aca="false">K6*K7/100</f>
        <v>13263.571350894</v>
      </c>
      <c r="L8" s="0" t="n">
        <f aca="false">L6*L7/100</f>
        <v>13528.8427779119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7672.32984</v>
      </c>
      <c r="D11" s="0" t="n">
        <f aca="false">D8+D10+D24</f>
        <v>8539.7728464</v>
      </c>
      <c r="E11" s="0" t="n">
        <f aca="false">E8+E10+E24</f>
        <v>6831.81827712</v>
      </c>
      <c r="F11" s="0" t="n">
        <f aca="false">F8+F10+F24</f>
        <v>7510.44555931392</v>
      </c>
      <c r="G11" s="0" t="n">
        <f aca="false">G8+G10+G24</f>
        <v>9404.25594936837</v>
      </c>
      <c r="H11" s="0" t="n">
        <f aca="false">H8+H10+H24</f>
        <v>10623.7755918349</v>
      </c>
      <c r="I11" s="0" t="n">
        <f aca="false">I8+I10+I24</f>
        <v>11792.3909069367</v>
      </c>
      <c r="J11" s="0" t="n">
        <f aca="false">J8+J10+J24</f>
        <v>12028.2387250754</v>
      </c>
      <c r="K11" s="0" t="n">
        <f aca="false">K8+K10+K24</f>
        <v>12268.8034995769</v>
      </c>
      <c r="L11" s="0" t="n">
        <f aca="false">L8+L10+L24</f>
        <v>12514.1795695685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-5480.2356</v>
      </c>
      <c r="D12" s="4" t="n">
        <f aca="false">-D6*Assumptions!D17/100</f>
        <v>-5535.037956</v>
      </c>
      <c r="E12" s="4" t="n">
        <f aca="false">-E6*Assumptions!E17/100</f>
        <v>-5465.454621696</v>
      </c>
      <c r="F12" s="4" t="n">
        <f aca="false">-F6*Assumptions!F17/100</f>
        <v>-5448.75462146304</v>
      </c>
      <c r="G12" s="4" t="n">
        <f aca="false">-G6*Assumptions!G17/100</f>
        <v>-5763.89880767739</v>
      </c>
      <c r="H12" s="4" t="n">
        <f aca="false">-H6*Assumptions!H17/100</f>
        <v>-6093.04776590528</v>
      </c>
      <c r="I12" s="4" t="n">
        <f aca="false">-I6*Assumptions!I17/100</f>
        <v>-6374.26535510091</v>
      </c>
      <c r="J12" s="4" t="n">
        <f aca="false">-J6*Assumptions!J17/100</f>
        <v>-6501.75066220293</v>
      </c>
      <c r="K12" s="4" t="n">
        <f aca="false">-K6*Assumptions!K17/100</f>
        <v>-6631.78567544699</v>
      </c>
      <c r="L12" s="4" t="n">
        <f aca="false">-L6*Assumptions!L17/100</f>
        <v>-6764.42138895593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2192.09424</v>
      </c>
      <c r="D13" s="0" t="n">
        <f aca="false">D11+D12</f>
        <v>3004.7348904</v>
      </c>
      <c r="E13" s="0" t="n">
        <f aca="false">E11+E12</f>
        <v>1366.363655424</v>
      </c>
      <c r="F13" s="0" t="n">
        <f aca="false">F11+F12</f>
        <v>2061.69093785088</v>
      </c>
      <c r="G13" s="0" t="n">
        <f aca="false">G11+G12</f>
        <v>3640.35714169098</v>
      </c>
      <c r="H13" s="0" t="n">
        <f aca="false">H11+H12</f>
        <v>4530.72782592957</v>
      </c>
      <c r="I13" s="0" t="n">
        <f aca="false">I11+I12</f>
        <v>5418.12555183577</v>
      </c>
      <c r="J13" s="0" t="n">
        <f aca="false">J11+J12</f>
        <v>5526.48806287249</v>
      </c>
      <c r="K13" s="0" t="n">
        <f aca="false">K11+K12</f>
        <v>5637.01782412994</v>
      </c>
      <c r="L13" s="0" t="n">
        <f aca="false">L11+L12</f>
        <v>5749.75818061254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10</v>
      </c>
      <c r="D14" s="4" t="n">
        <f aca="false">Assumptions!D19</f>
        <v>12</v>
      </c>
      <c r="E14" s="4" t="n">
        <f aca="false">Assumptions!E19</f>
        <v>10</v>
      </c>
      <c r="F14" s="4" t="n">
        <f aca="false">Assumptions!F19</f>
        <v>12</v>
      </c>
      <c r="G14" s="4" t="n">
        <f aca="false">Assumptions!G19</f>
        <v>15</v>
      </c>
      <c r="H14" s="4" t="n">
        <f aca="false">Assumptions!H19</f>
        <v>18</v>
      </c>
      <c r="I14" s="4" t="n">
        <f aca="false">Assumptions!I19</f>
        <v>20</v>
      </c>
      <c r="J14" s="4" t="n">
        <f aca="false">Assumptions!J19</f>
        <v>22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1972.884816</v>
      </c>
      <c r="D15" s="0" t="n">
        <f aca="false">D13-MAX(0,D13)*D14/100</f>
        <v>2644.166703552</v>
      </c>
      <c r="E15" s="0" t="n">
        <f aca="false">E13-MAX(0,E13)*E14/100</f>
        <v>1229.7272898816</v>
      </c>
      <c r="F15" s="0" t="n">
        <f aca="false">F13-MAX(0,F13)*F14/100</f>
        <v>1814.28802530878</v>
      </c>
      <c r="G15" s="0" t="n">
        <f aca="false">G13-MAX(0,G13)*G14/100</f>
        <v>3094.30357043733</v>
      </c>
      <c r="H15" s="0" t="n">
        <f aca="false">H13-MAX(0,H13)*H14/100</f>
        <v>3715.19681726225</v>
      </c>
      <c r="I15" s="0" t="n">
        <f aca="false">I13-MAX(0,I13)*I14/100</f>
        <v>4334.50044146862</v>
      </c>
      <c r="J15" s="0" t="n">
        <f aca="false">J13-MAX(0,J13)*J14/100</f>
        <v>4310.66068904054</v>
      </c>
      <c r="K15" s="0" t="n">
        <f aca="false">K13-MAX(0,K13)*K14/100</f>
        <v>4227.76336809745</v>
      </c>
      <c r="L15" s="0" t="n">
        <f aca="false">L13-MAX(0,L13)*L14/100</f>
        <v>4312.3186354594</v>
      </c>
    </row>
    <row r="16" customFormat="false" ht="15" hidden="false" customHeight="false" outlineLevel="0" collapsed="false">
      <c r="A16" s="0" t="s">
        <v>120</v>
      </c>
      <c r="C16" s="0" t="n">
        <f aca="false">-C12</f>
        <v>5480.2356</v>
      </c>
      <c r="D16" s="0" t="n">
        <f aca="false">-D12</f>
        <v>5535.037956</v>
      </c>
      <c r="E16" s="0" t="n">
        <f aca="false">-E12</f>
        <v>5465.454621696</v>
      </c>
      <c r="F16" s="0" t="n">
        <f aca="false">-F12</f>
        <v>5448.75462146304</v>
      </c>
      <c r="G16" s="0" t="n">
        <f aca="false">-G12</f>
        <v>5763.89880767739</v>
      </c>
      <c r="H16" s="0" t="n">
        <f aca="false">-H12</f>
        <v>6093.04776590528</v>
      </c>
      <c r="I16" s="0" t="n">
        <f aca="false">-I12</f>
        <v>6374.26535510091</v>
      </c>
      <c r="J16" s="0" t="n">
        <f aca="false">-J12</f>
        <v>6501.75066220293</v>
      </c>
      <c r="K16" s="0" t="n">
        <f aca="false">-K12</f>
        <v>6631.78567544699</v>
      </c>
      <c r="L16" s="0" t="n">
        <f aca="false">-L12</f>
        <v>6764.42138895593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-7828.908</v>
      </c>
      <c r="D17" s="4" t="n">
        <f aca="false">-D6*Assumptions!D18/100</f>
        <v>-8302.556934</v>
      </c>
      <c r="E17" s="4" t="n">
        <f aca="false">-E6*Assumptions!E18/100</f>
        <v>-8350.00011648</v>
      </c>
      <c r="F17" s="4" t="n">
        <f aca="false">-F6*Assumptions!F18/100</f>
        <v>-8099.5001129856</v>
      </c>
      <c r="G17" s="4" t="n">
        <f aca="false">-G6*Assumptions!G18/100</f>
        <v>-8342.48511637517</v>
      </c>
      <c r="H17" s="4" t="n">
        <f aca="false">-H6*Assumptions!H18/100</f>
        <v>-8592.75966986642</v>
      </c>
      <c r="I17" s="4" t="n">
        <f aca="false">-I6*Assumptions!I18/100</f>
        <v>-8764.61486326375</v>
      </c>
      <c r="J17" s="4" t="n">
        <f aca="false">-J6*Assumptions!J18/100</f>
        <v>-8939.90716052903</v>
      </c>
      <c r="K17" s="4" t="n">
        <f aca="false">-K6*Assumptions!K18/100</f>
        <v>-9118.70530373961</v>
      </c>
      <c r="L17" s="4" t="n">
        <f aca="false">-L6*Assumptions!L18/100</f>
        <v>-9301.0794098144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153.508</v>
      </c>
      <c r="D18" s="4" t="n">
        <f aca="false">(D6-C6)*Assumptions!$B$23/100</f>
        <v>78.2890799999994</v>
      </c>
      <c r="E18" s="4" t="n">
        <f aca="false">(E6-D6)*Assumptions!$B$23/100</f>
        <v>-316.2878832</v>
      </c>
      <c r="F18" s="4" t="n">
        <f aca="false">(F6-E6)*Assumptions!$B$23/100</f>
        <v>-227.727275904</v>
      </c>
      <c r="G18" s="4" t="n">
        <f aca="false">(G6-F6)*Assumptions!$B$23/100</f>
        <v>220.895457626881</v>
      </c>
      <c r="H18" s="4" t="n">
        <f aca="false">(H6-G6)*Assumptions!$B$23/100</f>
        <v>227.522321355686</v>
      </c>
      <c r="I18" s="4" t="n">
        <f aca="false">(I6-H6)*Assumptions!$B$23/100</f>
        <v>156.231993997571</v>
      </c>
      <c r="J18" s="4" t="n">
        <f aca="false">(J6-I6)*Assumptions!$B$23/100</f>
        <v>159.356633877523</v>
      </c>
      <c r="K18" s="4" t="n">
        <f aca="false">(K6-J6)*Assumptions!$B$23/100</f>
        <v>162.543766555074</v>
      </c>
      <c r="L18" s="4" t="n">
        <f aca="false">(L6-K6)*Assumptions!$B$23/100</f>
        <v>165.794641886174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-222.279584</v>
      </c>
      <c r="D19" s="0" t="n">
        <f aca="false">D15+D16+D17+D18</f>
        <v>-45.0631944480021</v>
      </c>
      <c r="E19" s="0" t="n">
        <f aca="false">E15+E16+E17+E18</f>
        <v>-1971.1060881024</v>
      </c>
      <c r="F19" s="0" t="n">
        <f aca="false">F15+F16+F17+F18</f>
        <v>-1064.18474211778</v>
      </c>
      <c r="G19" s="0" t="n">
        <f aca="false">G15+G16+G17+G18</f>
        <v>736.612719366434</v>
      </c>
      <c r="H19" s="0" t="n">
        <f aca="false">H15+H16+H17+H18</f>
        <v>1443.00723465679</v>
      </c>
      <c r="I19" s="0" t="n">
        <f aca="false">I15+I16+I17+I18</f>
        <v>2100.38292730335</v>
      </c>
      <c r="J19" s="0" t="n">
        <f aca="false">J15+J16+J17+J18</f>
        <v>2031.86082459197</v>
      </c>
      <c r="K19" s="0" t="n">
        <f aca="false">K15+K16+K17+K18</f>
        <v>1903.38750635991</v>
      </c>
      <c r="L19" s="0" t="n">
        <f aca="false">L15+L16+L17+L18</f>
        <v>1941.45525648711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-203.926223853211</v>
      </c>
      <c r="D21" s="0" t="n">
        <f aca="false">D19*D20</f>
        <v>-37.9287891995641</v>
      </c>
      <c r="E21" s="0" t="n">
        <f aca="false">E19*E20</f>
        <v>-1522.05555868046</v>
      </c>
      <c r="F21" s="0" t="n">
        <f aca="false">F19*F20</f>
        <v>-753.895300547153</v>
      </c>
      <c r="G21" s="0" t="n">
        <f aca="false">G19*G20</f>
        <v>478.747725862821</v>
      </c>
      <c r="H21" s="0" t="n">
        <f aca="false">H19*H20</f>
        <v>860.418066476175</v>
      </c>
      <c r="I21" s="0" t="n">
        <f aca="false">I19*I20</f>
        <v>1148.98138851918</v>
      </c>
      <c r="J21" s="0" t="n">
        <f aca="false">J19*J20</f>
        <v>1019.72243285081</v>
      </c>
      <c r="K21" s="0" t="n">
        <f aca="false">K19*K20</f>
        <v>876.372483112361</v>
      </c>
      <c r="L21" s="0" t="n">
        <f aca="false">L19*L20</f>
        <v>820.091681444595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0.6</v>
      </c>
      <c r="D23" s="4" t="n">
        <f aca="false">Assumptions!D16</f>
        <v>0.6</v>
      </c>
      <c r="E23" s="4" t="n">
        <f aca="false">Assumptions!E16</f>
        <v>0.6</v>
      </c>
      <c r="F23" s="4" t="n">
        <f aca="false">Assumptions!F16</f>
        <v>0.6</v>
      </c>
      <c r="G23" s="4" t="n">
        <f aca="false">Assumptions!G16</f>
        <v>0.6</v>
      </c>
      <c r="H23" s="4" t="n">
        <f aca="false">Assumptions!H16</f>
        <v>0.6</v>
      </c>
      <c r="I23" s="4" t="n">
        <f aca="false">Assumptions!I16</f>
        <v>0.6</v>
      </c>
      <c r="J23" s="4" t="n">
        <f aca="false">Assumptions!J16</f>
        <v>0.6</v>
      </c>
      <c r="K23" s="4" t="n">
        <f aca="false">Assumptions!K16</f>
        <v>0.6</v>
      </c>
      <c r="L23" s="4" t="n">
        <f aca="false">Assumptions!L16</f>
        <v>0.6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-939.46896</v>
      </c>
      <c r="D24" s="0" t="n">
        <f aca="false">-D6*D23/100</f>
        <v>-948.8636496</v>
      </c>
      <c r="E24" s="0" t="n">
        <f aca="false">-E6*E23/100</f>
        <v>-910.909103616</v>
      </c>
      <c r="F24" s="0" t="n">
        <f aca="false">-F6*F23/100</f>
        <v>-883.58183050752</v>
      </c>
      <c r="G24" s="0" t="n">
        <f aca="false">-G6*G23/100</f>
        <v>-910.089285422746</v>
      </c>
      <c r="H24" s="0" t="n">
        <f aca="false">-H6*H23/100</f>
        <v>-937.391963985428</v>
      </c>
      <c r="I24" s="0" t="n">
        <f aca="false">-I6*I23/100</f>
        <v>-956.139803265136</v>
      </c>
      <c r="J24" s="0" t="n">
        <f aca="false">-J6*J23/100</f>
        <v>-975.262599330439</v>
      </c>
      <c r="K24" s="0" t="n">
        <f aca="false">-K6*K23/100</f>
        <v>-994.767851317048</v>
      </c>
      <c r="L24" s="0" t="n">
        <f aca="false">-L6*L23/100</f>
        <v>-1014.66320834339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2686.52790598556</v>
      </c>
    </row>
    <row r="31" customFormat="false" ht="15" hidden="false" customHeight="false" outlineLevel="0" collapsed="false">
      <c r="A31" s="0" t="s">
        <v>129</v>
      </c>
      <c r="B31" s="0" t="n">
        <f aca="false">L19</f>
        <v>1941.45525648711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28289.7765945264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23297.4630778453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23297.4630778453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9841.10017733514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12527.6280833207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14668.6280833207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5.02747309461537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0.414993834679248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5.02747309461537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15232.9566278219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2.48119799710349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5</v>
      </c>
      <c r="D5" s="4" t="n">
        <f aca="false">Assumptions!D27</f>
        <v>3.5</v>
      </c>
      <c r="E5" s="4" t="n">
        <f aca="false">Assumptions!E27</f>
        <v>3</v>
      </c>
      <c r="F5" s="4" t="n">
        <f aca="false">Assumptions!F27</f>
        <v>2.5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153508</v>
      </c>
      <c r="C6" s="0" t="n">
        <f aca="false">B6*(1+C5/100)</f>
        <v>161183.4</v>
      </c>
      <c r="D6" s="0" t="n">
        <f aca="false">C6*(1+D5/100)</f>
        <v>166824.819</v>
      </c>
      <c r="E6" s="0" t="n">
        <f aca="false">D6*(1+E5/100)</f>
        <v>171829.56357</v>
      </c>
      <c r="F6" s="0" t="n">
        <f aca="false">E6*(1+F5/100)</f>
        <v>176125.30265925</v>
      </c>
      <c r="G6" s="0" t="n">
        <f aca="false">F6*(1+G5/100)</f>
        <v>179647.808712435</v>
      </c>
      <c r="H6" s="0" t="n">
        <f aca="false">G6*(1+H5/100)</f>
        <v>183240.764886684</v>
      </c>
      <c r="I6" s="0" t="n">
        <f aca="false">H6*(1+I5/100)</f>
        <v>186905.580184417</v>
      </c>
      <c r="J6" s="0" t="n">
        <f aca="false">I6*(1+J5/100)</f>
        <v>190643.691788106</v>
      </c>
      <c r="K6" s="0" t="n">
        <f aca="false">J6*(1+K5/100)</f>
        <v>194456.565623868</v>
      </c>
      <c r="L6" s="0" t="n">
        <f aca="false">K6*(1+L5/100)</f>
        <v>198345.696936345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6.5</v>
      </c>
      <c r="D7" s="4" t="n">
        <f aca="false">Assumptions!D28</f>
        <v>7.5</v>
      </c>
      <c r="E7" s="4" t="n">
        <f aca="false">Assumptions!E28</f>
        <v>8.6</v>
      </c>
      <c r="F7" s="4" t="n">
        <f aca="false">Assumptions!F28</f>
        <v>9.2</v>
      </c>
      <c r="G7" s="4" t="n">
        <f aca="false">Assumptions!G28</f>
        <v>9.8</v>
      </c>
      <c r="H7" s="4" t="n">
        <f aca="false">Assumptions!H28</f>
        <v>10.15</v>
      </c>
      <c r="I7" s="4" t="n">
        <f aca="false">Assumptions!I28</f>
        <v>10.5</v>
      </c>
      <c r="J7" s="4" t="n">
        <f aca="false">Assumptions!J28</f>
        <v>10.5</v>
      </c>
      <c r="K7" s="4" t="n">
        <f aca="false">Assumptions!K28</f>
        <v>10.5</v>
      </c>
      <c r="L7" s="4" t="n">
        <f aca="false">Assumptions!L28</f>
        <v>10.5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10476.921</v>
      </c>
      <c r="D8" s="0" t="n">
        <f aca="false">D6*D7/100</f>
        <v>12511.861425</v>
      </c>
      <c r="E8" s="0" t="n">
        <f aca="false">E6*E7/100</f>
        <v>14777.34246702</v>
      </c>
      <c r="F8" s="0" t="n">
        <f aca="false">F6*F7/100</f>
        <v>16203.527844651</v>
      </c>
      <c r="G8" s="0" t="n">
        <f aca="false">G6*G7/100</f>
        <v>17605.4852538186</v>
      </c>
      <c r="H8" s="0" t="n">
        <f aca="false">H6*H7/100</f>
        <v>18598.9376359984</v>
      </c>
      <c r="I8" s="0" t="n">
        <f aca="false">I6*I7/100</f>
        <v>19625.0859193638</v>
      </c>
      <c r="J8" s="0" t="n">
        <f aca="false">J6*J7/100</f>
        <v>20017.5876377511</v>
      </c>
      <c r="K8" s="0" t="n">
        <f aca="false">K6*K7/100</f>
        <v>20417.9393905061</v>
      </c>
      <c r="L8" s="0" t="n">
        <f aca="false">L6*L7/100</f>
        <v>20826.2981783162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9509.8206</v>
      </c>
      <c r="D11" s="0" t="n">
        <f aca="false">D8+D10+D24</f>
        <v>11510.912511</v>
      </c>
      <c r="E11" s="0" t="n">
        <f aca="false">E8+E10+E24</f>
        <v>13746.3650856</v>
      </c>
      <c r="F11" s="0" t="n">
        <f aca="false">F8+F10+F24</f>
        <v>15146.7760286955</v>
      </c>
      <c r="G11" s="0" t="n">
        <f aca="false">G8+G10+G24</f>
        <v>16527.598401544</v>
      </c>
      <c r="H11" s="0" t="n">
        <f aca="false">H8+H10+H24</f>
        <v>17499.4930466783</v>
      </c>
      <c r="I11" s="0" t="n">
        <f aca="false">I8+I10+I24</f>
        <v>18503.6524382573</v>
      </c>
      <c r="J11" s="0" t="n">
        <f aca="false">J8+J10+J24</f>
        <v>18873.7254870225</v>
      </c>
      <c r="K11" s="0" t="n">
        <f aca="false">K8+K10+K24</f>
        <v>19251.1999967629</v>
      </c>
      <c r="L11" s="0" t="n">
        <f aca="false">L8+L10+L24</f>
        <v>19636.2239966982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-5641.419</v>
      </c>
      <c r="D12" s="4" t="n">
        <f aca="false">-D6*Assumptions!D31/100</f>
        <v>-5838.868665</v>
      </c>
      <c r="E12" s="4" t="n">
        <f aca="false">-E6*Assumptions!E31/100</f>
        <v>-6185.86428852</v>
      </c>
      <c r="F12" s="4" t="n">
        <f aca="false">-F6*Assumptions!F31/100</f>
        <v>-6516.63619839225</v>
      </c>
      <c r="G12" s="4" t="n">
        <f aca="false">-G6*Assumptions!G31/100</f>
        <v>-6826.61673107253</v>
      </c>
      <c r="H12" s="4" t="n">
        <f aca="false">-H6*Assumptions!H31/100</f>
        <v>-7146.38983058066</v>
      </c>
      <c r="I12" s="4" t="n">
        <f aca="false">-I6*Assumptions!I31/100</f>
        <v>-7476.22320737669</v>
      </c>
      <c r="J12" s="4" t="n">
        <f aca="false">-J6*Assumptions!J31/100</f>
        <v>-7625.74767152423</v>
      </c>
      <c r="K12" s="4" t="n">
        <f aca="false">-K6*Assumptions!K31/100</f>
        <v>-7778.26262495471</v>
      </c>
      <c r="L12" s="4" t="n">
        <f aca="false">-L6*Assumptions!L31/100</f>
        <v>-7933.82787745381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3868.4016</v>
      </c>
      <c r="D13" s="0" t="n">
        <f aca="false">D11+D12</f>
        <v>5672.043846</v>
      </c>
      <c r="E13" s="0" t="n">
        <f aca="false">E11+E12</f>
        <v>7560.50079708</v>
      </c>
      <c r="F13" s="0" t="n">
        <f aca="false">F11+F12</f>
        <v>8630.13983030325</v>
      </c>
      <c r="G13" s="0" t="n">
        <f aca="false">G11+G12</f>
        <v>9700.98167047149</v>
      </c>
      <c r="H13" s="0" t="n">
        <f aca="false">H11+H12</f>
        <v>10353.1032160976</v>
      </c>
      <c r="I13" s="0" t="n">
        <f aca="false">I11+I12</f>
        <v>11027.4292308806</v>
      </c>
      <c r="J13" s="0" t="n">
        <f aca="false">J11+J12</f>
        <v>11247.9778154982</v>
      </c>
      <c r="K13" s="0" t="n">
        <f aca="false">K11+K12</f>
        <v>11472.9373718082</v>
      </c>
      <c r="L13" s="0" t="n">
        <f aca="false">L11+L12</f>
        <v>11702.3961192444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12</v>
      </c>
      <c r="D14" s="4" t="n">
        <f aca="false">Assumptions!D33</f>
        <v>15</v>
      </c>
      <c r="E14" s="4" t="n">
        <f aca="false">Assumptions!E33</f>
        <v>18</v>
      </c>
      <c r="F14" s="4" t="n">
        <f aca="false">Assumptions!F33</f>
        <v>20</v>
      </c>
      <c r="G14" s="4" t="n">
        <f aca="false">Assumptions!G33</f>
        <v>22</v>
      </c>
      <c r="H14" s="4" t="n">
        <f aca="false">Assumptions!H33</f>
        <v>24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3404.193408</v>
      </c>
      <c r="D15" s="0" t="n">
        <f aca="false">D13-MAX(0,D13)*D14/100</f>
        <v>4821.2372691</v>
      </c>
      <c r="E15" s="0" t="n">
        <f aca="false">E13-MAX(0,E13)*E14/100</f>
        <v>6199.6106536056</v>
      </c>
      <c r="F15" s="0" t="n">
        <f aca="false">F13-MAX(0,F13)*F14/100</f>
        <v>6904.1118642426</v>
      </c>
      <c r="G15" s="0" t="n">
        <f aca="false">G13-MAX(0,G13)*G14/100</f>
        <v>7566.76570296776</v>
      </c>
      <c r="H15" s="0" t="n">
        <f aca="false">H13-MAX(0,H13)*H14/100</f>
        <v>7868.3584442342</v>
      </c>
      <c r="I15" s="0" t="n">
        <f aca="false">I13-MAX(0,I13)*I14/100</f>
        <v>8270.57192316047</v>
      </c>
      <c r="J15" s="0" t="n">
        <f aca="false">J13-MAX(0,J13)*J14/100</f>
        <v>8435.98336162368</v>
      </c>
      <c r="K15" s="0" t="n">
        <f aca="false">K13-MAX(0,K13)*K14/100</f>
        <v>8604.70302885616</v>
      </c>
      <c r="L15" s="0" t="n">
        <f aca="false">L13-MAX(0,L13)*L14/100</f>
        <v>8776.79708943328</v>
      </c>
    </row>
    <row r="16" customFormat="false" ht="15" hidden="false" customHeight="false" outlineLevel="0" collapsed="false">
      <c r="A16" s="0" t="s">
        <v>120</v>
      </c>
      <c r="C16" s="0" t="n">
        <f aca="false">-C12</f>
        <v>5641.419</v>
      </c>
      <c r="D16" s="0" t="n">
        <f aca="false">-D12</f>
        <v>5838.868665</v>
      </c>
      <c r="E16" s="0" t="n">
        <f aca="false">-E12</f>
        <v>6185.86428852</v>
      </c>
      <c r="F16" s="0" t="n">
        <f aca="false">-F12</f>
        <v>6516.63619839225</v>
      </c>
      <c r="G16" s="0" t="n">
        <f aca="false">-G12</f>
        <v>6826.61673107253</v>
      </c>
      <c r="H16" s="0" t="n">
        <f aca="false">-H12</f>
        <v>7146.38983058066</v>
      </c>
      <c r="I16" s="0" t="n">
        <f aca="false">-I12</f>
        <v>7476.22320737669</v>
      </c>
      <c r="J16" s="0" t="n">
        <f aca="false">-J12</f>
        <v>7625.74767152423</v>
      </c>
      <c r="K16" s="0" t="n">
        <f aca="false">-K12</f>
        <v>7778.26262495471</v>
      </c>
      <c r="L16" s="0" t="n">
        <f aca="false">-L12</f>
        <v>7933.82787745381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-8059.17</v>
      </c>
      <c r="D17" s="4" t="n">
        <f aca="false">-D6*Assumptions!D32/100</f>
        <v>-8758.3029975</v>
      </c>
      <c r="E17" s="4" t="n">
        <f aca="false">-E6*Assumptions!E32/100</f>
        <v>-9450.62599635</v>
      </c>
      <c r="F17" s="4" t="n">
        <f aca="false">-F6*Assumptions!F32/100</f>
        <v>-9686.89164625875</v>
      </c>
      <c r="G17" s="4" t="n">
        <f aca="false">-G6*Assumptions!G32/100</f>
        <v>-10329.749000965</v>
      </c>
      <c r="H17" s="4" t="n">
        <f aca="false">-H6*Assumptions!H32/100</f>
        <v>-10536.3439809843</v>
      </c>
      <c r="I17" s="4" t="n">
        <f aca="false">-I6*Assumptions!I32/100</f>
        <v>-10747.070860604</v>
      </c>
      <c r="J17" s="4" t="n">
        <f aca="false">-J6*Assumptions!J32/100</f>
        <v>-10962.0122778161</v>
      </c>
      <c r="K17" s="4" t="n">
        <f aca="false">-K6*Assumptions!K32/100</f>
        <v>-11181.2525233724</v>
      </c>
      <c r="L17" s="4" t="n">
        <f aca="false">-L6*Assumptions!L32/100</f>
        <v>-11404.8775738398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383.77</v>
      </c>
      <c r="D18" s="4" t="n">
        <f aca="false">(D6-C6)*Assumptions!$B$37/100</f>
        <v>282.07095</v>
      </c>
      <c r="E18" s="4" t="n">
        <f aca="false">(E6-D6)*Assumptions!$B$37/100</f>
        <v>250.237228500001</v>
      </c>
      <c r="F18" s="4" t="n">
        <f aca="false">(F6-E6)*Assumptions!$B$37/100</f>
        <v>214.786954462499</v>
      </c>
      <c r="G18" s="4" t="n">
        <f aca="false">(G6-F6)*Assumptions!$B$37/100</f>
        <v>176.12530265925</v>
      </c>
      <c r="H18" s="4" t="n">
        <f aca="false">(H6-G6)*Assumptions!$B$37/100</f>
        <v>179.647808712436</v>
      </c>
      <c r="I18" s="4" t="n">
        <f aca="false">(I6-H6)*Assumptions!$B$37/100</f>
        <v>183.240764886684</v>
      </c>
      <c r="J18" s="4" t="n">
        <f aca="false">(J6-I6)*Assumptions!$B$37/100</f>
        <v>186.905580184418</v>
      </c>
      <c r="K18" s="4" t="n">
        <f aca="false">(K6-J6)*Assumptions!$B$37/100</f>
        <v>190.643691788106</v>
      </c>
      <c r="L18" s="4" t="n">
        <f aca="false">(L6-K6)*Assumptions!$B$37/100</f>
        <v>194.456565623869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1370.212408</v>
      </c>
      <c r="D19" s="0" t="n">
        <f aca="false">D15+D16+D17+D18</f>
        <v>2183.8738866</v>
      </c>
      <c r="E19" s="0" t="n">
        <f aca="false">E15+E16+E17+E18</f>
        <v>3185.0861742756</v>
      </c>
      <c r="F19" s="0" t="n">
        <f aca="false">F15+F16+F17+F18</f>
        <v>3948.6433708386</v>
      </c>
      <c r="G19" s="0" t="n">
        <f aca="false">G15+G16+G17+G18</f>
        <v>4239.75873573453</v>
      </c>
      <c r="H19" s="0" t="n">
        <f aca="false">H15+H16+H17+H18</f>
        <v>4658.05210254298</v>
      </c>
      <c r="I19" s="0" t="n">
        <f aca="false">I15+I16+I17+I18</f>
        <v>5182.96503481985</v>
      </c>
      <c r="J19" s="0" t="n">
        <f aca="false">J15+J16+J17+J18</f>
        <v>5286.62433551625</v>
      </c>
      <c r="K19" s="0" t="n">
        <f aca="false">K15+K16+K17+K18</f>
        <v>5392.35682222657</v>
      </c>
      <c r="L19" s="0" t="n">
        <f aca="false">L15+L16+L17+L18</f>
        <v>5500.2039586711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1257.07560366973</v>
      </c>
      <c r="D21" s="0" t="n">
        <f aca="false">D19*D20</f>
        <v>1838.1229581685</v>
      </c>
      <c r="E21" s="0" t="n">
        <f aca="false">E19*E20</f>
        <v>2459.47092634651</v>
      </c>
      <c r="F21" s="0" t="n">
        <f aca="false">F19*F20</f>
        <v>2797.31851340752</v>
      </c>
      <c r="G21" s="0" t="n">
        <f aca="false">G19*G20</f>
        <v>2755.55227268646</v>
      </c>
      <c r="H21" s="0" t="n">
        <f aca="false">H19*H20</f>
        <v>2777.44427564742</v>
      </c>
      <c r="I21" s="0" t="n">
        <f aca="false">I19*I20</f>
        <v>2835.25936387199</v>
      </c>
      <c r="J21" s="0" t="n">
        <f aca="false">J19*J20</f>
        <v>2653.17848729306</v>
      </c>
      <c r="K21" s="0" t="n">
        <f aca="false">K19*K20</f>
        <v>2482.79087801736</v>
      </c>
      <c r="L21" s="0" t="n">
        <f aca="false">L19*L20</f>
        <v>2323.34559227312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0.6</v>
      </c>
      <c r="D23" s="4" t="n">
        <f aca="false">Assumptions!D30</f>
        <v>0.6</v>
      </c>
      <c r="E23" s="4" t="n">
        <f aca="false">Assumptions!E30</f>
        <v>0.6</v>
      </c>
      <c r="F23" s="4" t="n">
        <f aca="false">Assumptions!F30</f>
        <v>0.6</v>
      </c>
      <c r="G23" s="4" t="n">
        <f aca="false">Assumptions!G30</f>
        <v>0.6</v>
      </c>
      <c r="H23" s="4" t="n">
        <f aca="false">Assumptions!H30</f>
        <v>0.6</v>
      </c>
      <c r="I23" s="4" t="n">
        <f aca="false">Assumptions!I30</f>
        <v>0.6</v>
      </c>
      <c r="J23" s="4" t="n">
        <f aca="false">Assumptions!J30</f>
        <v>0.6</v>
      </c>
      <c r="K23" s="4" t="n">
        <f aca="false">Assumptions!K30</f>
        <v>0.6</v>
      </c>
      <c r="L23" s="4" t="n">
        <f aca="false">Assumptions!L30</f>
        <v>0.6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-967.1004</v>
      </c>
      <c r="D24" s="0" t="n">
        <f aca="false">-D6*D23/100</f>
        <v>-1000.948914</v>
      </c>
      <c r="E24" s="0" t="n">
        <f aca="false">-E6*E23/100</f>
        <v>-1030.97738142</v>
      </c>
      <c r="F24" s="0" t="n">
        <f aca="false">-F6*F23/100</f>
        <v>-1056.7518159555</v>
      </c>
      <c r="G24" s="0" t="n">
        <f aca="false">-G6*G23/100</f>
        <v>-1077.88685227461</v>
      </c>
      <c r="H24" s="0" t="n">
        <f aca="false">-H6*H23/100</f>
        <v>-1099.4445893201</v>
      </c>
      <c r="I24" s="0" t="n">
        <f aca="false">-I6*I23/100</f>
        <v>-1121.4334811065</v>
      </c>
      <c r="J24" s="0" t="n">
        <f aca="false">-J6*J23/100</f>
        <v>-1143.86215072863</v>
      </c>
      <c r="K24" s="0" t="n">
        <f aca="false">-K6*K23/100</f>
        <v>-1166.73939374321</v>
      </c>
      <c r="L24" s="0" t="n">
        <f aca="false">-L6*L23/100</f>
        <v>-1190.07418161807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24179.5588713817</v>
      </c>
    </row>
    <row r="31" customFormat="false" ht="15" hidden="false" customHeight="false" outlineLevel="0" collapsed="false">
      <c r="A31" s="0" t="s">
        <v>129</v>
      </c>
      <c r="B31" s="0" t="n">
        <f aca="false">L19</f>
        <v>5500.2039586711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80145.8291120647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66002.4475040532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66002.4475040532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27880.1471072775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52059.7059786592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54200.7059786592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18.5765559989016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4.22841429746738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18.5765559989016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43155.4464449579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10.5199082793561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6</v>
      </c>
      <c r="D5" s="4" t="n">
        <f aca="false">Assumptions!D41</f>
        <v>5</v>
      </c>
      <c r="E5" s="4" t="n">
        <f aca="false">Assumptions!E41</f>
        <v>4.5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153508</v>
      </c>
      <c r="C6" s="0" t="n">
        <f aca="false">B6*(1+C5/100)</f>
        <v>162718.48</v>
      </c>
      <c r="D6" s="0" t="n">
        <f aca="false">C6*(1+D5/100)</f>
        <v>170854.404</v>
      </c>
      <c r="E6" s="0" t="n">
        <f aca="false">D6*(1+E5/100)</f>
        <v>178542.85218</v>
      </c>
      <c r="F6" s="0" t="n">
        <f aca="false">E6*(1+F5/100)</f>
        <v>185684.5662672</v>
      </c>
      <c r="G6" s="0" t="n">
        <f aca="false">F6*(1+G5/100)</f>
        <v>192183.526086552</v>
      </c>
      <c r="H6" s="0" t="n">
        <f aca="false">G6*(1+H5/100)</f>
        <v>197949.031869149</v>
      </c>
      <c r="I6" s="0" t="n">
        <f aca="false">H6*(1+I5/100)</f>
        <v>202897.757665877</v>
      </c>
      <c r="J6" s="0" t="n">
        <f aca="false">I6*(1+J5/100)</f>
        <v>207970.201607524</v>
      </c>
      <c r="K6" s="0" t="n">
        <f aca="false">J6*(1+K5/100)</f>
        <v>213169.456647712</v>
      </c>
      <c r="L6" s="0" t="n">
        <f aca="false">K6*(1+L5/100)</f>
        <v>218498.693063905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7</v>
      </c>
      <c r="D7" s="4" t="n">
        <f aca="false">Assumptions!D42</f>
        <v>8.5</v>
      </c>
      <c r="E7" s="4" t="n">
        <f aca="false">Assumptions!E42</f>
        <v>9.6</v>
      </c>
      <c r="F7" s="4" t="n">
        <f aca="false">Assumptions!F42</f>
        <v>10.7</v>
      </c>
      <c r="G7" s="4" t="n">
        <f aca="false">Assumptions!G42</f>
        <v>11.3</v>
      </c>
      <c r="H7" s="4" t="n">
        <f aca="false">Assumptions!H42</f>
        <v>11.65</v>
      </c>
      <c r="I7" s="4" t="n">
        <f aca="false">Assumptions!I42</f>
        <v>12</v>
      </c>
      <c r="J7" s="4" t="n">
        <f aca="false">Assumptions!J42</f>
        <v>12</v>
      </c>
      <c r="K7" s="4" t="n">
        <f aca="false">Assumptions!K42</f>
        <v>12</v>
      </c>
      <c r="L7" s="4" t="n">
        <f aca="false">Assumptions!L42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11390.2936</v>
      </c>
      <c r="D8" s="0" t="n">
        <f aca="false">D6*D7/100</f>
        <v>14522.62434</v>
      </c>
      <c r="E8" s="0" t="n">
        <f aca="false">E6*E7/100</f>
        <v>17140.11380928</v>
      </c>
      <c r="F8" s="0" t="n">
        <f aca="false">F6*F7/100</f>
        <v>19868.2485905904</v>
      </c>
      <c r="G8" s="0" t="n">
        <f aca="false">G6*G7/100</f>
        <v>21716.7384477804</v>
      </c>
      <c r="H8" s="0" t="n">
        <f aca="false">H6*H7/100</f>
        <v>23061.0622127558</v>
      </c>
      <c r="I8" s="0" t="n">
        <f aca="false">I6*I7/100</f>
        <v>24347.7309199053</v>
      </c>
      <c r="J8" s="0" t="n">
        <f aca="false">J6*J7/100</f>
        <v>24956.4241929029</v>
      </c>
      <c r="K8" s="0" t="n">
        <f aca="false">K6*K7/100</f>
        <v>25580.3347977255</v>
      </c>
      <c r="L8" s="0" t="n">
        <f aca="false">L6*L7/100</f>
        <v>26219.8431676686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10413.98272</v>
      </c>
      <c r="D11" s="0" t="n">
        <f aca="false">D8+D10+D24</f>
        <v>13497.497916</v>
      </c>
      <c r="E11" s="0" t="n">
        <f aca="false">E8+E10+E24</f>
        <v>16068.8566962</v>
      </c>
      <c r="F11" s="0" t="n">
        <f aca="false">F8+F10+F24</f>
        <v>18754.1411929872</v>
      </c>
      <c r="G11" s="0" t="n">
        <f aca="false">G8+G10+G24</f>
        <v>20563.6372912611</v>
      </c>
      <c r="H11" s="0" t="n">
        <f aca="false">H8+H10+H24</f>
        <v>21873.3680215409</v>
      </c>
      <c r="I11" s="0" t="n">
        <f aca="false">I8+I10+I24</f>
        <v>23130.34437391</v>
      </c>
      <c r="J11" s="0" t="n">
        <f aca="false">J8+J10+J24</f>
        <v>23708.6029832578</v>
      </c>
      <c r="K11" s="0" t="n">
        <f aca="false">K8+K10+K24</f>
        <v>24301.3180578392</v>
      </c>
      <c r="L11" s="0" t="n">
        <f aca="false">L8+L10+L24</f>
        <v>24908.8510092852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-5695.1468</v>
      </c>
      <c r="D12" s="4" t="n">
        <f aca="false">-D6*Assumptions!D45/100</f>
        <v>-5979.90414</v>
      </c>
      <c r="E12" s="4" t="n">
        <f aca="false">-E6*Assumptions!E45/100</f>
        <v>-6427.54267848</v>
      </c>
      <c r="F12" s="4" t="n">
        <f aca="false">-F6*Assumptions!F45/100</f>
        <v>-6870.3289518864</v>
      </c>
      <c r="G12" s="4" t="n">
        <f aca="false">-G6*Assumptions!G45/100</f>
        <v>-7302.97399128897</v>
      </c>
      <c r="H12" s="4" t="n">
        <f aca="false">-H6*Assumptions!H45/100</f>
        <v>-7720.01224289679</v>
      </c>
      <c r="I12" s="4" t="n">
        <f aca="false">-I6*Assumptions!I45/100</f>
        <v>-8115.91030663509</v>
      </c>
      <c r="J12" s="4" t="n">
        <f aca="false">-J6*Assumptions!J45/100</f>
        <v>-8318.80806430097</v>
      </c>
      <c r="K12" s="4" t="n">
        <f aca="false">-K6*Assumptions!K45/100</f>
        <v>-8526.77826590849</v>
      </c>
      <c r="L12" s="4" t="n">
        <f aca="false">-L6*Assumptions!L45/100</f>
        <v>-8739.9477225562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4718.83592</v>
      </c>
      <c r="D13" s="0" t="n">
        <f aca="false">D11+D12</f>
        <v>7517.593776</v>
      </c>
      <c r="E13" s="0" t="n">
        <f aca="false">E11+E12</f>
        <v>9641.31401772</v>
      </c>
      <c r="F13" s="0" t="n">
        <f aca="false">F11+F12</f>
        <v>11883.8122411008</v>
      </c>
      <c r="G13" s="0" t="n">
        <f aca="false">G11+G12</f>
        <v>13260.6632999721</v>
      </c>
      <c r="H13" s="0" t="n">
        <f aca="false">H11+H12</f>
        <v>14153.3557786441</v>
      </c>
      <c r="I13" s="0" t="n">
        <f aca="false">I11+I12</f>
        <v>15014.4340672749</v>
      </c>
      <c r="J13" s="0" t="n">
        <f aca="false">J11+J12</f>
        <v>15389.7949189568</v>
      </c>
      <c r="K13" s="0" t="n">
        <f aca="false">K11+K12</f>
        <v>15774.5397919307</v>
      </c>
      <c r="L13" s="0" t="n">
        <f aca="false">L11+L12</f>
        <v>16168.903286729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12</v>
      </c>
      <c r="D14" s="4" t="n">
        <f aca="false">Assumptions!D47</f>
        <v>15</v>
      </c>
      <c r="E14" s="4" t="n">
        <f aca="false">Assumptions!E47</f>
        <v>18</v>
      </c>
      <c r="F14" s="4" t="n">
        <f aca="false">Assumptions!F47</f>
        <v>20</v>
      </c>
      <c r="G14" s="4" t="n">
        <f aca="false">Assumptions!G47</f>
        <v>22</v>
      </c>
      <c r="H14" s="4" t="n">
        <f aca="false">Assumptions!H47</f>
        <v>24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4152.5756096</v>
      </c>
      <c r="D15" s="0" t="n">
        <f aca="false">D13-MAX(0,D13)*D14/100</f>
        <v>6389.9547096</v>
      </c>
      <c r="E15" s="0" t="n">
        <f aca="false">E13-MAX(0,E13)*E14/100</f>
        <v>7905.8774945304</v>
      </c>
      <c r="F15" s="0" t="n">
        <f aca="false">F13-MAX(0,F13)*F14/100</f>
        <v>9507.04979288064</v>
      </c>
      <c r="G15" s="0" t="n">
        <f aca="false">G13-MAX(0,G13)*G14/100</f>
        <v>10343.3173739782</v>
      </c>
      <c r="H15" s="0" t="n">
        <f aca="false">H13-MAX(0,H13)*H14/100</f>
        <v>10756.5503917695</v>
      </c>
      <c r="I15" s="0" t="n">
        <f aca="false">I13-MAX(0,I13)*I14/100</f>
        <v>11260.8255504562</v>
      </c>
      <c r="J15" s="0" t="n">
        <f aca="false">J13-MAX(0,J13)*J14/100</f>
        <v>11542.3461892176</v>
      </c>
      <c r="K15" s="0" t="n">
        <f aca="false">K13-MAX(0,K13)*K14/100</f>
        <v>11830.904843948</v>
      </c>
      <c r="L15" s="0" t="n">
        <f aca="false">L13-MAX(0,L13)*L14/100</f>
        <v>12126.6774650467</v>
      </c>
    </row>
    <row r="16" customFormat="false" ht="15" hidden="false" customHeight="false" outlineLevel="0" collapsed="false">
      <c r="A16" s="0" t="s">
        <v>120</v>
      </c>
      <c r="C16" s="0" t="n">
        <f aca="false">-C12</f>
        <v>5695.1468</v>
      </c>
      <c r="D16" s="0" t="n">
        <f aca="false">-D12</f>
        <v>5979.90414</v>
      </c>
      <c r="E16" s="0" t="n">
        <f aca="false">-E12</f>
        <v>6427.54267848</v>
      </c>
      <c r="F16" s="0" t="n">
        <f aca="false">-F12</f>
        <v>6870.3289518864</v>
      </c>
      <c r="G16" s="0" t="n">
        <f aca="false">-G12</f>
        <v>7302.97399128897</v>
      </c>
      <c r="H16" s="0" t="n">
        <f aca="false">-H12</f>
        <v>7720.01224289679</v>
      </c>
      <c r="I16" s="0" t="n">
        <f aca="false">-I12</f>
        <v>8115.91030663509</v>
      </c>
      <c r="J16" s="0" t="n">
        <f aca="false">-J12</f>
        <v>8318.80806430097</v>
      </c>
      <c r="K16" s="0" t="n">
        <f aca="false">-K12</f>
        <v>8526.77826590849</v>
      </c>
      <c r="L16" s="0" t="n">
        <f aca="false">-L12</f>
        <v>8739.9477225562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-8135.924</v>
      </c>
      <c r="D17" s="4" t="n">
        <f aca="false">-D6*Assumptions!D46/100</f>
        <v>-8969.85621</v>
      </c>
      <c r="E17" s="4" t="n">
        <f aca="false">-E6*Assumptions!E46/100</f>
        <v>-9819.8568699</v>
      </c>
      <c r="F17" s="4" t="n">
        <f aca="false">-F6*Assumptions!F46/100</f>
        <v>-10212.651144696</v>
      </c>
      <c r="G17" s="4" t="n">
        <f aca="false">-G6*Assumptions!G46/100</f>
        <v>-10570.0939347604</v>
      </c>
      <c r="H17" s="4" t="n">
        <f aca="false">-H6*Assumptions!H46/100</f>
        <v>-10887.1967528032</v>
      </c>
      <c r="I17" s="4" t="n">
        <f aca="false">-I6*Assumptions!I46/100</f>
        <v>-11159.3766716232</v>
      </c>
      <c r="J17" s="4" t="n">
        <f aca="false">-J6*Assumptions!J46/100</f>
        <v>-11438.3610884138</v>
      </c>
      <c r="K17" s="4" t="n">
        <f aca="false">-K6*Assumptions!K46/100</f>
        <v>-11724.3201156242</v>
      </c>
      <c r="L17" s="4" t="n">
        <f aca="false">-L6*Assumptions!L46/100</f>
        <v>-12017.4281185148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736.838400000001</v>
      </c>
      <c r="D18" s="4" t="n">
        <f aca="false">(D6-C6)*Assumptions!$B$51/100</f>
        <v>650.87392</v>
      </c>
      <c r="E18" s="4" t="n">
        <f aca="false">(E6-D6)*Assumptions!$B$51/100</f>
        <v>615.075854399998</v>
      </c>
      <c r="F18" s="4" t="n">
        <f aca="false">(F6-E6)*Assumptions!$B$51/100</f>
        <v>571.337126976</v>
      </c>
      <c r="G18" s="4" t="n">
        <f aca="false">(G6-F6)*Assumptions!$B$51/100</f>
        <v>519.916785548159</v>
      </c>
      <c r="H18" s="4" t="n">
        <f aca="false">(H6-G6)*Assumptions!$B$51/100</f>
        <v>461.240462607725</v>
      </c>
      <c r="I18" s="4" t="n">
        <f aca="false">(I6-H6)*Assumptions!$B$51/100</f>
        <v>395.898063738295</v>
      </c>
      <c r="J18" s="4" t="n">
        <f aca="false">(J6-I6)*Assumptions!$B$51/100</f>
        <v>405.795515331754</v>
      </c>
      <c r="K18" s="4" t="n">
        <f aca="false">(K6-J6)*Assumptions!$B$51/100</f>
        <v>415.940403215047</v>
      </c>
      <c r="L18" s="4" t="n">
        <f aca="false">(L6-K6)*Assumptions!$B$51/100</f>
        <v>426.338913295423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2448.6368096</v>
      </c>
      <c r="D19" s="0" t="n">
        <f aca="false">D15+D16+D17+D18</f>
        <v>4050.8765596</v>
      </c>
      <c r="E19" s="0" t="n">
        <f aca="false">E15+E16+E17+E18</f>
        <v>5128.6391575104</v>
      </c>
      <c r="F19" s="0" t="n">
        <f aca="false">F15+F16+F17+F18</f>
        <v>6736.06472704704</v>
      </c>
      <c r="G19" s="0" t="n">
        <f aca="false">G15+G16+G17+G18</f>
        <v>7596.114216055</v>
      </c>
      <c r="H19" s="0" t="n">
        <f aca="false">H15+H16+H17+H18</f>
        <v>8050.60634447088</v>
      </c>
      <c r="I19" s="0" t="n">
        <f aca="false">I15+I16+I17+I18</f>
        <v>8613.25724920633</v>
      </c>
      <c r="J19" s="0" t="n">
        <f aca="false">J15+J16+J17+J18</f>
        <v>8828.58868043648</v>
      </c>
      <c r="K19" s="0" t="n">
        <f aca="false">K15+K16+K17+K18</f>
        <v>9049.30339744739</v>
      </c>
      <c r="L19" s="0" t="n">
        <f aca="false">L15+L16+L17+L18</f>
        <v>9275.53598238358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2246.45578862385</v>
      </c>
      <c r="D21" s="0" t="n">
        <f aca="false">D19*D20</f>
        <v>3409.54175540779</v>
      </c>
      <c r="E21" s="0" t="n">
        <f aca="false">E19*E20</f>
        <v>3960.25043262382</v>
      </c>
      <c r="F21" s="0" t="n">
        <f aca="false">F19*F20</f>
        <v>4771.99807600712</v>
      </c>
      <c r="G21" s="0" t="n">
        <f aca="false">G19*G20</f>
        <v>4936.9530429212</v>
      </c>
      <c r="H21" s="0" t="n">
        <f aca="false">H19*H20</f>
        <v>4800.31352477451</v>
      </c>
      <c r="I21" s="0" t="n">
        <f aca="false">I19*I20</f>
        <v>4711.74667496081</v>
      </c>
      <c r="J21" s="0" t="n">
        <f aca="false">J19*J20</f>
        <v>4430.77095581177</v>
      </c>
      <c r="K21" s="0" t="n">
        <f aca="false">K19*K20</f>
        <v>4166.55066945602</v>
      </c>
      <c r="L21" s="0" t="n">
        <f aca="false">L19*L20</f>
        <v>3918.08663870864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0.6</v>
      </c>
      <c r="D23" s="4" t="n">
        <f aca="false">Assumptions!D44</f>
        <v>0.6</v>
      </c>
      <c r="E23" s="4" t="n">
        <f aca="false">Assumptions!E44</f>
        <v>0.6</v>
      </c>
      <c r="F23" s="4" t="n">
        <f aca="false">Assumptions!F44</f>
        <v>0.6</v>
      </c>
      <c r="G23" s="4" t="n">
        <f aca="false">Assumptions!G44</f>
        <v>0.6</v>
      </c>
      <c r="H23" s="4" t="n">
        <f aca="false">Assumptions!H44</f>
        <v>0.6</v>
      </c>
      <c r="I23" s="4" t="n">
        <f aca="false">Assumptions!I44</f>
        <v>0.6</v>
      </c>
      <c r="J23" s="4" t="n">
        <f aca="false">Assumptions!J44</f>
        <v>0.6</v>
      </c>
      <c r="K23" s="4" t="n">
        <f aca="false">Assumptions!K44</f>
        <v>0.6</v>
      </c>
      <c r="L23" s="4" t="n">
        <f aca="false">Assumptions!L44</f>
        <v>0.6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-976.31088</v>
      </c>
      <c r="D24" s="0" t="n">
        <f aca="false">-D6*D23/100</f>
        <v>-1025.126424</v>
      </c>
      <c r="E24" s="0" t="n">
        <f aca="false">-E6*E23/100</f>
        <v>-1071.25711308</v>
      </c>
      <c r="F24" s="0" t="n">
        <f aca="false">-F6*F23/100</f>
        <v>-1114.1073976032</v>
      </c>
      <c r="G24" s="0" t="n">
        <f aca="false">-G6*G23/100</f>
        <v>-1153.10115651931</v>
      </c>
      <c r="H24" s="0" t="n">
        <f aca="false">-H6*H23/100</f>
        <v>-1187.69419121489</v>
      </c>
      <c r="I24" s="0" t="n">
        <f aca="false">-I6*I23/100</f>
        <v>-1217.38654599526</v>
      </c>
      <c r="J24" s="0" t="n">
        <f aca="false">-J6*J23/100</f>
        <v>-1247.82120964514</v>
      </c>
      <c r="K24" s="0" t="n">
        <f aca="false">-K6*K23/100</f>
        <v>-1279.01673988627</v>
      </c>
      <c r="L24" s="0" t="n">
        <f aca="false">-L6*L23/100</f>
        <v>-1310.99215838343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41352.6675592955</v>
      </c>
    </row>
    <row r="31" customFormat="false" ht="15" hidden="false" customHeight="false" outlineLevel="0" collapsed="false">
      <c r="A31" s="0" t="s">
        <v>129</v>
      </c>
      <c r="B31" s="0" t="n">
        <f aca="false">L19</f>
        <v>9275.53598238358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135157.810029018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111306.431788603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111306.431788603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47017.0396645037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88369.7072237993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90510.7072237993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31.0213158829539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7.73102051307455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31.0213158829539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72777.2823233173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17.4084867371792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5.02747309461537</v>
      </c>
      <c r="C4" s="0" t="n">
        <f aca="false">B4/Assumptions!$B$2-1</f>
        <v>0.414993834679248</v>
      </c>
      <c r="D4" s="4" t="n">
        <f aca="false">Assumptions!$B$24</f>
        <v>0.3</v>
      </c>
      <c r="E4" s="4" t="n">
        <f aca="false">DCF_Bear!$B$43</f>
        <v>5.02747309461537</v>
      </c>
      <c r="F4" s="4" t="n">
        <f aca="false">DCF_Bear!$B$47</f>
        <v>2.48119799710349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18.5765559989016</v>
      </c>
      <c r="C5" s="0" t="n">
        <f aca="false">B5/Assumptions!$B$2-1</f>
        <v>4.22841429746738</v>
      </c>
      <c r="D5" s="4" t="n">
        <f aca="false">Assumptions!$B$38</f>
        <v>0.5</v>
      </c>
      <c r="E5" s="4" t="n">
        <f aca="false">DCF_Base!$B$43</f>
        <v>18.5765559989016</v>
      </c>
      <c r="F5" s="4" t="n">
        <f aca="false">DCF_Base!$B$47</f>
        <v>10.5199082793561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31.0213158829539</v>
      </c>
      <c r="C6" s="0" t="n">
        <f aca="false">B6/Assumptions!$B$2-1</f>
        <v>7.73102051307455</v>
      </c>
      <c r="D6" s="4" t="n">
        <f aca="false">Assumptions!$B$52</f>
        <v>0.2</v>
      </c>
      <c r="E6" s="4" t="n">
        <f aca="false">DCF_Bull!$B$43</f>
        <v>31.0213158829539</v>
      </c>
      <c r="F6" s="4" t="n">
        <f aca="false">DCF_Bull!$B$47</f>
        <v>17.4084867371792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17.0007831044262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17.0007831044262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0.791009627134472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9.48601088624495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18.5765559989016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17.3162674358469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15.7225354005771</v>
      </c>
      <c r="C17" s="3" t="n">
        <v>11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14.0200005535203</v>
      </c>
      <c r="C18" s="3" t="n">
        <v>12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10.5199082793561</v>
      </c>
      <c r="C19" s="3" t="n">
        <v>15</v>
      </c>
    </row>
    <row r="21" customFormat="false" ht="15" hidden="false" customHeight="false" outlineLevel="0" collapsed="false">
      <c r="A21" s="2" t="s">
        <v>165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21.4738555431152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21.4738555431152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21.4738555431152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21.4738555431152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21.4738555431152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19.9579509826087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19.9579509826087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19.9579509826087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19.9579509826087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19.9579509826087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18.5765559989016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18.5765559989016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18.5765559989016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18.5765559989016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18.5765559989016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16.7509820850293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17.2735147622557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17.3162674358469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17.3162674358469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17.3162674358469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14.9037129654565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15.2915762241979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15.7225354005771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16.1651421222639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16.1651421222639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2026-10-25T20:23:59Z</dcterms:created>
  <dc:creator>openpyxl</dc:creator>
  <dc:description/>
  <dc:language>en-NZ</dc:language>
  <cp:lastModifiedBy/>
  <dcterms:modified xsi:type="dcterms:W3CDTF">2026-10-25T20:23:59Z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