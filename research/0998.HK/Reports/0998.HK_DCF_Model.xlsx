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<sst xmlns="http://schemas.openxmlformats.org/spreadsheetml/2006/main" count="372" uniqueCount="181">
  <si>
    <t xml:space="preserve">Ticker</t>
  </si>
  <si>
    <t xml:space="preserve">0998.HK</t>
  </si>
  <si>
    <t xml:space="preserve">Company</t>
  </si>
  <si>
    <t xml:space="preserve">China CITIC Bank Corporation Limited</t>
  </si>
  <si>
    <t xml:space="preserve">Valuation date</t>
  </si>
  <si>
    <t xml:space="preserve">2026-10-12</t>
  </si>
  <si>
    <t xml:space="preserve">Current price</t>
  </si>
  <si>
    <t xml:space="preserve">Price as of</t>
  </si>
  <si>
    <t xml:space="preserve">2026-10-09T08:08:06Z HKEX regular close (Friday); valuation dated the following Monday</t>
  </si>
  <si>
    <t xml:space="preserve">Balance sheet date</t>
  </si>
  <si>
    <t xml:space="preserve">2026-06-30</t>
  </si>
  <si>
    <t xml:space="preserve">Model</t>
  </si>
  <si>
    <t xml:space="preserve">Bank FCFE at cost of equity (engine route), net debt zero, CET1 retention on risk-weighted-asset growth, AT1 and preference distributions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</si>
  <si>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</si>
  <si>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</si>
  <si>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</si>
  <si>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</si>
  <si>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</si>
  <si>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</si>
  <si>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</si>
  <si>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</si>
  <si>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</si>
  <si>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2026-10-11T13:06:33Z</t>
  </si>
  <si>
    <t xml:space="preserve">Drivers file</t>
  </si>
  <si>
    <t xml:space="preserve">0998.HK_Drivers.json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</si>
  <si>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</si>
  <si>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</si>
  <si>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</si>
  <si>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China CITIC Bank that flow is net profit to ordinary shareholders (after tax, NCI, preference dividends and perpetual-bond coupons) less the equity retained to hold CET1 at 9.4% on growing risk-weighted assets. Today that FCFE (~RMB17bn) is below the ~RMB24bn the Bank pays out, so the headline 5.3% dividend yield is partly financed by capital-ratio drift; the model credits only the FCFE and lets it rise as RWA growth decelerates. Net debt is zero by construction; deposits are operating funding. The H share trades at 0.54x book; the model's base terminal P/B is ~0.7x, consistent with a ~8% ROE at a 10.5% cost of equity.
key_risks_to_valuation: Credit cycle: retail stress is building (credit-card NPL 2.62%, personal consumer loan NPL 2.80% up 0.66pt, retail segment PBT nearly halved in FY2025) alongside property and LGFV exposure that management flags as key risk areas; a return to the FY2019-20 credit cost of 1.6-1.8% takes the pre-tax margin to ~30% and FCFE to zero (bear case).; Capital: CET1 9.37% at H1 2026, down 35bp in 18 months with the dividend exceeding FCFE; a discounted recapitalisation (state or CITIC Group) would dilute H-share holders - the flat share count does not model it.; NIM: 2.26% (FY2020) to 1.62% (H1 2026); further LPR cuts without matching deposit repricing resume the compression (bear revenue path).; Policy-directed lending ('Five Priorities') allocates RWA to state objectives rather than return; RWA grew 8.7% in FY2025 on 2.5% loan growth.; Governance and currency: 64.75% CITIC Financial Holdings control, no buyback lever, payout set by policy (~30%); RMB flows against an HKD quote - a 10% RMB move is a 10% move in the HKD value; 10% H-share dividend withholding tax is not modelled.; Sell-side (Citi HKD 9.78, JPM 8.75, HSBC 8.60, Mar-Jul 2026) sits below this base case: the gap is the base case's assumption that RWA growth decelerates to 3% and CET1 can be held at 9.4% without a raise; if RWA keeps growing 7-9% the bear path is the right one.</t>
  </si>
  <si>
    <t xml:space="preserve">Data sources</t>
  </si>
  <si>
    <t xml:space="preserve">price: Yahoo Finance chart API (0998.HK, HKD) at inputs.price_as_of; 52-week range 6.50-8.695. FX CNYHKD=X, USDCNY=X, USDHKD=X and 601998.SS from the same API on the same date.
financials: 0998.HK_Metrics.csv / metrics_normalized (FY2017-FY2025 annual, H1 2022-H1 2026 interim, RMB millions) built from the HKEX annual reports and interim reports in Extracted/; kpis table for RWA, CET1, NIM, NPL, coverage, credit cost, ordinary shareholders' equity, BVPS, dividends. FY2025 annual report: EPS note (net profit to ordinary shareholders 66,784; other-equity-instrument distributions 3,834), capital adequacy table (RWA 7,684,339), dividend table (payout 31.75%), outlook p.105. H1 2026 interim: capital table (CET1 9.37%, RWA 8,033,562, lines 1868-1874), interim dividend (RMB2.03/10 shares, 30.04% payout, line 5682-5685), share count 55,645,162,264 (line 5684), NIM 1.62% (line 365).
qualitative: 0998.HK_Analysis.json (2026-10-12), read after the drivers were set and before the final build; it confirmed them (asset growth ~5%, payout &gt;=30%, retail NPL stress, H1 impairment +21.5%). Outlook and risk context also taken directly from the FY2025 annual report MD&amp;A (outlook 2.12, credit-card NPL 2.62% line 2790, consumer-loan NPL 2.80% line 2772) and the H1 2026 interim.</t>
  </si>
  <si>
    <t xml:space="preserve">Scenario narrative: bear</t>
  </si>
  <si>
    <t xml:space="preserve">Credit cost spikes to ~1.5% on property/LGFV/retail losses while NIM compresses toward 1.4%; profit falls ~15%; RWA keeps growing on policy lending so FCFE is ~RMB3-5bn for two years, far below the dividend. Either the dividend is cut or a discounted capital raise dilutes; terminal ROE ~5.8%.</t>
  </si>
  <si>
    <t xml:space="preserve">Scenario narrative: base</t>
  </si>
  <si>
    <t xml:space="preserve">NIM stabilises at ~1.6%, credit cost ~1.0%, operating income grows 3-3.5% and RWA growth slows from 7% to 3%. FCFE rises from ~RMB17bn (FY2026E, below the dividend) to ~RMB60bn by FY2036 as capital retention falls; terminal ROE ~8%, terminal P/B ~0.7x. CET1 held at 9.4% throughout.</t>
  </si>
  <si>
    <t xml:space="preserve">Scenario narrative: bull</t>
  </si>
  <si>
    <t xml:space="preserve">The Chinese credit cycle turns: NIM recovers 5-10bp, credit cost falls below 0.9%, cost-to-income ~30%, RWA growth 3.5-5%. FCFE ~RMB35bn in FY2027 rising to ~RMB70bn; terminal ROE ~9.6%; payout can rise above 30%.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</si>
  <si>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</si>
  <si>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</si>
  <si>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</si>
  <si>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</si>
  <si>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</si>
  <si>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</si>
  <si>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</si>
  <si>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</si>
  <si>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</si>
  <si>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</si>
  <si>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</si>
  <si>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</si>
  <si>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</si>
  <si>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</si>
  <si>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</si>
  <si>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</si>
  <si>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</si>
  <si>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</si>
  <si>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</si>
  <si>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</si>
  <si>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</si>
  <si>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</si>
  <si>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</si>
  <si>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</si>
  <si>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</si>
  <si>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</si>
  <si>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</si>
  <si>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</si>
  <si>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CET1Ratio</t>
  </si>
  <si>
    <t xml:space="preserve">CostToIncomeRatio</t>
  </si>
  <si>
    <t xml:space="preserve">CreditImpairmentCharge</t>
  </si>
  <si>
    <t xml:space="preserve">CustomerDeposits</t>
  </si>
  <si>
    <t xml:space="preserve">DilutedEPS</t>
  </si>
  <si>
    <t xml:space="preserve">GrossInterestIncome</t>
  </si>
  <si>
    <t xml:space="preserve">GrossLoansAndAdvances</t>
  </si>
  <si>
    <t xml:space="preserve">NIM</t>
  </si>
  <si>
    <t xml:space="preserve">NPLRatio</t>
  </si>
  <si>
    <t xml:space="preserve">NetIncomeInclNCI</t>
  </si>
  <si>
    <t xml:space="preserve">NetInterestIncome</t>
  </si>
  <si>
    <t xml:space="preserve">OperatingExpenses</t>
  </si>
  <si>
    <t xml:space="preserve">ROE</t>
  </si>
  <si>
    <t xml:space="preserve">TotalCapitalRatio</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</si>
  <si>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</si>
  <si>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</si>
  <si>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</si>
  <si>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</si>
  <si>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</si>
  <si>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</si>
  <si>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</si>
  <si>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</si>
  <si>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</si>
  <si>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</si>
  <si>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</si>
  <si>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</si>
  <si>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</si>
  <si>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</si>
  <si>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</si>
  <si>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</si>
  <si>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</si>
  <si>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</si>
  <si>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</si>
  <si>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</si>
  <si>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</si>
  <si>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</si>
  <si>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</si>
  <si>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</si>
  <si>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</si>
  <si>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</si>
  <si>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</si>
  <si>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</si>
  <si>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</si>
  <si>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</si>
  <si>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</si>
  <si>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</si>
  <si>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</si>
  <si>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</si>
  <si>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</si>
  <si>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</si>
  <si>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</si>
  <si>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</si>
  <si>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</si>
  <si>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</si>
  <si>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</si>
  <si>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</si>
  <si>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</si>
  <si>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</si>
  <si>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</si>
  <si>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</si>
  <si>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</si>
  <si>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0998.HK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</si>
  <si>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</si>
  <si>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</si>
  <si>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</si>
  <si>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</si>
  <si>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</si>
  <si>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</si>
  <si>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</si>
  <si>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</si>
  <si>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</si>
  <si>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</si>
  <si>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</si>
  <si>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</si>
  <si>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</si>
  <si>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</si>
  <si>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</si>
  <si>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</si>
  <si>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</si>
  <si>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</si>
  <si>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</si>
  <si>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</si>
  <si>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</si>
  <si>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</si>
  <si>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</si>
  <si>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</si>
  <si>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</si>
  <si>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</si>
  <si>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</si>
  <si>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</si>
  <si>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</si>
  <si>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</si>
  <si>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0998.HK owner-FCF component DCF: base case (millions, CNY)</t>
  </si>
  <si>
    <t xml:space="preserve">0998.HK owner-FCF component DCF: bull case (millions, CNY)</t>
  </si>
  <si>
    <t xml:space="preserve">0998.HK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</si>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</sst>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8.435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c r="AO1" s="2" t="s">
        <v>76</v>
      </c>
      <c r="AP1" s="2" t="s">
        <v>77</v>
      </c>
      <c r="AQ1" s="2" t="s">
        <v>78</v>
      </c>
    </row>
    <row r="2" customFormat="false" ht="15" hidden="false" customHeight="false" outlineLevel="0" collapsed="false">
      <c r="A2" s="0" t="s">
        <v>79</v>
      </c>
      <c r="B2" s="0" t="n">
        <v>157231</v>
      </c>
      <c r="F2" s="0" t="n">
        <v>52276</v>
      </c>
      <c r="G2" s="0" t="n">
        <v>33.2</v>
      </c>
      <c r="I2" s="0" t="n">
        <v>42566</v>
      </c>
      <c r="J2" s="0" t="n">
        <v>27.1</v>
      </c>
      <c r="K2" s="0" t="n">
        <v>0.84</v>
      </c>
      <c r="L2" s="0" t="n">
        <v>54074</v>
      </c>
      <c r="O2" s="0" t="n">
        <v>399638</v>
      </c>
      <c r="P2" s="0" t="n">
        <v>5677691</v>
      </c>
      <c r="Q2" s="0" t="n">
        <v>5265258</v>
      </c>
      <c r="S2" s="0" t="n">
        <v>337915</v>
      </c>
      <c r="T2" s="0" t="n">
        <v>48935</v>
      </c>
      <c r="U2" s="0" t="n">
        <v>0</v>
      </c>
      <c r="AA2" s="0" t="s">
        <v>18</v>
      </c>
      <c r="AB2" s="0" t="s">
        <v>14</v>
      </c>
      <c r="AC2" s="0" t="n">
        <v>7.45</v>
      </c>
      <c r="AE2" s="0" t="n">
        <v>30.05</v>
      </c>
      <c r="AG2" s="0" t="n">
        <v>3407636</v>
      </c>
      <c r="AH2" s="0" t="n">
        <v>0.84</v>
      </c>
      <c r="AJ2" s="0" t="n">
        <v>3196887</v>
      </c>
      <c r="AK2" s="0" t="n">
        <v>2.03</v>
      </c>
      <c r="AP2" s="0" t="n">
        <v>11.63</v>
      </c>
    </row>
    <row r="3" customFormat="false" ht="15" hidden="false" customHeight="false" outlineLevel="0" collapsed="false">
      <c r="A3" s="0" t="s">
        <v>80</v>
      </c>
      <c r="B3" s="0" t="n">
        <v>165766</v>
      </c>
      <c r="F3" s="0" t="n">
        <v>54326</v>
      </c>
      <c r="G3" s="0" t="n">
        <v>32.8</v>
      </c>
      <c r="I3" s="0" t="n">
        <v>44513</v>
      </c>
      <c r="J3" s="0" t="n">
        <v>26.9</v>
      </c>
      <c r="K3" s="0" t="n">
        <v>0.88</v>
      </c>
      <c r="L3" s="0" t="n">
        <v>102316</v>
      </c>
      <c r="M3" s="0" t="n">
        <v>4754</v>
      </c>
      <c r="O3" s="0" t="n">
        <v>436661</v>
      </c>
      <c r="P3" s="0" t="n">
        <v>6066714</v>
      </c>
      <c r="Q3" s="0" t="n">
        <v>5613628</v>
      </c>
      <c r="R3" s="0" t="n">
        <v>552483</v>
      </c>
      <c r="S3" s="0" t="n">
        <v>376009</v>
      </c>
      <c r="T3" s="0" t="n">
        <v>48935</v>
      </c>
      <c r="U3" s="0" t="n">
        <v>0</v>
      </c>
      <c r="AA3" s="0" t="s">
        <v>18</v>
      </c>
      <c r="AB3" s="0" t="s">
        <v>14</v>
      </c>
      <c r="AC3" s="0" t="n">
        <v>8.21</v>
      </c>
      <c r="AE3" s="0" t="n">
        <v>30.71</v>
      </c>
      <c r="AF3" s="0" t="n">
        <v>57886</v>
      </c>
      <c r="AG3" s="0" t="n">
        <v>3616423</v>
      </c>
      <c r="AH3" s="0" t="n">
        <v>0.88</v>
      </c>
      <c r="AI3" s="0" t="n">
        <v>241933</v>
      </c>
      <c r="AJ3" s="0" t="n">
        <v>3608412</v>
      </c>
      <c r="AK3" s="0" t="n">
        <v>2.09</v>
      </c>
      <c r="AM3" s="0" t="n">
        <v>45376</v>
      </c>
      <c r="AN3" s="0" t="n">
        <v>112912</v>
      </c>
      <c r="AO3" s="0" t="n">
        <v>52600</v>
      </c>
      <c r="AP3" s="0" t="n">
        <v>11.36</v>
      </c>
    </row>
    <row r="4" customFormat="false" ht="15" hidden="false" customHeight="false" outlineLevel="0" collapsed="false">
      <c r="A4" s="0" t="s">
        <v>81</v>
      </c>
      <c r="B4" s="0" t="n">
        <v>187881</v>
      </c>
      <c r="F4" s="0" t="n">
        <v>56545</v>
      </c>
      <c r="G4" s="0" t="n">
        <v>30.1</v>
      </c>
      <c r="I4" s="0" t="n">
        <v>48015</v>
      </c>
      <c r="J4" s="0" t="n">
        <v>25.6</v>
      </c>
      <c r="K4" s="0" t="n">
        <v>0.95</v>
      </c>
      <c r="L4" s="0" t="n">
        <v>116969</v>
      </c>
      <c r="M4" s="0" t="n">
        <v>4056</v>
      </c>
      <c r="O4" s="0" t="n">
        <v>517311</v>
      </c>
      <c r="P4" s="0" t="n">
        <v>6750433</v>
      </c>
      <c r="Q4" s="0" t="n">
        <v>6217909</v>
      </c>
      <c r="R4" s="0" t="n">
        <v>650274</v>
      </c>
      <c r="S4" s="0" t="n">
        <v>342449</v>
      </c>
      <c r="T4" s="0" t="n">
        <v>48935</v>
      </c>
      <c r="U4" s="0" t="n">
        <v>0</v>
      </c>
      <c r="AA4" s="0" t="s">
        <v>18</v>
      </c>
      <c r="AB4" s="0" t="s">
        <v>14</v>
      </c>
      <c r="AC4" s="0" t="n">
        <v>9.04</v>
      </c>
      <c r="AD4" s="0" t="n">
        <v>8.69</v>
      </c>
      <c r="AE4" s="0" t="n">
        <v>27.84</v>
      </c>
      <c r="AF4" s="0" t="n">
        <v>76679</v>
      </c>
      <c r="AG4" s="0" t="n">
        <v>4038820</v>
      </c>
      <c r="AH4" s="0" t="n">
        <v>0.89</v>
      </c>
      <c r="AI4" s="0" t="n">
        <v>268498</v>
      </c>
      <c r="AJ4" s="0" t="n">
        <v>3997987</v>
      </c>
      <c r="AK4" s="0" t="n">
        <v>2.12</v>
      </c>
      <c r="AL4" s="0" t="n">
        <v>1.65</v>
      </c>
      <c r="AM4" s="0" t="n">
        <v>48994</v>
      </c>
      <c r="AN4" s="0" t="n">
        <v>127271</v>
      </c>
      <c r="AO4" s="0" t="n">
        <v>54168</v>
      </c>
      <c r="AP4" s="0" t="n">
        <v>11.06</v>
      </c>
      <c r="AQ4" s="0" t="n">
        <v>12.44</v>
      </c>
    </row>
    <row r="5" customFormat="false" ht="15" hidden="false" customHeight="false" outlineLevel="0" collapsed="false">
      <c r="A5" s="0" t="s">
        <v>82</v>
      </c>
      <c r="B5" s="0" t="n">
        <v>195399</v>
      </c>
      <c r="F5" s="0" t="n">
        <v>57857</v>
      </c>
      <c r="G5" s="0" t="n">
        <v>29.6</v>
      </c>
      <c r="I5" s="0" t="n">
        <v>48980</v>
      </c>
      <c r="J5" s="0" t="n">
        <v>25.1</v>
      </c>
      <c r="K5" s="0" t="n">
        <v>0.94</v>
      </c>
      <c r="L5" s="0" t="n">
        <v>156863</v>
      </c>
      <c r="M5" s="0" t="n">
        <v>4619</v>
      </c>
      <c r="O5" s="0" t="n">
        <v>544573</v>
      </c>
      <c r="P5" s="0" t="n">
        <v>7511161</v>
      </c>
      <c r="Q5" s="0" t="n">
        <v>6951123</v>
      </c>
      <c r="R5" s="0" t="n">
        <v>732958</v>
      </c>
      <c r="S5" s="0" t="n">
        <v>319566</v>
      </c>
      <c r="T5" s="0" t="n">
        <v>48935</v>
      </c>
      <c r="U5" s="0" t="n">
        <v>0</v>
      </c>
      <c r="AA5" s="0" t="s">
        <v>18</v>
      </c>
      <c r="AB5" s="0" t="s">
        <v>14</v>
      </c>
      <c r="AC5" s="0" t="n">
        <v>9.6</v>
      </c>
      <c r="AD5" s="0" t="n">
        <v>8.74</v>
      </c>
      <c r="AE5" s="0" t="n">
        <v>26.73</v>
      </c>
      <c r="AF5" s="0" t="n">
        <v>82477</v>
      </c>
      <c r="AG5" s="0" t="n">
        <v>4528399</v>
      </c>
      <c r="AH5" s="0" t="n">
        <v>0.86</v>
      </c>
      <c r="AI5" s="0" t="n">
        <v>298006</v>
      </c>
      <c r="AJ5" s="0" t="n">
        <v>4473307</v>
      </c>
      <c r="AK5" s="0" t="n">
        <v>2.26</v>
      </c>
      <c r="AL5" s="0" t="n">
        <v>1.64</v>
      </c>
      <c r="AM5" s="0" t="n">
        <v>49532</v>
      </c>
      <c r="AN5" s="0" t="n">
        <v>150515</v>
      </c>
      <c r="AO5" s="0" t="n">
        <v>54255</v>
      </c>
      <c r="AP5" s="0" t="n">
        <v>10.08</v>
      </c>
      <c r="AQ5" s="0" t="n">
        <v>13.01</v>
      </c>
    </row>
    <row r="6" customFormat="false" ht="15" hidden="false" customHeight="false" outlineLevel="0" collapsed="false">
      <c r="A6" s="0" t="s">
        <v>83</v>
      </c>
      <c r="B6" s="0" t="n">
        <v>204554</v>
      </c>
      <c r="F6" s="0" t="n">
        <v>65517</v>
      </c>
      <c r="G6" s="0" t="n">
        <v>32</v>
      </c>
      <c r="I6" s="0" t="n">
        <v>55641</v>
      </c>
      <c r="J6" s="0" t="n">
        <v>27.2</v>
      </c>
      <c r="K6" s="0" t="n">
        <v>1.08</v>
      </c>
      <c r="L6" s="0" t="n">
        <v>-75394</v>
      </c>
      <c r="M6" s="0" t="n">
        <v>4481</v>
      </c>
      <c r="O6" s="0" t="n">
        <v>626303</v>
      </c>
      <c r="P6" s="0" t="n">
        <v>8042884</v>
      </c>
      <c r="Q6" s="0" t="n">
        <v>7400258</v>
      </c>
      <c r="R6" s="0" t="n">
        <v>958203</v>
      </c>
      <c r="S6" s="0" t="n">
        <v>252818</v>
      </c>
      <c r="T6" s="0" t="n">
        <v>48935</v>
      </c>
      <c r="U6" s="0" t="n">
        <v>0</v>
      </c>
      <c r="AA6" s="0" t="s">
        <v>18</v>
      </c>
      <c r="AB6" s="0" t="s">
        <v>14</v>
      </c>
      <c r="AC6" s="0" t="n">
        <v>10.45</v>
      </c>
      <c r="AD6" s="0" t="n">
        <v>8.85</v>
      </c>
      <c r="AE6" s="0" t="n">
        <v>29.34</v>
      </c>
      <c r="AF6" s="0" t="n">
        <v>77005</v>
      </c>
      <c r="AG6" s="0" t="n">
        <v>4736584</v>
      </c>
      <c r="AH6" s="0" t="n">
        <v>0.98</v>
      </c>
      <c r="AI6" s="0" t="n">
        <v>306165</v>
      </c>
      <c r="AJ6" s="0" t="n">
        <v>4855969</v>
      </c>
      <c r="AK6" s="0" t="n">
        <v>2.05</v>
      </c>
      <c r="AL6" s="0" t="n">
        <v>1.39</v>
      </c>
      <c r="AM6" s="0" t="n">
        <v>56377</v>
      </c>
      <c r="AN6" s="0" t="n">
        <v>147896</v>
      </c>
      <c r="AO6" s="0" t="n">
        <v>62224</v>
      </c>
      <c r="AP6" s="0" t="n">
        <v>10.73</v>
      </c>
      <c r="AQ6" s="0" t="n">
        <v>13.53</v>
      </c>
    </row>
    <row r="7" customFormat="false" ht="15" hidden="false" customHeight="false" outlineLevel="0" collapsed="false">
      <c r="A7" s="0" t="s">
        <v>84</v>
      </c>
      <c r="B7" s="0" t="n">
        <v>211109</v>
      </c>
      <c r="F7" s="0" t="n">
        <v>73416</v>
      </c>
      <c r="G7" s="0" t="n">
        <v>34.8</v>
      </c>
      <c r="I7" s="0" t="n">
        <v>62103</v>
      </c>
      <c r="J7" s="0" t="n">
        <v>29.4</v>
      </c>
      <c r="K7" s="0" t="n">
        <v>1.17</v>
      </c>
      <c r="L7" s="0" t="n">
        <v>195066</v>
      </c>
      <c r="M7" s="0" t="n">
        <v>6799</v>
      </c>
      <c r="O7" s="0" t="n">
        <v>665418</v>
      </c>
      <c r="P7" s="0" t="n">
        <v>8547543</v>
      </c>
      <c r="Q7" s="0" t="n">
        <v>7861713</v>
      </c>
      <c r="R7" s="0" t="n">
        <v>975206</v>
      </c>
      <c r="S7" s="0" t="n">
        <v>307871</v>
      </c>
      <c r="T7" s="0" t="n">
        <v>48935</v>
      </c>
      <c r="U7" s="0" t="n">
        <v>0</v>
      </c>
      <c r="AA7" s="0" t="s">
        <v>18</v>
      </c>
      <c r="AB7" s="0" t="s">
        <v>14</v>
      </c>
      <c r="AC7" s="0" t="n">
        <v>11.25</v>
      </c>
      <c r="AD7" s="0" t="n">
        <v>8.74</v>
      </c>
      <c r="AE7" s="0" t="n">
        <v>30.66</v>
      </c>
      <c r="AF7" s="0" t="n">
        <v>71359</v>
      </c>
      <c r="AG7" s="0" t="n">
        <v>5099348</v>
      </c>
      <c r="AH7" s="0" t="n">
        <v>1.06</v>
      </c>
      <c r="AI7" s="0" t="n">
        <v>313609</v>
      </c>
      <c r="AJ7" s="0" t="n">
        <v>5152772</v>
      </c>
      <c r="AK7" s="0" t="n">
        <v>1.97</v>
      </c>
      <c r="AL7" s="0" t="n">
        <v>1.27</v>
      </c>
      <c r="AM7" s="0" t="n">
        <v>62950</v>
      </c>
      <c r="AN7" s="0" t="n">
        <v>150647</v>
      </c>
      <c r="AO7" s="0" t="n">
        <v>66838</v>
      </c>
      <c r="AP7" s="0" t="n">
        <v>10.8</v>
      </c>
      <c r="AQ7" s="0" t="n">
        <v>13.18</v>
      </c>
    </row>
    <row r="8" customFormat="false" ht="15" hidden="false" customHeight="false" outlineLevel="0" collapsed="false">
      <c r="A8" s="0" t="s">
        <v>85</v>
      </c>
      <c r="B8" s="0" t="n">
        <v>205570</v>
      </c>
      <c r="F8" s="0" t="n">
        <v>74887</v>
      </c>
      <c r="G8" s="0" t="n">
        <v>36.4</v>
      </c>
      <c r="I8" s="0" t="n">
        <v>67016</v>
      </c>
      <c r="J8" s="0" t="n">
        <v>32.6</v>
      </c>
      <c r="K8" s="0" t="n">
        <v>1.27</v>
      </c>
      <c r="L8" s="0" t="n">
        <v>-918</v>
      </c>
      <c r="M8" s="0" t="n">
        <v>13524</v>
      </c>
      <c r="O8" s="0" t="n">
        <v>717222</v>
      </c>
      <c r="P8" s="0" t="n">
        <v>9052484</v>
      </c>
      <c r="Q8" s="0" t="n">
        <v>8317809</v>
      </c>
      <c r="R8" s="0" t="n">
        <v>965981</v>
      </c>
      <c r="S8" s="0" t="n">
        <v>249002</v>
      </c>
      <c r="T8" s="0" t="n">
        <v>48967</v>
      </c>
      <c r="U8" s="0" t="n">
        <v>0</v>
      </c>
      <c r="AA8" s="0" t="s">
        <v>18</v>
      </c>
      <c r="AB8" s="0" t="s">
        <v>14</v>
      </c>
      <c r="AC8" s="0" t="n">
        <v>12.3</v>
      </c>
      <c r="AD8" s="0" t="n">
        <v>8.99</v>
      </c>
      <c r="AE8" s="0" t="n">
        <v>32.61</v>
      </c>
      <c r="AF8" s="0" t="n">
        <v>61926</v>
      </c>
      <c r="AG8" s="0" t="n">
        <v>5398183</v>
      </c>
      <c r="AH8" s="0" t="n">
        <v>1.14</v>
      </c>
      <c r="AI8" s="0" t="n">
        <v>317692</v>
      </c>
      <c r="AJ8" s="0" t="n">
        <v>5498344</v>
      </c>
      <c r="AK8" s="0" t="n">
        <v>1.78</v>
      </c>
      <c r="AL8" s="0" t="n">
        <v>1.18</v>
      </c>
      <c r="AM8" s="0" t="n">
        <v>68062</v>
      </c>
      <c r="AN8" s="0" t="n">
        <v>143539</v>
      </c>
      <c r="AO8" s="0" t="n">
        <v>69214</v>
      </c>
      <c r="AP8" s="0" t="n">
        <v>10.8</v>
      </c>
      <c r="AQ8" s="0" t="n">
        <v>12.93</v>
      </c>
    </row>
    <row r="9" customFormat="false" ht="15" hidden="false" customHeight="false" outlineLevel="0" collapsed="false">
      <c r="A9" s="0" t="s">
        <v>86</v>
      </c>
      <c r="B9" s="0" t="n">
        <v>213223</v>
      </c>
      <c r="F9" s="0" t="n">
        <v>80863</v>
      </c>
      <c r="G9" s="0" t="n">
        <v>37.9</v>
      </c>
      <c r="I9" s="0" t="n">
        <v>68576</v>
      </c>
      <c r="J9" s="0" t="n">
        <v>32.2</v>
      </c>
      <c r="K9" s="0" t="n">
        <v>1.22</v>
      </c>
      <c r="L9" s="0" t="n">
        <v>-181032</v>
      </c>
      <c r="M9" s="0" t="n">
        <v>18783</v>
      </c>
      <c r="O9" s="0" t="n">
        <v>789264</v>
      </c>
      <c r="P9" s="0" t="n">
        <v>9532722</v>
      </c>
      <c r="Q9" s="0" t="n">
        <v>8725357</v>
      </c>
      <c r="R9" s="0" t="n">
        <v>1224038</v>
      </c>
      <c r="S9" s="0" t="n">
        <v>262779</v>
      </c>
      <c r="T9" s="0" t="n">
        <v>54397</v>
      </c>
      <c r="U9" s="0" t="n">
        <v>0</v>
      </c>
      <c r="AA9" s="0" t="s">
        <v>18</v>
      </c>
      <c r="AB9" s="0" t="s">
        <v>14</v>
      </c>
      <c r="AC9" s="0" t="n">
        <v>12.58</v>
      </c>
      <c r="AD9" s="0" t="n">
        <v>9.72</v>
      </c>
      <c r="AE9" s="0" t="n">
        <v>32.71</v>
      </c>
      <c r="AF9" s="0" t="n">
        <v>61045</v>
      </c>
      <c r="AG9" s="0" t="n">
        <v>5778231</v>
      </c>
      <c r="AH9" s="0" t="n">
        <v>1.2</v>
      </c>
      <c r="AI9" s="0" t="n">
        <v>309791</v>
      </c>
      <c r="AJ9" s="0" t="n">
        <v>5720128</v>
      </c>
      <c r="AK9" s="0" t="n">
        <v>1.77</v>
      </c>
      <c r="AL9" s="0" t="n">
        <v>1.16</v>
      </c>
      <c r="AM9" s="0" t="n">
        <v>69468</v>
      </c>
      <c r="AN9" s="0" t="n">
        <v>146679</v>
      </c>
      <c r="AO9" s="0" t="n">
        <v>71938</v>
      </c>
      <c r="AP9" s="0" t="n">
        <v>9.92</v>
      </c>
      <c r="AQ9" s="0" t="n">
        <v>13.36</v>
      </c>
    </row>
    <row r="10" customFormat="false" ht="15" hidden="false" customHeight="false" outlineLevel="0" collapsed="false">
      <c r="A10" s="0" t="s">
        <v>87</v>
      </c>
      <c r="B10" s="0" t="n">
        <v>212636</v>
      </c>
      <c r="F10" s="0" t="n">
        <v>84043</v>
      </c>
      <c r="G10" s="0" t="n">
        <v>39.5</v>
      </c>
      <c r="I10" s="0" t="n">
        <v>70618</v>
      </c>
      <c r="J10" s="0" t="n">
        <v>33.2</v>
      </c>
      <c r="K10" s="0" t="n">
        <v>1.2</v>
      </c>
      <c r="L10" s="0" t="n">
        <v>443082</v>
      </c>
      <c r="M10" s="0" t="n">
        <v>37820</v>
      </c>
      <c r="O10" s="0" t="n">
        <v>828813</v>
      </c>
      <c r="P10" s="0" t="n">
        <v>10131028</v>
      </c>
      <c r="Q10" s="0" t="n">
        <v>9283398</v>
      </c>
      <c r="R10" s="0" t="n">
        <v>1214339</v>
      </c>
      <c r="S10" s="0" t="n">
        <v>332412</v>
      </c>
      <c r="T10" s="0" t="n">
        <v>55639</v>
      </c>
      <c r="U10" s="0" t="n">
        <v>0</v>
      </c>
      <c r="AA10" s="0" t="s">
        <v>18</v>
      </c>
      <c r="AB10" s="0" t="s">
        <v>14</v>
      </c>
      <c r="AC10" s="0" t="n">
        <v>13.01</v>
      </c>
      <c r="AD10" s="0" t="n">
        <v>9.48</v>
      </c>
      <c r="AE10" s="0" t="n">
        <v>32.32</v>
      </c>
      <c r="AF10" s="0" t="n">
        <v>57939</v>
      </c>
      <c r="AG10" s="0" t="n">
        <v>6049275</v>
      </c>
      <c r="AH10" s="0" t="n">
        <v>1.2</v>
      </c>
      <c r="AI10" s="0" t="n">
        <v>284588</v>
      </c>
      <c r="AJ10" s="0" t="n">
        <v>5862172</v>
      </c>
      <c r="AK10" s="0" t="n">
        <v>1.63</v>
      </c>
      <c r="AL10" s="0" t="n">
        <v>1.15</v>
      </c>
      <c r="AM10" s="0" t="n">
        <v>71490</v>
      </c>
      <c r="AN10" s="0" t="n">
        <v>144469</v>
      </c>
      <c r="AO10" s="0" t="n">
        <v>70880</v>
      </c>
      <c r="AP10" s="0" t="n">
        <v>9.49</v>
      </c>
      <c r="AQ10" s="0" t="n">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88</v>
      </c>
      <c r="B1" s="2" t="s">
        <v>89</v>
      </c>
    </row>
    <row r="2" customFormat="false" ht="15" hidden="false" customHeight="false" outlineLevel="0" collapsed="false">
      <c r="A2" s="0" t="s">
        <v>90</v>
      </c>
      <c r="B2" s="3" t="n">
        <v>8.435</v>
      </c>
    </row>
    <row r="3" customFormat="false" ht="15" hidden="false" customHeight="false" outlineLevel="0" collapsed="false">
      <c r="A3" s="0" t="s">
        <v>91</v>
      </c>
      <c r="B3" s="3" t="n">
        <v>55645</v>
      </c>
    </row>
    <row r="4" customFormat="false" ht="15" hidden="false" customHeight="false" outlineLevel="0" collapsed="false">
      <c r="A4" s="0" t="s">
        <v>92</v>
      </c>
      <c r="B4" s="3" t="n">
        <v>0</v>
      </c>
    </row>
    <row r="5" customFormat="false" ht="15" hidden="false" customHeight="false" outlineLevel="0" collapsed="false">
      <c r="A5" s="0" t="s">
        <v>93</v>
      </c>
      <c r="B5" s="3" t="n">
        <v>0</v>
      </c>
    </row>
    <row r="6" customFormat="false" ht="15" hidden="false" customHeight="false" outlineLevel="0" collapsed="false">
      <c r="A6" s="0" t="s">
        <v>94</v>
      </c>
      <c r="B6" s="3" t="n">
        <v>15</v>
      </c>
    </row>
    <row r="7" customFormat="false" ht="15" hidden="false" customHeight="false" outlineLevel="0" collapsed="false">
      <c r="A7" s="0" t="s">
        <v>95</v>
      </c>
      <c r="B7" s="3" t="n">
        <v>220800</v>
      </c>
    </row>
    <row r="8" customFormat="false" ht="15" hidden="false" customHeight="false" outlineLevel="0" collapsed="false">
      <c r="A8" s="0" t="s">
        <v>96</v>
      </c>
      <c r="B8" s="3" t="s">
        <v>97</v>
      </c>
    </row>
    <row r="9" customFormat="false" ht="15" hidden="false" customHeight="false" outlineLevel="0" collapsed="false">
      <c r="A9" s="0" t="s">
        <v>98</v>
      </c>
      <c r="B9" s="3" t="s">
        <v>99</v>
      </c>
    </row>
    <row r="10" customFormat="false" ht="15" hidden="false" customHeight="false" outlineLevel="0" collapsed="false">
      <c r="A10" s="0" t="s">
        <v>100</v>
      </c>
      <c r="B10" s="3" t="n">
        <v>1.1721</v>
      </c>
    </row>
    <row r="12" customFormat="false" ht="15" hidden="false" customHeight="false" outlineLevel="0" collapsed="false">
      <c r="A12" s="2" t="s">
        <v>101</v>
      </c>
      <c r="C12" s="2" t="s">
        <v>102</v>
      </c>
      <c r="D12" s="2" t="s">
        <v>103</v>
      </c>
      <c r="E12" s="2" t="s">
        <v>104</v>
      </c>
      <c r="F12" s="2" t="s">
        <v>105</v>
      </c>
      <c r="G12" s="2" t="s">
        <v>106</v>
      </c>
      <c r="H12" s="2" t="s">
        <v>107</v>
      </c>
      <c r="I12" s="2" t="s">
        <v>108</v>
      </c>
      <c r="J12" s="2" t="s">
        <v>109</v>
      </c>
      <c r="K12" s="2" t="s">
        <v>110</v>
      </c>
      <c r="L12" s="2" t="s">
        <v>111</v>
      </c>
    </row>
    <row r="13" customFormat="false" ht="15" hidden="false" customHeight="false" outlineLevel="0" collapsed="false">
      <c r="A13" s="0" t="s">
        <v>112</v>
      </c>
      <c r="C13" s="3" t="n">
        <v>0</v>
      </c>
      <c r="D13" s="3" t="n">
        <v>0</v>
      </c>
      <c r="E13" s="3" t="n">
        <v>1</v>
      </c>
      <c r="F13" s="3" t="n">
        <v>1</v>
      </c>
      <c r="G13" s="3" t="n">
        <v>1.5</v>
      </c>
      <c r="H13" s="3" t="n">
        <v>2</v>
      </c>
      <c r="I13" s="3" t="n">
        <v>2</v>
      </c>
      <c r="J13" s="3" t="n">
        <v>2</v>
      </c>
      <c r="K13" s="3" t="n">
        <v>2</v>
      </c>
      <c r="L13" s="3" t="n">
        <v>2</v>
      </c>
    </row>
    <row r="14" customFormat="false" ht="15" hidden="false" customHeight="false" outlineLevel="0" collapsed="false">
      <c r="A14" s="0" t="s">
        <v>113</v>
      </c>
      <c r="C14" s="3" t="n">
        <v>33</v>
      </c>
      <c r="D14" s="3" t="n">
        <v>31</v>
      </c>
      <c r="E14" s="3" t="n">
        <v>31</v>
      </c>
      <c r="F14" s="3" t="n">
        <v>32</v>
      </c>
      <c r="G14" s="3" t="n">
        <v>33</v>
      </c>
      <c r="H14" s="3" t="n">
        <v>34</v>
      </c>
      <c r="I14" s="3" t="n">
        <v>34</v>
      </c>
      <c r="J14" s="3" t="n">
        <v>34</v>
      </c>
      <c r="K14" s="3" t="n">
        <v>34</v>
      </c>
      <c r="L14" s="3" t="n">
        <v>34</v>
      </c>
    </row>
    <row r="15" customFormat="false" ht="15" hidden="false" customHeight="false" outlineLevel="0" collapsed="false">
      <c r="A15" s="0" t="s">
        <v>114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116</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117</v>
      </c>
      <c r="C18" s="3" t="n">
        <v>24.5</v>
      </c>
      <c r="D18" s="3" t="n">
        <v>22.47</v>
      </c>
      <c r="E18" s="3" t="n">
        <v>19.65</v>
      </c>
      <c r="F18" s="3" t="n">
        <v>20.43</v>
      </c>
      <c r="G18" s="3" t="n">
        <v>19.02</v>
      </c>
      <c r="H18" s="3" t="n">
        <v>17.32</v>
      </c>
      <c r="I18" s="3" t="n">
        <v>15.45</v>
      </c>
      <c r="J18" s="3" t="n">
        <v>13.44</v>
      </c>
      <c r="K18" s="3" t="n">
        <v>11.31</v>
      </c>
      <c r="L18" s="3" t="n">
        <v>11.36</v>
      </c>
    </row>
    <row r="19" customFormat="false" ht="15" hidden="false" customHeight="false" outlineLevel="0" collapsed="false">
      <c r="A19" s="0" t="s">
        <v>118</v>
      </c>
      <c r="C19" s="3" t="n">
        <v>21</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119</v>
      </c>
      <c r="B20" s="3" t="n">
        <v>10.5</v>
      </c>
    </row>
    <row r="21" customFormat="false" ht="15" hidden="false" customHeight="false" outlineLevel="0" collapsed="false">
      <c r="A21" s="0" t="s">
        <v>120</v>
      </c>
      <c r="B21" s="3" t="n">
        <v>2.5</v>
      </c>
    </row>
    <row r="22" customFormat="false" ht="15" hidden="false" customHeight="false" outlineLevel="0" collapsed="false">
      <c r="A22" s="0" t="s">
        <v>121</v>
      </c>
      <c r="B22" s="3" t="n">
        <v>18</v>
      </c>
    </row>
    <row r="23" customFormat="false" ht="15" hidden="false" customHeight="false" outlineLevel="0" collapsed="false">
      <c r="A23" s="0" t="s">
        <v>122</v>
      </c>
      <c r="B23" s="3" t="n">
        <v>0</v>
      </c>
    </row>
    <row r="24" customFormat="false" ht="15" hidden="false" customHeight="false" outlineLevel="0" collapsed="false">
      <c r="A24" s="0" t="s">
        <v>123</v>
      </c>
      <c r="B24" s="3" t="n">
        <v>0.35</v>
      </c>
    </row>
    <row r="26" customFormat="false" ht="15" hidden="false" customHeight="false" outlineLevel="0" collapsed="false">
      <c r="A26" s="2" t="s">
        <v>124</v>
      </c>
      <c r="C26" s="2" t="s">
        <v>102</v>
      </c>
      <c r="D26" s="2" t="s">
        <v>103</v>
      </c>
      <c r="E26" s="2" t="s">
        <v>104</v>
      </c>
      <c r="F26" s="2" t="s">
        <v>105</v>
      </c>
      <c r="G26" s="2" t="s">
        <v>106</v>
      </c>
      <c r="H26" s="2" t="s">
        <v>107</v>
      </c>
      <c r="I26" s="2" t="s">
        <v>108</v>
      </c>
      <c r="J26" s="2" t="s">
        <v>109</v>
      </c>
      <c r="K26" s="2" t="s">
        <v>110</v>
      </c>
      <c r="L26" s="2" t="s">
        <v>111</v>
      </c>
    </row>
    <row r="27" customFormat="false" ht="15" hidden="false" customHeight="false" outlineLevel="0" collapsed="false">
      <c r="A27" s="0" t="s">
        <v>112</v>
      </c>
      <c r="C27" s="3" t="n">
        <v>3.5</v>
      </c>
      <c r="D27" s="3" t="n">
        <v>3.5</v>
      </c>
      <c r="E27" s="3" t="n">
        <v>3.5</v>
      </c>
      <c r="F27" s="3" t="n">
        <v>3.5</v>
      </c>
      <c r="G27" s="3" t="n">
        <v>3</v>
      </c>
      <c r="H27" s="3" t="n">
        <v>3</v>
      </c>
      <c r="I27" s="3" t="n">
        <v>3</v>
      </c>
      <c r="J27" s="3" t="n">
        <v>3</v>
      </c>
      <c r="K27" s="3" t="n">
        <v>3</v>
      </c>
      <c r="L27" s="3" t="n">
        <v>3</v>
      </c>
    </row>
    <row r="28" customFormat="false" ht="15" hidden="false" customHeight="false" outlineLevel="0" collapsed="false">
      <c r="A28" s="0" t="s">
        <v>113</v>
      </c>
      <c r="C28" s="3" t="n">
        <v>38.5</v>
      </c>
      <c r="D28" s="3" t="n">
        <v>38.5</v>
      </c>
      <c r="E28" s="3" t="n">
        <v>39</v>
      </c>
      <c r="F28" s="3" t="n">
        <v>39</v>
      </c>
      <c r="G28" s="3" t="n">
        <v>39</v>
      </c>
      <c r="H28" s="3" t="n">
        <v>39</v>
      </c>
      <c r="I28" s="3" t="n">
        <v>39</v>
      </c>
      <c r="J28" s="3" t="n">
        <v>39</v>
      </c>
      <c r="K28" s="3" t="n">
        <v>39</v>
      </c>
      <c r="L28" s="3" t="n">
        <v>39</v>
      </c>
    </row>
    <row r="29" customFormat="false" ht="15" hidden="false" customHeight="false" outlineLevel="0" collapsed="false">
      <c r="A29" s="0" t="s">
        <v>114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116</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117</v>
      </c>
      <c r="C32" s="3" t="n">
        <v>18.6</v>
      </c>
      <c r="D32" s="3" t="n">
        <v>17.23</v>
      </c>
      <c r="E32" s="3" t="n">
        <v>17.48</v>
      </c>
      <c r="F32" s="3" t="n">
        <v>15.96</v>
      </c>
      <c r="G32" s="3" t="n">
        <v>14.39</v>
      </c>
      <c r="H32" s="3" t="n">
        <v>14.53</v>
      </c>
      <c r="I32" s="3" t="n">
        <v>12.84</v>
      </c>
      <c r="J32" s="3" t="n">
        <v>12.9</v>
      </c>
      <c r="K32" s="3" t="n">
        <v>11.11</v>
      </c>
      <c r="L32" s="3" t="n">
        <v>11.11</v>
      </c>
    </row>
    <row r="33" customFormat="false" ht="15" hidden="false" customHeight="false" outlineLevel="0" collapsed="false">
      <c r="A33" s="0" t="s">
        <v>118</v>
      </c>
      <c r="C33" s="3" t="n">
        <v>20.5</v>
      </c>
      <c r="D33" s="3" t="n">
        <v>20.5</v>
      </c>
      <c r="E33" s="3" t="n">
        <v>20.5</v>
      </c>
      <c r="F33" s="3" t="n">
        <v>20.5</v>
      </c>
      <c r="G33" s="3" t="n">
        <v>20.5</v>
      </c>
      <c r="H33" s="3" t="n">
        <v>20.5</v>
      </c>
      <c r="I33" s="3" t="n">
        <v>20.5</v>
      </c>
      <c r="J33" s="3" t="n">
        <v>20.5</v>
      </c>
      <c r="K33" s="3" t="n">
        <v>20.5</v>
      </c>
      <c r="L33" s="3" t="n">
        <v>20.5</v>
      </c>
    </row>
    <row r="34" customFormat="false" ht="15" hidden="false" customHeight="false" outlineLevel="0" collapsed="false">
      <c r="A34" s="0" t="s">
        <v>119</v>
      </c>
      <c r="B34" s="3" t="n">
        <v>10.5</v>
      </c>
    </row>
    <row r="35" customFormat="false" ht="15" hidden="false" customHeight="false" outlineLevel="0" collapsed="false">
      <c r="A35" s="0" t="s">
        <v>120</v>
      </c>
      <c r="B35" s="3" t="n">
        <v>3</v>
      </c>
    </row>
    <row r="36" customFormat="false" ht="15" hidden="false" customHeight="false" outlineLevel="0" collapsed="false">
      <c r="A36" s="0" t="s">
        <v>121</v>
      </c>
      <c r="B36" s="3" t="n">
        <v>18</v>
      </c>
    </row>
    <row r="37" customFormat="false" ht="15" hidden="false" customHeight="false" outlineLevel="0" collapsed="false">
      <c r="A37" s="0" t="s">
        <v>122</v>
      </c>
      <c r="B37" s="3" t="n">
        <v>0</v>
      </c>
    </row>
    <row r="38" customFormat="false" ht="15" hidden="false" customHeight="false" outlineLevel="0" collapsed="false">
      <c r="A38" s="0" t="s">
        <v>123</v>
      </c>
      <c r="B38" s="3" t="n">
        <v>0.45</v>
      </c>
    </row>
    <row r="40" customFormat="false" ht="15" hidden="false" customHeight="false" outlineLevel="0" collapsed="false">
      <c r="A40" s="2" t="s">
        <v>125</v>
      </c>
      <c r="C40" s="2" t="s">
        <v>102</v>
      </c>
      <c r="D40" s="2" t="s">
        <v>103</v>
      </c>
      <c r="E40" s="2" t="s">
        <v>104</v>
      </c>
      <c r="F40" s="2" t="s">
        <v>105</v>
      </c>
      <c r="G40" s="2" t="s">
        <v>106</v>
      </c>
      <c r="H40" s="2" t="s">
        <v>107</v>
      </c>
      <c r="I40" s="2" t="s">
        <v>108</v>
      </c>
      <c r="J40" s="2" t="s">
        <v>109</v>
      </c>
      <c r="K40" s="2" t="s">
        <v>110</v>
      </c>
      <c r="L40" s="2" t="s">
        <v>111</v>
      </c>
    </row>
    <row r="41" customFormat="false" ht="15" hidden="false" customHeight="false" outlineLevel="0" collapsed="false">
      <c r="A41" s="0" t="s">
        <v>112</v>
      </c>
      <c r="C41" s="3" t="n">
        <v>4.5</v>
      </c>
      <c r="D41" s="3" t="n">
        <v>4.5</v>
      </c>
      <c r="E41" s="3" t="n">
        <v>4</v>
      </c>
      <c r="F41" s="3" t="n">
        <v>4</v>
      </c>
      <c r="G41" s="3" t="n">
        <v>4</v>
      </c>
      <c r="H41" s="3" t="n">
        <v>3.5</v>
      </c>
      <c r="I41" s="3" t="n">
        <v>3.5</v>
      </c>
      <c r="J41" s="3" t="n">
        <v>3.5</v>
      </c>
      <c r="K41" s="3" t="n">
        <v>3.5</v>
      </c>
      <c r="L41" s="3" t="n">
        <v>3.5</v>
      </c>
    </row>
    <row r="42" customFormat="false" ht="15" hidden="false" customHeight="false" outlineLevel="0" collapsed="false">
      <c r="A42" s="0" t="s">
        <v>113</v>
      </c>
      <c r="C42" s="3" t="n">
        <v>40</v>
      </c>
      <c r="D42" s="3" t="n">
        <v>41</v>
      </c>
      <c r="E42" s="3" t="n">
        <v>41.5</v>
      </c>
      <c r="F42" s="3" t="n">
        <v>42</v>
      </c>
      <c r="G42" s="3" t="n">
        <v>42</v>
      </c>
      <c r="H42" s="3" t="n">
        <v>42</v>
      </c>
      <c r="I42" s="3" t="n">
        <v>42</v>
      </c>
      <c r="J42" s="3" t="n">
        <v>42</v>
      </c>
      <c r="K42" s="3" t="n">
        <v>42</v>
      </c>
      <c r="L42" s="3" t="n">
        <v>42</v>
      </c>
    </row>
    <row r="43" customFormat="false" ht="15" hidden="false" customHeight="false" outlineLevel="0" collapsed="false">
      <c r="A43" s="0" t="s">
        <v>114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116</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117</v>
      </c>
      <c r="C46" s="3" t="n">
        <v>16.74</v>
      </c>
      <c r="D46" s="3" t="n">
        <v>15.14</v>
      </c>
      <c r="E46" s="3" t="n">
        <v>13.52</v>
      </c>
      <c r="F46" s="3" t="n">
        <v>13.52</v>
      </c>
      <c r="G46" s="3" t="n">
        <v>11.83</v>
      </c>
      <c r="H46" s="3" t="n">
        <v>11.83</v>
      </c>
      <c r="I46" s="3" t="n">
        <v>11.83</v>
      </c>
      <c r="J46" s="3" t="n">
        <v>11.83</v>
      </c>
      <c r="K46" s="3" t="n">
        <v>11.83</v>
      </c>
      <c r="L46" s="3" t="n">
        <v>11.83</v>
      </c>
    </row>
    <row r="47" customFormat="false" ht="15" hidden="false" customHeight="false" outlineLevel="0" collapsed="false">
      <c r="A47" s="0" t="s">
        <v>118</v>
      </c>
      <c r="C47" s="3" t="n">
        <v>20</v>
      </c>
      <c r="D47" s="3" t="n">
        <v>20</v>
      </c>
      <c r="E47" s="3" t="n">
        <v>20</v>
      </c>
      <c r="F47" s="3" t="n">
        <v>20</v>
      </c>
      <c r="G47" s="3" t="n">
        <v>20</v>
      </c>
      <c r="H47" s="3" t="n">
        <v>20</v>
      </c>
      <c r="I47" s="3" t="n">
        <v>20</v>
      </c>
      <c r="J47" s="3" t="n">
        <v>20</v>
      </c>
      <c r="K47" s="3" t="n">
        <v>20</v>
      </c>
      <c r="L47" s="3" t="n">
        <v>20</v>
      </c>
    </row>
    <row r="48" customFormat="false" ht="15" hidden="false" customHeight="false" outlineLevel="0" collapsed="false">
      <c r="A48" s="0" t="s">
        <v>119</v>
      </c>
      <c r="B48" s="3" t="n">
        <v>10.5</v>
      </c>
    </row>
    <row r="49" customFormat="false" ht="15" hidden="false" customHeight="false" outlineLevel="0" collapsed="false">
      <c r="A49" s="0" t="s">
        <v>120</v>
      </c>
      <c r="B49" s="3" t="n">
        <v>3.5</v>
      </c>
    </row>
    <row r="50" customFormat="false" ht="15" hidden="false" customHeight="false" outlineLevel="0" collapsed="false">
      <c r="A50" s="0" t="s">
        <v>121</v>
      </c>
      <c r="B50" s="3" t="n">
        <v>18</v>
      </c>
    </row>
    <row r="51" customFormat="false" ht="15" hidden="false" customHeight="false" outlineLevel="0" collapsed="false">
      <c r="A51" s="0" t="s">
        <v>122</v>
      </c>
      <c r="B51" s="3" t="n">
        <v>0</v>
      </c>
    </row>
    <row r="52" customFormat="false" ht="15" hidden="false" customHeight="false" outlineLevel="0" collapsed="false">
      <c r="A52" s="0" t="s">
        <v>123</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126</v>
      </c>
    </row>
    <row r="3" customFormat="false" ht="15" hidden="false" customHeight="false" outlineLevel="0" collapsed="false">
      <c r="A3" s="0" t="s">
        <v>127</v>
      </c>
      <c r="B3" s="0" t="s">
        <v>97</v>
      </c>
      <c r="C3" s="2" t="s">
        <v>102</v>
      </c>
      <c r="D3" s="2" t="s">
        <v>103</v>
      </c>
      <c r="E3" s="2" t="s">
        <v>104</v>
      </c>
      <c r="F3" s="2" t="s">
        <v>105</v>
      </c>
      <c r="G3" s="2" t="s">
        <v>106</v>
      </c>
      <c r="H3" s="2" t="s">
        <v>107</v>
      </c>
      <c r="I3" s="2" t="s">
        <v>108</v>
      </c>
      <c r="J3" s="2" t="s">
        <v>109</v>
      </c>
      <c r="K3" s="2" t="s">
        <v>110</v>
      </c>
      <c r="L3" s="2" t="s">
        <v>111</v>
      </c>
    </row>
    <row r="4" customFormat="false" ht="15" hidden="false" customHeight="false" outlineLevel="0" collapsed="false">
      <c r="A4" s="0" t="s">
        <v>128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112</v>
      </c>
      <c r="C5" s="4" t="n">
        <f aca="false">Assumptions!C13</f>
        <v>0</v>
      </c>
      <c r="D5" s="4" t="n">
        <f aca="false">Assumptions!D13</f>
        <v>0</v>
      </c>
      <c r="E5" s="4" t="n">
        <f aca="false">Assumptions!E13</f>
        <v>1</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220800</v>
      </c>
      <c r="C6" s="0" t="n">
        <f aca="false">B6*(1+C5/100)</f>
        <v>220800</v>
      </c>
      <c r="D6" s="0" t="n">
        <f aca="false">C6*(1+D5/100)</f>
        <v>220800</v>
      </c>
      <c r="E6" s="0" t="n">
        <f aca="false">D6*(1+E5/100)</f>
        <v>223008</v>
      </c>
      <c r="F6" s="0" t="n">
        <f aca="false">E6*(1+F5/100)</f>
        <v>225238.08</v>
      </c>
      <c r="G6" s="0" t="n">
        <f aca="false">F6*(1+G5/100)</f>
        <v>228616.6512</v>
      </c>
      <c r="H6" s="0" t="n">
        <f aca="false">G6*(1+H5/100)</f>
        <v>233188.984224</v>
      </c>
      <c r="I6" s="0" t="n">
        <f aca="false">H6*(1+I5/100)</f>
        <v>237852.76390848</v>
      </c>
      <c r="J6" s="0" t="n">
        <f aca="false">I6*(1+J5/100)</f>
        <v>242609.81918665</v>
      </c>
      <c r="K6" s="0" t="n">
        <f aca="false">J6*(1+K5/100)</f>
        <v>247462.015570383</v>
      </c>
      <c r="L6" s="0" t="n">
        <f aca="false">K6*(1+L5/100)</f>
        <v>252411.25588179</v>
      </c>
    </row>
    <row r="7" customFormat="false" ht="15" hidden="false" customHeight="false" outlineLevel="0" collapsed="false">
      <c r="A7" s="0" t="s">
        <v>113</v>
      </c>
      <c r="C7" s="4" t="n">
        <f aca="false">Assumptions!C14</f>
        <v>33</v>
      </c>
      <c r="D7" s="4" t="n">
        <f aca="false">Assumptions!D14</f>
        <v>31</v>
      </c>
      <c r="E7" s="4" t="n">
        <f aca="false">Assumptions!E14</f>
        <v>31</v>
      </c>
      <c r="F7" s="4" t="n">
        <f aca="false">Assumptions!F14</f>
        <v>32</v>
      </c>
      <c r="G7" s="4" t="n">
        <f aca="false">Assumptions!G14</f>
        <v>33</v>
      </c>
      <c r="H7" s="4" t="n">
        <f aca="false">Assumptions!H14</f>
        <v>34</v>
      </c>
      <c r="I7" s="4" t="n">
        <f aca="false">Assumptions!I14</f>
        <v>34</v>
      </c>
      <c r="J7" s="4" t="n">
        <f aca="false">Assumptions!J14</f>
        <v>34</v>
      </c>
      <c r="K7" s="4" t="n">
        <f aca="false">Assumptions!K14</f>
        <v>34</v>
      </c>
      <c r="L7" s="4" t="n">
        <f aca="false">Assumptions!L14</f>
        <v>34</v>
      </c>
    </row>
    <row r="8" customFormat="false" ht="15" hidden="false" customHeight="false" outlineLevel="0" collapsed="false">
      <c r="A8" s="0" t="s">
        <v>44</v>
      </c>
      <c r="C8" s="0" t="n">
        <f aca="false">C6*C7/100</f>
        <v>72864</v>
      </c>
      <c r="D8" s="0" t="n">
        <f aca="false">D6*D7/100</f>
        <v>68448</v>
      </c>
      <c r="E8" s="0" t="n">
        <f aca="false">E6*E7/100</f>
        <v>69132.48</v>
      </c>
      <c r="F8" s="0" t="n">
        <f aca="false">F6*F7/100</f>
        <v>72076.1856</v>
      </c>
      <c r="G8" s="0" t="n">
        <f aca="false">G6*G7/100</f>
        <v>75443.494896</v>
      </c>
      <c r="H8" s="0" t="n">
        <f aca="false">H6*H7/100</f>
        <v>79284.25463616</v>
      </c>
      <c r="I8" s="0" t="n">
        <f aca="false">I6*I7/100</f>
        <v>80869.9397288832</v>
      </c>
      <c r="J8" s="0" t="n">
        <f aca="false">J6*J7/100</f>
        <v>82487.3385234609</v>
      </c>
      <c r="K8" s="0" t="n">
        <f aca="false">K6*K7/100</f>
        <v>84137.0852939301</v>
      </c>
      <c r="L8" s="0" t="n">
        <f aca="false">L6*L7/100</f>
        <v>85819.8269998087</v>
      </c>
    </row>
    <row r="9" customFormat="false" ht="15" hidden="false" customHeight="false" outlineLevel="0" collapsed="false">
      <c r="A9" s="0" t="s">
        <v>114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130</v>
      </c>
      <c r="C11" s="0" t="n">
        <f aca="false">C8+C10+C24</f>
        <v>72864</v>
      </c>
      <c r="D11" s="0" t="n">
        <f aca="false">D8+D10+D24</f>
        <v>68448</v>
      </c>
      <c r="E11" s="0" t="n">
        <f aca="false">E8+E10+E24</f>
        <v>69132.48</v>
      </c>
      <c r="F11" s="0" t="n">
        <f aca="false">F8+F10+F24</f>
        <v>72076.1856</v>
      </c>
      <c r="G11" s="0" t="n">
        <f aca="false">G8+G10+G24</f>
        <v>75443.494896</v>
      </c>
      <c r="H11" s="0" t="n">
        <f aca="false">H8+H10+H24</f>
        <v>79284.25463616</v>
      </c>
      <c r="I11" s="0" t="n">
        <f aca="false">I8+I10+I24</f>
        <v>80869.9397288832</v>
      </c>
      <c r="J11" s="0" t="n">
        <f aca="false">J8+J10+J24</f>
        <v>82487.3385234609</v>
      </c>
      <c r="K11" s="0" t="n">
        <f aca="false">K8+K10+K24</f>
        <v>84137.0852939301</v>
      </c>
      <c r="L11" s="0" t="n">
        <f aca="false">L8+L10+L24</f>
        <v>85819.8269998087</v>
      </c>
    </row>
    <row r="12" customFormat="false" ht="15" hidden="false" customHeight="false" outlineLevel="0" collapsed="false">
      <c r="A12" s="0" t="s">
        <v>131</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132</v>
      </c>
      <c r="C13" s="0" t="n">
        <f aca="false">C11+C12</f>
        <v>72864</v>
      </c>
      <c r="D13" s="0" t="n">
        <f aca="false">D11+D12</f>
        <v>68448</v>
      </c>
      <c r="E13" s="0" t="n">
        <f aca="false">E11+E12</f>
        <v>69132.48</v>
      </c>
      <c r="F13" s="0" t="n">
        <f aca="false">F11+F12</f>
        <v>72076.1856</v>
      </c>
      <c r="G13" s="0" t="n">
        <f aca="false">G11+G12</f>
        <v>75443.494896</v>
      </c>
      <c r="H13" s="0" t="n">
        <f aca="false">H11+H12</f>
        <v>79284.25463616</v>
      </c>
      <c r="I13" s="0" t="n">
        <f aca="false">I11+I12</f>
        <v>80869.9397288832</v>
      </c>
      <c r="J13" s="0" t="n">
        <f aca="false">J11+J12</f>
        <v>82487.3385234609</v>
      </c>
      <c r="K13" s="0" t="n">
        <f aca="false">K11+K12</f>
        <v>84137.0852939301</v>
      </c>
      <c r="L13" s="0" t="n">
        <f aca="false">L11+L12</f>
        <v>85819.8269998087</v>
      </c>
    </row>
    <row r="14" customFormat="false" ht="15" hidden="false" customHeight="false" outlineLevel="0" collapsed="false">
      <c r="A14" s="0" t="s">
        <v>118</v>
      </c>
      <c r="C14" s="4" t="n">
        <f aca="false">Assumptions!C19</f>
        <v>21</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133</v>
      </c>
      <c r="C15" s="0" t="n">
        <f aca="false">C13-MAX(0,C13)*C14/100</f>
        <v>57562.56</v>
      </c>
      <c r="D15" s="0" t="n">
        <f aca="false">D13-MAX(0,D13)*D14/100</f>
        <v>54073.92</v>
      </c>
      <c r="E15" s="0" t="n">
        <f aca="false">E13-MAX(0,E13)*E14/100</f>
        <v>54614.6592</v>
      </c>
      <c r="F15" s="0" t="n">
        <f aca="false">F13-MAX(0,F13)*F14/100</f>
        <v>56940.186624</v>
      </c>
      <c r="G15" s="0" t="n">
        <f aca="false">G13-MAX(0,G13)*G14/100</f>
        <v>59600.36096784</v>
      </c>
      <c r="H15" s="0" t="n">
        <f aca="false">H13-MAX(0,H13)*H14/100</f>
        <v>62634.5611625664</v>
      </c>
      <c r="I15" s="0" t="n">
        <f aca="false">I13-MAX(0,I13)*I14/100</f>
        <v>63887.2523858177</v>
      </c>
      <c r="J15" s="0" t="n">
        <f aca="false">J13-MAX(0,J13)*J14/100</f>
        <v>65164.9974335341</v>
      </c>
      <c r="K15" s="0" t="n">
        <f aca="false">K13-MAX(0,K13)*K14/100</f>
        <v>66468.2973822048</v>
      </c>
      <c r="L15" s="0" t="n">
        <f aca="false">L13-MAX(0,L13)*L14/100</f>
        <v>67797.6633298489</v>
      </c>
    </row>
    <row r="16" customFormat="false" ht="15" hidden="false" customHeight="false" outlineLevel="0" collapsed="false">
      <c r="A16" s="0" t="s">
        <v>134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135</v>
      </c>
      <c r="C17" s="4" t="n">
        <f aca="false">-C6*Assumptions!C18/100</f>
        <v>-54096</v>
      </c>
      <c r="D17" s="4" t="n">
        <f aca="false">-D6*Assumptions!D18/100</f>
        <v>-49613.76</v>
      </c>
      <c r="E17" s="4" t="n">
        <f aca="false">-E6*Assumptions!E18/100</f>
        <v>-43821.072</v>
      </c>
      <c r="F17" s="4" t="n">
        <f aca="false">-F6*Assumptions!F18/100</f>
        <v>-46016.139744</v>
      </c>
      <c r="G17" s="4" t="n">
        <f aca="false">-G6*Assumptions!G18/100</f>
        <v>-43482.88705824</v>
      </c>
      <c r="H17" s="4" t="n">
        <f aca="false">-H6*Assumptions!H18/100</f>
        <v>-40388.3320675968</v>
      </c>
      <c r="I17" s="4" t="n">
        <f aca="false">-I6*Assumptions!I18/100</f>
        <v>-36748.2520238602</v>
      </c>
      <c r="J17" s="4" t="n">
        <f aca="false">-J6*Assumptions!J18/100</f>
        <v>-32606.7596986857</v>
      </c>
      <c r="K17" s="4" t="n">
        <f aca="false">-K6*Assumptions!K18/100</f>
        <v>-27987.9539610103</v>
      </c>
      <c r="L17" s="4" t="n">
        <f aca="false">-L6*Assumptions!L18/100</f>
        <v>-28673.9186681714</v>
      </c>
    </row>
    <row r="18" customFormat="false" ht="15" hidden="false" customHeight="false" outlineLevel="0" collapsed="false">
      <c r="A18" s="0" t="s">
        <v>136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137</v>
      </c>
      <c r="C19" s="0" t="n">
        <f aca="false">C15+C16+C17+C18</f>
        <v>3466.56</v>
      </c>
      <c r="D19" s="0" t="n">
        <f aca="false">D15+D16+D17+D18</f>
        <v>4460.16</v>
      </c>
      <c r="E19" s="0" t="n">
        <f aca="false">E15+E16+E17+E18</f>
        <v>10793.5872</v>
      </c>
      <c r="F19" s="0" t="n">
        <f aca="false">F15+F16+F17+F18</f>
        <v>10924.04688</v>
      </c>
      <c r="G19" s="0" t="n">
        <f aca="false">G15+G16+G17+G18</f>
        <v>16117.4739096</v>
      </c>
      <c r="H19" s="0" t="n">
        <f aca="false">H15+H16+H17+H18</f>
        <v>22246.2290949696</v>
      </c>
      <c r="I19" s="0" t="n">
        <f aca="false">I15+I16+I17+I18</f>
        <v>27139.0003619576</v>
      </c>
      <c r="J19" s="0" t="n">
        <f aca="false">J15+J16+J17+J18</f>
        <v>32558.2377348484</v>
      </c>
      <c r="K19" s="0" t="n">
        <f aca="false">K15+K16+K17+K18</f>
        <v>38480.3434211945</v>
      </c>
      <c r="L19" s="0" t="n">
        <f aca="false">L15+L16+L17+L18</f>
        <v>39123.7446616775</v>
      </c>
    </row>
    <row r="20" customFormat="false" ht="15" hidden="false" customHeight="false" outlineLevel="0" collapsed="false">
      <c r="A20" s="0" t="s">
        <v>138</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139</v>
      </c>
      <c r="C21" s="0" t="n">
        <f aca="false">C19*C20</f>
        <v>3137.15837104072</v>
      </c>
      <c r="D21" s="0" t="n">
        <f aca="false">D19*D20</f>
        <v>3652.79990172191</v>
      </c>
      <c r="E21" s="0" t="n">
        <f aca="false">E19*E20</f>
        <v>7999.79706983442</v>
      </c>
      <c r="F21" s="0" t="n">
        <f aca="false">F19*F20</f>
        <v>7327.13921442427</v>
      </c>
      <c r="G21" s="0" t="n">
        <f aca="false">G19*G20</f>
        <v>9783.30483437356</v>
      </c>
      <c r="H21" s="0" t="n">
        <f aca="false">H19*H20</f>
        <v>12220.3244674205</v>
      </c>
      <c r="I21" s="0" t="n">
        <f aca="false">I19*I20</f>
        <v>13491.4273994453</v>
      </c>
      <c r="J21" s="0" t="n">
        <f aca="false">J19*J20</f>
        <v>14647.4716403066</v>
      </c>
      <c r="K21" s="0" t="n">
        <f aca="false">K19*K20</f>
        <v>15666.7328217426</v>
      </c>
      <c r="L21" s="0" t="n">
        <f aca="false">L19*L20</f>
        <v>14415.0992077374</v>
      </c>
    </row>
    <row r="23" customFormat="false" ht="15" hidden="false" customHeight="false" outlineLevel="0" collapsed="false">
      <c r="A23" s="0" t="s">
        <v>115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141</v>
      </c>
    </row>
    <row r="27" customFormat="false" ht="15" hidden="false" customHeight="false" outlineLevel="0" collapsed="false">
      <c r="A27" s="0" t="s">
        <v>119</v>
      </c>
      <c r="B27" s="4" t="n">
        <f aca="false">Assumptions!$B$20</f>
        <v>10.5</v>
      </c>
    </row>
    <row r="28" customFormat="false" ht="15" hidden="false" customHeight="false" outlineLevel="0" collapsed="false">
      <c r="A28" s="0" t="s">
        <v>120</v>
      </c>
      <c r="B28" s="4" t="n">
        <f aca="false">Assumptions!$B$21</f>
        <v>2.5</v>
      </c>
    </row>
    <row r="29" customFormat="false" ht="15" hidden="false" customHeight="false" outlineLevel="0" collapsed="false">
      <c r="A29" s="0" t="s">
        <v>121</v>
      </c>
      <c r="B29" s="4" t="n">
        <f aca="false">Assumptions!$B$22</f>
        <v>18</v>
      </c>
    </row>
    <row r="30" customFormat="false" ht="15" hidden="false" customHeight="false" outlineLevel="0" collapsed="false">
      <c r="A30" s="0" t="s">
        <v>142</v>
      </c>
      <c r="B30" s="0" t="n">
        <f aca="false">SUM(C21:L21)</f>
        <v>102341.254928047</v>
      </c>
    </row>
    <row r="31" customFormat="false" ht="15" hidden="false" customHeight="false" outlineLevel="0" collapsed="false">
      <c r="A31" s="0" t="s">
        <v>143</v>
      </c>
      <c r="B31" s="0" t="n">
        <f aca="false">L19</f>
        <v>39123.7446616775</v>
      </c>
    </row>
    <row r="32" customFormat="false" ht="15" hidden="false" customHeight="false" outlineLevel="0" collapsed="false">
      <c r="A32" s="0" t="s">
        <v>144</v>
      </c>
      <c r="B32" s="0" t="n">
        <f aca="false">IF(B27&gt;B28,B31*(1+B28/100)/((B27-B28)/100),B31*B29)</f>
        <v>501272.978477743</v>
      </c>
    </row>
    <row r="33" customFormat="false" ht="15" hidden="false" customHeight="false" outlineLevel="0" collapsed="false">
      <c r="A33" s="0" t="s">
        <v>145</v>
      </c>
      <c r="B33" s="0" t="n">
        <f aca="false">B31*B29</f>
        <v>704227.403910195</v>
      </c>
    </row>
    <row r="34" customFormat="false" ht="15" hidden="false" customHeight="false" outlineLevel="0" collapsed="false">
      <c r="A34" s="0" t="s">
        <v>146</v>
      </c>
      <c r="B34" s="0" t="n">
        <f aca="false">MAX(0,MIN(B32,B33))</f>
        <v>501272.978477743</v>
      </c>
    </row>
    <row r="35" customFormat="false" ht="15" hidden="false" customHeight="false" outlineLevel="0" collapsed="false">
      <c r="A35" s="0" t="s">
        <v>147</v>
      </c>
      <c r="B35" s="0" t="n">
        <f aca="false">B34/(1+B27/100)^L4</f>
        <v>184693.458599136</v>
      </c>
    </row>
    <row r="36" customFormat="false" ht="15" hidden="false" customHeight="false" outlineLevel="0" collapsed="false">
      <c r="A36" s="0" t="s">
        <v>148</v>
      </c>
      <c r="B36" s="0" t="n">
        <f aca="false">B30+B35</f>
        <v>287034.713527183</v>
      </c>
    </row>
    <row r="37" customFormat="false" ht="15" hidden="false" customHeight="false" outlineLevel="0" collapsed="false">
      <c r="A37" s="0" t="s">
        <v>149</v>
      </c>
      <c r="B37" s="0" t="n">
        <f aca="false">B36+Assumptions!$B$5-Assumptions!$B$4</f>
        <v>287034.713527183</v>
      </c>
    </row>
    <row r="38" customFormat="false" ht="15" hidden="false" customHeight="false" outlineLevel="0" collapsed="false">
      <c r="A38" s="0" t="s">
        <v>150</v>
      </c>
      <c r="B38" s="0" t="n">
        <f aca="false">B37/Assumptions!$B$3*Assumptions!$B$10</f>
        <v>6.0460668114873</v>
      </c>
    </row>
    <row r="39" customFormat="false" ht="15" hidden="false" customHeight="false" outlineLevel="0" collapsed="false">
      <c r="A39" s="0" t="s">
        <v>151</v>
      </c>
      <c r="B39" s="4" t="n">
        <f aca="false">B38/Assumptions!$B$2-1</f>
        <v>-0.283216738412887</v>
      </c>
    </row>
    <row r="41" customFormat="false" ht="15" hidden="false" customHeight="false" outlineLevel="0" collapsed="false">
      <c r="A41" s="0" t="s">
        <v>152</v>
      </c>
      <c r="B41" s="0" t="n">
        <f aca="false">SUMPRODUCT(-C10:L10/(1+$B$27/100)^C4:L4)</f>
        <v>0</v>
      </c>
    </row>
    <row r="42" customFormat="false" ht="15" hidden="false" customHeight="false" outlineLevel="0" collapsed="false">
      <c r="A42" s="0" t="s">
        <v>153</v>
      </c>
      <c r="B42" s="0" t="n">
        <f aca="false">IF(B27&gt;B28,-L10*(1+B28/100)/((B27-B28)/100),-L10*20)/(1+B27/100)^L4</f>
        <v>0</v>
      </c>
    </row>
    <row r="43" customFormat="false" ht="15" hidden="false" customHeight="false" outlineLevel="0" collapsed="false">
      <c r="A43" s="0" t="s">
        <v>154</v>
      </c>
      <c r="B43" s="0" t="n">
        <f aca="false">(B37+B41+B42)/Assumptions!$B$3*Assumptions!$B$10</f>
        <v>6.0460668114873</v>
      </c>
    </row>
    <row r="45" customFormat="false" ht="15" hidden="false" customHeight="false" outlineLevel="0" collapsed="false">
      <c r="A45" s="0" t="s">
        <v>94</v>
      </c>
      <c r="B45" s="4" t="n">
        <f aca="false">Assumptions!$B$6</f>
        <v>15</v>
      </c>
    </row>
    <row r="46" customFormat="false" ht="15" hidden="false" customHeight="false" outlineLevel="0" collapsed="false">
      <c r="A46" s="0" t="s">
        <v>155</v>
      </c>
      <c r="B46" s="0" t="n">
        <f aca="false">MAX(0,MIN(IF(B45&gt;B28,B31*(1+B28/100)/((B45-B28)/100),B31*B29),B31*B29))</f>
        <v>320814.706225755</v>
      </c>
    </row>
    <row r="47" customFormat="false" ht="15" hidden="false" customHeight="false" outlineLevel="0" collapsed="false">
      <c r="A47" s="0" t="s">
        <v>156</v>
      </c>
      <c r="B47" s="0" t="n">
        <f aca="false">(SUMPRODUCT(C19:L19/(1+B45/100)^C4:L4)+B46/(1+B45/100)^L4+Assumptions!$B$5-Assumptions!$B$4)/Assumptions!$B$3*Assumptions!$B$10</f>
        <v>3.33054449169188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157</v>
      </c>
    </row>
    <row r="3" customFormat="false" ht="15" hidden="false" customHeight="false" outlineLevel="0" collapsed="false">
      <c r="A3" s="0" t="s">
        <v>127</v>
      </c>
      <c r="B3" s="0" t="s">
        <v>97</v>
      </c>
      <c r="C3" s="2" t="s">
        <v>102</v>
      </c>
      <c r="D3" s="2" t="s">
        <v>103</v>
      </c>
      <c r="E3" s="2" t="s">
        <v>104</v>
      </c>
      <c r="F3" s="2" t="s">
        <v>105</v>
      </c>
      <c r="G3" s="2" t="s">
        <v>106</v>
      </c>
      <c r="H3" s="2" t="s">
        <v>107</v>
      </c>
      <c r="I3" s="2" t="s">
        <v>108</v>
      </c>
      <c r="J3" s="2" t="s">
        <v>109</v>
      </c>
      <c r="K3" s="2" t="s">
        <v>110</v>
      </c>
      <c r="L3" s="2" t="s">
        <v>111</v>
      </c>
    </row>
    <row r="4" customFormat="false" ht="15" hidden="false" customHeight="false" outlineLevel="0" collapsed="false">
      <c r="A4" s="0" t="s">
        <v>128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112</v>
      </c>
      <c r="C5" s="4" t="n">
        <f aca="false">Assumptions!C27</f>
        <v>3.5</v>
      </c>
      <c r="D5" s="4" t="n">
        <f aca="false">Assumptions!D27</f>
        <v>3.5</v>
      </c>
      <c r="E5" s="4" t="n">
        <f aca="false">Assumptions!E27</f>
        <v>3.5</v>
      </c>
      <c r="F5" s="4" t="n">
        <f aca="false">Assumptions!F27</f>
        <v>3.5</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220800</v>
      </c>
      <c r="C6" s="0" t="n">
        <f aca="false">B6*(1+C5/100)</f>
        <v>228528</v>
      </c>
      <c r="D6" s="0" t="n">
        <f aca="false">C6*(1+D5/100)</f>
        <v>236526.48</v>
      </c>
      <c r="E6" s="0" t="n">
        <f aca="false">D6*(1+E5/100)</f>
        <v>244804.9068</v>
      </c>
      <c r="F6" s="0" t="n">
        <f aca="false">E6*(1+F5/100)</f>
        <v>253373.078538</v>
      </c>
      <c r="G6" s="0" t="n">
        <f aca="false">F6*(1+G5/100)</f>
        <v>260974.27089414</v>
      </c>
      <c r="H6" s="0" t="n">
        <f aca="false">G6*(1+H5/100)</f>
        <v>268803.499020964</v>
      </c>
      <c r="I6" s="0" t="n">
        <f aca="false">H6*(1+I5/100)</f>
        <v>276867.603991593</v>
      </c>
      <c r="J6" s="0" t="n">
        <f aca="false">I6*(1+J5/100)</f>
        <v>285173.632111341</v>
      </c>
      <c r="K6" s="0" t="n">
        <f aca="false">J6*(1+K5/100)</f>
        <v>293728.841074681</v>
      </c>
      <c r="L6" s="0" t="n">
        <f aca="false">K6*(1+L5/100)</f>
        <v>302540.706306922</v>
      </c>
    </row>
    <row r="7" customFormat="false" ht="15" hidden="false" customHeight="false" outlineLevel="0" collapsed="false">
      <c r="A7" s="0" t="s">
        <v>113</v>
      </c>
      <c r="C7" s="4" t="n">
        <f aca="false">Assumptions!C28</f>
        <v>38.5</v>
      </c>
      <c r="D7" s="4" t="n">
        <f aca="false">Assumptions!D28</f>
        <v>38.5</v>
      </c>
      <c r="E7" s="4" t="n">
        <f aca="false">Assumptions!E28</f>
        <v>39</v>
      </c>
      <c r="F7" s="4" t="n">
        <f aca="false">Assumptions!F28</f>
        <v>39</v>
      </c>
      <c r="G7" s="4" t="n">
        <f aca="false">Assumptions!G28</f>
        <v>39</v>
      </c>
      <c r="H7" s="4" t="n">
        <f aca="false">Assumptions!H28</f>
        <v>39</v>
      </c>
      <c r="I7" s="4" t="n">
        <f aca="false">Assumptions!I28</f>
        <v>39</v>
      </c>
      <c r="J7" s="4" t="n">
        <f aca="false">Assumptions!J28</f>
        <v>39</v>
      </c>
      <c r="K7" s="4" t="n">
        <f aca="false">Assumptions!K28</f>
        <v>39</v>
      </c>
      <c r="L7" s="4" t="n">
        <f aca="false">Assumptions!L28</f>
        <v>39</v>
      </c>
    </row>
    <row r="8" customFormat="false" ht="15" hidden="false" customHeight="false" outlineLevel="0" collapsed="false">
      <c r="A8" s="0" t="s">
        <v>44</v>
      </c>
      <c r="C8" s="0" t="n">
        <f aca="false">C6*C7/100</f>
        <v>87983.28</v>
      </c>
      <c r="D8" s="0" t="n">
        <f aca="false">D6*D7/100</f>
        <v>91062.6948</v>
      </c>
      <c r="E8" s="0" t="n">
        <f aca="false">E6*E7/100</f>
        <v>95473.913652</v>
      </c>
      <c r="F8" s="0" t="n">
        <f aca="false">F6*F7/100</f>
        <v>98815.50062982</v>
      </c>
      <c r="G8" s="0" t="n">
        <f aca="false">G6*G7/100</f>
        <v>101779.965648715</v>
      </c>
      <c r="H8" s="0" t="n">
        <f aca="false">H6*H7/100</f>
        <v>104833.364618176</v>
      </c>
      <c r="I8" s="0" t="n">
        <f aca="false">I6*I7/100</f>
        <v>107978.365556721</v>
      </c>
      <c r="J8" s="0" t="n">
        <f aca="false">J6*J7/100</f>
        <v>111217.716523423</v>
      </c>
      <c r="K8" s="0" t="n">
        <f aca="false">K6*K7/100</f>
        <v>114554.248019126</v>
      </c>
      <c r="L8" s="0" t="n">
        <f aca="false">L6*L7/100</f>
        <v>117990.875459699</v>
      </c>
    </row>
    <row r="9" customFormat="false" ht="15" hidden="false" customHeight="false" outlineLevel="0" collapsed="false">
      <c r="A9" s="0" t="s">
        <v>114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130</v>
      </c>
      <c r="C11" s="0" t="n">
        <f aca="false">C8+C10+C24</f>
        <v>87983.28</v>
      </c>
      <c r="D11" s="0" t="n">
        <f aca="false">D8+D10+D24</f>
        <v>91062.6948</v>
      </c>
      <c r="E11" s="0" t="n">
        <f aca="false">E8+E10+E24</f>
        <v>95473.913652</v>
      </c>
      <c r="F11" s="0" t="n">
        <f aca="false">F8+F10+F24</f>
        <v>98815.50062982</v>
      </c>
      <c r="G11" s="0" t="n">
        <f aca="false">G8+G10+G24</f>
        <v>101779.965648715</v>
      </c>
      <c r="H11" s="0" t="n">
        <f aca="false">H8+H10+H24</f>
        <v>104833.364618176</v>
      </c>
      <c r="I11" s="0" t="n">
        <f aca="false">I8+I10+I24</f>
        <v>107978.365556721</v>
      </c>
      <c r="J11" s="0" t="n">
        <f aca="false">J8+J10+J24</f>
        <v>111217.716523423</v>
      </c>
      <c r="K11" s="0" t="n">
        <f aca="false">K8+K10+K24</f>
        <v>114554.248019126</v>
      </c>
      <c r="L11" s="0" t="n">
        <f aca="false">L8+L10+L24</f>
        <v>117990.875459699</v>
      </c>
    </row>
    <row r="12" customFormat="false" ht="15" hidden="false" customHeight="false" outlineLevel="0" collapsed="false">
      <c r="A12" s="0" t="s">
        <v>131</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132</v>
      </c>
      <c r="C13" s="0" t="n">
        <f aca="false">C11+C12</f>
        <v>87983.28</v>
      </c>
      <c r="D13" s="0" t="n">
        <f aca="false">D11+D12</f>
        <v>91062.6948</v>
      </c>
      <c r="E13" s="0" t="n">
        <f aca="false">E11+E12</f>
        <v>95473.913652</v>
      </c>
      <c r="F13" s="0" t="n">
        <f aca="false">F11+F12</f>
        <v>98815.50062982</v>
      </c>
      <c r="G13" s="0" t="n">
        <f aca="false">G11+G12</f>
        <v>101779.965648715</v>
      </c>
      <c r="H13" s="0" t="n">
        <f aca="false">H11+H12</f>
        <v>104833.364618176</v>
      </c>
      <c r="I13" s="0" t="n">
        <f aca="false">I11+I12</f>
        <v>107978.365556721</v>
      </c>
      <c r="J13" s="0" t="n">
        <f aca="false">J11+J12</f>
        <v>111217.716523423</v>
      </c>
      <c r="K13" s="0" t="n">
        <f aca="false">K11+K12</f>
        <v>114554.248019126</v>
      </c>
      <c r="L13" s="0" t="n">
        <f aca="false">L11+L12</f>
        <v>117990.875459699</v>
      </c>
    </row>
    <row r="14" customFormat="false" ht="15" hidden="false" customHeight="false" outlineLevel="0" collapsed="false">
      <c r="A14" s="0" t="s">
        <v>118</v>
      </c>
      <c r="C14" s="4" t="n">
        <f aca="false">Assumptions!C33</f>
        <v>20.5</v>
      </c>
      <c r="D14" s="4" t="n">
        <f aca="false">Assumptions!D33</f>
        <v>20.5</v>
      </c>
      <c r="E14" s="4" t="n">
        <f aca="false">Assumptions!E33</f>
        <v>20.5</v>
      </c>
      <c r="F14" s="4" t="n">
        <f aca="false">Assumptions!F33</f>
        <v>20.5</v>
      </c>
      <c r="G14" s="4" t="n">
        <f aca="false">Assumptions!G33</f>
        <v>20.5</v>
      </c>
      <c r="H14" s="4" t="n">
        <f aca="false">Assumptions!H33</f>
        <v>20.5</v>
      </c>
      <c r="I14" s="4" t="n">
        <f aca="false">Assumptions!I33</f>
        <v>20.5</v>
      </c>
      <c r="J14" s="4" t="n">
        <f aca="false">Assumptions!J33</f>
        <v>20.5</v>
      </c>
      <c r="K14" s="4" t="n">
        <f aca="false">Assumptions!K33</f>
        <v>20.5</v>
      </c>
      <c r="L14" s="4" t="n">
        <f aca="false">Assumptions!L33</f>
        <v>20.5</v>
      </c>
    </row>
    <row r="15" customFormat="false" ht="15" hidden="false" customHeight="false" outlineLevel="0" collapsed="false">
      <c r="A15" s="0" t="s">
        <v>133</v>
      </c>
      <c r="C15" s="0" t="n">
        <f aca="false">C13-MAX(0,C13)*C14/100</f>
        <v>69946.7076</v>
      </c>
      <c r="D15" s="0" t="n">
        <f aca="false">D13-MAX(0,D13)*D14/100</f>
        <v>72394.842366</v>
      </c>
      <c r="E15" s="0" t="n">
        <f aca="false">E13-MAX(0,E13)*E14/100</f>
        <v>75901.76135334</v>
      </c>
      <c r="F15" s="0" t="n">
        <f aca="false">F13-MAX(0,F13)*F14/100</f>
        <v>78558.3230007069</v>
      </c>
      <c r="G15" s="0" t="n">
        <f aca="false">G13-MAX(0,G13)*G14/100</f>
        <v>80915.0726907281</v>
      </c>
      <c r="H15" s="0" t="n">
        <f aca="false">H13-MAX(0,H13)*H14/100</f>
        <v>83342.5248714499</v>
      </c>
      <c r="I15" s="0" t="n">
        <f aca="false">I13-MAX(0,I13)*I14/100</f>
        <v>85842.8006175934</v>
      </c>
      <c r="J15" s="0" t="n">
        <f aca="false">J13-MAX(0,J13)*J14/100</f>
        <v>88418.0846361212</v>
      </c>
      <c r="K15" s="0" t="n">
        <f aca="false">K13-MAX(0,K13)*K14/100</f>
        <v>91070.6271752049</v>
      </c>
      <c r="L15" s="0" t="n">
        <f aca="false">L13-MAX(0,L13)*L14/100</f>
        <v>93802.745990461</v>
      </c>
    </row>
    <row r="16" customFormat="false" ht="15" hidden="false" customHeight="false" outlineLevel="0" collapsed="false">
      <c r="A16" s="0" t="s">
        <v>134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135</v>
      </c>
      <c r="C17" s="4" t="n">
        <f aca="false">-C6*Assumptions!C32/100</f>
        <v>-42506.208</v>
      </c>
      <c r="D17" s="4" t="n">
        <f aca="false">-D6*Assumptions!D32/100</f>
        <v>-40753.512504</v>
      </c>
      <c r="E17" s="4" t="n">
        <f aca="false">-E6*Assumptions!E32/100</f>
        <v>-42791.89770864</v>
      </c>
      <c r="F17" s="4" t="n">
        <f aca="false">-F6*Assumptions!F32/100</f>
        <v>-40438.3433346648</v>
      </c>
      <c r="G17" s="4" t="n">
        <f aca="false">-G6*Assumptions!G32/100</f>
        <v>-37554.1975816667</v>
      </c>
      <c r="H17" s="4" t="n">
        <f aca="false">-H6*Assumptions!H32/100</f>
        <v>-39057.1484077461</v>
      </c>
      <c r="I17" s="4" t="n">
        <f aca="false">-I6*Assumptions!I32/100</f>
        <v>-35549.8003525206</v>
      </c>
      <c r="J17" s="4" t="n">
        <f aca="false">-J6*Assumptions!J32/100</f>
        <v>-36787.398542363</v>
      </c>
      <c r="K17" s="4" t="n">
        <f aca="false">-K6*Assumptions!K32/100</f>
        <v>-32633.2742433971</v>
      </c>
      <c r="L17" s="4" t="n">
        <f aca="false">-L6*Assumptions!L32/100</f>
        <v>-33612.272470699</v>
      </c>
    </row>
    <row r="18" customFormat="false" ht="15" hidden="false" customHeight="false" outlineLevel="0" collapsed="false">
      <c r="A18" s="0" t="s">
        <v>136</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137</v>
      </c>
      <c r="C19" s="0" t="n">
        <f aca="false">C15+C16+C17+C18</f>
        <v>27440.4996</v>
      </c>
      <c r="D19" s="0" t="n">
        <f aca="false">D15+D16+D17+D18</f>
        <v>31641.329862</v>
      </c>
      <c r="E19" s="0" t="n">
        <f aca="false">E15+E16+E17+E18</f>
        <v>33109.8636447</v>
      </c>
      <c r="F19" s="0" t="n">
        <f aca="false">F15+F16+F17+F18</f>
        <v>38119.9796660421</v>
      </c>
      <c r="G19" s="0" t="n">
        <f aca="false">G15+G16+G17+G18</f>
        <v>43360.8751090614</v>
      </c>
      <c r="H19" s="0" t="n">
        <f aca="false">H15+H16+H17+H18</f>
        <v>44285.3764637039</v>
      </c>
      <c r="I19" s="0" t="n">
        <f aca="false">I15+I16+I17+I18</f>
        <v>50293.0002650729</v>
      </c>
      <c r="J19" s="0" t="n">
        <f aca="false">J15+J16+J17+J18</f>
        <v>51630.6860937583</v>
      </c>
      <c r="K19" s="0" t="n">
        <f aca="false">K15+K16+K17+K18</f>
        <v>58437.3529318078</v>
      </c>
      <c r="L19" s="0" t="n">
        <f aca="false">L15+L16+L17+L18</f>
        <v>60190.4735197621</v>
      </c>
    </row>
    <row r="20" customFormat="false" ht="15" hidden="false" customHeight="false" outlineLevel="0" collapsed="false">
      <c r="A20" s="0" t="s">
        <v>138</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139</v>
      </c>
      <c r="C21" s="0" t="n">
        <f aca="false">C19*C20</f>
        <v>24833.0313122172</v>
      </c>
      <c r="D21" s="0" t="n">
        <f aca="false">D19*D20</f>
        <v>25913.7444868041</v>
      </c>
      <c r="E21" s="0" t="n">
        <f aca="false">E19*E20</f>
        <v>24539.7739657385</v>
      </c>
      <c r="F21" s="0" t="n">
        <f aca="false">F19*F20</f>
        <v>25568.3997819051</v>
      </c>
      <c r="G21" s="0" t="n">
        <f aca="false">G19*G20</f>
        <v>26320.0462713003</v>
      </c>
      <c r="H21" s="0" t="n">
        <f aca="false">H19*H20</f>
        <v>24326.894559883</v>
      </c>
      <c r="I21" s="0" t="n">
        <f aca="false">I19*I20</f>
        <v>25001.8185167809</v>
      </c>
      <c r="J21" s="0" t="n">
        <f aca="false">J19*J20</f>
        <v>23227.8852586189</v>
      </c>
      <c r="K21" s="0" t="n">
        <f aca="false">K19*K20</f>
        <v>23791.9497019938</v>
      </c>
      <c r="L21" s="0" t="n">
        <f aca="false">L19*L20</f>
        <v>22177.1114869264</v>
      </c>
    </row>
    <row r="23" customFormat="false" ht="15" hidden="false" customHeight="false" outlineLevel="0" collapsed="false">
      <c r="A23" s="0" t="s">
        <v>115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141</v>
      </c>
    </row>
    <row r="27" customFormat="false" ht="15" hidden="false" customHeight="false" outlineLevel="0" collapsed="false">
      <c r="A27" s="0" t="s">
        <v>119</v>
      </c>
      <c r="B27" s="4" t="n">
        <f aca="false">Assumptions!$B$34</f>
        <v>10.5</v>
      </c>
    </row>
    <row r="28" customFormat="false" ht="15" hidden="false" customHeight="false" outlineLevel="0" collapsed="false">
      <c r="A28" s="0" t="s">
        <v>120</v>
      </c>
      <c r="B28" s="4" t="n">
        <f aca="false">Assumptions!$B$35</f>
        <v>3</v>
      </c>
    </row>
    <row r="29" customFormat="false" ht="15" hidden="false" customHeight="false" outlineLevel="0" collapsed="false">
      <c r="A29" s="0" t="s">
        <v>121</v>
      </c>
      <c r="B29" s="4" t="n">
        <f aca="false">Assumptions!$B$36</f>
        <v>18</v>
      </c>
    </row>
    <row r="30" customFormat="false" ht="15" hidden="false" customHeight="false" outlineLevel="0" collapsed="false">
      <c r="A30" s="0" t="s">
        <v>142</v>
      </c>
      <c r="B30" s="0" t="n">
        <f aca="false">SUM(C21:L21)</f>
        <v>245700.655342168</v>
      </c>
    </row>
    <row r="31" customFormat="false" ht="15" hidden="false" customHeight="false" outlineLevel="0" collapsed="false">
      <c r="A31" s="0" t="s">
        <v>143</v>
      </c>
      <c r="B31" s="0" t="n">
        <f aca="false">L19</f>
        <v>60190.4735197621</v>
      </c>
    </row>
    <row r="32" customFormat="false" ht="15" hidden="false" customHeight="false" outlineLevel="0" collapsed="false">
      <c r="A32" s="0" t="s">
        <v>144</v>
      </c>
      <c r="B32" s="0" t="n">
        <f aca="false">IF(B27&gt;B28,B31*(1+B28/100)/((B27-B28)/100),B31*B29)</f>
        <v>826615.836338065</v>
      </c>
    </row>
    <row r="33" customFormat="false" ht="15" hidden="false" customHeight="false" outlineLevel="0" collapsed="false">
      <c r="A33" s="0" t="s">
        <v>145</v>
      </c>
      <c r="B33" s="0" t="n">
        <f aca="false">B31*B29</f>
        <v>1083428.52335572</v>
      </c>
    </row>
    <row r="34" customFormat="false" ht="15" hidden="false" customHeight="false" outlineLevel="0" collapsed="false">
      <c r="A34" s="0" t="s">
        <v>146</v>
      </c>
      <c r="B34" s="0" t="n">
        <f aca="false">MAX(0,MIN(B32,B33))</f>
        <v>826615.836338065</v>
      </c>
    </row>
    <row r="35" customFormat="false" ht="15" hidden="false" customHeight="false" outlineLevel="0" collapsed="false">
      <c r="A35" s="0" t="s">
        <v>147</v>
      </c>
      <c r="B35" s="0" t="n">
        <f aca="false">B34/(1+B27/100)^L4</f>
        <v>304565.664420455</v>
      </c>
    </row>
    <row r="36" customFormat="false" ht="15" hidden="false" customHeight="false" outlineLevel="0" collapsed="false">
      <c r="A36" s="0" t="s">
        <v>148</v>
      </c>
      <c r="B36" s="0" t="n">
        <f aca="false">B30+B35</f>
        <v>550266.319762623</v>
      </c>
    </row>
    <row r="37" customFormat="false" ht="15" hidden="false" customHeight="false" outlineLevel="0" collapsed="false">
      <c r="A37" s="0" t="s">
        <v>149</v>
      </c>
      <c r="B37" s="0" t="n">
        <f aca="false">B36+Assumptions!$B$5-Assumptions!$B$4</f>
        <v>550266.319762623</v>
      </c>
    </row>
    <row r="38" customFormat="false" ht="15" hidden="false" customHeight="false" outlineLevel="0" collapsed="false">
      <c r="A38" s="0" t="s">
        <v>150</v>
      </c>
      <c r="B38" s="0" t="n">
        <f aca="false">B37/Assumptions!$B$3*Assumptions!$B$10</f>
        <v>11.5907476573595</v>
      </c>
    </row>
    <row r="39" customFormat="false" ht="15" hidden="false" customHeight="false" outlineLevel="0" collapsed="false">
      <c r="A39" s="0" t="s">
        <v>151</v>
      </c>
      <c r="B39" s="4" t="n">
        <f aca="false">B38/Assumptions!$B$2-1</f>
        <v>0.374125389135688</v>
      </c>
    </row>
    <row r="41" customFormat="false" ht="15" hidden="false" customHeight="false" outlineLevel="0" collapsed="false">
      <c r="A41" s="0" t="s">
        <v>152</v>
      </c>
      <c r="B41" s="0" t="n">
        <f aca="false">SUMPRODUCT(-C10:L10/(1+$B$27/100)^C4:L4)</f>
        <v>0</v>
      </c>
    </row>
    <row r="42" customFormat="false" ht="15" hidden="false" customHeight="false" outlineLevel="0" collapsed="false">
      <c r="A42" s="0" t="s">
        <v>153</v>
      </c>
      <c r="B42" s="0" t="n">
        <f aca="false">IF(B27&gt;B28,-L10*(1+B28/100)/((B27-B28)/100),-L10*20)/(1+B27/100)^L4</f>
        <v>0</v>
      </c>
    </row>
    <row r="43" customFormat="false" ht="15" hidden="false" customHeight="false" outlineLevel="0" collapsed="false">
      <c r="A43" s="0" t="s">
        <v>154</v>
      </c>
      <c r="B43" s="0" t="n">
        <f aca="false">(B37+B41+B42)/Assumptions!$B$3*Assumptions!$B$10</f>
        <v>11.5907476573595</v>
      </c>
    </row>
    <row r="45" customFormat="false" ht="15" hidden="false" customHeight="false" outlineLevel="0" collapsed="false">
      <c r="A45" s="0" t="s">
        <v>94</v>
      </c>
      <c r="B45" s="4" t="n">
        <f aca="false">Assumptions!$B$6</f>
        <v>15</v>
      </c>
    </row>
    <row r="46" customFormat="false" ht="15" hidden="false" customHeight="false" outlineLevel="0" collapsed="false">
      <c r="A46" s="0" t="s">
        <v>155</v>
      </c>
      <c r="B46" s="0" t="n">
        <f aca="false">MAX(0,MIN(IF(B45&gt;B28,B31*(1+B28/100)/((B45-B28)/100),B31*B29),B31*B29))</f>
        <v>516634.897711291</v>
      </c>
    </row>
    <row r="47" customFormat="false" ht="15" hidden="false" customHeight="false" outlineLevel="0" collapsed="false">
      <c r="A47" s="0" t="s">
        <v>156</v>
      </c>
      <c r="B47" s="0" t="n">
        <f aca="false">(SUMPRODUCT(C19:L19/(1+B45/100)^C4:L4)+B46/(1+B45/100)^L4+Assumptions!$B$5-Assumptions!$B$4)/Assumptions!$B$3*Assumptions!$B$10</f>
        <v>6.88863077583918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158</v>
      </c>
    </row>
    <row r="3" customFormat="false" ht="15" hidden="false" customHeight="false" outlineLevel="0" collapsed="false">
      <c r="A3" s="0" t="s">
        <v>127</v>
      </c>
      <c r="B3" s="0" t="s">
        <v>97</v>
      </c>
      <c r="C3" s="2" t="s">
        <v>102</v>
      </c>
      <c r="D3" s="2" t="s">
        <v>103</v>
      </c>
      <c r="E3" s="2" t="s">
        <v>104</v>
      </c>
      <c r="F3" s="2" t="s">
        <v>105</v>
      </c>
      <c r="G3" s="2" t="s">
        <v>106</v>
      </c>
      <c r="H3" s="2" t="s">
        <v>107</v>
      </c>
      <c r="I3" s="2" t="s">
        <v>108</v>
      </c>
      <c r="J3" s="2" t="s">
        <v>109</v>
      </c>
      <c r="K3" s="2" t="s">
        <v>110</v>
      </c>
      <c r="L3" s="2" t="s">
        <v>111</v>
      </c>
    </row>
    <row r="4" customFormat="false" ht="15" hidden="false" customHeight="false" outlineLevel="0" collapsed="false">
      <c r="A4" s="0" t="s">
        <v>128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112</v>
      </c>
      <c r="C5" s="4" t="n">
        <f aca="false">Assumptions!C41</f>
        <v>4.5</v>
      </c>
      <c r="D5" s="4" t="n">
        <f aca="false">Assumptions!D41</f>
        <v>4.5</v>
      </c>
      <c r="E5" s="4" t="n">
        <f aca="false">Assumptions!E41</f>
        <v>4</v>
      </c>
      <c r="F5" s="4" t="n">
        <f aca="false">Assumptions!F41</f>
        <v>4</v>
      </c>
      <c r="G5" s="4" t="n">
        <f aca="false">Assumptions!G41</f>
        <v>4</v>
      </c>
      <c r="H5" s="4" t="n">
        <f aca="false">Assumptions!H41</f>
        <v>3.5</v>
      </c>
      <c r="I5" s="4" t="n">
        <f aca="false">Assumptions!I41</f>
        <v>3.5</v>
      </c>
      <c r="J5" s="4" t="n">
        <f aca="false">Assumptions!J41</f>
        <v>3.5</v>
      </c>
      <c r="K5" s="4" t="n">
        <f aca="false">Assumptions!K41</f>
        <v>3.5</v>
      </c>
      <c r="L5" s="4" t="n">
        <f aca="false">Assumptions!L41</f>
        <v>3.5</v>
      </c>
    </row>
    <row r="6" customFormat="false" ht="15" hidden="false" customHeight="false" outlineLevel="0" collapsed="false">
      <c r="A6" s="0" t="s">
        <v>38</v>
      </c>
      <c r="B6" s="3" t="n">
        <v>220800</v>
      </c>
      <c r="C6" s="0" t="n">
        <f aca="false">B6*(1+C5/100)</f>
        <v>230736</v>
      </c>
      <c r="D6" s="0" t="n">
        <f aca="false">C6*(1+D5/100)</f>
        <v>241119.12</v>
      </c>
      <c r="E6" s="0" t="n">
        <f aca="false">D6*(1+E5/100)</f>
        <v>250763.8848</v>
      </c>
      <c r="F6" s="0" t="n">
        <f aca="false">E6*(1+F5/100)</f>
        <v>260794.440192</v>
      </c>
      <c r="G6" s="0" t="n">
        <f aca="false">F6*(1+G5/100)</f>
        <v>271226.21779968</v>
      </c>
      <c r="H6" s="0" t="n">
        <f aca="false">G6*(1+H5/100)</f>
        <v>280719.135422669</v>
      </c>
      <c r="I6" s="0" t="n">
        <f aca="false">H6*(1+I5/100)</f>
        <v>290544.305162462</v>
      </c>
      <c r="J6" s="0" t="n">
        <f aca="false">I6*(1+J5/100)</f>
        <v>300713.355843148</v>
      </c>
      <c r="K6" s="0" t="n">
        <f aca="false">J6*(1+K5/100)</f>
        <v>311238.323297658</v>
      </c>
      <c r="L6" s="0" t="n">
        <f aca="false">K6*(1+L5/100)</f>
        <v>322131.664613077</v>
      </c>
    </row>
    <row r="7" customFormat="false" ht="15" hidden="false" customHeight="false" outlineLevel="0" collapsed="false">
      <c r="A7" s="0" t="s">
        <v>113</v>
      </c>
      <c r="C7" s="4" t="n">
        <f aca="false">Assumptions!C42</f>
        <v>40</v>
      </c>
      <c r="D7" s="4" t="n">
        <f aca="false">Assumptions!D42</f>
        <v>41</v>
      </c>
      <c r="E7" s="4" t="n">
        <f aca="false">Assumptions!E42</f>
        <v>41.5</v>
      </c>
      <c r="F7" s="4" t="n">
        <f aca="false">Assumptions!F42</f>
        <v>42</v>
      </c>
      <c r="G7" s="4" t="n">
        <f aca="false">Assumptions!G42</f>
        <v>42</v>
      </c>
      <c r="H7" s="4" t="n">
        <f aca="false">Assumptions!H42</f>
        <v>42</v>
      </c>
      <c r="I7" s="4" t="n">
        <f aca="false">Assumptions!I42</f>
        <v>42</v>
      </c>
      <c r="J7" s="4" t="n">
        <f aca="false">Assumptions!J42</f>
        <v>42</v>
      </c>
      <c r="K7" s="4" t="n">
        <f aca="false">Assumptions!K42</f>
        <v>42</v>
      </c>
      <c r="L7" s="4" t="n">
        <f aca="false">Assumptions!L42</f>
        <v>42</v>
      </c>
    </row>
    <row r="8" customFormat="false" ht="15" hidden="false" customHeight="false" outlineLevel="0" collapsed="false">
      <c r="A8" s="0" t="s">
        <v>44</v>
      </c>
      <c r="C8" s="0" t="n">
        <f aca="false">C6*C7/100</f>
        <v>92294.4</v>
      </c>
      <c r="D8" s="0" t="n">
        <f aca="false">D6*D7/100</f>
        <v>98858.8392</v>
      </c>
      <c r="E8" s="0" t="n">
        <f aca="false">E6*E7/100</f>
        <v>104067.012192</v>
      </c>
      <c r="F8" s="0" t="n">
        <f aca="false">F6*F7/100</f>
        <v>109533.66488064</v>
      </c>
      <c r="G8" s="0" t="n">
        <f aca="false">G6*G7/100</f>
        <v>113915.011475866</v>
      </c>
      <c r="H8" s="0" t="n">
        <f aca="false">H6*H7/100</f>
        <v>117902.036877521</v>
      </c>
      <c r="I8" s="0" t="n">
        <f aca="false">I6*I7/100</f>
        <v>122028.608168234</v>
      </c>
      <c r="J8" s="0" t="n">
        <f aca="false">J6*J7/100</f>
        <v>126299.609454122</v>
      </c>
      <c r="K8" s="0" t="n">
        <f aca="false">K6*K7/100</f>
        <v>130720.095785017</v>
      </c>
      <c r="L8" s="0" t="n">
        <f aca="false">L6*L7/100</f>
        <v>135295.299137492</v>
      </c>
    </row>
    <row r="9" customFormat="false" ht="15" hidden="false" customHeight="false" outlineLevel="0" collapsed="false">
      <c r="A9" s="0" t="s">
        <v>114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130</v>
      </c>
      <c r="C11" s="0" t="n">
        <f aca="false">C8+C10+C24</f>
        <v>92294.4</v>
      </c>
      <c r="D11" s="0" t="n">
        <f aca="false">D8+D10+D24</f>
        <v>98858.8392</v>
      </c>
      <c r="E11" s="0" t="n">
        <f aca="false">E8+E10+E24</f>
        <v>104067.012192</v>
      </c>
      <c r="F11" s="0" t="n">
        <f aca="false">F8+F10+F24</f>
        <v>109533.66488064</v>
      </c>
      <c r="G11" s="0" t="n">
        <f aca="false">G8+G10+G24</f>
        <v>113915.011475866</v>
      </c>
      <c r="H11" s="0" t="n">
        <f aca="false">H8+H10+H24</f>
        <v>117902.036877521</v>
      </c>
      <c r="I11" s="0" t="n">
        <f aca="false">I8+I10+I24</f>
        <v>122028.608168234</v>
      </c>
      <c r="J11" s="0" t="n">
        <f aca="false">J8+J10+J24</f>
        <v>126299.609454122</v>
      </c>
      <c r="K11" s="0" t="n">
        <f aca="false">K8+K10+K24</f>
        <v>130720.095785017</v>
      </c>
      <c r="L11" s="0" t="n">
        <f aca="false">L8+L10+L24</f>
        <v>135295.299137492</v>
      </c>
    </row>
    <row r="12" customFormat="false" ht="15" hidden="false" customHeight="false" outlineLevel="0" collapsed="false">
      <c r="A12" s="0" t="s">
        <v>131</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132</v>
      </c>
      <c r="C13" s="0" t="n">
        <f aca="false">C11+C12</f>
        <v>92294.4</v>
      </c>
      <c r="D13" s="0" t="n">
        <f aca="false">D11+D12</f>
        <v>98858.8392</v>
      </c>
      <c r="E13" s="0" t="n">
        <f aca="false">E11+E12</f>
        <v>104067.012192</v>
      </c>
      <c r="F13" s="0" t="n">
        <f aca="false">F11+F12</f>
        <v>109533.66488064</v>
      </c>
      <c r="G13" s="0" t="n">
        <f aca="false">G11+G12</f>
        <v>113915.011475866</v>
      </c>
      <c r="H13" s="0" t="n">
        <f aca="false">H11+H12</f>
        <v>117902.036877521</v>
      </c>
      <c r="I13" s="0" t="n">
        <f aca="false">I11+I12</f>
        <v>122028.608168234</v>
      </c>
      <c r="J13" s="0" t="n">
        <f aca="false">J11+J12</f>
        <v>126299.609454122</v>
      </c>
      <c r="K13" s="0" t="n">
        <f aca="false">K11+K12</f>
        <v>130720.095785017</v>
      </c>
      <c r="L13" s="0" t="n">
        <f aca="false">L11+L12</f>
        <v>135295.299137492</v>
      </c>
    </row>
    <row r="14" customFormat="false" ht="15" hidden="false" customHeight="false" outlineLevel="0" collapsed="false">
      <c r="A14" s="0" t="s">
        <v>118</v>
      </c>
      <c r="C14" s="4" t="n">
        <f aca="false">Assumptions!C47</f>
        <v>20</v>
      </c>
      <c r="D14" s="4" t="n">
        <f aca="false">Assumptions!D47</f>
        <v>20</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133</v>
      </c>
      <c r="C15" s="0" t="n">
        <f aca="false">C13-MAX(0,C13)*C14/100</f>
        <v>73835.52</v>
      </c>
      <c r="D15" s="0" t="n">
        <f aca="false">D13-MAX(0,D13)*D14/100</f>
        <v>79087.07136</v>
      </c>
      <c r="E15" s="0" t="n">
        <f aca="false">E13-MAX(0,E13)*E14/100</f>
        <v>83253.6097536</v>
      </c>
      <c r="F15" s="0" t="n">
        <f aca="false">F13-MAX(0,F13)*F14/100</f>
        <v>87626.931904512</v>
      </c>
      <c r="G15" s="0" t="n">
        <f aca="false">G13-MAX(0,G13)*G14/100</f>
        <v>91132.0091806925</v>
      </c>
      <c r="H15" s="0" t="n">
        <f aca="false">H13-MAX(0,H13)*H14/100</f>
        <v>94321.6295020167</v>
      </c>
      <c r="I15" s="0" t="n">
        <f aca="false">I13-MAX(0,I13)*I14/100</f>
        <v>97622.8865345873</v>
      </c>
      <c r="J15" s="0" t="n">
        <f aca="false">J13-MAX(0,J13)*J14/100</f>
        <v>101039.687563298</v>
      </c>
      <c r="K15" s="0" t="n">
        <f aca="false">K13-MAX(0,K13)*K14/100</f>
        <v>104576.076628013</v>
      </c>
      <c r="L15" s="0" t="n">
        <f aca="false">L13-MAX(0,L13)*L14/100</f>
        <v>108236.239309994</v>
      </c>
    </row>
    <row r="16" customFormat="false" ht="15" hidden="false" customHeight="false" outlineLevel="0" collapsed="false">
      <c r="A16" s="0" t="s">
        <v>134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135</v>
      </c>
      <c r="C17" s="4" t="n">
        <f aca="false">-C6*Assumptions!C46/100</f>
        <v>-38625.2064</v>
      </c>
      <c r="D17" s="4" t="n">
        <f aca="false">-D6*Assumptions!D46/100</f>
        <v>-36505.434768</v>
      </c>
      <c r="E17" s="4" t="n">
        <f aca="false">-E6*Assumptions!E46/100</f>
        <v>-33903.27722496</v>
      </c>
      <c r="F17" s="4" t="n">
        <f aca="false">-F6*Assumptions!F46/100</f>
        <v>-35259.4083139584</v>
      </c>
      <c r="G17" s="4" t="n">
        <f aca="false">-G6*Assumptions!G46/100</f>
        <v>-32086.0615657021</v>
      </c>
      <c r="H17" s="4" t="n">
        <f aca="false">-H6*Assumptions!H46/100</f>
        <v>-33209.0737205017</v>
      </c>
      <c r="I17" s="4" t="n">
        <f aca="false">-I6*Assumptions!I46/100</f>
        <v>-34371.3913007193</v>
      </c>
      <c r="J17" s="4" t="n">
        <f aca="false">-J6*Assumptions!J46/100</f>
        <v>-35574.3899962445</v>
      </c>
      <c r="K17" s="4" t="n">
        <f aca="false">-K6*Assumptions!K46/100</f>
        <v>-36819.493646113</v>
      </c>
      <c r="L17" s="4" t="n">
        <f aca="false">-L6*Assumptions!L46/100</f>
        <v>-38108.175923727</v>
      </c>
    </row>
    <row r="18" customFormat="false" ht="15" hidden="false" customHeight="false" outlineLevel="0" collapsed="false">
      <c r="A18" s="0" t="s">
        <v>136</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137</v>
      </c>
      <c r="C19" s="0" t="n">
        <f aca="false">C15+C16+C17+C18</f>
        <v>35210.3136</v>
      </c>
      <c r="D19" s="0" t="n">
        <f aca="false">D15+D16+D17+D18</f>
        <v>42581.636592</v>
      </c>
      <c r="E19" s="0" t="n">
        <f aca="false">E15+E16+E17+E18</f>
        <v>49350.33252864</v>
      </c>
      <c r="F19" s="0" t="n">
        <f aca="false">F15+F16+F17+F18</f>
        <v>52367.5235905536</v>
      </c>
      <c r="G19" s="0" t="n">
        <f aca="false">G15+G16+G17+G18</f>
        <v>59045.9476149903</v>
      </c>
      <c r="H19" s="0" t="n">
        <f aca="false">H15+H16+H17+H18</f>
        <v>61112.555781515</v>
      </c>
      <c r="I19" s="0" t="n">
        <f aca="false">I15+I16+I17+I18</f>
        <v>63251.495233868</v>
      </c>
      <c r="J19" s="0" t="n">
        <f aca="false">J15+J16+J17+J18</f>
        <v>65465.2975670534</v>
      </c>
      <c r="K19" s="0" t="n">
        <f aca="false">K15+K16+K17+K18</f>
        <v>67756.5829819003</v>
      </c>
      <c r="L19" s="0" t="n">
        <f aca="false">L15+L16+L17+L18</f>
        <v>70128.0633862667</v>
      </c>
    </row>
    <row r="20" customFormat="false" ht="15" hidden="false" customHeight="false" outlineLevel="0" collapsed="false">
      <c r="A20" s="0" t="s">
        <v>138</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139</v>
      </c>
      <c r="C21" s="0" t="n">
        <f aca="false">C19*C20</f>
        <v>31864.5371945701</v>
      </c>
      <c r="D21" s="0" t="n">
        <f aca="false">D19*D20</f>
        <v>34873.6812039066</v>
      </c>
      <c r="E21" s="0" t="n">
        <f aca="false">E19*E20</f>
        <v>36576.5929567853</v>
      </c>
      <c r="F21" s="0" t="n">
        <f aca="false">F19*F20</f>
        <v>35124.7243697872</v>
      </c>
      <c r="G21" s="0" t="n">
        <f aca="false">G19*G20</f>
        <v>35840.8835027076</v>
      </c>
      <c r="H21" s="0" t="n">
        <f aca="false">H19*H20</f>
        <v>33570.4202943913</v>
      </c>
      <c r="I21" s="0" t="n">
        <f aca="false">I19*I20</f>
        <v>31443.7873345656</v>
      </c>
      <c r="J21" s="0" t="n">
        <f aca="false">J19*J20</f>
        <v>29451.8732047741</v>
      </c>
      <c r="K21" s="0" t="n">
        <f aca="false">K19*K20</f>
        <v>27586.1436804898</v>
      </c>
      <c r="L21" s="0" t="n">
        <f aca="false">L19*L20</f>
        <v>25838.6051667936</v>
      </c>
    </row>
    <row r="23" customFormat="false" ht="15" hidden="false" customHeight="false" outlineLevel="0" collapsed="false">
      <c r="A23" s="0" t="s">
        <v>115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141</v>
      </c>
    </row>
    <row r="27" customFormat="false" ht="15" hidden="false" customHeight="false" outlineLevel="0" collapsed="false">
      <c r="A27" s="0" t="s">
        <v>119</v>
      </c>
      <c r="B27" s="4" t="n">
        <f aca="false">Assumptions!$B$48</f>
        <v>10.5</v>
      </c>
    </row>
    <row r="28" customFormat="false" ht="15" hidden="false" customHeight="false" outlineLevel="0" collapsed="false">
      <c r="A28" s="0" t="s">
        <v>120</v>
      </c>
      <c r="B28" s="4" t="n">
        <f aca="false">Assumptions!$B$49</f>
        <v>3.5</v>
      </c>
    </row>
    <row r="29" customFormat="false" ht="15" hidden="false" customHeight="false" outlineLevel="0" collapsed="false">
      <c r="A29" s="0" t="s">
        <v>121</v>
      </c>
      <c r="B29" s="4" t="n">
        <f aca="false">Assumptions!$B$50</f>
        <v>18</v>
      </c>
    </row>
    <row r="30" customFormat="false" ht="15" hidden="false" customHeight="false" outlineLevel="0" collapsed="false">
      <c r="A30" s="0" t="s">
        <v>142</v>
      </c>
      <c r="B30" s="0" t="n">
        <f aca="false">SUM(C21:L21)</f>
        <v>322171.248908771</v>
      </c>
    </row>
    <row r="31" customFormat="false" ht="15" hidden="false" customHeight="false" outlineLevel="0" collapsed="false">
      <c r="A31" s="0" t="s">
        <v>143</v>
      </c>
      <c r="B31" s="0" t="n">
        <f aca="false">L19</f>
        <v>70128.0633862667</v>
      </c>
    </row>
    <row r="32" customFormat="false" ht="15" hidden="false" customHeight="false" outlineLevel="0" collapsed="false">
      <c r="A32" s="0" t="s">
        <v>144</v>
      </c>
      <c r="B32" s="0" t="n">
        <f aca="false">IF(B27&gt;B28,B31*(1+B28/100)/((B27-B28)/100),B31*B29)</f>
        <v>1036893.5086398</v>
      </c>
    </row>
    <row r="33" customFormat="false" ht="15" hidden="false" customHeight="false" outlineLevel="0" collapsed="false">
      <c r="A33" s="0" t="s">
        <v>145</v>
      </c>
      <c r="B33" s="0" t="n">
        <f aca="false">B31*B29</f>
        <v>1262305.1409528</v>
      </c>
    </row>
    <row r="34" customFormat="false" ht="15" hidden="false" customHeight="false" outlineLevel="0" collapsed="false">
      <c r="A34" s="0" t="s">
        <v>146</v>
      </c>
      <c r="B34" s="0" t="n">
        <f aca="false">MAX(0,MIN(B32,B33))</f>
        <v>1036893.5086398</v>
      </c>
    </row>
    <row r="35" customFormat="false" ht="15" hidden="false" customHeight="false" outlineLevel="0" collapsed="false">
      <c r="A35" s="0" t="s">
        <v>147</v>
      </c>
      <c r="B35" s="0" t="n">
        <f aca="false">B34/(1+B27/100)^L4</f>
        <v>382042.233537591</v>
      </c>
    </row>
    <row r="36" customFormat="false" ht="15" hidden="false" customHeight="false" outlineLevel="0" collapsed="false">
      <c r="A36" s="0" t="s">
        <v>148</v>
      </c>
      <c r="B36" s="0" t="n">
        <f aca="false">B30+B35</f>
        <v>704213.482446362</v>
      </c>
    </row>
    <row r="37" customFormat="false" ht="15" hidden="false" customHeight="false" outlineLevel="0" collapsed="false">
      <c r="A37" s="0" t="s">
        <v>149</v>
      </c>
      <c r="B37" s="0" t="n">
        <f aca="false">B36+Assumptions!$B$5-Assumptions!$B$4</f>
        <v>704213.482446362</v>
      </c>
    </row>
    <row r="38" customFormat="false" ht="15" hidden="false" customHeight="false" outlineLevel="0" collapsed="false">
      <c r="A38" s="0" t="s">
        <v>150</v>
      </c>
      <c r="B38" s="0" t="n">
        <f aca="false">B37/Assumptions!$B$3*Assumptions!$B$10</f>
        <v>14.833473317915</v>
      </c>
    </row>
    <row r="39" customFormat="false" ht="15" hidden="false" customHeight="false" outlineLevel="0" collapsed="false">
      <c r="A39" s="0" t="s">
        <v>151</v>
      </c>
      <c r="B39" s="4" t="n">
        <f aca="false">B38/Assumptions!$B$2-1</f>
        <v>0.758562337630706</v>
      </c>
    </row>
    <row r="41" customFormat="false" ht="15" hidden="false" customHeight="false" outlineLevel="0" collapsed="false">
      <c r="A41" s="0" t="s">
        <v>152</v>
      </c>
      <c r="B41" s="0" t="n">
        <f aca="false">SUMPRODUCT(-C10:L10/(1+$B$27/100)^C4:L4)</f>
        <v>0</v>
      </c>
    </row>
    <row r="42" customFormat="false" ht="15" hidden="false" customHeight="false" outlineLevel="0" collapsed="false">
      <c r="A42" s="0" t="s">
        <v>153</v>
      </c>
      <c r="B42" s="0" t="n">
        <f aca="false">IF(B27&gt;B28,-L10*(1+B28/100)/((B27-B28)/100),-L10*20)/(1+B27/100)^L4</f>
        <v>0</v>
      </c>
    </row>
    <row r="43" customFormat="false" ht="15" hidden="false" customHeight="false" outlineLevel="0" collapsed="false">
      <c r="A43" s="0" t="s">
        <v>154</v>
      </c>
      <c r="B43" s="0" t="n">
        <f aca="false">(B37+B41+B42)/Assumptions!$B$3*Assumptions!$B$10</f>
        <v>14.833473317915</v>
      </c>
    </row>
    <row r="45" customFormat="false" ht="15" hidden="false" customHeight="false" outlineLevel="0" collapsed="false">
      <c r="A45" s="0" t="s">
        <v>94</v>
      </c>
      <c r="B45" s="4" t="n">
        <f aca="false">Assumptions!$B$6</f>
        <v>15</v>
      </c>
    </row>
    <row r="46" customFormat="false" ht="15" hidden="false" customHeight="false" outlineLevel="0" collapsed="false">
      <c r="A46" s="0" t="s">
        <v>155</v>
      </c>
      <c r="B46" s="0" t="n">
        <f aca="false">MAX(0,MIN(IF(B45&gt;B28,B31*(1+B28/100)/((B45-B28)/100),B31*B29),B31*B29))</f>
        <v>631152.570476401</v>
      </c>
    </row>
    <row r="47" customFormat="false" ht="15" hidden="false" customHeight="false" outlineLevel="0" collapsed="false">
      <c r="A47" s="0" t="s">
        <v>156</v>
      </c>
      <c r="B47" s="0" t="n">
        <f aca="false">(SUMPRODUCT(C19:L19/(1+B45/100)^C4:L4)+B46/(1+B45/100)^L4+Assumptions!$B$5-Assumptions!$B$4)/Assumptions!$B$3*Assumptions!$B$10</f>
        <v>8.82088525699481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159</v>
      </c>
    </row>
    <row r="3" customFormat="false" ht="15" hidden="false" customHeight="false" outlineLevel="0" collapsed="false">
      <c r="A3" s="2" t="s">
        <v>160</v>
      </c>
      <c r="B3" s="2" t="s">
        <v>161</v>
      </c>
      <c r="C3" s="2" t="s">
        <v>151</v>
      </c>
      <c r="D3" s="2" t="s">
        <v>162</v>
      </c>
      <c r="E3" s="2" t="s">
        <v>154</v>
      </c>
      <c r="F3" s="2" t="s">
        <v>163</v>
      </c>
    </row>
    <row r="4" customFormat="false" ht="15" hidden="false" customHeight="false" outlineLevel="0" collapsed="false">
      <c r="A4" s="0" t="s">
        <v>164</v>
      </c>
      <c r="B4" s="4" t="n">
        <f aca="false">DCF_Bear!$B$38</f>
        <v>6.0460668114873</v>
      </c>
      <c r="C4" s="0" t="n">
        <f aca="false">B4/Assumptions!$B$2-1</f>
        <v>-0.283216738412887</v>
      </c>
      <c r="D4" s="4" t="n">
        <f aca="false">Assumptions!$B$24</f>
        <v>0.35</v>
      </c>
      <c r="E4" s="4" t="n">
        <f aca="false">DCF_Bear!$B$43</f>
        <v>6.0460668114873</v>
      </c>
      <c r="F4" s="4" t="n">
        <f aca="false">DCF_Bear!$B$47</f>
        <v>3.33054449169188</v>
      </c>
    </row>
    <row r="5" customFormat="false" ht="15" hidden="false" customHeight="false" outlineLevel="0" collapsed="false">
      <c r="A5" s="0" t="s">
        <v>165</v>
      </c>
      <c r="B5" s="4" t="n">
        <f aca="false">DCF_Base!$B$38</f>
        <v>11.5907476573595</v>
      </c>
      <c r="C5" s="0" t="n">
        <f aca="false">B5/Assumptions!$B$2-1</f>
        <v>0.374125389135688</v>
      </c>
      <c r="D5" s="4" t="n">
        <f aca="false">Assumptions!$B$38</f>
        <v>0.45</v>
      </c>
      <c r="E5" s="4" t="n">
        <f aca="false">DCF_Base!$B$43</f>
        <v>11.5907476573595</v>
      </c>
      <c r="F5" s="4" t="n">
        <f aca="false">DCF_Base!$B$47</f>
        <v>6.88863077583918</v>
      </c>
    </row>
    <row r="6" customFormat="false" ht="15" hidden="false" customHeight="false" outlineLevel="0" collapsed="false">
      <c r="A6" s="0" t="s">
        <v>166</v>
      </c>
      <c r="B6" s="4" t="n">
        <f aca="false">DCF_Bull!$B$38</f>
        <v>14.833473317915</v>
      </c>
      <c r="C6" s="0" t="n">
        <f aca="false">B6/Assumptions!$B$2-1</f>
        <v>0.758562337630706</v>
      </c>
      <c r="D6" s="4" t="n">
        <f aca="false">Assumptions!$B$52</f>
        <v>0.2</v>
      </c>
      <c r="E6" s="4" t="n">
        <f aca="false">DCF_Bull!$B$43</f>
        <v>14.833473317915</v>
      </c>
      <c r="F6" s="4" t="n">
        <f aca="false">DCF_Bull!$B$47</f>
        <v>8.82088525699481</v>
      </c>
    </row>
    <row r="8" customFormat="false" ht="15" hidden="false" customHeight="false" outlineLevel="0" collapsed="false">
      <c r="A8" s="0" t="s">
        <v>167</v>
      </c>
      <c r="B8" s="0" t="n">
        <f aca="false">SUMPRODUCT(B4:B6,D4:D6)</f>
        <v>10.2986544934153</v>
      </c>
    </row>
    <row r="9" customFormat="false" ht="15" hidden="false" customHeight="false" outlineLevel="0" collapsed="false">
      <c r="A9" s="0" t="s">
        <v>168</v>
      </c>
      <c r="B9" s="0" t="n">
        <f aca="false">SUMPRODUCT(E4:E6,D4:D6)</f>
        <v>10.2986544934153</v>
      </c>
    </row>
    <row r="10" customFormat="false" ht="15" hidden="false" customHeight="false" outlineLevel="0" collapsed="false">
      <c r="A10" s="0" t="s">
        <v>169</v>
      </c>
      <c r="B10" s="0" t="n">
        <f aca="false">1-Assumptions!$B$2/B8</f>
        <v>0.180960968698087</v>
      </c>
    </row>
    <row r="11" customFormat="false" ht="15" hidden="false" customHeight="false" outlineLevel="0" collapsed="false">
      <c r="A11" s="0" t="s">
        <v>170</v>
      </c>
      <c r="B11" s="0" t="str">
        <f aca="false">IF(ABS(B9-B8)&gt;0.01*ABS(B8),(Assumptions!$B$2-B8)/(B9-B8)*100,"n/a")</f>
        <v>n/a</v>
      </c>
    </row>
    <row r="12" customFormat="false" ht="15" hidden="false" customHeight="false" outlineLevel="0" collapsed="false">
      <c r="A12" s="0" t="s">
        <v>171</v>
      </c>
      <c r="B12" s="0" t="n">
        <f aca="false">SUMPRODUCT(F4:F6,D4:D6)</f>
        <v>6.02975147261875</v>
      </c>
    </row>
    <row r="14" customFormat="false" ht="15" hidden="false" customHeight="false" outlineLevel="0" collapsed="false">
      <c r="A14" s="2" t="s">
        <v>172</v>
      </c>
      <c r="C14" s="0" t="s">
        <v>173</v>
      </c>
    </row>
    <row r="15" customFormat="false" ht="15" hidden="false" customHeight="false" outlineLevel="0" collapsed="false">
      <c r="A15" s="0" t="s">
        <v>174</v>
      </c>
      <c r="B15" s="0" t="n">
        <f aca="false">(SUMPRODUCT(DCF_Base!$C$19:$L$19/(1+$C$15/100)^DCF_Base!$C$4:$L$4)+MAX(0,MIN(IF($C$15&gt;DCF_Base!$B$28,DCF_Base!$L$19*(1+DCF_Base!$B$28/100)/(($C$15-DCF_Base!$B$28)/100),DCF_Base!$L$19*DCF_Base!$B$29),DCF_Base!$L$19*DCF_Base!$B$29))/(1+$C$15/100)^DCF_Base!$L$4+Assumptions!$B$5-Assumptions!$B$4)/Assumptions!$B$3*Assumptions!$B$10</f>
        <v>14.769692544941</v>
      </c>
      <c r="C15" s="3" t="n">
        <v>9</v>
      </c>
    </row>
    <row r="16" customFormat="false" ht="15" hidden="false" customHeight="false" outlineLevel="0" collapsed="false">
      <c r="A16" s="0" t="s">
        <v>175</v>
      </c>
      <c r="B16" s="0" t="n">
        <f aca="false">(SUMPRODUCT(DCF_Base!$C$19:$L$19/(1+$C$16/100)^DCF_Base!$C$4:$L$4)+MAX(0,MIN(IF($C$16&gt;DCF_Base!$B$28,DCF_Base!$L$19*(1+DCF_Base!$B$28/100)/(($C$16-DCF_Base!$B$28)/100),DCF_Base!$L$19*DCF_Base!$B$29),DCF_Base!$L$19*DCF_Base!$B$29))/(1+$C$16/100)^DCF_Base!$L$4+Assumptions!$B$5-Assumptions!$B$4)/Assumptions!$B$3*Assumptions!$B$10</f>
        <v>12.4966465778724</v>
      </c>
      <c r="C16" s="3" t="n">
        <v>10</v>
      </c>
    </row>
    <row r="17" customFormat="false" ht="15" hidden="false" customHeight="false" outlineLevel="0" collapsed="false">
      <c r="A17" s="0" t="s">
        <v>176</v>
      </c>
      <c r="B17" s="0" t="n">
        <f aca="false">(SUMPRODUCT(DCF_Base!$C$19:$L$19/(1+$C$17/100)^DCF_Base!$C$4:$L$4)+MAX(0,MIN(IF($C$17&gt;DCF_Base!$B$28,DCF_Base!$L$19*(1+DCF_Base!$B$28/100)/(($C$17-DCF_Base!$B$28)/100),DCF_Base!$L$19*DCF_Base!$B$29),DCF_Base!$L$19*DCF_Base!$B$29))/(1+$C$17/100)^DCF_Base!$L$4+Assumptions!$B$5-Assumptions!$B$4)/Assumptions!$B$3*Assumptions!$B$10</f>
        <v>11.5907476573595</v>
      </c>
      <c r="C17" s="3" t="n">
        <v>10.5</v>
      </c>
    </row>
    <row r="18" customFormat="false" ht="15" hidden="false" customHeight="false" outlineLevel="0" collapsed="false">
      <c r="A18" s="0" t="s">
        <v>177</v>
      </c>
      <c r="B18" s="0" t="n">
        <f aca="false">(SUMPRODUCT(DCF_Base!$C$19:$L$19/(1+$C$18/100)^DCF_Base!$C$4:$L$4)+MAX(0,MIN(IF($C$18&gt;DCF_Base!$B$28,DCF_Base!$L$19*(1+DCF_Base!$B$28/100)/(($C$18-DCF_Base!$B$28)/100),DCF_Base!$L$19*DCF_Base!$B$29),DCF_Base!$L$19*DCF_Base!$B$29))/(1+$C$18/100)^DCF_Base!$L$4+Assumptions!$B$5-Assumptions!$B$4)/Assumptions!$B$3*Assumptions!$B$10</f>
        <v>10.8000594452717</v>
      </c>
      <c r="C18" s="3" t="n">
        <v>11</v>
      </c>
    </row>
    <row r="19" customFormat="false" ht="15" hidden="false" customHeight="false" outlineLevel="0" collapsed="false">
      <c r="A19" s="0" t="s">
        <v>178</v>
      </c>
      <c r="B19" s="0" t="n">
        <f aca="false">(SUMPRODUCT(DCF_Base!$C$19:$L$19/(1+$C$19/100)^DCF_Base!$C$4:$L$4)+MAX(0,MIN(IF($C$19&gt;DCF_Base!$B$28,DCF_Base!$L$19*(1+DCF_Base!$B$28/100)/(($C$19-DCF_Base!$B$28)/100),DCF_Base!$L$19*DCF_Base!$B$29),DCF_Base!$L$19*DCF_Base!$B$29))/(1+$C$19/100)^DCF_Base!$L$4+Assumptions!$B$5-Assumptions!$B$4)/Assumptions!$B$3*Assumptions!$B$10</f>
        <v>9.4872550168744</v>
      </c>
      <c r="C19" s="3" t="n">
        <v>12</v>
      </c>
    </row>
    <row r="20" customFormat="false" ht="15" hidden="false" customHeight="false" outlineLevel="0" collapsed="false">
      <c r="A20" s="0" t="s">
        <v>179</v>
      </c>
      <c r="B20" s="0" t="n">
        <f aca="false">(SUMPRODUCT(DCF_Base!$C$19:$L$19/(1+$C$20/100)^DCF_Base!$C$4:$L$4)+MAX(0,MIN(IF($C$20&gt;DCF_Base!$B$28,DCF_Base!$L$19*(1+DCF_Base!$B$28/100)/(($C$20-DCF_Base!$B$28)/100),DCF_Base!$L$19*DCF_Base!$B$29),DCF_Base!$L$19*DCF_Base!$B$29))/(1+$C$20/100)^DCF_Base!$L$4+Assumptions!$B$5-Assumptions!$B$4)/Assumptions!$B$3*Assumptions!$B$10</f>
        <v>6.88863077583918</v>
      </c>
      <c r="C20" s="3" t="n">
        <v>15</v>
      </c>
    </row>
    <row r="22" customFormat="false" ht="15" hidden="false" customHeight="false" outlineLevel="0" collapsed="false">
      <c r="A22" s="2" t="s">
        <v>180</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14.5190813990946</v>
      </c>
      <c r="C24" s="0" t="n">
        <f aca="false">(SUMPRODUCT(DCF_Base!$C$19:$L$19/(1+$A$24/100)^DCF_Base!$C$4:$L$4)+MAX(0,MIN(IF($A$24&gt;$C$23,DCF_Base!$L$19*(1+$C$23/100)/(($A$24-$C$23)/100),DCF_Base!$L$19*DCF_Base!$B$29),DCF_Base!$L$19*DCF_Base!$B$29))/(1+$A$24/100)^DCF_Base!$L$4+Assumptions!$B$5-Assumptions!$B$4)/Assumptions!$B$3*Assumptions!$B$10</f>
        <v>15.2990983358858</v>
      </c>
      <c r="D24" s="0" t="n">
        <f aca="false">(SUMPRODUCT(DCF_Base!$C$19:$L$19/(1+$A$24/100)^DCF_Base!$C$4:$L$4)+MAX(0,MIN(IF($A$24&gt;$D$23,DCF_Base!$L$19*(1+$D$23/100)/(($A$24-$D$23)/100),DCF_Base!$L$19*DCF_Base!$B$29),DCF_Base!$L$19*DCF_Base!$B$29))/(1+$A$24/100)^DCF_Base!$L$4+Assumptions!$B$5-Assumptions!$B$4)/Assumptions!$B$3*Assumptions!$B$10</f>
        <v>15.8131187135869</v>
      </c>
      <c r="E24" s="0" t="n">
        <f aca="false">(SUMPRODUCT(DCF_Base!$C$19:$L$19/(1+$A$24/100)^DCF_Base!$C$4:$L$4)+MAX(0,MIN(IF($A$24&gt;$E$23,DCF_Base!$L$19*(1+$E$23/100)/(($A$24-$E$23)/100),DCF_Base!$L$19*DCF_Base!$B$29),DCF_Base!$L$19*DCF_Base!$B$29))/(1+$A$24/100)^DCF_Base!$L$4+Assumptions!$B$5-Assumptions!$B$4)/Assumptions!$B$3*Assumptions!$B$10</f>
        <v>15.8131187135869</v>
      </c>
      <c r="F24" s="0" t="n">
        <f aca="false">(SUMPRODUCT(DCF_Base!$C$19:$L$19/(1+$A$24/100)^DCF_Base!$C$4:$L$4)+MAX(0,MIN(IF($A$24&gt;$F$23,DCF_Base!$L$19*(1+$F$23/100)/(($A$24-$F$23)/100),DCF_Base!$L$19*DCF_Base!$B$29),DCF_Base!$L$19*DCF_Base!$B$29))/(1+$A$24/100)^DCF_Base!$L$4+Assumptions!$B$5-Assumptions!$B$4)/Assumptions!$B$3*Assumptions!$B$10</f>
        <v>15.8131187135869</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12.3953178881452</v>
      </c>
      <c r="C25" s="0" t="n">
        <f aca="false">(SUMPRODUCT(DCF_Base!$C$19:$L$19/(1+$A$25/100)^DCF_Base!$C$4:$L$4)+MAX(0,MIN(IF($A$25&gt;$C$23,DCF_Base!$L$19*(1+$C$23/100)/(($A$25-$C$23)/100),DCF_Base!$L$19*DCF_Base!$B$29),DCF_Base!$L$19*DCF_Base!$B$29))/(1+$A$25/100)^DCF_Base!$L$4+Assumptions!$B$5-Assumptions!$B$4)/Assumptions!$B$3*Assumptions!$B$10</f>
        <v>12.9288369091403</v>
      </c>
      <c r="D25" s="0" t="n">
        <f aca="false">(SUMPRODUCT(DCF_Base!$C$19:$L$19/(1+$A$25/100)^DCF_Base!$C$4:$L$4)+MAX(0,MIN(IF($A$25&gt;$D$23,DCF_Base!$L$19*(1+$D$23/100)/(($A$25-$D$23)/100),DCF_Base!$L$19*DCF_Base!$B$29),DCF_Base!$L$19*DCF_Base!$B$29))/(1+$A$25/100)^DCF_Base!$L$4+Assumptions!$B$5-Assumptions!$B$4)/Assumptions!$B$3*Assumptions!$B$10</f>
        <v>13.5444357795193</v>
      </c>
      <c r="E25" s="0" t="n">
        <f aca="false">(SUMPRODUCT(DCF_Base!$C$19:$L$19/(1+$A$25/100)^DCF_Base!$C$4:$L$4)+MAX(0,MIN(IF($A$25&gt;$E$23,DCF_Base!$L$19*(1+$E$23/100)/(($A$25-$E$23)/100),DCF_Base!$L$19*DCF_Base!$B$29),DCF_Base!$L$19*DCF_Base!$B$29))/(1+$A$25/100)^DCF_Base!$L$4+Assumptions!$B$5-Assumptions!$B$4)/Assumptions!$B$3*Assumptions!$B$10</f>
        <v>14.2626344616281</v>
      </c>
      <c r="F25" s="0" t="n">
        <f aca="false">(SUMPRODUCT(DCF_Base!$C$19:$L$19/(1+$A$25/100)^DCF_Base!$C$4:$L$4)+MAX(0,MIN(IF($A$25&gt;$F$23,DCF_Base!$L$19*(1+$F$23/100)/(($A$25-$F$23)/100),DCF_Base!$L$19*DCF_Base!$B$29),DCF_Base!$L$19*DCF_Base!$B$29))/(1+$A$25/100)^DCF_Base!$L$4+Assumptions!$B$5-Assumptions!$B$4)/Assumptions!$B$3*Assumptions!$B$10</f>
        <v>14.6463296479602</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10.7810449566443</v>
      </c>
      <c r="C26" s="0" t="n">
        <f aca="false">(SUMPRODUCT(DCF_Base!$C$19:$L$19/(1+$A$26/100)^DCF_Base!$C$4:$L$4)+MAX(0,MIN(IF($A$26&gt;$C$23,DCF_Base!$L$19*(1+$C$23/100)/(($A$26-$C$23)/100),DCF_Base!$L$19*DCF_Base!$B$29),DCF_Base!$L$19*DCF_Base!$B$29))/(1+$A$26/100)^DCF_Base!$L$4+Assumptions!$B$5-Assumptions!$B$4)/Assumptions!$B$3*Assumptions!$B$10</f>
        <v>11.1605930976046</v>
      </c>
      <c r="D26" s="0" t="n">
        <f aca="false">(SUMPRODUCT(DCF_Base!$C$19:$L$19/(1+$A$26/100)^DCF_Base!$C$4:$L$4)+MAX(0,MIN(IF($A$26&gt;$D$23,DCF_Base!$L$19*(1+$D$23/100)/(($A$26-$D$23)/100),DCF_Base!$L$19*DCF_Base!$B$29),DCF_Base!$L$19*DCF_Base!$B$29))/(1+$A$26/100)^DCF_Base!$L$4+Assumptions!$B$5-Assumptions!$B$4)/Assumptions!$B$3*Assumptions!$B$10</f>
        <v>11.5907476573595</v>
      </c>
      <c r="E26" s="0" t="n">
        <f aca="false">(SUMPRODUCT(DCF_Base!$C$19:$L$19/(1+$A$26/100)^DCF_Base!$C$4:$L$4)+MAX(0,MIN(IF($A$26&gt;$E$23,DCF_Base!$L$19*(1+$E$23/100)/(($A$26-$E$23)/100),DCF_Base!$L$19*DCF_Base!$B$29),DCF_Base!$L$19*DCF_Base!$B$29))/(1+$A$26/100)^DCF_Base!$L$4+Assumptions!$B$5-Assumptions!$B$4)/Assumptions!$B$3*Assumptions!$B$10</f>
        <v>12.0823528685081</v>
      </c>
      <c r="F26" s="0" t="n">
        <f aca="false">(SUMPRODUCT(DCF_Base!$C$19:$L$19/(1+$A$26/100)^DCF_Base!$C$4:$L$4)+MAX(0,MIN(IF($A$26&gt;$F$23,DCF_Base!$L$19*(1+$F$23/100)/(($A$26-$F$23)/100),DCF_Base!$L$19*DCF_Base!$B$29),DCF_Base!$L$19*DCF_Base!$B$29))/(1+$A$26/100)^DCF_Base!$L$4+Assumptions!$B$5-Assumptions!$B$4)/Assumptions!$B$3*Assumptions!$B$10</f>
        <v>12.6495896506025</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9.5147289195042</v>
      </c>
      <c r="C27" s="0" t="n">
        <f aca="false">(SUMPRODUCT(DCF_Base!$C$19:$L$19/(1+$A$27/100)^DCF_Base!$C$4:$L$4)+MAX(0,MIN(IF($A$27&gt;$C$23,DCF_Base!$L$19*(1+$C$23/100)/(($A$27-$C$23)/100),DCF_Base!$L$19*DCF_Base!$B$29),DCF_Base!$L$19*DCF_Base!$B$29))/(1+$A$27/100)^DCF_Base!$L$4+Assumptions!$B$5-Assumptions!$B$4)/Assumptions!$B$3*Assumptions!$B$10</f>
        <v>9.79308221172591</v>
      </c>
      <c r="D27" s="0" t="n">
        <f aca="false">(SUMPRODUCT(DCF_Base!$C$19:$L$19/(1+$A$27/100)^DCF_Base!$C$4:$L$4)+MAX(0,MIN(IF($A$27&gt;$D$23,DCF_Base!$L$19*(1+$D$23/100)/(($A$27-$D$23)/100),DCF_Base!$L$19*DCF_Base!$B$29),DCF_Base!$L$19*DCF_Base!$B$29))/(1+$A$27/100)^DCF_Base!$L$4+Assumptions!$B$5-Assumptions!$B$4)/Assumptions!$B$3*Assumptions!$B$10</f>
        <v>10.1041829500913</v>
      </c>
      <c r="E27" s="0" t="n">
        <f aca="false">(SUMPRODUCT(DCF_Base!$C$19:$L$19/(1+$A$27/100)^DCF_Base!$C$4:$L$4)+MAX(0,MIN(IF($A$27&gt;$E$23,DCF_Base!$L$19*(1+$E$23/100)/(($A$27-$E$23)/100),DCF_Base!$L$19*DCF_Base!$B$29),DCF_Base!$L$19*DCF_Base!$B$29))/(1+$A$27/100)^DCF_Base!$L$4+Assumptions!$B$5-Assumptions!$B$4)/Assumptions!$B$3*Assumptions!$B$10</f>
        <v>10.4541712807525</v>
      </c>
      <c r="F27" s="0" t="n">
        <f aca="false">(SUMPRODUCT(DCF_Base!$C$19:$L$19/(1+$A$27/100)^DCF_Base!$C$4:$L$4)+MAX(0,MIN(IF($A$27&gt;$F$23,DCF_Base!$L$19*(1+$F$23/100)/(($A$27-$F$23)/100),DCF_Base!$L$19*DCF_Base!$B$29),DCF_Base!$L$19*DCF_Base!$B$29))/(1+$A$27/100)^DCF_Base!$L$4+Assumptions!$B$5-Assumptions!$B$4)/Assumptions!$B$3*Assumptions!$B$10</f>
        <v>10.8508247221684</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8.49642213082771</v>
      </c>
      <c r="C28" s="0" t="n">
        <f aca="false">(SUMPRODUCT(DCF_Base!$C$19:$L$19/(1+$A$28/100)^DCF_Base!$C$4:$L$4)+MAX(0,MIN(IF($A$28&gt;$C$23,DCF_Base!$L$19*(1+$C$23/100)/(($A$28-$C$23)/100),DCF_Base!$L$19*DCF_Base!$B$29),DCF_Base!$L$19*DCF_Base!$B$29))/(1+$A$28/100)^DCF_Base!$L$4+Assumptions!$B$5-Assumptions!$B$4)/Assumptions!$B$3*Assumptions!$B$10</f>
        <v>8.70558003546482</v>
      </c>
      <c r="D28" s="0" t="n">
        <f aca="false">(SUMPRODUCT(DCF_Base!$C$19:$L$19/(1+$A$28/100)^DCF_Base!$C$4:$L$4)+MAX(0,MIN(IF($A$28&gt;$D$23,DCF_Base!$L$19*(1+$D$23/100)/(($A$28-$D$23)/100),DCF_Base!$L$19*DCF_Base!$B$29),DCF_Base!$L$19*DCF_Base!$B$29))/(1+$A$28/100)^DCF_Base!$L$4+Assumptions!$B$5-Assumptions!$B$4)/Assumptions!$B$3*Assumptions!$B$10</f>
        <v>8.93675456164267</v>
      </c>
      <c r="E28" s="0" t="n">
        <f aca="false">(SUMPRODUCT(DCF_Base!$C$19:$L$19/(1+$A$28/100)^DCF_Base!$C$4:$L$4)+MAX(0,MIN(IF($A$28&gt;$E$23,DCF_Base!$L$19*(1+$E$23/100)/(($A$28-$E$23)/100),DCF_Base!$L$19*DCF_Base!$B$29),DCF_Base!$L$19*DCF_Base!$B$29))/(1+$A$28/100)^DCF_Base!$L$4+Assumptions!$B$5-Assumptions!$B$4)/Assumptions!$B$3*Assumptions!$B$10</f>
        <v>9.19361514628474</v>
      </c>
      <c r="F28" s="0" t="n">
        <f aca="false">(SUMPRODUCT(DCF_Base!$C$19:$L$19/(1+$A$28/100)^DCF_Base!$C$4:$L$4)+MAX(0,MIN(IF($A$28&gt;$F$23,DCF_Base!$L$19*(1+$F$23/100)/(($A$28-$F$23)/100),DCF_Base!$L$19*DCF_Base!$B$29),DCF_Base!$L$19*DCF_Base!$B$29))/(1+$A$28/100)^DCF_Base!$L$4+Assumptions!$B$5-Assumptions!$B$4)/Assumptions!$B$3*Assumptions!$B$10</f>
        <v>9.48069462323763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2026-10-11T13:06:33Z</dcterms:created>
  <dc:creator>openpyxl</dc:creator>
  <dc:description/>
  <dc:language>en-NZ</dc:language>
  <cp:lastModifiedBy/>
  <dcterms:modified xsi:type="dcterms:W3CDTF">2026-10-11T13:06:33Z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