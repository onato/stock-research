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<sst xmlns="http://schemas.openxmlformats.org/spreadsheetml/2006/main" count="365" uniqueCount="170">
  <si>
    <t xml:space="preserve">Ticker</t>
  </si>
  <si>
    <t xml:space="preserve">RI.PA</t>
  </si>
  <si>
    <t xml:space="preserve">Company</t>
  </si>
  <si>
    <t xml:space="preserve">Pernod Ricard SA</t>
  </si>
  <si>
    <t xml:space="preserve">Valuation date</t>
  </si>
  <si>
    <t xml:space="preserve">2026-10-26</t>
  </si>
  <si>
    <t xml:space="preserve">Current price</t>
  </si>
  <si>
    <t xml:space="preserve">Price as of</t>
  </si>
  <si>
    <t xml:space="preserve">2026-10-23T15:37:54Z regular close (Euronext Paris, Friday)</t>
  </si>
  <si>
    <t xml:space="preserve">Balance sheet date</t>
  </si>
  <si>
    <t xml:space="preserve">2026-06-30</t>
  </si>
  <si>
    <t xml:space="preserve">Model</t>
  </si>
  <si>
    <t xml:space="preserve">owner_fcf_dcf_component</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</si>
  <si>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</si>
  <si>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</si>
  <si>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</si>
  <si>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</si>
  <si>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</si>
  <si>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</si>
  <si>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</si>
  <si>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</si>
  <si>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2026-10-25T18:52:00Z</t>
  </si>
  <si>
    <t xml:space="preserve">Drivers file</t>
  </si>
  <si>
    <t xml:space="preserve">RI.PA_Drivers.json</t>
  </si>
  <si>
    <t xml:space="preserve">Convention</t>
  </si>
  <si>
    <t xml:space="preserve">Percents stored as percents; formulas divide by 100. Blue = input, green = link, black = formula.</t>
  </si>
  <si>
    <t xml:space="preserve">Methodology</t>
  </si>
  <si>
    <t xml:space="preserve">summary: Mid-cycle owner-FCF DCF on a leveraged, cyclical premium-spirits franchise. The valuation does not capitalise the FY2026 trough (margin 27.4%, capex 4.2%) nor the FY2022 peak (31.2%): the base case rebuilds to a 29.5% EBITDA margin on a 5.5% capex and negative working-capital-capture basis, consistent with the FY2017-FY2026 average and the EUR 1bn efficiency programme net of brand reinvestment. Leverage is charged once, through the EUR 10.2bn ex-lease net debt in the bridge; NCI is deducted at book; leases are an operating cost (treatment B). Because the business grows at roughly the discount rate minus 5pp, the 15% hurdle entry price sits well below intrinsic value - that is the price of demanding 15% from a 7%-WACC asset, not a signal that the model disagrees with itself.
key_risks_to_valuation: US spirits demand: ~27% of net sales; a structural (not cyclical) decline in premium spirits consumption would push the bear path.; China/cognac: Martell is the largest single profit pool; EU-China anti-dumping duties on cognac and weak Chinese consumer confidence drive both the FY24-26 decline and any recovery.; Leverage: EUR 10.2bn net debt (3.6x EBITDA) against ~EUR 17bn market cap; each 1pp of EBITDA margin is ~EUR 95m of EBITDA and ~EUR 2.5-3/share of equity value through the bridge.; FX: ~70% of sales outside the eurozone, USD and CNY largest; a weaker USD is a direct reported-EUR headwind that organic guidance does not cover.; Working capital/ageing stock: 85% of EUR 7bn+ inventories are ageing whisky and cognac; a demand miss cannot be met by cutting the stock build quickly, so FCF lags revenue on the way down.; Terminal value share: with a 7% WACC and 2% terminal growth, roughly 55-60% of EV sits in the terminal; the 18x cap binds in the base case, so terminal_growth sensitivity is muted but the cap multiple itself is the judgment.</t>
  </si>
  <si>
    <t xml:space="preserve">Data sources</t>
  </si>
  <si>
    <t xml:space="preserve">price: Yahoo Finance chart API (RI.PA) at inputs.price_as_of; 52-week range 57.86-88.42 EUR
financials: RI.PA_Metrics.csv / core_metrics FY2017-FY2026 (EUR m) derived from the Universal Registration Documents; FY2026 URD (year ended 30 June 2026) for the balance sheet, cash flow statement, lease notes, share count and FY27 / FY27-29 outlook (section 5.4)
qualitative: RI.PA_Analysis.json not yet available at build time; scenario axes taken from the FY2026 URD outlook and management commentary (US/China inventory adjustments, EUR 1bn efficiencies, 16% A&amp;P, &lt;3x ND/EBITDA by FY29, strategic investments &lt;= EUR 700m) and the H1 FY2026 half-year report.</t>
  </si>
  <si>
    <t xml:space="preserve">Scenario narrative: bear</t>
  </si>
  <si>
    <t xml:space="preserve">The US spirits category is in structural decline (moderation, GLP-1s, RTD/cannabis substitution) and tariffs on EU spirits are passed through at the cost of volume; China cognac never returns to 2019-2023 levels and EU-China duties stay in place; travel retail stagnates. FY27 reported revenue -5%, then a sub-2% nominal grind with margin stuck at 26-26.5% as efficiencies are spent on price and A&amp;P defence and restructuring becomes semi-permanent. Higher capex (6%) as ageing-stock commitments cannot be cut quickly. Net debt/EBITDA stays above 3.5x, keeping the equity geared to the cycle. Terminal growth 1.5%.</t>
  </si>
  <si>
    <t xml:space="preserve">Scenario narrative: base</t>
  </si>
  <si>
    <t xml:space="preserve">Pernod is a scale spirits owner (Absolut, Jameson, Martell, Chivas, Ballantine's, Royal Salute, Malibu, Beefeater, Havana Club, Perrier-Jouet/Mumm) whose cash flows are set by three axes: US premium-spirits demand after the 2021-22 pull-forward, China/travel-retail cognac demand (Martell is the largest profit pool and the most cyclical), and the India/Rest-of-World growth engine. The base case takes management at its word on FY27 (organic flat, with US and China still destocking in H1 and underlying China trends improving), then recovers to the low end of the +3-6% medium-term range through FY29-FY30 before fading to 2% nominal. EBITDA margin rebuilds from the FY26 trough (27.4%, after EUR 261m of restructuring/impairment) to a mid-cycle 29.5% as the EUR 1bn FY26-FY28 efficiency programme is partly reinvested in 16% A&amp;P. Capex and ageing-stock investment stay within the 'strategic investments &lt;= EUR 700m' envelope; cash conversion ~90% is consistent with the component build. Leverage (3.6x ND/EBITDA) is carried through the net-debt bridge, not the discount rate; management's &lt;3x FY29 target is achievable on these flows while maintaining the EUR 4.70 dividend.</t>
  </si>
  <si>
    <t xml:space="preserve">Scenario narrative: bull</t>
  </si>
  <si>
    <t xml:space="preserve">US inventory normalises by mid-FY27 and sell-out stabilises; China cognac demand recovers with the EU-China duty settlement and Martell regains share; India (Blenders Pride, Royal Stag, Jameson) and Africa/LatAm compound high-single-digit; FY28-FY30 organic growth of 5-6% at the midpoint of the range. The efficiency programme lands in full with restructuring charges ending FY28, taking margin back to the FY2022 peak of ~31.5% by FY32. Lower capex (5%) as the Irish whiskey and cognac capacity programmes complete. Terminal growth 2.5%.</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</si>
  <si>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</si>
  <si>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</si>
  <si>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</si>
  <si>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</si>
  <si>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</si>
  <si>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</si>
  <si>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</si>
  <si>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</si>
  <si>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</si>
  <si>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</si>
  <si>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</si>
  <si>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</si>
  <si>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</si>
  <si>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</si>
  <si>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</si>
  <si>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</si>
  <si>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</si>
  <si>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</si>
  <si>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</si>
  <si>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</si>
  <si>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</si>
  <si>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</si>
  <si>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</si>
  <si>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</si>
  <si>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</si>
  <si>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</si>
  <si>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</si>
  <si>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FreeCashFlowCompanyDefined</t>
  </si>
  <si>
    <t xml:space="preserve">OrganicRevenueGrowth</t>
  </si>
  <si>
    <t xml:space="preserve">SegmentRevenueAmericas</t>
  </si>
  <si>
    <t xml:space="preserve">SegmentRevenueAsia</t>
  </si>
  <si>
    <t xml:space="preserve">SegmentRevenueEurope</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</si>
  <si>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</si>
  <si>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</si>
  <si>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</si>
  <si>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</si>
  <si>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</si>
  <si>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</si>
  <si>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</si>
  <si>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</si>
  <si>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</si>
  <si>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</si>
  <si>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</si>
  <si>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</si>
  <si>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</si>
  <si>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</si>
  <si>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</si>
  <si>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</si>
  <si>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</si>
  <si>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</si>
  <si>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</si>
  <si>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</si>
  <si>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</si>
  <si>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</si>
  <si>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</si>
  <si>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</si>
  <si>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</si>
  <si>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</si>
  <si>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</si>
  <si>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</si>
  <si>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</si>
  <si>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</si>
  <si>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</si>
  <si>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</si>
  <si>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</si>
  <si>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</si>
  <si>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</si>
  <si>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</si>
  <si>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</si>
  <si>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</si>
  <si>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</si>
  <si>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</si>
  <si>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</si>
  <si>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</si>
  <si>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</si>
  <si>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</si>
  <si>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</si>
  <si>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</si>
  <si>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</si>
  <si>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RI.PA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</si>
  <si>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</si>
  <si>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</si>
  <si>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</si>
  <si>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</si>
  <si>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</si>
  <si>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</si>
  <si>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</si>
  <si>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</si>
  <si>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</si>
  <si>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</si>
  <si>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</si>
  <si>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</si>
  <si>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</si>
  <si>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</si>
  <si>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</si>
  <si>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</si>
  <si>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</si>
  <si>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</si>
  <si>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</si>
  <si>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</si>
  <si>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</si>
  <si>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</si>
  <si>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</si>
  <si>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</si>
  <si>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</si>
  <si>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</si>
  <si>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</si>
  <si>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</si>
  <si>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</si>
  <si>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</si>
  <si>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RI.PA owner-FCF component DCF: base case (millions, EUR)</t>
  </si>
  <si>
    <t xml:space="preserve">RI.PA owner-FCF component DCF: bull case (millions, EUR)</t>
  </si>
  <si>
    <t xml:space="preserve">RI.PA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</si>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</sst>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67.64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row>
    <row r="2" customFormat="false" ht="15" hidden="false" customHeight="false" outlineLevel="0" collapsed="false">
      <c r="A2" s="0" t="s">
        <v>68</v>
      </c>
      <c r="B2" s="0" t="n">
        <v>9010</v>
      </c>
      <c r="C2" s="0" t="n">
        <v>3407</v>
      </c>
      <c r="D2" s="0" t="n">
        <v>5602</v>
      </c>
      <c r="E2" s="0" t="n">
        <v>62.2</v>
      </c>
      <c r="F2" s="0" t="n">
        <v>2232</v>
      </c>
      <c r="G2" s="0" t="n">
        <v>24.8</v>
      </c>
      <c r="H2" s="0" t="n">
        <v>2451</v>
      </c>
      <c r="I2" s="0" t="n">
        <v>1393</v>
      </c>
      <c r="J2" s="0" t="n">
        <v>15.5</v>
      </c>
      <c r="K2" s="0" t="n">
        <v>5.25</v>
      </c>
      <c r="L2" s="0" t="n">
        <v>1642</v>
      </c>
      <c r="M2" s="0" t="n">
        <v>367</v>
      </c>
      <c r="N2" s="0" t="n">
        <v>1275</v>
      </c>
      <c r="O2" s="0" t="n">
        <v>13886</v>
      </c>
      <c r="P2" s="0" t="n">
        <v>30088</v>
      </c>
      <c r="Q2" s="0" t="n">
        <v>16202</v>
      </c>
      <c r="R2" s="0" t="n">
        <v>8545</v>
      </c>
      <c r="S2" s="0" t="n">
        <v>677</v>
      </c>
      <c r="T2" s="0" t="n">
        <v>265.3</v>
      </c>
      <c r="U2" s="0" t="n">
        <v>34</v>
      </c>
      <c r="AA2" s="0" t="s">
        <v>17</v>
      </c>
      <c r="AB2" s="0" t="s">
        <v>14</v>
      </c>
    </row>
    <row r="3" customFormat="false" ht="15" hidden="false" customHeight="false" outlineLevel="0" collapsed="false">
      <c r="A3" s="0" t="s">
        <v>69</v>
      </c>
      <c r="B3" s="0" t="n">
        <v>8987</v>
      </c>
      <c r="C3" s="0" t="n">
        <v>3383</v>
      </c>
      <c r="D3" s="0" t="n">
        <v>5604</v>
      </c>
      <c r="E3" s="0" t="n">
        <v>62.4</v>
      </c>
      <c r="F3" s="0" t="n">
        <v>2296</v>
      </c>
      <c r="G3" s="0" t="n">
        <v>25.5</v>
      </c>
      <c r="H3" s="0" t="n">
        <v>2512</v>
      </c>
      <c r="I3" s="0" t="n">
        <v>1577</v>
      </c>
      <c r="J3" s="0" t="n">
        <v>17.5</v>
      </c>
      <c r="K3" s="0" t="n">
        <v>5.94</v>
      </c>
      <c r="L3" s="0" t="n">
        <v>1776</v>
      </c>
      <c r="M3" s="0" t="n">
        <v>374</v>
      </c>
      <c r="N3" s="0" t="n">
        <v>1402</v>
      </c>
      <c r="O3" s="0" t="n">
        <v>14978</v>
      </c>
      <c r="P3" s="0" t="n">
        <v>29558</v>
      </c>
      <c r="Q3" s="0" t="n">
        <v>14580</v>
      </c>
      <c r="R3" s="0" t="n">
        <v>7693</v>
      </c>
      <c r="S3" s="0" t="n">
        <v>754</v>
      </c>
      <c r="T3" s="0" t="n">
        <v>265.5</v>
      </c>
      <c r="U3" s="0" t="n">
        <v>35</v>
      </c>
      <c r="AA3" s="0" t="s">
        <v>17</v>
      </c>
      <c r="AB3" s="0" t="s">
        <v>14</v>
      </c>
    </row>
    <row r="4" customFormat="false" ht="15" hidden="false" customHeight="false" outlineLevel="0" collapsed="false">
      <c r="A4" s="0" t="s">
        <v>70</v>
      </c>
      <c r="B4" s="0" t="n">
        <v>9182</v>
      </c>
      <c r="C4" s="0" t="n">
        <v>3533</v>
      </c>
      <c r="D4" s="0" t="n">
        <v>5648</v>
      </c>
      <c r="E4" s="0" t="n">
        <v>61.5</v>
      </c>
      <c r="F4" s="0" t="n">
        <v>2375</v>
      </c>
      <c r="G4" s="0" t="n">
        <v>25.9</v>
      </c>
      <c r="H4" s="0" t="n">
        <v>2601</v>
      </c>
      <c r="I4" s="0" t="n">
        <v>1455</v>
      </c>
      <c r="J4" s="0" t="n">
        <v>15.8</v>
      </c>
      <c r="K4" s="0" t="n">
        <v>5.48</v>
      </c>
      <c r="L4" s="0" t="n">
        <v>1701</v>
      </c>
      <c r="M4" s="0" t="n">
        <v>388</v>
      </c>
      <c r="N4" s="0" t="n">
        <v>1313</v>
      </c>
      <c r="O4" s="0" t="n">
        <v>16182</v>
      </c>
      <c r="P4" s="0" t="n">
        <v>31045</v>
      </c>
      <c r="Q4" s="0" t="n">
        <v>14863</v>
      </c>
      <c r="R4" s="0" t="n">
        <v>7555</v>
      </c>
      <c r="S4" s="0" t="n">
        <v>923</v>
      </c>
      <c r="T4" s="0" t="n">
        <v>265.5</v>
      </c>
      <c r="U4" s="0" t="n">
        <v>40</v>
      </c>
      <c r="AA4" s="0" t="s">
        <v>17</v>
      </c>
      <c r="AB4" s="0" t="s">
        <v>14</v>
      </c>
    </row>
    <row r="5" customFormat="false" ht="15" hidden="false" customHeight="false" outlineLevel="0" collapsed="false">
      <c r="A5" s="0" t="s">
        <v>71</v>
      </c>
      <c r="B5" s="0" t="n">
        <v>8448</v>
      </c>
      <c r="C5" s="0" t="n">
        <v>3361</v>
      </c>
      <c r="D5" s="0" t="n">
        <v>5086</v>
      </c>
      <c r="E5" s="0" t="n">
        <v>60.2</v>
      </c>
      <c r="F5" s="0" t="n">
        <v>978</v>
      </c>
      <c r="G5" s="0" t="n">
        <v>11.6</v>
      </c>
      <c r="H5" s="0" t="n">
        <v>1328</v>
      </c>
      <c r="I5" s="0" t="n">
        <v>329</v>
      </c>
      <c r="J5" s="0" t="n">
        <v>3.9</v>
      </c>
      <c r="K5" s="0" t="n">
        <v>1.24</v>
      </c>
      <c r="L5" s="0" t="n">
        <v>1181</v>
      </c>
      <c r="M5" s="0" t="n">
        <v>365</v>
      </c>
      <c r="N5" s="0" t="n">
        <v>816</v>
      </c>
      <c r="O5" s="0" t="n">
        <v>14211</v>
      </c>
      <c r="P5" s="0" t="n">
        <v>31525</v>
      </c>
      <c r="Q5" s="0" t="n">
        <v>17314</v>
      </c>
      <c r="R5" s="0" t="n">
        <v>10415</v>
      </c>
      <c r="S5" s="0" t="n">
        <v>1935</v>
      </c>
      <c r="T5" s="0" t="n">
        <v>265.3</v>
      </c>
      <c r="U5" s="0" t="n">
        <v>23</v>
      </c>
      <c r="AA5" s="0" t="s">
        <v>17</v>
      </c>
      <c r="AB5" s="0" t="s">
        <v>14</v>
      </c>
    </row>
    <row r="6" customFormat="false" ht="15" hidden="false" customHeight="false" outlineLevel="0" collapsed="false">
      <c r="A6" s="0" t="s">
        <v>72</v>
      </c>
      <c r="B6" s="0" t="n">
        <v>8824</v>
      </c>
      <c r="C6" s="0" t="n">
        <v>3531</v>
      </c>
      <c r="D6" s="0" t="n">
        <v>5293</v>
      </c>
      <c r="E6" s="0" t="n">
        <v>60</v>
      </c>
      <c r="F6" s="0" t="n">
        <v>2361</v>
      </c>
      <c r="G6" s="0" t="n">
        <v>26.8</v>
      </c>
      <c r="H6" s="0" t="n">
        <v>2728</v>
      </c>
      <c r="I6" s="0" t="n">
        <v>1305</v>
      </c>
      <c r="J6" s="0" t="n">
        <v>14.8</v>
      </c>
      <c r="K6" s="0" t="n">
        <v>4.99</v>
      </c>
      <c r="L6" s="0" t="n">
        <v>1999</v>
      </c>
      <c r="M6" s="0" t="n">
        <v>433</v>
      </c>
      <c r="N6" s="0" t="n">
        <v>1566</v>
      </c>
      <c r="O6" s="0" t="n">
        <v>15075</v>
      </c>
      <c r="P6" s="0" t="n">
        <v>32147</v>
      </c>
      <c r="Q6" s="0" t="n">
        <v>17072</v>
      </c>
      <c r="R6" s="0" t="n">
        <v>9595</v>
      </c>
      <c r="S6" s="0" t="n">
        <v>2078</v>
      </c>
      <c r="T6" s="0" t="n">
        <v>261.5</v>
      </c>
      <c r="U6" s="0" t="n">
        <v>28</v>
      </c>
      <c r="AA6" s="0" t="s">
        <v>17</v>
      </c>
      <c r="AB6" s="0" t="s">
        <v>14</v>
      </c>
    </row>
    <row r="7" customFormat="false" ht="15" hidden="false" customHeight="false" outlineLevel="0" collapsed="false">
      <c r="A7" s="0" t="s">
        <v>73</v>
      </c>
      <c r="B7" s="0" t="n">
        <v>10701</v>
      </c>
      <c r="C7" s="0" t="n">
        <v>4228</v>
      </c>
      <c r="D7" s="0" t="n">
        <v>6473</v>
      </c>
      <c r="E7" s="0" t="n">
        <v>60.5</v>
      </c>
      <c r="F7" s="0" t="n">
        <v>2963</v>
      </c>
      <c r="G7" s="0" t="n">
        <v>27.7</v>
      </c>
      <c r="H7" s="0" t="n">
        <v>3344</v>
      </c>
      <c r="I7" s="0" t="n">
        <v>1996</v>
      </c>
      <c r="J7" s="0" t="n">
        <v>18.7</v>
      </c>
      <c r="K7" s="0" t="n">
        <v>7.69</v>
      </c>
      <c r="L7" s="0" t="n">
        <v>2294</v>
      </c>
      <c r="M7" s="0" t="n">
        <v>506</v>
      </c>
      <c r="N7" s="0" t="n">
        <v>1788</v>
      </c>
      <c r="O7" s="0" t="n">
        <v>16253</v>
      </c>
      <c r="P7" s="0" t="n">
        <v>36012</v>
      </c>
      <c r="Q7" s="0" t="n">
        <v>19759</v>
      </c>
      <c r="R7" s="0" t="n">
        <v>11172</v>
      </c>
      <c r="S7" s="0" t="n">
        <v>2527</v>
      </c>
      <c r="T7" s="0" t="n">
        <v>259.6</v>
      </c>
      <c r="U7" s="0" t="n">
        <v>40</v>
      </c>
      <c r="AA7" s="0" t="s">
        <v>17</v>
      </c>
      <c r="AB7" s="0" t="s">
        <v>14</v>
      </c>
    </row>
    <row r="8" customFormat="false" ht="15" hidden="false" customHeight="false" outlineLevel="0" collapsed="false">
      <c r="A8" s="0" t="s">
        <v>74</v>
      </c>
      <c r="B8" s="0" t="n">
        <v>12137</v>
      </c>
      <c r="C8" s="0" t="n">
        <v>4891</v>
      </c>
      <c r="D8" s="0" t="n">
        <v>7246</v>
      </c>
      <c r="E8" s="0" t="n">
        <v>59.7</v>
      </c>
      <c r="F8" s="0" t="n">
        <v>3265</v>
      </c>
      <c r="G8" s="0" t="n">
        <v>26.9</v>
      </c>
      <c r="H8" s="0" t="n">
        <v>3682</v>
      </c>
      <c r="I8" s="0" t="n">
        <v>2262</v>
      </c>
      <c r="J8" s="0" t="n">
        <v>18.6</v>
      </c>
      <c r="K8" s="0" t="n">
        <v>8.81</v>
      </c>
      <c r="L8" s="0" t="n">
        <v>2033</v>
      </c>
      <c r="M8" s="0" t="n">
        <v>702</v>
      </c>
      <c r="N8" s="0" t="n">
        <v>1331</v>
      </c>
      <c r="O8" s="0" t="n">
        <v>16715</v>
      </c>
      <c r="P8" s="0" t="n">
        <v>37676</v>
      </c>
      <c r="Q8" s="0" t="n">
        <v>20961</v>
      </c>
      <c r="R8" s="0" t="n">
        <v>11870</v>
      </c>
      <c r="S8" s="0" t="n">
        <v>1609</v>
      </c>
      <c r="T8" s="0" t="n">
        <v>256.8</v>
      </c>
      <c r="U8" s="0" t="n">
        <v>44</v>
      </c>
      <c r="AA8" s="0" t="s">
        <v>17</v>
      </c>
      <c r="AB8" s="0" t="s">
        <v>14</v>
      </c>
    </row>
    <row r="9" customFormat="false" ht="15" hidden="false" customHeight="false" outlineLevel="0" collapsed="false">
      <c r="A9" s="0" t="s">
        <v>75</v>
      </c>
      <c r="B9" s="0" t="n">
        <v>11598</v>
      </c>
      <c r="C9" s="0" t="n">
        <v>4623</v>
      </c>
      <c r="D9" s="0" t="n">
        <v>6975</v>
      </c>
      <c r="E9" s="0" t="n">
        <v>60.1</v>
      </c>
      <c r="F9" s="0" t="n">
        <v>2724</v>
      </c>
      <c r="G9" s="0" t="n">
        <v>23.5</v>
      </c>
      <c r="H9" s="0" t="n">
        <v>3165</v>
      </c>
      <c r="I9" s="0" t="n">
        <v>1476</v>
      </c>
      <c r="J9" s="0" t="n">
        <v>12.7</v>
      </c>
      <c r="K9" s="0" t="n">
        <v>5.83</v>
      </c>
      <c r="L9" s="0" t="n">
        <v>1727</v>
      </c>
      <c r="M9" s="0" t="n">
        <v>773</v>
      </c>
      <c r="N9" s="0" t="n">
        <v>954</v>
      </c>
      <c r="O9" s="0" t="n">
        <v>16797</v>
      </c>
      <c r="P9" s="0" t="n">
        <v>39185</v>
      </c>
      <c r="Q9" s="0" t="n">
        <v>22388</v>
      </c>
      <c r="R9" s="0" t="n">
        <v>13618</v>
      </c>
      <c r="S9" s="0" t="n">
        <v>2683</v>
      </c>
      <c r="T9" s="0" t="n">
        <v>253.2</v>
      </c>
      <c r="U9" s="0" t="n">
        <v>45</v>
      </c>
      <c r="AA9" s="0" t="s">
        <v>17</v>
      </c>
      <c r="AB9" s="0" t="s">
        <v>14</v>
      </c>
    </row>
    <row r="10" customFormat="false" ht="15" hidden="false" customHeight="false" outlineLevel="0" collapsed="false">
      <c r="A10" s="0" t="s">
        <v>76</v>
      </c>
      <c r="B10" s="0" t="n">
        <v>10959</v>
      </c>
      <c r="C10" s="0" t="n">
        <v>4443</v>
      </c>
      <c r="D10" s="0" t="n">
        <v>6516</v>
      </c>
      <c r="E10" s="0" t="n">
        <v>59.5</v>
      </c>
      <c r="F10" s="0" t="n">
        <v>2743</v>
      </c>
      <c r="G10" s="0" t="n">
        <v>25</v>
      </c>
      <c r="H10" s="0" t="n">
        <v>3165</v>
      </c>
      <c r="I10" s="0" t="n">
        <v>1626</v>
      </c>
      <c r="J10" s="0" t="n">
        <v>14.8</v>
      </c>
      <c r="K10" s="0" t="n">
        <v>6.45</v>
      </c>
      <c r="L10" s="0" t="n">
        <v>1788</v>
      </c>
      <c r="M10" s="0" t="n">
        <v>667</v>
      </c>
      <c r="N10" s="0" t="n">
        <v>1121</v>
      </c>
      <c r="O10" s="0" t="n">
        <v>16226</v>
      </c>
      <c r="P10" s="0" t="n">
        <v>37080</v>
      </c>
      <c r="Q10" s="0" t="n">
        <v>20854</v>
      </c>
      <c r="R10" s="0" t="n">
        <v>12589</v>
      </c>
      <c r="S10" s="0" t="n">
        <v>1829</v>
      </c>
      <c r="T10" s="0" t="n">
        <v>252.1</v>
      </c>
      <c r="U10" s="0" t="n">
        <v>25</v>
      </c>
      <c r="AA10" s="0" t="s">
        <v>17</v>
      </c>
      <c r="AB10" s="0" t="s">
        <v>14</v>
      </c>
    </row>
    <row r="11" customFormat="false" ht="15" hidden="false" customHeight="false" outlineLevel="0" collapsed="false">
      <c r="A11" s="0" t="s">
        <v>77</v>
      </c>
      <c r="B11" s="0" t="n">
        <v>9404</v>
      </c>
      <c r="C11" s="0" t="n">
        <v>3909</v>
      </c>
      <c r="D11" s="0" t="n">
        <v>5495</v>
      </c>
      <c r="E11" s="0" t="n">
        <v>58.4</v>
      </c>
      <c r="F11" s="0" t="n">
        <v>2162</v>
      </c>
      <c r="G11" s="0" t="n">
        <v>23</v>
      </c>
      <c r="H11" s="0" t="n">
        <v>2575</v>
      </c>
      <c r="I11" s="0" t="n">
        <v>1203</v>
      </c>
      <c r="J11" s="0" t="n">
        <v>12.8</v>
      </c>
      <c r="K11" s="0" t="n">
        <v>4.77</v>
      </c>
      <c r="L11" s="0" t="n">
        <v>1579</v>
      </c>
      <c r="M11" s="0" t="n">
        <v>391</v>
      </c>
      <c r="N11" s="0" t="n">
        <v>1188</v>
      </c>
      <c r="O11" s="0" t="n">
        <v>16540</v>
      </c>
      <c r="P11" s="0" t="n">
        <v>37297</v>
      </c>
      <c r="Q11" s="0" t="n">
        <v>20757</v>
      </c>
      <c r="R11" s="0" t="n">
        <v>12667</v>
      </c>
      <c r="S11" s="0" t="n">
        <v>1993</v>
      </c>
      <c r="T11" s="0" t="n">
        <v>252.2</v>
      </c>
      <c r="U11" s="0" t="n">
        <v>16</v>
      </c>
      <c r="AA11" s="0" t="s">
        <v>17</v>
      </c>
      <c r="AB1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78</v>
      </c>
      <c r="B1" s="2" t="s">
        <v>79</v>
      </c>
    </row>
    <row r="2" customFormat="false" ht="15" hidden="false" customHeight="false" outlineLevel="0" collapsed="false">
      <c r="A2" s="0" t="s">
        <v>80</v>
      </c>
      <c r="B2" s="3" t="n">
        <v>67.64</v>
      </c>
    </row>
    <row r="3" customFormat="false" ht="15" hidden="false" customHeight="false" outlineLevel="0" collapsed="false">
      <c r="A3" s="0" t="s">
        <v>81</v>
      </c>
      <c r="B3" s="3" t="n">
        <v>252.3</v>
      </c>
    </row>
    <row r="4" customFormat="false" ht="15" hidden="false" customHeight="false" outlineLevel="0" collapsed="false">
      <c r="A4" s="0" t="s">
        <v>82</v>
      </c>
      <c r="B4" s="3" t="n">
        <v>10213</v>
      </c>
    </row>
    <row r="5" customFormat="false" ht="15" hidden="false" customHeight="false" outlineLevel="0" collapsed="false">
      <c r="A5" s="0" t="s">
        <v>83</v>
      </c>
      <c r="B5" s="3" t="n">
        <v>-977</v>
      </c>
    </row>
    <row r="6" customFormat="false" ht="15" hidden="false" customHeight="false" outlineLevel="0" collapsed="false">
      <c r="A6" s="0" t="s">
        <v>84</v>
      </c>
      <c r="B6" s="3" t="n">
        <v>15</v>
      </c>
    </row>
    <row r="7" customFormat="false" ht="15" hidden="false" customHeight="false" outlineLevel="0" collapsed="false">
      <c r="A7" s="0" t="s">
        <v>85</v>
      </c>
      <c r="B7" s="3" t="n">
        <v>9404</v>
      </c>
    </row>
    <row r="8" customFormat="false" ht="15" hidden="false" customHeight="false" outlineLevel="0" collapsed="false">
      <c r="A8" s="0" t="s">
        <v>86</v>
      </c>
      <c r="B8" s="3" t="s">
        <v>77</v>
      </c>
    </row>
    <row r="9" customFormat="false" ht="15" hidden="false" customHeight="false" outlineLevel="0" collapsed="false">
      <c r="A9" s="0" t="s">
        <v>87</v>
      </c>
      <c r="B9" s="3" t="s">
        <v>88</v>
      </c>
    </row>
    <row r="10" customFormat="false" ht="15" hidden="false" customHeight="false" outlineLevel="0" collapsed="false">
      <c r="A10" s="0" t="s">
        <v>89</v>
      </c>
      <c r="B10" s="3" t="n">
        <v>1</v>
      </c>
    </row>
    <row r="12" customFormat="false" ht="15" hidden="false" customHeight="false" outlineLevel="0" collapsed="false">
      <c r="A12" s="2" t="s">
        <v>90</v>
      </c>
      <c r="C12" s="2" t="s">
        <v>91</v>
      </c>
      <c r="D12" s="2" t="s">
        <v>92</v>
      </c>
      <c r="E12" s="2" t="s">
        <v>93</v>
      </c>
      <c r="F12" s="2" t="s">
        <v>94</v>
      </c>
      <c r="G12" s="2" t="s">
        <v>95</v>
      </c>
      <c r="H12" s="2" t="s">
        <v>96</v>
      </c>
      <c r="I12" s="2" t="s">
        <v>97</v>
      </c>
      <c r="J12" s="2" t="s">
        <v>98</v>
      </c>
      <c r="K12" s="2" t="s">
        <v>99</v>
      </c>
      <c r="L12" s="2" t="s">
        <v>100</v>
      </c>
    </row>
    <row r="13" customFormat="false" ht="15" hidden="false" customHeight="false" outlineLevel="0" collapsed="false">
      <c r="A13" s="0" t="s">
        <v>101</v>
      </c>
      <c r="C13" s="3" t="n">
        <v>-5</v>
      </c>
      <c r="D13" s="3" t="n">
        <v>-1</v>
      </c>
      <c r="E13" s="3" t="n">
        <v>1</v>
      </c>
      <c r="F13" s="3" t="n">
        <v>2</v>
      </c>
      <c r="G13" s="3" t="n">
        <v>2</v>
      </c>
      <c r="H13" s="3" t="n">
        <v>2</v>
      </c>
      <c r="I13" s="3" t="n">
        <v>2</v>
      </c>
      <c r="J13" s="3" t="n">
        <v>1.5</v>
      </c>
      <c r="K13" s="3" t="n">
        <v>1.5</v>
      </c>
      <c r="L13" s="3" t="n">
        <v>1.5</v>
      </c>
    </row>
    <row r="14" customFormat="false" ht="15" hidden="false" customHeight="false" outlineLevel="0" collapsed="false">
      <c r="A14" s="0" t="s">
        <v>102</v>
      </c>
      <c r="C14" s="3" t="n">
        <v>26</v>
      </c>
      <c r="D14" s="3" t="n">
        <v>26</v>
      </c>
      <c r="E14" s="3" t="n">
        <v>26</v>
      </c>
      <c r="F14" s="3" t="n">
        <v>26.5</v>
      </c>
      <c r="G14" s="3" t="n">
        <v>26.5</v>
      </c>
      <c r="H14" s="3" t="n">
        <v>26.5</v>
      </c>
      <c r="I14" s="3" t="n">
        <v>26.5</v>
      </c>
      <c r="J14" s="3" t="n">
        <v>26.5</v>
      </c>
      <c r="K14" s="3" t="n">
        <v>26.5</v>
      </c>
      <c r="L14" s="3" t="n">
        <v>26.5</v>
      </c>
    </row>
    <row r="15" customFormat="false" ht="15" hidden="false" customHeight="false" outlineLevel="0" collapsed="false">
      <c r="A15" s="0" t="s">
        <v>103</v>
      </c>
      <c r="C15" s="3" t="n">
        <v>0.25</v>
      </c>
      <c r="D15" s="3" t="n">
        <v>0.25</v>
      </c>
      <c r="E15" s="3" t="n">
        <v>0.25</v>
      </c>
      <c r="F15" s="3" t="n">
        <v>0.25</v>
      </c>
      <c r="G15" s="3" t="n">
        <v>0.25</v>
      </c>
      <c r="H15" s="3" t="n">
        <v>0.25</v>
      </c>
      <c r="I15" s="3" t="n">
        <v>0.25</v>
      </c>
      <c r="J15" s="3" t="n">
        <v>0.25</v>
      </c>
      <c r="K15" s="3" t="n">
        <v>0.25</v>
      </c>
      <c r="L15" s="3" t="n">
        <v>0.25</v>
      </c>
    </row>
    <row r="16" customFormat="false" ht="15" hidden="false" customHeight="false" outlineLevel="0" collapsed="false">
      <c r="A16" s="0" t="s">
        <v>104</v>
      </c>
      <c r="C16" s="3" t="n">
        <v>1.3</v>
      </c>
      <c r="D16" s="3" t="n">
        <v>1.3</v>
      </c>
      <c r="E16" s="3" t="n">
        <v>1.3</v>
      </c>
      <c r="F16" s="3" t="n">
        <v>1.3</v>
      </c>
      <c r="G16" s="3" t="n">
        <v>1.3</v>
      </c>
      <c r="H16" s="3" t="n">
        <v>1.3</v>
      </c>
      <c r="I16" s="3" t="n">
        <v>1.3</v>
      </c>
      <c r="J16" s="3" t="n">
        <v>1.3</v>
      </c>
      <c r="K16" s="3" t="n">
        <v>1.3</v>
      </c>
      <c r="L16" s="3" t="n">
        <v>1.3</v>
      </c>
    </row>
    <row r="17" customFormat="false" ht="15" hidden="false" customHeight="false" outlineLevel="0" collapsed="false">
      <c r="A17" s="0" t="s">
        <v>105</v>
      </c>
      <c r="C17" s="3" t="n">
        <v>2.9</v>
      </c>
      <c r="D17" s="3" t="n">
        <v>2.9</v>
      </c>
      <c r="E17" s="3" t="n">
        <v>2.9</v>
      </c>
      <c r="F17" s="3" t="n">
        <v>2.9</v>
      </c>
      <c r="G17" s="3" t="n">
        <v>2.9</v>
      </c>
      <c r="H17" s="3" t="n">
        <v>2.9</v>
      </c>
      <c r="I17" s="3" t="n">
        <v>2.9</v>
      </c>
      <c r="J17" s="3" t="n">
        <v>2.9</v>
      </c>
      <c r="K17" s="3" t="n">
        <v>2.9</v>
      </c>
      <c r="L17" s="3" t="n">
        <v>2.9</v>
      </c>
    </row>
    <row r="18" customFormat="false" ht="15" hidden="false" customHeight="false" outlineLevel="0" collapsed="false">
      <c r="A18" s="0" t="s">
        <v>106</v>
      </c>
      <c r="C18" s="3" t="n">
        <v>6</v>
      </c>
      <c r="D18" s="3" t="n">
        <v>6</v>
      </c>
      <c r="E18" s="3" t="n">
        <v>6</v>
      </c>
      <c r="F18" s="3" t="n">
        <v>6</v>
      </c>
      <c r="G18" s="3" t="n">
        <v>6</v>
      </c>
      <c r="H18" s="3" t="n">
        <v>6</v>
      </c>
      <c r="I18" s="3" t="n">
        <v>6</v>
      </c>
      <c r="J18" s="3" t="n">
        <v>6</v>
      </c>
      <c r="K18" s="3" t="n">
        <v>6</v>
      </c>
      <c r="L18" s="3" t="n">
        <v>6</v>
      </c>
    </row>
    <row r="19" customFormat="false" ht="15" hidden="false" customHeight="false" outlineLevel="0" collapsed="false">
      <c r="A19" s="0" t="s">
        <v>107</v>
      </c>
      <c r="C19" s="3" t="n">
        <v>26</v>
      </c>
      <c r="D19" s="3" t="n">
        <v>26</v>
      </c>
      <c r="E19" s="3" t="n">
        <v>26</v>
      </c>
      <c r="F19" s="3" t="n">
        <v>26</v>
      </c>
      <c r="G19" s="3" t="n">
        <v>26</v>
      </c>
      <c r="H19" s="3" t="n">
        <v>26</v>
      </c>
      <c r="I19" s="3" t="n">
        <v>26</v>
      </c>
      <c r="J19" s="3" t="n">
        <v>26</v>
      </c>
      <c r="K19" s="3" t="n">
        <v>26</v>
      </c>
      <c r="L19" s="3" t="n">
        <v>26</v>
      </c>
    </row>
    <row r="20" customFormat="false" ht="15" hidden="false" customHeight="false" outlineLevel="0" collapsed="false">
      <c r="A20" s="0" t="s">
        <v>108</v>
      </c>
      <c r="B20" s="3" t="n">
        <v>7</v>
      </c>
    </row>
    <row r="21" customFormat="false" ht="15" hidden="false" customHeight="false" outlineLevel="0" collapsed="false">
      <c r="A21" s="0" t="s">
        <v>109</v>
      </c>
      <c r="B21" s="3" t="n">
        <v>1.5</v>
      </c>
    </row>
    <row r="22" customFormat="false" ht="15" hidden="false" customHeight="false" outlineLevel="0" collapsed="false">
      <c r="A22" s="0" t="s">
        <v>110</v>
      </c>
      <c r="B22" s="3" t="n">
        <v>18</v>
      </c>
    </row>
    <row r="23" customFormat="false" ht="15" hidden="false" customHeight="false" outlineLevel="0" collapsed="false">
      <c r="A23" s="0" t="s">
        <v>111</v>
      </c>
      <c r="B23" s="3" t="n">
        <v>-35</v>
      </c>
    </row>
    <row r="24" customFormat="false" ht="15" hidden="false" customHeight="false" outlineLevel="0" collapsed="false">
      <c r="A24" s="0" t="s">
        <v>112</v>
      </c>
      <c r="B24" s="3" t="n">
        <v>0.25</v>
      </c>
    </row>
    <row r="26" customFormat="false" ht="15" hidden="false" customHeight="false" outlineLevel="0" collapsed="false">
      <c r="A26" s="2" t="s">
        <v>113</v>
      </c>
      <c r="C26" s="2" t="s">
        <v>91</v>
      </c>
      <c r="D26" s="2" t="s">
        <v>92</v>
      </c>
      <c r="E26" s="2" t="s">
        <v>93</v>
      </c>
      <c r="F26" s="2" t="s">
        <v>94</v>
      </c>
      <c r="G26" s="2" t="s">
        <v>95</v>
      </c>
      <c r="H26" s="2" t="s">
        <v>96</v>
      </c>
      <c r="I26" s="2" t="s">
        <v>97</v>
      </c>
      <c r="J26" s="2" t="s">
        <v>98</v>
      </c>
      <c r="K26" s="2" t="s">
        <v>99</v>
      </c>
      <c r="L26" s="2" t="s">
        <v>100</v>
      </c>
    </row>
    <row r="27" customFormat="false" ht="15" hidden="false" customHeight="false" outlineLevel="0" collapsed="false">
      <c r="A27" s="0" t="s">
        <v>101</v>
      </c>
      <c r="C27" s="3" t="n">
        <v>-1</v>
      </c>
      <c r="D27" s="3" t="n">
        <v>3</v>
      </c>
      <c r="E27" s="3" t="n">
        <v>4</v>
      </c>
      <c r="F27" s="3" t="n">
        <v>3.5</v>
      </c>
      <c r="G27" s="3" t="n">
        <v>3</v>
      </c>
      <c r="H27" s="3" t="n">
        <v>3</v>
      </c>
      <c r="I27" s="3" t="n">
        <v>2.5</v>
      </c>
      <c r="J27" s="3" t="n">
        <v>2.5</v>
      </c>
      <c r="K27" s="3" t="n">
        <v>2.5</v>
      </c>
      <c r="L27" s="3" t="n">
        <v>2</v>
      </c>
    </row>
    <row r="28" customFormat="false" ht="15" hidden="false" customHeight="false" outlineLevel="0" collapsed="false">
      <c r="A28" s="0" t="s">
        <v>102</v>
      </c>
      <c r="C28" s="3" t="n">
        <v>27.5</v>
      </c>
      <c r="D28" s="3" t="n">
        <v>28</v>
      </c>
      <c r="E28" s="3" t="n">
        <v>28.5</v>
      </c>
      <c r="F28" s="3" t="n">
        <v>29</v>
      </c>
      <c r="G28" s="3" t="n">
        <v>29.5</v>
      </c>
      <c r="H28" s="3" t="n">
        <v>29.5</v>
      </c>
      <c r="I28" s="3" t="n">
        <v>29.5</v>
      </c>
      <c r="J28" s="3" t="n">
        <v>29.5</v>
      </c>
      <c r="K28" s="3" t="n">
        <v>29.5</v>
      </c>
      <c r="L28" s="3" t="n">
        <v>29.5</v>
      </c>
    </row>
    <row r="29" customFormat="false" ht="15" hidden="false" customHeight="false" outlineLevel="0" collapsed="false">
      <c r="A29" s="0" t="s">
        <v>103</v>
      </c>
      <c r="C29" s="3" t="n">
        <v>0.25</v>
      </c>
      <c r="D29" s="3" t="n">
        <v>0.25</v>
      </c>
      <c r="E29" s="3" t="n">
        <v>0.25</v>
      </c>
      <c r="F29" s="3" t="n">
        <v>0.25</v>
      </c>
      <c r="G29" s="3" t="n">
        <v>0.25</v>
      </c>
      <c r="H29" s="3" t="n">
        <v>0.25</v>
      </c>
      <c r="I29" s="3" t="n">
        <v>0.25</v>
      </c>
      <c r="J29" s="3" t="n">
        <v>0.25</v>
      </c>
      <c r="K29" s="3" t="n">
        <v>0.25</v>
      </c>
      <c r="L29" s="3" t="n">
        <v>0.25</v>
      </c>
    </row>
    <row r="30" customFormat="false" ht="15" hidden="false" customHeight="false" outlineLevel="0" collapsed="false">
      <c r="A30" s="0" t="s">
        <v>104</v>
      </c>
      <c r="C30" s="3" t="n">
        <v>1.3</v>
      </c>
      <c r="D30" s="3" t="n">
        <v>1.3</v>
      </c>
      <c r="E30" s="3" t="n">
        <v>1.3</v>
      </c>
      <c r="F30" s="3" t="n">
        <v>1.3</v>
      </c>
      <c r="G30" s="3" t="n">
        <v>1.3</v>
      </c>
      <c r="H30" s="3" t="n">
        <v>1.3</v>
      </c>
      <c r="I30" s="3" t="n">
        <v>1.3</v>
      </c>
      <c r="J30" s="3" t="n">
        <v>1.3</v>
      </c>
      <c r="K30" s="3" t="n">
        <v>1.3</v>
      </c>
      <c r="L30" s="3" t="n">
        <v>1.3</v>
      </c>
    </row>
    <row r="31" customFormat="false" ht="15" hidden="false" customHeight="false" outlineLevel="0" collapsed="false">
      <c r="A31" s="0" t="s">
        <v>105</v>
      </c>
      <c r="C31" s="3" t="n">
        <v>2.9</v>
      </c>
      <c r="D31" s="3" t="n">
        <v>2.9</v>
      </c>
      <c r="E31" s="3" t="n">
        <v>2.9</v>
      </c>
      <c r="F31" s="3" t="n">
        <v>2.9</v>
      </c>
      <c r="G31" s="3" t="n">
        <v>2.9</v>
      </c>
      <c r="H31" s="3" t="n">
        <v>2.9</v>
      </c>
      <c r="I31" s="3" t="n">
        <v>2.9</v>
      </c>
      <c r="J31" s="3" t="n">
        <v>2.9</v>
      </c>
      <c r="K31" s="3" t="n">
        <v>2.9</v>
      </c>
      <c r="L31" s="3" t="n">
        <v>2.9</v>
      </c>
    </row>
    <row r="32" customFormat="false" ht="15" hidden="false" customHeight="false" outlineLevel="0" collapsed="false">
      <c r="A32" s="0" t="s">
        <v>106</v>
      </c>
      <c r="C32" s="3" t="n">
        <v>5.5</v>
      </c>
      <c r="D32" s="3" t="n">
        <v>5.5</v>
      </c>
      <c r="E32" s="3" t="n">
        <v>5.5</v>
      </c>
      <c r="F32" s="3" t="n">
        <v>5.5</v>
      </c>
      <c r="G32" s="3" t="n">
        <v>5.5</v>
      </c>
      <c r="H32" s="3" t="n">
        <v>5.5</v>
      </c>
      <c r="I32" s="3" t="n">
        <v>5.5</v>
      </c>
      <c r="J32" s="3" t="n">
        <v>5.5</v>
      </c>
      <c r="K32" s="3" t="n">
        <v>5.5</v>
      </c>
      <c r="L32" s="3" t="n">
        <v>5.5</v>
      </c>
    </row>
    <row r="33" customFormat="false" ht="15" hidden="false" customHeight="false" outlineLevel="0" collapsed="false">
      <c r="A33" s="0" t="s">
        <v>107</v>
      </c>
      <c r="C33" s="3" t="n">
        <v>26</v>
      </c>
      <c r="D33" s="3" t="n">
        <v>26</v>
      </c>
      <c r="E33" s="3" t="n">
        <v>26</v>
      </c>
      <c r="F33" s="3" t="n">
        <v>26</v>
      </c>
      <c r="G33" s="3" t="n">
        <v>26</v>
      </c>
      <c r="H33" s="3" t="n">
        <v>26</v>
      </c>
      <c r="I33" s="3" t="n">
        <v>26</v>
      </c>
      <c r="J33" s="3" t="n">
        <v>26</v>
      </c>
      <c r="K33" s="3" t="n">
        <v>26</v>
      </c>
      <c r="L33" s="3" t="n">
        <v>26</v>
      </c>
    </row>
    <row r="34" customFormat="false" ht="15" hidden="false" customHeight="false" outlineLevel="0" collapsed="false">
      <c r="A34" s="0" t="s">
        <v>108</v>
      </c>
      <c r="B34" s="3" t="n">
        <v>7</v>
      </c>
    </row>
    <row r="35" customFormat="false" ht="15" hidden="false" customHeight="false" outlineLevel="0" collapsed="false">
      <c r="A35" s="0" t="s">
        <v>109</v>
      </c>
      <c r="B35" s="3" t="n">
        <v>2</v>
      </c>
    </row>
    <row r="36" customFormat="false" ht="15" hidden="false" customHeight="false" outlineLevel="0" collapsed="false">
      <c r="A36" s="0" t="s">
        <v>110</v>
      </c>
      <c r="B36" s="3" t="n">
        <v>18</v>
      </c>
    </row>
    <row r="37" customFormat="false" ht="15" hidden="false" customHeight="false" outlineLevel="0" collapsed="false">
      <c r="A37" s="0" t="s">
        <v>111</v>
      </c>
      <c r="B37" s="3" t="n">
        <v>-35</v>
      </c>
    </row>
    <row r="38" customFormat="false" ht="15" hidden="false" customHeight="false" outlineLevel="0" collapsed="false">
      <c r="A38" s="0" t="s">
        <v>112</v>
      </c>
      <c r="B38" s="3" t="n">
        <v>0.5</v>
      </c>
    </row>
    <row r="40" customFormat="false" ht="15" hidden="false" customHeight="false" outlineLevel="0" collapsed="false">
      <c r="A40" s="2" t="s">
        <v>114</v>
      </c>
      <c r="C40" s="2" t="s">
        <v>91</v>
      </c>
      <c r="D40" s="2" t="s">
        <v>92</v>
      </c>
      <c r="E40" s="2" t="s">
        <v>93</v>
      </c>
      <c r="F40" s="2" t="s">
        <v>94</v>
      </c>
      <c r="G40" s="2" t="s">
        <v>95</v>
      </c>
      <c r="H40" s="2" t="s">
        <v>96</v>
      </c>
      <c r="I40" s="2" t="s">
        <v>97</v>
      </c>
      <c r="J40" s="2" t="s">
        <v>98</v>
      </c>
      <c r="K40" s="2" t="s">
        <v>99</v>
      </c>
      <c r="L40" s="2" t="s">
        <v>100</v>
      </c>
    </row>
    <row r="41" customFormat="false" ht="15" hidden="false" customHeight="false" outlineLevel="0" collapsed="false">
      <c r="A41" s="0" t="s">
        <v>101</v>
      </c>
      <c r="C41" s="3" t="n">
        <v>1</v>
      </c>
      <c r="D41" s="3" t="n">
        <v>5</v>
      </c>
      <c r="E41" s="3" t="n">
        <v>6</v>
      </c>
      <c r="F41" s="3" t="n">
        <v>5</v>
      </c>
      <c r="G41" s="3" t="n">
        <v>4.5</v>
      </c>
      <c r="H41" s="3" t="n">
        <v>4</v>
      </c>
      <c r="I41" s="3" t="n">
        <v>3.5</v>
      </c>
      <c r="J41" s="3" t="n">
        <v>3</v>
      </c>
      <c r="K41" s="3" t="n">
        <v>3</v>
      </c>
      <c r="L41" s="3" t="n">
        <v>2.5</v>
      </c>
    </row>
    <row r="42" customFormat="false" ht="15" hidden="false" customHeight="false" outlineLevel="0" collapsed="false">
      <c r="A42" s="0" t="s">
        <v>102</v>
      </c>
      <c r="C42" s="3" t="n">
        <v>28</v>
      </c>
      <c r="D42" s="3" t="n">
        <v>29</v>
      </c>
      <c r="E42" s="3" t="n">
        <v>30</v>
      </c>
      <c r="F42" s="3" t="n">
        <v>30.5</v>
      </c>
      <c r="G42" s="3" t="n">
        <v>31</v>
      </c>
      <c r="H42" s="3" t="n">
        <v>31.5</v>
      </c>
      <c r="I42" s="3" t="n">
        <v>31.5</v>
      </c>
      <c r="J42" s="3" t="n">
        <v>31.5</v>
      </c>
      <c r="K42" s="3" t="n">
        <v>31.5</v>
      </c>
      <c r="L42" s="3" t="n">
        <v>31.5</v>
      </c>
    </row>
    <row r="43" customFormat="false" ht="15" hidden="false" customHeight="false" outlineLevel="0" collapsed="false">
      <c r="A43" s="0" t="s">
        <v>103</v>
      </c>
      <c r="C43" s="3" t="n">
        <v>0.25</v>
      </c>
      <c r="D43" s="3" t="n">
        <v>0.25</v>
      </c>
      <c r="E43" s="3" t="n">
        <v>0.25</v>
      </c>
      <c r="F43" s="3" t="n">
        <v>0.25</v>
      </c>
      <c r="G43" s="3" t="n">
        <v>0.25</v>
      </c>
      <c r="H43" s="3" t="n">
        <v>0.25</v>
      </c>
      <c r="I43" s="3" t="n">
        <v>0.25</v>
      </c>
      <c r="J43" s="3" t="n">
        <v>0.25</v>
      </c>
      <c r="K43" s="3" t="n">
        <v>0.25</v>
      </c>
      <c r="L43" s="3" t="n">
        <v>0.25</v>
      </c>
    </row>
    <row r="44" customFormat="false" ht="15" hidden="false" customHeight="false" outlineLevel="0" collapsed="false">
      <c r="A44" s="0" t="s">
        <v>104</v>
      </c>
      <c r="C44" s="3" t="n">
        <v>1.3</v>
      </c>
      <c r="D44" s="3" t="n">
        <v>1.3</v>
      </c>
      <c r="E44" s="3" t="n">
        <v>1.3</v>
      </c>
      <c r="F44" s="3" t="n">
        <v>1.3</v>
      </c>
      <c r="G44" s="3" t="n">
        <v>1.3</v>
      </c>
      <c r="H44" s="3" t="n">
        <v>1.3</v>
      </c>
      <c r="I44" s="3" t="n">
        <v>1.3</v>
      </c>
      <c r="J44" s="3" t="n">
        <v>1.3</v>
      </c>
      <c r="K44" s="3" t="n">
        <v>1.3</v>
      </c>
      <c r="L44" s="3" t="n">
        <v>1.3</v>
      </c>
    </row>
    <row r="45" customFormat="false" ht="15" hidden="false" customHeight="false" outlineLevel="0" collapsed="false">
      <c r="A45" s="0" t="s">
        <v>105</v>
      </c>
      <c r="C45" s="3" t="n">
        <v>2.9</v>
      </c>
      <c r="D45" s="3" t="n">
        <v>2.9</v>
      </c>
      <c r="E45" s="3" t="n">
        <v>2.9</v>
      </c>
      <c r="F45" s="3" t="n">
        <v>2.9</v>
      </c>
      <c r="G45" s="3" t="n">
        <v>2.9</v>
      </c>
      <c r="H45" s="3" t="n">
        <v>2.9</v>
      </c>
      <c r="I45" s="3" t="n">
        <v>2.9</v>
      </c>
      <c r="J45" s="3" t="n">
        <v>2.9</v>
      </c>
      <c r="K45" s="3" t="n">
        <v>2.9</v>
      </c>
      <c r="L45" s="3" t="n">
        <v>2.9</v>
      </c>
    </row>
    <row r="46" customFormat="false" ht="15" hidden="false" customHeight="false" outlineLevel="0" collapsed="false">
      <c r="A46" s="0" t="s">
        <v>106</v>
      </c>
      <c r="C46" s="3" t="n">
        <v>5</v>
      </c>
      <c r="D46" s="3" t="n">
        <v>5</v>
      </c>
      <c r="E46" s="3" t="n">
        <v>5</v>
      </c>
      <c r="F46" s="3" t="n">
        <v>5</v>
      </c>
      <c r="G46" s="3" t="n">
        <v>5</v>
      </c>
      <c r="H46" s="3" t="n">
        <v>5</v>
      </c>
      <c r="I46" s="3" t="n">
        <v>5</v>
      </c>
      <c r="J46" s="3" t="n">
        <v>5</v>
      </c>
      <c r="K46" s="3" t="n">
        <v>5</v>
      </c>
      <c r="L46" s="3" t="n">
        <v>5</v>
      </c>
    </row>
    <row r="47" customFormat="false" ht="15" hidden="false" customHeight="false" outlineLevel="0" collapsed="false">
      <c r="A47" s="0" t="s">
        <v>107</v>
      </c>
      <c r="C47" s="3" t="n">
        <v>26</v>
      </c>
      <c r="D47" s="3" t="n">
        <v>26</v>
      </c>
      <c r="E47" s="3" t="n">
        <v>26</v>
      </c>
      <c r="F47" s="3" t="n">
        <v>26</v>
      </c>
      <c r="G47" s="3" t="n">
        <v>26</v>
      </c>
      <c r="H47" s="3" t="n">
        <v>26</v>
      </c>
      <c r="I47" s="3" t="n">
        <v>26</v>
      </c>
      <c r="J47" s="3" t="n">
        <v>26</v>
      </c>
      <c r="K47" s="3" t="n">
        <v>26</v>
      </c>
      <c r="L47" s="3" t="n">
        <v>26</v>
      </c>
    </row>
    <row r="48" customFormat="false" ht="15" hidden="false" customHeight="false" outlineLevel="0" collapsed="false">
      <c r="A48" s="0" t="s">
        <v>108</v>
      </c>
      <c r="B48" s="3" t="n">
        <v>7</v>
      </c>
    </row>
    <row r="49" customFormat="false" ht="15" hidden="false" customHeight="false" outlineLevel="0" collapsed="false">
      <c r="A49" s="0" t="s">
        <v>109</v>
      </c>
      <c r="B49" s="3" t="n">
        <v>2.5</v>
      </c>
    </row>
    <row r="50" customFormat="false" ht="15" hidden="false" customHeight="false" outlineLevel="0" collapsed="false">
      <c r="A50" s="0" t="s">
        <v>110</v>
      </c>
      <c r="B50" s="3" t="n">
        <v>18</v>
      </c>
    </row>
    <row r="51" customFormat="false" ht="15" hidden="false" customHeight="false" outlineLevel="0" collapsed="false">
      <c r="A51" s="0" t="s">
        <v>111</v>
      </c>
      <c r="B51" s="3" t="n">
        <v>-35</v>
      </c>
    </row>
    <row r="52" customFormat="false" ht="15" hidden="false" customHeight="false" outlineLevel="0" collapsed="false">
      <c r="A52" s="0" t="s">
        <v>112</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115</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Assumptions!C13</f>
        <v>-5</v>
      </c>
      <c r="D5" s="4" t="n">
        <f aca="false">Assumptions!D13</f>
        <v>-1</v>
      </c>
      <c r="E5" s="4" t="n">
        <f aca="false">Assumptions!E13</f>
        <v>1</v>
      </c>
      <c r="F5" s="4" t="n">
        <f aca="false">Assumptions!F13</f>
        <v>2</v>
      </c>
      <c r="G5" s="4" t="n">
        <f aca="false">Assumptions!G13</f>
        <v>2</v>
      </c>
      <c r="H5" s="4" t="n">
        <f aca="false">Assumptions!H13</f>
        <v>2</v>
      </c>
      <c r="I5" s="4" t="n">
        <f aca="false">Assumptions!I13</f>
        <v>2</v>
      </c>
      <c r="J5" s="4" t="n">
        <f aca="false">Assumptions!J13</f>
        <v>1.5</v>
      </c>
      <c r="K5" s="4" t="n">
        <f aca="false">Assumptions!K13</f>
        <v>1.5</v>
      </c>
      <c r="L5" s="4" t="n">
        <f aca="false">Assumptions!L13</f>
        <v>1.5</v>
      </c>
    </row>
    <row r="6" customFormat="false" ht="15" hidden="false" customHeight="false" outlineLevel="0" collapsed="false">
      <c r="A6" s="0" t="s">
        <v>37</v>
      </c>
      <c r="B6" s="3" t="n">
        <v>9404</v>
      </c>
      <c r="C6" s="0" t="n">
        <f aca="false">B6*(1+C5/100)</f>
        <v>8933.8</v>
      </c>
      <c r="D6" s="0" t="n">
        <f aca="false">C6*(1+D5/100)</f>
        <v>8844.462</v>
      </c>
      <c r="E6" s="0" t="n">
        <f aca="false">D6*(1+E5/100)</f>
        <v>8932.90662</v>
      </c>
      <c r="F6" s="0" t="n">
        <f aca="false">E6*(1+F5/100)</f>
        <v>9111.5647524</v>
      </c>
      <c r="G6" s="0" t="n">
        <f aca="false">F6*(1+G5/100)</f>
        <v>9293.796047448</v>
      </c>
      <c r="H6" s="0" t="n">
        <f aca="false">G6*(1+H5/100)</f>
        <v>9479.67196839696</v>
      </c>
      <c r="I6" s="0" t="n">
        <f aca="false">H6*(1+I5/100)</f>
        <v>9669.2654077649</v>
      </c>
      <c r="J6" s="0" t="n">
        <f aca="false">I6*(1+J5/100)</f>
        <v>9814.30438888137</v>
      </c>
      <c r="K6" s="0" t="n">
        <f aca="false">J6*(1+K5/100)</f>
        <v>9961.51895471459</v>
      </c>
      <c r="L6" s="0" t="n">
        <f aca="false">K6*(1+L5/100)</f>
        <v>10110.9417390353</v>
      </c>
    </row>
    <row r="7" customFormat="false" ht="15" hidden="false" customHeight="false" outlineLevel="0" collapsed="false">
      <c r="A7" s="0" t="s">
        <v>102</v>
      </c>
      <c r="C7" s="4" t="n">
        <f aca="false">Assumptions!C14</f>
        <v>26</v>
      </c>
      <c r="D7" s="4" t="n">
        <f aca="false">Assumptions!D14</f>
        <v>26</v>
      </c>
      <c r="E7" s="4" t="n">
        <f aca="false">Assumptions!E14</f>
        <v>26</v>
      </c>
      <c r="F7" s="4" t="n">
        <f aca="false">Assumptions!F14</f>
        <v>26.5</v>
      </c>
      <c r="G7" s="4" t="n">
        <f aca="false">Assumptions!G14</f>
        <v>26.5</v>
      </c>
      <c r="H7" s="4" t="n">
        <f aca="false">Assumptions!H14</f>
        <v>26.5</v>
      </c>
      <c r="I7" s="4" t="n">
        <f aca="false">Assumptions!I14</f>
        <v>26.5</v>
      </c>
      <c r="J7" s="4" t="n">
        <f aca="false">Assumptions!J14</f>
        <v>26.5</v>
      </c>
      <c r="K7" s="4" t="n">
        <f aca="false">Assumptions!K14</f>
        <v>26.5</v>
      </c>
      <c r="L7" s="4" t="n">
        <f aca="false">Assumptions!L14</f>
        <v>26.5</v>
      </c>
    </row>
    <row r="8" customFormat="false" ht="15" hidden="false" customHeight="false" outlineLevel="0" collapsed="false">
      <c r="A8" s="0" t="s">
        <v>43</v>
      </c>
      <c r="C8" s="0" t="n">
        <f aca="false">C6*C7/100</f>
        <v>2322.788</v>
      </c>
      <c r="D8" s="0" t="n">
        <f aca="false">D6*D7/100</f>
        <v>2299.56012</v>
      </c>
      <c r="E8" s="0" t="n">
        <f aca="false">E6*E7/100</f>
        <v>2322.5557212</v>
      </c>
      <c r="F8" s="0" t="n">
        <f aca="false">F6*F7/100</f>
        <v>2414.564659386</v>
      </c>
      <c r="G8" s="0" t="n">
        <f aca="false">G6*G7/100</f>
        <v>2462.85595257372</v>
      </c>
      <c r="H8" s="0" t="n">
        <f aca="false">H6*H7/100</f>
        <v>2512.11307162519</v>
      </c>
      <c r="I8" s="0" t="n">
        <f aca="false">I6*I7/100</f>
        <v>2562.3553330577</v>
      </c>
      <c r="J8" s="0" t="n">
        <f aca="false">J6*J7/100</f>
        <v>2600.79066305356</v>
      </c>
      <c r="K8" s="0" t="n">
        <f aca="false">K6*K7/100</f>
        <v>2639.80252299937</v>
      </c>
      <c r="L8" s="0" t="n">
        <f aca="false">L6*L7/100</f>
        <v>2679.39956084436</v>
      </c>
    </row>
    <row r="9" customFormat="false" ht="15" hidden="false" customHeight="false" outlineLevel="0" collapsed="false">
      <c r="A9" s="0" t="s">
        <v>103</v>
      </c>
      <c r="C9" s="4" t="n">
        <f aca="false">Assumptions!C15</f>
        <v>0.25</v>
      </c>
      <c r="D9" s="4" t="n">
        <f aca="false">Assumptions!D15</f>
        <v>0.25</v>
      </c>
      <c r="E9" s="4" t="n">
        <f aca="false">Assumptions!E15</f>
        <v>0.25</v>
      </c>
      <c r="F9" s="4" t="n">
        <f aca="false">Assumptions!F15</f>
        <v>0.25</v>
      </c>
      <c r="G9" s="4" t="n">
        <f aca="false">Assumptions!G15</f>
        <v>0.25</v>
      </c>
      <c r="H9" s="4" t="n">
        <f aca="false">Assumptions!H15</f>
        <v>0.25</v>
      </c>
      <c r="I9" s="4" t="n">
        <f aca="false">Assumptions!I15</f>
        <v>0.25</v>
      </c>
      <c r="J9" s="4" t="n">
        <f aca="false">Assumptions!J15</f>
        <v>0.25</v>
      </c>
      <c r="K9" s="4" t="n">
        <f aca="false">Assumptions!K15</f>
        <v>0.25</v>
      </c>
      <c r="L9" s="4" t="n">
        <f aca="false">Assumptions!L15</f>
        <v>0.25</v>
      </c>
    </row>
    <row r="10" customFormat="false" ht="15" hidden="false" customHeight="false" outlineLevel="0" collapsed="false">
      <c r="A10" s="0" t="s">
        <v>118</v>
      </c>
      <c r="C10" s="0" t="n">
        <f aca="false">-C6*C9/100</f>
        <v>-22.3345</v>
      </c>
      <c r="D10" s="0" t="n">
        <f aca="false">-D6*D9/100</f>
        <v>-22.111155</v>
      </c>
      <c r="E10" s="0" t="n">
        <f aca="false">-E6*E9/100</f>
        <v>-22.33226655</v>
      </c>
      <c r="F10" s="0" t="n">
        <f aca="false">-F6*F9/100</f>
        <v>-22.778911881</v>
      </c>
      <c r="G10" s="0" t="n">
        <f aca="false">-G6*G9/100</f>
        <v>-23.23449011862</v>
      </c>
      <c r="H10" s="0" t="n">
        <f aca="false">-H6*H9/100</f>
        <v>-23.6991799209924</v>
      </c>
      <c r="I10" s="0" t="n">
        <f aca="false">-I6*I9/100</f>
        <v>-24.1731635194123</v>
      </c>
      <c r="J10" s="0" t="n">
        <f aca="false">-J6*J9/100</f>
        <v>-24.5357609722034</v>
      </c>
      <c r="K10" s="0" t="n">
        <f aca="false">-K6*K9/100</f>
        <v>-24.9037973867865</v>
      </c>
      <c r="L10" s="0" t="n">
        <f aca="false">-L6*L9/100</f>
        <v>-25.2773543475883</v>
      </c>
    </row>
    <row r="11" customFormat="false" ht="15" hidden="false" customHeight="false" outlineLevel="0" collapsed="false">
      <c r="A11" s="0" t="s">
        <v>119</v>
      </c>
      <c r="C11" s="0" t="n">
        <f aca="false">C8+C10+C24</f>
        <v>2184.3141</v>
      </c>
      <c r="D11" s="0" t="n">
        <f aca="false">D8+D10+D24</f>
        <v>2162.470959</v>
      </c>
      <c r="E11" s="0" t="n">
        <f aca="false">E8+E10+E24</f>
        <v>2184.09566859</v>
      </c>
      <c r="F11" s="0" t="n">
        <f aca="false">F8+F10+F24</f>
        <v>2273.3354057238</v>
      </c>
      <c r="G11" s="0" t="n">
        <f aca="false">G8+G10+G24</f>
        <v>2318.80211383828</v>
      </c>
      <c r="H11" s="0" t="n">
        <f aca="false">H8+H10+H24</f>
        <v>2365.17815611504</v>
      </c>
      <c r="I11" s="0" t="n">
        <f aca="false">I8+I10+I24</f>
        <v>2412.48171923734</v>
      </c>
      <c r="J11" s="0" t="n">
        <f aca="false">J8+J10+J24</f>
        <v>2448.6689450259</v>
      </c>
      <c r="K11" s="0" t="n">
        <f aca="false">K8+K10+K24</f>
        <v>2485.39897920129</v>
      </c>
      <c r="L11" s="0" t="n">
        <f aca="false">L8+L10+L24</f>
        <v>2522.67996388931</v>
      </c>
    </row>
    <row r="12" customFormat="false" ht="15" hidden="false" customHeight="false" outlineLevel="0" collapsed="false">
      <c r="A12" s="0" t="s">
        <v>120</v>
      </c>
      <c r="C12" s="4" t="n">
        <f aca="false">-C6*Assumptions!C17/100</f>
        <v>-259.0802</v>
      </c>
      <c r="D12" s="4" t="n">
        <f aca="false">-D6*Assumptions!D17/100</f>
        <v>-256.489398</v>
      </c>
      <c r="E12" s="4" t="n">
        <f aca="false">-E6*Assumptions!E17/100</f>
        <v>-259.05429198</v>
      </c>
      <c r="F12" s="4" t="n">
        <f aca="false">-F6*Assumptions!F17/100</f>
        <v>-264.2353778196</v>
      </c>
      <c r="G12" s="4" t="n">
        <f aca="false">-G6*Assumptions!G17/100</f>
        <v>-269.520085375992</v>
      </c>
      <c r="H12" s="4" t="n">
        <f aca="false">-H6*Assumptions!H17/100</f>
        <v>-274.910487083512</v>
      </c>
      <c r="I12" s="4" t="n">
        <f aca="false">-I6*Assumptions!I17/100</f>
        <v>-280.408696825182</v>
      </c>
      <c r="J12" s="4" t="n">
        <f aca="false">-J6*Assumptions!J17/100</f>
        <v>-284.61482727756</v>
      </c>
      <c r="K12" s="4" t="n">
        <f aca="false">-K6*Assumptions!K17/100</f>
        <v>-288.884049686723</v>
      </c>
      <c r="L12" s="4" t="n">
        <f aca="false">-L6*Assumptions!L17/100</f>
        <v>-293.217310432024</v>
      </c>
    </row>
    <row r="13" customFormat="false" ht="15" hidden="false" customHeight="false" outlineLevel="0" collapsed="false">
      <c r="A13" s="0" t="s">
        <v>121</v>
      </c>
      <c r="C13" s="0" t="n">
        <f aca="false">C11+C12</f>
        <v>1925.2339</v>
      </c>
      <c r="D13" s="0" t="n">
        <f aca="false">D11+D12</f>
        <v>1905.981561</v>
      </c>
      <c r="E13" s="0" t="n">
        <f aca="false">E11+E12</f>
        <v>1925.04137661</v>
      </c>
      <c r="F13" s="0" t="n">
        <f aca="false">F11+F12</f>
        <v>2009.1000279042</v>
      </c>
      <c r="G13" s="0" t="n">
        <f aca="false">G11+G12</f>
        <v>2049.28202846228</v>
      </c>
      <c r="H13" s="0" t="n">
        <f aca="false">H11+H12</f>
        <v>2090.26766903153</v>
      </c>
      <c r="I13" s="0" t="n">
        <f aca="false">I11+I12</f>
        <v>2132.07302241216</v>
      </c>
      <c r="J13" s="0" t="n">
        <f aca="false">J11+J12</f>
        <v>2164.05411774834</v>
      </c>
      <c r="K13" s="0" t="n">
        <f aca="false">K11+K12</f>
        <v>2196.51492951457</v>
      </c>
      <c r="L13" s="0" t="n">
        <f aca="false">L11+L12</f>
        <v>2229.46265345729</v>
      </c>
    </row>
    <row r="14" customFormat="false" ht="15" hidden="false" customHeight="false" outlineLevel="0" collapsed="false">
      <c r="A14" s="0" t="s">
        <v>107</v>
      </c>
      <c r="C14" s="4" t="n">
        <f aca="false">Assumptions!C19</f>
        <v>26</v>
      </c>
      <c r="D14" s="4" t="n">
        <f aca="false">Assumptions!D19</f>
        <v>26</v>
      </c>
      <c r="E14" s="4" t="n">
        <f aca="false">Assumptions!E19</f>
        <v>26</v>
      </c>
      <c r="F14" s="4" t="n">
        <f aca="false">Assumptions!F19</f>
        <v>26</v>
      </c>
      <c r="G14" s="4" t="n">
        <f aca="false">Assumptions!G19</f>
        <v>26</v>
      </c>
      <c r="H14" s="4" t="n">
        <f aca="false">Assumptions!H19</f>
        <v>26</v>
      </c>
      <c r="I14" s="4" t="n">
        <f aca="false">Assumptions!I19</f>
        <v>26</v>
      </c>
      <c r="J14" s="4" t="n">
        <f aca="false">Assumptions!J19</f>
        <v>26</v>
      </c>
      <c r="K14" s="4" t="n">
        <f aca="false">Assumptions!K19</f>
        <v>26</v>
      </c>
      <c r="L14" s="4" t="n">
        <f aca="false">Assumptions!L19</f>
        <v>26</v>
      </c>
    </row>
    <row r="15" customFormat="false" ht="15" hidden="false" customHeight="false" outlineLevel="0" collapsed="false">
      <c r="A15" s="0" t="s">
        <v>122</v>
      </c>
      <c r="C15" s="0" t="n">
        <f aca="false">C13-MAX(0,C13)*C14/100</f>
        <v>1424.673086</v>
      </c>
      <c r="D15" s="0" t="n">
        <f aca="false">D13-MAX(0,D13)*D14/100</f>
        <v>1410.42635514</v>
      </c>
      <c r="E15" s="0" t="n">
        <f aca="false">E13-MAX(0,E13)*E14/100</f>
        <v>1424.5306186914</v>
      </c>
      <c r="F15" s="0" t="n">
        <f aca="false">F13-MAX(0,F13)*F14/100</f>
        <v>1486.73402064911</v>
      </c>
      <c r="G15" s="0" t="n">
        <f aca="false">G13-MAX(0,G13)*G14/100</f>
        <v>1516.46870106209</v>
      </c>
      <c r="H15" s="0" t="n">
        <f aca="false">H13-MAX(0,H13)*H14/100</f>
        <v>1546.79807508333</v>
      </c>
      <c r="I15" s="0" t="n">
        <f aca="false">I13-MAX(0,I13)*I14/100</f>
        <v>1577.734036585</v>
      </c>
      <c r="J15" s="0" t="n">
        <f aca="false">J13-MAX(0,J13)*J14/100</f>
        <v>1601.40004713377</v>
      </c>
      <c r="K15" s="0" t="n">
        <f aca="false">K13-MAX(0,K13)*K14/100</f>
        <v>1625.42104784078</v>
      </c>
      <c r="L15" s="0" t="n">
        <f aca="false">L13-MAX(0,L13)*L14/100</f>
        <v>1649.80236355839</v>
      </c>
    </row>
    <row r="16" customFormat="false" ht="15" hidden="false" customHeight="false" outlineLevel="0" collapsed="false">
      <c r="A16" s="0" t="s">
        <v>123</v>
      </c>
      <c r="C16" s="0" t="n">
        <f aca="false">-C12</f>
        <v>259.0802</v>
      </c>
      <c r="D16" s="0" t="n">
        <f aca="false">-D12</f>
        <v>256.489398</v>
      </c>
      <c r="E16" s="0" t="n">
        <f aca="false">-E12</f>
        <v>259.05429198</v>
      </c>
      <c r="F16" s="0" t="n">
        <f aca="false">-F12</f>
        <v>264.2353778196</v>
      </c>
      <c r="G16" s="0" t="n">
        <f aca="false">-G12</f>
        <v>269.520085375992</v>
      </c>
      <c r="H16" s="0" t="n">
        <f aca="false">-H12</f>
        <v>274.910487083512</v>
      </c>
      <c r="I16" s="0" t="n">
        <f aca="false">-I12</f>
        <v>280.408696825182</v>
      </c>
      <c r="J16" s="0" t="n">
        <f aca="false">-J12</f>
        <v>284.61482727756</v>
      </c>
      <c r="K16" s="0" t="n">
        <f aca="false">-K12</f>
        <v>288.884049686723</v>
      </c>
      <c r="L16" s="0" t="n">
        <f aca="false">-L12</f>
        <v>293.217310432024</v>
      </c>
    </row>
    <row r="17" customFormat="false" ht="15" hidden="false" customHeight="false" outlineLevel="0" collapsed="false">
      <c r="A17" s="0" t="s">
        <v>124</v>
      </c>
      <c r="C17" s="4" t="n">
        <f aca="false">-C6*Assumptions!C18/100</f>
        <v>-536.028</v>
      </c>
      <c r="D17" s="4" t="n">
        <f aca="false">-D6*Assumptions!D18/100</f>
        <v>-530.66772</v>
      </c>
      <c r="E17" s="4" t="n">
        <f aca="false">-E6*Assumptions!E18/100</f>
        <v>-535.9743972</v>
      </c>
      <c r="F17" s="4" t="n">
        <f aca="false">-F6*Assumptions!F18/100</f>
        <v>-546.693885144</v>
      </c>
      <c r="G17" s="4" t="n">
        <f aca="false">-G6*Assumptions!G18/100</f>
        <v>-557.62776284688</v>
      </c>
      <c r="H17" s="4" t="n">
        <f aca="false">-H6*Assumptions!H18/100</f>
        <v>-568.780318103818</v>
      </c>
      <c r="I17" s="4" t="n">
        <f aca="false">-I6*Assumptions!I18/100</f>
        <v>-580.155924465894</v>
      </c>
      <c r="J17" s="4" t="n">
        <f aca="false">-J6*Assumptions!J18/100</f>
        <v>-588.858263332882</v>
      </c>
      <c r="K17" s="4" t="n">
        <f aca="false">-K6*Assumptions!K18/100</f>
        <v>-597.691137282876</v>
      </c>
      <c r="L17" s="4" t="n">
        <f aca="false">-L6*Assumptions!L18/100</f>
        <v>-606.656504342119</v>
      </c>
    </row>
    <row r="18" customFormat="false" ht="15" hidden="false" customHeight="false" outlineLevel="0" collapsed="false">
      <c r="A18" s="0" t="s">
        <v>125</v>
      </c>
      <c r="C18" s="4" t="n">
        <f aca="false">(C6-B6)*Assumptions!$B$23/100</f>
        <v>164.57</v>
      </c>
      <c r="D18" s="4" t="n">
        <f aca="false">(D6-C6)*Assumptions!$B$23/100</f>
        <v>31.2682999999999</v>
      </c>
      <c r="E18" s="4" t="n">
        <f aca="false">(E6-D6)*Assumptions!$B$23/100</f>
        <v>-30.9556170000001</v>
      </c>
      <c r="F18" s="4" t="n">
        <f aca="false">(F6-E6)*Assumptions!$B$23/100</f>
        <v>-62.53034634</v>
      </c>
      <c r="G18" s="4" t="n">
        <f aca="false">(G6-F6)*Assumptions!$B$23/100</f>
        <v>-63.7809532668003</v>
      </c>
      <c r="H18" s="4" t="n">
        <f aca="false">(H6-G6)*Assumptions!$B$23/100</f>
        <v>-65.056572332136</v>
      </c>
      <c r="I18" s="4" t="n">
        <f aca="false">(I6-H6)*Assumptions!$B$23/100</f>
        <v>-66.357703778779</v>
      </c>
      <c r="J18" s="4" t="n">
        <f aca="false">(J6-I6)*Assumptions!$B$23/100</f>
        <v>-50.7636433907656</v>
      </c>
      <c r="K18" s="4" t="n">
        <f aca="false">(K6-J6)*Assumptions!$B$23/100</f>
        <v>-51.5250980416267</v>
      </c>
      <c r="L18" s="4" t="n">
        <f aca="false">(L6-K6)*Assumptions!$B$23/100</f>
        <v>-52.297974512251</v>
      </c>
    </row>
    <row r="19" customFormat="false" ht="15" hidden="false" customHeight="false" outlineLevel="0" collapsed="false">
      <c r="A19" s="0" t="s">
        <v>126</v>
      </c>
      <c r="C19" s="0" t="n">
        <f aca="false">C15+C16+C17+C18</f>
        <v>1312.295286</v>
      </c>
      <c r="D19" s="0" t="n">
        <f aca="false">D15+D16+D17+D18</f>
        <v>1167.51633314</v>
      </c>
      <c r="E19" s="0" t="n">
        <f aca="false">E15+E16+E17+E18</f>
        <v>1116.6548964714</v>
      </c>
      <c r="F19" s="0" t="n">
        <f aca="false">F15+F16+F17+F18</f>
        <v>1141.74516698471</v>
      </c>
      <c r="G19" s="0" t="n">
        <f aca="false">G15+G16+G17+G18</f>
        <v>1164.5800703244</v>
      </c>
      <c r="H19" s="0" t="n">
        <f aca="false">H15+H16+H17+H18</f>
        <v>1187.87167173089</v>
      </c>
      <c r="I19" s="0" t="n">
        <f aca="false">I15+I16+I17+I18</f>
        <v>1211.62910516551</v>
      </c>
      <c r="J19" s="0" t="n">
        <f aca="false">J15+J16+J17+J18</f>
        <v>1246.39296768769</v>
      </c>
      <c r="K19" s="0" t="n">
        <f aca="false">K15+K16+K17+K18</f>
        <v>1265.088862203</v>
      </c>
      <c r="L19" s="0" t="n">
        <f aca="false">L15+L16+L17+L18</f>
        <v>1284.06519513605</v>
      </c>
    </row>
    <row r="20" customFormat="false" ht="15" hidden="false" customHeight="false" outlineLevel="0" collapsed="false">
      <c r="A20" s="0" t="s">
        <v>127</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128</v>
      </c>
      <c r="C21" s="0" t="n">
        <f aca="false">C19*C20</f>
        <v>1226.44419252337</v>
      </c>
      <c r="D21" s="0" t="n">
        <f aca="false">D19*D20</f>
        <v>1019.75398125601</v>
      </c>
      <c r="E21" s="0" t="n">
        <f aca="false">E19*E20</f>
        <v>911.523021209378</v>
      </c>
      <c r="F21" s="0" t="n">
        <f aca="false">F19*F20</f>
        <v>871.031921271036</v>
      </c>
      <c r="G21" s="0" t="n">
        <f aca="false">G19*G20</f>
        <v>830.329495043417</v>
      </c>
      <c r="H21" s="0" t="n">
        <f aca="false">H19*H20</f>
        <v>791.5290513498</v>
      </c>
      <c r="I21" s="0" t="n">
        <f aca="false">I19*I20</f>
        <v>754.541712501678</v>
      </c>
      <c r="J21" s="0" t="n">
        <f aca="false">J19*J20</f>
        <v>725.41205506007</v>
      </c>
      <c r="K21" s="0" t="n">
        <f aca="false">K19*K20</f>
        <v>688.1245195196</v>
      </c>
      <c r="L21" s="0" t="n">
        <f aca="false">L19*L20</f>
        <v>652.753633002237</v>
      </c>
    </row>
    <row r="23" customFormat="false" ht="15" hidden="false" customHeight="false" outlineLevel="0" collapsed="false">
      <c r="A23" s="0" t="s">
        <v>104</v>
      </c>
      <c r="C23" s="4" t="n">
        <f aca="false">Assumptions!C16</f>
        <v>1.3</v>
      </c>
      <c r="D23" s="4" t="n">
        <f aca="false">Assumptions!D16</f>
        <v>1.3</v>
      </c>
      <c r="E23" s="4" t="n">
        <f aca="false">Assumptions!E16</f>
        <v>1.3</v>
      </c>
      <c r="F23" s="4" t="n">
        <f aca="false">Assumptions!F16</f>
        <v>1.3</v>
      </c>
      <c r="G23" s="4" t="n">
        <f aca="false">Assumptions!G16</f>
        <v>1.3</v>
      </c>
      <c r="H23" s="4" t="n">
        <f aca="false">Assumptions!H16</f>
        <v>1.3</v>
      </c>
      <c r="I23" s="4" t="n">
        <f aca="false">Assumptions!I16</f>
        <v>1.3</v>
      </c>
      <c r="J23" s="4" t="n">
        <f aca="false">Assumptions!J16</f>
        <v>1.3</v>
      </c>
      <c r="K23" s="4" t="n">
        <f aca="false">Assumptions!K16</f>
        <v>1.3</v>
      </c>
      <c r="L23" s="4" t="n">
        <f aca="false">Assumptions!L16</f>
        <v>1.3</v>
      </c>
    </row>
    <row r="24" customFormat="false" ht="15" hidden="false" customHeight="false" outlineLevel="0" collapsed="false">
      <c r="A24" s="0" t="s">
        <v>129</v>
      </c>
      <c r="C24" s="0" t="n">
        <f aca="false">-C6*C23/100</f>
        <v>-116.1394</v>
      </c>
      <c r="D24" s="0" t="n">
        <f aca="false">-D6*D23/100</f>
        <v>-114.978006</v>
      </c>
      <c r="E24" s="0" t="n">
        <f aca="false">-E6*E23/100</f>
        <v>-116.12778606</v>
      </c>
      <c r="F24" s="0" t="n">
        <f aca="false">-F6*F23/100</f>
        <v>-118.4503417812</v>
      </c>
      <c r="G24" s="0" t="n">
        <f aca="false">-G6*G23/100</f>
        <v>-120.819348616824</v>
      </c>
      <c r="H24" s="0" t="n">
        <f aca="false">-H6*H23/100</f>
        <v>-123.23573558916</v>
      </c>
      <c r="I24" s="0" t="n">
        <f aca="false">-I6*I23/100</f>
        <v>-125.700450300944</v>
      </c>
      <c r="J24" s="0" t="n">
        <f aca="false">-J6*J23/100</f>
        <v>-127.585957055458</v>
      </c>
      <c r="K24" s="0" t="n">
        <f aca="false">-K6*K23/100</f>
        <v>-129.49974641129</v>
      </c>
      <c r="L24" s="0" t="n">
        <f aca="false">-L6*L23/100</f>
        <v>-131.442242607459</v>
      </c>
    </row>
    <row r="26" customFormat="false" ht="15" hidden="false" customHeight="false" outlineLevel="0" collapsed="false">
      <c r="A26" s="2" t="s">
        <v>130</v>
      </c>
    </row>
    <row r="27" customFormat="false" ht="15" hidden="false" customHeight="false" outlineLevel="0" collapsed="false">
      <c r="A27" s="0" t="s">
        <v>108</v>
      </c>
      <c r="B27" s="4" t="n">
        <f aca="false">Assumptions!$B$20</f>
        <v>7</v>
      </c>
    </row>
    <row r="28" customFormat="false" ht="15" hidden="false" customHeight="false" outlineLevel="0" collapsed="false">
      <c r="A28" s="0" t="s">
        <v>109</v>
      </c>
      <c r="B28" s="4" t="n">
        <f aca="false">Assumptions!$B$21</f>
        <v>1.5</v>
      </c>
    </row>
    <row r="29" customFormat="false" ht="15" hidden="false" customHeight="false" outlineLevel="0" collapsed="false">
      <c r="A29" s="0" t="s">
        <v>110</v>
      </c>
      <c r="B29" s="4" t="n">
        <f aca="false">Assumptions!$B$22</f>
        <v>18</v>
      </c>
    </row>
    <row r="30" customFormat="false" ht="15" hidden="false" customHeight="false" outlineLevel="0" collapsed="false">
      <c r="A30" s="0" t="s">
        <v>131</v>
      </c>
      <c r="B30" s="0" t="n">
        <f aca="false">SUM(C21:L21)</f>
        <v>8471.44358273659</v>
      </c>
    </row>
    <row r="31" customFormat="false" ht="15" hidden="false" customHeight="false" outlineLevel="0" collapsed="false">
      <c r="A31" s="0" t="s">
        <v>132</v>
      </c>
      <c r="B31" s="0" t="n">
        <f aca="false">L19</f>
        <v>1284.06519513605</v>
      </c>
    </row>
    <row r="32" customFormat="false" ht="15" hidden="false" customHeight="false" outlineLevel="0" collapsed="false">
      <c r="A32" s="0" t="s">
        <v>133</v>
      </c>
      <c r="B32" s="0" t="n">
        <f aca="false">IF(B27&gt;B28,B31*(1+B28/100)/((B27-B28)/100),B31*B29)</f>
        <v>23696.8395102379</v>
      </c>
    </row>
    <row r="33" customFormat="false" ht="15" hidden="false" customHeight="false" outlineLevel="0" collapsed="false">
      <c r="A33" s="0" t="s">
        <v>134</v>
      </c>
      <c r="B33" s="0" t="n">
        <f aca="false">B31*B29</f>
        <v>23113.1735124488</v>
      </c>
    </row>
    <row r="34" customFormat="false" ht="15" hidden="false" customHeight="false" outlineLevel="0" collapsed="false">
      <c r="A34" s="0" t="s">
        <v>135</v>
      </c>
      <c r="B34" s="0" t="n">
        <f aca="false">MAX(0,MIN(B32,B33))</f>
        <v>23113.1735124488</v>
      </c>
    </row>
    <row r="35" customFormat="false" ht="15" hidden="false" customHeight="false" outlineLevel="0" collapsed="false">
      <c r="A35" s="0" t="s">
        <v>136</v>
      </c>
      <c r="B35" s="0" t="n">
        <f aca="false">B34/(1+B27/100)^L4</f>
        <v>11749.5653940403</v>
      </c>
    </row>
    <row r="36" customFormat="false" ht="15" hidden="false" customHeight="false" outlineLevel="0" collapsed="false">
      <c r="A36" s="0" t="s">
        <v>137</v>
      </c>
      <c r="B36" s="0" t="n">
        <f aca="false">B30+B35</f>
        <v>20221.0089767768</v>
      </c>
    </row>
    <row r="37" customFormat="false" ht="15" hidden="false" customHeight="false" outlineLevel="0" collapsed="false">
      <c r="A37" s="0" t="s">
        <v>138</v>
      </c>
      <c r="B37" s="0" t="n">
        <f aca="false">B36+Assumptions!$B$5-Assumptions!$B$4</f>
        <v>9031.00897677685</v>
      </c>
    </row>
    <row r="38" customFormat="false" ht="15" hidden="false" customHeight="false" outlineLevel="0" collapsed="false">
      <c r="A38" s="0" t="s">
        <v>139</v>
      </c>
      <c r="B38" s="0" t="n">
        <f aca="false">B37/Assumptions!$B$3*Assumptions!$B$10</f>
        <v>35.7947244422388</v>
      </c>
    </row>
    <row r="39" customFormat="false" ht="15" hidden="false" customHeight="false" outlineLevel="0" collapsed="false">
      <c r="A39" s="0" t="s">
        <v>140</v>
      </c>
      <c r="B39" s="4" t="n">
        <f aca="false">B38/Assumptions!$B$2-1</f>
        <v>-0.470805374892981</v>
      </c>
    </row>
    <row r="41" customFormat="false" ht="15" hidden="false" customHeight="false" outlineLevel="0" collapsed="false">
      <c r="A41" s="0" t="s">
        <v>141</v>
      </c>
      <c r="B41" s="0" t="n">
        <f aca="false">SUMPRODUCT(-C10:L10/(1+$B$27/100)^C4:L4)</f>
        <v>163.881051285823</v>
      </c>
    </row>
    <row r="42" customFormat="false" ht="15" hidden="false" customHeight="false" outlineLevel="0" collapsed="false">
      <c r="A42" s="0" t="s">
        <v>142</v>
      </c>
      <c r="B42" s="0" t="n">
        <f aca="false">IF(B27&gt;B28,-L10*(1+B28/100)/((B27-B28)/100),-L10*20)/(1+B27/100)^L4</f>
        <v>237.135837590535</v>
      </c>
    </row>
    <row r="43" customFormat="false" ht="15" hidden="false" customHeight="false" outlineLevel="0" collapsed="false">
      <c r="A43" s="0" t="s">
        <v>143</v>
      </c>
      <c r="B43" s="0" t="n">
        <f aca="false">(B37+B41+B42)/Assumptions!$B$3*Assumptions!$B$10</f>
        <v>37.38416910683</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9654.26794861545</v>
      </c>
    </row>
    <row r="47" customFormat="false" ht="15" hidden="false" customHeight="false" outlineLevel="0" collapsed="false">
      <c r="A47" s="0" t="s">
        <v>145</v>
      </c>
      <c r="B47" s="0" t="n">
        <f aca="false">(SUMPRODUCT(C19:L19/(1+B45/100)^C4:L4)+B46/(1+B45/100)^L4+Assumptions!$B$5-Assumptions!$B$4)/Assumptions!$B$3*Assumptions!$B$10</f>
        <v>-10.9399378892932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Assumptions!C27</f>
        <v>-1</v>
      </c>
      <c r="D5" s="4" t="n">
        <f aca="false">Assumptions!D27</f>
        <v>3</v>
      </c>
      <c r="E5" s="4" t="n">
        <f aca="false">Assumptions!E27</f>
        <v>4</v>
      </c>
      <c r="F5" s="4" t="n">
        <f aca="false">Assumptions!F27</f>
        <v>3.5</v>
      </c>
      <c r="G5" s="4" t="n">
        <f aca="false">Assumptions!G27</f>
        <v>3</v>
      </c>
      <c r="H5" s="4" t="n">
        <f aca="false">Assumptions!H27</f>
        <v>3</v>
      </c>
      <c r="I5" s="4" t="n">
        <f aca="false">Assumptions!I27</f>
        <v>2.5</v>
      </c>
      <c r="J5" s="4" t="n">
        <f aca="false">Assumptions!J27</f>
        <v>2.5</v>
      </c>
      <c r="K5" s="4" t="n">
        <f aca="false">Assumptions!K27</f>
        <v>2.5</v>
      </c>
      <c r="L5" s="4" t="n">
        <f aca="false">Assumptions!L27</f>
        <v>2</v>
      </c>
    </row>
    <row r="6" customFormat="false" ht="15" hidden="false" customHeight="false" outlineLevel="0" collapsed="false">
      <c r="A6" s="0" t="s">
        <v>37</v>
      </c>
      <c r="B6" s="3" t="n">
        <v>9404</v>
      </c>
      <c r="C6" s="0" t="n">
        <f aca="false">B6*(1+C5/100)</f>
        <v>9309.96</v>
      </c>
      <c r="D6" s="0" t="n">
        <f aca="false">C6*(1+D5/100)</f>
        <v>9589.2588</v>
      </c>
      <c r="E6" s="0" t="n">
        <f aca="false">D6*(1+E5/100)</f>
        <v>9972.829152</v>
      </c>
      <c r="F6" s="0" t="n">
        <f aca="false">E6*(1+F5/100)</f>
        <v>10321.87817232</v>
      </c>
      <c r="G6" s="0" t="n">
        <f aca="false">F6*(1+G5/100)</f>
        <v>10631.5345174896</v>
      </c>
      <c r="H6" s="0" t="n">
        <f aca="false">G6*(1+H5/100)</f>
        <v>10950.4805530143</v>
      </c>
      <c r="I6" s="0" t="n">
        <f aca="false">H6*(1+I5/100)</f>
        <v>11224.2425668396</v>
      </c>
      <c r="J6" s="0" t="n">
        <f aca="false">I6*(1+J5/100)</f>
        <v>11504.8486310106</v>
      </c>
      <c r="K6" s="0" t="n">
        <f aca="false">J6*(1+K5/100)</f>
        <v>11792.4698467859</v>
      </c>
      <c r="L6" s="0" t="n">
        <f aca="false">K6*(1+L5/100)</f>
        <v>12028.3192437216</v>
      </c>
    </row>
    <row r="7" customFormat="false" ht="15" hidden="false" customHeight="false" outlineLevel="0" collapsed="false">
      <c r="A7" s="0" t="s">
        <v>102</v>
      </c>
      <c r="C7" s="4" t="n">
        <f aca="false">Assumptions!C28</f>
        <v>27.5</v>
      </c>
      <c r="D7" s="4" t="n">
        <f aca="false">Assumptions!D28</f>
        <v>28</v>
      </c>
      <c r="E7" s="4" t="n">
        <f aca="false">Assumptions!E28</f>
        <v>28.5</v>
      </c>
      <c r="F7" s="4" t="n">
        <f aca="false">Assumptions!F28</f>
        <v>29</v>
      </c>
      <c r="G7" s="4" t="n">
        <f aca="false">Assumptions!G28</f>
        <v>29.5</v>
      </c>
      <c r="H7" s="4" t="n">
        <f aca="false">Assumptions!H28</f>
        <v>29.5</v>
      </c>
      <c r="I7" s="4" t="n">
        <f aca="false">Assumptions!I28</f>
        <v>29.5</v>
      </c>
      <c r="J7" s="4" t="n">
        <f aca="false">Assumptions!J28</f>
        <v>29.5</v>
      </c>
      <c r="K7" s="4" t="n">
        <f aca="false">Assumptions!K28</f>
        <v>29.5</v>
      </c>
      <c r="L7" s="4" t="n">
        <f aca="false">Assumptions!L28</f>
        <v>29.5</v>
      </c>
    </row>
    <row r="8" customFormat="false" ht="15" hidden="false" customHeight="false" outlineLevel="0" collapsed="false">
      <c r="A8" s="0" t="s">
        <v>43</v>
      </c>
      <c r="C8" s="0" t="n">
        <f aca="false">C6*C7/100</f>
        <v>2560.239</v>
      </c>
      <c r="D8" s="0" t="n">
        <f aca="false">D6*D7/100</f>
        <v>2684.992464</v>
      </c>
      <c r="E8" s="0" t="n">
        <f aca="false">E6*E7/100</f>
        <v>2842.25630832</v>
      </c>
      <c r="F8" s="0" t="n">
        <f aca="false">F6*F7/100</f>
        <v>2993.3446699728</v>
      </c>
      <c r="G8" s="0" t="n">
        <f aca="false">G6*G7/100</f>
        <v>3136.30268265943</v>
      </c>
      <c r="H8" s="0" t="n">
        <f aca="false">H6*H7/100</f>
        <v>3230.39176313921</v>
      </c>
      <c r="I8" s="0" t="n">
        <f aca="false">I6*I7/100</f>
        <v>3311.1515572177</v>
      </c>
      <c r="J8" s="0" t="n">
        <f aca="false">J6*J7/100</f>
        <v>3393.93034614814</v>
      </c>
      <c r="K8" s="0" t="n">
        <f aca="false">K6*K7/100</f>
        <v>3478.77860480184</v>
      </c>
      <c r="L8" s="0" t="n">
        <f aca="false">L6*L7/100</f>
        <v>3548.35417689788</v>
      </c>
    </row>
    <row r="9" customFormat="false" ht="15" hidden="false" customHeight="false" outlineLevel="0" collapsed="false">
      <c r="A9" s="0" t="s">
        <v>103</v>
      </c>
      <c r="C9" s="4" t="n">
        <f aca="false">Assumptions!C29</f>
        <v>0.25</v>
      </c>
      <c r="D9" s="4" t="n">
        <f aca="false">Assumptions!D29</f>
        <v>0.25</v>
      </c>
      <c r="E9" s="4" t="n">
        <f aca="false">Assumptions!E29</f>
        <v>0.25</v>
      </c>
      <c r="F9" s="4" t="n">
        <f aca="false">Assumptions!F29</f>
        <v>0.25</v>
      </c>
      <c r="G9" s="4" t="n">
        <f aca="false">Assumptions!G29</f>
        <v>0.25</v>
      </c>
      <c r="H9" s="4" t="n">
        <f aca="false">Assumptions!H29</f>
        <v>0.25</v>
      </c>
      <c r="I9" s="4" t="n">
        <f aca="false">Assumptions!I29</f>
        <v>0.25</v>
      </c>
      <c r="J9" s="4" t="n">
        <f aca="false">Assumptions!J29</f>
        <v>0.25</v>
      </c>
      <c r="K9" s="4" t="n">
        <f aca="false">Assumptions!K29</f>
        <v>0.25</v>
      </c>
      <c r="L9" s="4" t="n">
        <f aca="false">Assumptions!L29</f>
        <v>0.25</v>
      </c>
    </row>
    <row r="10" customFormat="false" ht="15" hidden="false" customHeight="false" outlineLevel="0" collapsed="false">
      <c r="A10" s="0" t="s">
        <v>118</v>
      </c>
      <c r="C10" s="0" t="n">
        <f aca="false">-C6*C9/100</f>
        <v>-23.2749</v>
      </c>
      <c r="D10" s="0" t="n">
        <f aca="false">-D6*D9/100</f>
        <v>-23.973147</v>
      </c>
      <c r="E10" s="0" t="n">
        <f aca="false">-E6*E9/100</f>
        <v>-24.93207288</v>
      </c>
      <c r="F10" s="0" t="n">
        <f aca="false">-F6*F9/100</f>
        <v>-25.8046954308</v>
      </c>
      <c r="G10" s="0" t="n">
        <f aca="false">-G6*G9/100</f>
        <v>-26.578836293724</v>
      </c>
      <c r="H10" s="0" t="n">
        <f aca="false">-H6*H9/100</f>
        <v>-27.3762013825357</v>
      </c>
      <c r="I10" s="0" t="n">
        <f aca="false">-I6*I9/100</f>
        <v>-28.0606064170991</v>
      </c>
      <c r="J10" s="0" t="n">
        <f aca="false">-J6*J9/100</f>
        <v>-28.7621215775266</v>
      </c>
      <c r="K10" s="0" t="n">
        <f aca="false">-K6*K9/100</f>
        <v>-29.4811746169648</v>
      </c>
      <c r="L10" s="0" t="n">
        <f aca="false">-L6*L9/100</f>
        <v>-30.070798109304</v>
      </c>
    </row>
    <row r="11" customFormat="false" ht="15" hidden="false" customHeight="false" outlineLevel="0" collapsed="false">
      <c r="A11" s="0" t="s">
        <v>119</v>
      </c>
      <c r="C11" s="0" t="n">
        <f aca="false">C8+C10+C24</f>
        <v>2415.93462</v>
      </c>
      <c r="D11" s="0" t="n">
        <f aca="false">D8+D10+D24</f>
        <v>2536.3589526</v>
      </c>
      <c r="E11" s="0" t="n">
        <f aca="false">E8+E10+E24</f>
        <v>2687.677456464</v>
      </c>
      <c r="F11" s="0" t="n">
        <f aca="false">F8+F10+F24</f>
        <v>2833.35555830184</v>
      </c>
      <c r="G11" s="0" t="n">
        <f aca="false">G8+G10+G24</f>
        <v>2971.51389763834</v>
      </c>
      <c r="H11" s="0" t="n">
        <f aca="false">H8+H10+H24</f>
        <v>3060.65931456749</v>
      </c>
      <c r="I11" s="0" t="n">
        <f aca="false">I8+I10+I24</f>
        <v>3137.17579743168</v>
      </c>
      <c r="J11" s="0" t="n">
        <f aca="false">J8+J10+J24</f>
        <v>3215.60519236747</v>
      </c>
      <c r="K11" s="0" t="n">
        <f aca="false">K8+K10+K24</f>
        <v>3295.99532217666</v>
      </c>
      <c r="L11" s="0" t="n">
        <f aca="false">L8+L10+L24</f>
        <v>3361.91522862019</v>
      </c>
    </row>
    <row r="12" customFormat="false" ht="15" hidden="false" customHeight="false" outlineLevel="0" collapsed="false">
      <c r="A12" s="0" t="s">
        <v>120</v>
      </c>
      <c r="C12" s="4" t="n">
        <f aca="false">-C6*Assumptions!C31/100</f>
        <v>-269.98884</v>
      </c>
      <c r="D12" s="4" t="n">
        <f aca="false">-D6*Assumptions!D31/100</f>
        <v>-278.0885052</v>
      </c>
      <c r="E12" s="4" t="n">
        <f aca="false">-E6*Assumptions!E31/100</f>
        <v>-289.212045408</v>
      </c>
      <c r="F12" s="4" t="n">
        <f aca="false">-F6*Assumptions!F31/100</f>
        <v>-299.33446699728</v>
      </c>
      <c r="G12" s="4" t="n">
        <f aca="false">-G6*Assumptions!G31/100</f>
        <v>-308.314501007198</v>
      </c>
      <c r="H12" s="4" t="n">
        <f aca="false">-H6*Assumptions!H31/100</f>
        <v>-317.563936037414</v>
      </c>
      <c r="I12" s="4" t="n">
        <f aca="false">-I6*Assumptions!I31/100</f>
        <v>-325.50303443835</v>
      </c>
      <c r="J12" s="4" t="n">
        <f aca="false">-J6*Assumptions!J31/100</f>
        <v>-333.640610299308</v>
      </c>
      <c r="K12" s="4" t="n">
        <f aca="false">-K6*Assumptions!K31/100</f>
        <v>-341.981625556791</v>
      </c>
      <c r="L12" s="4" t="n">
        <f aca="false">-L6*Assumptions!L31/100</f>
        <v>-348.821258067927</v>
      </c>
    </row>
    <row r="13" customFormat="false" ht="15" hidden="false" customHeight="false" outlineLevel="0" collapsed="false">
      <c r="A13" s="0" t="s">
        <v>121</v>
      </c>
      <c r="C13" s="0" t="n">
        <f aca="false">C11+C12</f>
        <v>2145.94578</v>
      </c>
      <c r="D13" s="0" t="n">
        <f aca="false">D11+D12</f>
        <v>2258.2704474</v>
      </c>
      <c r="E13" s="0" t="n">
        <f aca="false">E11+E12</f>
        <v>2398.465411056</v>
      </c>
      <c r="F13" s="0" t="n">
        <f aca="false">F11+F12</f>
        <v>2534.02109130456</v>
      </c>
      <c r="G13" s="0" t="n">
        <f aca="false">G11+G12</f>
        <v>2663.19939663114</v>
      </c>
      <c r="H13" s="0" t="n">
        <f aca="false">H11+H12</f>
        <v>2743.09537853008</v>
      </c>
      <c r="I13" s="0" t="n">
        <f aca="false">I11+I12</f>
        <v>2811.67276299333</v>
      </c>
      <c r="J13" s="0" t="n">
        <f aca="false">J11+J12</f>
        <v>2881.96458206816</v>
      </c>
      <c r="K13" s="0" t="n">
        <f aca="false">K11+K12</f>
        <v>2954.01369661987</v>
      </c>
      <c r="L13" s="0" t="n">
        <f aca="false">L11+L12</f>
        <v>3013.09397055227</v>
      </c>
    </row>
    <row r="14" customFormat="false" ht="15" hidden="false" customHeight="false" outlineLevel="0" collapsed="false">
      <c r="A14" s="0" t="s">
        <v>107</v>
      </c>
      <c r="C14" s="4" t="n">
        <f aca="false">Assumptions!C33</f>
        <v>26</v>
      </c>
      <c r="D14" s="4" t="n">
        <f aca="false">Assumptions!D33</f>
        <v>26</v>
      </c>
      <c r="E14" s="4" t="n">
        <f aca="false">Assumptions!E33</f>
        <v>26</v>
      </c>
      <c r="F14" s="4" t="n">
        <f aca="false">Assumptions!F33</f>
        <v>26</v>
      </c>
      <c r="G14" s="4" t="n">
        <f aca="false">Assumptions!G33</f>
        <v>26</v>
      </c>
      <c r="H14" s="4" t="n">
        <f aca="false">Assumptions!H33</f>
        <v>26</v>
      </c>
      <c r="I14" s="4" t="n">
        <f aca="false">Assumptions!I33</f>
        <v>26</v>
      </c>
      <c r="J14" s="4" t="n">
        <f aca="false">Assumptions!J33</f>
        <v>26</v>
      </c>
      <c r="K14" s="4" t="n">
        <f aca="false">Assumptions!K33</f>
        <v>26</v>
      </c>
      <c r="L14" s="4" t="n">
        <f aca="false">Assumptions!L33</f>
        <v>26</v>
      </c>
    </row>
    <row r="15" customFormat="false" ht="15" hidden="false" customHeight="false" outlineLevel="0" collapsed="false">
      <c r="A15" s="0" t="s">
        <v>122</v>
      </c>
      <c r="C15" s="0" t="n">
        <f aca="false">C13-MAX(0,C13)*C14/100</f>
        <v>1587.9998772</v>
      </c>
      <c r="D15" s="0" t="n">
        <f aca="false">D13-MAX(0,D13)*D14/100</f>
        <v>1671.120131076</v>
      </c>
      <c r="E15" s="0" t="n">
        <f aca="false">E13-MAX(0,E13)*E14/100</f>
        <v>1774.86440418144</v>
      </c>
      <c r="F15" s="0" t="n">
        <f aca="false">F13-MAX(0,F13)*F14/100</f>
        <v>1875.17560756537</v>
      </c>
      <c r="G15" s="0" t="n">
        <f aca="false">G13-MAX(0,G13)*G14/100</f>
        <v>1970.76755350705</v>
      </c>
      <c r="H15" s="0" t="n">
        <f aca="false">H13-MAX(0,H13)*H14/100</f>
        <v>2029.89058011226</v>
      </c>
      <c r="I15" s="0" t="n">
        <f aca="false">I13-MAX(0,I13)*I14/100</f>
        <v>2080.63784461506</v>
      </c>
      <c r="J15" s="0" t="n">
        <f aca="false">J13-MAX(0,J13)*J14/100</f>
        <v>2132.65379073044</v>
      </c>
      <c r="K15" s="0" t="n">
        <f aca="false">K13-MAX(0,K13)*K14/100</f>
        <v>2185.9701354987</v>
      </c>
      <c r="L15" s="0" t="n">
        <f aca="false">L13-MAX(0,L13)*L14/100</f>
        <v>2229.68953820868</v>
      </c>
    </row>
    <row r="16" customFormat="false" ht="15" hidden="false" customHeight="false" outlineLevel="0" collapsed="false">
      <c r="A16" s="0" t="s">
        <v>123</v>
      </c>
      <c r="C16" s="0" t="n">
        <f aca="false">-C12</f>
        <v>269.98884</v>
      </c>
      <c r="D16" s="0" t="n">
        <f aca="false">-D12</f>
        <v>278.0885052</v>
      </c>
      <c r="E16" s="0" t="n">
        <f aca="false">-E12</f>
        <v>289.212045408</v>
      </c>
      <c r="F16" s="0" t="n">
        <f aca="false">-F12</f>
        <v>299.33446699728</v>
      </c>
      <c r="G16" s="0" t="n">
        <f aca="false">-G12</f>
        <v>308.314501007198</v>
      </c>
      <c r="H16" s="0" t="n">
        <f aca="false">-H12</f>
        <v>317.563936037414</v>
      </c>
      <c r="I16" s="0" t="n">
        <f aca="false">-I12</f>
        <v>325.50303443835</v>
      </c>
      <c r="J16" s="0" t="n">
        <f aca="false">-J12</f>
        <v>333.640610299308</v>
      </c>
      <c r="K16" s="0" t="n">
        <f aca="false">-K12</f>
        <v>341.981625556791</v>
      </c>
      <c r="L16" s="0" t="n">
        <f aca="false">-L12</f>
        <v>348.821258067927</v>
      </c>
    </row>
    <row r="17" customFormat="false" ht="15" hidden="false" customHeight="false" outlineLevel="0" collapsed="false">
      <c r="A17" s="0" t="s">
        <v>124</v>
      </c>
      <c r="C17" s="4" t="n">
        <f aca="false">-C6*Assumptions!C32/100</f>
        <v>-512.0478</v>
      </c>
      <c r="D17" s="4" t="n">
        <f aca="false">-D6*Assumptions!D32/100</f>
        <v>-527.409234</v>
      </c>
      <c r="E17" s="4" t="n">
        <f aca="false">-E6*Assumptions!E32/100</f>
        <v>-548.50560336</v>
      </c>
      <c r="F17" s="4" t="n">
        <f aca="false">-F6*Assumptions!F32/100</f>
        <v>-567.7032994776</v>
      </c>
      <c r="G17" s="4" t="n">
        <f aca="false">-G6*Assumptions!G32/100</f>
        <v>-584.734398461928</v>
      </c>
      <c r="H17" s="4" t="n">
        <f aca="false">-H6*Assumptions!H32/100</f>
        <v>-602.276430415786</v>
      </c>
      <c r="I17" s="4" t="n">
        <f aca="false">-I6*Assumptions!I32/100</f>
        <v>-617.333341176181</v>
      </c>
      <c r="J17" s="4" t="n">
        <f aca="false">-J6*Assumptions!J32/100</f>
        <v>-632.766674705585</v>
      </c>
      <c r="K17" s="4" t="n">
        <f aca="false">-K6*Assumptions!K32/100</f>
        <v>-648.585841573225</v>
      </c>
      <c r="L17" s="4" t="n">
        <f aca="false">-L6*Assumptions!L32/100</f>
        <v>-661.557558404689</v>
      </c>
    </row>
    <row r="18" customFormat="false" ht="15" hidden="false" customHeight="false" outlineLevel="0" collapsed="false">
      <c r="A18" s="0" t="s">
        <v>125</v>
      </c>
      <c r="C18" s="4" t="n">
        <f aca="false">(C6-B6)*Assumptions!$B$37/100</f>
        <v>32.9140000000003</v>
      </c>
      <c r="D18" s="4" t="n">
        <f aca="false">(D6-C6)*Assumptions!$B$37/100</f>
        <v>-97.7545800000002</v>
      </c>
      <c r="E18" s="4" t="n">
        <f aca="false">(E6-D6)*Assumptions!$B$37/100</f>
        <v>-134.2496232</v>
      </c>
      <c r="F18" s="4" t="n">
        <f aca="false">(F6-E6)*Assumptions!$B$37/100</f>
        <v>-122.167157112</v>
      </c>
      <c r="G18" s="4" t="n">
        <f aca="false">(G6-F6)*Assumptions!$B$37/100</f>
        <v>-108.37972080936</v>
      </c>
      <c r="H18" s="4" t="n">
        <f aca="false">(H6-G6)*Assumptions!$B$37/100</f>
        <v>-111.631112433641</v>
      </c>
      <c r="I18" s="4" t="n">
        <f aca="false">(I6-H6)*Assumptions!$B$37/100</f>
        <v>-95.8167048388749</v>
      </c>
      <c r="J18" s="4" t="n">
        <f aca="false">(J6-I6)*Assumptions!$B$37/100</f>
        <v>-98.2121224598465</v>
      </c>
      <c r="K18" s="4" t="n">
        <f aca="false">(K6-J6)*Assumptions!$B$37/100</f>
        <v>-100.667425521343</v>
      </c>
      <c r="L18" s="4" t="n">
        <f aca="false">(L6-K6)*Assumptions!$B$37/100</f>
        <v>-82.5472889275015</v>
      </c>
    </row>
    <row r="19" customFormat="false" ht="15" hidden="false" customHeight="false" outlineLevel="0" collapsed="false">
      <c r="A19" s="0" t="s">
        <v>126</v>
      </c>
      <c r="C19" s="0" t="n">
        <f aca="false">C15+C16+C17+C18</f>
        <v>1378.8549172</v>
      </c>
      <c r="D19" s="0" t="n">
        <f aca="false">D15+D16+D17+D18</f>
        <v>1324.044822276</v>
      </c>
      <c r="E19" s="0" t="n">
        <f aca="false">E15+E16+E17+E18</f>
        <v>1381.32122302944</v>
      </c>
      <c r="F19" s="0" t="n">
        <f aca="false">F15+F16+F17+F18</f>
        <v>1484.63961797305</v>
      </c>
      <c r="G19" s="0" t="n">
        <f aca="false">G15+G16+G17+G18</f>
        <v>1585.96793524296</v>
      </c>
      <c r="H19" s="0" t="n">
        <f aca="false">H15+H16+H17+H18</f>
        <v>1633.54697330025</v>
      </c>
      <c r="I19" s="0" t="n">
        <f aca="false">I15+I16+I17+I18</f>
        <v>1692.99083303836</v>
      </c>
      <c r="J19" s="0" t="n">
        <f aca="false">J15+J16+J17+J18</f>
        <v>1735.31560386432</v>
      </c>
      <c r="K19" s="0" t="n">
        <f aca="false">K15+K16+K17+K18</f>
        <v>1778.69849396093</v>
      </c>
      <c r="L19" s="0" t="n">
        <f aca="false">L15+L16+L17+L18</f>
        <v>1834.40594894441</v>
      </c>
    </row>
    <row r="20" customFormat="false" ht="15" hidden="false" customHeight="false" outlineLevel="0" collapsed="false">
      <c r="A20" s="0" t="s">
        <v>127</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128</v>
      </c>
      <c r="C21" s="0" t="n">
        <f aca="false">C19*C20</f>
        <v>1288.6494553271</v>
      </c>
      <c r="D21" s="0" t="n">
        <f aca="false">D19*D20</f>
        <v>1156.47202574548</v>
      </c>
      <c r="E21" s="0" t="n">
        <f aca="false">E19*E20</f>
        <v>1127.56958166321</v>
      </c>
      <c r="F21" s="0" t="n">
        <f aca="false">F19*F20</f>
        <v>1132.62445616771</v>
      </c>
      <c r="G21" s="0" t="n">
        <f aca="false">G19*G20</f>
        <v>1130.77321893248</v>
      </c>
      <c r="H21" s="0" t="n">
        <f aca="false">H19*H20</f>
        <v>1088.50132289762</v>
      </c>
      <c r="I21" s="0" t="n">
        <f aca="false">I19*I20</f>
        <v>1054.30960428762</v>
      </c>
      <c r="J21" s="0" t="n">
        <f aca="false">J19*J20</f>
        <v>1009.96948074281</v>
      </c>
      <c r="K21" s="0" t="n">
        <f aca="false">K19*K20</f>
        <v>967.494128748954</v>
      </c>
      <c r="L21" s="0" t="n">
        <f aca="false">L19*L20</f>
        <v>932.518965633607</v>
      </c>
    </row>
    <row r="23" customFormat="false" ht="15" hidden="false" customHeight="false" outlineLevel="0" collapsed="false">
      <c r="A23" s="0" t="s">
        <v>104</v>
      </c>
      <c r="C23" s="4" t="n">
        <f aca="false">Assumptions!C30</f>
        <v>1.3</v>
      </c>
      <c r="D23" s="4" t="n">
        <f aca="false">Assumptions!D30</f>
        <v>1.3</v>
      </c>
      <c r="E23" s="4" t="n">
        <f aca="false">Assumptions!E30</f>
        <v>1.3</v>
      </c>
      <c r="F23" s="4" t="n">
        <f aca="false">Assumptions!F30</f>
        <v>1.3</v>
      </c>
      <c r="G23" s="4" t="n">
        <f aca="false">Assumptions!G30</f>
        <v>1.3</v>
      </c>
      <c r="H23" s="4" t="n">
        <f aca="false">Assumptions!H30</f>
        <v>1.3</v>
      </c>
      <c r="I23" s="4" t="n">
        <f aca="false">Assumptions!I30</f>
        <v>1.3</v>
      </c>
      <c r="J23" s="4" t="n">
        <f aca="false">Assumptions!J30</f>
        <v>1.3</v>
      </c>
      <c r="K23" s="4" t="n">
        <f aca="false">Assumptions!K30</f>
        <v>1.3</v>
      </c>
      <c r="L23" s="4" t="n">
        <f aca="false">Assumptions!L30</f>
        <v>1.3</v>
      </c>
    </row>
    <row r="24" customFormat="false" ht="15" hidden="false" customHeight="false" outlineLevel="0" collapsed="false">
      <c r="A24" s="0" t="s">
        <v>129</v>
      </c>
      <c r="C24" s="0" t="n">
        <f aca="false">-C6*C23/100</f>
        <v>-121.02948</v>
      </c>
      <c r="D24" s="0" t="n">
        <f aca="false">-D6*D23/100</f>
        <v>-124.6603644</v>
      </c>
      <c r="E24" s="0" t="n">
        <f aca="false">-E6*E23/100</f>
        <v>-129.646778976</v>
      </c>
      <c r="F24" s="0" t="n">
        <f aca="false">-F6*F23/100</f>
        <v>-134.18441624016</v>
      </c>
      <c r="G24" s="0" t="n">
        <f aca="false">-G6*G23/100</f>
        <v>-138.209948727365</v>
      </c>
      <c r="H24" s="0" t="n">
        <f aca="false">-H6*H23/100</f>
        <v>-142.356247189186</v>
      </c>
      <c r="I24" s="0" t="n">
        <f aca="false">-I6*I23/100</f>
        <v>-145.915153368915</v>
      </c>
      <c r="J24" s="0" t="n">
        <f aca="false">-J6*J23/100</f>
        <v>-149.563032203138</v>
      </c>
      <c r="K24" s="0" t="n">
        <f aca="false">-K6*K23/100</f>
        <v>-153.302108008217</v>
      </c>
      <c r="L24" s="0" t="n">
        <f aca="false">-L6*L23/100</f>
        <v>-156.368150168381</v>
      </c>
    </row>
    <row r="26" customFormat="false" ht="15" hidden="false" customHeight="false" outlineLevel="0" collapsed="false">
      <c r="A26" s="2" t="s">
        <v>130</v>
      </c>
    </row>
    <row r="27" customFormat="false" ht="15" hidden="false" customHeight="false" outlineLevel="0" collapsed="false">
      <c r="A27" s="0" t="s">
        <v>108</v>
      </c>
      <c r="B27" s="4" t="n">
        <f aca="false">Assumptions!$B$34</f>
        <v>7</v>
      </c>
    </row>
    <row r="28" customFormat="false" ht="15" hidden="false" customHeight="false" outlineLevel="0" collapsed="false">
      <c r="A28" s="0" t="s">
        <v>109</v>
      </c>
      <c r="B28" s="4" t="n">
        <f aca="false">Assumptions!$B$35</f>
        <v>2</v>
      </c>
    </row>
    <row r="29" customFormat="false" ht="15" hidden="false" customHeight="false" outlineLevel="0" collapsed="false">
      <c r="A29" s="0" t="s">
        <v>110</v>
      </c>
      <c r="B29" s="4" t="n">
        <f aca="false">Assumptions!$B$36</f>
        <v>18</v>
      </c>
    </row>
    <row r="30" customFormat="false" ht="15" hidden="false" customHeight="false" outlineLevel="0" collapsed="false">
      <c r="A30" s="0" t="s">
        <v>131</v>
      </c>
      <c r="B30" s="0" t="n">
        <f aca="false">SUM(C21:L21)</f>
        <v>10888.8822401466</v>
      </c>
    </row>
    <row r="31" customFormat="false" ht="15" hidden="false" customHeight="false" outlineLevel="0" collapsed="false">
      <c r="A31" s="0" t="s">
        <v>132</v>
      </c>
      <c r="B31" s="0" t="n">
        <f aca="false">L19</f>
        <v>1834.40594894441</v>
      </c>
    </row>
    <row r="32" customFormat="false" ht="15" hidden="false" customHeight="false" outlineLevel="0" collapsed="false">
      <c r="A32" s="0" t="s">
        <v>133</v>
      </c>
      <c r="B32" s="0" t="n">
        <f aca="false">IF(B27&gt;B28,B31*(1+B28/100)/((B27-B28)/100),B31*B29)</f>
        <v>37421.881358466</v>
      </c>
    </row>
    <row r="33" customFormat="false" ht="15" hidden="false" customHeight="false" outlineLevel="0" collapsed="false">
      <c r="A33" s="0" t="s">
        <v>134</v>
      </c>
      <c r="B33" s="0" t="n">
        <f aca="false">B31*B29</f>
        <v>33019.3070809994</v>
      </c>
    </row>
    <row r="34" customFormat="false" ht="15" hidden="false" customHeight="false" outlineLevel="0" collapsed="false">
      <c r="A34" s="0" t="s">
        <v>135</v>
      </c>
      <c r="B34" s="0" t="n">
        <f aca="false">MAX(0,MIN(B32,B33))</f>
        <v>33019.3070809994</v>
      </c>
    </row>
    <row r="35" customFormat="false" ht="15" hidden="false" customHeight="false" outlineLevel="0" collapsed="false">
      <c r="A35" s="0" t="s">
        <v>136</v>
      </c>
      <c r="B35" s="0" t="n">
        <f aca="false">B34/(1+B27/100)^L4</f>
        <v>16785.3413814049</v>
      </c>
    </row>
    <row r="36" customFormat="false" ht="15" hidden="false" customHeight="false" outlineLevel="0" collapsed="false">
      <c r="A36" s="0" t="s">
        <v>137</v>
      </c>
      <c r="B36" s="0" t="n">
        <f aca="false">B30+B35</f>
        <v>27674.2236215515</v>
      </c>
    </row>
    <row r="37" customFormat="false" ht="15" hidden="false" customHeight="false" outlineLevel="0" collapsed="false">
      <c r="A37" s="0" t="s">
        <v>138</v>
      </c>
      <c r="B37" s="0" t="n">
        <f aca="false">B36+Assumptions!$B$5-Assumptions!$B$4</f>
        <v>16484.2236215515</v>
      </c>
    </row>
    <row r="38" customFormat="false" ht="15" hidden="false" customHeight="false" outlineLevel="0" collapsed="false">
      <c r="A38" s="0" t="s">
        <v>139</v>
      </c>
      <c r="B38" s="0" t="n">
        <f aca="false">B37/Assumptions!$B$3*Assumptions!$B$10</f>
        <v>65.3358050794749</v>
      </c>
    </row>
    <row r="39" customFormat="false" ht="15" hidden="false" customHeight="false" outlineLevel="0" collapsed="false">
      <c r="A39" s="0" t="s">
        <v>140</v>
      </c>
      <c r="B39" s="4" t="n">
        <f aca="false">B38/Assumptions!$B$2-1</f>
        <v>-0.0340655665364449</v>
      </c>
    </row>
    <row r="41" customFormat="false" ht="15" hidden="false" customHeight="false" outlineLevel="0" collapsed="false">
      <c r="A41" s="0" t="s">
        <v>141</v>
      </c>
      <c r="B41" s="0" t="n">
        <f aca="false">SUMPRODUCT(-C10:L10/(1+$B$27/100)^C4:L4)</f>
        <v>185.45868322912</v>
      </c>
    </row>
    <row r="42" customFormat="false" ht="15" hidden="false" customHeight="false" outlineLevel="0" collapsed="false">
      <c r="A42" s="0" t="s">
        <v>142</v>
      </c>
      <c r="B42" s="0" t="n">
        <f aca="false">IF(B27&gt;B28,-L10*(1+B28/100)/((B27-B28)/100),-L10*20)/(1+B27/100)^L4</f>
        <v>311.843966228931</v>
      </c>
    </row>
    <row r="43" customFormat="false" ht="15" hidden="false" customHeight="false" outlineLevel="0" collapsed="false">
      <c r="A43" s="0" t="s">
        <v>143</v>
      </c>
      <c r="B43" s="0" t="n">
        <f aca="false">(B37+B41+B42)/Assumptions!$B$3*Assumptions!$B$10</f>
        <v>67.3068817717383</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14393.0312917177</v>
      </c>
    </row>
    <row r="47" customFormat="false" ht="15" hidden="false" customHeight="false" outlineLevel="0" collapsed="false">
      <c r="A47" s="0" t="s">
        <v>145</v>
      </c>
      <c r="B47" s="0" t="n">
        <f aca="false">(SUMPRODUCT(C19:L19/(1+B45/100)^C4:L4)+B46/(1+B45/100)^L4+Assumptions!$B$5-Assumptions!$B$4)/Assumptions!$B$3*Assumptions!$B$10</f>
        <v>-0.0692748035020071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Assumptions!C41</f>
        <v>1</v>
      </c>
      <c r="D5" s="4" t="n">
        <f aca="false">Assumptions!D41</f>
        <v>5</v>
      </c>
      <c r="E5" s="4" t="n">
        <f aca="false">Assumptions!E41</f>
        <v>6</v>
      </c>
      <c r="F5" s="4" t="n">
        <f aca="false">Assumptions!F41</f>
        <v>5</v>
      </c>
      <c r="G5" s="4" t="n">
        <f aca="false">Assumptions!G41</f>
        <v>4.5</v>
      </c>
      <c r="H5" s="4" t="n">
        <f aca="false">Assumptions!H41</f>
        <v>4</v>
      </c>
      <c r="I5" s="4" t="n">
        <f aca="false">Assumptions!I41</f>
        <v>3.5</v>
      </c>
      <c r="J5" s="4" t="n">
        <f aca="false">Assumptions!J41</f>
        <v>3</v>
      </c>
      <c r="K5" s="4" t="n">
        <f aca="false">Assumptions!K41</f>
        <v>3</v>
      </c>
      <c r="L5" s="4" t="n">
        <f aca="false">Assumptions!L41</f>
        <v>2.5</v>
      </c>
    </row>
    <row r="6" customFormat="false" ht="15" hidden="false" customHeight="false" outlineLevel="0" collapsed="false">
      <c r="A6" s="0" t="s">
        <v>37</v>
      </c>
      <c r="B6" s="3" t="n">
        <v>9404</v>
      </c>
      <c r="C6" s="0" t="n">
        <f aca="false">B6*(1+C5/100)</f>
        <v>9498.04</v>
      </c>
      <c r="D6" s="0" t="n">
        <f aca="false">C6*(1+D5/100)</f>
        <v>9972.942</v>
      </c>
      <c r="E6" s="0" t="n">
        <f aca="false">D6*(1+E5/100)</f>
        <v>10571.31852</v>
      </c>
      <c r="F6" s="0" t="n">
        <f aca="false">E6*(1+F5/100)</f>
        <v>11099.884446</v>
      </c>
      <c r="G6" s="0" t="n">
        <f aca="false">F6*(1+G5/100)</f>
        <v>11599.37924607</v>
      </c>
      <c r="H6" s="0" t="n">
        <f aca="false">G6*(1+H5/100)</f>
        <v>12063.3544159128</v>
      </c>
      <c r="I6" s="0" t="n">
        <f aca="false">H6*(1+I5/100)</f>
        <v>12485.5718204697</v>
      </c>
      <c r="J6" s="0" t="n">
        <f aca="false">I6*(1+J5/100)</f>
        <v>12860.1389750838</v>
      </c>
      <c r="K6" s="0" t="n">
        <f aca="false">J6*(1+K5/100)</f>
        <v>13245.9431443364</v>
      </c>
      <c r="L6" s="0" t="n">
        <f aca="false">K6*(1+L5/100)</f>
        <v>13577.0917229448</v>
      </c>
    </row>
    <row r="7" customFormat="false" ht="15" hidden="false" customHeight="false" outlineLevel="0" collapsed="false">
      <c r="A7" s="0" t="s">
        <v>102</v>
      </c>
      <c r="C7" s="4" t="n">
        <f aca="false">Assumptions!C42</f>
        <v>28</v>
      </c>
      <c r="D7" s="4" t="n">
        <f aca="false">Assumptions!D42</f>
        <v>29</v>
      </c>
      <c r="E7" s="4" t="n">
        <f aca="false">Assumptions!E42</f>
        <v>30</v>
      </c>
      <c r="F7" s="4" t="n">
        <f aca="false">Assumptions!F42</f>
        <v>30.5</v>
      </c>
      <c r="G7" s="4" t="n">
        <f aca="false">Assumptions!G42</f>
        <v>31</v>
      </c>
      <c r="H7" s="4" t="n">
        <f aca="false">Assumptions!H42</f>
        <v>31.5</v>
      </c>
      <c r="I7" s="4" t="n">
        <f aca="false">Assumptions!I42</f>
        <v>31.5</v>
      </c>
      <c r="J7" s="4" t="n">
        <f aca="false">Assumptions!J42</f>
        <v>31.5</v>
      </c>
      <c r="K7" s="4" t="n">
        <f aca="false">Assumptions!K42</f>
        <v>31.5</v>
      </c>
      <c r="L7" s="4" t="n">
        <f aca="false">Assumptions!L42</f>
        <v>31.5</v>
      </c>
    </row>
    <row r="8" customFormat="false" ht="15" hidden="false" customHeight="false" outlineLevel="0" collapsed="false">
      <c r="A8" s="0" t="s">
        <v>43</v>
      </c>
      <c r="C8" s="0" t="n">
        <f aca="false">C6*C7/100</f>
        <v>2659.4512</v>
      </c>
      <c r="D8" s="0" t="n">
        <f aca="false">D6*D7/100</f>
        <v>2892.15318</v>
      </c>
      <c r="E8" s="0" t="n">
        <f aca="false">E6*E7/100</f>
        <v>3171.395556</v>
      </c>
      <c r="F8" s="0" t="n">
        <f aca="false">F6*F7/100</f>
        <v>3385.46475603</v>
      </c>
      <c r="G8" s="0" t="n">
        <f aca="false">G6*G7/100</f>
        <v>3595.8075662817</v>
      </c>
      <c r="H8" s="0" t="n">
        <f aca="false">H6*H7/100</f>
        <v>3799.95664101253</v>
      </c>
      <c r="I8" s="0" t="n">
        <f aca="false">I6*I7/100</f>
        <v>3932.95512344797</v>
      </c>
      <c r="J8" s="0" t="n">
        <f aca="false">J6*J7/100</f>
        <v>4050.94377715141</v>
      </c>
      <c r="K8" s="0" t="n">
        <f aca="false">K6*K7/100</f>
        <v>4172.47209046595</v>
      </c>
      <c r="L8" s="0" t="n">
        <f aca="false">L6*L7/100</f>
        <v>4276.7838927276</v>
      </c>
    </row>
    <row r="9" customFormat="false" ht="15" hidden="false" customHeight="false" outlineLevel="0" collapsed="false">
      <c r="A9" s="0" t="s">
        <v>103</v>
      </c>
      <c r="C9" s="4" t="n">
        <f aca="false">Assumptions!C43</f>
        <v>0.25</v>
      </c>
      <c r="D9" s="4" t="n">
        <f aca="false">Assumptions!D43</f>
        <v>0.25</v>
      </c>
      <c r="E9" s="4" t="n">
        <f aca="false">Assumptions!E43</f>
        <v>0.25</v>
      </c>
      <c r="F9" s="4" t="n">
        <f aca="false">Assumptions!F43</f>
        <v>0.25</v>
      </c>
      <c r="G9" s="4" t="n">
        <f aca="false">Assumptions!G43</f>
        <v>0.25</v>
      </c>
      <c r="H9" s="4" t="n">
        <f aca="false">Assumptions!H43</f>
        <v>0.25</v>
      </c>
      <c r="I9" s="4" t="n">
        <f aca="false">Assumptions!I43</f>
        <v>0.25</v>
      </c>
      <c r="J9" s="4" t="n">
        <f aca="false">Assumptions!J43</f>
        <v>0.25</v>
      </c>
      <c r="K9" s="4" t="n">
        <f aca="false">Assumptions!K43</f>
        <v>0.25</v>
      </c>
      <c r="L9" s="4" t="n">
        <f aca="false">Assumptions!L43</f>
        <v>0.25</v>
      </c>
    </row>
    <row r="10" customFormat="false" ht="15" hidden="false" customHeight="false" outlineLevel="0" collapsed="false">
      <c r="A10" s="0" t="s">
        <v>118</v>
      </c>
      <c r="C10" s="0" t="n">
        <f aca="false">-C6*C9/100</f>
        <v>-23.7451</v>
      </c>
      <c r="D10" s="0" t="n">
        <f aca="false">-D6*D9/100</f>
        <v>-24.932355</v>
      </c>
      <c r="E10" s="0" t="n">
        <f aca="false">-E6*E9/100</f>
        <v>-26.4282963</v>
      </c>
      <c r="F10" s="0" t="n">
        <f aca="false">-F6*F9/100</f>
        <v>-27.749711115</v>
      </c>
      <c r="G10" s="0" t="n">
        <f aca="false">-G6*G9/100</f>
        <v>-28.998448115175</v>
      </c>
      <c r="H10" s="0" t="n">
        <f aca="false">-H6*H9/100</f>
        <v>-30.158386039782</v>
      </c>
      <c r="I10" s="0" t="n">
        <f aca="false">-I6*I9/100</f>
        <v>-31.2139295511744</v>
      </c>
      <c r="J10" s="0" t="n">
        <f aca="false">-J6*J9/100</f>
        <v>-32.1503474377096</v>
      </c>
      <c r="K10" s="0" t="n">
        <f aca="false">-K6*K9/100</f>
        <v>-33.1148578608409</v>
      </c>
      <c r="L10" s="0" t="n">
        <f aca="false">-L6*L9/100</f>
        <v>-33.9427293073619</v>
      </c>
    </row>
    <row r="11" customFormat="false" ht="15" hidden="false" customHeight="false" outlineLevel="0" collapsed="false">
      <c r="A11" s="0" t="s">
        <v>119</v>
      </c>
      <c r="C11" s="0" t="n">
        <f aca="false">C8+C10+C24</f>
        <v>2512.23158</v>
      </c>
      <c r="D11" s="0" t="n">
        <f aca="false">D8+D10+D24</f>
        <v>2737.572579</v>
      </c>
      <c r="E11" s="0" t="n">
        <f aca="false">E8+E10+E24</f>
        <v>3007.54011894</v>
      </c>
      <c r="F11" s="0" t="n">
        <f aca="false">F8+F10+F24</f>
        <v>3213.416547117</v>
      </c>
      <c r="G11" s="0" t="n">
        <f aca="false">G8+G10+G24</f>
        <v>3416.01718796762</v>
      </c>
      <c r="H11" s="0" t="n">
        <f aca="false">H8+H10+H24</f>
        <v>3612.97464756588</v>
      </c>
      <c r="I11" s="0" t="n">
        <f aca="false">I8+I10+I24</f>
        <v>3739.42876023069</v>
      </c>
      <c r="J11" s="0" t="n">
        <f aca="false">J8+J10+J24</f>
        <v>3851.61162303761</v>
      </c>
      <c r="K11" s="0" t="n">
        <f aca="false">K8+K10+K24</f>
        <v>3967.15997172874</v>
      </c>
      <c r="L11" s="0" t="n">
        <f aca="false">L8+L10+L24</f>
        <v>4066.33897102196</v>
      </c>
    </row>
    <row r="12" customFormat="false" ht="15" hidden="false" customHeight="false" outlineLevel="0" collapsed="false">
      <c r="A12" s="0" t="s">
        <v>120</v>
      </c>
      <c r="C12" s="4" t="n">
        <f aca="false">-C6*Assumptions!C45/100</f>
        <v>-275.44316</v>
      </c>
      <c r="D12" s="4" t="n">
        <f aca="false">-D6*Assumptions!D45/100</f>
        <v>-289.215318</v>
      </c>
      <c r="E12" s="4" t="n">
        <f aca="false">-E6*Assumptions!E45/100</f>
        <v>-306.56823708</v>
      </c>
      <c r="F12" s="4" t="n">
        <f aca="false">-F6*Assumptions!F45/100</f>
        <v>-321.896648934</v>
      </c>
      <c r="G12" s="4" t="n">
        <f aca="false">-G6*Assumptions!G45/100</f>
        <v>-336.38199813603</v>
      </c>
      <c r="H12" s="4" t="n">
        <f aca="false">-H6*Assumptions!H45/100</f>
        <v>-349.837278061471</v>
      </c>
      <c r="I12" s="4" t="n">
        <f aca="false">-I6*Assumptions!I45/100</f>
        <v>-362.081582793623</v>
      </c>
      <c r="J12" s="4" t="n">
        <f aca="false">-J6*Assumptions!J45/100</f>
        <v>-372.944030277431</v>
      </c>
      <c r="K12" s="4" t="n">
        <f aca="false">-K6*Assumptions!K45/100</f>
        <v>-384.132351185754</v>
      </c>
      <c r="L12" s="4" t="n">
        <f aca="false">-L6*Assumptions!L45/100</f>
        <v>-393.735659965398</v>
      </c>
    </row>
    <row r="13" customFormat="false" ht="15" hidden="false" customHeight="false" outlineLevel="0" collapsed="false">
      <c r="A13" s="0" t="s">
        <v>121</v>
      </c>
      <c r="C13" s="0" t="n">
        <f aca="false">C11+C12</f>
        <v>2236.78842</v>
      </c>
      <c r="D13" s="0" t="n">
        <f aca="false">D11+D12</f>
        <v>2448.357261</v>
      </c>
      <c r="E13" s="0" t="n">
        <f aca="false">E11+E12</f>
        <v>2700.97188186</v>
      </c>
      <c r="F13" s="0" t="n">
        <f aca="false">F11+F12</f>
        <v>2891.519898183</v>
      </c>
      <c r="G13" s="0" t="n">
        <f aca="false">G11+G12</f>
        <v>3079.63518983159</v>
      </c>
      <c r="H13" s="0" t="n">
        <f aca="false">H11+H12</f>
        <v>3263.13736950441</v>
      </c>
      <c r="I13" s="0" t="n">
        <f aca="false">I11+I12</f>
        <v>3377.34717743707</v>
      </c>
      <c r="J13" s="0" t="n">
        <f aca="false">J11+J12</f>
        <v>3478.66759276018</v>
      </c>
      <c r="K13" s="0" t="n">
        <f aca="false">K11+K12</f>
        <v>3583.02762054298</v>
      </c>
      <c r="L13" s="0" t="n">
        <f aca="false">L11+L12</f>
        <v>3672.60331105656</v>
      </c>
    </row>
    <row r="14" customFormat="false" ht="15" hidden="false" customHeight="false" outlineLevel="0" collapsed="false">
      <c r="A14" s="0" t="s">
        <v>107</v>
      </c>
      <c r="C14" s="4" t="n">
        <f aca="false">Assumptions!C47</f>
        <v>26</v>
      </c>
      <c r="D14" s="4" t="n">
        <f aca="false">Assumptions!D47</f>
        <v>26</v>
      </c>
      <c r="E14" s="4" t="n">
        <f aca="false">Assumptions!E47</f>
        <v>26</v>
      </c>
      <c r="F14" s="4" t="n">
        <f aca="false">Assumptions!F47</f>
        <v>26</v>
      </c>
      <c r="G14" s="4" t="n">
        <f aca="false">Assumptions!G47</f>
        <v>26</v>
      </c>
      <c r="H14" s="4" t="n">
        <f aca="false">Assumptions!H47</f>
        <v>26</v>
      </c>
      <c r="I14" s="4" t="n">
        <f aca="false">Assumptions!I47</f>
        <v>26</v>
      </c>
      <c r="J14" s="4" t="n">
        <f aca="false">Assumptions!J47</f>
        <v>26</v>
      </c>
      <c r="K14" s="4" t="n">
        <f aca="false">Assumptions!K47</f>
        <v>26</v>
      </c>
      <c r="L14" s="4" t="n">
        <f aca="false">Assumptions!L47</f>
        <v>26</v>
      </c>
    </row>
    <row r="15" customFormat="false" ht="15" hidden="false" customHeight="false" outlineLevel="0" collapsed="false">
      <c r="A15" s="0" t="s">
        <v>122</v>
      </c>
      <c r="C15" s="0" t="n">
        <f aca="false">C13-MAX(0,C13)*C14/100</f>
        <v>1655.2234308</v>
      </c>
      <c r="D15" s="0" t="n">
        <f aca="false">D13-MAX(0,D13)*D14/100</f>
        <v>1811.78437314</v>
      </c>
      <c r="E15" s="0" t="n">
        <f aca="false">E13-MAX(0,E13)*E14/100</f>
        <v>1998.7191925764</v>
      </c>
      <c r="F15" s="0" t="n">
        <f aca="false">F13-MAX(0,F13)*F14/100</f>
        <v>2139.72472465542</v>
      </c>
      <c r="G15" s="0" t="n">
        <f aca="false">G13-MAX(0,G13)*G14/100</f>
        <v>2278.93004047537</v>
      </c>
      <c r="H15" s="0" t="n">
        <f aca="false">H13-MAX(0,H13)*H14/100</f>
        <v>2414.72165343327</v>
      </c>
      <c r="I15" s="0" t="n">
        <f aca="false">I13-MAX(0,I13)*I14/100</f>
        <v>2499.23691130343</v>
      </c>
      <c r="J15" s="0" t="n">
        <f aca="false">J13-MAX(0,J13)*J14/100</f>
        <v>2574.21401864253</v>
      </c>
      <c r="K15" s="0" t="n">
        <f aca="false">K13-MAX(0,K13)*K14/100</f>
        <v>2651.44043920181</v>
      </c>
      <c r="L15" s="0" t="n">
        <f aca="false">L13-MAX(0,L13)*L14/100</f>
        <v>2717.72645018185</v>
      </c>
    </row>
    <row r="16" customFormat="false" ht="15" hidden="false" customHeight="false" outlineLevel="0" collapsed="false">
      <c r="A16" s="0" t="s">
        <v>123</v>
      </c>
      <c r="C16" s="0" t="n">
        <f aca="false">-C12</f>
        <v>275.44316</v>
      </c>
      <c r="D16" s="0" t="n">
        <f aca="false">-D12</f>
        <v>289.215318</v>
      </c>
      <c r="E16" s="0" t="n">
        <f aca="false">-E12</f>
        <v>306.56823708</v>
      </c>
      <c r="F16" s="0" t="n">
        <f aca="false">-F12</f>
        <v>321.896648934</v>
      </c>
      <c r="G16" s="0" t="n">
        <f aca="false">-G12</f>
        <v>336.38199813603</v>
      </c>
      <c r="H16" s="0" t="n">
        <f aca="false">-H12</f>
        <v>349.837278061471</v>
      </c>
      <c r="I16" s="0" t="n">
        <f aca="false">-I12</f>
        <v>362.081582793623</v>
      </c>
      <c r="J16" s="0" t="n">
        <f aca="false">-J12</f>
        <v>372.944030277431</v>
      </c>
      <c r="K16" s="0" t="n">
        <f aca="false">-K12</f>
        <v>384.132351185754</v>
      </c>
      <c r="L16" s="0" t="n">
        <f aca="false">-L12</f>
        <v>393.735659965398</v>
      </c>
    </row>
    <row r="17" customFormat="false" ht="15" hidden="false" customHeight="false" outlineLevel="0" collapsed="false">
      <c r="A17" s="0" t="s">
        <v>124</v>
      </c>
      <c r="C17" s="4" t="n">
        <f aca="false">-C6*Assumptions!C46/100</f>
        <v>-474.902</v>
      </c>
      <c r="D17" s="4" t="n">
        <f aca="false">-D6*Assumptions!D46/100</f>
        <v>-498.6471</v>
      </c>
      <c r="E17" s="4" t="n">
        <f aca="false">-E6*Assumptions!E46/100</f>
        <v>-528.565926</v>
      </c>
      <c r="F17" s="4" t="n">
        <f aca="false">-F6*Assumptions!F46/100</f>
        <v>-554.9942223</v>
      </c>
      <c r="G17" s="4" t="n">
        <f aca="false">-G6*Assumptions!G46/100</f>
        <v>-579.9689623035</v>
      </c>
      <c r="H17" s="4" t="n">
        <f aca="false">-H6*Assumptions!H46/100</f>
        <v>-603.16772079564</v>
      </c>
      <c r="I17" s="4" t="n">
        <f aca="false">-I6*Assumptions!I46/100</f>
        <v>-624.278591023487</v>
      </c>
      <c r="J17" s="4" t="n">
        <f aca="false">-J6*Assumptions!J46/100</f>
        <v>-643.006948754192</v>
      </c>
      <c r="K17" s="4" t="n">
        <f aca="false">-K6*Assumptions!K46/100</f>
        <v>-662.297157216818</v>
      </c>
      <c r="L17" s="4" t="n">
        <f aca="false">-L6*Assumptions!L46/100</f>
        <v>-678.854586147238</v>
      </c>
    </row>
    <row r="18" customFormat="false" ht="15" hidden="false" customHeight="false" outlineLevel="0" collapsed="false">
      <c r="A18" s="0" t="s">
        <v>125</v>
      </c>
      <c r="C18" s="4" t="n">
        <f aca="false">(C6-B6)*Assumptions!$B$51/100</f>
        <v>-32.9140000000003</v>
      </c>
      <c r="D18" s="4" t="n">
        <f aca="false">(D6-C6)*Assumptions!$B$51/100</f>
        <v>-166.2157</v>
      </c>
      <c r="E18" s="4" t="n">
        <f aca="false">(E6-D6)*Assumptions!$B$51/100</f>
        <v>-209.431782</v>
      </c>
      <c r="F18" s="4" t="n">
        <f aca="false">(F6-E6)*Assumptions!$B$51/100</f>
        <v>-184.9980741</v>
      </c>
      <c r="G18" s="4" t="n">
        <f aca="false">(G6-F6)*Assumptions!$B$51/100</f>
        <v>-174.8231800245</v>
      </c>
      <c r="H18" s="4" t="n">
        <f aca="false">(H6-G6)*Assumptions!$B$51/100</f>
        <v>-162.39130944498</v>
      </c>
      <c r="I18" s="4" t="n">
        <f aca="false">(I6-H6)*Assumptions!$B$51/100</f>
        <v>-147.776091594931</v>
      </c>
      <c r="J18" s="4" t="n">
        <f aca="false">(J6-I6)*Assumptions!$B$51/100</f>
        <v>-131.098504114933</v>
      </c>
      <c r="K18" s="4" t="n">
        <f aca="false">(K6-J6)*Assumptions!$B$51/100</f>
        <v>-135.03145923838</v>
      </c>
      <c r="L18" s="4" t="n">
        <f aca="false">(L6-K6)*Assumptions!$B$51/100</f>
        <v>-115.902002512943</v>
      </c>
    </row>
    <row r="19" customFormat="false" ht="15" hidden="false" customHeight="false" outlineLevel="0" collapsed="false">
      <c r="A19" s="0" t="s">
        <v>126</v>
      </c>
      <c r="C19" s="0" t="n">
        <f aca="false">C15+C16+C17+C18</f>
        <v>1422.8505908</v>
      </c>
      <c r="D19" s="0" t="n">
        <f aca="false">D15+D16+D17+D18</f>
        <v>1436.13689114</v>
      </c>
      <c r="E19" s="0" t="n">
        <f aca="false">E15+E16+E17+E18</f>
        <v>1567.2897216564</v>
      </c>
      <c r="F19" s="0" t="n">
        <f aca="false">F15+F16+F17+F18</f>
        <v>1721.62907718942</v>
      </c>
      <c r="G19" s="0" t="n">
        <f aca="false">G15+G16+G17+G18</f>
        <v>1860.5198962834</v>
      </c>
      <c r="H19" s="0" t="n">
        <f aca="false">H15+H16+H17+H18</f>
        <v>1998.99990125412</v>
      </c>
      <c r="I19" s="0" t="n">
        <f aca="false">I15+I16+I17+I18</f>
        <v>2089.26381147863</v>
      </c>
      <c r="J19" s="0" t="n">
        <f aca="false">J15+J16+J17+J18</f>
        <v>2173.05259605084</v>
      </c>
      <c r="K19" s="0" t="n">
        <f aca="false">K15+K16+K17+K18</f>
        <v>2238.24417393236</v>
      </c>
      <c r="L19" s="0" t="n">
        <f aca="false">L15+L16+L17+L18</f>
        <v>2316.70552148707</v>
      </c>
    </row>
    <row r="20" customFormat="false" ht="15" hidden="false" customHeight="false" outlineLevel="0" collapsed="false">
      <c r="A20" s="0" t="s">
        <v>127</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128</v>
      </c>
      <c r="C21" s="0" t="n">
        <f aca="false">C19*C20</f>
        <v>1329.76690728972</v>
      </c>
      <c r="D21" s="0" t="n">
        <f aca="false">D19*D20</f>
        <v>1254.37757982357</v>
      </c>
      <c r="E21" s="0" t="n">
        <f aca="false">E19*E20</f>
        <v>1279.37527226097</v>
      </c>
      <c r="F21" s="0" t="n">
        <f aca="false">F19*F20</f>
        <v>1313.42257990961</v>
      </c>
      <c r="G21" s="0" t="n">
        <f aca="false">G19*G20</f>
        <v>1326.52497270445</v>
      </c>
      <c r="H21" s="0" t="n">
        <f aca="false">H19*H20</f>
        <v>1332.01803961066</v>
      </c>
      <c r="I21" s="0" t="n">
        <f aca="false">I19*I20</f>
        <v>1301.08849932714</v>
      </c>
      <c r="J21" s="0" t="n">
        <f aca="false">J19*J20</f>
        <v>1264.73639560028</v>
      </c>
      <c r="K21" s="0" t="n">
        <f aca="false">K19*K20</f>
        <v>1217.4565303442</v>
      </c>
      <c r="L21" s="0" t="n">
        <f aca="false">L19*L20</f>
        <v>1177.69561193254</v>
      </c>
    </row>
    <row r="23" customFormat="false" ht="15" hidden="false" customHeight="false" outlineLevel="0" collapsed="false">
      <c r="A23" s="0" t="s">
        <v>104</v>
      </c>
      <c r="C23" s="4" t="n">
        <f aca="false">Assumptions!C44</f>
        <v>1.3</v>
      </c>
      <c r="D23" s="4" t="n">
        <f aca="false">Assumptions!D44</f>
        <v>1.3</v>
      </c>
      <c r="E23" s="4" t="n">
        <f aca="false">Assumptions!E44</f>
        <v>1.3</v>
      </c>
      <c r="F23" s="4" t="n">
        <f aca="false">Assumptions!F44</f>
        <v>1.3</v>
      </c>
      <c r="G23" s="4" t="n">
        <f aca="false">Assumptions!G44</f>
        <v>1.3</v>
      </c>
      <c r="H23" s="4" t="n">
        <f aca="false">Assumptions!H44</f>
        <v>1.3</v>
      </c>
      <c r="I23" s="4" t="n">
        <f aca="false">Assumptions!I44</f>
        <v>1.3</v>
      </c>
      <c r="J23" s="4" t="n">
        <f aca="false">Assumptions!J44</f>
        <v>1.3</v>
      </c>
      <c r="K23" s="4" t="n">
        <f aca="false">Assumptions!K44</f>
        <v>1.3</v>
      </c>
      <c r="L23" s="4" t="n">
        <f aca="false">Assumptions!L44</f>
        <v>1.3</v>
      </c>
    </row>
    <row r="24" customFormat="false" ht="15" hidden="false" customHeight="false" outlineLevel="0" collapsed="false">
      <c r="A24" s="0" t="s">
        <v>129</v>
      </c>
      <c r="C24" s="0" t="n">
        <f aca="false">-C6*C23/100</f>
        <v>-123.47452</v>
      </c>
      <c r="D24" s="0" t="n">
        <f aca="false">-D6*D23/100</f>
        <v>-129.648246</v>
      </c>
      <c r="E24" s="0" t="n">
        <f aca="false">-E6*E23/100</f>
        <v>-137.42714076</v>
      </c>
      <c r="F24" s="0" t="n">
        <f aca="false">-F6*F23/100</f>
        <v>-144.298497798</v>
      </c>
      <c r="G24" s="0" t="n">
        <f aca="false">-G6*G23/100</f>
        <v>-150.79193019891</v>
      </c>
      <c r="H24" s="0" t="n">
        <f aca="false">-H6*H23/100</f>
        <v>-156.823607406866</v>
      </c>
      <c r="I24" s="0" t="n">
        <f aca="false">-I6*I23/100</f>
        <v>-162.312433666107</v>
      </c>
      <c r="J24" s="0" t="n">
        <f aca="false">-J6*J23/100</f>
        <v>-167.18180667609</v>
      </c>
      <c r="K24" s="0" t="n">
        <f aca="false">-K6*K23/100</f>
        <v>-172.197260876373</v>
      </c>
      <c r="L24" s="0" t="n">
        <f aca="false">-L6*L23/100</f>
        <v>-176.502192398282</v>
      </c>
    </row>
    <row r="26" customFormat="false" ht="15" hidden="false" customHeight="false" outlineLevel="0" collapsed="false">
      <c r="A26" s="2" t="s">
        <v>130</v>
      </c>
    </row>
    <row r="27" customFormat="false" ht="15" hidden="false" customHeight="false" outlineLevel="0" collapsed="false">
      <c r="A27" s="0" t="s">
        <v>108</v>
      </c>
      <c r="B27" s="4" t="n">
        <f aca="false">Assumptions!$B$48</f>
        <v>7</v>
      </c>
    </row>
    <row r="28" customFormat="false" ht="15" hidden="false" customHeight="false" outlineLevel="0" collapsed="false">
      <c r="A28" s="0" t="s">
        <v>109</v>
      </c>
      <c r="B28" s="4" t="n">
        <f aca="false">Assumptions!$B$49</f>
        <v>2.5</v>
      </c>
    </row>
    <row r="29" customFormat="false" ht="15" hidden="false" customHeight="false" outlineLevel="0" collapsed="false">
      <c r="A29" s="0" t="s">
        <v>110</v>
      </c>
      <c r="B29" s="4" t="n">
        <f aca="false">Assumptions!$B$50</f>
        <v>18</v>
      </c>
    </row>
    <row r="30" customFormat="false" ht="15" hidden="false" customHeight="false" outlineLevel="0" collapsed="false">
      <c r="A30" s="0" t="s">
        <v>131</v>
      </c>
      <c r="B30" s="0" t="n">
        <f aca="false">SUM(C21:L21)</f>
        <v>12796.4623888031</v>
      </c>
    </row>
    <row r="31" customFormat="false" ht="15" hidden="false" customHeight="false" outlineLevel="0" collapsed="false">
      <c r="A31" s="0" t="s">
        <v>132</v>
      </c>
      <c r="B31" s="0" t="n">
        <f aca="false">L19</f>
        <v>2316.70552148707</v>
      </c>
    </row>
    <row r="32" customFormat="false" ht="15" hidden="false" customHeight="false" outlineLevel="0" collapsed="false">
      <c r="A32" s="0" t="s">
        <v>133</v>
      </c>
      <c r="B32" s="0" t="n">
        <f aca="false">IF(B27&gt;B28,B31*(1+B28/100)/((B27-B28)/100),B31*B29)</f>
        <v>52769.4035449833</v>
      </c>
    </row>
    <row r="33" customFormat="false" ht="15" hidden="false" customHeight="false" outlineLevel="0" collapsed="false">
      <c r="A33" s="0" t="s">
        <v>134</v>
      </c>
      <c r="B33" s="0" t="n">
        <f aca="false">B31*B29</f>
        <v>41700.6993867673</v>
      </c>
    </row>
    <row r="34" customFormat="false" ht="15" hidden="false" customHeight="false" outlineLevel="0" collapsed="false">
      <c r="A34" s="0" t="s">
        <v>135</v>
      </c>
      <c r="B34" s="0" t="n">
        <f aca="false">MAX(0,MIN(B32,B33))</f>
        <v>41700.6993867673</v>
      </c>
    </row>
    <row r="35" customFormat="false" ht="15" hidden="false" customHeight="false" outlineLevel="0" collapsed="false">
      <c r="A35" s="0" t="s">
        <v>136</v>
      </c>
      <c r="B35" s="0" t="n">
        <f aca="false">B34/(1+B27/100)^L4</f>
        <v>21198.5210147858</v>
      </c>
    </row>
    <row r="36" customFormat="false" ht="15" hidden="false" customHeight="false" outlineLevel="0" collapsed="false">
      <c r="A36" s="0" t="s">
        <v>137</v>
      </c>
      <c r="B36" s="0" t="n">
        <f aca="false">B30+B35</f>
        <v>33994.9834035889</v>
      </c>
    </row>
    <row r="37" customFormat="false" ht="15" hidden="false" customHeight="false" outlineLevel="0" collapsed="false">
      <c r="A37" s="0" t="s">
        <v>138</v>
      </c>
      <c r="B37" s="0" t="n">
        <f aca="false">B36+Assumptions!$B$5-Assumptions!$B$4</f>
        <v>22804.9834035889</v>
      </c>
    </row>
    <row r="38" customFormat="false" ht="15" hidden="false" customHeight="false" outlineLevel="0" collapsed="false">
      <c r="A38" s="0" t="s">
        <v>139</v>
      </c>
      <c r="B38" s="0" t="n">
        <f aca="false">B37/Assumptions!$B$3*Assumptions!$B$10</f>
        <v>90.3883606959529</v>
      </c>
    </row>
    <row r="39" customFormat="false" ht="15" hidden="false" customHeight="false" outlineLevel="0" collapsed="false">
      <c r="A39" s="0" t="s">
        <v>140</v>
      </c>
      <c r="B39" s="4" t="n">
        <f aca="false">B38/Assumptions!$B$2-1</f>
        <v>0.336315208396702</v>
      </c>
    </row>
    <row r="41" customFormat="false" ht="15" hidden="false" customHeight="false" outlineLevel="0" collapsed="false">
      <c r="A41" s="0" t="s">
        <v>141</v>
      </c>
      <c r="B41" s="0" t="n">
        <f aca="false">SUMPRODUCT(-C10:L10/(1+$B$27/100)^C4:L4)</f>
        <v>200.900661827755</v>
      </c>
    </row>
    <row r="42" customFormat="false" ht="15" hidden="false" customHeight="false" outlineLevel="0" collapsed="false">
      <c r="A42" s="0" t="s">
        <v>142</v>
      </c>
      <c r="B42" s="0" t="n">
        <f aca="false">IF(B27&gt;B28,-L10*(1+B28/100)/((B27-B28)/100),-L10*20)/(1+B27/100)^L4</f>
        <v>393.025143931793</v>
      </c>
    </row>
    <row r="43" customFormat="false" ht="15" hidden="false" customHeight="false" outlineLevel="0" collapsed="false">
      <c r="A43" s="0" t="s">
        <v>143</v>
      </c>
      <c r="B43" s="0" t="n">
        <f aca="false">(B37+B41+B42)/Assumptions!$B$3*Assumptions!$B$10</f>
        <v>92.7424066957926</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18996.985276194</v>
      </c>
    </row>
    <row r="47" customFormat="false" ht="15" hidden="false" customHeight="false" outlineLevel="0" collapsed="false">
      <c r="A47" s="0" t="s">
        <v>145</v>
      </c>
      <c r="B47" s="0" t="n">
        <f aca="false">(SUMPRODUCT(C19:L19/(1+B45/100)^C4:L4)+B46/(1+B45/100)^L4+Assumptions!$B$5-Assumptions!$B$4)/Assumptions!$B$3*Assumptions!$B$10</f>
        <v>9.26577946481349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148</v>
      </c>
    </row>
    <row r="3" customFormat="false" ht="15" hidden="false" customHeight="false" outlineLevel="0" collapsed="false">
      <c r="A3" s="2" t="s">
        <v>149</v>
      </c>
      <c r="B3" s="2" t="s">
        <v>150</v>
      </c>
      <c r="C3" s="2" t="s">
        <v>140</v>
      </c>
      <c r="D3" s="2" t="s">
        <v>151</v>
      </c>
      <c r="E3" s="2" t="s">
        <v>143</v>
      </c>
      <c r="F3" s="2" t="s">
        <v>152</v>
      </c>
    </row>
    <row r="4" customFormat="false" ht="15" hidden="false" customHeight="false" outlineLevel="0" collapsed="false">
      <c r="A4" s="0" t="s">
        <v>153</v>
      </c>
      <c r="B4" s="4" t="n">
        <f aca="false">DCF_Bear!$B$38</f>
        <v>35.7947244422388</v>
      </c>
      <c r="C4" s="0" t="n">
        <f aca="false">B4/Assumptions!$B$2-1</f>
        <v>-0.470805374892981</v>
      </c>
      <c r="D4" s="4" t="n">
        <f aca="false">Assumptions!$B$24</f>
        <v>0.25</v>
      </c>
      <c r="E4" s="4" t="n">
        <f aca="false">DCF_Bear!$B$43</f>
        <v>37.38416910683</v>
      </c>
      <c r="F4" s="4" t="n">
        <f aca="false">DCF_Bear!$B$47</f>
        <v>-10.9399378892932</v>
      </c>
    </row>
    <row r="5" customFormat="false" ht="15" hidden="false" customHeight="false" outlineLevel="0" collapsed="false">
      <c r="A5" s="0" t="s">
        <v>154</v>
      </c>
      <c r="B5" s="4" t="n">
        <f aca="false">DCF_Base!$B$38</f>
        <v>65.3358050794749</v>
      </c>
      <c r="C5" s="0" t="n">
        <f aca="false">B5/Assumptions!$B$2-1</f>
        <v>-0.0340655665364449</v>
      </c>
      <c r="D5" s="4" t="n">
        <f aca="false">Assumptions!$B$38</f>
        <v>0.5</v>
      </c>
      <c r="E5" s="4" t="n">
        <f aca="false">DCF_Base!$B$43</f>
        <v>67.3068817717383</v>
      </c>
      <c r="F5" s="4" t="n">
        <f aca="false">DCF_Base!$B$47</f>
        <v>-0.0692748035020071</v>
      </c>
    </row>
    <row r="6" customFormat="false" ht="15" hidden="false" customHeight="false" outlineLevel="0" collapsed="false">
      <c r="A6" s="0" t="s">
        <v>155</v>
      </c>
      <c r="B6" s="4" t="n">
        <f aca="false">DCF_Bull!$B$38</f>
        <v>90.3883606959529</v>
      </c>
      <c r="C6" s="0" t="n">
        <f aca="false">B6/Assumptions!$B$2-1</f>
        <v>0.336315208396702</v>
      </c>
      <c r="D6" s="4" t="n">
        <f aca="false">Assumptions!$B$52</f>
        <v>0.25</v>
      </c>
      <c r="E6" s="4" t="n">
        <f aca="false">DCF_Bull!$B$43</f>
        <v>92.7424066957926</v>
      </c>
      <c r="F6" s="4" t="n">
        <f aca="false">DCF_Bull!$B$47</f>
        <v>9.26577946481349</v>
      </c>
    </row>
    <row r="8" customFormat="false" ht="15" hidden="false" customHeight="false" outlineLevel="0" collapsed="false">
      <c r="A8" s="0" t="s">
        <v>156</v>
      </c>
      <c r="B8" s="0" t="n">
        <f aca="false">SUMPRODUCT(B4:B6,D4:D6)</f>
        <v>64.2136738242854</v>
      </c>
    </row>
    <row r="9" customFormat="false" ht="15" hidden="false" customHeight="false" outlineLevel="0" collapsed="false">
      <c r="A9" s="0" t="s">
        <v>157</v>
      </c>
      <c r="B9" s="0" t="n">
        <f aca="false">SUMPRODUCT(E4:E6,D4:D6)</f>
        <v>66.1850848365248</v>
      </c>
    </row>
    <row r="10" customFormat="false" ht="15" hidden="false" customHeight="false" outlineLevel="0" collapsed="false">
      <c r="A10" s="0" t="s">
        <v>158</v>
      </c>
      <c r="B10" s="0" t="n">
        <f aca="false">1-Assumptions!$B$2/B8</f>
        <v>-0.0533582019476171</v>
      </c>
    </row>
    <row r="11" customFormat="false" ht="15" hidden="false" customHeight="false" outlineLevel="0" collapsed="false">
      <c r="A11" s="0" t="s">
        <v>159</v>
      </c>
      <c r="B11" s="0" t="n">
        <f aca="false">IF(ABS(B9-B8)&gt;0.01*ABS(B8),(Assumptions!$B$2-B8)/(B9-B8)*100,"n/a")</f>
        <v>173.800701854786</v>
      </c>
    </row>
    <row r="12" customFormat="false" ht="15" hidden="false" customHeight="false" outlineLevel="0" collapsed="false">
      <c r="A12" s="0" t="s">
        <v>160</v>
      </c>
      <c r="B12" s="0" t="n">
        <f aca="false">SUMPRODUCT(F4:F6,D4:D6)</f>
        <v>-0.45317700787093</v>
      </c>
    </row>
    <row r="14" customFormat="false" ht="15" hidden="false" customHeight="false" outlineLevel="0" collapsed="false">
      <c r="A14" s="2" t="s">
        <v>161</v>
      </c>
      <c r="C14" s="0" t="s">
        <v>162</v>
      </c>
    </row>
    <row r="15" customFormat="false" ht="15" hidden="false" customHeight="false" outlineLevel="0" collapsed="false">
      <c r="A15" s="0" t="s">
        <v>163</v>
      </c>
      <c r="B15" s="0" t="n">
        <f aca="false">(SUMPRODUCT(DCF_Base!$C$19:$L$19/(1+$C$15/100)^DCF_Base!$C$4:$L$4)+MAX(0,MIN(IF($C$15&gt;DCF_Base!$B$28,DCF_Base!$L$19*(1+DCF_Base!$B$28/100)/(($C$15-DCF_Base!$B$28)/100),DCF_Base!$L$19*DCF_Base!$B$29),DCF_Base!$L$19*DCF_Base!$B$29))/(1+$C$15/100)^DCF_Base!$L$4+Assumptions!$B$5-Assumptions!$B$4)/Assumptions!$B$3*Assumptions!$B$10</f>
        <v>65.3358050794749</v>
      </c>
      <c r="C15" s="3" t="n">
        <v>7</v>
      </c>
    </row>
    <row r="16" customFormat="false" ht="15" hidden="false" customHeight="false" outlineLevel="0" collapsed="false">
      <c r="A16" s="0" t="s">
        <v>164</v>
      </c>
      <c r="B16" s="0" t="n">
        <f aca="false">(SUMPRODUCT(DCF_Base!$C$19:$L$19/(1+$C$16/100)^DCF_Base!$C$4:$L$4)+MAX(0,MIN(IF($C$16&gt;DCF_Base!$B$28,DCF_Base!$L$19*(1+DCF_Base!$B$28/100)/(($C$16-DCF_Base!$B$28)/100),DCF_Base!$L$19*DCF_Base!$B$29),DCF_Base!$L$19*DCF_Base!$B$29))/(1+$C$16/100)^DCF_Base!$L$4+Assumptions!$B$5-Assumptions!$B$4)/Assumptions!$B$3*Assumptions!$B$10</f>
        <v>39.6134667167948</v>
      </c>
      <c r="C16" s="3" t="n">
        <v>9</v>
      </c>
    </row>
    <row r="17" customFormat="false" ht="15" hidden="false" customHeight="false" outlineLevel="0" collapsed="false">
      <c r="A17" s="0" t="s">
        <v>165</v>
      </c>
      <c r="B17" s="0" t="n">
        <f aca="false">(SUMPRODUCT(DCF_Base!$C$19:$L$19/(1+$C$17/100)^DCF_Base!$C$4:$L$4)+MAX(0,MIN(IF($C$17&gt;DCF_Base!$B$28,DCF_Base!$L$19*(1+DCF_Base!$B$28/100)/(($C$17-DCF_Base!$B$28)/100),DCF_Base!$L$19*DCF_Base!$B$29),DCF_Base!$L$19*DCF_Base!$B$29))/(1+$C$17/100)^DCF_Base!$L$4+Assumptions!$B$5-Assumptions!$B$4)/Assumptions!$B$3*Assumptions!$B$10</f>
        <v>28.8295265178229</v>
      </c>
      <c r="C17" s="3" t="n">
        <v>10</v>
      </c>
    </row>
    <row r="18" customFormat="false" ht="15" hidden="false" customHeight="false" outlineLevel="0" collapsed="false">
      <c r="A18" s="0" t="s">
        <v>166</v>
      </c>
      <c r="B18" s="0" t="n">
        <f aca="false">(SUMPRODUCT(DCF_Base!$C$19:$L$19/(1+$C$18/100)^DCF_Base!$C$4:$L$4)+MAX(0,MIN(IF($C$18&gt;DCF_Base!$B$28,DCF_Base!$L$19*(1+DCF_Base!$B$28/100)/(($C$18-DCF_Base!$B$28)/100),DCF_Base!$L$19*DCF_Base!$B$29),DCF_Base!$L$19*DCF_Base!$B$29))/(1+$C$18/100)^DCF_Base!$L$4+Assumptions!$B$5-Assumptions!$B$4)/Assumptions!$B$3*Assumptions!$B$10</f>
        <v>20.4562088363532</v>
      </c>
      <c r="C18" s="3" t="n">
        <v>11</v>
      </c>
    </row>
    <row r="19" customFormat="false" ht="15" hidden="false" customHeight="false" outlineLevel="0" collapsed="false">
      <c r="A19" s="0" t="s">
        <v>167</v>
      </c>
      <c r="B19" s="0" t="n">
        <f aca="false">(SUMPRODUCT(DCF_Base!$C$19:$L$19/(1+$C$19/100)^DCF_Base!$C$4:$L$4)+MAX(0,MIN(IF($C$19&gt;DCF_Base!$B$28,DCF_Base!$L$19*(1+DCF_Base!$B$28/100)/(($C$19-DCF_Base!$B$28)/100),DCF_Base!$L$19*DCF_Base!$B$29),DCF_Base!$L$19*DCF_Base!$B$29))/(1+$C$19/100)^DCF_Base!$L$4+Assumptions!$B$5-Assumptions!$B$4)/Assumptions!$B$3*Assumptions!$B$10</f>
        <v>13.7694653280637</v>
      </c>
      <c r="C19" s="3" t="n">
        <v>12</v>
      </c>
    </row>
    <row r="20" customFormat="false" ht="15" hidden="false" customHeight="false" outlineLevel="0" collapsed="false">
      <c r="A20" s="0" t="s">
        <v>168</v>
      </c>
      <c r="B20" s="0" t="n">
        <f aca="false">(SUMPRODUCT(DCF_Base!$C$19:$L$19/(1+$C$20/100)^DCF_Base!$C$4:$L$4)+MAX(0,MIN(IF($C$20&gt;DCF_Base!$B$28,DCF_Base!$L$19*(1+DCF_Base!$B$28/100)/(($C$20-DCF_Base!$B$28)/100),DCF_Base!$L$19*DCF_Base!$B$29),DCF_Base!$L$19*DCF_Base!$B$29))/(1+$C$20/100)^DCF_Base!$L$4+Assumptions!$B$5-Assumptions!$B$4)/Assumptions!$B$3*Assumptions!$B$10</f>
        <v>-0.0692748035020071</v>
      </c>
      <c r="C20" s="3" t="n">
        <v>15</v>
      </c>
    </row>
    <row r="22" customFormat="false" ht="15" hidden="false" customHeight="false" outlineLevel="0" collapsed="false">
      <c r="A22" s="2" t="s">
        <v>169</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83.7172024371483</v>
      </c>
      <c r="C24" s="0" t="n">
        <f aca="false">(SUMPRODUCT(DCF_Base!$C$19:$L$19/(1+$A$24/100)^DCF_Base!$C$4:$L$4)+MAX(0,MIN(IF($A$24&gt;$C$23,DCF_Base!$L$19*(1+$C$23/100)/(($A$24-$C$23)/100),DCF_Base!$L$19*DCF_Base!$B$29),DCF_Base!$L$19*DCF_Base!$B$29))/(1+$A$24/100)^DCF_Base!$L$4+Assumptions!$B$5-Assumptions!$B$4)/Assumptions!$B$3*Assumptions!$B$10</f>
        <v>83.7172024371483</v>
      </c>
      <c r="D24" s="0" t="n">
        <f aca="false">(SUMPRODUCT(DCF_Base!$C$19:$L$19/(1+$A$24/100)^DCF_Base!$C$4:$L$4)+MAX(0,MIN(IF($A$24&gt;$D$23,DCF_Base!$L$19*(1+$D$23/100)/(($A$24-$D$23)/100),DCF_Base!$L$19*DCF_Base!$B$29),DCF_Base!$L$19*DCF_Base!$B$29))/(1+$A$24/100)^DCF_Base!$L$4+Assumptions!$B$5-Assumptions!$B$4)/Assumptions!$B$3*Assumptions!$B$10</f>
        <v>83.7172024371483</v>
      </c>
      <c r="E24" s="0" t="n">
        <f aca="false">(SUMPRODUCT(DCF_Base!$C$19:$L$19/(1+$A$24/100)^DCF_Base!$C$4:$L$4)+MAX(0,MIN(IF($A$24&gt;$E$23,DCF_Base!$L$19*(1+$E$23/100)/(($A$24-$E$23)/100),DCF_Base!$L$19*DCF_Base!$B$29),DCF_Base!$L$19*DCF_Base!$B$29))/(1+$A$24/100)^DCF_Base!$L$4+Assumptions!$B$5-Assumptions!$B$4)/Assumptions!$B$3*Assumptions!$B$10</f>
        <v>83.7172024371483</v>
      </c>
      <c r="F24" s="0" t="n">
        <f aca="false">(SUMPRODUCT(DCF_Base!$C$19:$L$19/(1+$A$24/100)^DCF_Base!$C$4:$L$4)+MAX(0,MIN(IF($A$24&gt;$F$23,DCF_Base!$L$19*(1+$F$23/100)/(($A$24-$F$23)/100),DCF_Base!$L$19*DCF_Base!$B$29),DCF_Base!$L$19*DCF_Base!$B$29))/(1+$A$24/100)^DCF_Base!$L$4+Assumptions!$B$5-Assumptions!$B$4)/Assumptions!$B$3*Assumptions!$B$10</f>
        <v>83.7172024371483</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74.0836592294511</v>
      </c>
      <c r="C25" s="0" t="n">
        <f aca="false">(SUMPRODUCT(DCF_Base!$C$19:$L$19/(1+$A$25/100)^DCF_Base!$C$4:$L$4)+MAX(0,MIN(IF($A$25&gt;$C$23,DCF_Base!$L$19*(1+$C$23/100)/(($A$25-$C$23)/100),DCF_Base!$L$19*DCF_Base!$B$29),DCF_Base!$L$19*DCF_Base!$B$29))/(1+$A$25/100)^DCF_Base!$L$4+Assumptions!$B$5-Assumptions!$B$4)/Assumptions!$B$3*Assumptions!$B$10</f>
        <v>74.0836592294511</v>
      </c>
      <c r="D25" s="0" t="n">
        <f aca="false">(SUMPRODUCT(DCF_Base!$C$19:$L$19/(1+$A$25/100)^DCF_Base!$C$4:$L$4)+MAX(0,MIN(IF($A$25&gt;$D$23,DCF_Base!$L$19*(1+$D$23/100)/(($A$25-$D$23)/100),DCF_Base!$L$19*DCF_Base!$B$29),DCF_Base!$L$19*DCF_Base!$B$29))/(1+$A$25/100)^DCF_Base!$L$4+Assumptions!$B$5-Assumptions!$B$4)/Assumptions!$B$3*Assumptions!$B$10</f>
        <v>74.0836592294511</v>
      </c>
      <c r="E25" s="0" t="n">
        <f aca="false">(SUMPRODUCT(DCF_Base!$C$19:$L$19/(1+$A$25/100)^DCF_Base!$C$4:$L$4)+MAX(0,MIN(IF($A$25&gt;$E$23,DCF_Base!$L$19*(1+$E$23/100)/(($A$25-$E$23)/100),DCF_Base!$L$19*DCF_Base!$B$29),DCF_Base!$L$19*DCF_Base!$B$29))/(1+$A$25/100)^DCF_Base!$L$4+Assumptions!$B$5-Assumptions!$B$4)/Assumptions!$B$3*Assumptions!$B$10</f>
        <v>74.0836592294511</v>
      </c>
      <c r="F25" s="0" t="n">
        <f aca="false">(SUMPRODUCT(DCF_Base!$C$19:$L$19/(1+$A$25/100)^DCF_Base!$C$4:$L$4)+MAX(0,MIN(IF($A$25&gt;$F$23,DCF_Base!$L$19*(1+$F$23/100)/(($A$25-$F$23)/100),DCF_Base!$L$19*DCF_Base!$B$29),DCF_Base!$L$19*DCF_Base!$B$29))/(1+$A$25/100)^DCF_Base!$L$4+Assumptions!$B$5-Assumptions!$B$4)/Assumptions!$B$3*Assumptions!$B$10</f>
        <v>74.0836592294511</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61.0237210793195</v>
      </c>
      <c r="C26" s="0" t="n">
        <f aca="false">(SUMPRODUCT(DCF_Base!$C$19:$L$19/(1+$A$26/100)^DCF_Base!$C$4:$L$4)+MAX(0,MIN(IF($A$26&gt;$C$23,DCF_Base!$L$19*(1+$C$23/100)/(($A$26-$C$23)/100),DCF_Base!$L$19*DCF_Base!$B$29),DCF_Base!$L$19*DCF_Base!$B$29))/(1+$A$26/100)^DCF_Base!$L$4+Assumptions!$B$5-Assumptions!$B$4)/Assumptions!$B$3*Assumptions!$B$10</f>
        <v>65.3358050794749</v>
      </c>
      <c r="D26" s="0" t="n">
        <f aca="false">(SUMPRODUCT(DCF_Base!$C$19:$L$19/(1+$A$26/100)^DCF_Base!$C$4:$L$4)+MAX(0,MIN(IF($A$26&gt;$D$23,DCF_Base!$L$19*(1+$D$23/100)/(($A$26-$D$23)/100),DCF_Base!$L$19*DCF_Base!$B$29),DCF_Base!$L$19*DCF_Base!$B$29))/(1+$A$26/100)^DCF_Base!$L$4+Assumptions!$B$5-Assumptions!$B$4)/Assumptions!$B$3*Assumptions!$B$10</f>
        <v>65.3358050794749</v>
      </c>
      <c r="E26" s="0" t="n">
        <f aca="false">(SUMPRODUCT(DCF_Base!$C$19:$L$19/(1+$A$26/100)^DCF_Base!$C$4:$L$4)+MAX(0,MIN(IF($A$26&gt;$E$23,DCF_Base!$L$19*(1+$E$23/100)/(($A$26-$E$23)/100),DCF_Base!$L$19*DCF_Base!$B$29),DCF_Base!$L$19*DCF_Base!$B$29))/(1+$A$26/100)^DCF_Base!$L$4+Assumptions!$B$5-Assumptions!$B$4)/Assumptions!$B$3*Assumptions!$B$10</f>
        <v>65.3358050794749</v>
      </c>
      <c r="F26" s="0" t="n">
        <f aca="false">(SUMPRODUCT(DCF_Base!$C$19:$L$19/(1+$A$26/100)^DCF_Base!$C$4:$L$4)+MAX(0,MIN(IF($A$26&gt;$F$23,DCF_Base!$L$19*(1+$F$23/100)/(($A$26-$F$23)/100),DCF_Base!$L$19*DCF_Base!$B$29),DCF_Base!$L$19*DCF_Base!$B$29))/(1+$A$26/100)^DCF_Base!$L$4+Assumptions!$B$5-Assumptions!$B$4)/Assumptions!$B$3*Assumptions!$B$10</f>
        <v>65.3358050794749</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45.3549589240569</v>
      </c>
      <c r="C27" s="0" t="n">
        <f aca="false">(SUMPRODUCT(DCF_Base!$C$19:$L$19/(1+$A$27/100)^DCF_Base!$C$4:$L$4)+MAX(0,MIN(IF($A$27&gt;$C$23,DCF_Base!$L$19*(1+$C$23/100)/(($A$27-$C$23)/100),DCF_Base!$L$19*DCF_Base!$B$29),DCF_Base!$L$19*DCF_Base!$B$29))/(1+$A$27/100)^DCF_Base!$L$4+Assumptions!$B$5-Assumptions!$B$4)/Assumptions!$B$3*Assumptions!$B$10</f>
        <v>49.3518563959278</v>
      </c>
      <c r="D27" s="0" t="n">
        <f aca="false">(SUMPRODUCT(DCF_Base!$C$19:$L$19/(1+$A$27/100)^DCF_Base!$C$4:$L$4)+MAX(0,MIN(IF($A$27&gt;$D$23,DCF_Base!$L$19*(1+$D$23/100)/(($A$27-$D$23)/100),DCF_Base!$L$19*DCF_Base!$B$29),DCF_Base!$L$19*DCF_Base!$B$29))/(1+$A$27/100)^DCF_Base!$L$4+Assumptions!$B$5-Assumptions!$B$4)/Assumptions!$B$3*Assumptions!$B$10</f>
        <v>54.0149034464438</v>
      </c>
      <c r="E27" s="0" t="n">
        <f aca="false">(SUMPRODUCT(DCF_Base!$C$19:$L$19/(1+$A$27/100)^DCF_Base!$C$4:$L$4)+MAX(0,MIN(IF($A$27&gt;$E$23,DCF_Base!$L$19*(1+$E$23/100)/(($A$27-$E$23)/100),DCF_Base!$L$19*DCF_Base!$B$29),DCF_Base!$L$19*DCF_Base!$B$29))/(1+$A$27/100)^DCF_Base!$L$4+Assumptions!$B$5-Assumptions!$B$4)/Assumptions!$B$3*Assumptions!$B$10</f>
        <v>57.3826596495942</v>
      </c>
      <c r="F27" s="0" t="n">
        <f aca="false">(SUMPRODUCT(DCF_Base!$C$19:$L$19/(1+$A$27/100)^DCF_Base!$C$4:$L$4)+MAX(0,MIN(IF($A$27&gt;$F$23,DCF_Base!$L$19*(1+$F$23/100)/(($A$27-$F$23)/100),DCF_Base!$L$19*DCF_Base!$B$29),DCF_Base!$L$19*DCF_Base!$B$29))/(1+$A$27/100)^DCF_Base!$L$4+Assumptions!$B$5-Assumptions!$B$4)/Assumptions!$B$3*Assumptions!$B$10</f>
        <v>57.3826596495942</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33.6355247981324</v>
      </c>
      <c r="C28" s="0" t="n">
        <f aca="false">(SUMPRODUCT(DCF_Base!$C$19:$L$19/(1+$A$28/100)^DCF_Base!$C$4:$L$4)+MAX(0,MIN(IF($A$28&gt;$C$23,DCF_Base!$L$19*(1+$C$23/100)/(($A$28-$C$23)/100),DCF_Base!$L$19*DCF_Base!$B$29),DCF_Base!$L$19*DCF_Base!$B$29))/(1+$A$28/100)^DCF_Base!$L$4+Assumptions!$B$5-Assumptions!$B$4)/Assumptions!$B$3*Assumptions!$B$10</f>
        <v>36.4252310268415</v>
      </c>
      <c r="D28" s="0" t="n">
        <f aca="false">(SUMPRODUCT(DCF_Base!$C$19:$L$19/(1+$A$28/100)^DCF_Base!$C$4:$L$4)+MAX(0,MIN(IF($A$28&gt;$D$23,DCF_Base!$L$19*(1+$D$23/100)/(($A$28-$D$23)/100),DCF_Base!$L$19*DCF_Base!$B$29),DCF_Base!$L$19*DCF_Base!$B$29))/(1+$A$28/100)^DCF_Base!$L$4+Assumptions!$B$5-Assumptions!$B$4)/Assumptions!$B$3*Assumptions!$B$10</f>
        <v>39.6134667167948</v>
      </c>
      <c r="E28" s="0" t="n">
        <f aca="false">(SUMPRODUCT(DCF_Base!$C$19:$L$19/(1+$A$28/100)^DCF_Base!$C$4:$L$4)+MAX(0,MIN(IF($A$28&gt;$E$23,DCF_Base!$L$19*(1+$E$23/100)/(($A$28-$E$23)/100),DCF_Base!$L$19*DCF_Base!$B$29),DCF_Base!$L$19*DCF_Base!$B$29))/(1+$A$28/100)^DCF_Base!$L$4+Assumptions!$B$5-Assumptions!$B$4)/Assumptions!$B$3*Assumptions!$B$10</f>
        <v>43.2922002052024</v>
      </c>
      <c r="F28" s="0" t="n">
        <f aca="false">(SUMPRODUCT(DCF_Base!$C$19:$L$19/(1+$A$28/100)^DCF_Base!$C$4:$L$4)+MAX(0,MIN(IF($A$28&gt;$F$23,DCF_Base!$L$19*(1+$F$23/100)/(($A$28-$F$23)/100),DCF_Base!$L$19*DCF_Base!$B$29),DCF_Base!$L$19*DCF_Base!$B$29))/(1+$A$28/100)^DCF_Base!$L$4+Assumptions!$B$5-Assumptions!$B$4)/Assumptions!$B$3*Assumptions!$B$10</f>
        <v>47.5840559416779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2026-10-25T18:52:00Z</dcterms:created>
  <dc:creator>openpyxl</dc:creator>
  <dc:description/>
  <dc:language>en-NZ</dc:language>
  <cp:lastModifiedBy/>
  <dcterms:modified xsi:type="dcterms:W3CDTF">2026-10-25T18:52:00Z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