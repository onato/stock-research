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<sst xmlns="http://schemas.openxmlformats.org/spreadsheetml/2006/main" count="360" uniqueCount="166">
  <si>
    <t xml:space="preserve">Ticker</t>
  </si>
  <si>
    <t xml:space="preserve">SBS</t>
  </si>
  <si>
    <t xml:space="preserve">Company</t>
  </si>
  <si>
    <t xml:space="preserve">Companhia de Saneamento Básico do Estado de São Paulo (SABESP)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</si>
  <si>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</si>
  <si>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</si>
  <si>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</si>
  <si>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</si>
  <si>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(NYSE, 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</si>
  <si>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</si>
  <si>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</si>
  <si>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</si>
  <si>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</si>
  <si>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</si>
  <si>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BRL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</si>
  <si>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</si>
  <si>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</si>
  <si>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</si>
  <si>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</si>
  <si>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</si>
  <si>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</si>
  <si>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</si>
  <si>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2026-10-04T08:03:22Z</t>
  </si>
  <si>
    <t xml:space="preserve">Drivers file</t>
  </si>
  <si>
    <t xml:space="preserve">SBS_Drivers.json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</si>
  <si>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</si>
  <si>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</si>
  <si>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</si>
  <si>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SABESP is valued as what it is after privatisation: a regulated monopoly concession to 2060 in the middle of a debt-funded capex supercycle. The house owner-FCF DCF charges that supercycle explicitly (year-1 FCF of roughly -R$8bn), normalises capex toward maintenance from 2027, lets the enlarged regulated asset base earn its return through the tariff, and discounts nominal BRL flows at a nominal BRL WACC with risk charged once. The value is terminal-heavy and therefore discount-rate-heavy: the required-return table is the honest reading of what the ADR price implies. A USD-based ADR holder additionally bears BRL depreciation, which the BRL WACC (not the fx_rate) is where that lives.
key_risks_to_valuation: Discount rate: ~70%+ of value is terminal; each 1pt of nominal BRL WACC moves value per share by roughly a quarter. The market appears to be capitalising SABESP nearer a 10% nominal BRL rate than the house 11.5%.; Revenue basis: the model projects ADJUSTED revenue (ex IFRIC 12 construction revenue, ex financial-asset accretion). If a reader compares the projection with the CSV's reported revenue they will see a R$14bn gap that is the construction pass-through, not a forecast.; Capex normalisation: the base case has capex falling from ~R$20bn (2026) to ~R$9-10bn (2027-2029) per the R$70bn plan. If the plan is extended or overruns, the FCF inflection moves right by a year or more (bear case).; Tariff recognition lag: RAB remuneration arrives through annual adjustments and the periodic review; the base case smooths it at ~10%/yr 2027-2030, the actual path will be lumpier.; Concession financial asset is in the bridge at R$2.5bn (house PV), not its R$22.9bn book; a reader using book would add ~R$5.8/share (~US$1.10).; FX: all values are built in BRL and converted at a dated spot rate; a 10% BRL move is a 10% move in the USD intrinsic value with nothing changing in the business.</t>
  </si>
  <si>
    <t xml:space="preserve">Data sources</t>
  </si>
  <si>
    <t xml:space="preserve">price: Yahoo Finance chart API for the NYSE ADR at inputs.price_as_of; 52-week range 4.43-7.16; FX from Yahoo BRL=X at the same date; B3 SBSP3 close used as the parity check (see inputs.fx_note)
financials: SBS_Metrics.csv (core_metrics, BRL millions, FY2016-FY2025 + Q1-Q2 2026); 20-F FY2025 (Item 5 adjusted revenue R$22,213.0m and construction revenue R$14,437.4m; Note 33 income on financial investments; Note 29 diluted shares; capex plan R$70bn 2024-2029); 6-K Q2-2026 (Note 5 net debt R$34,216.9m consolidated; balance sheet financial asset R$22,862m; Note 29 share-based payment and diluted shares 3,523,860,958; CEO letter capex ~R$20bn FY2026; adjusted net revenue +6.7%)
qualitative: SBS_Analysis.json (2026-10-04): URAE-1 concession to 2060, 99%/90% universalization by 2029, Factor U/Q tariff mechanics, Equatorial control, R$18.2bn contingencies, leverage trajectory</t>
  </si>
  <si>
    <t xml:space="preserve">Scenario narrative: bear</t>
  </si>
  <si>
    <t xml:space="preserve">Programme overruns to ~R$90bn, targets slip and Factor U/Q penalties bite, DRC methodology unfavourable, opex inflation stalls margins at ~61%, contingencies crystallise, leverage heads toward the 3.5x covenant; FCF negative through 2027.</t>
  </si>
  <si>
    <t xml:space="preserve">Scenario narrative: base</t>
  </si>
  <si>
    <t xml:space="preserve">Universalization on schedule, R$70bn programme broadly on plan, enlarged RAB remunerated at the regulatory return from 2027-2030, Equatorial efficiency takes adjusted EBITDA margin from ~60% to 67%; FCF negative in 2026, positive from 2027, mature ~28-30% margin by the mid-2030s.</t>
  </si>
  <si>
    <t xml:space="preserve">Scenario narrative: bull</t>
  </si>
  <si>
    <t xml:space="preserve">Efficiency gains retained between reviews push margins to ~70%, U/Q factors earned, programme on budget so capex falls to ~20% of revenue post-2029, Selic normalises; an operational bull case with WACC held at the house 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</si>
  <si>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</si>
  <si>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</si>
  <si>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</si>
  <si>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</si>
  <si>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</si>
  <si>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</si>
  <si>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</si>
  <si>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</si>
  <si>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</si>
  <si>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</si>
  <si>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</si>
  <si>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</si>
  <si>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</si>
  <si>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</si>
  <si>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</si>
  <si>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</si>
  <si>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</si>
  <si>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</si>
  <si>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</si>
  <si>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</si>
  <si>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</si>
  <si>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</si>
  <si>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</si>
  <si>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</si>
  <si>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</si>
  <si>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</si>
  <si>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</si>
  <si>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</si>
  <si>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</si>
  <si>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</si>
  <si>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</si>
  <si>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</si>
  <si>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</si>
  <si>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</si>
  <si>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</si>
  <si>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</si>
  <si>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</si>
  <si>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</si>
  <si>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</si>
  <si>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</si>
  <si>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</si>
  <si>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</si>
  <si>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</si>
  <si>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</si>
  <si>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</si>
  <si>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</si>
  <si>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</si>
  <si>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BRL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</si>
  <si>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</si>
  <si>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</si>
  <si>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</si>
  <si>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</si>
  <si>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</si>
  <si>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</si>
  <si>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</si>
  <si>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</si>
  <si>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</si>
  <si>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</si>
  <si>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</si>
  <si>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</si>
  <si>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</si>
  <si>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</si>
  <si>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</si>
  <si>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</si>
  <si>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</si>
  <si>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</si>
  <si>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</si>
  <si>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</si>
  <si>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</si>
  <si>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</si>
  <si>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</si>
  <si>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</si>
  <si>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</si>
  <si>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</si>
  <si>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SBS owner-FCF component DCF: bear case (millions, BRL)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</si>
  <si>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</si>
  <si>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</si>
  <si>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</si>
  <si>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</si>
  <si>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</si>
  <si>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</si>
  <si>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</si>
  <si>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</si>
  <si>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</si>
  <si>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</si>
  <si>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</si>
  <si>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</si>
  <si>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</si>
  <si>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</si>
  <si>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</si>
  <si>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</si>
  <si>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</si>
  <si>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</si>
  <si>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</si>
  <si>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</si>
  <si>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</si>
  <si>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</si>
  <si>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</si>
  <si>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</si>
  <si>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</si>
  <si>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</si>
  <si>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</si>
  <si>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</si>
  <si>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</si>
  <si>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</si>
  <si>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SBS owner-FCF component DCF: base case (millions, BRL)</t>
  </si>
  <si>
    <t xml:space="preserve">SBS owner-FCF component DCF: bull case (millions, BRL)</t>
  </si>
  <si>
    <t xml:space="preserve">SBS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</si>
  <si>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</si>
  <si>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</si>
  <si>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</si>
  <si>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</si>
  <si>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</si>
  <si>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</si>
  <si>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</si>
  <si>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</si>
  <si>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</si>
  <si>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</si>
  <si>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</si>
  <si>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</si>
  <si>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</si>
  <si>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</si>
  <si>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</si>
  <si>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</si>
  <si>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</si>
  <si>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11.5%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</si>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</sst>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5.38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14098.208</v>
      </c>
      <c r="C2" s="0" t="n">
        <v>9013.12</v>
      </c>
      <c r="D2" s="0" t="n">
        <v>5085.088</v>
      </c>
      <c r="E2" s="0" t="n">
        <v>36.1</v>
      </c>
      <c r="F2" s="0" t="n">
        <v>3429.607</v>
      </c>
      <c r="G2" s="0" t="n">
        <v>24.3</v>
      </c>
      <c r="H2" s="0" t="n">
        <v>4576.233</v>
      </c>
      <c r="I2" s="0" t="n">
        <v>2947.098</v>
      </c>
      <c r="J2" s="0" t="n">
        <v>20.9</v>
      </c>
      <c r="K2" s="0" t="n">
        <v>0.8623</v>
      </c>
      <c r="L2" s="0" t="n">
        <v>3003.592</v>
      </c>
      <c r="M2" s="0" t="n">
        <v>2135.798</v>
      </c>
      <c r="N2" s="0" t="n">
        <v>867.794</v>
      </c>
      <c r="O2" s="0" t="n">
        <v>15419.211</v>
      </c>
      <c r="P2" s="0" t="n">
        <v>36745.034</v>
      </c>
      <c r="Q2" s="0" t="n">
        <v>21325.823</v>
      </c>
      <c r="R2" s="0" t="n">
        <v>11964.143</v>
      </c>
      <c r="S2" s="0" t="n">
        <v>1886.221</v>
      </c>
      <c r="T2" s="0" t="n">
        <v>3417.549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14608.233</v>
      </c>
      <c r="C3" s="0" t="n">
        <v>8778.963</v>
      </c>
      <c r="D3" s="0" t="n">
        <v>5829.27</v>
      </c>
      <c r="E3" s="0" t="n">
        <v>39.9</v>
      </c>
      <c r="F3" s="0" t="n">
        <v>3961.668</v>
      </c>
      <c r="G3" s="0" t="n">
        <v>27.1</v>
      </c>
      <c r="H3" s="0" t="n">
        <v>5263.565</v>
      </c>
      <c r="I3" s="0" t="n">
        <v>2519.31</v>
      </c>
      <c r="J3" s="0" t="n">
        <v>17.2</v>
      </c>
      <c r="K3" s="0" t="n">
        <v>0.7372</v>
      </c>
      <c r="L3" s="0" t="n">
        <v>3301.882</v>
      </c>
      <c r="M3" s="0" t="n">
        <v>1976.7</v>
      </c>
      <c r="N3" s="0" t="n">
        <v>1325.182</v>
      </c>
      <c r="O3" s="0" t="n">
        <v>17513.009</v>
      </c>
      <c r="P3" s="0" t="n">
        <v>39546.444</v>
      </c>
      <c r="Q3" s="0" t="n">
        <v>22033.435</v>
      </c>
      <c r="R3" s="0" t="n">
        <v>12100.966</v>
      </c>
      <c r="S3" s="0" t="n">
        <v>2283.047</v>
      </c>
      <c r="T3" s="0" t="n">
        <v>3417.549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16085.094</v>
      </c>
      <c r="C4" s="0" t="n">
        <v>9086.456</v>
      </c>
      <c r="D4" s="0" t="n">
        <v>6998.638</v>
      </c>
      <c r="E4" s="0" t="n">
        <v>43.5</v>
      </c>
      <c r="F4" s="0" t="n">
        <v>5176.655</v>
      </c>
      <c r="G4" s="0" t="n">
        <v>32.2</v>
      </c>
      <c r="H4" s="0" t="n">
        <v>6569.196</v>
      </c>
      <c r="I4" s="0" t="n">
        <v>2835.068</v>
      </c>
      <c r="J4" s="0" t="n">
        <v>17.6</v>
      </c>
      <c r="K4" s="0" t="n">
        <v>0.8296</v>
      </c>
      <c r="L4" s="0" t="n">
        <v>3842.92</v>
      </c>
      <c r="M4" s="0" t="n">
        <v>2183.204</v>
      </c>
      <c r="N4" s="0" t="n">
        <v>1659.716</v>
      </c>
      <c r="O4" s="0" t="n">
        <v>19551.688</v>
      </c>
      <c r="P4" s="0" t="n">
        <v>43565.118</v>
      </c>
      <c r="Q4" s="0" t="n">
        <v>24013.43</v>
      </c>
      <c r="R4" s="0" t="n">
        <v>13152.796</v>
      </c>
      <c r="S4" s="0" t="n">
        <v>3029.191</v>
      </c>
      <c r="T4" s="0" t="n">
        <v>3417.549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17983.654</v>
      </c>
      <c r="C5" s="0" t="n">
        <v>10137.637</v>
      </c>
      <c r="D5" s="0" t="n">
        <v>7846.017</v>
      </c>
      <c r="E5" s="0" t="n">
        <v>43.6</v>
      </c>
      <c r="F5" s="0" t="n">
        <v>5711.623</v>
      </c>
      <c r="G5" s="0" t="n">
        <v>31.8</v>
      </c>
      <c r="H5" s="0" t="n">
        <v>7491.717</v>
      </c>
      <c r="I5" s="0" t="n">
        <v>3367.517</v>
      </c>
      <c r="J5" s="0" t="n">
        <v>18.7</v>
      </c>
      <c r="K5" s="0" t="n">
        <v>0.9854</v>
      </c>
      <c r="L5" s="0" t="n">
        <v>4197.245</v>
      </c>
      <c r="M5" s="0" t="n">
        <v>3273.406</v>
      </c>
      <c r="N5" s="0" t="n">
        <v>923.839</v>
      </c>
      <c r="O5" s="0" t="n">
        <v>21635.783</v>
      </c>
      <c r="P5" s="0" t="n">
        <v>46457.8</v>
      </c>
      <c r="Q5" s="0" t="n">
        <v>24822.017</v>
      </c>
      <c r="R5" s="0" t="n">
        <v>13244.709</v>
      </c>
      <c r="S5" s="0" t="n">
        <v>2253.21</v>
      </c>
      <c r="T5" s="0" t="n">
        <v>3417.549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17797.541</v>
      </c>
      <c r="C6" s="0" t="n">
        <v>11179.667</v>
      </c>
      <c r="D6" s="0" t="n">
        <v>6617.874</v>
      </c>
      <c r="E6" s="0" t="n">
        <v>37.2</v>
      </c>
      <c r="F6" s="0" t="n">
        <v>4492.373</v>
      </c>
      <c r="G6" s="0" t="n">
        <v>25.2</v>
      </c>
      <c r="H6" s="0" t="n">
        <v>6529.485</v>
      </c>
      <c r="I6" s="0" t="n">
        <v>973.318</v>
      </c>
      <c r="J6" s="0" t="n">
        <v>5.5</v>
      </c>
      <c r="K6" s="0" t="n">
        <v>0.2848</v>
      </c>
      <c r="L6" s="0" t="n">
        <v>4978.208</v>
      </c>
      <c r="M6" s="0" t="n">
        <v>3342.064</v>
      </c>
      <c r="N6" s="0" t="n">
        <v>1636.144</v>
      </c>
      <c r="O6" s="0" t="n">
        <v>22793.704</v>
      </c>
      <c r="P6" s="0" t="n">
        <v>50418.636</v>
      </c>
      <c r="Q6" s="0" t="n">
        <v>27624.932</v>
      </c>
      <c r="R6" s="0" t="n">
        <v>17258.624</v>
      </c>
      <c r="S6" s="0" t="n">
        <v>396.401</v>
      </c>
      <c r="T6" s="0" t="n">
        <v>3417.549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19491.061</v>
      </c>
      <c r="C7" s="0" t="n">
        <v>12800.042</v>
      </c>
      <c r="D7" s="0" t="n">
        <v>6691.019</v>
      </c>
      <c r="E7" s="0" t="n">
        <v>34.3</v>
      </c>
      <c r="F7" s="0" t="n">
        <v>4097.579</v>
      </c>
      <c r="G7" s="0" t="n">
        <v>21</v>
      </c>
      <c r="H7" s="0" t="n">
        <v>6350.901</v>
      </c>
      <c r="I7" s="0" t="n">
        <v>2305.869</v>
      </c>
      <c r="J7" s="0" t="n">
        <v>11.8</v>
      </c>
      <c r="K7" s="0" t="n">
        <v>0.6747</v>
      </c>
      <c r="L7" s="0" t="n">
        <v>3913.753</v>
      </c>
      <c r="M7" s="0" t="n">
        <v>3746.95</v>
      </c>
      <c r="N7" s="0" t="n">
        <v>166.803</v>
      </c>
      <c r="O7" s="0" t="n">
        <v>24931.859</v>
      </c>
      <c r="P7" s="0" t="n">
        <v>53165.485</v>
      </c>
      <c r="Q7" s="0" t="n">
        <v>28233.626</v>
      </c>
      <c r="R7" s="0" t="n">
        <v>17723.836</v>
      </c>
      <c r="S7" s="0" t="n">
        <v>717.929</v>
      </c>
      <c r="T7" s="0" t="n">
        <v>3417.549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22055.72</v>
      </c>
      <c r="C8" s="0" t="n">
        <v>14350.903</v>
      </c>
      <c r="D8" s="0" t="n">
        <v>7704.817</v>
      </c>
      <c r="E8" s="0" t="n">
        <v>34.9</v>
      </c>
      <c r="F8" s="0" t="n">
        <v>4645.164</v>
      </c>
      <c r="G8" s="0" t="n">
        <v>21.1</v>
      </c>
      <c r="H8" s="0" t="n">
        <v>7096.013</v>
      </c>
      <c r="I8" s="0" t="n">
        <v>3121.267</v>
      </c>
      <c r="J8" s="0" t="n">
        <v>14.2</v>
      </c>
      <c r="K8" s="0" t="n">
        <v>0.9133</v>
      </c>
      <c r="L8" s="0" t="n">
        <v>3967.599</v>
      </c>
      <c r="M8" s="0" t="n">
        <v>3624.205</v>
      </c>
      <c r="N8" s="0" t="n">
        <v>343.394</v>
      </c>
      <c r="O8" s="0" t="n">
        <v>27333.533</v>
      </c>
      <c r="P8" s="0" t="n">
        <v>57207.765</v>
      </c>
      <c r="Q8" s="0" t="n">
        <v>29874.232</v>
      </c>
      <c r="R8" s="0" t="n">
        <v>18958.671</v>
      </c>
      <c r="S8" s="0" t="n">
        <v>1867.485</v>
      </c>
      <c r="T8" s="0" t="n">
        <v>3417.549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25572.056</v>
      </c>
      <c r="C9" s="0" t="n">
        <v>16051.866</v>
      </c>
      <c r="D9" s="0" t="n">
        <v>9520.19</v>
      </c>
      <c r="E9" s="0" t="n">
        <v>37.2</v>
      </c>
      <c r="F9" s="0" t="n">
        <v>6345.98</v>
      </c>
      <c r="G9" s="0" t="n">
        <v>24.8</v>
      </c>
      <c r="H9" s="0" t="n">
        <v>9136.566</v>
      </c>
      <c r="I9" s="0" t="n">
        <v>3523.531</v>
      </c>
      <c r="J9" s="0" t="n">
        <v>13.8</v>
      </c>
      <c r="K9" s="0" t="n">
        <v>1.031</v>
      </c>
      <c r="L9" s="0" t="n">
        <v>4854.352</v>
      </c>
      <c r="M9" s="0" t="n">
        <v>4138.574</v>
      </c>
      <c r="N9" s="0" t="n">
        <v>715.778</v>
      </c>
      <c r="O9" s="0" t="n">
        <v>29857.376</v>
      </c>
      <c r="P9" s="0" t="n">
        <v>61470.957</v>
      </c>
      <c r="Q9" s="0" t="n">
        <v>31613.581</v>
      </c>
      <c r="R9" s="0" t="n">
        <v>19536.35</v>
      </c>
      <c r="S9" s="0" t="n">
        <v>838.484</v>
      </c>
      <c r="T9" s="0" t="n">
        <v>3417.549</v>
      </c>
      <c r="U9" s="0" t="n">
        <v>0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36145.477</v>
      </c>
      <c r="C10" s="0" t="n">
        <v>16603.073</v>
      </c>
      <c r="D10" s="0" t="n">
        <v>19542.404</v>
      </c>
      <c r="E10" s="0" t="n">
        <v>54.1</v>
      </c>
      <c r="F10" s="0" t="n">
        <v>15510.46</v>
      </c>
      <c r="G10" s="0" t="n">
        <v>42.9</v>
      </c>
      <c r="H10" s="0" t="n">
        <v>18187.102</v>
      </c>
      <c r="I10" s="0" t="n">
        <v>9579.563</v>
      </c>
      <c r="J10" s="0" t="n">
        <v>26.5</v>
      </c>
      <c r="K10" s="0" t="n">
        <v>2.8031</v>
      </c>
      <c r="L10" s="0" t="n">
        <v>7404.568</v>
      </c>
      <c r="M10" s="0" t="n">
        <v>8030.674</v>
      </c>
      <c r="N10" s="0" t="n">
        <v>-626.106</v>
      </c>
      <c r="O10" s="0" t="n">
        <v>36928.054</v>
      </c>
      <c r="P10" s="0" t="n">
        <v>80965.43</v>
      </c>
      <c r="Q10" s="0" t="n">
        <v>44037.376</v>
      </c>
      <c r="R10" s="0" t="n">
        <v>25258.297</v>
      </c>
      <c r="S10" s="0" t="n">
        <v>1682.606</v>
      </c>
      <c r="T10" s="0" t="n">
        <v>3417.549</v>
      </c>
      <c r="U10" s="0" t="n">
        <v>0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38092.05</v>
      </c>
      <c r="C11" s="0" t="n">
        <v>23991.688</v>
      </c>
      <c r="D11" s="0" t="n">
        <v>14100.362</v>
      </c>
      <c r="E11" s="0" t="n">
        <v>37</v>
      </c>
      <c r="F11" s="0" t="n">
        <v>12599.621</v>
      </c>
      <c r="G11" s="0" t="n">
        <v>33.1</v>
      </c>
      <c r="H11" s="0" t="n">
        <v>14808.383</v>
      </c>
      <c r="I11" s="0" t="n">
        <v>8462.059</v>
      </c>
      <c r="J11" s="0" t="n">
        <v>22.2</v>
      </c>
      <c r="K11" s="0" t="n">
        <v>2.47</v>
      </c>
      <c r="L11" s="0" t="n">
        <v>8361.115</v>
      </c>
      <c r="M11" s="0" t="n">
        <v>13740.392</v>
      </c>
      <c r="N11" s="0" t="n">
        <v>-5379.277</v>
      </c>
      <c r="O11" s="0" t="n">
        <v>42401.124</v>
      </c>
      <c r="P11" s="0" t="n">
        <v>104202.767</v>
      </c>
      <c r="Q11" s="0" t="n">
        <v>61801.643</v>
      </c>
      <c r="R11" s="0" t="n">
        <v>40142.347</v>
      </c>
      <c r="S11" s="0" t="n">
        <v>4663.226</v>
      </c>
      <c r="T11" s="0" t="n">
        <v>3419.531</v>
      </c>
      <c r="U11" s="0" t="n">
        <v>30.219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5.38</v>
      </c>
    </row>
    <row r="3" customFormat="false" ht="15" hidden="false" customHeight="false" outlineLevel="0" collapsed="false">
      <c r="A3" s="0" t="s">
        <v>77</v>
      </c>
      <c r="B3" s="3" t="n">
        <v>3523.86</v>
      </c>
    </row>
    <row r="4" customFormat="false" ht="15" hidden="false" customHeight="false" outlineLevel="0" collapsed="false">
      <c r="A4" s="0" t="s">
        <v>78</v>
      </c>
      <c r="B4" s="3" t="n">
        <v>34216.9</v>
      </c>
    </row>
    <row r="5" customFormat="false" ht="15" hidden="false" customHeight="false" outlineLevel="0" collapsed="false">
      <c r="A5" s="0" t="s">
        <v>79</v>
      </c>
      <c r="B5" s="3" t="n">
        <v>2520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22213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0.19149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7</v>
      </c>
      <c r="D13" s="3" t="n">
        <v>6</v>
      </c>
      <c r="E13" s="3" t="n">
        <v>6</v>
      </c>
      <c r="F13" s="3" t="n">
        <v>6</v>
      </c>
      <c r="G13" s="3" t="n">
        <v>5</v>
      </c>
      <c r="H13" s="3" t="n">
        <v>5</v>
      </c>
      <c r="I13" s="3" t="n">
        <v>4.5</v>
      </c>
      <c r="J13" s="3" t="n">
        <v>4.5</v>
      </c>
      <c r="K13" s="3" t="n">
        <v>4.5</v>
      </c>
      <c r="L13" s="3" t="n">
        <v>4.5</v>
      </c>
    </row>
    <row r="14" customFormat="false" ht="15" hidden="false" customHeight="false" outlineLevel="0" collapsed="false">
      <c r="A14" s="0" t="s">
        <v>98</v>
      </c>
      <c r="C14" s="3" t="n">
        <v>60.5</v>
      </c>
      <c r="D14" s="3" t="n">
        <v>60.5</v>
      </c>
      <c r="E14" s="3" t="n">
        <v>60.5</v>
      </c>
      <c r="F14" s="3" t="n">
        <v>61</v>
      </c>
      <c r="G14" s="3" t="n">
        <v>61</v>
      </c>
      <c r="H14" s="3" t="n">
        <v>61</v>
      </c>
      <c r="I14" s="3" t="n">
        <v>61</v>
      </c>
      <c r="J14" s="3" t="n">
        <v>61</v>
      </c>
      <c r="K14" s="3" t="n">
        <v>61</v>
      </c>
      <c r="L14" s="3" t="n">
        <v>61</v>
      </c>
    </row>
    <row r="15" customFormat="false" ht="15" hidden="false" customHeight="false" outlineLevel="0" collapsed="false">
      <c r="A15" s="0" t="s">
        <v>99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12</v>
      </c>
      <c r="D17" s="3" t="n">
        <v>12.5</v>
      </c>
      <c r="E17" s="3" t="n">
        <v>13</v>
      </c>
      <c r="F17" s="3" t="n">
        <v>13.5</v>
      </c>
      <c r="G17" s="3" t="n">
        <v>14</v>
      </c>
      <c r="H17" s="3" t="n">
        <v>14.5</v>
      </c>
      <c r="I17" s="3" t="n">
        <v>14.5</v>
      </c>
      <c r="J17" s="3" t="n">
        <v>14.5</v>
      </c>
      <c r="K17" s="3" t="n">
        <v>14.5</v>
      </c>
      <c r="L17" s="3" t="n">
        <v>14.5</v>
      </c>
    </row>
    <row r="18" customFormat="false" ht="15" hidden="false" customHeight="false" outlineLevel="0" collapsed="false">
      <c r="A18" s="0" t="s">
        <v>102</v>
      </c>
      <c r="C18" s="3" t="n">
        <v>85</v>
      </c>
      <c r="D18" s="3" t="n">
        <v>55</v>
      </c>
      <c r="E18" s="3" t="n">
        <v>45</v>
      </c>
      <c r="F18" s="3" t="n">
        <v>38</v>
      </c>
      <c r="G18" s="3" t="n">
        <v>32</v>
      </c>
      <c r="H18" s="3" t="n">
        <v>29</v>
      </c>
      <c r="I18" s="3" t="n">
        <v>27</v>
      </c>
      <c r="J18" s="3" t="n">
        <v>26</v>
      </c>
      <c r="K18" s="3" t="n">
        <v>26</v>
      </c>
      <c r="L18" s="3" t="n">
        <v>26</v>
      </c>
    </row>
    <row r="19" customFormat="false" ht="15" hidden="false" customHeight="false" outlineLevel="0" collapsed="false">
      <c r="A19" s="0" t="s">
        <v>103</v>
      </c>
      <c r="C19" s="3" t="n">
        <v>32</v>
      </c>
      <c r="D19" s="3" t="n">
        <v>32</v>
      </c>
      <c r="E19" s="3" t="n">
        <v>32</v>
      </c>
      <c r="F19" s="3" t="n">
        <v>32</v>
      </c>
      <c r="G19" s="3" t="n">
        <v>32</v>
      </c>
      <c r="H19" s="3" t="n">
        <v>32</v>
      </c>
      <c r="I19" s="3" t="n">
        <v>32</v>
      </c>
      <c r="J19" s="3" t="n">
        <v>32</v>
      </c>
      <c r="K19" s="3" t="n">
        <v>32</v>
      </c>
      <c r="L19" s="3" t="n">
        <v>32</v>
      </c>
    </row>
    <row r="20" customFormat="false" ht="15" hidden="false" customHeight="false" outlineLevel="0" collapsed="false">
      <c r="A20" s="0" t="s">
        <v>104</v>
      </c>
      <c r="B20" s="3" t="n">
        <v>11.5</v>
      </c>
    </row>
    <row r="21" customFormat="false" ht="15" hidden="false" customHeight="false" outlineLevel="0" collapsed="false">
      <c r="A21" s="0" t="s">
        <v>105</v>
      </c>
      <c r="B21" s="3" t="n">
        <v>4</v>
      </c>
    </row>
    <row r="22" customFormat="false" ht="15" hidden="false" customHeight="false" outlineLevel="0" collapsed="false">
      <c r="A22" s="0" t="s">
        <v>106</v>
      </c>
      <c r="B22" s="3" t="n">
        <v>18</v>
      </c>
    </row>
    <row r="23" customFormat="false" ht="15" hidden="false" customHeight="false" outlineLevel="0" collapsed="false">
      <c r="A23" s="0" t="s">
        <v>107</v>
      </c>
      <c r="B23" s="3" t="n">
        <v>-8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9</v>
      </c>
      <c r="D27" s="3" t="n">
        <v>10</v>
      </c>
      <c r="E27" s="3" t="n">
        <v>10</v>
      </c>
      <c r="F27" s="3" t="n">
        <v>10</v>
      </c>
      <c r="G27" s="3" t="n">
        <v>9</v>
      </c>
      <c r="H27" s="3" t="n">
        <v>7</v>
      </c>
      <c r="I27" s="3" t="n">
        <v>6</v>
      </c>
      <c r="J27" s="3" t="n">
        <v>5.5</v>
      </c>
      <c r="K27" s="3" t="n">
        <v>5</v>
      </c>
      <c r="L27" s="3" t="n">
        <v>5</v>
      </c>
    </row>
    <row r="28" customFormat="false" ht="15" hidden="false" customHeight="false" outlineLevel="0" collapsed="false">
      <c r="A28" s="0" t="s">
        <v>98</v>
      </c>
      <c r="C28" s="3" t="n">
        <v>61.5</v>
      </c>
      <c r="D28" s="3" t="n">
        <v>63</v>
      </c>
      <c r="E28" s="3" t="n">
        <v>64.5</v>
      </c>
      <c r="F28" s="3" t="n">
        <v>65.5</v>
      </c>
      <c r="G28" s="3" t="n">
        <v>66.5</v>
      </c>
      <c r="H28" s="3" t="n">
        <v>67</v>
      </c>
      <c r="I28" s="3" t="n">
        <v>67</v>
      </c>
      <c r="J28" s="3" t="n">
        <v>67</v>
      </c>
      <c r="K28" s="3" t="n">
        <v>67</v>
      </c>
      <c r="L28" s="3" t="n">
        <v>67</v>
      </c>
    </row>
    <row r="29" customFormat="false" ht="15" hidden="false" customHeight="false" outlineLevel="0" collapsed="false">
      <c r="A29" s="0" t="s">
        <v>99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12</v>
      </c>
      <c r="D31" s="3" t="n">
        <v>12.5</v>
      </c>
      <c r="E31" s="3" t="n">
        <v>13</v>
      </c>
      <c r="F31" s="3" t="n">
        <v>13.5</v>
      </c>
      <c r="G31" s="3" t="n">
        <v>14</v>
      </c>
      <c r="H31" s="3" t="n">
        <v>14</v>
      </c>
      <c r="I31" s="3" t="n">
        <v>14</v>
      </c>
      <c r="J31" s="3" t="n">
        <v>14</v>
      </c>
      <c r="K31" s="3" t="n">
        <v>14</v>
      </c>
      <c r="L31" s="3" t="n">
        <v>14</v>
      </c>
    </row>
    <row r="32" customFormat="false" ht="15" hidden="false" customHeight="false" outlineLevel="0" collapsed="false">
      <c r="A32" s="0" t="s">
        <v>102</v>
      </c>
      <c r="C32" s="3" t="n">
        <v>82</v>
      </c>
      <c r="D32" s="3" t="n">
        <v>38</v>
      </c>
      <c r="E32" s="3" t="n">
        <v>32</v>
      </c>
      <c r="F32" s="3" t="n">
        <v>28</v>
      </c>
      <c r="G32" s="3" t="n">
        <v>26</v>
      </c>
      <c r="H32" s="3" t="n">
        <v>25</v>
      </c>
      <c r="I32" s="3" t="n">
        <v>24</v>
      </c>
      <c r="J32" s="3" t="n">
        <v>23</v>
      </c>
      <c r="K32" s="3" t="n">
        <v>23</v>
      </c>
      <c r="L32" s="3" t="n">
        <v>23</v>
      </c>
    </row>
    <row r="33" customFormat="false" ht="15" hidden="false" customHeight="false" outlineLevel="0" collapsed="false">
      <c r="A33" s="0" t="s">
        <v>103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104</v>
      </c>
      <c r="B34" s="3" t="n">
        <v>11.5</v>
      </c>
    </row>
    <row r="35" customFormat="false" ht="15" hidden="false" customHeight="false" outlineLevel="0" collapsed="false">
      <c r="A35" s="0" t="s">
        <v>105</v>
      </c>
      <c r="B35" s="3" t="n">
        <v>4.5</v>
      </c>
    </row>
    <row r="36" customFormat="false" ht="15" hidden="false" customHeight="false" outlineLevel="0" collapsed="false">
      <c r="A36" s="0" t="s">
        <v>106</v>
      </c>
      <c r="B36" s="3" t="n">
        <v>18</v>
      </c>
    </row>
    <row r="37" customFormat="false" ht="15" hidden="false" customHeight="false" outlineLevel="0" collapsed="false">
      <c r="A37" s="0" t="s">
        <v>107</v>
      </c>
      <c r="B37" s="3" t="n">
        <v>-8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10</v>
      </c>
      <c r="D41" s="3" t="n">
        <v>12</v>
      </c>
      <c r="E41" s="3" t="n">
        <v>12</v>
      </c>
      <c r="F41" s="3" t="n">
        <v>11</v>
      </c>
      <c r="G41" s="3" t="n">
        <v>10</v>
      </c>
      <c r="H41" s="3" t="n">
        <v>8</v>
      </c>
      <c r="I41" s="3" t="n">
        <v>6.5</v>
      </c>
      <c r="J41" s="3" t="n">
        <v>6</v>
      </c>
      <c r="K41" s="3" t="n">
        <v>5.5</v>
      </c>
      <c r="L41" s="3" t="n">
        <v>5.5</v>
      </c>
    </row>
    <row r="42" customFormat="false" ht="15" hidden="false" customHeight="false" outlineLevel="0" collapsed="false">
      <c r="A42" s="0" t="s">
        <v>98</v>
      </c>
      <c r="C42" s="3" t="n">
        <v>62.5</v>
      </c>
      <c r="D42" s="3" t="n">
        <v>65</v>
      </c>
      <c r="E42" s="3" t="n">
        <v>67</v>
      </c>
      <c r="F42" s="3" t="n">
        <v>68.5</v>
      </c>
      <c r="G42" s="3" t="n">
        <v>70</v>
      </c>
      <c r="H42" s="3" t="n">
        <v>70.5</v>
      </c>
      <c r="I42" s="3" t="n">
        <v>71</v>
      </c>
      <c r="J42" s="3" t="n">
        <v>71</v>
      </c>
      <c r="K42" s="3" t="n">
        <v>71</v>
      </c>
      <c r="L42" s="3" t="n">
        <v>71</v>
      </c>
    </row>
    <row r="43" customFormat="false" ht="15" hidden="false" customHeight="false" outlineLevel="0" collapsed="false">
      <c r="A43" s="0" t="s">
        <v>99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12</v>
      </c>
      <c r="D45" s="3" t="n">
        <v>12.5</v>
      </c>
      <c r="E45" s="3" t="n">
        <v>13</v>
      </c>
      <c r="F45" s="3" t="n">
        <v>13</v>
      </c>
      <c r="G45" s="3" t="n">
        <v>13</v>
      </c>
      <c r="H45" s="3" t="n">
        <v>13</v>
      </c>
      <c r="I45" s="3" t="n">
        <v>13</v>
      </c>
      <c r="J45" s="3" t="n">
        <v>13</v>
      </c>
      <c r="K45" s="3" t="n">
        <v>13</v>
      </c>
      <c r="L45" s="3" t="n">
        <v>13</v>
      </c>
    </row>
    <row r="46" customFormat="false" ht="15" hidden="false" customHeight="false" outlineLevel="0" collapsed="false">
      <c r="A46" s="0" t="s">
        <v>102</v>
      </c>
      <c r="C46" s="3" t="n">
        <v>80</v>
      </c>
      <c r="D46" s="3" t="n">
        <v>35</v>
      </c>
      <c r="E46" s="3" t="n">
        <v>29</v>
      </c>
      <c r="F46" s="3" t="n">
        <v>25</v>
      </c>
      <c r="G46" s="3" t="n">
        <v>23</v>
      </c>
      <c r="H46" s="3" t="n">
        <v>22</v>
      </c>
      <c r="I46" s="3" t="n">
        <v>21</v>
      </c>
      <c r="J46" s="3" t="n">
        <v>20</v>
      </c>
      <c r="K46" s="3" t="n">
        <v>20</v>
      </c>
      <c r="L46" s="3" t="n">
        <v>20</v>
      </c>
    </row>
    <row r="47" customFormat="false" ht="15" hidden="false" customHeight="false" outlineLevel="0" collapsed="false">
      <c r="A47" s="0" t="s">
        <v>103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104</v>
      </c>
      <c r="B48" s="3" t="n">
        <v>11.5</v>
      </c>
    </row>
    <row r="49" customFormat="false" ht="15" hidden="false" customHeight="false" outlineLevel="0" collapsed="false">
      <c r="A49" s="0" t="s">
        <v>105</v>
      </c>
      <c r="B49" s="3" t="n">
        <v>5</v>
      </c>
    </row>
    <row r="50" customFormat="false" ht="15" hidden="false" customHeight="false" outlineLevel="0" collapsed="false">
      <c r="A50" s="0" t="s">
        <v>106</v>
      </c>
      <c r="B50" s="3" t="n">
        <v>18</v>
      </c>
    </row>
    <row r="51" customFormat="false" ht="15" hidden="false" customHeight="false" outlineLevel="0" collapsed="false">
      <c r="A51" s="0" t="s">
        <v>107</v>
      </c>
      <c r="B51" s="3" t="n">
        <v>-8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7</v>
      </c>
      <c r="D5" s="4" t="n">
        <f aca="false">Assumptions!D13</f>
        <v>6</v>
      </c>
      <c r="E5" s="4" t="n">
        <f aca="false">Assumptions!E13</f>
        <v>6</v>
      </c>
      <c r="F5" s="4" t="n">
        <f aca="false">Assumptions!F13</f>
        <v>6</v>
      </c>
      <c r="G5" s="4" t="n">
        <f aca="false">Assumptions!G13</f>
        <v>5</v>
      </c>
      <c r="H5" s="4" t="n">
        <f aca="false">Assumptions!H13</f>
        <v>5</v>
      </c>
      <c r="I5" s="4" t="n">
        <f aca="false">Assumptions!I13</f>
        <v>4.5</v>
      </c>
      <c r="J5" s="4" t="n">
        <f aca="false">Assumptions!J13</f>
        <v>4.5</v>
      </c>
      <c r="K5" s="4" t="n">
        <f aca="false">Assumptions!K13</f>
        <v>4.5</v>
      </c>
      <c r="L5" s="4" t="n">
        <f aca="false">Assumptions!L13</f>
        <v>4.5</v>
      </c>
    </row>
    <row r="6" customFormat="false" ht="15" hidden="false" customHeight="false" outlineLevel="0" collapsed="false">
      <c r="A6" s="0" t="s">
        <v>38</v>
      </c>
      <c r="B6" s="3" t="n">
        <v>22213</v>
      </c>
      <c r="C6" s="0" t="n">
        <f aca="false">B6*(1+C5/100)</f>
        <v>23767.91</v>
      </c>
      <c r="D6" s="0" t="n">
        <f aca="false">C6*(1+D5/100)</f>
        <v>25193.9846</v>
      </c>
      <c r="E6" s="0" t="n">
        <f aca="false">D6*(1+E5/100)</f>
        <v>26705.623676</v>
      </c>
      <c r="F6" s="0" t="n">
        <f aca="false">E6*(1+F5/100)</f>
        <v>28307.96109656</v>
      </c>
      <c r="G6" s="0" t="n">
        <f aca="false">F6*(1+G5/100)</f>
        <v>29723.359151388</v>
      </c>
      <c r="H6" s="0" t="n">
        <f aca="false">G6*(1+H5/100)</f>
        <v>31209.5271089574</v>
      </c>
      <c r="I6" s="0" t="n">
        <f aca="false">H6*(1+I5/100)</f>
        <v>32613.9558288605</v>
      </c>
      <c r="J6" s="0" t="n">
        <f aca="false">I6*(1+J5/100)</f>
        <v>34081.5838411592</v>
      </c>
      <c r="K6" s="0" t="n">
        <f aca="false">J6*(1+K5/100)</f>
        <v>35615.2551140114</v>
      </c>
      <c r="L6" s="0" t="n">
        <f aca="false">K6*(1+L5/100)</f>
        <v>37217.9415941419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60.5</v>
      </c>
      <c r="D7" s="4" t="n">
        <f aca="false">Assumptions!D14</f>
        <v>60.5</v>
      </c>
      <c r="E7" s="4" t="n">
        <f aca="false">Assumptions!E14</f>
        <v>60.5</v>
      </c>
      <c r="F7" s="4" t="n">
        <f aca="false">Assumptions!F14</f>
        <v>61</v>
      </c>
      <c r="G7" s="4" t="n">
        <f aca="false">Assumptions!G14</f>
        <v>61</v>
      </c>
      <c r="H7" s="4" t="n">
        <f aca="false">Assumptions!H14</f>
        <v>61</v>
      </c>
      <c r="I7" s="4" t="n">
        <f aca="false">Assumptions!I14</f>
        <v>61</v>
      </c>
      <c r="J7" s="4" t="n">
        <f aca="false">Assumptions!J14</f>
        <v>61</v>
      </c>
      <c r="K7" s="4" t="n">
        <f aca="false">Assumptions!K14</f>
        <v>61</v>
      </c>
      <c r="L7" s="4" t="n">
        <f aca="false">Assumptions!L14</f>
        <v>61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14379.58555</v>
      </c>
      <c r="D8" s="0" t="n">
        <f aca="false">D6*D7/100</f>
        <v>15242.360683</v>
      </c>
      <c r="E8" s="0" t="n">
        <f aca="false">E6*E7/100</f>
        <v>16156.90232398</v>
      </c>
      <c r="F8" s="0" t="n">
        <f aca="false">F6*F7/100</f>
        <v>17267.8562689016</v>
      </c>
      <c r="G8" s="0" t="n">
        <f aca="false">G6*G7/100</f>
        <v>18131.2490823467</v>
      </c>
      <c r="H8" s="0" t="n">
        <f aca="false">H6*H7/100</f>
        <v>19037.811536464</v>
      </c>
      <c r="I8" s="0" t="n">
        <f aca="false">I6*I7/100</f>
        <v>19894.5130556049</v>
      </c>
      <c r="J8" s="0" t="n">
        <f aca="false">J6*J7/100</f>
        <v>20789.7661431071</v>
      </c>
      <c r="K8" s="0" t="n">
        <f aca="false">K6*K7/100</f>
        <v>21725.3056195469</v>
      </c>
      <c r="L8" s="0" t="n">
        <f aca="false">L6*L7/100</f>
        <v>22702.9443724266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-118.83955</v>
      </c>
      <c r="D10" s="0" t="n">
        <f aca="false">-D6*D9/100</f>
        <v>-125.969923</v>
      </c>
      <c r="E10" s="0" t="n">
        <f aca="false">-E6*E9/100</f>
        <v>-133.52811838</v>
      </c>
      <c r="F10" s="0" t="n">
        <f aca="false">-F6*F9/100</f>
        <v>-141.5398054828</v>
      </c>
      <c r="G10" s="0" t="n">
        <f aca="false">-G6*G9/100</f>
        <v>-148.61679575694</v>
      </c>
      <c r="H10" s="0" t="n">
        <f aca="false">-H6*H9/100</f>
        <v>-156.047635544787</v>
      </c>
      <c r="I10" s="0" t="n">
        <f aca="false">-I6*I9/100</f>
        <v>-163.069779144302</v>
      </c>
      <c r="J10" s="0" t="n">
        <f aca="false">-J6*J9/100</f>
        <v>-170.407919205796</v>
      </c>
      <c r="K10" s="0" t="n">
        <f aca="false">-K6*K9/100</f>
        <v>-178.076275570057</v>
      </c>
      <c r="L10" s="0" t="n">
        <f aca="false">-L6*L9/100</f>
        <v>-186.089707970709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14260.746</v>
      </c>
      <c r="D11" s="0" t="n">
        <f aca="false">D8+D10+D24</f>
        <v>15116.39076</v>
      </c>
      <c r="E11" s="0" t="n">
        <f aca="false">E8+E10+E24</f>
        <v>16023.3742056</v>
      </c>
      <c r="F11" s="0" t="n">
        <f aca="false">F8+F10+F24</f>
        <v>17126.3164634188</v>
      </c>
      <c r="G11" s="0" t="n">
        <f aca="false">G8+G10+G24</f>
        <v>17982.6322865897</v>
      </c>
      <c r="H11" s="0" t="n">
        <f aca="false">H8+H10+H24</f>
        <v>18881.7639009192</v>
      </c>
      <c r="I11" s="0" t="n">
        <f aca="false">I8+I10+I24</f>
        <v>19731.4432764606</v>
      </c>
      <c r="J11" s="0" t="n">
        <f aca="false">J8+J10+J24</f>
        <v>20619.3582239013</v>
      </c>
      <c r="K11" s="0" t="n">
        <f aca="false">K8+K10+K24</f>
        <v>21547.2293439769</v>
      </c>
      <c r="L11" s="0" t="n">
        <f aca="false">L8+L10+L24</f>
        <v>22516.8546644558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-2852.1492</v>
      </c>
      <c r="D12" s="4" t="n">
        <f aca="false">-D6*Assumptions!D17/100</f>
        <v>-3149.248075</v>
      </c>
      <c r="E12" s="4" t="n">
        <f aca="false">-E6*Assumptions!E17/100</f>
        <v>-3471.73107788</v>
      </c>
      <c r="F12" s="4" t="n">
        <f aca="false">-F6*Assumptions!F17/100</f>
        <v>-3821.5747480356</v>
      </c>
      <c r="G12" s="4" t="n">
        <f aca="false">-G6*Assumptions!G17/100</f>
        <v>-4161.27028119432</v>
      </c>
      <c r="H12" s="4" t="n">
        <f aca="false">-H6*Assumptions!H17/100</f>
        <v>-4525.38143079882</v>
      </c>
      <c r="I12" s="4" t="n">
        <f aca="false">-I6*Assumptions!I17/100</f>
        <v>-4729.02359518477</v>
      </c>
      <c r="J12" s="4" t="n">
        <f aca="false">-J6*Assumptions!J17/100</f>
        <v>-4941.82965696809</v>
      </c>
      <c r="K12" s="4" t="n">
        <f aca="false">-K6*Assumptions!K17/100</f>
        <v>-5164.21199153165</v>
      </c>
      <c r="L12" s="4" t="n">
        <f aca="false">-L6*Assumptions!L17/100</f>
        <v>-5396.60153115057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11408.5968</v>
      </c>
      <c r="D13" s="0" t="n">
        <f aca="false">D11+D12</f>
        <v>11967.142685</v>
      </c>
      <c r="E13" s="0" t="n">
        <f aca="false">E11+E12</f>
        <v>12551.64312772</v>
      </c>
      <c r="F13" s="0" t="n">
        <f aca="false">F11+F12</f>
        <v>13304.7417153832</v>
      </c>
      <c r="G13" s="0" t="n">
        <f aca="false">G11+G12</f>
        <v>13821.3620053954</v>
      </c>
      <c r="H13" s="0" t="n">
        <f aca="false">H11+H12</f>
        <v>14356.3824701204</v>
      </c>
      <c r="I13" s="0" t="n">
        <f aca="false">I11+I12</f>
        <v>15002.4196812758</v>
      </c>
      <c r="J13" s="0" t="n">
        <f aca="false">J11+J12</f>
        <v>15677.5285669332</v>
      </c>
      <c r="K13" s="0" t="n">
        <f aca="false">K11+K12</f>
        <v>16383.0173524452</v>
      </c>
      <c r="L13" s="0" t="n">
        <f aca="false">L11+L12</f>
        <v>17120.2531333053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32</v>
      </c>
      <c r="D14" s="4" t="n">
        <f aca="false">Assumptions!D19</f>
        <v>32</v>
      </c>
      <c r="E14" s="4" t="n">
        <f aca="false">Assumptions!E19</f>
        <v>32</v>
      </c>
      <c r="F14" s="4" t="n">
        <f aca="false">Assumptions!F19</f>
        <v>32</v>
      </c>
      <c r="G14" s="4" t="n">
        <f aca="false">Assumptions!G19</f>
        <v>32</v>
      </c>
      <c r="H14" s="4" t="n">
        <f aca="false">Assumptions!H19</f>
        <v>32</v>
      </c>
      <c r="I14" s="4" t="n">
        <f aca="false">Assumptions!I19</f>
        <v>32</v>
      </c>
      <c r="J14" s="4" t="n">
        <f aca="false">Assumptions!J19</f>
        <v>32</v>
      </c>
      <c r="K14" s="4" t="n">
        <f aca="false">Assumptions!K19</f>
        <v>32</v>
      </c>
      <c r="L14" s="4" t="n">
        <f aca="false">Assumptions!L19</f>
        <v>32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7757.845824</v>
      </c>
      <c r="D15" s="0" t="n">
        <f aca="false">D13-MAX(0,D13)*D14/100</f>
        <v>8137.6570258</v>
      </c>
      <c r="E15" s="0" t="n">
        <f aca="false">E13-MAX(0,E13)*E14/100</f>
        <v>8535.1173268496</v>
      </c>
      <c r="F15" s="0" t="n">
        <f aca="false">F13-MAX(0,F13)*F14/100</f>
        <v>9047.22436646058</v>
      </c>
      <c r="G15" s="0" t="n">
        <f aca="false">G13-MAX(0,G13)*G14/100</f>
        <v>9398.52616366889</v>
      </c>
      <c r="H15" s="0" t="n">
        <f aca="false">H13-MAX(0,H13)*H14/100</f>
        <v>9762.34007968188</v>
      </c>
      <c r="I15" s="0" t="n">
        <f aca="false">I13-MAX(0,I13)*I14/100</f>
        <v>10201.6453832676</v>
      </c>
      <c r="J15" s="0" t="n">
        <f aca="false">J13-MAX(0,J13)*J14/100</f>
        <v>10660.7194255146</v>
      </c>
      <c r="K15" s="0" t="n">
        <f aca="false">K13-MAX(0,K13)*K14/100</f>
        <v>11140.4517996628</v>
      </c>
      <c r="L15" s="0" t="n">
        <f aca="false">L13-MAX(0,L13)*L14/100</f>
        <v>11641.7721306476</v>
      </c>
    </row>
    <row r="16" customFormat="false" ht="15" hidden="false" customHeight="false" outlineLevel="0" collapsed="false">
      <c r="A16" s="0" t="s">
        <v>119</v>
      </c>
      <c r="C16" s="0" t="n">
        <f aca="false">-C12</f>
        <v>2852.1492</v>
      </c>
      <c r="D16" s="0" t="n">
        <f aca="false">-D12</f>
        <v>3149.248075</v>
      </c>
      <c r="E16" s="0" t="n">
        <f aca="false">-E12</f>
        <v>3471.73107788</v>
      </c>
      <c r="F16" s="0" t="n">
        <f aca="false">-F12</f>
        <v>3821.5747480356</v>
      </c>
      <c r="G16" s="0" t="n">
        <f aca="false">-G12</f>
        <v>4161.27028119432</v>
      </c>
      <c r="H16" s="0" t="n">
        <f aca="false">-H12</f>
        <v>4525.38143079882</v>
      </c>
      <c r="I16" s="0" t="n">
        <f aca="false">-I12</f>
        <v>4729.02359518477</v>
      </c>
      <c r="J16" s="0" t="n">
        <f aca="false">-J12</f>
        <v>4941.82965696809</v>
      </c>
      <c r="K16" s="0" t="n">
        <f aca="false">-K12</f>
        <v>5164.21199153165</v>
      </c>
      <c r="L16" s="0" t="n">
        <f aca="false">-L12</f>
        <v>5396.60153115057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-20202.7235</v>
      </c>
      <c r="D17" s="4" t="n">
        <f aca="false">-D6*Assumptions!D18/100</f>
        <v>-13856.69153</v>
      </c>
      <c r="E17" s="4" t="n">
        <f aca="false">-E6*Assumptions!E18/100</f>
        <v>-12017.5306542</v>
      </c>
      <c r="F17" s="4" t="n">
        <f aca="false">-F6*Assumptions!F18/100</f>
        <v>-10757.0252166928</v>
      </c>
      <c r="G17" s="4" t="n">
        <f aca="false">-G6*Assumptions!G18/100</f>
        <v>-9511.47492844416</v>
      </c>
      <c r="H17" s="4" t="n">
        <f aca="false">-H6*Assumptions!H18/100</f>
        <v>-9050.76286159765</v>
      </c>
      <c r="I17" s="4" t="n">
        <f aca="false">-I6*Assumptions!I18/100</f>
        <v>-8805.76807379233</v>
      </c>
      <c r="J17" s="4" t="n">
        <f aca="false">-J6*Assumptions!J18/100</f>
        <v>-8861.2117987014</v>
      </c>
      <c r="K17" s="4" t="n">
        <f aca="false">-K6*Assumptions!K18/100</f>
        <v>-9259.96632964296</v>
      </c>
      <c r="L17" s="4" t="n">
        <f aca="false">-L6*Assumptions!L18/100</f>
        <v>-9676.66481447689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-124.3928</v>
      </c>
      <c r="D18" s="4" t="n">
        <f aca="false">(D6-C6)*Assumptions!$B$23/100</f>
        <v>-114.085968</v>
      </c>
      <c r="E18" s="4" t="n">
        <f aca="false">(E6-D6)*Assumptions!$B$23/100</f>
        <v>-120.93112608</v>
      </c>
      <c r="F18" s="4" t="n">
        <f aca="false">(F6-E6)*Assumptions!$B$23/100</f>
        <v>-128.1869936448</v>
      </c>
      <c r="G18" s="4" t="n">
        <f aca="false">(G6-F6)*Assumptions!$B$23/100</f>
        <v>-113.23184438624</v>
      </c>
      <c r="H18" s="4" t="n">
        <f aca="false">(H6-G6)*Assumptions!$B$23/100</f>
        <v>-118.893436605552</v>
      </c>
      <c r="I18" s="4" t="n">
        <f aca="false">(I6-H6)*Assumptions!$B$23/100</f>
        <v>-112.354297592246</v>
      </c>
      <c r="J18" s="4" t="n">
        <f aca="false">(J6-I6)*Assumptions!$B$23/100</f>
        <v>-117.410240983898</v>
      </c>
      <c r="K18" s="4" t="n">
        <f aca="false">(K6-J6)*Assumptions!$B$23/100</f>
        <v>-122.693701828173</v>
      </c>
      <c r="L18" s="4" t="n">
        <f aca="false">(L6-K6)*Assumptions!$B$23/100</f>
        <v>-128.214918410441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-9717.121276</v>
      </c>
      <c r="D19" s="0" t="n">
        <f aca="false">D15+D16+D17+D18</f>
        <v>-2683.8723972</v>
      </c>
      <c r="E19" s="0" t="n">
        <f aca="false">E15+E16+E17+E18</f>
        <v>-131.613375550401</v>
      </c>
      <c r="F19" s="0" t="n">
        <f aca="false">F15+F16+F17+F18</f>
        <v>1983.58690415857</v>
      </c>
      <c r="G19" s="0" t="n">
        <f aca="false">G15+G16+G17+G18</f>
        <v>3935.08967203281</v>
      </c>
      <c r="H19" s="0" t="n">
        <f aca="false">H15+H16+H17+H18</f>
        <v>5118.0652122775</v>
      </c>
      <c r="I19" s="0" t="n">
        <f aca="false">I15+I16+I17+I18</f>
        <v>6012.54660706775</v>
      </c>
      <c r="J19" s="0" t="n">
        <f aca="false">J15+J16+J17+J18</f>
        <v>6623.9270427974</v>
      </c>
      <c r="K19" s="0" t="n">
        <f aca="false">K15+K16+K17+K18</f>
        <v>6922.00375972328</v>
      </c>
      <c r="L19" s="0" t="n">
        <f aca="false">L15+L16+L17+L18</f>
        <v>7233.49392891083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-8714.90697399103</v>
      </c>
      <c r="D21" s="0" t="n">
        <f aca="false">D19*D20</f>
        <v>-2158.79860620564</v>
      </c>
      <c r="E21" s="0" t="n">
        <f aca="false">E19*E20</f>
        <v>-94.9457273131774</v>
      </c>
      <c r="F21" s="0" t="n">
        <f aca="false">F19*F20</f>
        <v>1283.36964483143</v>
      </c>
      <c r="G21" s="0" t="n">
        <f aca="false">G19*G20</f>
        <v>2283.39106075217</v>
      </c>
      <c r="H21" s="0" t="n">
        <f aca="false">H19*H20</f>
        <v>2663.52397842439</v>
      </c>
      <c r="I21" s="0" t="n">
        <f aca="false">I19*I20</f>
        <v>2806.30186055193</v>
      </c>
      <c r="J21" s="0" t="n">
        <f aca="false">J19*J20</f>
        <v>2772.78758807659</v>
      </c>
      <c r="K21" s="0" t="n">
        <f aca="false">K19*K20</f>
        <v>2598.71123725564</v>
      </c>
      <c r="L21" s="0" t="n">
        <f aca="false">L19*L20</f>
        <v>2435.56344657592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11.5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4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5874.99750895823</v>
      </c>
    </row>
    <row r="31" customFormat="false" ht="15" hidden="false" customHeight="false" outlineLevel="0" collapsed="false">
      <c r="A31" s="0" t="s">
        <v>128</v>
      </c>
      <c r="B31" s="0" t="n">
        <f aca="false">L19</f>
        <v>7233.49392891083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100304.449147563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130202.890720395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100304.449147563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33773.146459186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39648.1439681443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7951.24396814425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0.432078376399727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-0.919688034126445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840.213600811413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868.851902498003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0.524950667929107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68389.397146066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-0.645193888974421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9</v>
      </c>
      <c r="D5" s="4" t="n">
        <f aca="false">Assumptions!D27</f>
        <v>10</v>
      </c>
      <c r="E5" s="4" t="n">
        <f aca="false">Assumptions!E27</f>
        <v>10</v>
      </c>
      <c r="F5" s="4" t="n">
        <f aca="false">Assumptions!F27</f>
        <v>10</v>
      </c>
      <c r="G5" s="4" t="n">
        <f aca="false">Assumptions!G27</f>
        <v>9</v>
      </c>
      <c r="H5" s="4" t="n">
        <f aca="false">Assumptions!H27</f>
        <v>7</v>
      </c>
      <c r="I5" s="4" t="n">
        <f aca="false">Assumptions!I27</f>
        <v>6</v>
      </c>
      <c r="J5" s="4" t="n">
        <f aca="false">Assumptions!J27</f>
        <v>5.5</v>
      </c>
      <c r="K5" s="4" t="n">
        <f aca="false">Assumptions!K27</f>
        <v>5</v>
      </c>
      <c r="L5" s="4" t="n">
        <f aca="false">Assumptions!L27</f>
        <v>5</v>
      </c>
    </row>
    <row r="6" customFormat="false" ht="15" hidden="false" customHeight="false" outlineLevel="0" collapsed="false">
      <c r="A6" s="0" t="s">
        <v>38</v>
      </c>
      <c r="B6" s="3" t="n">
        <v>22213</v>
      </c>
      <c r="C6" s="0" t="n">
        <f aca="false">B6*(1+C5/100)</f>
        <v>24212.17</v>
      </c>
      <c r="D6" s="0" t="n">
        <f aca="false">C6*(1+D5/100)</f>
        <v>26633.387</v>
      </c>
      <c r="E6" s="0" t="n">
        <f aca="false">D6*(1+E5/100)</f>
        <v>29296.7257</v>
      </c>
      <c r="F6" s="0" t="n">
        <f aca="false">E6*(1+F5/100)</f>
        <v>32226.39827</v>
      </c>
      <c r="G6" s="0" t="n">
        <f aca="false">F6*(1+G5/100)</f>
        <v>35126.7741143</v>
      </c>
      <c r="H6" s="0" t="n">
        <f aca="false">G6*(1+H5/100)</f>
        <v>37585.648302301</v>
      </c>
      <c r="I6" s="0" t="n">
        <f aca="false">H6*(1+I5/100)</f>
        <v>39840.7872004391</v>
      </c>
      <c r="J6" s="0" t="n">
        <f aca="false">I6*(1+J5/100)</f>
        <v>42032.0304964632</v>
      </c>
      <c r="K6" s="0" t="n">
        <f aca="false">J6*(1+K5/100)</f>
        <v>44133.6320212864</v>
      </c>
      <c r="L6" s="0" t="n">
        <f aca="false">K6*(1+L5/100)</f>
        <v>46340.3136223507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61.5</v>
      </c>
      <c r="D7" s="4" t="n">
        <f aca="false">Assumptions!D28</f>
        <v>63</v>
      </c>
      <c r="E7" s="4" t="n">
        <f aca="false">Assumptions!E28</f>
        <v>64.5</v>
      </c>
      <c r="F7" s="4" t="n">
        <f aca="false">Assumptions!F28</f>
        <v>65.5</v>
      </c>
      <c r="G7" s="4" t="n">
        <f aca="false">Assumptions!G28</f>
        <v>66.5</v>
      </c>
      <c r="H7" s="4" t="n">
        <f aca="false">Assumptions!H28</f>
        <v>67</v>
      </c>
      <c r="I7" s="4" t="n">
        <f aca="false">Assumptions!I28</f>
        <v>67</v>
      </c>
      <c r="J7" s="4" t="n">
        <f aca="false">Assumptions!J28</f>
        <v>67</v>
      </c>
      <c r="K7" s="4" t="n">
        <f aca="false">Assumptions!K28</f>
        <v>67</v>
      </c>
      <c r="L7" s="4" t="n">
        <f aca="false">Assumptions!L28</f>
        <v>67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14890.48455</v>
      </c>
      <c r="D8" s="0" t="n">
        <f aca="false">D6*D7/100</f>
        <v>16779.03381</v>
      </c>
      <c r="E8" s="0" t="n">
        <f aca="false">E6*E7/100</f>
        <v>18896.3880765</v>
      </c>
      <c r="F8" s="0" t="n">
        <f aca="false">F6*F7/100</f>
        <v>21108.29086685</v>
      </c>
      <c r="G8" s="0" t="n">
        <f aca="false">G6*G7/100</f>
        <v>23359.3047860095</v>
      </c>
      <c r="H8" s="0" t="n">
        <f aca="false">H6*H7/100</f>
        <v>25182.3843625417</v>
      </c>
      <c r="I8" s="0" t="n">
        <f aca="false">I6*I7/100</f>
        <v>26693.3274242942</v>
      </c>
      <c r="J8" s="0" t="n">
        <f aca="false">J6*J7/100</f>
        <v>28161.4604326304</v>
      </c>
      <c r="K8" s="0" t="n">
        <f aca="false">K6*K7/100</f>
        <v>29569.5334542619</v>
      </c>
      <c r="L8" s="0" t="n">
        <f aca="false">L6*L7/100</f>
        <v>31048.010126975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-121.06085</v>
      </c>
      <c r="D10" s="0" t="n">
        <f aca="false">-D6*D9/100</f>
        <v>-133.166935</v>
      </c>
      <c r="E10" s="0" t="n">
        <f aca="false">-E6*E9/100</f>
        <v>-146.4836285</v>
      </c>
      <c r="F10" s="0" t="n">
        <f aca="false">-F6*F9/100</f>
        <v>-161.13199135</v>
      </c>
      <c r="G10" s="0" t="n">
        <f aca="false">-G6*G9/100</f>
        <v>-175.6338705715</v>
      </c>
      <c r="H10" s="0" t="n">
        <f aca="false">-H6*H9/100</f>
        <v>-187.928241511505</v>
      </c>
      <c r="I10" s="0" t="n">
        <f aca="false">-I6*I9/100</f>
        <v>-199.203936002195</v>
      </c>
      <c r="J10" s="0" t="n">
        <f aca="false">-J6*J9/100</f>
        <v>-210.160152482316</v>
      </c>
      <c r="K10" s="0" t="n">
        <f aca="false">-K6*K9/100</f>
        <v>-220.668160106432</v>
      </c>
      <c r="L10" s="0" t="n">
        <f aca="false">-L6*L9/100</f>
        <v>-231.701568111754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14769.4237</v>
      </c>
      <c r="D11" s="0" t="n">
        <f aca="false">D8+D10+D24</f>
        <v>16645.866875</v>
      </c>
      <c r="E11" s="0" t="n">
        <f aca="false">E8+E10+E24</f>
        <v>18749.904448</v>
      </c>
      <c r="F11" s="0" t="n">
        <f aca="false">F8+F10+F24</f>
        <v>20947.1588755</v>
      </c>
      <c r="G11" s="0" t="n">
        <f aca="false">G8+G10+G24</f>
        <v>23183.670915438</v>
      </c>
      <c r="H11" s="0" t="n">
        <f aca="false">H8+H10+H24</f>
        <v>24994.4561210302</v>
      </c>
      <c r="I11" s="0" t="n">
        <f aca="false">I8+I10+I24</f>
        <v>26494.123488292</v>
      </c>
      <c r="J11" s="0" t="n">
        <f aca="false">J8+J10+J24</f>
        <v>27951.300280148</v>
      </c>
      <c r="K11" s="0" t="n">
        <f aca="false">K8+K10+K24</f>
        <v>29348.8652941555</v>
      </c>
      <c r="L11" s="0" t="n">
        <f aca="false">L8+L10+L24</f>
        <v>30816.3085588632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-2905.4604</v>
      </c>
      <c r="D12" s="4" t="n">
        <f aca="false">-D6*Assumptions!D31/100</f>
        <v>-3329.173375</v>
      </c>
      <c r="E12" s="4" t="n">
        <f aca="false">-E6*Assumptions!E31/100</f>
        <v>-3808.574341</v>
      </c>
      <c r="F12" s="4" t="n">
        <f aca="false">-F6*Assumptions!F31/100</f>
        <v>-4350.56376645</v>
      </c>
      <c r="G12" s="4" t="n">
        <f aca="false">-G6*Assumptions!G31/100</f>
        <v>-4917.748376002</v>
      </c>
      <c r="H12" s="4" t="n">
        <f aca="false">-H6*Assumptions!H31/100</f>
        <v>-5261.99076232214</v>
      </c>
      <c r="I12" s="4" t="n">
        <f aca="false">-I6*Assumptions!I31/100</f>
        <v>-5577.71020806147</v>
      </c>
      <c r="J12" s="4" t="n">
        <f aca="false">-J6*Assumptions!J31/100</f>
        <v>-5884.48426950485</v>
      </c>
      <c r="K12" s="4" t="n">
        <f aca="false">-K6*Assumptions!K31/100</f>
        <v>-6178.7084829801</v>
      </c>
      <c r="L12" s="4" t="n">
        <f aca="false">-L6*Assumptions!L31/100</f>
        <v>-6487.6439071291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11863.9633</v>
      </c>
      <c r="D13" s="0" t="n">
        <f aca="false">D11+D12</f>
        <v>13316.6935</v>
      </c>
      <c r="E13" s="0" t="n">
        <f aca="false">E11+E12</f>
        <v>14941.330107</v>
      </c>
      <c r="F13" s="0" t="n">
        <f aca="false">F11+F12</f>
        <v>16596.59510905</v>
      </c>
      <c r="G13" s="0" t="n">
        <f aca="false">G11+G12</f>
        <v>18265.922539436</v>
      </c>
      <c r="H13" s="0" t="n">
        <f aca="false">H11+H12</f>
        <v>19732.465358708</v>
      </c>
      <c r="I13" s="0" t="n">
        <f aca="false">I11+I12</f>
        <v>20916.4132802305</v>
      </c>
      <c r="J13" s="0" t="n">
        <f aca="false">J11+J12</f>
        <v>22066.8160106432</v>
      </c>
      <c r="K13" s="0" t="n">
        <f aca="false">K11+K12</f>
        <v>23170.1568111754</v>
      </c>
      <c r="L13" s="0" t="n">
        <f aca="false">L11+L12</f>
        <v>24328.6646517341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8304.77431</v>
      </c>
      <c r="D15" s="0" t="n">
        <f aca="false">D13-MAX(0,D13)*D14/100</f>
        <v>9321.68545</v>
      </c>
      <c r="E15" s="0" t="n">
        <f aca="false">E13-MAX(0,E13)*E14/100</f>
        <v>10458.9310749</v>
      </c>
      <c r="F15" s="0" t="n">
        <f aca="false">F13-MAX(0,F13)*F14/100</f>
        <v>11617.616576335</v>
      </c>
      <c r="G15" s="0" t="n">
        <f aca="false">G13-MAX(0,G13)*G14/100</f>
        <v>12786.1457776052</v>
      </c>
      <c r="H15" s="0" t="n">
        <f aca="false">H13-MAX(0,H13)*H14/100</f>
        <v>13812.7257510956</v>
      </c>
      <c r="I15" s="0" t="n">
        <f aca="false">I13-MAX(0,I13)*I14/100</f>
        <v>14641.4892961614</v>
      </c>
      <c r="J15" s="0" t="n">
        <f aca="false">J13-MAX(0,J13)*J14/100</f>
        <v>15446.7712074502</v>
      </c>
      <c r="K15" s="0" t="n">
        <f aca="false">K13-MAX(0,K13)*K14/100</f>
        <v>16219.1097678228</v>
      </c>
      <c r="L15" s="0" t="n">
        <f aca="false">L13-MAX(0,L13)*L14/100</f>
        <v>17030.0652562139</v>
      </c>
    </row>
    <row r="16" customFormat="false" ht="15" hidden="false" customHeight="false" outlineLevel="0" collapsed="false">
      <c r="A16" s="0" t="s">
        <v>119</v>
      </c>
      <c r="C16" s="0" t="n">
        <f aca="false">-C12</f>
        <v>2905.4604</v>
      </c>
      <c r="D16" s="0" t="n">
        <f aca="false">-D12</f>
        <v>3329.173375</v>
      </c>
      <c r="E16" s="0" t="n">
        <f aca="false">-E12</f>
        <v>3808.574341</v>
      </c>
      <c r="F16" s="0" t="n">
        <f aca="false">-F12</f>
        <v>4350.56376645</v>
      </c>
      <c r="G16" s="0" t="n">
        <f aca="false">-G12</f>
        <v>4917.748376002</v>
      </c>
      <c r="H16" s="0" t="n">
        <f aca="false">-H12</f>
        <v>5261.99076232214</v>
      </c>
      <c r="I16" s="0" t="n">
        <f aca="false">-I12</f>
        <v>5577.71020806147</v>
      </c>
      <c r="J16" s="0" t="n">
        <f aca="false">-J12</f>
        <v>5884.48426950485</v>
      </c>
      <c r="K16" s="0" t="n">
        <f aca="false">-K12</f>
        <v>6178.7084829801</v>
      </c>
      <c r="L16" s="0" t="n">
        <f aca="false">-L12</f>
        <v>6487.6439071291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-19853.9794</v>
      </c>
      <c r="D17" s="4" t="n">
        <f aca="false">-D6*Assumptions!D32/100</f>
        <v>-10120.68706</v>
      </c>
      <c r="E17" s="4" t="n">
        <f aca="false">-E6*Assumptions!E32/100</f>
        <v>-9374.952224</v>
      </c>
      <c r="F17" s="4" t="n">
        <f aca="false">-F6*Assumptions!F32/100</f>
        <v>-9023.3915156</v>
      </c>
      <c r="G17" s="4" t="n">
        <f aca="false">-G6*Assumptions!G32/100</f>
        <v>-9132.961269718</v>
      </c>
      <c r="H17" s="4" t="n">
        <f aca="false">-H6*Assumptions!H32/100</f>
        <v>-9396.41207557525</v>
      </c>
      <c r="I17" s="4" t="n">
        <f aca="false">-I6*Assumptions!I32/100</f>
        <v>-9561.78892810538</v>
      </c>
      <c r="J17" s="4" t="n">
        <f aca="false">-J6*Assumptions!J32/100</f>
        <v>-9667.36701418654</v>
      </c>
      <c r="K17" s="4" t="n">
        <f aca="false">-K6*Assumptions!K32/100</f>
        <v>-10150.7353648959</v>
      </c>
      <c r="L17" s="4" t="n">
        <f aca="false">-L6*Assumptions!L32/100</f>
        <v>-10658.2721331407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-159.9336</v>
      </c>
      <c r="D18" s="4" t="n">
        <f aca="false">(D6-C6)*Assumptions!$B$37/100</f>
        <v>-193.69736</v>
      </c>
      <c r="E18" s="4" t="n">
        <f aca="false">(E6-D6)*Assumptions!$B$37/100</f>
        <v>-213.067096</v>
      </c>
      <c r="F18" s="4" t="n">
        <f aca="false">(F6-E6)*Assumptions!$B$37/100</f>
        <v>-234.3738056</v>
      </c>
      <c r="G18" s="4" t="n">
        <f aca="false">(G6-F6)*Assumptions!$B$37/100</f>
        <v>-232.030067544</v>
      </c>
      <c r="H18" s="4" t="n">
        <f aca="false">(H6-G6)*Assumptions!$B$37/100</f>
        <v>-196.70993504008</v>
      </c>
      <c r="I18" s="4" t="n">
        <f aca="false">(I6-H6)*Assumptions!$B$37/100</f>
        <v>-180.411111851045</v>
      </c>
      <c r="J18" s="4" t="n">
        <f aca="false">(J6-I6)*Assumptions!$B$37/100</f>
        <v>-175.299463681932</v>
      </c>
      <c r="K18" s="4" t="n">
        <f aca="false">(K6-J6)*Assumptions!$B$37/100</f>
        <v>-168.128121985853</v>
      </c>
      <c r="L18" s="4" t="n">
        <f aca="false">(L6-K6)*Assumptions!$B$37/100</f>
        <v>-176.534528085146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-8803.67829</v>
      </c>
      <c r="D19" s="0" t="n">
        <f aca="false">D15+D16+D17+D18</f>
        <v>2336.474405</v>
      </c>
      <c r="E19" s="0" t="n">
        <f aca="false">E15+E16+E17+E18</f>
        <v>4679.4860959</v>
      </c>
      <c r="F19" s="0" t="n">
        <f aca="false">F15+F16+F17+F18</f>
        <v>6710.415021585</v>
      </c>
      <c r="G19" s="0" t="n">
        <f aca="false">G15+G16+G17+G18</f>
        <v>8338.9028163452</v>
      </c>
      <c r="H19" s="0" t="n">
        <f aca="false">H15+H16+H17+H18</f>
        <v>9481.59450280243</v>
      </c>
      <c r="I19" s="0" t="n">
        <f aca="false">I15+I16+I17+I18</f>
        <v>10476.9994642664</v>
      </c>
      <c r="J19" s="0" t="n">
        <f aca="false">J15+J16+J17+J18</f>
        <v>11488.5889990866</v>
      </c>
      <c r="K19" s="0" t="n">
        <f aca="false">K15+K16+K17+K18</f>
        <v>12078.9547639211</v>
      </c>
      <c r="L19" s="0" t="n">
        <f aca="false">L15+L16+L17+L18</f>
        <v>12682.9025021172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-7895.67559641256</v>
      </c>
      <c r="D21" s="0" t="n">
        <f aca="false">D19*D20</f>
        <v>1879.36568601822</v>
      </c>
      <c r="E21" s="0" t="n">
        <f aca="false">E19*E20</f>
        <v>3375.77551650123</v>
      </c>
      <c r="F21" s="0" t="n">
        <f aca="false">F19*F20</f>
        <v>4341.6010283533</v>
      </c>
      <c r="G21" s="0" t="n">
        <f aca="false">G19*G20</f>
        <v>4838.76550073317</v>
      </c>
      <c r="H21" s="0" t="n">
        <f aca="false">H19*H20</f>
        <v>4934.37525011</v>
      </c>
      <c r="I21" s="0" t="n">
        <f aca="false">I19*I20</f>
        <v>4890.04493620238</v>
      </c>
      <c r="J21" s="0" t="n">
        <f aca="false">J19*J20</f>
        <v>4809.14369608268</v>
      </c>
      <c r="K21" s="0" t="n">
        <f aca="false">K19*K20</f>
        <v>4534.77296010011</v>
      </c>
      <c r="L21" s="0" t="n">
        <f aca="false">L19*L20</f>
        <v>4270.41399830055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11.5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4.5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29978.5829759891</v>
      </c>
    </row>
    <row r="31" customFormat="false" ht="15" hidden="false" customHeight="false" outlineLevel="0" collapsed="false">
      <c r="A31" s="0" t="s">
        <v>128</v>
      </c>
      <c r="B31" s="0" t="n">
        <f aca="false">L19</f>
        <v>12682.9025021172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189337.615924464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228292.245038109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189337.615924464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63751.180403201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93729.7633791901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62032.8633791901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3.37092648643281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-0.373433738581262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967.138747739578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1164.65836317288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3.48677042710259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126225.077282976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1.25184737110136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10</v>
      </c>
      <c r="D5" s="4" t="n">
        <f aca="false">Assumptions!D41</f>
        <v>12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8</v>
      </c>
      <c r="I5" s="4" t="n">
        <f aca="false">Assumptions!I41</f>
        <v>6.5</v>
      </c>
      <c r="J5" s="4" t="n">
        <f aca="false">Assumptions!J41</f>
        <v>6</v>
      </c>
      <c r="K5" s="4" t="n">
        <f aca="false">Assumptions!K41</f>
        <v>5.5</v>
      </c>
      <c r="L5" s="4" t="n">
        <f aca="false">Assumptions!L41</f>
        <v>5.5</v>
      </c>
    </row>
    <row r="6" customFormat="false" ht="15" hidden="false" customHeight="false" outlineLevel="0" collapsed="false">
      <c r="A6" s="0" t="s">
        <v>38</v>
      </c>
      <c r="B6" s="3" t="n">
        <v>22213</v>
      </c>
      <c r="C6" s="0" t="n">
        <f aca="false">B6*(1+C5/100)</f>
        <v>24434.3</v>
      </c>
      <c r="D6" s="0" t="n">
        <f aca="false">C6*(1+D5/100)</f>
        <v>27366.416</v>
      </c>
      <c r="E6" s="0" t="n">
        <f aca="false">D6*(1+E5/100)</f>
        <v>30650.38592</v>
      </c>
      <c r="F6" s="0" t="n">
        <f aca="false">E6*(1+F5/100)</f>
        <v>34021.9283712</v>
      </c>
      <c r="G6" s="0" t="n">
        <f aca="false">F6*(1+G5/100)</f>
        <v>37424.12120832</v>
      </c>
      <c r="H6" s="0" t="n">
        <f aca="false">G6*(1+H5/100)</f>
        <v>40418.0509049856</v>
      </c>
      <c r="I6" s="0" t="n">
        <f aca="false">H6*(1+I5/100)</f>
        <v>43045.2242138097</v>
      </c>
      <c r="J6" s="0" t="n">
        <f aca="false">I6*(1+J5/100)</f>
        <v>45627.9376666383</v>
      </c>
      <c r="K6" s="0" t="n">
        <f aca="false">J6*(1+K5/100)</f>
        <v>48137.4742383034</v>
      </c>
      <c r="L6" s="0" t="n">
        <f aca="false">K6*(1+L5/100)</f>
        <v>50785.0353214101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62.5</v>
      </c>
      <c r="D7" s="4" t="n">
        <f aca="false">Assumptions!D42</f>
        <v>65</v>
      </c>
      <c r="E7" s="4" t="n">
        <f aca="false">Assumptions!E42</f>
        <v>67</v>
      </c>
      <c r="F7" s="4" t="n">
        <f aca="false">Assumptions!F42</f>
        <v>68.5</v>
      </c>
      <c r="G7" s="4" t="n">
        <f aca="false">Assumptions!G42</f>
        <v>70</v>
      </c>
      <c r="H7" s="4" t="n">
        <f aca="false">Assumptions!H42</f>
        <v>70.5</v>
      </c>
      <c r="I7" s="4" t="n">
        <f aca="false">Assumptions!I42</f>
        <v>71</v>
      </c>
      <c r="J7" s="4" t="n">
        <f aca="false">Assumptions!J42</f>
        <v>71</v>
      </c>
      <c r="K7" s="4" t="n">
        <f aca="false">Assumptions!K42</f>
        <v>71</v>
      </c>
      <c r="L7" s="4" t="n">
        <f aca="false">Assumptions!L42</f>
        <v>71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15271.4375</v>
      </c>
      <c r="D8" s="0" t="n">
        <f aca="false">D6*D7/100</f>
        <v>17788.1704</v>
      </c>
      <c r="E8" s="0" t="n">
        <f aca="false">E6*E7/100</f>
        <v>20535.7585664</v>
      </c>
      <c r="F8" s="0" t="n">
        <f aca="false">F6*F7/100</f>
        <v>23305.020934272</v>
      </c>
      <c r="G8" s="0" t="n">
        <f aca="false">G6*G7/100</f>
        <v>26196.884845824</v>
      </c>
      <c r="H8" s="0" t="n">
        <f aca="false">H6*H7/100</f>
        <v>28494.7258880149</v>
      </c>
      <c r="I8" s="0" t="n">
        <f aca="false">I6*I7/100</f>
        <v>30562.1091918049</v>
      </c>
      <c r="J8" s="0" t="n">
        <f aca="false">J6*J7/100</f>
        <v>32395.8357433132</v>
      </c>
      <c r="K8" s="0" t="n">
        <f aca="false">K6*K7/100</f>
        <v>34177.6067091954</v>
      </c>
      <c r="L8" s="0" t="n">
        <f aca="false">L6*L7/100</f>
        <v>36057.3750782011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-122.1715</v>
      </c>
      <c r="D10" s="0" t="n">
        <f aca="false">-D6*D9/100</f>
        <v>-136.83208</v>
      </c>
      <c r="E10" s="0" t="n">
        <f aca="false">-E6*E9/100</f>
        <v>-153.2519296</v>
      </c>
      <c r="F10" s="0" t="n">
        <f aca="false">-F6*F9/100</f>
        <v>-170.109641856</v>
      </c>
      <c r="G10" s="0" t="n">
        <f aca="false">-G6*G9/100</f>
        <v>-187.1206060416</v>
      </c>
      <c r="H10" s="0" t="n">
        <f aca="false">-H6*H9/100</f>
        <v>-202.090254524928</v>
      </c>
      <c r="I10" s="0" t="n">
        <f aca="false">-I6*I9/100</f>
        <v>-215.226121069048</v>
      </c>
      <c r="J10" s="0" t="n">
        <f aca="false">-J6*J9/100</f>
        <v>-228.139688333191</v>
      </c>
      <c r="K10" s="0" t="n">
        <f aca="false">-K6*K9/100</f>
        <v>-240.687371191517</v>
      </c>
      <c r="L10" s="0" t="n">
        <f aca="false">-L6*L9/100</f>
        <v>-253.92517660705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15149.266</v>
      </c>
      <c r="D11" s="0" t="n">
        <f aca="false">D8+D10+D24</f>
        <v>17651.33832</v>
      </c>
      <c r="E11" s="0" t="n">
        <f aca="false">E8+E10+E24</f>
        <v>20382.5066368</v>
      </c>
      <c r="F11" s="0" t="n">
        <f aca="false">F8+F10+F24</f>
        <v>23134.911292416</v>
      </c>
      <c r="G11" s="0" t="n">
        <f aca="false">G8+G10+G24</f>
        <v>26009.7642397824</v>
      </c>
      <c r="H11" s="0" t="n">
        <f aca="false">H8+H10+H24</f>
        <v>28292.6356334899</v>
      </c>
      <c r="I11" s="0" t="n">
        <f aca="false">I8+I10+I24</f>
        <v>30346.8830707358</v>
      </c>
      <c r="J11" s="0" t="n">
        <f aca="false">J8+J10+J24</f>
        <v>32167.69605498</v>
      </c>
      <c r="K11" s="0" t="n">
        <f aca="false">K8+K10+K24</f>
        <v>33936.9193380039</v>
      </c>
      <c r="L11" s="0" t="n">
        <f aca="false">L8+L10+L24</f>
        <v>35803.4499015941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-2932.116</v>
      </c>
      <c r="D12" s="4" t="n">
        <f aca="false">-D6*Assumptions!D45/100</f>
        <v>-3420.802</v>
      </c>
      <c r="E12" s="4" t="n">
        <f aca="false">-E6*Assumptions!E45/100</f>
        <v>-3984.5501696</v>
      </c>
      <c r="F12" s="4" t="n">
        <f aca="false">-F6*Assumptions!F45/100</f>
        <v>-4422.850688256</v>
      </c>
      <c r="G12" s="4" t="n">
        <f aca="false">-G6*Assumptions!G45/100</f>
        <v>-4865.1357570816</v>
      </c>
      <c r="H12" s="4" t="n">
        <f aca="false">-H6*Assumptions!H45/100</f>
        <v>-5254.34661764813</v>
      </c>
      <c r="I12" s="4" t="n">
        <f aca="false">-I6*Assumptions!I45/100</f>
        <v>-5595.87914779526</v>
      </c>
      <c r="J12" s="4" t="n">
        <f aca="false">-J6*Assumptions!J45/100</f>
        <v>-5931.63189666298</v>
      </c>
      <c r="K12" s="4" t="n">
        <f aca="false">-K6*Assumptions!K45/100</f>
        <v>-6257.87165097944</v>
      </c>
      <c r="L12" s="4" t="n">
        <f aca="false">-L6*Assumptions!L45/100</f>
        <v>-6602.05459178331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12217.15</v>
      </c>
      <c r="D13" s="0" t="n">
        <f aca="false">D11+D12</f>
        <v>14230.53632</v>
      </c>
      <c r="E13" s="0" t="n">
        <f aca="false">E11+E12</f>
        <v>16397.9564672</v>
      </c>
      <c r="F13" s="0" t="n">
        <f aca="false">F11+F12</f>
        <v>18712.06060416</v>
      </c>
      <c r="G13" s="0" t="n">
        <f aca="false">G11+G12</f>
        <v>21144.6284827008</v>
      </c>
      <c r="H13" s="0" t="n">
        <f aca="false">H11+H12</f>
        <v>23038.2890158418</v>
      </c>
      <c r="I13" s="0" t="n">
        <f aca="false">I11+I12</f>
        <v>24751.0039229406</v>
      </c>
      <c r="J13" s="0" t="n">
        <f aca="false">J11+J12</f>
        <v>26236.064158317</v>
      </c>
      <c r="K13" s="0" t="n">
        <f aca="false">K11+K12</f>
        <v>27679.0476870244</v>
      </c>
      <c r="L13" s="0" t="n">
        <f aca="false">L11+L12</f>
        <v>29201.3953098108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8796.348</v>
      </c>
      <c r="D15" s="0" t="n">
        <f aca="false">D13-MAX(0,D13)*D14/100</f>
        <v>10245.9861504</v>
      </c>
      <c r="E15" s="0" t="n">
        <f aca="false">E13-MAX(0,E13)*E14/100</f>
        <v>11806.528656384</v>
      </c>
      <c r="F15" s="0" t="n">
        <f aca="false">F13-MAX(0,F13)*F14/100</f>
        <v>13472.6836349952</v>
      </c>
      <c r="G15" s="0" t="n">
        <f aca="false">G13-MAX(0,G13)*G14/100</f>
        <v>15224.1325075446</v>
      </c>
      <c r="H15" s="0" t="n">
        <f aca="false">H13-MAX(0,H13)*H14/100</f>
        <v>16587.5680914061</v>
      </c>
      <c r="I15" s="0" t="n">
        <f aca="false">I13-MAX(0,I13)*I14/100</f>
        <v>17820.7228245172</v>
      </c>
      <c r="J15" s="0" t="n">
        <f aca="false">J13-MAX(0,J13)*J14/100</f>
        <v>18889.9661939882</v>
      </c>
      <c r="K15" s="0" t="n">
        <f aca="false">K13-MAX(0,K13)*K14/100</f>
        <v>19928.9143346576</v>
      </c>
      <c r="L15" s="0" t="n">
        <f aca="false">L13-MAX(0,L13)*L14/100</f>
        <v>21025.0046230638</v>
      </c>
    </row>
    <row r="16" customFormat="false" ht="15" hidden="false" customHeight="false" outlineLevel="0" collapsed="false">
      <c r="A16" s="0" t="s">
        <v>119</v>
      </c>
      <c r="C16" s="0" t="n">
        <f aca="false">-C12</f>
        <v>2932.116</v>
      </c>
      <c r="D16" s="0" t="n">
        <f aca="false">-D12</f>
        <v>3420.802</v>
      </c>
      <c r="E16" s="0" t="n">
        <f aca="false">-E12</f>
        <v>3984.5501696</v>
      </c>
      <c r="F16" s="0" t="n">
        <f aca="false">-F12</f>
        <v>4422.850688256</v>
      </c>
      <c r="G16" s="0" t="n">
        <f aca="false">-G12</f>
        <v>4865.1357570816</v>
      </c>
      <c r="H16" s="0" t="n">
        <f aca="false">-H12</f>
        <v>5254.34661764813</v>
      </c>
      <c r="I16" s="0" t="n">
        <f aca="false">-I12</f>
        <v>5595.87914779526</v>
      </c>
      <c r="J16" s="0" t="n">
        <f aca="false">-J12</f>
        <v>5931.63189666298</v>
      </c>
      <c r="K16" s="0" t="n">
        <f aca="false">-K12</f>
        <v>6257.87165097944</v>
      </c>
      <c r="L16" s="0" t="n">
        <f aca="false">-L12</f>
        <v>6602.05459178331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-19547.44</v>
      </c>
      <c r="D17" s="4" t="n">
        <f aca="false">-D6*Assumptions!D46/100</f>
        <v>-9578.2456</v>
      </c>
      <c r="E17" s="4" t="n">
        <f aca="false">-E6*Assumptions!E46/100</f>
        <v>-8888.6119168</v>
      </c>
      <c r="F17" s="4" t="n">
        <f aca="false">-F6*Assumptions!F46/100</f>
        <v>-8505.4820928</v>
      </c>
      <c r="G17" s="4" t="n">
        <f aca="false">-G6*Assumptions!G46/100</f>
        <v>-8607.54787791361</v>
      </c>
      <c r="H17" s="4" t="n">
        <f aca="false">-H6*Assumptions!H46/100</f>
        <v>-8891.97119909684</v>
      </c>
      <c r="I17" s="4" t="n">
        <f aca="false">-I6*Assumptions!I46/100</f>
        <v>-9039.49708490003</v>
      </c>
      <c r="J17" s="4" t="n">
        <f aca="false">-J6*Assumptions!J46/100</f>
        <v>-9125.58753332765</v>
      </c>
      <c r="K17" s="4" t="n">
        <f aca="false">-K6*Assumptions!K46/100</f>
        <v>-9627.49484766067</v>
      </c>
      <c r="L17" s="4" t="n">
        <f aca="false">-L6*Assumptions!L46/100</f>
        <v>-10157.007064282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-177.704</v>
      </c>
      <c r="D18" s="4" t="n">
        <f aca="false">(D6-C6)*Assumptions!$B$51/100</f>
        <v>-234.56928</v>
      </c>
      <c r="E18" s="4" t="n">
        <f aca="false">(E6-D6)*Assumptions!$B$51/100</f>
        <v>-262.7175936</v>
      </c>
      <c r="F18" s="4" t="n">
        <f aca="false">(F6-E6)*Assumptions!$B$51/100</f>
        <v>-269.723396096</v>
      </c>
      <c r="G18" s="4" t="n">
        <f aca="false">(G6-F6)*Assumptions!$B$51/100</f>
        <v>-272.1754269696</v>
      </c>
      <c r="H18" s="4" t="n">
        <f aca="false">(H6-G6)*Assumptions!$B$51/100</f>
        <v>-239.514375733248</v>
      </c>
      <c r="I18" s="4" t="n">
        <f aca="false">(I6-H6)*Assumptions!$B$51/100</f>
        <v>-210.173864705925</v>
      </c>
      <c r="J18" s="4" t="n">
        <f aca="false">(J6-I6)*Assumptions!$B$51/100</f>
        <v>-206.617076226287</v>
      </c>
      <c r="K18" s="4" t="n">
        <f aca="false">(K6-J6)*Assumptions!$B$51/100</f>
        <v>-200.762925733208</v>
      </c>
      <c r="L18" s="4" t="n">
        <f aca="false">(L6-K6)*Assumptions!$B$51/100</f>
        <v>-211.804886648534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-7996.68</v>
      </c>
      <c r="D19" s="0" t="n">
        <f aca="false">D15+D16+D17+D18</f>
        <v>3853.9732704</v>
      </c>
      <c r="E19" s="0" t="n">
        <f aca="false">E15+E16+E17+E18</f>
        <v>6639.749315584</v>
      </c>
      <c r="F19" s="0" t="n">
        <f aca="false">F15+F16+F17+F18</f>
        <v>9120.3288343552</v>
      </c>
      <c r="G19" s="0" t="n">
        <f aca="false">G15+G16+G17+G18</f>
        <v>11209.544959743</v>
      </c>
      <c r="H19" s="0" t="n">
        <f aca="false">H15+H16+H17+H18</f>
        <v>12710.4291342241</v>
      </c>
      <c r="I19" s="0" t="n">
        <f aca="false">I15+I16+I17+I18</f>
        <v>14166.9310227065</v>
      </c>
      <c r="J19" s="0" t="n">
        <f aca="false">J15+J16+J17+J18</f>
        <v>15489.3934810973</v>
      </c>
      <c r="K19" s="0" t="n">
        <f aca="false">K15+K16+K17+K18</f>
        <v>16358.5282122431</v>
      </c>
      <c r="L19" s="0" t="n">
        <f aca="false">L15+L16+L17+L18</f>
        <v>17258.2472639165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-7171.91031390135</v>
      </c>
      <c r="D21" s="0" t="n">
        <f aca="false">D19*D20</f>
        <v>3099.98051068793</v>
      </c>
      <c r="E21" s="0" t="n">
        <f aca="false">E19*E20</f>
        <v>4789.90699318305</v>
      </c>
      <c r="F21" s="0" t="n">
        <f aca="false">F19*F20</f>
        <v>5900.80180119829</v>
      </c>
      <c r="G21" s="0" t="n">
        <f aca="false">G19*G20</f>
        <v>6504.49593006462</v>
      </c>
      <c r="H21" s="0" t="n">
        <f aca="false">H19*H20</f>
        <v>6614.71305481957</v>
      </c>
      <c r="I21" s="0" t="n">
        <f aca="false">I19*I20</f>
        <v>6612.28718636429</v>
      </c>
      <c r="J21" s="0" t="n">
        <f aca="false">J19*J20</f>
        <v>6483.88753585714</v>
      </c>
      <c r="K21" s="0" t="n">
        <f aca="false">K19*K20</f>
        <v>6141.44293556685</v>
      </c>
      <c r="L21" s="0" t="n">
        <f aca="false">L19*L20</f>
        <v>5810.96170136594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11.5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44786.5673352063</v>
      </c>
    </row>
    <row r="31" customFormat="false" ht="15" hidden="false" customHeight="false" outlineLevel="0" collapsed="false">
      <c r="A31" s="0" t="s">
        <v>128</v>
      </c>
      <c r="B31" s="0" t="n">
        <f aca="false">L19</f>
        <v>17258.2472639165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278787.071186344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310648.450750497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278787.071186344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93869.3813297576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138655.948664964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106959.048664964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5.81225934879761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0.0803456038657262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1025.81262584714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1381.12514368646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5.94305470204319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181211.596271123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2.66327017620341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0.432078376399727</v>
      </c>
      <c r="C4" s="0" t="n">
        <f aca="false">B4/Assumptions!$B$2-1</f>
        <v>-0.919688034126445</v>
      </c>
      <c r="D4" s="4" t="n">
        <f aca="false">Assumptions!$B$24</f>
        <v>0.25</v>
      </c>
      <c r="E4" s="4" t="n">
        <f aca="false">DCF_Bear!$B$43</f>
        <v>0.524950667929107</v>
      </c>
      <c r="F4" s="4" t="n">
        <f aca="false">DCF_Bear!$B$47</f>
        <v>-0.645193888974421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3.37092648643281</v>
      </c>
      <c r="C5" s="0" t="n">
        <f aca="false">B5/Assumptions!$B$2-1</f>
        <v>-0.373433738581262</v>
      </c>
      <c r="D5" s="4" t="n">
        <f aca="false">Assumptions!$B$38</f>
        <v>0.5</v>
      </c>
      <c r="E5" s="4" t="n">
        <f aca="false">DCF_Base!$B$43</f>
        <v>3.48677042710259</v>
      </c>
      <c r="F5" s="4" t="n">
        <f aca="false">DCF_Base!$B$47</f>
        <v>1.25184737110136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5.81225934879761</v>
      </c>
      <c r="C6" s="0" t="n">
        <f aca="false">B6/Assumptions!$B$2-1</f>
        <v>0.0803456038657262</v>
      </c>
      <c r="D6" s="4" t="n">
        <f aca="false">Assumptions!$B$52</f>
        <v>0.25</v>
      </c>
      <c r="E6" s="4" t="n">
        <f aca="false">DCF_Bull!$B$43</f>
        <v>5.94305470204319</v>
      </c>
      <c r="F6" s="4" t="n">
        <f aca="false">DCF_Bull!$B$47</f>
        <v>2.66327017620341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3.24654767451574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3.36038655604437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-0.657144924200903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1874.09810851633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1.13044275735793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5.46031350766762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4.87028784948547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3.86687633971044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3.37092648643281</v>
      </c>
      <c r="C18" s="3" t="n">
        <v>11.5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2.94268536076335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1.25184737110136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3.5</v>
      </c>
      <c r="C23" s="3" t="n">
        <v>4</v>
      </c>
      <c r="D23" s="3" t="n">
        <v>4.5</v>
      </c>
      <c r="E23" s="3" t="n">
        <v>5</v>
      </c>
      <c r="F23" s="3" t="n">
        <v>5.5</v>
      </c>
    </row>
    <row r="24" customFormat="false" ht="15" hidden="false" customHeight="false" outlineLevel="0" collapsed="false">
      <c r="A24" s="3" t="n">
        <v>9.5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4.94969208113109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5.15826896688206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5.15826896688206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5.15826896688206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5.15826896688206</v>
      </c>
    </row>
    <row r="25" customFormat="false" ht="15" hidden="false" customHeight="false" outlineLevel="0" collapsed="false">
      <c r="A25" s="3" t="n">
        <v>10.5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3.77942420704615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4.08777439153415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4.44751627343681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4.59564528363202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4.59564528363202</v>
      </c>
    </row>
    <row r="26" customFormat="false" ht="15" hidden="false" customHeight="false" outlineLevel="0" collapsed="false">
      <c r="A26" s="3" t="n">
        <v>11.5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2.90888148776858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3.12450248714522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3.37092648643281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3.65526187022618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3.98698648465178</v>
      </c>
    </row>
    <row r="27" customFormat="false" ht="15" hidden="false" customHeight="false" outlineLevel="0" collapsed="false">
      <c r="A27" s="3" t="n">
        <v>12.5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2.23779819719848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2.39385473738666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2.56941834509837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2.76839043383831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2.99578710668395</v>
      </c>
    </row>
    <row r="28" customFormat="false" ht="15" hidden="false" customHeight="false" outlineLevel="0" collapsed="false">
      <c r="A28" s="3" t="n">
        <v>13.5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1.70603789245715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1.82208377945199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1.9510236538907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2.09513292532221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2.25725585568265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2026-10-04T08:03:22Z</dcterms:created>
  <dc:creator>openpyxl</dc:creator>
  <dc:description/>
  <dc:language>en-NZ</dc:language>
  <cp:lastModifiedBy/>
  <dcterms:modified xsi:type="dcterms:W3CDTF">2026-10-04T08:03:22Z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