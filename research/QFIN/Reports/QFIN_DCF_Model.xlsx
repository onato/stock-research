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<sst xmlns="http://schemas.openxmlformats.org/spreadsheetml/2006/main" count="360" uniqueCount="167">
  <si>
    <t xml:space="preserve">Ticker</t>
  </si>
  <si>
    <t xml:space="preserve">QFIN</t>
  </si>
  <si>
    <t xml:space="preserve">Company</t>
  </si>
  <si>
    <t xml:space="preserve">Qfin Holdings, Inc. (formerly Qifu Technology / 360 DigiTech)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</si>
  <si>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</si>
  <si>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</si>
  <si>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</si>
  <si>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</si>
  <si>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2026-10-02T20:00:00Z regular close (Yahoo regularMarketTime 1790971200)</t>
  </si>
  <si>
    <t xml:space="preserve">Balance sheet date</t>
  </si>
  <si>
    <t xml:space="preserve">2026-06-30</t>
  </si>
  <si>
    <t xml:space="preserve">Model</t>
  </si>
  <si>
    <t xml:space="preserve">Lender FCFE at cost of equity (net income less capital retained for loan-book growth, excess capital in bridge; engine route)</t>
  </si>
  <si>
    <t xml:space="preserve">Currency (model)</t>
  </si>
  <si>
    <t xml:space="preserve">CNY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</si>
  <si>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</si>
  <si>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</si>
  <si>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</si>
  <si>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</si>
  <si>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</si>
  <si>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</si>
  <si>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</si>
  <si>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2026-10-04T00:12:54Z</t>
  </si>
  <si>
    <t xml:space="preserve">Drivers file</t>
  </si>
  <si>
    <t xml:space="preserve">QFIN_Drivers.json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</si>
  <si>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</si>
  <si>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</si>
  <si>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</si>
  <si>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credit platform with RMB36bn of loans on its own balance sheet as a lender: equity holders own net income after funding costs and provisions, less the capital the book needs to grow, discounted at an RMB cost of equity with a China-ADR structural premium. The price (~0.22x June-2026 book, ~2.5x FY2026E underlying earnings) implies the market expects most of the book to be lost, trapped or expropriated; the model's bear case -- a ~RMB2.6bn loss year, revenue down 36% over two years and half the released capital withheld -- still values the ADS above the quote. The gap is therefore a bet on PRC policy and ADS-holder access to capital, not on the operating model, and is sized accordingly in the weights and the 14% CoE.
key_risks_to_valuation: Regulatory: further APR cap reductions, restrictions on credit-assistance/guarantee (capital-heavy) arrangements, or platform market-share limits from PBOC/NFRA.; Funding: the late-June-2026 industry-wide liquidity shock; bank and trust partners can withdraw quickly, forcing a smaller book.; Credit: 90-day+ delinquency 3.50% at Mar-2026 and 2.83% at Jun-2026; Day-1 delinquency 5.6% -- a consumer-credit downturn hits on-balance loans directly.; Structure: Cayman issuer controlling PRC licences via VIE contracts; HFCAA/delisting risk on the ADS; repatriation of excess capital subject to PRC approval and 10% withholding.; Excess-capital estimate: the 22% risk-capital ratio and 40% haircut are judgments; every RMB1bn in the bridge is ~US$1.2/ADS.; Governance: CEO change on 20-Sep-2026 (founder-era CEO moved to international); management guidance only one quarter ahead.</t>
  </si>
  <si>
    <t xml:space="preserve">Data sources</t>
  </si>
  <si>
    <t xml:space="preserve">price: Yahoo Finance chart API at inputs.price_as_of; 52-week range 6.245-30.58; parity-checked against 3660.HK.
financials: QFIN_Metrics.csv (SEC XBRL, FY2016-FY2025; figures are RMB despite the USD label) and the 6-K earnings releases for Q4-2025, Q1-2026 and Q2-2026 (Extracted/QFIN_Quarterly_*.txt), including the 30-Jun-2026 balance sheet and Q3-2026 guidance.
qualitative: Q2-2026 release management commentary (industry contraction, June liquidity shock, prudent growth), 20-Sep-2026 management-change 6-K. No Analysis.json existed at build time.</t>
  </si>
  <si>
    <t xml:space="preserve">Scenario narrative: bear</t>
  </si>
  <si>
    <t xml:space="preserve">The liquidity shock becomes a credit event. Bank and trust partners cut funding, the 2025-26 vintages sour (90-day+ delinquency was already 3.5% at Mar-2026), and a further regulatory squeeze -- a lower APR cap, curbs on credit-assistance/guarantee arrangements, or caps on platform market share -- forces a disorderly shrink: revenue -25% and -15% in 2027-28, a pre-tax loss of ~25% of revenue in 2027 (~RMB2.6bn, ~7% of on-balance loans) and breakeven in 2028. The business survives as a smaller, 12%-margin facilitator growing with nominal consumer credit; half the capital released by runoff is held back by regulators. Not modelled: a 2020-P2P-style outright prohibition or VIE expropriation, which the 3pp ADR premium in the discount rate, not the flows, is charging.</t>
  </si>
  <si>
    <t xml:space="preserve">Scenario narrative: base</t>
  </si>
  <si>
    <t xml:space="preserve">The industry shakeout runs through 2027: loan balance keeps shrinking (-23% YoY at Jun-2026) and FY2027 revenue falls another 5% from the FY2026E RMB13.6bn run-rate, then the platform grows mid-single digits as weaker facilitators exit and QFIN's repeat-borrower franchise (89% of volume) and 168 funding partners take share. Margins rebuild from the Q3-2026 trough as provisions normalise and S&amp;M stays disciplined, but stop well short of the pre-cap 37%: the 24% all-in APR cap is permanent, take rates in capital-light/ICE are structurally lower and the tax holiday is gone. ROE on required capital settles ~18%, about 2.5x what the market price implies on book.</t>
  </si>
  <si>
    <t xml:space="preserve">Scenario narrative: bull</t>
  </si>
  <si>
    <t xml:space="preserve">The June-2026 liquidity shock proves to be the clearing event. Funding conditions normalise in 2027, the new risk-officer CEO (Yan Zheng, from 21-Sep-2026) tightens underwriting without losing volume, competitors exit, and overseas (Indonesia/Mexico-style) lending under Haisheng Wu adds a second leg. Revenue regains FY2025 levels by ~2029 and pre-tax margins reach 30% -- still below FY2024-25 because pricing is capped.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</si>
  <si>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</si>
  <si>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</si>
  <si>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</si>
  <si>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</si>
  <si>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</si>
  <si>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</si>
  <si>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</si>
  <si>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</si>
  <si>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</si>
  <si>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</si>
  <si>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</si>
  <si>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</si>
  <si>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</si>
  <si>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</si>
  <si>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</si>
  <si>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</si>
  <si>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</si>
  <si>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</si>
  <si>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</si>
  <si>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</si>
  <si>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</si>
  <si>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</si>
  <si>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</si>
  <si>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</si>
  <si>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</si>
  <si>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</si>
  <si>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</si>
  <si>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</si>
  <si>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</si>
  <si>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</si>
  <si>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</si>
  <si>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</si>
  <si>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</si>
  <si>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</si>
  <si>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</si>
  <si>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</si>
  <si>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</si>
  <si>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</si>
  <si>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</si>
  <si>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</si>
  <si>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</si>
  <si>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</si>
  <si>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</si>
  <si>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</si>
  <si>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</si>
  <si>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</si>
  <si>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(H1-2026 actual RMB7,476m revenue + H2 at Q3-2026 guidance run-rate ~RMB3.06bn/quarter)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</si>
  <si>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</si>
  <si>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</si>
  <si>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</si>
  <si>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</si>
  <si>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</si>
  <si>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</si>
  <si>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</si>
  <si>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</si>
  <si>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</si>
  <si>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</si>
  <si>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</si>
  <si>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</si>
  <si>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</si>
  <si>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</si>
  <si>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</si>
  <si>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</si>
  <si>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</si>
  <si>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</si>
  <si>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</si>
  <si>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</si>
  <si>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</si>
  <si>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</si>
  <si>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</si>
  <si>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</si>
  <si>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</si>
  <si>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</si>
  <si>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</si>
  <si>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</si>
  <si>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QFIN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</si>
  <si>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</si>
  <si>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</si>
  <si>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</si>
  <si>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</si>
  <si>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</si>
  <si>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</si>
  <si>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</si>
  <si>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</si>
  <si>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</si>
  <si>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</si>
  <si>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</si>
  <si>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</si>
  <si>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</si>
  <si>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</si>
  <si>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</si>
  <si>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</si>
  <si>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</si>
  <si>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</si>
  <si>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</si>
  <si>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</si>
  <si>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</si>
  <si>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</si>
  <si>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</si>
  <si>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</si>
  <si>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</si>
  <si>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</si>
  <si>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</si>
  <si>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</si>
  <si>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</si>
  <si>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</si>
  <si>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QFIN owner-FCF component DCF: base case (millions, CNY)</t>
  </si>
  <si>
    <t xml:space="preserve">QFIN owner-FCF component DCF: bull case (millions, CNY)</t>
  </si>
  <si>
    <t xml:space="preserve">QFIN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</si>
  <si>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</si>
  <si>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</si>
  <si>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</si>
  <si>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</si>
  <si>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</si>
  <si>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</si>
  <si>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</si>
  <si>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</si>
  <si>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</si>
  <si>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</si>
  <si>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</si>
  <si>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</si>
  <si>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</si>
  <si>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</si>
  <si>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</si>
  <si>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</si>
  <si>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</si>
  <si>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</si>
  <si>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14%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</si>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</sst>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6.46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O2" s="0" t="n">
        <v>-20.716</v>
      </c>
      <c r="S2" s="0" t="n">
        <v>6.173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B3" s="0" t="n">
        <v>788.144</v>
      </c>
      <c r="C3" s="0" t="n">
        <v>121.821</v>
      </c>
      <c r="F3" s="0" t="n">
        <v>210.599</v>
      </c>
      <c r="G3" s="0" t="n">
        <v>26.7208784181571</v>
      </c>
      <c r="H3" s="0" t="n">
        <v>211.905</v>
      </c>
      <c r="I3" s="0" t="n">
        <v>164.865</v>
      </c>
      <c r="J3" s="0" t="n">
        <v>20.9181317119714</v>
      </c>
      <c r="K3" s="0" t="n">
        <v>0.83</v>
      </c>
      <c r="L3" s="0" t="n">
        <v>-110.974</v>
      </c>
      <c r="M3" s="0" t="n">
        <v>7.109</v>
      </c>
      <c r="N3" s="0" t="n">
        <v>-118.083</v>
      </c>
      <c r="O3" s="0" t="n">
        <v>734.149</v>
      </c>
      <c r="P3" s="0" t="n">
        <v>3099.358</v>
      </c>
      <c r="Q3" s="0" t="n">
        <v>2365.209</v>
      </c>
      <c r="S3" s="0" t="n">
        <v>468.547</v>
      </c>
      <c r="T3" s="0" t="n">
        <v>198.347168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4447.018</v>
      </c>
      <c r="C4" s="0" t="n">
        <v>666.067</v>
      </c>
      <c r="F4" s="0" t="n">
        <v>1644.512</v>
      </c>
      <c r="G4" s="0" t="n">
        <v>36.9801066692332</v>
      </c>
      <c r="H4" s="0" t="n">
        <v>1648.272</v>
      </c>
      <c r="I4" s="0" t="n">
        <v>1193.311</v>
      </c>
      <c r="J4" s="0" t="n">
        <v>26.8339592958697</v>
      </c>
      <c r="K4" s="0" t="n">
        <v>-9.39</v>
      </c>
      <c r="L4" s="0" t="n">
        <v>285.116</v>
      </c>
      <c r="M4" s="0" t="n">
        <v>8.551</v>
      </c>
      <c r="N4" s="0" t="n">
        <v>276.565</v>
      </c>
      <c r="O4" s="0" t="n">
        <v>4440.196</v>
      </c>
      <c r="P4" s="0" t="n">
        <v>7349.735</v>
      </c>
      <c r="Q4" s="0" t="n">
        <v>2909.539</v>
      </c>
      <c r="S4" s="0" t="n">
        <v>1445.802</v>
      </c>
      <c r="T4" s="0" t="n">
        <v>287.652707</v>
      </c>
      <c r="U4" s="0" t="n">
        <v>607.381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9219.847</v>
      </c>
      <c r="C5" s="0" t="n">
        <v>1083.372</v>
      </c>
      <c r="F5" s="0" t="n">
        <v>2893.591</v>
      </c>
      <c r="G5" s="0" t="n">
        <v>31.3843711289352</v>
      </c>
      <c r="H5" s="0" t="n">
        <v>2901.233</v>
      </c>
      <c r="I5" s="0" t="n">
        <v>2501.304</v>
      </c>
      <c r="J5" s="0" t="n">
        <v>27.1295608267686</v>
      </c>
      <c r="K5" s="0" t="n">
        <v>8.66</v>
      </c>
      <c r="L5" s="0" t="n">
        <v>2973.075</v>
      </c>
      <c r="M5" s="0" t="n">
        <v>25.558</v>
      </c>
      <c r="N5" s="0" t="n">
        <v>2947.517</v>
      </c>
      <c r="O5" s="0" t="n">
        <v>7214.73</v>
      </c>
      <c r="P5" s="0" t="n">
        <v>20355.601</v>
      </c>
      <c r="Q5" s="0" t="n">
        <v>13140.871</v>
      </c>
      <c r="S5" s="0" t="n">
        <v>2108.123</v>
      </c>
      <c r="T5" s="0" t="n">
        <v>300.93847</v>
      </c>
      <c r="U5" s="0" t="n">
        <v>250.428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13563.954</v>
      </c>
      <c r="C6" s="0" t="n">
        <v>1600.564</v>
      </c>
      <c r="F6" s="0" t="n">
        <v>3790.158</v>
      </c>
      <c r="G6" s="0" t="n">
        <v>27.9428697561198</v>
      </c>
      <c r="H6" s="0" t="n">
        <v>3826.221</v>
      </c>
      <c r="I6" s="0" t="n">
        <v>3495.709</v>
      </c>
      <c r="J6" s="0" t="n">
        <v>25.7720499494469</v>
      </c>
      <c r="K6" s="0" t="n">
        <v>11.72</v>
      </c>
      <c r="L6" s="0" t="n">
        <v>5325.81</v>
      </c>
      <c r="M6" s="0" t="n">
        <v>15.272</v>
      </c>
      <c r="N6" s="0" t="n">
        <v>5310.538</v>
      </c>
      <c r="O6" s="0" t="n">
        <v>9481.09</v>
      </c>
      <c r="P6" s="0" t="n">
        <v>24387.305</v>
      </c>
      <c r="Q6" s="0" t="n">
        <v>14906.215</v>
      </c>
      <c r="S6" s="0" t="n">
        <v>4418.416</v>
      </c>
      <c r="T6" s="0" t="n">
        <v>306.665099</v>
      </c>
      <c r="U6" s="0" t="n">
        <v>301.161</v>
      </c>
      <c r="AA6" s="0" t="s">
        <v>18</v>
      </c>
      <c r="AB6" s="0" t="s">
        <v>16</v>
      </c>
    </row>
    <row r="7" customFormat="false" ht="15" hidden="false" customHeight="false" outlineLevel="0" collapsed="false">
      <c r="A7" s="0" t="s">
        <v>69</v>
      </c>
      <c r="B7" s="0" t="n">
        <v>16635.645</v>
      </c>
      <c r="C7" s="0" t="n">
        <v>2252.157</v>
      </c>
      <c r="F7" s="0" t="n">
        <v>6786.199</v>
      </c>
      <c r="G7" s="0" t="n">
        <v>40.7931222384224</v>
      </c>
      <c r="H7" s="0" t="n">
        <v>6852.172</v>
      </c>
      <c r="I7" s="0" t="n">
        <v>5764.513</v>
      </c>
      <c r="J7" s="0" t="n">
        <v>34.6515749765038</v>
      </c>
      <c r="K7" s="0" t="n">
        <v>18.82</v>
      </c>
      <c r="L7" s="0" t="n">
        <v>5789.7</v>
      </c>
      <c r="M7" s="0" t="n">
        <v>25.307</v>
      </c>
      <c r="N7" s="0" t="n">
        <v>5764.393</v>
      </c>
      <c r="O7" s="0" t="n">
        <v>15216.609</v>
      </c>
      <c r="P7" s="0" t="n">
        <v>33504.995</v>
      </c>
      <c r="Q7" s="0" t="n">
        <v>18288.386</v>
      </c>
      <c r="S7" s="0" t="n">
        <v>6116.36</v>
      </c>
      <c r="T7" s="0" t="n">
        <v>321.397753</v>
      </c>
      <c r="U7" s="0" t="n">
        <v>253.922</v>
      </c>
      <c r="AA7" s="0" t="s">
        <v>18</v>
      </c>
      <c r="AB7" s="0" t="s">
        <v>16</v>
      </c>
    </row>
    <row r="8" customFormat="false" ht="15" hidden="false" customHeight="false" outlineLevel="0" collapsed="false">
      <c r="A8" s="0" t="s">
        <v>70</v>
      </c>
      <c r="B8" s="0" t="n">
        <v>16553.93</v>
      </c>
      <c r="C8" s="0" t="n">
        <v>2373.458</v>
      </c>
      <c r="F8" s="0" t="n">
        <v>4472.184</v>
      </c>
      <c r="G8" s="0" t="n">
        <v>27.0158445758802</v>
      </c>
      <c r="H8" s="0" t="n">
        <v>4549.167</v>
      </c>
      <c r="I8" s="0" t="n">
        <v>4005.568</v>
      </c>
      <c r="J8" s="0" t="n">
        <v>24.1970819013974</v>
      </c>
      <c r="K8" s="0" t="n">
        <v>12.87</v>
      </c>
      <c r="L8" s="0" t="n">
        <v>5922.515</v>
      </c>
      <c r="M8" s="0" t="n">
        <v>26.973</v>
      </c>
      <c r="N8" s="0" t="n">
        <v>5895.542</v>
      </c>
      <c r="O8" s="0" t="n">
        <v>18931.297</v>
      </c>
      <c r="P8" s="0" t="n">
        <v>40343.17</v>
      </c>
      <c r="Q8" s="0" t="n">
        <v>21411.873</v>
      </c>
      <c r="R8" s="0" t="n">
        <v>17.854</v>
      </c>
      <c r="S8" s="0" t="n">
        <v>7165.584</v>
      </c>
      <c r="T8" s="0" t="n">
        <v>322.792063</v>
      </c>
      <c r="U8" s="0" t="n">
        <v>199.737</v>
      </c>
      <c r="AA8" s="0" t="s">
        <v>18</v>
      </c>
      <c r="AB8" s="0" t="s">
        <v>16</v>
      </c>
    </row>
    <row r="9" customFormat="false" ht="15" hidden="false" customHeight="false" outlineLevel="0" collapsed="false">
      <c r="A9" s="0" t="s">
        <v>71</v>
      </c>
      <c r="B9" s="0" t="n">
        <v>16290.027</v>
      </c>
      <c r="C9" s="0" t="n">
        <v>2659.912</v>
      </c>
      <c r="F9" s="0" t="n">
        <v>4856.964</v>
      </c>
      <c r="G9" s="0" t="n">
        <v>29.815567524842</v>
      </c>
      <c r="H9" s="0" t="n">
        <v>4930.726</v>
      </c>
      <c r="I9" s="0" t="n">
        <v>4268.577</v>
      </c>
      <c r="J9" s="0" t="n">
        <v>26.2036213936294</v>
      </c>
      <c r="K9" s="0" t="n">
        <v>13.36</v>
      </c>
      <c r="L9" s="0" t="n">
        <v>7118.35</v>
      </c>
      <c r="M9" s="0" t="n">
        <v>84.554</v>
      </c>
      <c r="N9" s="0" t="n">
        <v>7033.796</v>
      </c>
      <c r="O9" s="0" t="n">
        <v>22009.857</v>
      </c>
      <c r="P9" s="0" t="n">
        <v>45818.572</v>
      </c>
      <c r="Q9" s="0" t="n">
        <v>23808.715</v>
      </c>
      <c r="R9" s="0" t="n">
        <v>90.62</v>
      </c>
      <c r="S9" s="0" t="n">
        <v>4177.89</v>
      </c>
      <c r="T9" s="0" t="n">
        <v>328.508945</v>
      </c>
      <c r="U9" s="0" t="n">
        <v>185.604</v>
      </c>
      <c r="AA9" s="0" t="s">
        <v>18</v>
      </c>
      <c r="AB9" s="0" t="s">
        <v>16</v>
      </c>
    </row>
    <row r="10" customFormat="false" ht="15" hidden="false" customHeight="false" outlineLevel="0" collapsed="false">
      <c r="A10" s="0" t="s">
        <v>72</v>
      </c>
      <c r="B10" s="0" t="n">
        <v>17165.656</v>
      </c>
      <c r="C10" s="0" t="n">
        <v>2900.704</v>
      </c>
      <c r="F10" s="0" t="n">
        <v>7528.57</v>
      </c>
      <c r="G10" s="0" t="n">
        <v>43.8583296787492</v>
      </c>
      <c r="H10" s="0" t="n">
        <v>7603.464</v>
      </c>
      <c r="I10" s="0" t="n">
        <v>6248.116</v>
      </c>
      <c r="J10" s="0" t="n">
        <v>36.3989351761447</v>
      </c>
      <c r="K10" s="0" t="n">
        <v>21.02</v>
      </c>
      <c r="L10" s="0" t="n">
        <v>9343.311</v>
      </c>
      <c r="M10" s="0" t="n">
        <v>153.15</v>
      </c>
      <c r="N10" s="0" t="n">
        <v>9190.161</v>
      </c>
      <c r="O10" s="0" t="n">
        <v>24246.219</v>
      </c>
      <c r="P10" s="0" t="n">
        <v>48132.618</v>
      </c>
      <c r="Q10" s="0" t="n">
        <v>23886.399</v>
      </c>
      <c r="R10" s="0" t="n">
        <v>247.462</v>
      </c>
      <c r="S10" s="0" t="n">
        <v>4452.416</v>
      </c>
      <c r="T10" s="0" t="n">
        <v>303.449864</v>
      </c>
      <c r="U10" s="0" t="n">
        <v>167.613</v>
      </c>
      <c r="AA10" s="0" t="s">
        <v>18</v>
      </c>
      <c r="AB10" s="0" t="s">
        <v>16</v>
      </c>
    </row>
    <row r="11" customFormat="false" ht="15" hidden="false" customHeight="false" outlineLevel="0" collapsed="false">
      <c r="A11" s="0" t="s">
        <v>73</v>
      </c>
      <c r="B11" s="0" t="n">
        <v>19205.059</v>
      </c>
      <c r="C11" s="0" t="n">
        <v>3001.938</v>
      </c>
      <c r="F11" s="0" t="n">
        <v>6678.419</v>
      </c>
      <c r="G11" s="0" t="n">
        <v>34.7742696338501</v>
      </c>
      <c r="H11" s="0" t="n">
        <v>6746.54</v>
      </c>
      <c r="I11" s="0" t="n">
        <v>5975.643</v>
      </c>
      <c r="J11" s="0" t="n">
        <v>31.1149421618543</v>
      </c>
      <c r="K11" s="0" t="n">
        <v>22.48</v>
      </c>
      <c r="L11" s="0" t="n">
        <v>11083.748</v>
      </c>
      <c r="M11" s="0" t="n">
        <v>240.542</v>
      </c>
      <c r="N11" s="0" t="n">
        <v>10843.206</v>
      </c>
      <c r="O11" s="0" t="n">
        <v>24157.043</v>
      </c>
      <c r="P11" s="0" t="n">
        <v>56949.795</v>
      </c>
      <c r="Q11" s="0" t="n">
        <v>32792.752</v>
      </c>
      <c r="S11" s="0" t="n">
        <v>4696.817</v>
      </c>
      <c r="T11" s="0" t="n">
        <v>272.171878</v>
      </c>
      <c r="U11" s="0" t="n">
        <v>378.374</v>
      </c>
      <c r="AA11" s="0" t="s">
        <v>18</v>
      </c>
      <c r="AB1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6.46</v>
      </c>
    </row>
    <row r="3" customFormat="false" ht="15" hidden="false" customHeight="false" outlineLevel="0" collapsed="false">
      <c r="A3" s="0" t="s">
        <v>77</v>
      </c>
      <c r="B3" s="3" t="n">
        <v>123.61</v>
      </c>
    </row>
    <row r="4" customFormat="false" ht="15" hidden="false" customHeight="false" outlineLevel="0" collapsed="false">
      <c r="A4" s="0" t="s">
        <v>78</v>
      </c>
      <c r="B4" s="3" t="n">
        <v>0</v>
      </c>
    </row>
    <row r="5" customFormat="false" ht="15" hidden="false" customHeight="false" outlineLevel="0" collapsed="false">
      <c r="A5" s="0" t="s">
        <v>79</v>
      </c>
      <c r="B5" s="3" t="n">
        <v>5090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13600</v>
      </c>
    </row>
    <row r="8" customFormat="false" ht="15" hidden="false" customHeight="false" outlineLevel="0" collapsed="false">
      <c r="A8" s="0" t="s">
        <v>82</v>
      </c>
      <c r="B8" s="3" t="s">
        <v>83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0.149282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-25</v>
      </c>
      <c r="D13" s="3" t="n">
        <v>-15</v>
      </c>
      <c r="E13" s="3" t="n">
        <v>-5</v>
      </c>
      <c r="F13" s="3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1.5</v>
      </c>
    </row>
    <row r="14" customFormat="false" ht="15" hidden="false" customHeight="false" outlineLevel="0" collapsed="false">
      <c r="A14" s="0" t="s">
        <v>99</v>
      </c>
      <c r="C14" s="3" t="n">
        <v>-25</v>
      </c>
      <c r="D14" s="3" t="n">
        <v>-5</v>
      </c>
      <c r="E14" s="3" t="n">
        <v>8</v>
      </c>
      <c r="F14" s="3" t="n">
        <v>10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100</v>
      </c>
      <c r="C15" s="3" t="n">
        <v>1.5</v>
      </c>
      <c r="D15" s="3" t="n">
        <v>1.5</v>
      </c>
      <c r="E15" s="3" t="n">
        <v>1.5</v>
      </c>
      <c r="F15" s="3" t="n">
        <v>1.5</v>
      </c>
      <c r="G15" s="3" t="n">
        <v>1.5</v>
      </c>
      <c r="H15" s="3" t="n">
        <v>1.5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103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104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105</v>
      </c>
      <c r="B20" s="3" t="n">
        <v>14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6</v>
      </c>
    </row>
    <row r="23" customFormat="false" ht="15" hidden="false" customHeight="false" outlineLevel="0" collapsed="false">
      <c r="A23" s="0" t="s">
        <v>108</v>
      </c>
      <c r="B23" s="3" t="n">
        <v>-50</v>
      </c>
    </row>
    <row r="24" customFormat="false" ht="15" hidden="false" customHeight="false" outlineLevel="0" collapsed="false">
      <c r="A24" s="0" t="s">
        <v>109</v>
      </c>
      <c r="B24" s="3" t="n">
        <v>0.35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-5</v>
      </c>
      <c r="D27" s="3" t="n">
        <v>3</v>
      </c>
      <c r="E27" s="3" t="n">
        <v>6</v>
      </c>
      <c r="F27" s="3" t="n">
        <v>6</v>
      </c>
      <c r="G27" s="3" t="n">
        <v>5</v>
      </c>
      <c r="H27" s="3" t="n">
        <v>4</v>
      </c>
      <c r="I27" s="3" t="n">
        <v>4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17</v>
      </c>
      <c r="D28" s="3" t="n">
        <v>20</v>
      </c>
      <c r="E28" s="3" t="n">
        <v>23</v>
      </c>
      <c r="F28" s="3" t="n">
        <v>25</v>
      </c>
      <c r="G28" s="3" t="n">
        <v>26</v>
      </c>
      <c r="H28" s="3" t="n">
        <v>26</v>
      </c>
      <c r="I28" s="3" t="n">
        <v>26</v>
      </c>
      <c r="J28" s="3" t="n">
        <v>26</v>
      </c>
      <c r="K28" s="3" t="n">
        <v>26</v>
      </c>
      <c r="L28" s="3" t="n">
        <v>26</v>
      </c>
    </row>
    <row r="29" customFormat="false" ht="15" hidden="false" customHeight="false" outlineLevel="0" collapsed="false">
      <c r="A29" s="0" t="s">
        <v>100</v>
      </c>
      <c r="C29" s="3" t="n">
        <v>1.5</v>
      </c>
      <c r="D29" s="3" t="n">
        <v>1.5</v>
      </c>
      <c r="E29" s="3" t="n">
        <v>1.5</v>
      </c>
      <c r="F29" s="3" t="n">
        <v>1.5</v>
      </c>
      <c r="G29" s="3" t="n">
        <v>1.5</v>
      </c>
      <c r="H29" s="3" t="n">
        <v>1.5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103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104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105</v>
      </c>
      <c r="B34" s="3" t="n">
        <v>14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9</v>
      </c>
    </row>
    <row r="37" customFormat="false" ht="15" hidden="false" customHeight="false" outlineLevel="0" collapsed="false">
      <c r="A37" s="0" t="s">
        <v>108</v>
      </c>
      <c r="B37" s="3" t="n">
        <v>-90</v>
      </c>
    </row>
    <row r="38" customFormat="false" ht="15" hidden="false" customHeight="false" outlineLevel="0" collapsed="false">
      <c r="A38" s="0" t="s">
        <v>109</v>
      </c>
      <c r="B38" s="3" t="n">
        <v>0.45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5</v>
      </c>
      <c r="D41" s="3" t="n">
        <v>10</v>
      </c>
      <c r="E41" s="3" t="n">
        <v>10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22</v>
      </c>
      <c r="D42" s="3" t="n">
        <v>26</v>
      </c>
      <c r="E42" s="3" t="n">
        <v>28</v>
      </c>
      <c r="F42" s="3" t="n">
        <v>29</v>
      </c>
      <c r="G42" s="3" t="n">
        <v>30</v>
      </c>
      <c r="H42" s="3" t="n">
        <v>30</v>
      </c>
      <c r="I42" s="3" t="n">
        <v>30</v>
      </c>
      <c r="J42" s="3" t="n">
        <v>30</v>
      </c>
      <c r="K42" s="3" t="n">
        <v>30</v>
      </c>
      <c r="L42" s="3" t="n">
        <v>30</v>
      </c>
    </row>
    <row r="43" customFormat="false" ht="15" hidden="false" customHeight="false" outlineLevel="0" collapsed="false">
      <c r="A43" s="0" t="s">
        <v>100</v>
      </c>
      <c r="C43" s="3" t="n">
        <v>1.5</v>
      </c>
      <c r="D43" s="3" t="n">
        <v>1.5</v>
      </c>
      <c r="E43" s="3" t="n">
        <v>1.5</v>
      </c>
      <c r="F43" s="3" t="n">
        <v>1.5</v>
      </c>
      <c r="G43" s="3" t="n">
        <v>1.5</v>
      </c>
      <c r="H43" s="3" t="n">
        <v>1.5</v>
      </c>
      <c r="I43" s="3" t="n">
        <v>1.5</v>
      </c>
      <c r="J43" s="3" t="n">
        <v>1.5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103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104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105</v>
      </c>
      <c r="B48" s="3" t="n">
        <v>14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10</v>
      </c>
    </row>
    <row r="51" customFormat="false" ht="15" hidden="false" customHeight="false" outlineLevel="0" collapsed="false">
      <c r="A51" s="0" t="s">
        <v>108</v>
      </c>
      <c r="B51" s="3" t="n">
        <v>-90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-25</v>
      </c>
      <c r="D5" s="4" t="n">
        <f aca="false">Assumptions!D13</f>
        <v>-15</v>
      </c>
      <c r="E5" s="4" t="n">
        <f aca="false">Assumptions!E13</f>
        <v>-5</v>
      </c>
      <c r="F5" s="4" t="n">
        <f aca="false">Assumptions!F13</f>
        <v>0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13600</v>
      </c>
      <c r="C6" s="0" t="n">
        <f aca="false">B6*(1+C5/100)</f>
        <v>10200</v>
      </c>
      <c r="D6" s="0" t="n">
        <f aca="false">C6*(1+D5/100)</f>
        <v>8670</v>
      </c>
      <c r="E6" s="0" t="n">
        <f aca="false">D6*(1+E5/100)</f>
        <v>8236.5</v>
      </c>
      <c r="F6" s="0" t="n">
        <f aca="false">E6*(1+F5/100)</f>
        <v>8236.5</v>
      </c>
      <c r="G6" s="0" t="n">
        <f aca="false">F6*(1+G5/100)</f>
        <v>8401.23</v>
      </c>
      <c r="H6" s="0" t="n">
        <f aca="false">G6*(1+H5/100)</f>
        <v>8569.2546</v>
      </c>
      <c r="I6" s="0" t="n">
        <f aca="false">H6*(1+I5/100)</f>
        <v>8740.639692</v>
      </c>
      <c r="J6" s="0" t="n">
        <f aca="false">I6*(1+J5/100)</f>
        <v>8915.45248584</v>
      </c>
      <c r="K6" s="0" t="n">
        <f aca="false">J6*(1+K5/100)</f>
        <v>9093.7615355568</v>
      </c>
      <c r="L6" s="0" t="n">
        <f aca="false">K6*(1+L5/100)</f>
        <v>9230.16795859015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-25</v>
      </c>
      <c r="D7" s="4" t="n">
        <f aca="false">Assumptions!D14</f>
        <v>-5</v>
      </c>
      <c r="E7" s="4" t="n">
        <f aca="false">Assumptions!E14</f>
        <v>8</v>
      </c>
      <c r="F7" s="4" t="n">
        <f aca="false">Assumptions!F14</f>
        <v>10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-2550</v>
      </c>
      <c r="D8" s="0" t="n">
        <f aca="false">D6*D7/100</f>
        <v>-433.5</v>
      </c>
      <c r="E8" s="0" t="n">
        <f aca="false">E6*E7/100</f>
        <v>658.92</v>
      </c>
      <c r="F8" s="0" t="n">
        <f aca="false">F6*F7/100</f>
        <v>823.65</v>
      </c>
      <c r="G8" s="0" t="n">
        <f aca="false">G6*G7/100</f>
        <v>1008.1476</v>
      </c>
      <c r="H8" s="0" t="n">
        <f aca="false">H6*H7/100</f>
        <v>1028.310552</v>
      </c>
      <c r="I8" s="0" t="n">
        <f aca="false">I6*I7/100</f>
        <v>1048.87676304</v>
      </c>
      <c r="J8" s="0" t="n">
        <f aca="false">J6*J7/100</f>
        <v>1069.8542983008</v>
      </c>
      <c r="K8" s="0" t="n">
        <f aca="false">K6*K7/100</f>
        <v>1091.25138426682</v>
      </c>
      <c r="L8" s="0" t="n">
        <f aca="false">L6*L7/100</f>
        <v>1107.62015503082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1.5</v>
      </c>
      <c r="D9" s="4" t="n">
        <f aca="false">Assumptions!D15</f>
        <v>1.5</v>
      </c>
      <c r="E9" s="4" t="n">
        <f aca="false">Assumptions!E15</f>
        <v>1.5</v>
      </c>
      <c r="F9" s="4" t="n">
        <f aca="false">Assumptions!F15</f>
        <v>1.5</v>
      </c>
      <c r="G9" s="4" t="n">
        <f aca="false">Assumptions!G15</f>
        <v>1.5</v>
      </c>
      <c r="H9" s="4" t="n">
        <f aca="false">Assumptions!H15</f>
        <v>1.5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-153</v>
      </c>
      <c r="D10" s="0" t="n">
        <f aca="false">-D6*D9/100</f>
        <v>-130.05</v>
      </c>
      <c r="E10" s="0" t="n">
        <f aca="false">-E6*E9/100</f>
        <v>-123.5475</v>
      </c>
      <c r="F10" s="0" t="n">
        <f aca="false">-F6*F9/100</f>
        <v>-123.5475</v>
      </c>
      <c r="G10" s="0" t="n">
        <f aca="false">-G6*G9/100</f>
        <v>-126.01845</v>
      </c>
      <c r="H10" s="0" t="n">
        <f aca="false">-H6*H9/100</f>
        <v>-128.538819</v>
      </c>
      <c r="I10" s="0" t="n">
        <f aca="false">-I6*I9/100</f>
        <v>-131.10959538</v>
      </c>
      <c r="J10" s="0" t="n">
        <f aca="false">-J6*J9/100</f>
        <v>-133.7317872876</v>
      </c>
      <c r="K10" s="0" t="n">
        <f aca="false">-K6*K9/100</f>
        <v>-136.406423033352</v>
      </c>
      <c r="L10" s="0" t="n">
        <f aca="false">-L6*L9/100</f>
        <v>-138.452519378852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-2703</v>
      </c>
      <c r="D11" s="0" t="n">
        <f aca="false">D8+D10+D24</f>
        <v>-563.55</v>
      </c>
      <c r="E11" s="0" t="n">
        <f aca="false">E8+E10+E24</f>
        <v>535.3725</v>
      </c>
      <c r="F11" s="0" t="n">
        <f aca="false">F8+F10+F24</f>
        <v>700.1025</v>
      </c>
      <c r="G11" s="0" t="n">
        <f aca="false">G8+G10+G24</f>
        <v>882.12915</v>
      </c>
      <c r="H11" s="0" t="n">
        <f aca="false">H8+H10+H24</f>
        <v>899.771733</v>
      </c>
      <c r="I11" s="0" t="n">
        <f aca="false">I8+I10+I24</f>
        <v>917.76716766</v>
      </c>
      <c r="J11" s="0" t="n">
        <f aca="false">J8+J10+J24</f>
        <v>936.1225110132</v>
      </c>
      <c r="K11" s="0" t="n">
        <f aca="false">K8+K10+K24</f>
        <v>954.844961233464</v>
      </c>
      <c r="L11" s="0" t="n">
        <f aca="false">L8+L10+L24</f>
        <v>969.167635651966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-2703</v>
      </c>
      <c r="D13" s="0" t="n">
        <f aca="false">D11+D12</f>
        <v>-563.55</v>
      </c>
      <c r="E13" s="0" t="n">
        <f aca="false">E11+E12</f>
        <v>535.3725</v>
      </c>
      <c r="F13" s="0" t="n">
        <f aca="false">F11+F12</f>
        <v>700.1025</v>
      </c>
      <c r="G13" s="0" t="n">
        <f aca="false">G11+G12</f>
        <v>882.12915</v>
      </c>
      <c r="H13" s="0" t="n">
        <f aca="false">H11+H12</f>
        <v>899.771733</v>
      </c>
      <c r="I13" s="0" t="n">
        <f aca="false">I11+I12</f>
        <v>917.76716766</v>
      </c>
      <c r="J13" s="0" t="n">
        <f aca="false">J11+J12</f>
        <v>936.1225110132</v>
      </c>
      <c r="K13" s="0" t="n">
        <f aca="false">K11+K12</f>
        <v>954.844961233464</v>
      </c>
      <c r="L13" s="0" t="n">
        <f aca="false">L11+L12</f>
        <v>969.167635651966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-2703</v>
      </c>
      <c r="D15" s="0" t="n">
        <f aca="false">D13-MAX(0,D13)*D14/100</f>
        <v>-563.55</v>
      </c>
      <c r="E15" s="0" t="n">
        <f aca="false">E13-MAX(0,E13)*E14/100</f>
        <v>396.17565</v>
      </c>
      <c r="F15" s="0" t="n">
        <f aca="false">F13-MAX(0,F13)*F14/100</f>
        <v>518.07585</v>
      </c>
      <c r="G15" s="0" t="n">
        <f aca="false">G13-MAX(0,G13)*G14/100</f>
        <v>652.775571</v>
      </c>
      <c r="H15" s="0" t="n">
        <f aca="false">H13-MAX(0,H13)*H14/100</f>
        <v>665.83108242</v>
      </c>
      <c r="I15" s="0" t="n">
        <f aca="false">I13-MAX(0,I13)*I14/100</f>
        <v>679.1477040684</v>
      </c>
      <c r="J15" s="0" t="n">
        <f aca="false">J13-MAX(0,J13)*J14/100</f>
        <v>692.730658149768</v>
      </c>
      <c r="K15" s="0" t="n">
        <f aca="false">K13-MAX(0,K13)*K14/100</f>
        <v>706.585271312763</v>
      </c>
      <c r="L15" s="0" t="n">
        <f aca="false">L13-MAX(0,L13)*L14/100</f>
        <v>717.184050382455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1700</v>
      </c>
      <c r="D18" s="4" t="n">
        <f aca="false">(D6-C6)*Assumptions!$B$23/100</f>
        <v>765</v>
      </c>
      <c r="E18" s="4" t="n">
        <f aca="false">(E6-D6)*Assumptions!$B$23/100</f>
        <v>216.75</v>
      </c>
      <c r="F18" s="4" t="n">
        <f aca="false">(F6-E6)*Assumptions!$B$23/100</f>
        <v>-0</v>
      </c>
      <c r="G18" s="4" t="n">
        <f aca="false">(G6-F6)*Assumptions!$B$23/100</f>
        <v>-82.3649999999998</v>
      </c>
      <c r="H18" s="4" t="n">
        <f aca="false">(H6-G6)*Assumptions!$B$23/100</f>
        <v>-84.0123000000003</v>
      </c>
      <c r="I18" s="4" t="n">
        <f aca="false">(I6-H6)*Assumptions!$B$23/100</f>
        <v>-85.6925460000002</v>
      </c>
      <c r="J18" s="4" t="n">
        <f aca="false">(J6-I6)*Assumptions!$B$23/100</f>
        <v>-87.4063969199997</v>
      </c>
      <c r="K18" s="4" t="n">
        <f aca="false">(K6-J6)*Assumptions!$B$23/100</f>
        <v>-89.1545248583998</v>
      </c>
      <c r="L18" s="4" t="n">
        <f aca="false">(L6-K6)*Assumptions!$B$23/100</f>
        <v>-68.2032115166758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-1003</v>
      </c>
      <c r="D19" s="0" t="n">
        <f aca="false">D15+D16+D17+D18</f>
        <v>201.45</v>
      </c>
      <c r="E19" s="0" t="n">
        <f aca="false">E15+E16+E17+E18</f>
        <v>612.92565</v>
      </c>
      <c r="F19" s="0" t="n">
        <f aca="false">F15+F16+F17+F18</f>
        <v>518.07585</v>
      </c>
      <c r="G19" s="0" t="n">
        <f aca="false">G15+G16+G17+G18</f>
        <v>570.410571</v>
      </c>
      <c r="H19" s="0" t="n">
        <f aca="false">H15+H16+H17+H18</f>
        <v>581.81878242</v>
      </c>
      <c r="I19" s="0" t="n">
        <f aca="false">I15+I16+I17+I18</f>
        <v>593.4551580684</v>
      </c>
      <c r="J19" s="0" t="n">
        <f aca="false">J15+J16+J17+J18</f>
        <v>605.324261229768</v>
      </c>
      <c r="K19" s="0" t="n">
        <f aca="false">K15+K16+K17+K18</f>
        <v>617.430746454364</v>
      </c>
      <c r="L19" s="0" t="n">
        <f aca="false">L15+L16+L17+L18</f>
        <v>648.980838865779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0.87719298245614</v>
      </c>
      <c r="D20" s="0" t="n">
        <f aca="false">1/(1+$B$27/100)^D4</f>
        <v>0.769467528470298</v>
      </c>
      <c r="E20" s="0" t="n">
        <f aca="false">1/(1+$B$27/100)^E4</f>
        <v>0.674971516202016</v>
      </c>
      <c r="F20" s="0" t="n">
        <f aca="false">1/(1+$B$27/100)^F4</f>
        <v>0.592080277370189</v>
      </c>
      <c r="G20" s="0" t="n">
        <f aca="false">1/(1+$B$27/100)^G4</f>
        <v>0.519368664359815</v>
      </c>
      <c r="H20" s="0" t="n">
        <f aca="false">1/(1+$B$27/100)^H4</f>
        <v>0.455586547684048</v>
      </c>
      <c r="I20" s="0" t="n">
        <f aca="false">1/(1+$B$27/100)^I4</f>
        <v>0.399637322529867</v>
      </c>
      <c r="J20" s="0" t="n">
        <f aca="false">1/(1+$B$27/100)^J4</f>
        <v>0.350559054850761</v>
      </c>
      <c r="K20" s="0" t="n">
        <f aca="false">1/(1+$B$27/100)^K4</f>
        <v>0.307507942851544</v>
      </c>
      <c r="L20" s="0" t="n">
        <f aca="false">1/(1+$B$27/100)^L4</f>
        <v>0.269743809518898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-879.824561403509</v>
      </c>
      <c r="D21" s="0" t="n">
        <f aca="false">D19*D20</f>
        <v>155.009233610342</v>
      </c>
      <c r="E21" s="0" t="n">
        <f aca="false">E19*E20</f>
        <v>413.707355299606</v>
      </c>
      <c r="F21" s="0" t="n">
        <f aca="false">F19*F20</f>
        <v>306.742492966797</v>
      </c>
      <c r="G21" s="0" t="n">
        <f aca="false">G19*G20</f>
        <v>296.25337639699</v>
      </c>
      <c r="H21" s="0" t="n">
        <f aca="false">H19*H20</f>
        <v>265.068810460464</v>
      </c>
      <c r="I21" s="0" t="n">
        <f aca="false">I19*I20</f>
        <v>237.166830411994</v>
      </c>
      <c r="J21" s="0" t="n">
        <f aca="false">J19*J20</f>
        <v>212.201900894942</v>
      </c>
      <c r="K21" s="0" t="n">
        <f aca="false">K19*K20</f>
        <v>189.864858695475</v>
      </c>
      <c r="L21" s="0" t="n">
        <f aca="false">L19*L20</f>
        <v>175.058563780426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14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1371.24886111353</v>
      </c>
    </row>
    <row r="31" customFormat="false" ht="15" hidden="false" customHeight="false" outlineLevel="0" collapsed="false">
      <c r="A31" s="0" t="s">
        <v>129</v>
      </c>
      <c r="B31" s="0" t="n">
        <f aca="false">L19</f>
        <v>648.980838865779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5269.72441159012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3893.88503319467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3893.88503319467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1050.35138268255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2421.60024379608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7511.60024379608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9.0716504133514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0.404280249744798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693.401395876649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303.255285319695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10.2752981981775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3893.88503319467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8.84499798105308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-5</v>
      </c>
      <c r="D5" s="4" t="n">
        <f aca="false">Assumptions!D27</f>
        <v>3</v>
      </c>
      <c r="E5" s="4" t="n">
        <f aca="false">Assumptions!E27</f>
        <v>6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13600</v>
      </c>
      <c r="C6" s="0" t="n">
        <f aca="false">B6*(1+C5/100)</f>
        <v>12920</v>
      </c>
      <c r="D6" s="0" t="n">
        <f aca="false">C6*(1+D5/100)</f>
        <v>13307.6</v>
      </c>
      <c r="E6" s="0" t="n">
        <f aca="false">D6*(1+E5/100)</f>
        <v>14106.056</v>
      </c>
      <c r="F6" s="0" t="n">
        <f aca="false">E6*(1+F5/100)</f>
        <v>14952.41936</v>
      </c>
      <c r="G6" s="0" t="n">
        <f aca="false">F6*(1+G5/100)</f>
        <v>15700.040328</v>
      </c>
      <c r="H6" s="0" t="n">
        <f aca="false">G6*(1+H5/100)</f>
        <v>16328.04194112</v>
      </c>
      <c r="I6" s="0" t="n">
        <f aca="false">H6*(1+I5/100)</f>
        <v>16981.1636187648</v>
      </c>
      <c r="J6" s="0" t="n">
        <f aca="false">I6*(1+J5/100)</f>
        <v>17490.5985273277</v>
      </c>
      <c r="K6" s="0" t="n">
        <f aca="false">J6*(1+K5/100)</f>
        <v>18015.3164831476</v>
      </c>
      <c r="L6" s="0" t="n">
        <f aca="false">K6*(1+L5/100)</f>
        <v>18465.6993952263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17</v>
      </c>
      <c r="D7" s="4" t="n">
        <f aca="false">Assumptions!D28</f>
        <v>20</v>
      </c>
      <c r="E7" s="4" t="n">
        <f aca="false">Assumptions!E28</f>
        <v>23</v>
      </c>
      <c r="F7" s="4" t="n">
        <f aca="false">Assumptions!F28</f>
        <v>25</v>
      </c>
      <c r="G7" s="4" t="n">
        <f aca="false">Assumptions!G28</f>
        <v>26</v>
      </c>
      <c r="H7" s="4" t="n">
        <f aca="false">Assumptions!H28</f>
        <v>26</v>
      </c>
      <c r="I7" s="4" t="n">
        <f aca="false">Assumptions!I28</f>
        <v>26</v>
      </c>
      <c r="J7" s="4" t="n">
        <f aca="false">Assumptions!J28</f>
        <v>26</v>
      </c>
      <c r="K7" s="4" t="n">
        <f aca="false">Assumptions!K28</f>
        <v>26</v>
      </c>
      <c r="L7" s="4" t="n">
        <f aca="false">Assumptions!L28</f>
        <v>26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2196.4</v>
      </c>
      <c r="D8" s="0" t="n">
        <f aca="false">D6*D7/100</f>
        <v>2661.52</v>
      </c>
      <c r="E8" s="0" t="n">
        <f aca="false">E6*E7/100</f>
        <v>3244.39288</v>
      </c>
      <c r="F8" s="0" t="n">
        <f aca="false">F6*F7/100</f>
        <v>3738.10484</v>
      </c>
      <c r="G8" s="0" t="n">
        <f aca="false">G6*G7/100</f>
        <v>4082.01048528</v>
      </c>
      <c r="H8" s="0" t="n">
        <f aca="false">H6*H7/100</f>
        <v>4245.2909046912</v>
      </c>
      <c r="I8" s="0" t="n">
        <f aca="false">I6*I7/100</f>
        <v>4415.10254087885</v>
      </c>
      <c r="J8" s="0" t="n">
        <f aca="false">J6*J7/100</f>
        <v>4547.55561710522</v>
      </c>
      <c r="K8" s="0" t="n">
        <f aca="false">K6*K7/100</f>
        <v>4683.98228561837</v>
      </c>
      <c r="L8" s="0" t="n">
        <f aca="false">L6*L7/100</f>
        <v>4801.08184275883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1.5</v>
      </c>
      <c r="D9" s="4" t="n">
        <f aca="false">Assumptions!D29</f>
        <v>1.5</v>
      </c>
      <c r="E9" s="4" t="n">
        <f aca="false">Assumptions!E29</f>
        <v>1.5</v>
      </c>
      <c r="F9" s="4" t="n">
        <f aca="false">Assumptions!F29</f>
        <v>1.5</v>
      </c>
      <c r="G9" s="4" t="n">
        <f aca="false">Assumptions!G29</f>
        <v>1.5</v>
      </c>
      <c r="H9" s="4" t="n">
        <f aca="false">Assumptions!H29</f>
        <v>1.5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-193.8</v>
      </c>
      <c r="D10" s="0" t="n">
        <f aca="false">-D6*D9/100</f>
        <v>-199.614</v>
      </c>
      <c r="E10" s="0" t="n">
        <f aca="false">-E6*E9/100</f>
        <v>-211.59084</v>
      </c>
      <c r="F10" s="0" t="n">
        <f aca="false">-F6*F9/100</f>
        <v>-224.2862904</v>
      </c>
      <c r="G10" s="0" t="n">
        <f aca="false">-G6*G9/100</f>
        <v>-235.50060492</v>
      </c>
      <c r="H10" s="0" t="n">
        <f aca="false">-H6*H9/100</f>
        <v>-244.9206291168</v>
      </c>
      <c r="I10" s="0" t="n">
        <f aca="false">-I6*I9/100</f>
        <v>-254.717454281472</v>
      </c>
      <c r="J10" s="0" t="n">
        <f aca="false">-J6*J9/100</f>
        <v>-262.358977909916</v>
      </c>
      <c r="K10" s="0" t="n">
        <f aca="false">-K6*K9/100</f>
        <v>-270.229747247214</v>
      </c>
      <c r="L10" s="0" t="n">
        <f aca="false">-L6*L9/100</f>
        <v>-276.985490928394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2002.6</v>
      </c>
      <c r="D11" s="0" t="n">
        <f aca="false">D8+D10+D24</f>
        <v>2461.906</v>
      </c>
      <c r="E11" s="0" t="n">
        <f aca="false">E8+E10+E24</f>
        <v>3032.80204</v>
      </c>
      <c r="F11" s="0" t="n">
        <f aca="false">F8+F10+F24</f>
        <v>3513.8185496</v>
      </c>
      <c r="G11" s="0" t="n">
        <f aca="false">G8+G10+G24</f>
        <v>3846.50988036</v>
      </c>
      <c r="H11" s="0" t="n">
        <f aca="false">H8+H10+H24</f>
        <v>4000.3702755744</v>
      </c>
      <c r="I11" s="0" t="n">
        <f aca="false">I8+I10+I24</f>
        <v>4160.38508659738</v>
      </c>
      <c r="J11" s="0" t="n">
        <f aca="false">J8+J10+J24</f>
        <v>4285.1966391953</v>
      </c>
      <c r="K11" s="0" t="n">
        <f aca="false">K8+K10+K24</f>
        <v>4413.75253837116</v>
      </c>
      <c r="L11" s="0" t="n">
        <f aca="false">L8+L10+L24</f>
        <v>4524.09635183044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2002.6</v>
      </c>
      <c r="D13" s="0" t="n">
        <f aca="false">D11+D12</f>
        <v>2461.906</v>
      </c>
      <c r="E13" s="0" t="n">
        <f aca="false">E11+E12</f>
        <v>3032.80204</v>
      </c>
      <c r="F13" s="0" t="n">
        <f aca="false">F11+F12</f>
        <v>3513.8185496</v>
      </c>
      <c r="G13" s="0" t="n">
        <f aca="false">G11+G12</f>
        <v>3846.50988036</v>
      </c>
      <c r="H13" s="0" t="n">
        <f aca="false">H11+H12</f>
        <v>4000.3702755744</v>
      </c>
      <c r="I13" s="0" t="n">
        <f aca="false">I11+I12</f>
        <v>4160.38508659738</v>
      </c>
      <c r="J13" s="0" t="n">
        <f aca="false">J11+J12</f>
        <v>4285.1966391953</v>
      </c>
      <c r="K13" s="0" t="n">
        <f aca="false">K11+K12</f>
        <v>4413.75253837116</v>
      </c>
      <c r="L13" s="0" t="n">
        <f aca="false">L11+L12</f>
        <v>4524.09635183044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1481.924</v>
      </c>
      <c r="D15" s="0" t="n">
        <f aca="false">D13-MAX(0,D13)*D14/100</f>
        <v>1821.81044</v>
      </c>
      <c r="E15" s="0" t="n">
        <f aca="false">E13-MAX(0,E13)*E14/100</f>
        <v>2244.2735096</v>
      </c>
      <c r="F15" s="0" t="n">
        <f aca="false">F13-MAX(0,F13)*F14/100</f>
        <v>2600.225726704</v>
      </c>
      <c r="G15" s="0" t="n">
        <f aca="false">G13-MAX(0,G13)*G14/100</f>
        <v>2846.4173114664</v>
      </c>
      <c r="H15" s="0" t="n">
        <f aca="false">H13-MAX(0,H13)*H14/100</f>
        <v>2960.27400392506</v>
      </c>
      <c r="I15" s="0" t="n">
        <f aca="false">I13-MAX(0,I13)*I14/100</f>
        <v>3078.68496408206</v>
      </c>
      <c r="J15" s="0" t="n">
        <f aca="false">J13-MAX(0,J13)*J14/100</f>
        <v>3171.04551300452</v>
      </c>
      <c r="K15" s="0" t="n">
        <f aca="false">K13-MAX(0,K13)*K14/100</f>
        <v>3266.17687839466</v>
      </c>
      <c r="L15" s="0" t="n">
        <f aca="false">L13-MAX(0,L13)*L14/100</f>
        <v>3347.83130035452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612</v>
      </c>
      <c r="D18" s="4" t="n">
        <f aca="false">(D6-C6)*Assumptions!$B$37/100</f>
        <v>-348.84</v>
      </c>
      <c r="E18" s="4" t="n">
        <f aca="false">(E6-D6)*Assumptions!$B$37/100</f>
        <v>-718.6104</v>
      </c>
      <c r="F18" s="4" t="n">
        <f aca="false">(F6-E6)*Assumptions!$B$37/100</f>
        <v>-761.727024000001</v>
      </c>
      <c r="G18" s="4" t="n">
        <f aca="false">(G6-F6)*Assumptions!$B$37/100</f>
        <v>-672.858871200001</v>
      </c>
      <c r="H18" s="4" t="n">
        <f aca="false">(H6-G6)*Assumptions!$B$37/100</f>
        <v>-565.201451808001</v>
      </c>
      <c r="I18" s="4" t="n">
        <f aca="false">(I6-H6)*Assumptions!$B$37/100</f>
        <v>-587.80950988032</v>
      </c>
      <c r="J18" s="4" t="n">
        <f aca="false">(J6-I6)*Assumptions!$B$37/100</f>
        <v>-458.491417706649</v>
      </c>
      <c r="K18" s="4" t="n">
        <f aca="false">(K6-J6)*Assumptions!$B$37/100</f>
        <v>-472.24616023785</v>
      </c>
      <c r="L18" s="4" t="n">
        <f aca="false">(L6-K6)*Assumptions!$B$37/100</f>
        <v>-405.344620870818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2093.924</v>
      </c>
      <c r="D19" s="0" t="n">
        <f aca="false">D15+D16+D17+D18</f>
        <v>1472.97044</v>
      </c>
      <c r="E19" s="0" t="n">
        <f aca="false">E15+E16+E17+E18</f>
        <v>1525.6631096</v>
      </c>
      <c r="F19" s="0" t="n">
        <f aca="false">F15+F16+F17+F18</f>
        <v>1838.498702704</v>
      </c>
      <c r="G19" s="0" t="n">
        <f aca="false">G15+G16+G17+G18</f>
        <v>2173.5584402664</v>
      </c>
      <c r="H19" s="0" t="n">
        <f aca="false">H15+H16+H17+H18</f>
        <v>2395.07255211706</v>
      </c>
      <c r="I19" s="0" t="n">
        <f aca="false">I15+I16+I17+I18</f>
        <v>2490.87545420174</v>
      </c>
      <c r="J19" s="0" t="n">
        <f aca="false">J15+J16+J17+J18</f>
        <v>2712.55409529787</v>
      </c>
      <c r="K19" s="0" t="n">
        <f aca="false">K15+K16+K17+K18</f>
        <v>2793.93071815681</v>
      </c>
      <c r="L19" s="0" t="n">
        <f aca="false">L15+L16+L17+L18</f>
        <v>2942.4866794837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0.87719298245614</v>
      </c>
      <c r="D20" s="0" t="n">
        <f aca="false">1/(1+$B$27/100)^D4</f>
        <v>0.769467528470298</v>
      </c>
      <c r="E20" s="0" t="n">
        <f aca="false">1/(1+$B$27/100)^E4</f>
        <v>0.674971516202016</v>
      </c>
      <c r="F20" s="0" t="n">
        <f aca="false">1/(1+$B$27/100)^F4</f>
        <v>0.592080277370189</v>
      </c>
      <c r="G20" s="0" t="n">
        <f aca="false">1/(1+$B$27/100)^G4</f>
        <v>0.519368664359815</v>
      </c>
      <c r="H20" s="0" t="n">
        <f aca="false">1/(1+$B$27/100)^H4</f>
        <v>0.455586547684048</v>
      </c>
      <c r="I20" s="0" t="n">
        <f aca="false">1/(1+$B$27/100)^I4</f>
        <v>0.399637322529867</v>
      </c>
      <c r="J20" s="0" t="n">
        <f aca="false">1/(1+$B$27/100)^J4</f>
        <v>0.350559054850761</v>
      </c>
      <c r="K20" s="0" t="n">
        <f aca="false">1/(1+$B$27/100)^K4</f>
        <v>0.307507942851544</v>
      </c>
      <c r="L20" s="0" t="n">
        <f aca="false">1/(1+$B$27/100)^L4</f>
        <v>0.269743809518898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1836.77543859649</v>
      </c>
      <c r="D21" s="0" t="n">
        <f aca="false">D19*D20</f>
        <v>1133.40292397661</v>
      </c>
      <c r="E21" s="0" t="n">
        <f aca="false">E19*E20</f>
        <v>1029.77914230019</v>
      </c>
      <c r="F21" s="0" t="n">
        <f aca="false">F19*F20</f>
        <v>1088.53882184172</v>
      </c>
      <c r="G21" s="0" t="n">
        <f aca="false">G19*G20</f>
        <v>1128.87814402916</v>
      </c>
      <c r="H21" s="0" t="n">
        <f aca="false">H19*H20</f>
        <v>1091.16283547183</v>
      </c>
      <c r="I21" s="0" t="n">
        <f aca="false">I19*I20</f>
        <v>995.446797272549</v>
      </c>
      <c r="J21" s="0" t="n">
        <f aca="false">J19*J20</f>
        <v>950.910399879182</v>
      </c>
      <c r="K21" s="0" t="n">
        <f aca="false">K19*K20</f>
        <v>859.155887610137</v>
      </c>
      <c r="L21" s="0" t="n">
        <f aca="false">L19*L20</f>
        <v>793.717566382548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14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9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10907.7679573604</v>
      </c>
    </row>
    <row r="31" customFormat="false" ht="15" hidden="false" customHeight="false" outlineLevel="0" collapsed="false">
      <c r="A31" s="0" t="s">
        <v>129</v>
      </c>
      <c r="B31" s="0" t="n">
        <f aca="false">L19</f>
        <v>2942.4866794837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26226.5117084417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26482.3801153533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26226.5117084417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7074.43917862706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17982.2071359875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23072.2071359875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27.8639691422578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3.31330791675817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1184.683780793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665.939126453039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30.0989395236145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24128.3907717664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25.969902390159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5</v>
      </c>
      <c r="D5" s="4" t="n">
        <f aca="false">Assumptions!D41</f>
        <v>10</v>
      </c>
      <c r="E5" s="4" t="n">
        <f aca="false">Assumptions!E41</f>
        <v>10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13600</v>
      </c>
      <c r="C6" s="0" t="n">
        <f aca="false">B6*(1+C5/100)</f>
        <v>14280</v>
      </c>
      <c r="D6" s="0" t="n">
        <f aca="false">C6*(1+D5/100)</f>
        <v>15708</v>
      </c>
      <c r="E6" s="0" t="n">
        <f aca="false">D6*(1+E5/100)</f>
        <v>17278.8</v>
      </c>
      <c r="F6" s="0" t="n">
        <f aca="false">E6*(1+F5/100)</f>
        <v>18661.104</v>
      </c>
      <c r="G6" s="0" t="n">
        <f aca="false">F6*(1+G5/100)</f>
        <v>19967.38128</v>
      </c>
      <c r="H6" s="0" t="n">
        <f aca="false">G6*(1+H5/100)</f>
        <v>21165.4241568</v>
      </c>
      <c r="I6" s="0" t="n">
        <f aca="false">H6*(1+I5/100)</f>
        <v>22223.69536464</v>
      </c>
      <c r="J6" s="0" t="n">
        <f aca="false">I6*(1+J5/100)</f>
        <v>23112.6431792256</v>
      </c>
      <c r="K6" s="0" t="n">
        <f aca="false">J6*(1+K5/100)</f>
        <v>23806.0224746024</v>
      </c>
      <c r="L6" s="0" t="n">
        <f aca="false">K6*(1+L5/100)</f>
        <v>24520.2031488405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22</v>
      </c>
      <c r="D7" s="4" t="n">
        <f aca="false">Assumptions!D42</f>
        <v>26</v>
      </c>
      <c r="E7" s="4" t="n">
        <f aca="false">Assumptions!E42</f>
        <v>28</v>
      </c>
      <c r="F7" s="4" t="n">
        <f aca="false">Assumptions!F42</f>
        <v>29</v>
      </c>
      <c r="G7" s="4" t="n">
        <f aca="false">Assumptions!G42</f>
        <v>30</v>
      </c>
      <c r="H7" s="4" t="n">
        <f aca="false">Assumptions!H42</f>
        <v>30</v>
      </c>
      <c r="I7" s="4" t="n">
        <f aca="false">Assumptions!I42</f>
        <v>30</v>
      </c>
      <c r="J7" s="4" t="n">
        <f aca="false">Assumptions!J42</f>
        <v>30</v>
      </c>
      <c r="K7" s="4" t="n">
        <f aca="false">Assumptions!K42</f>
        <v>30</v>
      </c>
      <c r="L7" s="4" t="n">
        <f aca="false">Assumptions!L42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3141.6</v>
      </c>
      <c r="D8" s="0" t="n">
        <f aca="false">D6*D7/100</f>
        <v>4084.08</v>
      </c>
      <c r="E8" s="0" t="n">
        <f aca="false">E6*E7/100</f>
        <v>4838.064</v>
      </c>
      <c r="F8" s="0" t="n">
        <f aca="false">F6*F7/100</f>
        <v>5411.72016</v>
      </c>
      <c r="G8" s="0" t="n">
        <f aca="false">G6*G7/100</f>
        <v>5990.214384</v>
      </c>
      <c r="H8" s="0" t="n">
        <f aca="false">H6*H7/100</f>
        <v>6349.62724704</v>
      </c>
      <c r="I8" s="0" t="n">
        <f aca="false">I6*I7/100</f>
        <v>6667.108609392</v>
      </c>
      <c r="J8" s="0" t="n">
        <f aca="false">J6*J7/100</f>
        <v>6933.79295376768</v>
      </c>
      <c r="K8" s="0" t="n">
        <f aca="false">K6*K7/100</f>
        <v>7141.80674238071</v>
      </c>
      <c r="L8" s="0" t="n">
        <f aca="false">L6*L7/100</f>
        <v>7356.06094465214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1.5</v>
      </c>
      <c r="D9" s="4" t="n">
        <f aca="false">Assumptions!D43</f>
        <v>1.5</v>
      </c>
      <c r="E9" s="4" t="n">
        <f aca="false">Assumptions!E43</f>
        <v>1.5</v>
      </c>
      <c r="F9" s="4" t="n">
        <f aca="false">Assumptions!F43</f>
        <v>1.5</v>
      </c>
      <c r="G9" s="4" t="n">
        <f aca="false">Assumptions!G43</f>
        <v>1.5</v>
      </c>
      <c r="H9" s="4" t="n">
        <f aca="false">Assumptions!H43</f>
        <v>1.5</v>
      </c>
      <c r="I9" s="4" t="n">
        <f aca="false">Assumptions!I43</f>
        <v>1.5</v>
      </c>
      <c r="J9" s="4" t="n">
        <f aca="false">Assumptions!J43</f>
        <v>1.5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-214.2</v>
      </c>
      <c r="D10" s="0" t="n">
        <f aca="false">-D6*D9/100</f>
        <v>-235.62</v>
      </c>
      <c r="E10" s="0" t="n">
        <f aca="false">-E6*E9/100</f>
        <v>-259.182</v>
      </c>
      <c r="F10" s="0" t="n">
        <f aca="false">-F6*F9/100</f>
        <v>-279.91656</v>
      </c>
      <c r="G10" s="0" t="n">
        <f aca="false">-G6*G9/100</f>
        <v>-299.5107192</v>
      </c>
      <c r="H10" s="0" t="n">
        <f aca="false">-H6*H9/100</f>
        <v>-317.481362352</v>
      </c>
      <c r="I10" s="0" t="n">
        <f aca="false">-I6*I9/100</f>
        <v>-333.3554304696</v>
      </c>
      <c r="J10" s="0" t="n">
        <f aca="false">-J6*J9/100</f>
        <v>-346.689647688384</v>
      </c>
      <c r="K10" s="0" t="n">
        <f aca="false">-K6*K9/100</f>
        <v>-357.090337119036</v>
      </c>
      <c r="L10" s="0" t="n">
        <f aca="false">-L6*L9/100</f>
        <v>-367.803047232607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2927.4</v>
      </c>
      <c r="D11" s="0" t="n">
        <f aca="false">D8+D10+D24</f>
        <v>3848.46</v>
      </c>
      <c r="E11" s="0" t="n">
        <f aca="false">E8+E10+E24</f>
        <v>4578.882</v>
      </c>
      <c r="F11" s="0" t="n">
        <f aca="false">F8+F10+F24</f>
        <v>5131.8036</v>
      </c>
      <c r="G11" s="0" t="n">
        <f aca="false">G8+G10+G24</f>
        <v>5690.7036648</v>
      </c>
      <c r="H11" s="0" t="n">
        <f aca="false">H8+H10+H24</f>
        <v>6032.145884688</v>
      </c>
      <c r="I11" s="0" t="n">
        <f aca="false">I8+I10+I24</f>
        <v>6333.7531789224</v>
      </c>
      <c r="J11" s="0" t="n">
        <f aca="false">J8+J10+J24</f>
        <v>6587.1033060793</v>
      </c>
      <c r="K11" s="0" t="n">
        <f aca="false">K8+K10+K24</f>
        <v>6784.71640526168</v>
      </c>
      <c r="L11" s="0" t="n">
        <f aca="false">L8+L10+L24</f>
        <v>6988.25789741953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2927.4</v>
      </c>
      <c r="D13" s="0" t="n">
        <f aca="false">D11+D12</f>
        <v>3848.46</v>
      </c>
      <c r="E13" s="0" t="n">
        <f aca="false">E11+E12</f>
        <v>4578.882</v>
      </c>
      <c r="F13" s="0" t="n">
        <f aca="false">F11+F12</f>
        <v>5131.8036</v>
      </c>
      <c r="G13" s="0" t="n">
        <f aca="false">G11+G12</f>
        <v>5690.7036648</v>
      </c>
      <c r="H13" s="0" t="n">
        <f aca="false">H11+H12</f>
        <v>6032.145884688</v>
      </c>
      <c r="I13" s="0" t="n">
        <f aca="false">I11+I12</f>
        <v>6333.7531789224</v>
      </c>
      <c r="J13" s="0" t="n">
        <f aca="false">J11+J12</f>
        <v>6587.1033060793</v>
      </c>
      <c r="K13" s="0" t="n">
        <f aca="false">K11+K12</f>
        <v>6784.71640526168</v>
      </c>
      <c r="L13" s="0" t="n">
        <f aca="false">L11+L12</f>
        <v>6988.25789741953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2166.276</v>
      </c>
      <c r="D15" s="0" t="n">
        <f aca="false">D13-MAX(0,D13)*D14/100</f>
        <v>2847.8604</v>
      </c>
      <c r="E15" s="0" t="n">
        <f aca="false">E13-MAX(0,E13)*E14/100</f>
        <v>3388.37268</v>
      </c>
      <c r="F15" s="0" t="n">
        <f aca="false">F13-MAX(0,F13)*F14/100</f>
        <v>3797.534664</v>
      </c>
      <c r="G15" s="0" t="n">
        <f aca="false">G13-MAX(0,G13)*G14/100</f>
        <v>4211.120711952</v>
      </c>
      <c r="H15" s="0" t="n">
        <f aca="false">H13-MAX(0,H13)*H14/100</f>
        <v>4463.78795466912</v>
      </c>
      <c r="I15" s="0" t="n">
        <f aca="false">I13-MAX(0,I13)*I14/100</f>
        <v>4686.97735240258</v>
      </c>
      <c r="J15" s="0" t="n">
        <f aca="false">J13-MAX(0,J13)*J14/100</f>
        <v>4874.45644649868</v>
      </c>
      <c r="K15" s="0" t="n">
        <f aca="false">K13-MAX(0,K13)*K14/100</f>
        <v>5020.69013989364</v>
      </c>
      <c r="L15" s="0" t="n">
        <f aca="false">L13-MAX(0,L13)*L14/100</f>
        <v>5171.31084409045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-612</v>
      </c>
      <c r="D18" s="4" t="n">
        <f aca="false">(D6-C6)*Assumptions!$B$51/100</f>
        <v>-1285.2</v>
      </c>
      <c r="E18" s="4" t="n">
        <f aca="false">(E6-D6)*Assumptions!$B$51/100</f>
        <v>-1413.72</v>
      </c>
      <c r="F18" s="4" t="n">
        <f aca="false">(F6-E6)*Assumptions!$B$51/100</f>
        <v>-1244.0736</v>
      </c>
      <c r="G18" s="4" t="n">
        <f aca="false">(G6-F6)*Assumptions!$B$51/100</f>
        <v>-1175.649552</v>
      </c>
      <c r="H18" s="4" t="n">
        <f aca="false">(H6-G6)*Assumptions!$B$51/100</f>
        <v>-1078.23858912</v>
      </c>
      <c r="I18" s="4" t="n">
        <f aca="false">(I6-H6)*Assumptions!$B$51/100</f>
        <v>-952.444087056</v>
      </c>
      <c r="J18" s="4" t="n">
        <f aca="false">(J6-I6)*Assumptions!$B$51/100</f>
        <v>-800.053033127041</v>
      </c>
      <c r="K18" s="4" t="n">
        <f aca="false">(K6-J6)*Assumptions!$B$51/100</f>
        <v>-624.041365839093</v>
      </c>
      <c r="L18" s="4" t="n">
        <f aca="false">(L6-K6)*Assumptions!$B$51/100</f>
        <v>-642.762606814265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1554.276</v>
      </c>
      <c r="D19" s="0" t="n">
        <f aca="false">D15+D16+D17+D18</f>
        <v>1562.6604</v>
      </c>
      <c r="E19" s="0" t="n">
        <f aca="false">E15+E16+E17+E18</f>
        <v>1974.65268</v>
      </c>
      <c r="F19" s="0" t="n">
        <f aca="false">F15+F16+F17+F18</f>
        <v>2553.461064</v>
      </c>
      <c r="G19" s="0" t="n">
        <f aca="false">G15+G16+G17+G18</f>
        <v>3035.471159952</v>
      </c>
      <c r="H19" s="0" t="n">
        <f aca="false">H15+H16+H17+H18</f>
        <v>3385.54936554912</v>
      </c>
      <c r="I19" s="0" t="n">
        <f aca="false">I15+I16+I17+I18</f>
        <v>3734.53326534658</v>
      </c>
      <c r="J19" s="0" t="n">
        <f aca="false">J15+J16+J17+J18</f>
        <v>4074.40341337164</v>
      </c>
      <c r="K19" s="0" t="n">
        <f aca="false">K15+K16+K17+K18</f>
        <v>4396.64877405455</v>
      </c>
      <c r="L19" s="0" t="n">
        <f aca="false">L15+L16+L17+L18</f>
        <v>4528.54823727619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0.87719298245614</v>
      </c>
      <c r="D20" s="0" t="n">
        <f aca="false">1/(1+$B$27/100)^D4</f>
        <v>0.769467528470298</v>
      </c>
      <c r="E20" s="0" t="n">
        <f aca="false">1/(1+$B$27/100)^E4</f>
        <v>0.674971516202016</v>
      </c>
      <c r="F20" s="0" t="n">
        <f aca="false">1/(1+$B$27/100)^F4</f>
        <v>0.592080277370189</v>
      </c>
      <c r="G20" s="0" t="n">
        <f aca="false">1/(1+$B$27/100)^G4</f>
        <v>0.519368664359815</v>
      </c>
      <c r="H20" s="0" t="n">
        <f aca="false">1/(1+$B$27/100)^H4</f>
        <v>0.455586547684048</v>
      </c>
      <c r="I20" s="0" t="n">
        <f aca="false">1/(1+$B$27/100)^I4</f>
        <v>0.399637322529867</v>
      </c>
      <c r="J20" s="0" t="n">
        <f aca="false">1/(1+$B$27/100)^J4</f>
        <v>0.350559054850761</v>
      </c>
      <c r="K20" s="0" t="n">
        <f aca="false">1/(1+$B$27/100)^K4</f>
        <v>0.307507942851544</v>
      </c>
      <c r="L20" s="0" t="n">
        <f aca="false">1/(1+$B$27/100)^L4</f>
        <v>0.269743809518898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1363.4</v>
      </c>
      <c r="D21" s="0" t="n">
        <f aca="false">D19*D20</f>
        <v>1202.41643582641</v>
      </c>
      <c r="E21" s="0" t="n">
        <f aca="false">E19*E20</f>
        <v>1332.83431339197</v>
      </c>
      <c r="F21" s="0" t="n">
        <f aca="false">F19*F20</f>
        <v>1511.8539350271</v>
      </c>
      <c r="G21" s="0" t="n">
        <f aca="false">G19*G20</f>
        <v>1576.52860204701</v>
      </c>
      <c r="H21" s="0" t="n">
        <f aca="false">H19*H20</f>
        <v>1542.41074746444</v>
      </c>
      <c r="I21" s="0" t="n">
        <f aca="false">I19*I20</f>
        <v>1492.45887506183</v>
      </c>
      <c r="J21" s="0" t="n">
        <f aca="false">J19*J20</f>
        <v>1428.31900967227</v>
      </c>
      <c r="K21" s="0" t="n">
        <f aca="false">K19*K20</f>
        <v>1352.00441995028</v>
      </c>
      <c r="L21" s="0" t="n">
        <f aca="false">L19*L20</f>
        <v>1221.54785311297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14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14023.7741915543</v>
      </c>
    </row>
    <row r="31" customFormat="false" ht="15" hidden="false" customHeight="false" outlineLevel="0" collapsed="false">
      <c r="A31" s="0" t="s">
        <v>129</v>
      </c>
      <c r="B31" s="0" t="n">
        <f aca="false">L19</f>
        <v>4528.54823727619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42403.6789490406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45285.4823727619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42403.6789490406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11438.1298973305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25461.9040888848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30551.9040888848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36.8970904149899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4.71162390324921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1473.84411491485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928.990663332529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39.7989590450872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38870.0390366206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33.8966345739483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9.0716504133514</v>
      </c>
      <c r="C4" s="0" t="n">
        <f aca="false">B4/Assumptions!$B$2-1</f>
        <v>0.404280249744798</v>
      </c>
      <c r="D4" s="4" t="n">
        <f aca="false">Assumptions!$B$24</f>
        <v>0.35</v>
      </c>
      <c r="E4" s="4" t="n">
        <f aca="false">DCF_Bear!$B$43</f>
        <v>10.2752981981775</v>
      </c>
      <c r="F4" s="4" t="n">
        <f aca="false">DCF_Bear!$B$47</f>
        <v>8.84499798105308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27.8639691422578</v>
      </c>
      <c r="C5" s="0" t="n">
        <f aca="false">B5/Assumptions!$B$2-1</f>
        <v>3.31330791675817</v>
      </c>
      <c r="D5" s="4" t="n">
        <f aca="false">Assumptions!$B$38</f>
        <v>0.45</v>
      </c>
      <c r="E5" s="4" t="n">
        <f aca="false">DCF_Base!$B$43</f>
        <v>30.0989395236145</v>
      </c>
      <c r="F5" s="4" t="n">
        <f aca="false">DCF_Base!$B$47</f>
        <v>25.969902390159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36.8970904149899</v>
      </c>
      <c r="C6" s="0" t="n">
        <f aca="false">B6/Assumptions!$B$2-1</f>
        <v>4.71162390324921</v>
      </c>
      <c r="D6" s="4" t="n">
        <f aca="false">Assumptions!$B$52</f>
        <v>0.2</v>
      </c>
      <c r="E6" s="4" t="n">
        <f aca="false">DCF_Bull!$B$43</f>
        <v>39.7989590450872</v>
      </c>
      <c r="F6" s="4" t="n">
        <f aca="false">DCF_Bull!$B$47</f>
        <v>33.8966345739483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23.093281841687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25.1006689640061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0.720264965184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-828.603594032762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21.5615322837298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36.2448358499093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34.2832126123104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32.4878798053461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30.8427740276973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27.8639691422578</v>
      </c>
      <c r="C19" s="3" t="n">
        <v>14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25.969902390159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12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30.8427740276973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30.8427740276973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30.8427740276973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30.8427740276973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30.8427740276973</v>
      </c>
    </row>
    <row r="25" customFormat="false" ht="15" hidden="false" customHeight="false" outlineLevel="0" collapsed="false">
      <c r="A25" s="3" t="n">
        <v>13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29.1514768635634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29.3335375032885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29.3335375032885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29.3335375032885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29.3335375032885</v>
      </c>
    </row>
    <row r="26" customFormat="false" ht="15" hidden="false" customHeight="false" outlineLevel="0" collapsed="false">
      <c r="A26" s="3" t="n">
        <v>14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27.1037884609482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27.4680417040757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27.8639691422578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27.9473222871382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27.9473222871382</v>
      </c>
    </row>
    <row r="27" customFormat="false" ht="15" hidden="false" customHeight="false" outlineLevel="0" collapsed="false">
      <c r="A27" s="3" t="n">
        <v>15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25.3712923465378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25.6590856367403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25.969902390159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26.3066205396959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26.672618528323</v>
      </c>
    </row>
    <row r="28" customFormat="false" ht="15" hidden="false" customHeight="false" outlineLevel="0" collapsed="false">
      <c r="A28" s="3" t="n">
        <v>16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23.8880186736388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24.1181736700184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24.3653771846484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24.63159635425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24.9191130574196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2026-10-04T00:12:54Z</dcterms:created>
  <dc:creator>openpyxl</dc:creator>
  <dc:description/>
  <dc:language>en-NZ</dc:language>
  <cp:lastModifiedBy/>
  <dcterms:modified xsi:type="dcterms:W3CDTF">2026-10-04T00:12:54Z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