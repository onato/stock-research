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<sst xmlns="http://schemas.openxmlformats.org/spreadsheetml/2006/main" count="372" uniqueCount="181">
  <si>
    <t xml:space="preserve">Ticker</t>
  </si>
  <si>
    <t xml:space="preserve">1988.HK</t>
  </si>
  <si>
    <t xml:space="preserve">Company</t>
  </si>
  <si>
    <t xml:space="preserve">China Minsheng Banking Corp., Ltd.</t>
  </si>
  <si>
    <t xml:space="preserve">Valuation date</t>
  </si>
  <si>
    <t xml:space="preserve">2026-10-17</t>
  </si>
  <si>
    <t xml:space="preserve">Current price</t>
  </si>
  <si>
    <t xml:space="preserve">Price as of</t>
  </si>
  <si>
    <t xml:space="preserve">2026-10-16T08:08:14Z regular close (HKEX), Yahoo Finance chart API</t>
  </si>
  <si>
    <t xml:space="preserve">Balance sheet date</t>
  </si>
  <si>
    <t xml:space="preserve">2026-06-30</t>
  </si>
  <si>
    <t xml:space="preserve">Model</t>
  </si>
  <si>
    <t xml:space="preserve">Bank FCFE at cost of equity (engine route), net debt zero, CET1 retention on risk-weighted-asset growth, perpetual-bond coupons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</si>
  <si>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</si>
  <si>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</si>
  <si>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</si>
  <si>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</si>
  <si>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</si>
  <si>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</si>
  <si>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</si>
  <si>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</si>
  <si>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</si>
  <si>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2026-10-17T00:44:06Z</t>
  </si>
  <si>
    <t xml:space="preserve">Drivers file</t>
  </si>
  <si>
    <t xml:space="preserve">1988.HK_Drivers.json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</si>
  <si>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</si>
  <si>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</si>
  <si>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</si>
  <si>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its own capital requirement, discounted at the cost of equity. For Minsheng that flow is net profit to ordinary shareholders (after tax, NCI and perpetual-bond coupons) less the equity retained to hold CET1 at 9.4% on growing risk-weighted assets. Unlike China CITIC Bank, Minsheng's ~30% dividend is roughly covered by that FCFE -- CET1 has been flat because RWA growth has been held to ~2-3% -- but the flow is small because ROE is only ~5%. Net debt is zero by construction; deposits are operating funding. The H share trades at 0.21x book; the base case implies a terminal P/B of ~0.34x, consistent with a ~5.4% ROE at an 11% cost of equity. The valuation is a bet on how cheaply a low-return bank is priced, not on it earning its cost of capital.
key_risks_to_valuation: Credit cycle: impairment losses were 38.6% of operating income in FY2025 and 42.7% in H1 2026 (annualised credit cost ~1.4% of loans); management flags retail as the pressure point and personal loans shrank 4.5% in H1 2026. A further rise in credit cost takes PBT margin below 18% and FCFE near zero (bear case).; Capital: CET1 9.42% is ~1.7pt above the 7.75% D-SIB minimum. ROE ~5% at a 30% payout only funds ~3% RWA growth; faster policy-directed lending or a credit loss forces a dividend cut or a discounted raise that the flat share count does not model.; NIM: 2.14% (FY2020) to 1.39% (FY2024-H1 2025), recovering to 1.47% in H1 2026. Management expects margin pressure to persist; a reversal removes the base case's revenue growth.; Low profitability is structural: ROE 4.9% vs an 11% cost of equity means every retained yuan destroys value at book; the case for upside rests on the 0.21x P/B starting point, not on growth.; Governance and currency: no controlling state shareholder (dispersed private ownership with Dajia/Anbang legacy stakes), payout set at ~30% by policy, no buyback lever; RMB flows against an HKD quote -- a 10% RMB move is a 10% move in the HKD value; 10% H-share dividend withholding tax is not modelled.; Cost of equity: 11.0% is a judgment; at 10% the base value rises ~15%, at 12% it falls ~12% (sensitivity grid: HKD 5.48 at 10%, 4.21 at 12%).</t>
  </si>
  <si>
    <t xml:space="preserve">Data sources</t>
  </si>
  <si>
    <t xml:space="preserve">price: Yahoo Finance chart API (1988.HK, HKD) at inputs.price_as_of; 52-week range 3.09-4.46. FX CNYHKD=X, USDCNY=X, USDHKD=X and the A share 600016.SS from the same API on the same date.
financials: 1988.HK_Metrics.csv / metrics_normalized (FY2017-FY2025 annual, H1/Q interim to H1 2026, RMB millions) built from the HKEX annual, interim and quarterly reports in Extracted/; kpis table for NIM, NPL, coverage, CET1, total capital ratio, credit impairment, ordinary shareholders' equity, BVPS, dividends, ROE. FY2025 annual report: profit distribution (RMB8,274m = 30.14% of ordinary profit 27,451m, line 7740-7752), capital table (RWA 6,011,048, line 3335), perpetual-bond interest (line 9150), tax and NCI (line 8921-8929). H1 2026 interim: key indicators and capital (p.7-8, lines 300-390; CET1 9.42%, RWA 6,142,309), interim dividend RMB1.18/10 shares = 29.78% of ordinary profit 17,347m (lines 4928-4940), prospects (p.73, line 3357).
qualitative: 1988.HK_Analysis.json was not yet written when the drivers were set; it landed before the final build and was read: it CONFIRMS the drivers without moving any path (no numeric FY2026 guidance, only industry-wide stability; real-estate exposure ~RMB325bn flagged high severity; Dajia ~17.8% largest holder, no controlling shareholder; CET1 ~9.4% below state-bank peers constrains growth/dividend). Outlook and risk context taken directly from the H1 2026 interim 'Prospects' section and the FY2025 annual report.</t>
  </si>
  <si>
    <t xml:space="preserve">Scenario narrative: bear</t>
  </si>
  <si>
    <t xml:space="preserve">Credit cost stays ~1.5% on retail and residual property losses while NIM compresses again; revenue falls 1% then stalls; RWA keeps growing on policy lending so FCFE is ~RMB3bn for two years, below the dividend. Either the payout is cut or a discounted raise dilutes; terminal ROE ~3.8%.</t>
  </si>
  <si>
    <t xml:space="preserve">Scenario narrative: base</t>
  </si>
  <si>
    <t xml:space="preserve">NIM holds ~1.45-1.5%, credit cost eases from ~1.4% to ~1.15%, operating income grows ~3% and RWA ~3%. FCFE rises from ~RMB6bn (FY2026E) to ~RMB9bn (FY2027) and ~RMB22bn by FY2036, roughly covering a ~30% payout throughout with CET1 flat at 9.4%. Terminal ROE ~5.4%, implied terminal P/B ~0.34x.</t>
  </si>
  <si>
    <t xml:space="preserve">Scenario narrative: bull</t>
  </si>
  <si>
    <t xml:space="preserve">The credit cycle turns: NIM recovers a further 5-10bp, credit cost falls toward 1.0%, PBT margin returns to ~30%, revenue grows ~4%. FCFE ~RMB9bn in FY2027 rising to ~RMB27bn; terminal ROE ~6.5% -- still below the cost of equity.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</si>
  <si>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</si>
  <si>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</si>
  <si>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</si>
  <si>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</si>
  <si>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</si>
  <si>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</si>
  <si>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</si>
  <si>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</si>
  <si>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</si>
  <si>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</si>
  <si>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</si>
  <si>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</si>
  <si>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</si>
  <si>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</si>
  <si>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</si>
  <si>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</si>
  <si>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</si>
  <si>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</si>
  <si>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</si>
  <si>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</si>
  <si>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</si>
  <si>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</si>
  <si>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</si>
  <si>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</si>
  <si>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</si>
  <si>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</si>
  <si>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</si>
  <si>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AllowanceCoverageRatio</t>
  </si>
  <si>
    <t xml:space="preserve">BookValuePerShare</t>
  </si>
  <si>
    <t xml:space="preserve">CET1Ratio</t>
  </si>
  <si>
    <t xml:space="preserve">CostToIncomeRatio</t>
  </si>
  <si>
    <t xml:space="preserve">CreditImpairmentCharge</t>
  </si>
  <si>
    <t xml:space="preserve">CustomerDeposits</t>
  </si>
  <si>
    <t xml:space="preserve">GrossLoansAndAdvances</t>
  </si>
  <si>
    <t xml:space="preserve">NIM</t>
  </si>
  <si>
    <t xml:space="preserve">NPLRatio</t>
  </si>
  <si>
    <t xml:space="preserve">NetIncomeInclNCI</t>
  </si>
  <si>
    <t xml:space="preserve">NetInterestIncome</t>
  </si>
  <si>
    <t xml:space="preserve">OperatingExpenses</t>
  </si>
  <si>
    <t xml:space="preserve">OrdinaryShareholdersEquity</t>
  </si>
  <si>
    <t xml:space="preserve">ROAA</t>
  </si>
  <si>
    <t xml:space="preserve">ROE</t>
  </si>
  <si>
    <t xml:space="preserve">TotalCapitalRatio</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</si>
  <si>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</si>
  <si>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</si>
  <si>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</si>
  <si>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</si>
  <si>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</si>
  <si>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</si>
  <si>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</si>
  <si>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</si>
  <si>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</si>
  <si>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</si>
  <si>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</si>
  <si>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</si>
  <si>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</si>
  <si>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</si>
  <si>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</si>
  <si>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</si>
  <si>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</si>
  <si>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</si>
  <si>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</si>
  <si>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</si>
  <si>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</si>
  <si>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</si>
  <si>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</si>
  <si>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</si>
  <si>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</si>
  <si>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</si>
  <si>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</si>
  <si>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</si>
  <si>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</si>
  <si>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</si>
  <si>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</si>
  <si>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</si>
  <si>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</si>
  <si>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</si>
  <si>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</si>
  <si>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</si>
  <si>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</si>
  <si>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</si>
  <si>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</si>
  <si>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</si>
  <si>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</si>
  <si>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</si>
  <si>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</si>
  <si>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</si>
  <si>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</si>
  <si>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</si>
  <si>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</si>
  <si>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1988.HK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</si>
  <si>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</si>
  <si>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</si>
  <si>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</si>
  <si>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</si>
  <si>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</si>
  <si>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</si>
  <si>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</si>
  <si>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</si>
  <si>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</si>
  <si>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</si>
  <si>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</si>
  <si>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</si>
  <si>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</si>
  <si>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</si>
  <si>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</si>
  <si>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</si>
  <si>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</si>
  <si>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</si>
  <si>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</si>
  <si>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</si>
  <si>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</si>
  <si>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</si>
  <si>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</si>
  <si>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</si>
  <si>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</si>
  <si>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</si>
  <si>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</si>
  <si>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</si>
  <si>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</si>
  <si>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</si>
  <si>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1988.HK owner-FCF component DCF: base case (millions, CNY)</t>
  </si>
  <si>
    <t xml:space="preserve">1988.HK owner-FCF component DCF: bull case (millions, CNY)</t>
  </si>
  <si>
    <t xml:space="preserve">1988.HK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</si>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</sst>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3.315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c r="AN1" s="2" t="s">
        <v>75</v>
      </c>
      <c r="AO1" s="2" t="s">
        <v>76</v>
      </c>
      <c r="AP1" s="2" t="s">
        <v>77</v>
      </c>
      <c r="AQ1" s="2" t="s">
        <v>78</v>
      </c>
      <c r="AR1" s="2" t="s">
        <v>79</v>
      </c>
    </row>
    <row r="2" customFormat="false" ht="15" hidden="false" customHeight="false" outlineLevel="0" collapsed="false">
      <c r="A2" s="0" t="s">
        <v>80</v>
      </c>
      <c r="B2" s="0" t="n">
        <v>141947</v>
      </c>
      <c r="F2" s="0" t="n">
        <v>60562</v>
      </c>
      <c r="G2" s="0" t="n">
        <v>42.7</v>
      </c>
      <c r="I2" s="0" t="n">
        <v>49813</v>
      </c>
      <c r="J2" s="0" t="n">
        <v>35.1</v>
      </c>
      <c r="K2" s="0" t="n">
        <v>1.13</v>
      </c>
      <c r="L2" s="0" t="n">
        <v>-257059</v>
      </c>
      <c r="M2" s="0" t="n">
        <v>10244</v>
      </c>
      <c r="O2" s="0" t="n">
        <v>378970</v>
      </c>
      <c r="P2" s="0" t="n">
        <v>5902086</v>
      </c>
      <c r="Q2" s="0" t="n">
        <v>5512274</v>
      </c>
      <c r="R2" s="0" t="n">
        <v>501927</v>
      </c>
      <c r="S2" s="0" t="n">
        <v>109099</v>
      </c>
      <c r="T2" s="0" t="n">
        <v>43782</v>
      </c>
      <c r="U2" s="0" t="n">
        <v>0</v>
      </c>
      <c r="AA2" s="0" t="s">
        <v>18</v>
      </c>
      <c r="AB2" s="0" t="s">
        <v>14</v>
      </c>
      <c r="AC2" s="0" t="n">
        <v>155.61</v>
      </c>
      <c r="AD2" s="0" t="n">
        <v>8.43</v>
      </c>
      <c r="AE2" s="0" t="n">
        <v>8.63</v>
      </c>
      <c r="AF2" s="0" t="n">
        <v>32.24</v>
      </c>
      <c r="AH2" s="0" t="n">
        <v>2966311</v>
      </c>
      <c r="AI2" s="0" t="n">
        <v>2804307</v>
      </c>
      <c r="AJ2" s="0" t="n">
        <v>1.76</v>
      </c>
      <c r="AK2" s="0" t="n">
        <v>1.71</v>
      </c>
      <c r="AL2" s="0" t="n">
        <v>50922</v>
      </c>
      <c r="AM2" s="0" t="n">
        <v>101221</v>
      </c>
      <c r="AN2" s="0" t="n">
        <v>47245</v>
      </c>
      <c r="AO2" s="0" t="n">
        <v>369078</v>
      </c>
      <c r="AP2" s="0" t="n">
        <v>0.86</v>
      </c>
      <c r="AQ2" s="0" t="n">
        <v>14.03</v>
      </c>
      <c r="AR2" s="0" t="n">
        <v>11.85</v>
      </c>
    </row>
    <row r="3" customFormat="false" ht="15" hidden="false" customHeight="false" outlineLevel="0" collapsed="false">
      <c r="A3" s="0" t="s">
        <v>81</v>
      </c>
      <c r="B3" s="0" t="n">
        <v>154161</v>
      </c>
      <c r="F3" s="0" t="n">
        <v>58785</v>
      </c>
      <c r="G3" s="0" t="n">
        <v>38.1</v>
      </c>
      <c r="I3" s="0" t="n">
        <v>50327</v>
      </c>
      <c r="J3" s="0" t="n">
        <v>32.6</v>
      </c>
      <c r="K3" s="0" t="n">
        <v>1.14</v>
      </c>
      <c r="L3" s="0" t="n">
        <v>-395498</v>
      </c>
      <c r="M3" s="0" t="n">
        <v>5803</v>
      </c>
      <c r="O3" s="0" t="n">
        <v>420074</v>
      </c>
      <c r="P3" s="0" t="n">
        <v>5994822</v>
      </c>
      <c r="Q3" s="0" t="n">
        <v>5563821</v>
      </c>
      <c r="R3" s="0" t="n">
        <v>674523</v>
      </c>
      <c r="S3" s="0" t="n">
        <v>138026</v>
      </c>
      <c r="T3" s="0" t="n">
        <v>43782</v>
      </c>
      <c r="U3" s="0" t="n">
        <v>0</v>
      </c>
      <c r="AA3" s="0" t="s">
        <v>18</v>
      </c>
      <c r="AB3" s="0" t="s">
        <v>14</v>
      </c>
      <c r="AC3" s="0" t="n">
        <v>134.05</v>
      </c>
      <c r="AD3" s="0" t="n">
        <v>9.37</v>
      </c>
      <c r="AE3" s="0" t="n">
        <v>8.93</v>
      </c>
      <c r="AF3" s="0" t="n">
        <v>30.58</v>
      </c>
      <c r="AG3" s="0" t="n">
        <v>46274</v>
      </c>
      <c r="AH3" s="0" t="n">
        <v>3167292</v>
      </c>
      <c r="AI3" s="0" t="n">
        <v>3056746</v>
      </c>
      <c r="AJ3" s="0" t="n">
        <v>1.77</v>
      </c>
      <c r="AK3" s="0" t="n">
        <v>1.76</v>
      </c>
      <c r="AL3" s="0" t="n">
        <v>50330</v>
      </c>
      <c r="AM3" s="0" t="n">
        <v>96276</v>
      </c>
      <c r="AN3" s="0" t="n">
        <v>49056</v>
      </c>
      <c r="AO3" s="0" t="n">
        <v>410182</v>
      </c>
      <c r="AP3" s="0" t="n">
        <v>0.85</v>
      </c>
      <c r="AQ3" s="0" t="n">
        <v>12.94</v>
      </c>
      <c r="AR3" s="0" t="n">
        <v>11.75</v>
      </c>
    </row>
    <row r="4" customFormat="false" ht="15" hidden="false" customHeight="false" outlineLevel="0" collapsed="false">
      <c r="A4" s="0" t="s">
        <v>82</v>
      </c>
      <c r="B4" s="0" t="n">
        <v>177745</v>
      </c>
      <c r="F4" s="0" t="n">
        <v>64738</v>
      </c>
      <c r="G4" s="0" t="n">
        <v>36.4</v>
      </c>
      <c r="I4" s="0" t="n">
        <v>53819</v>
      </c>
      <c r="J4" s="0" t="n">
        <v>30.3</v>
      </c>
      <c r="K4" s="0" t="n">
        <v>1.22</v>
      </c>
      <c r="L4" s="0" t="n">
        <v>-84927</v>
      </c>
      <c r="M4" s="0" t="n">
        <v>8218</v>
      </c>
      <c r="O4" s="0" t="n">
        <v>518845</v>
      </c>
      <c r="P4" s="0" t="n">
        <v>6681841</v>
      </c>
      <c r="Q4" s="0" t="n">
        <v>6151012</v>
      </c>
      <c r="R4" s="0" t="n">
        <v>817225</v>
      </c>
      <c r="S4" s="0" t="n">
        <v>144650</v>
      </c>
      <c r="T4" s="0" t="n">
        <v>43782</v>
      </c>
      <c r="U4" s="0" t="n">
        <v>0</v>
      </c>
      <c r="AA4" s="0" t="s">
        <v>18</v>
      </c>
      <c r="AB4" s="0" t="s">
        <v>14</v>
      </c>
      <c r="AC4" s="0" t="n">
        <v>155.5</v>
      </c>
      <c r="AD4" s="0" t="n">
        <v>10.26</v>
      </c>
      <c r="AE4" s="0" t="n">
        <v>8.89</v>
      </c>
      <c r="AF4" s="0" t="n">
        <v>27.14</v>
      </c>
      <c r="AG4" s="0" t="n">
        <v>62807</v>
      </c>
      <c r="AH4" s="0" t="n">
        <v>3604088</v>
      </c>
      <c r="AI4" s="0" t="n">
        <v>3487601</v>
      </c>
      <c r="AJ4" s="0" t="n">
        <v>2.14</v>
      </c>
      <c r="AK4" s="0" t="n">
        <v>1.56</v>
      </c>
      <c r="AL4" s="0" t="n">
        <v>54924</v>
      </c>
      <c r="AM4" s="0" t="n">
        <v>122034</v>
      </c>
      <c r="AN4" s="0" t="n">
        <v>50016</v>
      </c>
      <c r="AO4" s="0" t="n">
        <v>448985</v>
      </c>
      <c r="AP4" s="0" t="n">
        <v>0.87</v>
      </c>
      <c r="AQ4" s="0" t="n">
        <v>12.4</v>
      </c>
      <c r="AR4" s="0" t="n">
        <v>13.17</v>
      </c>
    </row>
    <row r="5" customFormat="false" ht="15" hidden="false" customHeight="false" outlineLevel="0" collapsed="false">
      <c r="A5" s="0" t="s">
        <v>83</v>
      </c>
      <c r="B5" s="0" t="n">
        <v>181807</v>
      </c>
      <c r="F5" s="0" t="n">
        <v>36706</v>
      </c>
      <c r="G5" s="0" t="n">
        <v>20.2</v>
      </c>
      <c r="I5" s="0" t="n">
        <v>34309</v>
      </c>
      <c r="J5" s="0" t="n">
        <v>18.9</v>
      </c>
      <c r="K5" s="0" t="n">
        <v>0.71</v>
      </c>
      <c r="L5" s="0" t="n">
        <v>-82402</v>
      </c>
      <c r="M5" s="0" t="n">
        <v>7814</v>
      </c>
      <c r="O5" s="0" t="n">
        <v>529537</v>
      </c>
      <c r="P5" s="0" t="n">
        <v>6950233</v>
      </c>
      <c r="Q5" s="0" t="n">
        <v>6408985</v>
      </c>
      <c r="R5" s="0" t="n">
        <v>957880</v>
      </c>
      <c r="S5" s="0" t="n">
        <v>157919</v>
      </c>
      <c r="T5" s="0" t="n">
        <v>43782</v>
      </c>
      <c r="U5" s="0" t="n">
        <v>0</v>
      </c>
      <c r="AA5" s="0" t="s">
        <v>18</v>
      </c>
      <c r="AB5" s="0" t="s">
        <v>14</v>
      </c>
      <c r="AC5" s="0" t="n">
        <v>139.38</v>
      </c>
      <c r="AD5" s="0" t="n">
        <v>10.5</v>
      </c>
      <c r="AE5" s="0" t="n">
        <v>8.51</v>
      </c>
      <c r="AF5" s="0" t="n">
        <v>26.64</v>
      </c>
      <c r="AG5" s="0" t="n">
        <v>92988</v>
      </c>
      <c r="AH5" s="0" t="n">
        <v>3728174</v>
      </c>
      <c r="AI5" s="0" t="n">
        <v>3853931</v>
      </c>
      <c r="AJ5" s="0" t="n">
        <v>2.14</v>
      </c>
      <c r="AK5" s="0" t="n">
        <v>1.82</v>
      </c>
      <c r="AL5" s="0" t="n">
        <v>35102</v>
      </c>
      <c r="AM5" s="0" t="n">
        <v>135224</v>
      </c>
      <c r="AN5" s="0" t="n">
        <v>50485</v>
      </c>
      <c r="AO5" s="0" t="n">
        <v>459677</v>
      </c>
      <c r="AP5" s="0" t="n">
        <v>0.51</v>
      </c>
      <c r="AQ5" s="0" t="n">
        <v>6.81</v>
      </c>
      <c r="AR5" s="0" t="n">
        <v>13.04</v>
      </c>
    </row>
    <row r="6" customFormat="false" ht="15" hidden="false" customHeight="false" outlineLevel="0" collapsed="false">
      <c r="A6" s="0" t="s">
        <v>84</v>
      </c>
      <c r="B6" s="0" t="n">
        <v>165554</v>
      </c>
      <c r="F6" s="0" t="n">
        <v>35600</v>
      </c>
      <c r="G6" s="0" t="n">
        <v>21.5</v>
      </c>
      <c r="I6" s="0" t="n">
        <v>34381</v>
      </c>
      <c r="J6" s="0" t="n">
        <v>20.8</v>
      </c>
      <c r="K6" s="0" t="n">
        <v>0.71</v>
      </c>
      <c r="L6" s="0" t="n">
        <v>155417</v>
      </c>
      <c r="M6" s="0" t="n">
        <v>9465</v>
      </c>
      <c r="O6" s="0" t="n">
        <v>574280</v>
      </c>
      <c r="P6" s="0" t="n">
        <v>6952786</v>
      </c>
      <c r="Q6" s="0" t="n">
        <v>6366247</v>
      </c>
      <c r="R6" s="0" t="n">
        <v>711024</v>
      </c>
      <c r="S6" s="0" t="n">
        <v>163418</v>
      </c>
      <c r="T6" s="0" t="n">
        <v>43782</v>
      </c>
      <c r="U6" s="0" t="n">
        <v>0</v>
      </c>
      <c r="AA6" s="0" t="s">
        <v>18</v>
      </c>
      <c r="AB6" s="0" t="s">
        <v>14</v>
      </c>
      <c r="AC6" s="0" t="n">
        <v>145.3</v>
      </c>
      <c r="AD6" s="0" t="n">
        <v>11.06</v>
      </c>
      <c r="AE6" s="0" t="n">
        <v>9.04</v>
      </c>
      <c r="AF6" s="0" t="n">
        <v>29.74</v>
      </c>
      <c r="AG6" s="0" t="n">
        <v>77398</v>
      </c>
      <c r="AH6" s="0" t="n">
        <v>3775761</v>
      </c>
      <c r="AI6" s="0" t="n">
        <v>4045692</v>
      </c>
      <c r="AJ6" s="0" t="n">
        <v>1.91</v>
      </c>
      <c r="AK6" s="0" t="n">
        <v>1.79</v>
      </c>
      <c r="AL6" s="0" t="n">
        <v>34853</v>
      </c>
      <c r="AM6" s="0" t="n">
        <v>125775</v>
      </c>
      <c r="AN6" s="0" t="n">
        <v>51181</v>
      </c>
      <c r="AO6" s="0" t="n">
        <v>484316</v>
      </c>
      <c r="AP6" s="0" t="n">
        <v>0.5</v>
      </c>
      <c r="AQ6" s="0" t="n">
        <v>6.59</v>
      </c>
      <c r="AR6" s="0" t="n">
        <v>13.64</v>
      </c>
    </row>
    <row r="7" customFormat="false" ht="15" hidden="false" customHeight="false" outlineLevel="0" collapsed="false">
      <c r="A7" s="0" t="s">
        <v>85</v>
      </c>
      <c r="B7" s="0" t="n">
        <v>139219</v>
      </c>
      <c r="F7" s="0" t="n">
        <v>37170</v>
      </c>
      <c r="G7" s="0" t="n">
        <v>26.7</v>
      </c>
      <c r="I7" s="0" t="n">
        <v>35269</v>
      </c>
      <c r="J7" s="0" t="n">
        <v>25.3</v>
      </c>
      <c r="K7" s="0" t="n">
        <v>0.71</v>
      </c>
      <c r="L7" s="0" t="n">
        <v>166273</v>
      </c>
      <c r="M7" s="0" t="n">
        <v>10712</v>
      </c>
      <c r="O7" s="0" t="n">
        <v>599928</v>
      </c>
      <c r="P7" s="0" t="n">
        <v>7255673</v>
      </c>
      <c r="Q7" s="0" t="n">
        <v>6642859</v>
      </c>
      <c r="R7" s="0" t="n">
        <v>648107</v>
      </c>
      <c r="S7" s="0" t="n">
        <v>128305</v>
      </c>
      <c r="T7" s="0" t="n">
        <v>43782</v>
      </c>
      <c r="U7" s="0" t="n">
        <v>0</v>
      </c>
      <c r="AA7" s="0" t="s">
        <v>18</v>
      </c>
      <c r="AB7" s="0" t="s">
        <v>14</v>
      </c>
      <c r="AC7" s="0" t="n">
        <v>142.49</v>
      </c>
      <c r="AD7" s="0" t="n">
        <v>11.53</v>
      </c>
      <c r="AE7" s="0" t="n">
        <v>9.17</v>
      </c>
      <c r="AF7" s="0" t="n">
        <v>36.44</v>
      </c>
      <c r="AG7" s="0" t="n">
        <v>48762</v>
      </c>
      <c r="AH7" s="0" t="n">
        <v>3993527</v>
      </c>
      <c r="AI7" s="0" t="n">
        <v>4141144</v>
      </c>
      <c r="AJ7" s="0" t="n">
        <v>1.6</v>
      </c>
      <c r="AK7" s="0" t="n">
        <v>1.68</v>
      </c>
      <c r="AL7" s="0" t="n">
        <v>35777</v>
      </c>
      <c r="AM7" s="0" t="n">
        <v>107463</v>
      </c>
      <c r="AN7" s="0" t="n">
        <v>52602</v>
      </c>
      <c r="AO7" s="0" t="n">
        <v>504928</v>
      </c>
      <c r="AP7" s="0" t="n">
        <v>0.5</v>
      </c>
      <c r="AQ7" s="0" t="n">
        <v>6.31</v>
      </c>
      <c r="AR7" s="0" t="n">
        <v>13.14</v>
      </c>
    </row>
    <row r="8" customFormat="false" ht="15" hidden="false" customHeight="false" outlineLevel="0" collapsed="false">
      <c r="A8" s="0" t="s">
        <v>86</v>
      </c>
      <c r="B8" s="0" t="n">
        <v>137391</v>
      </c>
      <c r="F8" s="0" t="n">
        <v>37358</v>
      </c>
      <c r="G8" s="0" t="n">
        <v>27.2</v>
      </c>
      <c r="I8" s="0" t="n">
        <v>35823</v>
      </c>
      <c r="J8" s="0" t="n">
        <v>26.1</v>
      </c>
      <c r="K8" s="0" t="n">
        <v>0.72</v>
      </c>
      <c r="L8" s="0" t="n">
        <v>73676</v>
      </c>
      <c r="M8" s="0" t="n">
        <v>8677</v>
      </c>
      <c r="O8" s="0" t="n">
        <v>624602</v>
      </c>
      <c r="P8" s="0" t="n">
        <v>7674965</v>
      </c>
      <c r="Q8" s="0" t="n">
        <v>7037164</v>
      </c>
      <c r="R8" s="0" t="n">
        <v>675826</v>
      </c>
      <c r="S8" s="0" t="n">
        <v>237336</v>
      </c>
      <c r="T8" s="0" t="n">
        <v>43782</v>
      </c>
      <c r="U8" s="0" t="n">
        <v>0</v>
      </c>
      <c r="AA8" s="0" t="s">
        <v>18</v>
      </c>
      <c r="AB8" s="0" t="s">
        <v>14</v>
      </c>
      <c r="AC8" s="0" t="n">
        <v>149.69</v>
      </c>
      <c r="AD8" s="0" t="n">
        <v>12.1</v>
      </c>
      <c r="AE8" s="0" t="n">
        <v>9.28</v>
      </c>
      <c r="AF8" s="0" t="n">
        <v>37</v>
      </c>
      <c r="AG8" s="0" t="n">
        <v>45707</v>
      </c>
      <c r="AH8" s="0" t="n">
        <v>4283003</v>
      </c>
      <c r="AI8" s="0" t="n">
        <v>4384877</v>
      </c>
      <c r="AJ8" s="0" t="n">
        <v>1.46</v>
      </c>
      <c r="AK8" s="0" t="n">
        <v>1.48</v>
      </c>
      <c r="AL8" s="0" t="n">
        <v>35986</v>
      </c>
      <c r="AM8" s="0" t="n">
        <v>102431</v>
      </c>
      <c r="AN8" s="0" t="n">
        <v>52807</v>
      </c>
      <c r="AO8" s="0" t="n">
        <v>529602</v>
      </c>
      <c r="AP8" s="0" t="n">
        <v>0.48</v>
      </c>
      <c r="AQ8" s="0" t="n">
        <v>6.1</v>
      </c>
      <c r="AR8" s="0" t="n">
        <v>13.14</v>
      </c>
    </row>
    <row r="9" customFormat="false" ht="15" hidden="false" customHeight="false" outlineLevel="0" collapsed="false">
      <c r="A9" s="0" t="s">
        <v>87</v>
      </c>
      <c r="B9" s="0" t="n">
        <v>133123</v>
      </c>
      <c r="F9" s="0" t="n">
        <v>34085</v>
      </c>
      <c r="G9" s="0" t="n">
        <v>25.6</v>
      </c>
      <c r="I9" s="0" t="n">
        <v>32296</v>
      </c>
      <c r="J9" s="0" t="n">
        <v>24.3</v>
      </c>
      <c r="K9" s="0" t="n">
        <v>0.64</v>
      </c>
      <c r="L9" s="0" t="n">
        <v>-231638</v>
      </c>
      <c r="M9" s="0" t="n">
        <v>9707</v>
      </c>
      <c r="O9" s="0" t="n">
        <v>642859</v>
      </c>
      <c r="P9" s="0" t="n">
        <v>7814969</v>
      </c>
      <c r="Q9" s="0" t="n">
        <v>7158401</v>
      </c>
      <c r="R9" s="0" t="n">
        <v>941025</v>
      </c>
      <c r="S9" s="0" t="n">
        <v>184990</v>
      </c>
      <c r="T9" s="0" t="n">
        <v>43782</v>
      </c>
      <c r="U9" s="0" t="n">
        <v>0</v>
      </c>
      <c r="AA9" s="0" t="s">
        <v>18</v>
      </c>
      <c r="AB9" s="0" t="s">
        <v>14</v>
      </c>
      <c r="AC9" s="0" t="n">
        <v>141.94</v>
      </c>
      <c r="AD9" s="0" t="n">
        <v>12.51</v>
      </c>
      <c r="AE9" s="0" t="n">
        <v>9.36</v>
      </c>
      <c r="AF9" s="0" t="n">
        <v>38.55</v>
      </c>
      <c r="AG9" s="0" t="n">
        <v>45474</v>
      </c>
      <c r="AH9" s="0" t="n">
        <v>4249095</v>
      </c>
      <c r="AI9" s="0" t="n">
        <v>4450480</v>
      </c>
      <c r="AJ9" s="0" t="n">
        <v>1.39</v>
      </c>
      <c r="AK9" s="0" t="n">
        <v>1.47</v>
      </c>
      <c r="AL9" s="0" t="n">
        <v>32722</v>
      </c>
      <c r="AM9" s="0" t="n">
        <v>98690</v>
      </c>
      <c r="AN9" s="0" t="n">
        <v>53098</v>
      </c>
      <c r="AO9" s="0" t="n">
        <v>547859</v>
      </c>
      <c r="AP9" s="0" t="n">
        <v>0.42</v>
      </c>
      <c r="AQ9" s="0" t="n">
        <v>5.18</v>
      </c>
      <c r="AR9" s="0" t="n">
        <v>12.89</v>
      </c>
    </row>
    <row r="10" customFormat="false" ht="15" hidden="false" customHeight="false" outlineLevel="0" collapsed="false">
      <c r="A10" s="0" t="s">
        <v>88</v>
      </c>
      <c r="B10" s="0" t="n">
        <v>139677</v>
      </c>
      <c r="F10" s="0" t="n">
        <v>32259</v>
      </c>
      <c r="G10" s="0" t="n">
        <v>23.1</v>
      </c>
      <c r="I10" s="0" t="n">
        <v>30563</v>
      </c>
      <c r="J10" s="0" t="n">
        <v>21.9</v>
      </c>
      <c r="K10" s="0" t="n">
        <v>0.63</v>
      </c>
      <c r="L10" s="0" t="n">
        <v>-157476</v>
      </c>
      <c r="M10" s="0" t="n">
        <v>9299</v>
      </c>
      <c r="O10" s="0" t="n">
        <v>689637</v>
      </c>
      <c r="P10" s="0" t="n">
        <v>7832567</v>
      </c>
      <c r="Q10" s="0" t="n">
        <v>7129370</v>
      </c>
      <c r="R10" s="0" t="n">
        <v>1012008</v>
      </c>
      <c r="S10" s="0" t="n">
        <v>160886</v>
      </c>
      <c r="T10" s="0" t="n">
        <v>43782</v>
      </c>
      <c r="U10" s="0" t="n">
        <v>0</v>
      </c>
      <c r="AA10" s="0" t="s">
        <v>18</v>
      </c>
      <c r="AB10" s="0" t="s">
        <v>14</v>
      </c>
      <c r="AC10" s="0" t="n">
        <v>142.04</v>
      </c>
      <c r="AD10" s="0" t="n">
        <v>12.9</v>
      </c>
      <c r="AE10" s="0" t="n">
        <v>9.38</v>
      </c>
      <c r="AF10" s="0" t="n">
        <v>36.52</v>
      </c>
      <c r="AG10" s="0" t="n">
        <v>53950</v>
      </c>
      <c r="AH10" s="0" t="n">
        <v>4277238</v>
      </c>
      <c r="AI10" s="0" t="n">
        <v>4430610</v>
      </c>
      <c r="AJ10" s="0" t="n">
        <v>1.4</v>
      </c>
      <c r="AK10" s="0" t="n">
        <v>1.49</v>
      </c>
      <c r="AL10" s="0" t="n">
        <v>30582</v>
      </c>
      <c r="AM10" s="0" t="n">
        <v>100126</v>
      </c>
      <c r="AN10" s="0" t="n">
        <v>52707</v>
      </c>
      <c r="AO10" s="0" t="n">
        <v>564637</v>
      </c>
      <c r="AP10" s="0" t="n">
        <v>0.39</v>
      </c>
      <c r="AQ10" s="0" t="n">
        <v>4.93</v>
      </c>
      <c r="AR10" s="0" t="n">
        <v>13.06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89</v>
      </c>
      <c r="B1" s="2" t="s">
        <v>90</v>
      </c>
    </row>
    <row r="2" customFormat="false" ht="15" hidden="false" customHeight="false" outlineLevel="0" collapsed="false">
      <c r="A2" s="0" t="s">
        <v>91</v>
      </c>
      <c r="B2" s="3" t="n">
        <v>3.315</v>
      </c>
    </row>
    <row r="3" customFormat="false" ht="15" hidden="false" customHeight="false" outlineLevel="0" collapsed="false">
      <c r="A3" s="0" t="s">
        <v>92</v>
      </c>
      <c r="B3" s="3" t="n">
        <v>43782</v>
      </c>
    </row>
    <row r="4" customFormat="false" ht="15" hidden="false" customHeight="false" outlineLevel="0" collapsed="false">
      <c r="A4" s="0" t="s">
        <v>93</v>
      </c>
      <c r="B4" s="3" t="n">
        <v>0</v>
      </c>
    </row>
    <row r="5" customFormat="false" ht="15" hidden="false" customHeight="false" outlineLevel="0" collapsed="false">
      <c r="A5" s="0" t="s">
        <v>94</v>
      </c>
      <c r="B5" s="3" t="n">
        <v>0</v>
      </c>
    </row>
    <row r="6" customFormat="false" ht="15" hidden="false" customHeight="false" outlineLevel="0" collapsed="false">
      <c r="A6" s="0" t="s">
        <v>95</v>
      </c>
      <c r="B6" s="3" t="n">
        <v>15</v>
      </c>
    </row>
    <row r="7" customFormat="false" ht="15" hidden="false" customHeight="false" outlineLevel="0" collapsed="false">
      <c r="A7" s="0" t="s">
        <v>96</v>
      </c>
      <c r="B7" s="3" t="n">
        <v>144700</v>
      </c>
    </row>
    <row r="8" customFormat="false" ht="15" hidden="false" customHeight="false" outlineLevel="0" collapsed="false">
      <c r="A8" s="0" t="s">
        <v>97</v>
      </c>
      <c r="B8" s="3" t="s">
        <v>98</v>
      </c>
    </row>
    <row r="9" customFormat="false" ht="15" hidden="false" customHeight="false" outlineLevel="0" collapsed="false">
      <c r="A9" s="0" t="s">
        <v>99</v>
      </c>
      <c r="B9" s="3" t="s">
        <v>100</v>
      </c>
    </row>
    <row r="10" customFormat="false" ht="15" hidden="false" customHeight="false" outlineLevel="0" collapsed="false">
      <c r="A10" s="0" t="s">
        <v>101</v>
      </c>
      <c r="B10" s="3" t="n">
        <v>1.1724</v>
      </c>
    </row>
    <row r="12" customFormat="false" ht="15" hidden="false" customHeight="false" outlineLevel="0" collapsed="false">
      <c r="A12" s="2" t="s">
        <v>102</v>
      </c>
      <c r="C12" s="2" t="s">
        <v>103</v>
      </c>
      <c r="D12" s="2" t="s">
        <v>104</v>
      </c>
      <c r="E12" s="2" t="s">
        <v>105</v>
      </c>
      <c r="F12" s="2" t="s">
        <v>106</v>
      </c>
      <c r="G12" s="2" t="s">
        <v>107</v>
      </c>
      <c r="H12" s="2" t="s">
        <v>108</v>
      </c>
      <c r="I12" s="2" t="s">
        <v>109</v>
      </c>
      <c r="J12" s="2" t="s">
        <v>110</v>
      </c>
      <c r="K12" s="2" t="s">
        <v>111</v>
      </c>
      <c r="L12" s="2" t="s">
        <v>112</v>
      </c>
    </row>
    <row r="13" customFormat="false" ht="15" hidden="false" customHeight="false" outlineLevel="0" collapsed="false">
      <c r="A13" s="0" t="s">
        <v>113</v>
      </c>
      <c r="C13" s="3" t="n">
        <v>-1</v>
      </c>
      <c r="D13" s="3" t="n">
        <v>0</v>
      </c>
      <c r="E13" s="3" t="n">
        <v>1</v>
      </c>
      <c r="F13" s="3" t="n">
        <v>1.5</v>
      </c>
      <c r="G13" s="3" t="n">
        <v>2</v>
      </c>
      <c r="H13" s="3" t="n">
        <v>2</v>
      </c>
      <c r="I13" s="3" t="n">
        <v>2</v>
      </c>
      <c r="J13" s="3" t="n">
        <v>2</v>
      </c>
      <c r="K13" s="3" t="n">
        <v>2</v>
      </c>
      <c r="L13" s="3" t="n">
        <v>2</v>
      </c>
    </row>
    <row r="14" customFormat="false" ht="15" hidden="false" customHeight="false" outlineLevel="0" collapsed="false">
      <c r="A14" s="0" t="s">
        <v>114</v>
      </c>
      <c r="C14" s="3" t="n">
        <v>18</v>
      </c>
      <c r="D14" s="3" t="n">
        <v>17</v>
      </c>
      <c r="E14" s="3" t="n">
        <v>18</v>
      </c>
      <c r="F14" s="3" t="n">
        <v>19</v>
      </c>
      <c r="G14" s="3" t="n">
        <v>20</v>
      </c>
      <c r="H14" s="3" t="n">
        <v>21</v>
      </c>
      <c r="I14" s="3" t="n">
        <v>21</v>
      </c>
      <c r="J14" s="3" t="n">
        <v>21</v>
      </c>
      <c r="K14" s="3" t="n">
        <v>21</v>
      </c>
      <c r="L14" s="3" t="n">
        <v>21</v>
      </c>
    </row>
    <row r="15" customFormat="false" ht="15" hidden="false" customHeight="false" outlineLevel="0" collapsed="false">
      <c r="A15" s="0" t="s">
        <v>115</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117</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118</v>
      </c>
      <c r="C18" s="3" t="n">
        <v>12.2</v>
      </c>
      <c r="D18" s="3" t="n">
        <v>12.57</v>
      </c>
      <c r="E18" s="3" t="n">
        <v>12.82</v>
      </c>
      <c r="F18" s="3" t="n">
        <v>10.84</v>
      </c>
      <c r="G18" s="3" t="n">
        <v>10.89</v>
      </c>
      <c r="H18" s="3" t="n">
        <v>10.95</v>
      </c>
      <c r="I18" s="3" t="n">
        <v>8.8</v>
      </c>
      <c r="J18" s="3" t="n">
        <v>8.8</v>
      </c>
      <c r="K18" s="3" t="n">
        <v>8.8</v>
      </c>
      <c r="L18" s="3" t="n">
        <v>8.8</v>
      </c>
    </row>
    <row r="19" customFormat="false" ht="15" hidden="false" customHeight="false" outlineLevel="0" collapsed="false">
      <c r="A19" s="0" t="s">
        <v>119</v>
      </c>
      <c r="C19" s="3" t="n">
        <v>21</v>
      </c>
      <c r="D19" s="3" t="n">
        <v>21</v>
      </c>
      <c r="E19" s="3" t="n">
        <v>21</v>
      </c>
      <c r="F19" s="3" t="n">
        <v>21</v>
      </c>
      <c r="G19" s="3" t="n">
        <v>21</v>
      </c>
      <c r="H19" s="3" t="n">
        <v>21</v>
      </c>
      <c r="I19" s="3" t="n">
        <v>21</v>
      </c>
      <c r="J19" s="3" t="n">
        <v>21</v>
      </c>
      <c r="K19" s="3" t="n">
        <v>21</v>
      </c>
      <c r="L19" s="3" t="n">
        <v>21</v>
      </c>
    </row>
    <row r="20" customFormat="false" ht="15" hidden="false" customHeight="false" outlineLevel="0" collapsed="false">
      <c r="A20" s="0" t="s">
        <v>120</v>
      </c>
      <c r="B20" s="3" t="n">
        <v>11</v>
      </c>
    </row>
    <row r="21" customFormat="false" ht="15" hidden="false" customHeight="false" outlineLevel="0" collapsed="false">
      <c r="A21" s="0" t="s">
        <v>121</v>
      </c>
      <c r="B21" s="3" t="n">
        <v>2</v>
      </c>
    </row>
    <row r="22" customFormat="false" ht="15" hidden="false" customHeight="false" outlineLevel="0" collapsed="false">
      <c r="A22" s="0" t="s">
        <v>122</v>
      </c>
      <c r="B22" s="3" t="n">
        <v>18</v>
      </c>
    </row>
    <row r="23" customFormat="false" ht="15" hidden="false" customHeight="false" outlineLevel="0" collapsed="false">
      <c r="A23" s="0" t="s">
        <v>123</v>
      </c>
      <c r="B23" s="3" t="n">
        <v>0</v>
      </c>
    </row>
    <row r="24" customFormat="false" ht="15" hidden="false" customHeight="false" outlineLevel="0" collapsed="false">
      <c r="A24" s="0" t="s">
        <v>124</v>
      </c>
      <c r="B24" s="3" t="n">
        <v>0.35</v>
      </c>
    </row>
    <row r="26" customFormat="false" ht="15" hidden="false" customHeight="false" outlineLevel="0" collapsed="false">
      <c r="A26" s="2" t="s">
        <v>125</v>
      </c>
      <c r="C26" s="2" t="s">
        <v>103</v>
      </c>
      <c r="D26" s="2" t="s">
        <v>104</v>
      </c>
      <c r="E26" s="2" t="s">
        <v>105</v>
      </c>
      <c r="F26" s="2" t="s">
        <v>106</v>
      </c>
      <c r="G26" s="2" t="s">
        <v>107</v>
      </c>
      <c r="H26" s="2" t="s">
        <v>108</v>
      </c>
      <c r="I26" s="2" t="s">
        <v>109</v>
      </c>
      <c r="J26" s="2" t="s">
        <v>110</v>
      </c>
      <c r="K26" s="2" t="s">
        <v>111</v>
      </c>
      <c r="L26" s="2" t="s">
        <v>112</v>
      </c>
    </row>
    <row r="27" customFormat="false" ht="15" hidden="false" customHeight="false" outlineLevel="0" collapsed="false">
      <c r="A27" s="0" t="s">
        <v>113</v>
      </c>
      <c r="C27" s="3" t="n">
        <v>3</v>
      </c>
      <c r="D27" s="3" t="n">
        <v>3</v>
      </c>
      <c r="E27" s="3" t="n">
        <v>3</v>
      </c>
      <c r="F27" s="3" t="n">
        <v>3</v>
      </c>
      <c r="G27" s="3" t="n">
        <v>3</v>
      </c>
      <c r="H27" s="3" t="n">
        <v>2.5</v>
      </c>
      <c r="I27" s="3" t="n">
        <v>2.5</v>
      </c>
      <c r="J27" s="3" t="n">
        <v>2.5</v>
      </c>
      <c r="K27" s="3" t="n">
        <v>2.5</v>
      </c>
      <c r="L27" s="3" t="n">
        <v>2.5</v>
      </c>
    </row>
    <row r="28" customFormat="false" ht="15" hidden="false" customHeight="false" outlineLevel="0" collapsed="false">
      <c r="A28" s="0" t="s">
        <v>114</v>
      </c>
      <c r="C28" s="3" t="n">
        <v>21.5</v>
      </c>
      <c r="D28" s="3" t="n">
        <v>22.5</v>
      </c>
      <c r="E28" s="3" t="n">
        <v>23.5</v>
      </c>
      <c r="F28" s="3" t="n">
        <v>24.5</v>
      </c>
      <c r="G28" s="3" t="n">
        <v>25</v>
      </c>
      <c r="H28" s="3" t="n">
        <v>25.5</v>
      </c>
      <c r="I28" s="3" t="n">
        <v>26</v>
      </c>
      <c r="J28" s="3" t="n">
        <v>26</v>
      </c>
      <c r="K28" s="3" t="n">
        <v>26</v>
      </c>
      <c r="L28" s="3" t="n">
        <v>26</v>
      </c>
    </row>
    <row r="29" customFormat="false" ht="15" hidden="false" customHeight="false" outlineLevel="0" collapsed="false">
      <c r="A29" s="0" t="s">
        <v>115</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117</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118</v>
      </c>
      <c r="C32" s="3" t="n">
        <v>11.73</v>
      </c>
      <c r="D32" s="3" t="n">
        <v>11.73</v>
      </c>
      <c r="E32" s="3" t="n">
        <v>11.73</v>
      </c>
      <c r="F32" s="3" t="n">
        <v>11.73</v>
      </c>
      <c r="G32" s="3" t="n">
        <v>11.73</v>
      </c>
      <c r="H32" s="3" t="n">
        <v>9.82</v>
      </c>
      <c r="I32" s="3" t="n">
        <v>9.82</v>
      </c>
      <c r="J32" s="3" t="n">
        <v>9.82</v>
      </c>
      <c r="K32" s="3" t="n">
        <v>9.82</v>
      </c>
      <c r="L32" s="3" t="n">
        <v>9.82</v>
      </c>
    </row>
    <row r="33" customFormat="false" ht="15" hidden="false" customHeight="false" outlineLevel="0" collapsed="false">
      <c r="A33" s="0" t="s">
        <v>119</v>
      </c>
      <c r="C33" s="3" t="n">
        <v>18.5</v>
      </c>
      <c r="D33" s="3" t="n">
        <v>18.5</v>
      </c>
      <c r="E33" s="3" t="n">
        <v>18.5</v>
      </c>
      <c r="F33" s="3" t="n">
        <v>18.5</v>
      </c>
      <c r="G33" s="3" t="n">
        <v>18.5</v>
      </c>
      <c r="H33" s="3" t="n">
        <v>18.5</v>
      </c>
      <c r="I33" s="3" t="n">
        <v>18.5</v>
      </c>
      <c r="J33" s="3" t="n">
        <v>18.5</v>
      </c>
      <c r="K33" s="3" t="n">
        <v>18.5</v>
      </c>
      <c r="L33" s="3" t="n">
        <v>18.5</v>
      </c>
    </row>
    <row r="34" customFormat="false" ht="15" hidden="false" customHeight="false" outlineLevel="0" collapsed="false">
      <c r="A34" s="0" t="s">
        <v>120</v>
      </c>
      <c r="B34" s="3" t="n">
        <v>11</v>
      </c>
    </row>
    <row r="35" customFormat="false" ht="15" hidden="false" customHeight="false" outlineLevel="0" collapsed="false">
      <c r="A35" s="0" t="s">
        <v>121</v>
      </c>
      <c r="B35" s="3" t="n">
        <v>2.5</v>
      </c>
    </row>
    <row r="36" customFormat="false" ht="15" hidden="false" customHeight="false" outlineLevel="0" collapsed="false">
      <c r="A36" s="0" t="s">
        <v>122</v>
      </c>
      <c r="B36" s="3" t="n">
        <v>18</v>
      </c>
    </row>
    <row r="37" customFormat="false" ht="15" hidden="false" customHeight="false" outlineLevel="0" collapsed="false">
      <c r="A37" s="0" t="s">
        <v>123</v>
      </c>
      <c r="B37" s="3" t="n">
        <v>0</v>
      </c>
    </row>
    <row r="38" customFormat="false" ht="15" hidden="false" customHeight="false" outlineLevel="0" collapsed="false">
      <c r="A38" s="0" t="s">
        <v>124</v>
      </c>
      <c r="B38" s="3" t="n">
        <v>0.45</v>
      </c>
    </row>
    <row r="40" customFormat="false" ht="15" hidden="false" customHeight="false" outlineLevel="0" collapsed="false">
      <c r="A40" s="2" t="s">
        <v>126</v>
      </c>
      <c r="C40" s="2" t="s">
        <v>103</v>
      </c>
      <c r="D40" s="2" t="s">
        <v>104</v>
      </c>
      <c r="E40" s="2" t="s">
        <v>105</v>
      </c>
      <c r="F40" s="2" t="s">
        <v>106</v>
      </c>
      <c r="G40" s="2" t="s">
        <v>107</v>
      </c>
      <c r="H40" s="2" t="s">
        <v>108</v>
      </c>
      <c r="I40" s="2" t="s">
        <v>109</v>
      </c>
      <c r="J40" s="2" t="s">
        <v>110</v>
      </c>
      <c r="K40" s="2" t="s">
        <v>111</v>
      </c>
      <c r="L40" s="2" t="s">
        <v>112</v>
      </c>
    </row>
    <row r="41" customFormat="false" ht="15" hidden="false" customHeight="false" outlineLevel="0" collapsed="false">
      <c r="A41" s="0" t="s">
        <v>113</v>
      </c>
      <c r="C41" s="3" t="n">
        <v>4</v>
      </c>
      <c r="D41" s="3" t="n">
        <v>4</v>
      </c>
      <c r="E41" s="3" t="n">
        <v>4</v>
      </c>
      <c r="F41" s="3" t="n">
        <v>3.5</v>
      </c>
      <c r="G41" s="3" t="n">
        <v>3.5</v>
      </c>
      <c r="H41" s="3" t="n">
        <v>3.5</v>
      </c>
      <c r="I41" s="3" t="n">
        <v>3</v>
      </c>
      <c r="J41" s="3" t="n">
        <v>3</v>
      </c>
      <c r="K41" s="3" t="n">
        <v>3</v>
      </c>
      <c r="L41" s="3" t="n">
        <v>3</v>
      </c>
    </row>
    <row r="42" customFormat="false" ht="15" hidden="false" customHeight="false" outlineLevel="0" collapsed="false">
      <c r="A42" s="0" t="s">
        <v>114</v>
      </c>
      <c r="C42" s="3" t="n">
        <v>24</v>
      </c>
      <c r="D42" s="3" t="n">
        <v>26</v>
      </c>
      <c r="E42" s="3" t="n">
        <v>28</v>
      </c>
      <c r="F42" s="3" t="n">
        <v>29</v>
      </c>
      <c r="G42" s="3" t="n">
        <v>30</v>
      </c>
      <c r="H42" s="3" t="n">
        <v>30</v>
      </c>
      <c r="I42" s="3" t="n">
        <v>30</v>
      </c>
      <c r="J42" s="3" t="n">
        <v>30</v>
      </c>
      <c r="K42" s="3" t="n">
        <v>30</v>
      </c>
      <c r="L42" s="3" t="n">
        <v>30</v>
      </c>
    </row>
    <row r="43" customFormat="false" ht="15" hidden="false" customHeight="false" outlineLevel="0" collapsed="false">
      <c r="A43" s="0" t="s">
        <v>115</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117</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118</v>
      </c>
      <c r="C46" s="3" t="n">
        <v>13.55</v>
      </c>
      <c r="D46" s="3" t="n">
        <v>13.49</v>
      </c>
      <c r="E46" s="3" t="n">
        <v>13.42</v>
      </c>
      <c r="F46" s="3" t="n">
        <v>13.42</v>
      </c>
      <c r="G46" s="3" t="n">
        <v>13.42</v>
      </c>
      <c r="H46" s="3" t="n">
        <v>11.51</v>
      </c>
      <c r="I46" s="3" t="n">
        <v>11.51</v>
      </c>
      <c r="J46" s="3" t="n">
        <v>11.51</v>
      </c>
      <c r="K46" s="3" t="n">
        <v>11.51</v>
      </c>
      <c r="L46" s="3" t="n">
        <v>11.51</v>
      </c>
    </row>
    <row r="47" customFormat="false" ht="15" hidden="false" customHeight="false" outlineLevel="0" collapsed="false">
      <c r="A47" s="0" t="s">
        <v>119</v>
      </c>
      <c r="C47" s="3" t="n">
        <v>17.5</v>
      </c>
      <c r="D47" s="3" t="n">
        <v>17.5</v>
      </c>
      <c r="E47" s="3" t="n">
        <v>17.5</v>
      </c>
      <c r="F47" s="3" t="n">
        <v>17.5</v>
      </c>
      <c r="G47" s="3" t="n">
        <v>17.5</v>
      </c>
      <c r="H47" s="3" t="n">
        <v>17.5</v>
      </c>
      <c r="I47" s="3" t="n">
        <v>17.5</v>
      </c>
      <c r="J47" s="3" t="n">
        <v>17.5</v>
      </c>
      <c r="K47" s="3" t="n">
        <v>17.5</v>
      </c>
      <c r="L47" s="3" t="n">
        <v>17.5</v>
      </c>
    </row>
    <row r="48" customFormat="false" ht="15" hidden="false" customHeight="false" outlineLevel="0" collapsed="false">
      <c r="A48" s="0" t="s">
        <v>120</v>
      </c>
      <c r="B48" s="3" t="n">
        <v>11</v>
      </c>
    </row>
    <row r="49" customFormat="false" ht="15" hidden="false" customHeight="false" outlineLevel="0" collapsed="false">
      <c r="A49" s="0" t="s">
        <v>121</v>
      </c>
      <c r="B49" s="3" t="n">
        <v>3</v>
      </c>
    </row>
    <row r="50" customFormat="false" ht="15" hidden="false" customHeight="false" outlineLevel="0" collapsed="false">
      <c r="A50" s="0" t="s">
        <v>122</v>
      </c>
      <c r="B50" s="3" t="n">
        <v>18</v>
      </c>
    </row>
    <row r="51" customFormat="false" ht="15" hidden="false" customHeight="false" outlineLevel="0" collapsed="false">
      <c r="A51" s="0" t="s">
        <v>123</v>
      </c>
      <c r="B51" s="3" t="n">
        <v>0</v>
      </c>
    </row>
    <row r="52" customFormat="false" ht="15" hidden="false" customHeight="false" outlineLevel="0" collapsed="false">
      <c r="A52" s="0" t="s">
        <v>124</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127</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Assumptions!C13</f>
        <v>-1</v>
      </c>
      <c r="D5" s="4" t="n">
        <f aca="false">Assumptions!D13</f>
        <v>0</v>
      </c>
      <c r="E5" s="4" t="n">
        <f aca="false">Assumptions!E13</f>
        <v>1</v>
      </c>
      <c r="F5" s="4" t="n">
        <f aca="false">Assumptions!F13</f>
        <v>1.5</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144700</v>
      </c>
      <c r="C6" s="0" t="n">
        <f aca="false">B6*(1+C5/100)</f>
        <v>143253</v>
      </c>
      <c r="D6" s="0" t="n">
        <f aca="false">C6*(1+D5/100)</f>
        <v>143253</v>
      </c>
      <c r="E6" s="0" t="n">
        <f aca="false">D6*(1+E5/100)</f>
        <v>144685.53</v>
      </c>
      <c r="F6" s="0" t="n">
        <f aca="false">E6*(1+F5/100)</f>
        <v>146855.81295</v>
      </c>
      <c r="G6" s="0" t="n">
        <f aca="false">F6*(1+G5/100)</f>
        <v>149792.929209</v>
      </c>
      <c r="H6" s="0" t="n">
        <f aca="false">G6*(1+H5/100)</f>
        <v>152788.78779318</v>
      </c>
      <c r="I6" s="0" t="n">
        <f aca="false">H6*(1+I5/100)</f>
        <v>155844.563549044</v>
      </c>
      <c r="J6" s="0" t="n">
        <f aca="false">I6*(1+J5/100)</f>
        <v>158961.454820025</v>
      </c>
      <c r="K6" s="0" t="n">
        <f aca="false">J6*(1+K5/100)</f>
        <v>162140.683916425</v>
      </c>
      <c r="L6" s="0" t="n">
        <f aca="false">K6*(1+L5/100)</f>
        <v>165383.497594753</v>
      </c>
    </row>
    <row r="7" customFormat="false" ht="15" hidden="false" customHeight="false" outlineLevel="0" collapsed="false">
      <c r="A7" s="0" t="s">
        <v>114</v>
      </c>
      <c r="C7" s="4" t="n">
        <f aca="false">Assumptions!C14</f>
        <v>18</v>
      </c>
      <c r="D7" s="4" t="n">
        <f aca="false">Assumptions!D14</f>
        <v>17</v>
      </c>
      <c r="E7" s="4" t="n">
        <f aca="false">Assumptions!E14</f>
        <v>18</v>
      </c>
      <c r="F7" s="4" t="n">
        <f aca="false">Assumptions!F14</f>
        <v>19</v>
      </c>
      <c r="G7" s="4" t="n">
        <f aca="false">Assumptions!G14</f>
        <v>20</v>
      </c>
      <c r="H7" s="4" t="n">
        <f aca="false">Assumptions!H14</f>
        <v>21</v>
      </c>
      <c r="I7" s="4" t="n">
        <f aca="false">Assumptions!I14</f>
        <v>21</v>
      </c>
      <c r="J7" s="4" t="n">
        <f aca="false">Assumptions!J14</f>
        <v>21</v>
      </c>
      <c r="K7" s="4" t="n">
        <f aca="false">Assumptions!K14</f>
        <v>21</v>
      </c>
      <c r="L7" s="4" t="n">
        <f aca="false">Assumptions!L14</f>
        <v>21</v>
      </c>
    </row>
    <row r="8" customFormat="false" ht="15" hidden="false" customHeight="false" outlineLevel="0" collapsed="false">
      <c r="A8" s="0" t="s">
        <v>44</v>
      </c>
      <c r="C8" s="0" t="n">
        <f aca="false">C6*C7/100</f>
        <v>25785.54</v>
      </c>
      <c r="D8" s="0" t="n">
        <f aca="false">D6*D7/100</f>
        <v>24353.01</v>
      </c>
      <c r="E8" s="0" t="n">
        <f aca="false">E6*E7/100</f>
        <v>26043.3954</v>
      </c>
      <c r="F8" s="0" t="n">
        <f aca="false">F6*F7/100</f>
        <v>27902.6044605</v>
      </c>
      <c r="G8" s="0" t="n">
        <f aca="false">G6*G7/100</f>
        <v>29958.5858418</v>
      </c>
      <c r="H8" s="0" t="n">
        <f aca="false">H6*H7/100</f>
        <v>32085.6454365678</v>
      </c>
      <c r="I8" s="0" t="n">
        <f aca="false">I6*I7/100</f>
        <v>32727.3583452992</v>
      </c>
      <c r="J8" s="0" t="n">
        <f aca="false">J6*J7/100</f>
        <v>33381.9055122051</v>
      </c>
      <c r="K8" s="0" t="n">
        <f aca="false">K6*K7/100</f>
        <v>34049.5436224492</v>
      </c>
      <c r="L8" s="0" t="n">
        <f aca="false">L6*L7/100</f>
        <v>34730.5344948982</v>
      </c>
    </row>
    <row r="9" customFormat="false" ht="15" hidden="false" customHeight="false" outlineLevel="0" collapsed="false">
      <c r="A9" s="0" t="s">
        <v>115</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130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131</v>
      </c>
      <c r="C11" s="0" t="n">
        <f aca="false">C8+C10+C24</f>
        <v>25785.54</v>
      </c>
      <c r="D11" s="0" t="n">
        <f aca="false">D8+D10+D24</f>
        <v>24353.01</v>
      </c>
      <c r="E11" s="0" t="n">
        <f aca="false">E8+E10+E24</f>
        <v>26043.3954</v>
      </c>
      <c r="F11" s="0" t="n">
        <f aca="false">F8+F10+F24</f>
        <v>27902.6044605</v>
      </c>
      <c r="G11" s="0" t="n">
        <f aca="false">G8+G10+G24</f>
        <v>29958.5858418</v>
      </c>
      <c r="H11" s="0" t="n">
        <f aca="false">H8+H10+H24</f>
        <v>32085.6454365678</v>
      </c>
      <c r="I11" s="0" t="n">
        <f aca="false">I8+I10+I24</f>
        <v>32727.3583452992</v>
      </c>
      <c r="J11" s="0" t="n">
        <f aca="false">J8+J10+J24</f>
        <v>33381.9055122051</v>
      </c>
      <c r="K11" s="0" t="n">
        <f aca="false">K8+K10+K24</f>
        <v>34049.5436224492</v>
      </c>
      <c r="L11" s="0" t="n">
        <f aca="false">L8+L10+L24</f>
        <v>34730.5344948982</v>
      </c>
    </row>
    <row r="12" customFormat="false" ht="15" hidden="false" customHeight="false" outlineLevel="0" collapsed="false">
      <c r="A12" s="0" t="s">
        <v>132</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133</v>
      </c>
      <c r="C13" s="0" t="n">
        <f aca="false">C11+C12</f>
        <v>25785.54</v>
      </c>
      <c r="D13" s="0" t="n">
        <f aca="false">D11+D12</f>
        <v>24353.01</v>
      </c>
      <c r="E13" s="0" t="n">
        <f aca="false">E11+E12</f>
        <v>26043.3954</v>
      </c>
      <c r="F13" s="0" t="n">
        <f aca="false">F11+F12</f>
        <v>27902.6044605</v>
      </c>
      <c r="G13" s="0" t="n">
        <f aca="false">G11+G12</f>
        <v>29958.5858418</v>
      </c>
      <c r="H13" s="0" t="n">
        <f aca="false">H11+H12</f>
        <v>32085.6454365678</v>
      </c>
      <c r="I13" s="0" t="n">
        <f aca="false">I11+I12</f>
        <v>32727.3583452992</v>
      </c>
      <c r="J13" s="0" t="n">
        <f aca="false">J11+J12</f>
        <v>33381.9055122051</v>
      </c>
      <c r="K13" s="0" t="n">
        <f aca="false">K11+K12</f>
        <v>34049.5436224492</v>
      </c>
      <c r="L13" s="0" t="n">
        <f aca="false">L11+L12</f>
        <v>34730.5344948982</v>
      </c>
    </row>
    <row r="14" customFormat="false" ht="15" hidden="false" customHeight="false" outlineLevel="0" collapsed="false">
      <c r="A14" s="0" t="s">
        <v>119</v>
      </c>
      <c r="C14" s="4" t="n">
        <f aca="false">Assumptions!C19</f>
        <v>21</v>
      </c>
      <c r="D14" s="4" t="n">
        <f aca="false">Assumptions!D19</f>
        <v>21</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134</v>
      </c>
      <c r="C15" s="0" t="n">
        <f aca="false">C13-MAX(0,C13)*C14/100</f>
        <v>20370.5766</v>
      </c>
      <c r="D15" s="0" t="n">
        <f aca="false">D13-MAX(0,D13)*D14/100</f>
        <v>19238.8779</v>
      </c>
      <c r="E15" s="0" t="n">
        <f aca="false">E13-MAX(0,E13)*E14/100</f>
        <v>20574.282366</v>
      </c>
      <c r="F15" s="0" t="n">
        <f aca="false">F13-MAX(0,F13)*F14/100</f>
        <v>22043.057523795</v>
      </c>
      <c r="G15" s="0" t="n">
        <f aca="false">G13-MAX(0,G13)*G14/100</f>
        <v>23667.282815022</v>
      </c>
      <c r="H15" s="0" t="n">
        <f aca="false">H13-MAX(0,H13)*H14/100</f>
        <v>25347.6598948886</v>
      </c>
      <c r="I15" s="0" t="n">
        <f aca="false">I13-MAX(0,I13)*I14/100</f>
        <v>25854.6130927863</v>
      </c>
      <c r="J15" s="0" t="n">
        <f aca="false">J13-MAX(0,J13)*J14/100</f>
        <v>26371.7053546421</v>
      </c>
      <c r="K15" s="0" t="n">
        <f aca="false">K13-MAX(0,K13)*K14/100</f>
        <v>26899.1394617349</v>
      </c>
      <c r="L15" s="0" t="n">
        <f aca="false">L13-MAX(0,L13)*L14/100</f>
        <v>27437.1222509696</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-C6*Assumptions!C18/100</f>
        <v>-17476.866</v>
      </c>
      <c r="D17" s="4" t="n">
        <f aca="false">-D6*Assumptions!D18/100</f>
        <v>-18006.9021</v>
      </c>
      <c r="E17" s="4" t="n">
        <f aca="false">-E6*Assumptions!E18/100</f>
        <v>-18548.684946</v>
      </c>
      <c r="F17" s="4" t="n">
        <f aca="false">-F6*Assumptions!F18/100</f>
        <v>-15919.17012378</v>
      </c>
      <c r="G17" s="4" t="n">
        <f aca="false">-G6*Assumptions!G18/100</f>
        <v>-16312.4499908601</v>
      </c>
      <c r="H17" s="4" t="n">
        <f aca="false">-H6*Assumptions!H18/100</f>
        <v>-16730.3722633532</v>
      </c>
      <c r="I17" s="4" t="n">
        <f aca="false">-I6*Assumptions!I18/100</f>
        <v>-13714.3215923158</v>
      </c>
      <c r="J17" s="4" t="n">
        <f aca="false">-J6*Assumptions!J18/100</f>
        <v>-13988.6080241622</v>
      </c>
      <c r="K17" s="4" t="n">
        <f aca="false">-K6*Assumptions!K18/100</f>
        <v>-14268.3801846454</v>
      </c>
      <c r="L17" s="4" t="n">
        <f aca="false">-L6*Assumptions!L18/100</f>
        <v>-14553.7477883383</v>
      </c>
    </row>
    <row r="18" customFormat="false" ht="15" hidden="false" customHeight="false" outlineLevel="0" collapsed="false">
      <c r="A18" s="0" t="s">
        <v>137</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138</v>
      </c>
      <c r="C19" s="0" t="n">
        <f aca="false">C15+C16+C17+C18</f>
        <v>2893.7106</v>
      </c>
      <c r="D19" s="0" t="n">
        <f aca="false">D15+D16+D17+D18</f>
        <v>1231.9758</v>
      </c>
      <c r="E19" s="0" t="n">
        <f aca="false">E15+E16+E17+E18</f>
        <v>2025.59742</v>
      </c>
      <c r="F19" s="0" t="n">
        <f aca="false">F15+F16+F17+F18</f>
        <v>6123.887400015</v>
      </c>
      <c r="G19" s="0" t="n">
        <f aca="false">G15+G16+G17+G18</f>
        <v>7354.8328241619</v>
      </c>
      <c r="H19" s="0" t="n">
        <f aca="false">H15+H16+H17+H18</f>
        <v>8617.28763153535</v>
      </c>
      <c r="I19" s="0" t="n">
        <f aca="false">I15+I16+I17+I18</f>
        <v>12140.2915004705</v>
      </c>
      <c r="J19" s="0" t="n">
        <f aca="false">J15+J16+J17+J18</f>
        <v>12383.0973304799</v>
      </c>
      <c r="K19" s="0" t="n">
        <f aca="false">K15+K16+K17+K18</f>
        <v>12630.7592770895</v>
      </c>
      <c r="L19" s="0" t="n">
        <f aca="false">L15+L16+L17+L18</f>
        <v>12883.3744626313</v>
      </c>
    </row>
    <row r="20" customFormat="false" ht="15" hidden="false" customHeight="false" outlineLevel="0" collapsed="false">
      <c r="A20" s="0" t="s">
        <v>139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140</v>
      </c>
      <c r="C21" s="0" t="n">
        <f aca="false">C19*C20</f>
        <v>2606.94648648649</v>
      </c>
      <c r="D21" s="0" t="n">
        <f aca="false">D19*D20</f>
        <v>999.899196493791</v>
      </c>
      <c r="E21" s="0" t="n">
        <f aca="false">E19*E20</f>
        <v>1481.09937548944</v>
      </c>
      <c r="F21" s="0" t="n">
        <f aca="false">F19*F20</f>
        <v>4033.99431256617</v>
      </c>
      <c r="G21" s="0" t="n">
        <f aca="false">G19*G20</f>
        <v>4364.73530714756</v>
      </c>
      <c r="H21" s="0" t="n">
        <f aca="false">H19*H20</f>
        <v>4607.15386414166</v>
      </c>
      <c r="I21" s="0" t="n">
        <f aca="false">I19*I20</f>
        <v>5847.47351186774</v>
      </c>
      <c r="J21" s="0" t="n">
        <f aca="false">J19*J20</f>
        <v>5373.35403793252</v>
      </c>
      <c r="K21" s="0" t="n">
        <f aca="false">K19*K20</f>
        <v>4937.67668350556</v>
      </c>
      <c r="L21" s="0" t="n">
        <f aca="false">L19*L20</f>
        <v>4537.32451997808</v>
      </c>
    </row>
    <row r="23" customFormat="false" ht="15" hidden="false" customHeight="false" outlineLevel="0" collapsed="false">
      <c r="A23" s="0" t="s">
        <v>116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Assumptions!$B$20</f>
        <v>11</v>
      </c>
    </row>
    <row r="28" customFormat="false" ht="15" hidden="false" customHeight="false" outlineLevel="0" collapsed="false">
      <c r="A28" s="0" t="s">
        <v>121</v>
      </c>
      <c r="B28" s="4" t="n">
        <f aca="false">Assumptions!$B$21</f>
        <v>2</v>
      </c>
    </row>
    <row r="29" customFormat="false" ht="15" hidden="false" customHeight="false" outlineLevel="0" collapsed="false">
      <c r="A29" s="0" t="s">
        <v>122</v>
      </c>
      <c r="B29" s="4" t="n">
        <f aca="false">Assumptions!$B$22</f>
        <v>18</v>
      </c>
    </row>
    <row r="30" customFormat="false" ht="15" hidden="false" customHeight="false" outlineLevel="0" collapsed="false">
      <c r="A30" s="0" t="s">
        <v>143</v>
      </c>
      <c r="B30" s="0" t="n">
        <f aca="false">SUM(C21:L21)</f>
        <v>38789.657295609</v>
      </c>
    </row>
    <row r="31" customFormat="false" ht="15" hidden="false" customHeight="false" outlineLevel="0" collapsed="false">
      <c r="A31" s="0" t="s">
        <v>144</v>
      </c>
      <c r="B31" s="0" t="n">
        <f aca="false">L19</f>
        <v>12883.3744626313</v>
      </c>
    </row>
    <row r="32" customFormat="false" ht="15" hidden="false" customHeight="false" outlineLevel="0" collapsed="false">
      <c r="A32" s="0" t="s">
        <v>145</v>
      </c>
      <c r="B32" s="0" t="n">
        <f aca="false">IF(B27&gt;B28,B31*(1+B28/100)/((B27-B28)/100),B31*B29)</f>
        <v>146011.577243155</v>
      </c>
    </row>
    <row r="33" customFormat="false" ht="15" hidden="false" customHeight="false" outlineLevel="0" collapsed="false">
      <c r="A33" s="0" t="s">
        <v>146</v>
      </c>
      <c r="B33" s="0" t="n">
        <f aca="false">B31*B29</f>
        <v>231900.740327363</v>
      </c>
    </row>
    <row r="34" customFormat="false" ht="15" hidden="false" customHeight="false" outlineLevel="0" collapsed="false">
      <c r="A34" s="0" t="s">
        <v>147</v>
      </c>
      <c r="B34" s="0" t="n">
        <f aca="false">MAX(0,MIN(B32,B33))</f>
        <v>146011.577243155</v>
      </c>
    </row>
    <row r="35" customFormat="false" ht="15" hidden="false" customHeight="false" outlineLevel="0" collapsed="false">
      <c r="A35" s="0" t="s">
        <v>148</v>
      </c>
      <c r="B35" s="0" t="n">
        <f aca="false">B34/(1+B27/100)^L4</f>
        <v>51423.0112264183</v>
      </c>
    </row>
    <row r="36" customFormat="false" ht="15" hidden="false" customHeight="false" outlineLevel="0" collapsed="false">
      <c r="A36" s="0" t="s">
        <v>149</v>
      </c>
      <c r="B36" s="0" t="n">
        <f aca="false">B30+B35</f>
        <v>90212.6685220273</v>
      </c>
    </row>
    <row r="37" customFormat="false" ht="15" hidden="false" customHeight="false" outlineLevel="0" collapsed="false">
      <c r="A37" s="0" t="s">
        <v>150</v>
      </c>
      <c r="B37" s="0" t="n">
        <f aca="false">B36+Assumptions!$B$5-Assumptions!$B$4</f>
        <v>90212.6685220273</v>
      </c>
    </row>
    <row r="38" customFormat="false" ht="15" hidden="false" customHeight="false" outlineLevel="0" collapsed="false">
      <c r="A38" s="0" t="s">
        <v>151</v>
      </c>
      <c r="B38" s="0" t="n">
        <f aca="false">B37/Assumptions!$B$3*Assumptions!$B$10</f>
        <v>2.41572638470661</v>
      </c>
    </row>
    <row r="39" customFormat="false" ht="15" hidden="false" customHeight="false" outlineLevel="0" collapsed="false">
      <c r="A39" s="0" t="s">
        <v>152</v>
      </c>
      <c r="B39" s="4" t="n">
        <f aca="false">B38/Assumptions!$B$2-1</f>
        <v>-0.271274092094537</v>
      </c>
    </row>
    <row r="41" customFormat="false" ht="15" hidden="false" customHeight="false" outlineLevel="0" collapsed="false">
      <c r="A41" s="0" t="s">
        <v>153</v>
      </c>
      <c r="B41" s="0" t="n">
        <f aca="false">SUMPRODUCT(-C10:L10/(1+$B$27/100)^C4:L4)</f>
        <v>0</v>
      </c>
    </row>
    <row r="42" customFormat="false" ht="15" hidden="false" customHeight="false" outlineLevel="0" collapsed="false">
      <c r="A42" s="0" t="s">
        <v>154</v>
      </c>
      <c r="B42" s="0" t="n">
        <f aca="false">IF(B27&gt;B28,-L10*(1+B28/100)/((B27-B28)/100),-L10*20)/(1+B27/100)^L4</f>
        <v>0</v>
      </c>
    </row>
    <row r="43" customFormat="false" ht="15" hidden="false" customHeight="false" outlineLevel="0" collapsed="false">
      <c r="A43" s="0" t="s">
        <v>155</v>
      </c>
      <c r="B43" s="0" t="n">
        <f aca="false">(B37+B41+B42)/Assumptions!$B$3*Assumptions!$B$10</f>
        <v>2.41572638470661</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101084.938091415</v>
      </c>
    </row>
    <row r="47" customFormat="false" ht="15" hidden="false" customHeight="false" outlineLevel="0" collapsed="false">
      <c r="A47" s="0" t="s">
        <v>157</v>
      </c>
      <c r="B47" s="0" t="n">
        <f aca="false">(SUMPRODUCT(C19:L19/(1+B45/100)^C4:L4)+B46/(1+B45/100)^L4+Assumptions!$B$5-Assumptions!$B$4)/Assumptions!$B$3*Assumptions!$B$10</f>
        <v>1.50056315123792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158</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Assumptions!C27</f>
        <v>3</v>
      </c>
      <c r="D5" s="4" t="n">
        <f aca="false">Assumptions!D27</f>
        <v>3</v>
      </c>
      <c r="E5" s="4" t="n">
        <f aca="false">Assumptions!E27</f>
        <v>3</v>
      </c>
      <c r="F5" s="4" t="n">
        <f aca="false">Assumptions!F27</f>
        <v>3</v>
      </c>
      <c r="G5" s="4" t="n">
        <f aca="false">Assumptions!G27</f>
        <v>3</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144700</v>
      </c>
      <c r="C6" s="0" t="n">
        <f aca="false">B6*(1+C5/100)</f>
        <v>149041</v>
      </c>
      <c r="D6" s="0" t="n">
        <f aca="false">C6*(1+D5/100)</f>
        <v>153512.23</v>
      </c>
      <c r="E6" s="0" t="n">
        <f aca="false">D6*(1+E5/100)</f>
        <v>158117.5969</v>
      </c>
      <c r="F6" s="0" t="n">
        <f aca="false">E6*(1+F5/100)</f>
        <v>162861.124807</v>
      </c>
      <c r="G6" s="0" t="n">
        <f aca="false">F6*(1+G5/100)</f>
        <v>167746.95855121</v>
      </c>
      <c r="H6" s="0" t="n">
        <f aca="false">G6*(1+H5/100)</f>
        <v>171940.63251499</v>
      </c>
      <c r="I6" s="0" t="n">
        <f aca="false">H6*(1+I5/100)</f>
        <v>176239.148327865</v>
      </c>
      <c r="J6" s="0" t="n">
        <f aca="false">I6*(1+J5/100)</f>
        <v>180645.127036062</v>
      </c>
      <c r="K6" s="0" t="n">
        <f aca="false">J6*(1+K5/100)</f>
        <v>185161.255211963</v>
      </c>
      <c r="L6" s="0" t="n">
        <f aca="false">K6*(1+L5/100)</f>
        <v>189790.286592262</v>
      </c>
    </row>
    <row r="7" customFormat="false" ht="15" hidden="false" customHeight="false" outlineLevel="0" collapsed="false">
      <c r="A7" s="0" t="s">
        <v>114</v>
      </c>
      <c r="C7" s="4" t="n">
        <f aca="false">Assumptions!C28</f>
        <v>21.5</v>
      </c>
      <c r="D7" s="4" t="n">
        <f aca="false">Assumptions!D28</f>
        <v>22.5</v>
      </c>
      <c r="E7" s="4" t="n">
        <f aca="false">Assumptions!E28</f>
        <v>23.5</v>
      </c>
      <c r="F7" s="4" t="n">
        <f aca="false">Assumptions!F28</f>
        <v>24.5</v>
      </c>
      <c r="G7" s="4" t="n">
        <f aca="false">Assumptions!G28</f>
        <v>25</v>
      </c>
      <c r="H7" s="4" t="n">
        <f aca="false">Assumptions!H28</f>
        <v>25.5</v>
      </c>
      <c r="I7" s="4" t="n">
        <f aca="false">Assumptions!I28</f>
        <v>26</v>
      </c>
      <c r="J7" s="4" t="n">
        <f aca="false">Assumptions!J28</f>
        <v>26</v>
      </c>
      <c r="K7" s="4" t="n">
        <f aca="false">Assumptions!K28</f>
        <v>26</v>
      </c>
      <c r="L7" s="4" t="n">
        <f aca="false">Assumptions!L28</f>
        <v>26</v>
      </c>
    </row>
    <row r="8" customFormat="false" ht="15" hidden="false" customHeight="false" outlineLevel="0" collapsed="false">
      <c r="A8" s="0" t="s">
        <v>44</v>
      </c>
      <c r="C8" s="0" t="n">
        <f aca="false">C6*C7/100</f>
        <v>32043.815</v>
      </c>
      <c r="D8" s="0" t="n">
        <f aca="false">D6*D7/100</f>
        <v>34540.25175</v>
      </c>
      <c r="E8" s="0" t="n">
        <f aca="false">E6*E7/100</f>
        <v>37157.6352715</v>
      </c>
      <c r="F8" s="0" t="n">
        <f aca="false">F6*F7/100</f>
        <v>39900.975577715</v>
      </c>
      <c r="G8" s="0" t="n">
        <f aca="false">G6*G7/100</f>
        <v>41936.7396378025</v>
      </c>
      <c r="H8" s="0" t="n">
        <f aca="false">H6*H7/100</f>
        <v>43844.8612913225</v>
      </c>
      <c r="I8" s="0" t="n">
        <f aca="false">I6*I7/100</f>
        <v>45822.1785652449</v>
      </c>
      <c r="J8" s="0" t="n">
        <f aca="false">J6*J7/100</f>
        <v>46967.733029376</v>
      </c>
      <c r="K8" s="0" t="n">
        <f aca="false">K6*K7/100</f>
        <v>48141.9263551104</v>
      </c>
      <c r="L8" s="0" t="n">
        <f aca="false">L6*L7/100</f>
        <v>49345.4745139882</v>
      </c>
    </row>
    <row r="9" customFormat="false" ht="15" hidden="false" customHeight="false" outlineLevel="0" collapsed="false">
      <c r="A9" s="0" t="s">
        <v>115</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130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131</v>
      </c>
      <c r="C11" s="0" t="n">
        <f aca="false">C8+C10+C24</f>
        <v>32043.815</v>
      </c>
      <c r="D11" s="0" t="n">
        <f aca="false">D8+D10+D24</f>
        <v>34540.25175</v>
      </c>
      <c r="E11" s="0" t="n">
        <f aca="false">E8+E10+E24</f>
        <v>37157.6352715</v>
      </c>
      <c r="F11" s="0" t="n">
        <f aca="false">F8+F10+F24</f>
        <v>39900.975577715</v>
      </c>
      <c r="G11" s="0" t="n">
        <f aca="false">G8+G10+G24</f>
        <v>41936.7396378025</v>
      </c>
      <c r="H11" s="0" t="n">
        <f aca="false">H8+H10+H24</f>
        <v>43844.8612913225</v>
      </c>
      <c r="I11" s="0" t="n">
        <f aca="false">I8+I10+I24</f>
        <v>45822.1785652449</v>
      </c>
      <c r="J11" s="0" t="n">
        <f aca="false">J8+J10+J24</f>
        <v>46967.733029376</v>
      </c>
      <c r="K11" s="0" t="n">
        <f aca="false">K8+K10+K24</f>
        <v>48141.9263551104</v>
      </c>
      <c r="L11" s="0" t="n">
        <f aca="false">L8+L10+L24</f>
        <v>49345.4745139882</v>
      </c>
    </row>
    <row r="12" customFormat="false" ht="15" hidden="false" customHeight="false" outlineLevel="0" collapsed="false">
      <c r="A12" s="0" t="s">
        <v>132</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133</v>
      </c>
      <c r="C13" s="0" t="n">
        <f aca="false">C11+C12</f>
        <v>32043.815</v>
      </c>
      <c r="D13" s="0" t="n">
        <f aca="false">D11+D12</f>
        <v>34540.25175</v>
      </c>
      <c r="E13" s="0" t="n">
        <f aca="false">E11+E12</f>
        <v>37157.6352715</v>
      </c>
      <c r="F13" s="0" t="n">
        <f aca="false">F11+F12</f>
        <v>39900.975577715</v>
      </c>
      <c r="G13" s="0" t="n">
        <f aca="false">G11+G12</f>
        <v>41936.7396378025</v>
      </c>
      <c r="H13" s="0" t="n">
        <f aca="false">H11+H12</f>
        <v>43844.8612913225</v>
      </c>
      <c r="I13" s="0" t="n">
        <f aca="false">I11+I12</f>
        <v>45822.1785652449</v>
      </c>
      <c r="J13" s="0" t="n">
        <f aca="false">J11+J12</f>
        <v>46967.733029376</v>
      </c>
      <c r="K13" s="0" t="n">
        <f aca="false">K11+K12</f>
        <v>48141.9263551104</v>
      </c>
      <c r="L13" s="0" t="n">
        <f aca="false">L11+L12</f>
        <v>49345.4745139882</v>
      </c>
    </row>
    <row r="14" customFormat="false" ht="15" hidden="false" customHeight="false" outlineLevel="0" collapsed="false">
      <c r="A14" s="0" t="s">
        <v>119</v>
      </c>
      <c r="C14" s="4" t="n">
        <f aca="false">Assumptions!C33</f>
        <v>18.5</v>
      </c>
      <c r="D14" s="4" t="n">
        <f aca="false">Assumptions!D33</f>
        <v>18.5</v>
      </c>
      <c r="E14" s="4" t="n">
        <f aca="false">Assumptions!E33</f>
        <v>18.5</v>
      </c>
      <c r="F14" s="4" t="n">
        <f aca="false">Assumptions!F33</f>
        <v>18.5</v>
      </c>
      <c r="G14" s="4" t="n">
        <f aca="false">Assumptions!G33</f>
        <v>18.5</v>
      </c>
      <c r="H14" s="4" t="n">
        <f aca="false">Assumptions!H33</f>
        <v>18.5</v>
      </c>
      <c r="I14" s="4" t="n">
        <f aca="false">Assumptions!I33</f>
        <v>18.5</v>
      </c>
      <c r="J14" s="4" t="n">
        <f aca="false">Assumptions!J33</f>
        <v>18.5</v>
      </c>
      <c r="K14" s="4" t="n">
        <f aca="false">Assumptions!K33</f>
        <v>18.5</v>
      </c>
      <c r="L14" s="4" t="n">
        <f aca="false">Assumptions!L33</f>
        <v>18.5</v>
      </c>
    </row>
    <row r="15" customFormat="false" ht="15" hidden="false" customHeight="false" outlineLevel="0" collapsed="false">
      <c r="A15" s="0" t="s">
        <v>134</v>
      </c>
      <c r="C15" s="0" t="n">
        <f aca="false">C13-MAX(0,C13)*C14/100</f>
        <v>26115.709225</v>
      </c>
      <c r="D15" s="0" t="n">
        <f aca="false">D13-MAX(0,D13)*D14/100</f>
        <v>28150.30517625</v>
      </c>
      <c r="E15" s="0" t="n">
        <f aca="false">E13-MAX(0,E13)*E14/100</f>
        <v>30283.4727462725</v>
      </c>
      <c r="F15" s="0" t="n">
        <f aca="false">F13-MAX(0,F13)*F14/100</f>
        <v>32519.2950958377</v>
      </c>
      <c r="G15" s="0" t="n">
        <f aca="false">G13-MAX(0,G13)*G14/100</f>
        <v>34178.442804809</v>
      </c>
      <c r="H15" s="0" t="n">
        <f aca="false">H13-MAX(0,H13)*H14/100</f>
        <v>35733.5619524279</v>
      </c>
      <c r="I15" s="0" t="n">
        <f aca="false">I13-MAX(0,I13)*I14/100</f>
        <v>37345.0755306746</v>
      </c>
      <c r="J15" s="0" t="n">
        <f aca="false">J13-MAX(0,J13)*J14/100</f>
        <v>38278.7024189415</v>
      </c>
      <c r="K15" s="0" t="n">
        <f aca="false">K13-MAX(0,K13)*K14/100</f>
        <v>39235.669979415</v>
      </c>
      <c r="L15" s="0" t="n">
        <f aca="false">L13-MAX(0,L13)*L14/100</f>
        <v>40216.5617289004</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-C6*Assumptions!C32/100</f>
        <v>-17482.5093</v>
      </c>
      <c r="D17" s="4" t="n">
        <f aca="false">-D6*Assumptions!D32/100</f>
        <v>-18006.984579</v>
      </c>
      <c r="E17" s="4" t="n">
        <f aca="false">-E6*Assumptions!E32/100</f>
        <v>-18547.19411637</v>
      </c>
      <c r="F17" s="4" t="n">
        <f aca="false">-F6*Assumptions!F32/100</f>
        <v>-19103.6099398611</v>
      </c>
      <c r="G17" s="4" t="n">
        <f aca="false">-G6*Assumptions!G32/100</f>
        <v>-19676.7182380569</v>
      </c>
      <c r="H17" s="4" t="n">
        <f aca="false">-H6*Assumptions!H32/100</f>
        <v>-16884.570112972</v>
      </c>
      <c r="I17" s="4" t="n">
        <f aca="false">-I6*Assumptions!I32/100</f>
        <v>-17306.6843657963</v>
      </c>
      <c r="J17" s="4" t="n">
        <f aca="false">-J6*Assumptions!J32/100</f>
        <v>-17739.3514749413</v>
      </c>
      <c r="K17" s="4" t="n">
        <f aca="false">-K6*Assumptions!K32/100</f>
        <v>-18182.8352618148</v>
      </c>
      <c r="L17" s="4" t="n">
        <f aca="false">-L6*Assumptions!L32/100</f>
        <v>-18637.4061433601</v>
      </c>
    </row>
    <row r="18" customFormat="false" ht="15" hidden="false" customHeight="false" outlineLevel="0" collapsed="false">
      <c r="A18" s="0" t="s">
        <v>137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138</v>
      </c>
      <c r="C19" s="0" t="n">
        <f aca="false">C15+C16+C17+C18</f>
        <v>8633.199925</v>
      </c>
      <c r="D19" s="0" t="n">
        <f aca="false">D15+D16+D17+D18</f>
        <v>10143.32059725</v>
      </c>
      <c r="E19" s="0" t="n">
        <f aca="false">E15+E16+E17+E18</f>
        <v>11736.2786299025</v>
      </c>
      <c r="F19" s="0" t="n">
        <f aca="false">F15+F16+F17+F18</f>
        <v>13415.6851559766</v>
      </c>
      <c r="G19" s="0" t="n">
        <f aca="false">G15+G16+G17+G18</f>
        <v>14501.7245667521</v>
      </c>
      <c r="H19" s="0" t="n">
        <f aca="false">H15+H16+H17+H18</f>
        <v>18848.9918394558</v>
      </c>
      <c r="I19" s="0" t="n">
        <f aca="false">I15+I16+I17+I18</f>
        <v>20038.3911648783</v>
      </c>
      <c r="J19" s="0" t="n">
        <f aca="false">J15+J16+J17+J18</f>
        <v>20539.3509440002</v>
      </c>
      <c r="K19" s="0" t="n">
        <f aca="false">K15+K16+K17+K18</f>
        <v>21052.8347176002</v>
      </c>
      <c r="L19" s="0" t="n">
        <f aca="false">L15+L16+L17+L18</f>
        <v>21579.1555855402</v>
      </c>
    </row>
    <row r="20" customFormat="false" ht="15" hidden="false" customHeight="false" outlineLevel="0" collapsed="false">
      <c r="A20" s="0" t="s">
        <v>139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140</v>
      </c>
      <c r="C21" s="0" t="n">
        <f aca="false">C19*C20</f>
        <v>7777.65759009009</v>
      </c>
      <c r="D21" s="0" t="n">
        <f aca="false">D19*D20</f>
        <v>8232.54654431458</v>
      </c>
      <c r="E21" s="0" t="n">
        <f aca="false">E19*E20</f>
        <v>8581.46578273124</v>
      </c>
      <c r="F21" s="0" t="n">
        <f aca="false">F19*F20</f>
        <v>8837.3273516191</v>
      </c>
      <c r="G21" s="0" t="n">
        <f aca="false">G19*G20</f>
        <v>8606.06770327846</v>
      </c>
      <c r="H21" s="0" t="n">
        <f aca="false">H19*H20</f>
        <v>10077.4407564775</v>
      </c>
      <c r="I21" s="0" t="n">
        <f aca="false">I19*I20</f>
        <v>9651.65964528357</v>
      </c>
      <c r="J21" s="0" t="n">
        <f aca="false">J19*J20</f>
        <v>8912.56859136545</v>
      </c>
      <c r="K21" s="0" t="n">
        <f aca="false">K19*K20</f>
        <v>8230.07460013476</v>
      </c>
      <c r="L21" s="0" t="n">
        <f aca="false">L19*L20</f>
        <v>7599.84366228661</v>
      </c>
    </row>
    <row r="23" customFormat="false" ht="15" hidden="false" customHeight="false" outlineLevel="0" collapsed="false">
      <c r="A23" s="0" t="s">
        <v>116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Assumptions!$B$34</f>
        <v>11</v>
      </c>
    </row>
    <row r="28" customFormat="false" ht="15" hidden="false" customHeight="false" outlineLevel="0" collapsed="false">
      <c r="A28" s="0" t="s">
        <v>121</v>
      </c>
      <c r="B28" s="4" t="n">
        <f aca="false">Assumptions!$B$35</f>
        <v>2.5</v>
      </c>
    </row>
    <row r="29" customFormat="false" ht="15" hidden="false" customHeight="false" outlineLevel="0" collapsed="false">
      <c r="A29" s="0" t="s">
        <v>122</v>
      </c>
      <c r="B29" s="4" t="n">
        <f aca="false">Assumptions!$B$36</f>
        <v>18</v>
      </c>
    </row>
    <row r="30" customFormat="false" ht="15" hidden="false" customHeight="false" outlineLevel="0" collapsed="false">
      <c r="A30" s="0" t="s">
        <v>143</v>
      </c>
      <c r="B30" s="0" t="n">
        <f aca="false">SUM(C21:L21)</f>
        <v>86506.6522275813</v>
      </c>
    </row>
    <row r="31" customFormat="false" ht="15" hidden="false" customHeight="false" outlineLevel="0" collapsed="false">
      <c r="A31" s="0" t="s">
        <v>144</v>
      </c>
      <c r="B31" s="0" t="n">
        <f aca="false">L19</f>
        <v>21579.1555855402</v>
      </c>
    </row>
    <row r="32" customFormat="false" ht="15" hidden="false" customHeight="false" outlineLevel="0" collapsed="false">
      <c r="A32" s="0" t="s">
        <v>145</v>
      </c>
      <c r="B32" s="0" t="n">
        <f aca="false">IF(B27&gt;B28,B31*(1+B28/100)/((B27-B28)/100),B31*B29)</f>
        <v>260219.22911975</v>
      </c>
    </row>
    <row r="33" customFormat="false" ht="15" hidden="false" customHeight="false" outlineLevel="0" collapsed="false">
      <c r="A33" s="0" t="s">
        <v>146</v>
      </c>
      <c r="B33" s="0" t="n">
        <f aca="false">B31*B29</f>
        <v>388424.800539724</v>
      </c>
    </row>
    <row r="34" customFormat="false" ht="15" hidden="false" customHeight="false" outlineLevel="0" collapsed="false">
      <c r="A34" s="0" t="s">
        <v>147</v>
      </c>
      <c r="B34" s="0" t="n">
        <f aca="false">MAX(0,MIN(B32,B33))</f>
        <v>260219.22911975</v>
      </c>
    </row>
    <row r="35" customFormat="false" ht="15" hidden="false" customHeight="false" outlineLevel="0" collapsed="false">
      <c r="A35" s="0" t="s">
        <v>148</v>
      </c>
      <c r="B35" s="0" t="n">
        <f aca="false">B34/(1+B27/100)^L4</f>
        <v>91645.1735746326</v>
      </c>
    </row>
    <row r="36" customFormat="false" ht="15" hidden="false" customHeight="false" outlineLevel="0" collapsed="false">
      <c r="A36" s="0" t="s">
        <v>149</v>
      </c>
      <c r="B36" s="0" t="n">
        <f aca="false">B30+B35</f>
        <v>178151.825802214</v>
      </c>
    </row>
    <row r="37" customFormat="false" ht="15" hidden="false" customHeight="false" outlineLevel="0" collapsed="false">
      <c r="A37" s="0" t="s">
        <v>150</v>
      </c>
      <c r="B37" s="0" t="n">
        <f aca="false">B36+Assumptions!$B$5-Assumptions!$B$4</f>
        <v>178151.825802214</v>
      </c>
    </row>
    <row r="38" customFormat="false" ht="15" hidden="false" customHeight="false" outlineLevel="0" collapsed="false">
      <c r="A38" s="0" t="s">
        <v>151</v>
      </c>
      <c r="B38" s="0" t="n">
        <f aca="false">B37/Assumptions!$B$3*Assumptions!$B$10</f>
        <v>4.77057239437476</v>
      </c>
    </row>
    <row r="39" customFormat="false" ht="15" hidden="false" customHeight="false" outlineLevel="0" collapsed="false">
      <c r="A39" s="0" t="s">
        <v>152</v>
      </c>
      <c r="B39" s="4" t="n">
        <f aca="false">B38/Assumptions!$B$2-1</f>
        <v>0.439086695135673</v>
      </c>
    </row>
    <row r="41" customFormat="false" ht="15" hidden="false" customHeight="false" outlineLevel="0" collapsed="false">
      <c r="A41" s="0" t="s">
        <v>153</v>
      </c>
      <c r="B41" s="0" t="n">
        <f aca="false">SUMPRODUCT(-C10:L10/(1+$B$27/100)^C4:L4)</f>
        <v>0</v>
      </c>
    </row>
    <row r="42" customFormat="false" ht="15" hidden="false" customHeight="false" outlineLevel="0" collapsed="false">
      <c r="A42" s="0" t="s">
        <v>154</v>
      </c>
      <c r="B42" s="0" t="n">
        <f aca="false">IF(B27&gt;B28,-L10*(1+B28/100)/((B27-B28)/100),-L10*20)/(1+B27/100)^L4</f>
        <v>0</v>
      </c>
    </row>
    <row r="43" customFormat="false" ht="15" hidden="false" customHeight="false" outlineLevel="0" collapsed="false">
      <c r="A43" s="0" t="s">
        <v>155</v>
      </c>
      <c r="B43" s="0" t="n">
        <f aca="false">(B37+B41+B42)/Assumptions!$B$3*Assumptions!$B$10</f>
        <v>4.77057239437476</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176949.07580143</v>
      </c>
    </row>
    <row r="47" customFormat="false" ht="15" hidden="false" customHeight="false" outlineLevel="0" collapsed="false">
      <c r="A47" s="0" t="s">
        <v>157</v>
      </c>
      <c r="B47" s="0" t="n">
        <f aca="false">(SUMPRODUCT(C19:L19/(1+B45/100)^C4:L4)+B46/(1+B45/100)^L4+Assumptions!$B$5-Assumptions!$B$4)/Assumptions!$B$3*Assumptions!$B$10</f>
        <v>3.08559678653043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159</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Assumptions!C41</f>
        <v>4</v>
      </c>
      <c r="D5" s="4" t="n">
        <f aca="false">Assumptions!D41</f>
        <v>4</v>
      </c>
      <c r="E5" s="4" t="n">
        <f aca="false">Assumptions!E41</f>
        <v>4</v>
      </c>
      <c r="F5" s="4" t="n">
        <f aca="false">Assumptions!F41</f>
        <v>3.5</v>
      </c>
      <c r="G5" s="4" t="n">
        <f aca="false">Assumptions!G41</f>
        <v>3.5</v>
      </c>
      <c r="H5" s="4" t="n">
        <f aca="false">Assumptions!H41</f>
        <v>3.5</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144700</v>
      </c>
      <c r="C6" s="0" t="n">
        <f aca="false">B6*(1+C5/100)</f>
        <v>150488</v>
      </c>
      <c r="D6" s="0" t="n">
        <f aca="false">C6*(1+D5/100)</f>
        <v>156507.52</v>
      </c>
      <c r="E6" s="0" t="n">
        <f aca="false">D6*(1+E5/100)</f>
        <v>162767.8208</v>
      </c>
      <c r="F6" s="0" t="n">
        <f aca="false">E6*(1+F5/100)</f>
        <v>168464.694528</v>
      </c>
      <c r="G6" s="0" t="n">
        <f aca="false">F6*(1+G5/100)</f>
        <v>174360.95883648</v>
      </c>
      <c r="H6" s="0" t="n">
        <f aca="false">G6*(1+H5/100)</f>
        <v>180463.592395757</v>
      </c>
      <c r="I6" s="0" t="n">
        <f aca="false">H6*(1+I5/100)</f>
        <v>185877.500167629</v>
      </c>
      <c r="J6" s="0" t="n">
        <f aca="false">I6*(1+J5/100)</f>
        <v>191453.825172658</v>
      </c>
      <c r="K6" s="0" t="n">
        <f aca="false">J6*(1+K5/100)</f>
        <v>197197.439927838</v>
      </c>
      <c r="L6" s="0" t="n">
        <f aca="false">K6*(1+L5/100)</f>
        <v>203113.363125673</v>
      </c>
    </row>
    <row r="7" customFormat="false" ht="15" hidden="false" customHeight="false" outlineLevel="0" collapsed="false">
      <c r="A7" s="0" t="s">
        <v>114</v>
      </c>
      <c r="C7" s="4" t="n">
        <f aca="false">Assumptions!C42</f>
        <v>24</v>
      </c>
      <c r="D7" s="4" t="n">
        <f aca="false">Assumptions!D42</f>
        <v>26</v>
      </c>
      <c r="E7" s="4" t="n">
        <f aca="false">Assumptions!E42</f>
        <v>28</v>
      </c>
      <c r="F7" s="4" t="n">
        <f aca="false">Assumptions!F42</f>
        <v>29</v>
      </c>
      <c r="G7" s="4" t="n">
        <f aca="false">Assumptions!G42</f>
        <v>30</v>
      </c>
      <c r="H7" s="4" t="n">
        <f aca="false">Assumptions!H42</f>
        <v>30</v>
      </c>
      <c r="I7" s="4" t="n">
        <f aca="false">Assumptions!I42</f>
        <v>30</v>
      </c>
      <c r="J7" s="4" t="n">
        <f aca="false">Assumptions!J42</f>
        <v>30</v>
      </c>
      <c r="K7" s="4" t="n">
        <f aca="false">Assumptions!K42</f>
        <v>30</v>
      </c>
      <c r="L7" s="4" t="n">
        <f aca="false">Assumptions!L42</f>
        <v>30</v>
      </c>
    </row>
    <row r="8" customFormat="false" ht="15" hidden="false" customHeight="false" outlineLevel="0" collapsed="false">
      <c r="A8" s="0" t="s">
        <v>44</v>
      </c>
      <c r="C8" s="0" t="n">
        <f aca="false">C6*C7/100</f>
        <v>36117.12</v>
      </c>
      <c r="D8" s="0" t="n">
        <f aca="false">D6*D7/100</f>
        <v>40691.9552</v>
      </c>
      <c r="E8" s="0" t="n">
        <f aca="false">E6*E7/100</f>
        <v>45574.989824</v>
      </c>
      <c r="F8" s="0" t="n">
        <f aca="false">F6*F7/100</f>
        <v>48854.76141312</v>
      </c>
      <c r="G8" s="0" t="n">
        <f aca="false">G6*G7/100</f>
        <v>52308.287650944</v>
      </c>
      <c r="H8" s="0" t="n">
        <f aca="false">H6*H7/100</f>
        <v>54139.077718727</v>
      </c>
      <c r="I8" s="0" t="n">
        <f aca="false">I6*I7/100</f>
        <v>55763.2500502888</v>
      </c>
      <c r="J8" s="0" t="n">
        <f aca="false">J6*J7/100</f>
        <v>57436.1475517975</v>
      </c>
      <c r="K8" s="0" t="n">
        <f aca="false">K6*K7/100</f>
        <v>59159.2319783514</v>
      </c>
      <c r="L8" s="0" t="n">
        <f aca="false">L6*L7/100</f>
        <v>60934.008937702</v>
      </c>
    </row>
    <row r="9" customFormat="false" ht="15" hidden="false" customHeight="false" outlineLevel="0" collapsed="false">
      <c r="A9" s="0" t="s">
        <v>115</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130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131</v>
      </c>
      <c r="C11" s="0" t="n">
        <f aca="false">C8+C10+C24</f>
        <v>36117.12</v>
      </c>
      <c r="D11" s="0" t="n">
        <f aca="false">D8+D10+D24</f>
        <v>40691.9552</v>
      </c>
      <c r="E11" s="0" t="n">
        <f aca="false">E8+E10+E24</f>
        <v>45574.989824</v>
      </c>
      <c r="F11" s="0" t="n">
        <f aca="false">F8+F10+F24</f>
        <v>48854.76141312</v>
      </c>
      <c r="G11" s="0" t="n">
        <f aca="false">G8+G10+G24</f>
        <v>52308.287650944</v>
      </c>
      <c r="H11" s="0" t="n">
        <f aca="false">H8+H10+H24</f>
        <v>54139.077718727</v>
      </c>
      <c r="I11" s="0" t="n">
        <f aca="false">I8+I10+I24</f>
        <v>55763.2500502888</v>
      </c>
      <c r="J11" s="0" t="n">
        <f aca="false">J8+J10+J24</f>
        <v>57436.1475517975</v>
      </c>
      <c r="K11" s="0" t="n">
        <f aca="false">K8+K10+K24</f>
        <v>59159.2319783514</v>
      </c>
      <c r="L11" s="0" t="n">
        <f aca="false">L8+L10+L24</f>
        <v>60934.008937702</v>
      </c>
    </row>
    <row r="12" customFormat="false" ht="15" hidden="false" customHeight="false" outlineLevel="0" collapsed="false">
      <c r="A12" s="0" t="s">
        <v>132</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133</v>
      </c>
      <c r="C13" s="0" t="n">
        <f aca="false">C11+C12</f>
        <v>36117.12</v>
      </c>
      <c r="D13" s="0" t="n">
        <f aca="false">D11+D12</f>
        <v>40691.9552</v>
      </c>
      <c r="E13" s="0" t="n">
        <f aca="false">E11+E12</f>
        <v>45574.989824</v>
      </c>
      <c r="F13" s="0" t="n">
        <f aca="false">F11+F12</f>
        <v>48854.76141312</v>
      </c>
      <c r="G13" s="0" t="n">
        <f aca="false">G11+G12</f>
        <v>52308.287650944</v>
      </c>
      <c r="H13" s="0" t="n">
        <f aca="false">H11+H12</f>
        <v>54139.077718727</v>
      </c>
      <c r="I13" s="0" t="n">
        <f aca="false">I11+I12</f>
        <v>55763.2500502888</v>
      </c>
      <c r="J13" s="0" t="n">
        <f aca="false">J11+J12</f>
        <v>57436.1475517975</v>
      </c>
      <c r="K13" s="0" t="n">
        <f aca="false">K11+K12</f>
        <v>59159.2319783514</v>
      </c>
      <c r="L13" s="0" t="n">
        <f aca="false">L11+L12</f>
        <v>60934.008937702</v>
      </c>
    </row>
    <row r="14" customFormat="false" ht="15" hidden="false" customHeight="false" outlineLevel="0" collapsed="false">
      <c r="A14" s="0" t="s">
        <v>119</v>
      </c>
      <c r="C14" s="4" t="n">
        <f aca="false">Assumptions!C47</f>
        <v>17.5</v>
      </c>
      <c r="D14" s="4" t="n">
        <f aca="false">Assumptions!D47</f>
        <v>17.5</v>
      </c>
      <c r="E14" s="4" t="n">
        <f aca="false">Assumptions!E47</f>
        <v>17.5</v>
      </c>
      <c r="F14" s="4" t="n">
        <f aca="false">Assumptions!F47</f>
        <v>17.5</v>
      </c>
      <c r="G14" s="4" t="n">
        <f aca="false">Assumptions!G47</f>
        <v>17.5</v>
      </c>
      <c r="H14" s="4" t="n">
        <f aca="false">Assumptions!H47</f>
        <v>17.5</v>
      </c>
      <c r="I14" s="4" t="n">
        <f aca="false">Assumptions!I47</f>
        <v>17.5</v>
      </c>
      <c r="J14" s="4" t="n">
        <f aca="false">Assumptions!J47</f>
        <v>17.5</v>
      </c>
      <c r="K14" s="4" t="n">
        <f aca="false">Assumptions!K47</f>
        <v>17.5</v>
      </c>
      <c r="L14" s="4" t="n">
        <f aca="false">Assumptions!L47</f>
        <v>17.5</v>
      </c>
    </row>
    <row r="15" customFormat="false" ht="15" hidden="false" customHeight="false" outlineLevel="0" collapsed="false">
      <c r="A15" s="0" t="s">
        <v>134</v>
      </c>
      <c r="C15" s="0" t="n">
        <f aca="false">C13-MAX(0,C13)*C14/100</f>
        <v>29796.624</v>
      </c>
      <c r="D15" s="0" t="n">
        <f aca="false">D13-MAX(0,D13)*D14/100</f>
        <v>33570.86304</v>
      </c>
      <c r="E15" s="0" t="n">
        <f aca="false">E13-MAX(0,E13)*E14/100</f>
        <v>37599.3666048</v>
      </c>
      <c r="F15" s="0" t="n">
        <f aca="false">F13-MAX(0,F13)*F14/100</f>
        <v>40305.178165824</v>
      </c>
      <c r="G15" s="0" t="n">
        <f aca="false">G13-MAX(0,G13)*G14/100</f>
        <v>43154.3373120288</v>
      </c>
      <c r="H15" s="0" t="n">
        <f aca="false">H13-MAX(0,H13)*H14/100</f>
        <v>44664.7391179498</v>
      </c>
      <c r="I15" s="0" t="n">
        <f aca="false">I13-MAX(0,I13)*I14/100</f>
        <v>46004.6812914883</v>
      </c>
      <c r="J15" s="0" t="n">
        <f aca="false">J13-MAX(0,J13)*J14/100</f>
        <v>47384.8217302329</v>
      </c>
      <c r="K15" s="0" t="n">
        <f aca="false">K13-MAX(0,K13)*K14/100</f>
        <v>48806.3663821399</v>
      </c>
      <c r="L15" s="0" t="n">
        <f aca="false">L13-MAX(0,L13)*L14/100</f>
        <v>50270.5573736041</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-C6*Assumptions!C46/100</f>
        <v>-20391.124</v>
      </c>
      <c r="D17" s="4" t="n">
        <f aca="false">-D6*Assumptions!D46/100</f>
        <v>-21112.864448</v>
      </c>
      <c r="E17" s="4" t="n">
        <f aca="false">-E6*Assumptions!E46/100</f>
        <v>-21843.44155136</v>
      </c>
      <c r="F17" s="4" t="n">
        <f aca="false">-F6*Assumptions!F46/100</f>
        <v>-22607.9620056576</v>
      </c>
      <c r="G17" s="4" t="n">
        <f aca="false">-G6*Assumptions!G46/100</f>
        <v>-23399.2406758556</v>
      </c>
      <c r="H17" s="4" t="n">
        <f aca="false">-H6*Assumptions!H46/100</f>
        <v>-20771.3594847516</v>
      </c>
      <c r="I17" s="4" t="n">
        <f aca="false">-I6*Assumptions!I46/100</f>
        <v>-21394.5002692942</v>
      </c>
      <c r="J17" s="4" t="n">
        <f aca="false">-J6*Assumptions!J46/100</f>
        <v>-22036.335277373</v>
      </c>
      <c r="K17" s="4" t="n">
        <f aca="false">-K6*Assumptions!K46/100</f>
        <v>-22697.4253356942</v>
      </c>
      <c r="L17" s="4" t="n">
        <f aca="false">-L6*Assumptions!L46/100</f>
        <v>-23378.348095765</v>
      </c>
    </row>
    <row r="18" customFormat="false" ht="15" hidden="false" customHeight="false" outlineLevel="0" collapsed="false">
      <c r="A18" s="0" t="s">
        <v>137</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138</v>
      </c>
      <c r="C19" s="0" t="n">
        <f aca="false">C15+C16+C17+C18</f>
        <v>9405.5</v>
      </c>
      <c r="D19" s="0" t="n">
        <f aca="false">D15+D16+D17+D18</f>
        <v>12457.998592</v>
      </c>
      <c r="E19" s="0" t="n">
        <f aca="false">E15+E16+E17+E18</f>
        <v>15755.92505344</v>
      </c>
      <c r="F19" s="0" t="n">
        <f aca="false">F15+F16+F17+F18</f>
        <v>17697.2161601664</v>
      </c>
      <c r="G19" s="0" t="n">
        <f aca="false">G15+G16+G17+G18</f>
        <v>19755.0966361732</v>
      </c>
      <c r="H19" s="0" t="n">
        <f aca="false">H15+H16+H17+H18</f>
        <v>23893.3796331982</v>
      </c>
      <c r="I19" s="0" t="n">
        <f aca="false">I15+I16+I17+I18</f>
        <v>24610.1810221941</v>
      </c>
      <c r="J19" s="0" t="n">
        <f aca="false">J15+J16+J17+J18</f>
        <v>25348.48645286</v>
      </c>
      <c r="K19" s="0" t="n">
        <f aca="false">K15+K16+K17+K18</f>
        <v>26108.9410464458</v>
      </c>
      <c r="L19" s="0" t="n">
        <f aca="false">L15+L16+L17+L18</f>
        <v>26892.2092778391</v>
      </c>
    </row>
    <row r="20" customFormat="false" ht="15" hidden="false" customHeight="false" outlineLevel="0" collapsed="false">
      <c r="A20" s="0" t="s">
        <v>139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140</v>
      </c>
      <c r="C21" s="0" t="n">
        <f aca="false">C19*C20</f>
        <v>8473.42342342343</v>
      </c>
      <c r="D21" s="0" t="n">
        <f aca="false">D19*D20</f>
        <v>10111.1911305901</v>
      </c>
      <c r="E21" s="0" t="n">
        <f aca="false">E19*E20</f>
        <v>11520.596603499</v>
      </c>
      <c r="F21" s="0" t="n">
        <f aca="false">F19*F20</f>
        <v>11657.704440841</v>
      </c>
      <c r="G21" s="0" t="n">
        <f aca="false">G19*G20</f>
        <v>11723.6883346621</v>
      </c>
      <c r="H21" s="0" t="n">
        <f aca="false">H19*H20</f>
        <v>12774.37646408</v>
      </c>
      <c r="I21" s="0" t="n">
        <f aca="false">I19*I20</f>
        <v>11853.700682885</v>
      </c>
      <c r="J21" s="0" t="n">
        <f aca="false">J19*J20</f>
        <v>10999.3799129474</v>
      </c>
      <c r="K21" s="0" t="n">
        <f aca="false">K19*K20</f>
        <v>10206.6318111133</v>
      </c>
      <c r="L21" s="0" t="n">
        <f aca="false">L19*L20</f>
        <v>9471.01870760966</v>
      </c>
    </row>
    <row r="23" customFormat="false" ht="15" hidden="false" customHeight="false" outlineLevel="0" collapsed="false">
      <c r="A23" s="0" t="s">
        <v>116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Assumptions!$B$48</f>
        <v>11</v>
      </c>
    </row>
    <row r="28" customFormat="false" ht="15" hidden="false" customHeight="false" outlineLevel="0" collapsed="false">
      <c r="A28" s="0" t="s">
        <v>121</v>
      </c>
      <c r="B28" s="4" t="n">
        <f aca="false">Assumptions!$B$49</f>
        <v>3</v>
      </c>
    </row>
    <row r="29" customFormat="false" ht="15" hidden="false" customHeight="false" outlineLevel="0" collapsed="false">
      <c r="A29" s="0" t="s">
        <v>122</v>
      </c>
      <c r="B29" s="4" t="n">
        <f aca="false">Assumptions!$B$50</f>
        <v>18</v>
      </c>
    </row>
    <row r="30" customFormat="false" ht="15" hidden="false" customHeight="false" outlineLevel="0" collapsed="false">
      <c r="A30" s="0" t="s">
        <v>143</v>
      </c>
      <c r="B30" s="0" t="n">
        <f aca="false">SUM(C21:L21)</f>
        <v>108791.711511651</v>
      </c>
    </row>
    <row r="31" customFormat="false" ht="15" hidden="false" customHeight="false" outlineLevel="0" collapsed="false">
      <c r="A31" s="0" t="s">
        <v>144</v>
      </c>
      <c r="B31" s="0" t="n">
        <f aca="false">L19</f>
        <v>26892.2092778391</v>
      </c>
    </row>
    <row r="32" customFormat="false" ht="15" hidden="false" customHeight="false" outlineLevel="0" collapsed="false">
      <c r="A32" s="0" t="s">
        <v>145</v>
      </c>
      <c r="B32" s="0" t="n">
        <f aca="false">IF(B27&gt;B28,B31*(1+B28/100)/((B27-B28)/100),B31*B29)</f>
        <v>346237.194452179</v>
      </c>
    </row>
    <row r="33" customFormat="false" ht="15" hidden="false" customHeight="false" outlineLevel="0" collapsed="false">
      <c r="A33" s="0" t="s">
        <v>146</v>
      </c>
      <c r="B33" s="0" t="n">
        <f aca="false">B31*B29</f>
        <v>484059.767001105</v>
      </c>
    </row>
    <row r="34" customFormat="false" ht="15" hidden="false" customHeight="false" outlineLevel="0" collapsed="false">
      <c r="A34" s="0" t="s">
        <v>147</v>
      </c>
      <c r="B34" s="0" t="n">
        <f aca="false">MAX(0,MIN(B32,B33))</f>
        <v>346237.194452179</v>
      </c>
    </row>
    <row r="35" customFormat="false" ht="15" hidden="false" customHeight="false" outlineLevel="0" collapsed="false">
      <c r="A35" s="0" t="s">
        <v>148</v>
      </c>
      <c r="B35" s="0" t="n">
        <f aca="false">B34/(1+B27/100)^L4</f>
        <v>121939.365860474</v>
      </c>
    </row>
    <row r="36" customFormat="false" ht="15" hidden="false" customHeight="false" outlineLevel="0" collapsed="false">
      <c r="A36" s="0" t="s">
        <v>149</v>
      </c>
      <c r="B36" s="0" t="n">
        <f aca="false">B30+B35</f>
        <v>230731.077372125</v>
      </c>
    </row>
    <row r="37" customFormat="false" ht="15" hidden="false" customHeight="false" outlineLevel="0" collapsed="false">
      <c r="A37" s="0" t="s">
        <v>150</v>
      </c>
      <c r="B37" s="0" t="n">
        <f aca="false">B36+Assumptions!$B$5-Assumptions!$B$4</f>
        <v>230731.077372125</v>
      </c>
    </row>
    <row r="38" customFormat="false" ht="15" hidden="false" customHeight="false" outlineLevel="0" collapsed="false">
      <c r="A38" s="0" t="s">
        <v>151</v>
      </c>
      <c r="B38" s="0" t="n">
        <f aca="false">B37/Assumptions!$B$3*Assumptions!$B$10</f>
        <v>6.17854632294276</v>
      </c>
    </row>
    <row r="39" customFormat="false" ht="15" hidden="false" customHeight="false" outlineLevel="0" collapsed="false">
      <c r="A39" s="0" t="s">
        <v>152</v>
      </c>
      <c r="B39" s="4" t="n">
        <f aca="false">B38/Assumptions!$B$2-1</f>
        <v>0.863814878715765</v>
      </c>
    </row>
    <row r="41" customFormat="false" ht="15" hidden="false" customHeight="false" outlineLevel="0" collapsed="false">
      <c r="A41" s="0" t="s">
        <v>153</v>
      </c>
      <c r="B41" s="0" t="n">
        <f aca="false">SUMPRODUCT(-C10:L10/(1+$B$27/100)^C4:L4)</f>
        <v>0</v>
      </c>
    </row>
    <row r="42" customFormat="false" ht="15" hidden="false" customHeight="false" outlineLevel="0" collapsed="false">
      <c r="A42" s="0" t="s">
        <v>154</v>
      </c>
      <c r="B42" s="0" t="n">
        <f aca="false">IF(B27&gt;B28,-L10*(1+B28/100)/((B27-B28)/100),-L10*20)/(1+B27/100)^L4</f>
        <v>0</v>
      </c>
    </row>
    <row r="43" customFormat="false" ht="15" hidden="false" customHeight="false" outlineLevel="0" collapsed="false">
      <c r="A43" s="0" t="s">
        <v>155</v>
      </c>
      <c r="B43" s="0" t="n">
        <f aca="false">(B37+B41+B42)/Assumptions!$B$3*Assumptions!$B$10</f>
        <v>6.17854632294276</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230824.796301453</v>
      </c>
    </row>
    <row r="47" customFormat="false" ht="15" hidden="false" customHeight="false" outlineLevel="0" collapsed="false">
      <c r="A47" s="0" t="s">
        <v>157</v>
      </c>
      <c r="B47" s="0" t="n">
        <f aca="false">(SUMPRODUCT(C19:L19/(1+B45/100)^C4:L4)+B46/(1+B45/100)^L4+Assumptions!$B$5-Assumptions!$B$4)/Assumptions!$B$3*Assumptions!$B$10</f>
        <v>3.93350156412113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160</v>
      </c>
    </row>
    <row r="3" customFormat="false" ht="15" hidden="false" customHeight="false" outlineLevel="0" collapsed="false">
      <c r="A3" s="2" t="s">
        <v>161</v>
      </c>
      <c r="B3" s="2" t="s">
        <v>162</v>
      </c>
      <c r="C3" s="2" t="s">
        <v>152</v>
      </c>
      <c r="D3" s="2" t="s">
        <v>163</v>
      </c>
      <c r="E3" s="2" t="s">
        <v>155</v>
      </c>
      <c r="F3" s="2" t="s">
        <v>164</v>
      </c>
    </row>
    <row r="4" customFormat="false" ht="15" hidden="false" customHeight="false" outlineLevel="0" collapsed="false">
      <c r="A4" s="0" t="s">
        <v>165</v>
      </c>
      <c r="B4" s="4" t="n">
        <f aca="false">DCF_Bear!$B$38</f>
        <v>2.41572638470661</v>
      </c>
      <c r="C4" s="0" t="n">
        <f aca="false">B4/Assumptions!$B$2-1</f>
        <v>-0.271274092094537</v>
      </c>
      <c r="D4" s="4" t="n">
        <f aca="false">Assumptions!$B$24</f>
        <v>0.35</v>
      </c>
      <c r="E4" s="4" t="n">
        <f aca="false">DCF_Bear!$B$43</f>
        <v>2.41572638470661</v>
      </c>
      <c r="F4" s="4" t="n">
        <f aca="false">DCF_Bear!$B$47</f>
        <v>1.50056315123792</v>
      </c>
    </row>
    <row r="5" customFormat="false" ht="15" hidden="false" customHeight="false" outlineLevel="0" collapsed="false">
      <c r="A5" s="0" t="s">
        <v>166</v>
      </c>
      <c r="B5" s="4" t="n">
        <f aca="false">DCF_Base!$B$38</f>
        <v>4.77057239437476</v>
      </c>
      <c r="C5" s="0" t="n">
        <f aca="false">B5/Assumptions!$B$2-1</f>
        <v>0.439086695135673</v>
      </c>
      <c r="D5" s="4" t="n">
        <f aca="false">Assumptions!$B$38</f>
        <v>0.45</v>
      </c>
      <c r="E5" s="4" t="n">
        <f aca="false">DCF_Base!$B$43</f>
        <v>4.77057239437476</v>
      </c>
      <c r="F5" s="4" t="n">
        <f aca="false">DCF_Base!$B$47</f>
        <v>3.08559678653043</v>
      </c>
    </row>
    <row r="6" customFormat="false" ht="15" hidden="false" customHeight="false" outlineLevel="0" collapsed="false">
      <c r="A6" s="0" t="s">
        <v>167</v>
      </c>
      <c r="B6" s="4" t="n">
        <f aca="false">DCF_Bull!$B$38</f>
        <v>6.17854632294276</v>
      </c>
      <c r="C6" s="0" t="n">
        <f aca="false">B6/Assumptions!$B$2-1</f>
        <v>0.863814878715765</v>
      </c>
      <c r="D6" s="4" t="n">
        <f aca="false">Assumptions!$B$52</f>
        <v>0.2</v>
      </c>
      <c r="E6" s="4" t="n">
        <f aca="false">DCF_Bull!$B$43</f>
        <v>6.17854632294276</v>
      </c>
      <c r="F6" s="4" t="n">
        <f aca="false">DCF_Bull!$B$47</f>
        <v>3.93350156412113</v>
      </c>
    </row>
    <row r="8" customFormat="false" ht="15" hidden="false" customHeight="false" outlineLevel="0" collapsed="false">
      <c r="A8" s="0" t="s">
        <v>168</v>
      </c>
      <c r="B8" s="0" t="n">
        <f aca="false">SUMPRODUCT(B4:B6,D4:D6)</f>
        <v>4.22797107670451</v>
      </c>
    </row>
    <row r="9" customFormat="false" ht="15" hidden="false" customHeight="false" outlineLevel="0" collapsed="false">
      <c r="A9" s="0" t="s">
        <v>169</v>
      </c>
      <c r="B9" s="0" t="n">
        <f aca="false">SUMPRODUCT(E4:E6,D4:D6)</f>
        <v>4.22797107670451</v>
      </c>
    </row>
    <row r="10" customFormat="false" ht="15" hidden="false" customHeight="false" outlineLevel="0" collapsed="false">
      <c r="A10" s="0" t="s">
        <v>170</v>
      </c>
      <c r="B10" s="0" t="n">
        <f aca="false">1-Assumptions!$B$2/B8</f>
        <v>0.21593597972674</v>
      </c>
    </row>
    <row r="11" customFormat="false" ht="15" hidden="false" customHeight="false" outlineLevel="0" collapsed="false">
      <c r="A11" s="0" t="s">
        <v>171</v>
      </c>
      <c r="B11" s="0" t="str">
        <f aca="false">IF(ABS(B9-B8)&gt;0.01*ABS(B8),(Assumptions!$B$2-B8)/(B9-B8)*100,"n/a")</f>
        <v>n/a</v>
      </c>
    </row>
    <row r="12" customFormat="false" ht="15" hidden="false" customHeight="false" outlineLevel="0" collapsed="false">
      <c r="A12" s="0" t="s">
        <v>172</v>
      </c>
      <c r="B12" s="0" t="n">
        <f aca="false">SUMPRODUCT(F4:F6,D4:D6)</f>
        <v>2.70041596969619</v>
      </c>
    </row>
    <row r="14" customFormat="false" ht="15" hidden="false" customHeight="false" outlineLevel="0" collapsed="false">
      <c r="A14" s="2" t="s">
        <v>173</v>
      </c>
      <c r="C14" s="0" t="s">
        <v>174</v>
      </c>
    </row>
    <row r="15" customFormat="false" ht="15" hidden="false" customHeight="false" outlineLevel="0" collapsed="false">
      <c r="A15" s="0" t="s">
        <v>175</v>
      </c>
      <c r="B15" s="0" t="n">
        <f aca="false">(SUMPRODUCT(DCF_Base!$C$19:$L$19/(1+$C$15/100)^DCF_Base!$C$4:$L$4)+MAX(0,MIN(IF($C$15&gt;DCF_Base!$B$28,DCF_Base!$L$19*(1+DCF_Base!$B$28/100)/(($C$15-DCF_Base!$B$28)/100),DCF_Base!$L$19*DCF_Base!$B$29),DCF_Base!$L$19*DCF_Base!$B$29))/(1+$C$15/100)^DCF_Base!$L$4+Assumptions!$B$5-Assumptions!$B$4)/Assumptions!$B$3*Assumptions!$B$10</f>
        <v>6.41356452819418</v>
      </c>
      <c r="C15" s="3" t="n">
        <v>9</v>
      </c>
    </row>
    <row r="16" customFormat="false" ht="15" hidden="false" customHeight="false" outlineLevel="0" collapsed="false">
      <c r="A16" s="0" t="s">
        <v>176</v>
      </c>
      <c r="B16" s="0" t="n">
        <f aca="false">(SUMPRODUCT(DCF_Base!$C$19:$L$19/(1+$C$16/100)^DCF_Base!$C$4:$L$4)+MAX(0,MIN(IF($C$16&gt;DCF_Base!$B$28,DCF_Base!$L$19*(1+DCF_Base!$B$28/100)/(($C$16-DCF_Base!$B$28)/100),DCF_Base!$L$19*DCF_Base!$B$29),DCF_Base!$L$19*DCF_Base!$B$29))/(1+$C$16/100)^DCF_Base!$L$4+Assumptions!$B$5-Assumptions!$B$4)/Assumptions!$B$3*Assumptions!$B$10</f>
        <v>5.48072033356187</v>
      </c>
      <c r="C16" s="3" t="n">
        <v>10</v>
      </c>
    </row>
    <row r="17" customFormat="false" ht="15" hidden="false" customHeight="false" outlineLevel="0" collapsed="false">
      <c r="A17" s="0" t="s">
        <v>177</v>
      </c>
      <c r="B17" s="0" t="n">
        <f aca="false">(SUMPRODUCT(DCF_Base!$C$19:$L$19/(1+$C$17/100)^DCF_Base!$C$4:$L$4)+MAX(0,MIN(IF($C$17&gt;DCF_Base!$B$28,DCF_Base!$L$19*(1+DCF_Base!$B$28/100)/(($C$17-DCF_Base!$B$28)/100),DCF_Base!$L$19*DCF_Base!$B$29),DCF_Base!$L$19*DCF_Base!$B$29))/(1+$C$17/100)^DCF_Base!$L$4+Assumptions!$B$5-Assumptions!$B$4)/Assumptions!$B$3*Assumptions!$B$10</f>
        <v>4.77057239437476</v>
      </c>
      <c r="C17" s="3" t="n">
        <v>11</v>
      </c>
    </row>
    <row r="18" customFormat="false" ht="15" hidden="false" customHeight="false" outlineLevel="0" collapsed="false">
      <c r="A18" s="0" t="s">
        <v>178</v>
      </c>
      <c r="B18" s="0" t="n">
        <f aca="false">(SUMPRODUCT(DCF_Base!$C$19:$L$19/(1+$C$18/100)^DCF_Base!$C$4:$L$4)+MAX(0,MIN(IF($C$18&gt;DCF_Base!$B$28,DCF_Base!$L$19*(1+DCF_Base!$B$28/100)/(($C$18-DCF_Base!$B$28)/100),DCF_Base!$L$19*DCF_Base!$B$29),DCF_Base!$L$19*DCF_Base!$B$29))/(1+$C$18/100)^DCF_Base!$L$4+Assumptions!$B$5-Assumptions!$B$4)/Assumptions!$B$3*Assumptions!$B$10</f>
        <v>4.21262918435142</v>
      </c>
      <c r="C18" s="3" t="n">
        <v>12</v>
      </c>
    </row>
    <row r="19" customFormat="false" ht="15" hidden="false" customHeight="false" outlineLevel="0" collapsed="false">
      <c r="A19" s="0" t="s">
        <v>179</v>
      </c>
      <c r="B19" s="0" t="n">
        <f aca="false">(SUMPRODUCT(DCF_Base!$C$19:$L$19/(1+$C$19/100)^DCF_Base!$C$4:$L$4)+MAX(0,MIN(IF($C$19&gt;DCF_Base!$B$28,DCF_Base!$L$19*(1+DCF_Base!$B$28/100)/(($C$19-DCF_Base!$B$28)/100),DCF_Base!$L$19*DCF_Base!$B$29),DCF_Base!$L$19*DCF_Base!$B$29))/(1+$C$19/100)^DCF_Base!$L$4+Assumptions!$B$5-Assumptions!$B$4)/Assumptions!$B$3*Assumptions!$B$10</f>
        <v>3.08559678653043</v>
      </c>
      <c r="C19" s="3" t="n">
        <v>15</v>
      </c>
    </row>
    <row r="21" customFormat="false" ht="15" hidden="false" customHeight="false" outlineLevel="0" collapsed="false">
      <c r="A21" s="2" t="s">
        <v>180</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5.86780470933135</v>
      </c>
      <c r="C23" s="0" t="n">
        <f aca="false">(SUMPRODUCT(DCF_Base!$C$19:$L$19/(1+$A$23/100)^DCF_Base!$C$4:$L$4)+MAX(0,MIN(IF($A$23&gt;$C$22,DCF_Base!$L$19*(1+$C$22/100)/(($A$23-$C$22)/100),DCF_Base!$L$19*DCF_Base!$B$29),DCF_Base!$L$19*DCF_Base!$B$29))/(1+$A$23/100)^DCF_Base!$L$4+Assumptions!$B$5-Assumptions!$B$4)/Assumptions!$B$3*Assumptions!$B$10</f>
        <v>6.12119319666052</v>
      </c>
      <c r="D23" s="0" t="n">
        <f aca="false">(SUMPRODUCT(DCF_Base!$C$19:$L$19/(1+$A$23/100)^DCF_Base!$C$4:$L$4)+MAX(0,MIN(IF($A$23&gt;$D$22,DCF_Base!$L$19*(1+$D$22/100)/(($A$23-$D$22)/100),DCF_Base!$L$19*DCF_Base!$B$29),DCF_Base!$L$19*DCF_Base!$B$29))/(1+$A$23/100)^DCF_Base!$L$4+Assumptions!$B$5-Assumptions!$B$4)/Assumptions!$B$3*Assumptions!$B$10</f>
        <v>6.41356452819418</v>
      </c>
      <c r="E23" s="0" t="n">
        <f aca="false">(SUMPRODUCT(DCF_Base!$C$19:$L$19/(1+$A$23/100)^DCF_Base!$C$4:$L$4)+MAX(0,MIN(IF($A$23&gt;$E$22,DCF_Base!$L$19*(1+$E$22/100)/(($A$23-$E$22)/100),DCF_Base!$L$19*DCF_Base!$B$29),DCF_Base!$L$19*DCF_Base!$B$29))/(1+$A$23/100)^DCF_Base!$L$4+Assumptions!$B$5-Assumptions!$B$4)/Assumptions!$B$3*Assumptions!$B$10</f>
        <v>6.75466441498345</v>
      </c>
      <c r="F23" s="0" t="n">
        <f aca="false">(SUMPRODUCT(DCF_Base!$C$19:$L$19/(1+$A$23/100)^DCF_Base!$C$4:$L$4)+MAX(0,MIN(IF($A$23&gt;$F$22,DCF_Base!$L$19*(1+$F$22/100)/(($A$23-$F$22)/100),DCF_Base!$L$19*DCF_Base!$B$29),DCF_Base!$L$19*DCF_Base!$B$29))/(1+$A$23/100)^DCF_Base!$L$4+Assumptions!$B$5-Assumptions!$B$4)/Assumptions!$B$3*Assumptions!$B$10</f>
        <v>6.9580726043532</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5.09630535281332</v>
      </c>
      <c r="C24" s="0" t="n">
        <f aca="false">(SUMPRODUCT(DCF_Base!$C$19:$L$19/(1+$A$24/100)^DCF_Base!$C$4:$L$4)+MAX(0,MIN(IF($A$24&gt;$C$22,DCF_Base!$L$19*(1+$C$22/100)/(($A$24-$C$22)/100),DCF_Base!$L$19*DCF_Base!$B$29),DCF_Base!$L$19*DCF_Base!$B$29))/(1+$A$24/100)^DCF_Base!$L$4+Assumptions!$B$5-Assumptions!$B$4)/Assumptions!$B$3*Assumptions!$B$10</f>
        <v>5.2764998750392</v>
      </c>
      <c r="D24" s="0" t="n">
        <f aca="false">(SUMPRODUCT(DCF_Base!$C$19:$L$19/(1+$A$24/100)^DCF_Base!$C$4:$L$4)+MAX(0,MIN(IF($A$24&gt;$D$22,DCF_Base!$L$19*(1+$D$22/100)/(($A$24-$D$22)/100),DCF_Base!$L$19*DCF_Base!$B$29),DCF_Base!$L$19*DCF_Base!$B$29))/(1+$A$24/100)^DCF_Base!$L$4+Assumptions!$B$5-Assumptions!$B$4)/Assumptions!$B$3*Assumptions!$B$10</f>
        <v>5.48072033356187</v>
      </c>
      <c r="E24" s="0" t="n">
        <f aca="false">(SUMPRODUCT(DCF_Base!$C$19:$L$19/(1+$A$24/100)^DCF_Base!$C$4:$L$4)+MAX(0,MIN(IF($A$24&gt;$E$22,DCF_Base!$L$19*(1+$E$22/100)/(($A$24-$E$22)/100),DCF_Base!$L$19*DCF_Base!$B$29),DCF_Base!$L$19*DCF_Base!$B$29))/(1+$A$24/100)^DCF_Base!$L$4+Assumptions!$B$5-Assumptions!$B$4)/Assumptions!$B$3*Assumptions!$B$10</f>
        <v>5.71411514330207</v>
      </c>
      <c r="F24" s="0" t="n">
        <f aca="false">(SUMPRODUCT(DCF_Base!$C$19:$L$19/(1+$A$24/100)^DCF_Base!$C$4:$L$4)+MAX(0,MIN(IF($A$24&gt;$F$22,DCF_Base!$L$19*(1+$F$22/100)/(($A$24-$F$22)/100),DCF_Base!$L$19*DCF_Base!$B$29),DCF_Base!$L$19*DCF_Base!$B$29))/(1+$A$24/100)^DCF_Base!$L$4+Assumptions!$B$5-Assumptions!$B$4)/Assumptions!$B$3*Assumptions!$B$10</f>
        <v>5.98341684684845</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4.49082547072057</v>
      </c>
      <c r="C25" s="0" t="n">
        <f aca="false">(SUMPRODUCT(DCF_Base!$C$19:$L$19/(1+$A$25/100)^DCF_Base!$C$4:$L$4)+MAX(0,MIN(IF($A$25&gt;$C$22,DCF_Base!$L$19*(1+$C$22/100)/(($A$25-$C$22)/100),DCF_Base!$L$19*DCF_Base!$B$29),DCF_Base!$L$19*DCF_Base!$B$29))/(1+$A$25/100)^DCF_Base!$L$4+Assumptions!$B$5-Assumptions!$B$4)/Assumptions!$B$3*Assumptions!$B$10</f>
        <v>4.62292818466838</v>
      </c>
      <c r="D25" s="0" t="n">
        <f aca="false">(SUMPRODUCT(DCF_Base!$C$19:$L$19/(1+$A$25/100)^DCF_Base!$C$4:$L$4)+MAX(0,MIN(IF($A$25&gt;$D$22,DCF_Base!$L$19*(1+$D$22/100)/(($A$25-$D$22)/100),DCF_Base!$L$19*DCF_Base!$B$29),DCF_Base!$L$19*DCF_Base!$B$29))/(1+$A$25/100)^DCF_Base!$L$4+Assumptions!$B$5-Assumptions!$B$4)/Assumptions!$B$3*Assumptions!$B$10</f>
        <v>4.77057239437476</v>
      </c>
      <c r="E25" s="0" t="n">
        <f aca="false">(SUMPRODUCT(DCF_Base!$C$19:$L$19/(1+$A$25/100)^DCF_Base!$C$4:$L$4)+MAX(0,MIN(IF($A$25&gt;$E$22,DCF_Base!$L$19*(1+$E$22/100)/(($A$25-$E$22)/100),DCF_Base!$L$19*DCF_Base!$B$29),DCF_Base!$L$19*DCF_Base!$B$29))/(1+$A$25/100)^DCF_Base!$L$4+Assumptions!$B$5-Assumptions!$B$4)/Assumptions!$B$3*Assumptions!$B$10</f>
        <v>4.93667213029443</v>
      </c>
      <c r="F25" s="0" t="n">
        <f aca="false">(SUMPRODUCT(DCF_Base!$C$19:$L$19/(1+$A$25/100)^DCF_Base!$C$4:$L$4)+MAX(0,MIN(IF($A$25&gt;$F$22,DCF_Base!$L$19*(1+$F$22/100)/(($A$25-$F$22)/100),DCF_Base!$L$19*DCF_Base!$B$29),DCF_Base!$L$19*DCF_Base!$B$29))/(1+$A$25/100)^DCF_Base!$L$4+Assumptions!$B$5-Assumptions!$B$4)/Assumptions!$B$3*Assumptions!$B$10</f>
        <v>5.12491849767007</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4.00372864992413</v>
      </c>
      <c r="C26" s="0" t="n">
        <f aca="false">(SUMPRODUCT(DCF_Base!$C$19:$L$19/(1+$A$26/100)^DCF_Base!$C$4:$L$4)+MAX(0,MIN(IF($A$26&gt;$C$22,DCF_Base!$L$19*(1+$C$22/100)/(($A$26-$C$22)/100),DCF_Base!$L$19*DCF_Base!$B$29),DCF_Base!$L$19*DCF_Base!$B$29))/(1+$A$26/100)^DCF_Base!$L$4+Assumptions!$B$5-Assumptions!$B$4)/Assumptions!$B$3*Assumptions!$B$10</f>
        <v>4.10295640377709</v>
      </c>
      <c r="D26" s="0" t="n">
        <f aca="false">(SUMPRODUCT(DCF_Base!$C$19:$L$19/(1+$A$26/100)^DCF_Base!$C$4:$L$4)+MAX(0,MIN(IF($A$26&gt;$D$22,DCF_Base!$L$19*(1+$D$22/100)/(($A$26-$D$22)/100),DCF_Base!$L$19*DCF_Base!$B$29),DCF_Base!$L$19*DCF_Base!$B$29))/(1+$A$26/100)^DCF_Base!$L$4+Assumptions!$B$5-Assumptions!$B$4)/Assumptions!$B$3*Assumptions!$B$10</f>
        <v>4.21262918435142</v>
      </c>
      <c r="E26" s="0" t="n">
        <f aca="false">(SUMPRODUCT(DCF_Base!$C$19:$L$19/(1+$A$26/100)^DCF_Base!$C$4:$L$4)+MAX(0,MIN(IF($A$26&gt;$E$22,DCF_Base!$L$19*(1+$E$22/100)/(($A$26-$E$22)/100),DCF_Base!$L$19*DCF_Base!$B$29),DCF_Base!$L$19*DCF_Base!$B$29))/(1+$A$26/100)^DCF_Base!$L$4+Assumptions!$B$5-Assumptions!$B$4)/Assumptions!$B$3*Assumptions!$B$10</f>
        <v>4.334487829434</v>
      </c>
      <c r="F26" s="0" t="n">
        <f aca="false">(SUMPRODUCT(DCF_Base!$C$19:$L$19/(1+$A$26/100)^DCF_Base!$C$4:$L$4)+MAX(0,MIN(IF($A$26&gt;$F$22,DCF_Base!$L$19*(1+$F$22/100)/(($A$26-$F$22)/100),DCF_Base!$L$19*DCF_Base!$B$29),DCF_Base!$L$19*DCF_Base!$B$29))/(1+$A$26/100)^DCF_Base!$L$4+Assumptions!$B$5-Assumptions!$B$4)/Assumptions!$B$3*Assumptions!$B$10</f>
        <v>4.47068278570277</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3.60396119570123</v>
      </c>
      <c r="C27" s="0" t="n">
        <f aca="false">(SUMPRODUCT(DCF_Base!$C$19:$L$19/(1+$A$27/100)^DCF_Base!$C$4:$L$4)+MAX(0,MIN(IF($A$27&gt;$C$22,DCF_Base!$L$19*(1+$C$22/100)/(($A$27-$C$22)/100),DCF_Base!$L$19*DCF_Base!$B$29),DCF_Base!$L$19*DCF_Base!$B$29))/(1+$A$27/100)^DCF_Base!$L$4+Assumptions!$B$5-Assumptions!$B$4)/Assumptions!$B$3*Assumptions!$B$10</f>
        <v>3.67999174828156</v>
      </c>
      <c r="D27" s="0" t="n">
        <f aca="false">(SUMPRODUCT(DCF_Base!$C$19:$L$19/(1+$A$27/100)^DCF_Base!$C$4:$L$4)+MAX(0,MIN(IF($A$27&gt;$D$22,DCF_Base!$L$19*(1+$D$22/100)/(($A$27-$D$22)/100),DCF_Base!$L$19*DCF_Base!$B$29),DCF_Base!$L$19*DCF_Base!$B$29))/(1+$A$27/100)^DCF_Base!$L$4+Assumptions!$B$5-Assumptions!$B$4)/Assumptions!$B$3*Assumptions!$B$10</f>
        <v>3.76326330586955</v>
      </c>
      <c r="E27" s="0" t="n">
        <f aca="false">(SUMPRODUCT(DCF_Base!$C$19:$L$19/(1+$A$27/100)^DCF_Base!$C$4:$L$4)+MAX(0,MIN(IF($A$27&gt;$E$22,DCF_Base!$L$19*(1+$E$22/100)/(($A$27-$E$22)/100),DCF_Base!$L$19*DCF_Base!$B$29),DCF_Base!$L$19*DCF_Base!$B$29))/(1+$A$27/100)^DCF_Base!$L$4+Assumptions!$B$5-Assumptions!$B$4)/Assumptions!$B$3*Assumptions!$B$10</f>
        <v>3.85486201921633</v>
      </c>
      <c r="F27" s="0" t="n">
        <f aca="false">(SUMPRODUCT(DCF_Base!$C$19:$L$19/(1+$A$27/100)^DCF_Base!$C$4:$L$4)+MAX(0,MIN(IF($A$27&gt;$F$22,DCF_Base!$L$19*(1+$F$22/100)/(($A$27-$F$22)/100),DCF_Base!$L$19*DCF_Base!$B$29),DCF_Base!$L$19*DCF_Base!$B$29))/(1+$A$27/100)^DCF_Base!$L$4+Assumptions!$B$5-Assumptions!$B$4)/Assumptions!$B$3*Assumptions!$B$10</f>
        <v>3.95610270238909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2026-10-17T00:44:06Z</dcterms:created>
  <dc:creator>openpyxl</dc:creator>
  <dc:description/>
  <dc:language>en-NZ</dc:language>
  <cp:lastModifiedBy/>
  <dcterms:modified xsi:type="dcterms:W3CDTF">2026-10-17T00:44:06Z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