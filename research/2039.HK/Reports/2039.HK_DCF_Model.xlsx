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<sst xmlns="http://schemas.openxmlformats.org/spreadsheetml/2006/main" count="356" uniqueCount="166">
  <si>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</si>
  <si>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2039.HK</t>
  </si>
  <si>
    <t xml:space="preserve">Company</t>
  </si>
  <si>
    <t xml:space="preserve">China International Marine Containers (Group) Co., Ltd. (CIMC)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</si>
  <si>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</si>
  <si>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</si>
  <si>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</si>
  <si>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</si>
  <si>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</si>
  <si>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</si>
  <si>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</si>
  <si>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</si>
  <si>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</si>
  <si>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</si>
  <si>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</si>
  <si>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</si>
  <si>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</si>
  <si>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</si>
  <si>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</si>
  <si>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</si>
  <si>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</si>
  <si>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</si>
  <si>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2026-10-17T02:24:11Z</t>
  </si>
  <si>
    <t xml:space="preserve">Drivers file</t>
  </si>
  <si>
    <t xml:space="preserve">2039.HK_Drivers.json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</si>
  <si>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</si>
  <si>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</si>
  <si>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</si>
  <si>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CIMC on mid-cycle, not on the boom (FY2021/FY2024) or the trough (FY2025 attributable profit RMB136m to ordinary holders). Consolidated owner FCF is capitalised at a CNY WACC, then minority interests (book), perpetual bonds, leases and the declared dividend are deducted and associates/financial investments added, because ~27% of the group's book equity belongs to the minorities of five separately listed subsidiaries. Values are built in CNY and converted to HKD for the H-share quote; the A-share trades at a ~38% premium to the H-share on the same claim.
key_risks_to_valuation: Mid-cycle margin: each 0.5pp of underlying EBITDA margin is worth roughly RMB0.8-1.0bn/yr of owner FCF on a ~RMB160bn revenue base - the dominant lever; Minority-interest leakage: if the profitable listed subsidiaries (Enric, Vehicles) keep capturing most of group profit, book NCI understates the minority claim; Associates (RMB10.3bn book) and the offshore-engineering asset pool may need further impairment; RMB/HKD and RMB/USD moves: FX losses hit the P&amp;L, and the fx_rate bridge goes stale on price-only refreshes; Working capital swings of RMB5-8bn a year make any single year's reported FCF a poor anchor; SOE governance and H-share discount: value accrues equally to A and H holders, but the H-share has persistently traded 30-60% below the A-share</t>
  </si>
  <si>
    <t xml:space="preserve">Data sources</t>
  </si>
  <si>
    <t xml:space="preserve">price: Yahoo Finance chart API at inputs.price_as_of (HKEX regular close); 52-week range 6.5-12.8 HKD. A-share 000039.SZ and CNYHKD=X from the same API for the parity check.
financials: 2039.HK_Metrics.csv (core_metrics); FY2025 annual report (CASBE consolidated income statement, CF supplementary note V.67 for D&amp;A and SBC); H1-2026 interim report (30 Jun 2026 balance sheet, treasury shares, dividends payable, repurchases).
qualitative: 2039.HK_Analysis.json (2026-10-17): segment mix, US AD/CVD trailer duties, Raffles/Enric backlogs, FY2026 capex guidance ~RMB3.45bn.</t>
  </si>
  <si>
    <t xml:space="preserve">Scenario narrative: bear</t>
  </si>
  <si>
    <t xml:space="preserve">Containership oversupply and 2026 freight-rate declines push shipping lines to defer box orders; new-container prices keep falling and COSCO's SULE takes share, revenue falls in 2026-27, and the finance/asset-management segment keeps losing ~RMB1.4bn/yr. US AD/CVD duties (CVD ~135%, AD ~131%) and transshipment enforcement shrink CIMC Vehicles' North American business, and repeated RMB-appreciation FX losses persist. Underlying EBITDA troughs near 6.6% gross (5.8% net) and only recovers to ~7% gross (6.5% net).</t>
  </si>
  <si>
    <t xml:space="preserve">Scenario narrative: base</t>
  </si>
  <si>
    <t xml:space="preserve">The container segment spends 2026-27 working through price deflation (H1-2026 container net profit -81% on +2% volume) while the containership order book (~30% of fleet) caps new-box pricing; Enric's clean-energy equipment and Raffles' FPSO/FLNG backlog carry group growth at mid-single digits, CIMC Vehicles rebuilds around Global South and domestic demand as US China-to-US trailer exports are effectively closed by the 2026 AD/CVD orders, and FX losses fade as the RMB stabilises. Underlying EBITDA recovers from ~7.0% to its ~8% mid-cycle (7.5% net of impairments) by 2030 and stays there; no repeat of the 2021 boom is assumed.</t>
  </si>
  <si>
    <t xml:space="preserve">Scenario narrative: bull</t>
  </si>
  <si>
    <t xml:space="preserve">Red Sea/Hormuz route inefficiency and an ageing box fleet trigger a 2027-28 replacement upcycle like 2024's, lifting container volumes and price at the No.1 producer while Singamas retreats; Raffles' offshore-wind and FLNG yard is fully booked to 2030 at improving margins and Enric's LNG/hydrogen/green-methanol orders compound. Revenue grows 7-8% in 2027-28 and underlying EBITDA reaches ~9% gross (8.6% net) before settling at 8.2% - a mid-cycle above history because the mix has shifted toward energy/offshore equipment.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</si>
  <si>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</si>
  <si>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</si>
  <si>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</si>
  <si>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</si>
  <si>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</si>
  <si>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</si>
  <si>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</si>
  <si>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</si>
  <si>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</si>
  <si>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</si>
  <si>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</si>
  <si>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</si>
  <si>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</si>
  <si>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</si>
  <si>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</si>
  <si>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</si>
  <si>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</si>
  <si>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</si>
  <si>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</si>
  <si>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</si>
  <si>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</si>
  <si>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</si>
  <si>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</si>
  <si>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</si>
  <si>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</si>
  <si>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</si>
  <si>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</si>
  <si>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MinorityInterests</t>
  </si>
  <si>
    <t xml:space="preserve">PerpetualBonds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</si>
  <si>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</si>
  <si>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</si>
  <si>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</si>
  <si>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</si>
  <si>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</si>
  <si>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</si>
  <si>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</si>
  <si>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</si>
  <si>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</si>
  <si>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</si>
  <si>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</si>
  <si>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</si>
  <si>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</si>
  <si>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</si>
  <si>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</si>
  <si>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</si>
  <si>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</si>
  <si>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</si>
  <si>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</si>
  <si>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</si>
  <si>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</si>
  <si>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</si>
  <si>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</si>
  <si>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</si>
  <si>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</si>
  <si>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</si>
  <si>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</si>
  <si>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</si>
  <si>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</si>
  <si>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</si>
  <si>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</si>
  <si>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</si>
  <si>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</si>
  <si>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</si>
  <si>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</si>
  <si>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</si>
  <si>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</si>
  <si>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</si>
  <si>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</si>
  <si>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</si>
  <si>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</si>
  <si>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</si>
  <si>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</si>
  <si>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</si>
  <si>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</si>
  <si>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2039.HK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</si>
  <si>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</si>
  <si>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</si>
  <si>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</si>
  <si>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</si>
  <si>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</si>
  <si>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</si>
  <si>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</si>
  <si>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</si>
  <si>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</si>
  <si>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</si>
  <si>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</si>
  <si>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</si>
  <si>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</si>
  <si>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</si>
  <si>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</si>
  <si>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</si>
  <si>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</si>
  <si>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</si>
  <si>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</si>
  <si>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</si>
  <si>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</si>
  <si>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</si>
  <si>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</si>
  <si>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</si>
  <si>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</si>
  <si>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</si>
  <si>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</si>
  <si>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</si>
  <si>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</si>
  <si>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</si>
  <si>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2039.HK owner-FCF component DCF: base case (millions, CNY)</t>
  </si>
  <si>
    <t xml:space="preserve">2039.HK owner-FCF component DCF: bull case (millions, CNY)</t>
  </si>
  <si>
    <t xml:space="preserve">2039.HK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</si>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</sst>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93497.6</v>
      </c>
      <c r="C2" s="0" t="n">
        <v>79586.4</v>
      </c>
      <c r="D2" s="0" t="n">
        <v>13911.2</v>
      </c>
      <c r="E2" s="0" t="n">
        <v>14.9</v>
      </c>
      <c r="F2" s="0" t="n">
        <v>6477</v>
      </c>
      <c r="G2" s="0" t="n">
        <v>6.9</v>
      </c>
      <c r="I2" s="0" t="n">
        <v>3380.4</v>
      </c>
      <c r="J2" s="0" t="n">
        <v>3.6</v>
      </c>
      <c r="K2" s="0" t="n">
        <v>0.92</v>
      </c>
      <c r="L2" s="0" t="n">
        <v>140.7</v>
      </c>
      <c r="M2" s="0" t="n">
        <v>4846.5</v>
      </c>
      <c r="N2" s="0" t="n">
        <v>-4705.8</v>
      </c>
      <c r="O2" s="0" t="n">
        <v>37325</v>
      </c>
      <c r="P2" s="0" t="n">
        <v>158884</v>
      </c>
      <c r="Q2" s="0" t="n">
        <v>106481</v>
      </c>
      <c r="R2" s="0" t="n">
        <v>61364</v>
      </c>
      <c r="S2" s="0" t="n">
        <v>9729.2</v>
      </c>
      <c r="T2" s="0" t="n">
        <v>2985</v>
      </c>
      <c r="U2" s="0" t="n">
        <v>30</v>
      </c>
      <c r="AA2" s="0" t="s">
        <v>18</v>
      </c>
      <c r="AB2" s="0" t="s">
        <v>14</v>
      </c>
      <c r="AD2" s="0" t="n">
        <v>4007.5</v>
      </c>
    </row>
    <row r="3" customFormat="false" ht="15" hidden="false" customHeight="false" outlineLevel="0" collapsed="false">
      <c r="A3" s="0" t="s">
        <v>67</v>
      </c>
      <c r="B3" s="0" t="n">
        <v>85815.3</v>
      </c>
      <c r="C3" s="0" t="n">
        <v>73355.6</v>
      </c>
      <c r="D3" s="0" t="n">
        <v>12459.7</v>
      </c>
      <c r="E3" s="0" t="n">
        <v>14.5</v>
      </c>
      <c r="F3" s="0" t="n">
        <v>5838.7</v>
      </c>
      <c r="G3" s="0" t="n">
        <v>6.8</v>
      </c>
      <c r="I3" s="0" t="n">
        <v>1542.2</v>
      </c>
      <c r="J3" s="0" t="n">
        <v>1.8</v>
      </c>
      <c r="K3" s="0" t="n">
        <v>0.37</v>
      </c>
      <c r="L3" s="0" t="n">
        <v>3538.5</v>
      </c>
      <c r="M3" s="0" t="n">
        <v>6566.4</v>
      </c>
      <c r="N3" s="0" t="n">
        <v>-3027.9</v>
      </c>
      <c r="O3" s="0" t="n">
        <v>39253.9</v>
      </c>
      <c r="P3" s="0" t="n">
        <v>172107.5</v>
      </c>
      <c r="Q3" s="0" t="n">
        <v>117069.5</v>
      </c>
      <c r="R3" s="0" t="n">
        <v>66105.9</v>
      </c>
      <c r="S3" s="0" t="n">
        <v>9714.8</v>
      </c>
      <c r="T3" s="0" t="n">
        <v>3584.5</v>
      </c>
      <c r="U3" s="0" t="n">
        <v>57.4</v>
      </c>
      <c r="AA3" s="0" t="s">
        <v>18</v>
      </c>
      <c r="AB3" s="0" t="s">
        <v>14</v>
      </c>
      <c r="AD3" s="0" t="n">
        <v>4007.5</v>
      </c>
    </row>
    <row r="4" customFormat="false" ht="15" hidden="false" customHeight="false" outlineLevel="0" collapsed="false">
      <c r="A4" s="0" t="s">
        <v>68</v>
      </c>
      <c r="B4" s="0" t="n">
        <v>94159.1</v>
      </c>
      <c r="C4" s="0" t="n">
        <v>80714.9</v>
      </c>
      <c r="D4" s="0" t="n">
        <v>13444.2</v>
      </c>
      <c r="E4" s="0" t="n">
        <v>14.3</v>
      </c>
      <c r="F4" s="0" t="n">
        <v>7439.6</v>
      </c>
      <c r="G4" s="0" t="n">
        <v>7.9</v>
      </c>
      <c r="I4" s="0" t="n">
        <v>4555.1</v>
      </c>
      <c r="J4" s="0" t="n">
        <v>4.8</v>
      </c>
      <c r="K4" s="0" t="n">
        <v>1.41</v>
      </c>
      <c r="L4" s="0" t="n">
        <v>12810.5</v>
      </c>
      <c r="M4" s="0" t="n">
        <v>3318.8</v>
      </c>
      <c r="N4" s="0" t="n">
        <v>9491.7</v>
      </c>
      <c r="O4" s="0" t="n">
        <v>44017.5</v>
      </c>
      <c r="P4" s="0" t="n">
        <v>146211.5</v>
      </c>
      <c r="Q4" s="0" t="n">
        <v>92357.7</v>
      </c>
      <c r="R4" s="0" t="n">
        <v>48653.9</v>
      </c>
      <c r="S4" s="0" t="n">
        <v>12181.4</v>
      </c>
      <c r="T4" s="0" t="n">
        <v>3595</v>
      </c>
      <c r="U4" s="0" t="n">
        <v>104.5</v>
      </c>
      <c r="AA4" s="0" t="s">
        <v>18</v>
      </c>
      <c r="AB4" s="0" t="s">
        <v>14</v>
      </c>
      <c r="AD4" s="0" t="n">
        <v>4308</v>
      </c>
    </row>
    <row r="5" customFormat="false" ht="15" hidden="false" customHeight="false" outlineLevel="0" collapsed="false">
      <c r="A5" s="0" t="s">
        <v>69</v>
      </c>
      <c r="B5" s="0" t="n">
        <v>163696</v>
      </c>
      <c r="C5" s="0" t="n">
        <v>134175.9</v>
      </c>
      <c r="D5" s="0" t="n">
        <v>29520.1</v>
      </c>
      <c r="E5" s="0" t="n">
        <v>18</v>
      </c>
      <c r="F5" s="0" t="n">
        <v>13471.5</v>
      </c>
      <c r="G5" s="0" t="n">
        <v>8.2</v>
      </c>
      <c r="I5" s="0" t="n">
        <v>6529.4</v>
      </c>
      <c r="J5" s="0" t="n">
        <v>4</v>
      </c>
      <c r="K5" s="0" t="n">
        <v>1.81</v>
      </c>
      <c r="L5" s="0" t="n">
        <v>20574.7</v>
      </c>
      <c r="M5" s="0" t="n">
        <v>6683.2</v>
      </c>
      <c r="N5" s="0" t="n">
        <v>13891.5</v>
      </c>
      <c r="O5" s="0" t="n">
        <v>45118.6</v>
      </c>
      <c r="P5" s="0" t="n">
        <v>154322.5</v>
      </c>
      <c r="Q5" s="0" t="n">
        <v>97342.4</v>
      </c>
      <c r="R5" s="0" t="n">
        <v>42525.7</v>
      </c>
      <c r="S5" s="0" t="n">
        <v>16442.7</v>
      </c>
      <c r="T5" s="0" t="n">
        <v>3595</v>
      </c>
      <c r="U5" s="0" t="n">
        <v>461.1</v>
      </c>
      <c r="AA5" s="0" t="s">
        <v>18</v>
      </c>
      <c r="AB5" s="0" t="s">
        <v>14</v>
      </c>
      <c r="AD5" s="0" t="n">
        <v>0</v>
      </c>
    </row>
    <row r="6" customFormat="false" ht="15" hidden="false" customHeight="false" outlineLevel="0" collapsed="false">
      <c r="A6" s="0" t="s">
        <v>70</v>
      </c>
      <c r="B6" s="0" t="n">
        <v>141536.7</v>
      </c>
      <c r="C6" s="0" t="n">
        <v>119911.8</v>
      </c>
      <c r="D6" s="0" t="n">
        <v>21624.9</v>
      </c>
      <c r="E6" s="0" t="n">
        <v>15.3</v>
      </c>
      <c r="F6" s="0" t="n">
        <v>7505.2</v>
      </c>
      <c r="G6" s="0" t="n">
        <v>5.3</v>
      </c>
      <c r="I6" s="0" t="n">
        <v>3219.2</v>
      </c>
      <c r="J6" s="0" t="n">
        <v>2.3</v>
      </c>
      <c r="K6" s="0" t="n">
        <v>0.59</v>
      </c>
      <c r="L6" s="0" t="n">
        <v>14617.5</v>
      </c>
      <c r="M6" s="0" t="n">
        <v>3560.8</v>
      </c>
      <c r="N6" s="0" t="n">
        <v>11056.7</v>
      </c>
      <c r="O6" s="0" t="n">
        <v>48613.4</v>
      </c>
      <c r="P6" s="0" t="n">
        <v>145899.9</v>
      </c>
      <c r="Q6" s="0" t="n">
        <v>83243.9</v>
      </c>
      <c r="R6" s="0" t="n">
        <v>26671.9</v>
      </c>
      <c r="S6" s="0" t="n">
        <v>17111.6</v>
      </c>
      <c r="T6" s="0" t="n">
        <v>5392.5</v>
      </c>
      <c r="U6" s="0" t="n">
        <v>529.6</v>
      </c>
      <c r="AA6" s="0" t="s">
        <v>18</v>
      </c>
      <c r="AB6" s="0" t="s">
        <v>14</v>
      </c>
      <c r="AD6" s="0" t="n">
        <v>2049.8</v>
      </c>
    </row>
    <row r="7" customFormat="false" ht="15" hidden="false" customHeight="false" outlineLevel="0" collapsed="false">
      <c r="A7" s="0" t="s">
        <v>71</v>
      </c>
      <c r="B7" s="0" t="n">
        <v>127809.5</v>
      </c>
      <c r="C7" s="0" t="n">
        <v>110211.9</v>
      </c>
      <c r="D7" s="0" t="n">
        <v>17597.6</v>
      </c>
      <c r="E7" s="0" t="n">
        <v>13.8</v>
      </c>
      <c r="F7" s="0" t="n">
        <v>2831.9</v>
      </c>
      <c r="G7" s="0" t="n">
        <v>2.2</v>
      </c>
      <c r="I7" s="0" t="n">
        <v>421.2</v>
      </c>
      <c r="J7" s="0" t="n">
        <v>0.3</v>
      </c>
      <c r="K7" s="0" t="n">
        <v>0.07</v>
      </c>
      <c r="L7" s="0" t="n">
        <v>2703.2</v>
      </c>
      <c r="M7" s="0" t="n">
        <v>5475.9</v>
      </c>
      <c r="N7" s="0" t="n">
        <v>-2772.7</v>
      </c>
      <c r="O7" s="0" t="n">
        <v>47857.8</v>
      </c>
      <c r="P7" s="0" t="n">
        <v>161763.2</v>
      </c>
      <c r="Q7" s="0" t="n">
        <v>97132.9</v>
      </c>
      <c r="R7" s="0" t="n">
        <v>37560.4</v>
      </c>
      <c r="S7" s="0" t="n">
        <v>21324.5</v>
      </c>
      <c r="T7" s="0" t="n">
        <v>5392.5</v>
      </c>
      <c r="U7" s="0" t="n">
        <v>88.7</v>
      </c>
      <c r="AA7" s="0" t="s">
        <v>18</v>
      </c>
      <c r="AB7" s="0" t="s">
        <v>14</v>
      </c>
      <c r="AD7" s="0" t="n">
        <v>2049.8</v>
      </c>
    </row>
    <row r="8" customFormat="false" ht="15" hidden="false" customHeight="false" outlineLevel="0" collapsed="false">
      <c r="A8" s="0" t="s">
        <v>72</v>
      </c>
      <c r="B8" s="0" t="n">
        <v>177664.1</v>
      </c>
      <c r="C8" s="0" t="n">
        <v>155417.3</v>
      </c>
      <c r="D8" s="0" t="n">
        <v>22246.8</v>
      </c>
      <c r="E8" s="0" t="n">
        <v>12.5</v>
      </c>
      <c r="F8" s="0" t="n">
        <v>6552.9</v>
      </c>
      <c r="G8" s="0" t="n">
        <v>3.7</v>
      </c>
      <c r="I8" s="0" t="n">
        <v>2972.3</v>
      </c>
      <c r="J8" s="0" t="n">
        <v>1.7</v>
      </c>
      <c r="K8" s="0" t="n">
        <v>0.53</v>
      </c>
      <c r="L8" s="0" t="n">
        <v>9263.9</v>
      </c>
      <c r="M8" s="0" t="n">
        <v>3568.9</v>
      </c>
      <c r="N8" s="0" t="n">
        <v>5695</v>
      </c>
      <c r="O8" s="0" t="n">
        <v>51619.3</v>
      </c>
      <c r="P8" s="0" t="n">
        <v>174752.2</v>
      </c>
      <c r="Q8" s="0" t="n">
        <v>106732.4</v>
      </c>
      <c r="R8" s="0" t="n">
        <v>38970.5</v>
      </c>
      <c r="S8" s="0" t="n">
        <v>21621.3</v>
      </c>
      <c r="T8" s="0" t="n">
        <v>5392.5</v>
      </c>
      <c r="AA8" s="0" t="s">
        <v>18</v>
      </c>
      <c r="AB8" s="0" t="s">
        <v>14</v>
      </c>
      <c r="AC8" s="0" t="n">
        <v>16400.5</v>
      </c>
      <c r="AD8" s="0" t="n">
        <v>4093</v>
      </c>
    </row>
    <row r="9" customFormat="false" ht="15" hidden="false" customHeight="false" outlineLevel="0" collapsed="false">
      <c r="A9" s="0" t="s">
        <v>73</v>
      </c>
      <c r="B9" s="0" t="n">
        <v>156611.4</v>
      </c>
      <c r="C9" s="0" t="n">
        <v>137116.4</v>
      </c>
      <c r="D9" s="0" t="n">
        <v>19495</v>
      </c>
      <c r="E9" s="0" t="n">
        <v>12.4</v>
      </c>
      <c r="F9" s="0" t="n">
        <v>2841.6</v>
      </c>
      <c r="G9" s="0" t="n">
        <v>1.8</v>
      </c>
      <c r="I9" s="0" t="n">
        <v>220.8</v>
      </c>
      <c r="J9" s="0" t="n">
        <v>0.1</v>
      </c>
      <c r="K9" s="0" t="n">
        <v>0.03</v>
      </c>
      <c r="L9" s="0" t="n">
        <v>18514.4</v>
      </c>
      <c r="M9" s="0" t="n">
        <v>4718.7</v>
      </c>
      <c r="N9" s="0" t="n">
        <v>13795.7</v>
      </c>
      <c r="O9" s="0" t="n">
        <v>50391.5</v>
      </c>
      <c r="P9" s="0" t="n">
        <v>166795.5</v>
      </c>
      <c r="Q9" s="0" t="n">
        <v>99984.7</v>
      </c>
      <c r="R9" s="0" t="n">
        <v>34348.5</v>
      </c>
      <c r="S9" s="0" t="n">
        <v>24264.4</v>
      </c>
      <c r="T9" s="0" t="n">
        <v>5392.5</v>
      </c>
      <c r="AA9" s="0" t="s">
        <v>18</v>
      </c>
      <c r="AB9" s="0" t="s">
        <v>14</v>
      </c>
      <c r="AC9" s="0" t="n">
        <v>16419.3</v>
      </c>
      <c r="AD9" s="0" t="n">
        <v>4064.1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6.79</v>
      </c>
    </row>
    <row r="3" customFormat="false" ht="15" hidden="false" customHeight="false" outlineLevel="0" collapsed="false">
      <c r="A3" s="0" t="s">
        <v>77</v>
      </c>
      <c r="B3" s="3" t="n">
        <v>5227.5</v>
      </c>
    </row>
    <row r="4" customFormat="false" ht="15" hidden="false" customHeight="false" outlineLevel="0" collapsed="false">
      <c r="A4" s="0" t="s">
        <v>78</v>
      </c>
      <c r="B4" s="3" t="n">
        <v>13013.3</v>
      </c>
    </row>
    <row r="5" customFormat="false" ht="15" hidden="false" customHeight="false" outlineLevel="0" collapsed="false">
      <c r="A5" s="0" t="s">
        <v>79</v>
      </c>
      <c r="B5" s="3" t="n">
        <v>-11476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156611.4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-1</v>
      </c>
      <c r="D13" s="3" t="n">
        <v>-4</v>
      </c>
      <c r="E13" s="3" t="n">
        <v>1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6.2</v>
      </c>
      <c r="D14" s="3" t="n">
        <v>5.8</v>
      </c>
      <c r="E14" s="3" t="n">
        <v>6</v>
      </c>
      <c r="F14" s="3" t="n">
        <v>6.2</v>
      </c>
      <c r="G14" s="3" t="n">
        <v>6.4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99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102</v>
      </c>
      <c r="C18" s="3" t="n">
        <v>2.6</v>
      </c>
      <c r="D18" s="3" t="n">
        <v>2.8</v>
      </c>
      <c r="E18" s="3" t="n">
        <v>2.9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103</v>
      </c>
      <c r="C19" s="3" t="n">
        <v>32</v>
      </c>
      <c r="D19" s="3" t="n">
        <v>31</v>
      </c>
      <c r="E19" s="3" t="n">
        <v>30</v>
      </c>
      <c r="F19" s="3" t="n">
        <v>29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-8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6.6</v>
      </c>
      <c r="D28" s="3" t="n">
        <v>6.9</v>
      </c>
      <c r="E28" s="3" t="n">
        <v>7.2</v>
      </c>
      <c r="F28" s="3" t="n">
        <v>7.4</v>
      </c>
      <c r="G28" s="3" t="n">
        <v>7.5</v>
      </c>
      <c r="H28" s="3" t="n">
        <v>7.5</v>
      </c>
      <c r="I28" s="3" t="n">
        <v>7.5</v>
      </c>
      <c r="J28" s="3" t="n">
        <v>7.5</v>
      </c>
      <c r="K28" s="3" t="n">
        <v>7.5</v>
      </c>
      <c r="L28" s="3" t="n">
        <v>7.5</v>
      </c>
    </row>
    <row r="29" customFormat="false" ht="15" hidden="false" customHeight="false" outlineLevel="0" collapsed="false">
      <c r="A29" s="0" t="s">
        <v>99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2.8</v>
      </c>
      <c r="D31" s="3" t="n">
        <v>2.8</v>
      </c>
      <c r="E31" s="3" t="n">
        <v>2.8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102</v>
      </c>
      <c r="C32" s="3" t="n">
        <v>2.6</v>
      </c>
      <c r="D32" s="3" t="n">
        <v>2.9</v>
      </c>
      <c r="E32" s="3" t="n">
        <v>3.1</v>
      </c>
      <c r="F32" s="3" t="n">
        <v>3.1</v>
      </c>
      <c r="G32" s="3" t="n">
        <v>3.1</v>
      </c>
      <c r="H32" s="3" t="n">
        <v>3.1</v>
      </c>
      <c r="I32" s="3" t="n">
        <v>3.1</v>
      </c>
      <c r="J32" s="3" t="n">
        <v>3.1</v>
      </c>
      <c r="K32" s="3" t="n">
        <v>3.1</v>
      </c>
      <c r="L32" s="3" t="n">
        <v>3.1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29</v>
      </c>
      <c r="E33" s="3" t="n">
        <v>28</v>
      </c>
      <c r="F33" s="3" t="n">
        <v>27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-8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8</v>
      </c>
      <c r="E41" s="3" t="n">
        <v>7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6.8</v>
      </c>
      <c r="D42" s="3" t="n">
        <v>7.6</v>
      </c>
      <c r="E42" s="3" t="n">
        <v>8.3</v>
      </c>
      <c r="F42" s="3" t="n">
        <v>8.6</v>
      </c>
      <c r="G42" s="3" t="n">
        <v>8.6</v>
      </c>
      <c r="H42" s="3" t="n">
        <v>8.4</v>
      </c>
      <c r="I42" s="3" t="n">
        <v>8.3</v>
      </c>
      <c r="J42" s="3" t="n">
        <v>8.2</v>
      </c>
      <c r="K42" s="3" t="n">
        <v>8.2</v>
      </c>
      <c r="L42" s="3" t="n">
        <v>8.2</v>
      </c>
    </row>
    <row r="43" customFormat="false" ht="15" hidden="false" customHeight="false" outlineLevel="0" collapsed="false">
      <c r="A43" s="0" t="s">
        <v>99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2.8</v>
      </c>
      <c r="D45" s="3" t="n">
        <v>2.8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102</v>
      </c>
      <c r="C46" s="3" t="n">
        <v>2.7</v>
      </c>
      <c r="D46" s="3" t="n">
        <v>3.1</v>
      </c>
      <c r="E46" s="3" t="n">
        <v>3.3</v>
      </c>
      <c r="F46" s="3" t="n">
        <v>3.3</v>
      </c>
      <c r="G46" s="3" t="n">
        <v>3.3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103</v>
      </c>
      <c r="C47" s="3" t="n">
        <v>29</v>
      </c>
      <c r="D47" s="3" t="n">
        <v>27</v>
      </c>
      <c r="E47" s="3" t="n">
        <v>26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-1</v>
      </c>
      <c r="D5" s="4" t="n">
        <f aca="false">Assumptions!D13</f>
        <v>-4</v>
      </c>
      <c r="E5" s="4" t="n">
        <f aca="false">Assumptions!E13</f>
        <v>1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156611.4</v>
      </c>
      <c r="C6" s="0" t="n">
        <f aca="false">B6*(1+C5/100)</f>
        <v>155045.286</v>
      </c>
      <c r="D6" s="0" t="n">
        <f aca="false">C6*(1+D5/100)</f>
        <v>148843.47456</v>
      </c>
      <c r="E6" s="0" t="n">
        <f aca="false">D6*(1+E5/100)</f>
        <v>150331.9093056</v>
      </c>
      <c r="F6" s="0" t="n">
        <f aca="false">E6*(1+F5/100)</f>
        <v>154090.20703824</v>
      </c>
      <c r="G6" s="0" t="n">
        <f aca="false">F6*(1+G5/100)</f>
        <v>157942.462214196</v>
      </c>
      <c r="H6" s="0" t="n">
        <f aca="false">G6*(1+H5/100)</f>
        <v>161891.023769551</v>
      </c>
      <c r="I6" s="0" t="n">
        <f aca="false">H6*(1+I5/100)</f>
        <v>165128.844244942</v>
      </c>
      <c r="J6" s="0" t="n">
        <f aca="false">I6*(1+J5/100)</f>
        <v>168431.421129841</v>
      </c>
      <c r="K6" s="0" t="n">
        <f aca="false">J6*(1+K5/100)</f>
        <v>171800.049552438</v>
      </c>
      <c r="L6" s="0" t="n">
        <f aca="false">K6*(1+L5/100)</f>
        <v>175236.050543486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6.2</v>
      </c>
      <c r="D7" s="4" t="n">
        <f aca="false">Assumptions!D14</f>
        <v>5.8</v>
      </c>
      <c r="E7" s="4" t="n">
        <f aca="false">Assumptions!E14</f>
        <v>6</v>
      </c>
      <c r="F7" s="4" t="n">
        <f aca="false">Assumptions!F14</f>
        <v>6.2</v>
      </c>
      <c r="G7" s="4" t="n">
        <f aca="false">Assumptions!G14</f>
        <v>6.4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9612.807732</v>
      </c>
      <c r="D8" s="0" t="n">
        <f aca="false">D6*D7/100</f>
        <v>8632.92152448</v>
      </c>
      <c r="E8" s="0" t="n">
        <f aca="false">E6*E7/100</f>
        <v>9019.914558336</v>
      </c>
      <c r="F8" s="0" t="n">
        <f aca="false">F6*F7/100</f>
        <v>9553.59283637088</v>
      </c>
      <c r="G8" s="0" t="n">
        <f aca="false">G6*G7/100</f>
        <v>10108.3175817085</v>
      </c>
      <c r="H8" s="0" t="n">
        <f aca="false">H6*H7/100</f>
        <v>10522.9165450208</v>
      </c>
      <c r="I8" s="0" t="n">
        <f aca="false">I6*I7/100</f>
        <v>10733.3748759212</v>
      </c>
      <c r="J8" s="0" t="n">
        <f aca="false">J6*J7/100</f>
        <v>10948.0423734396</v>
      </c>
      <c r="K8" s="0" t="n">
        <f aca="false">K6*K7/100</f>
        <v>11167.0032209084</v>
      </c>
      <c r="L8" s="0" t="n">
        <f aca="false">L6*L7/100</f>
        <v>11390.3432853266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-77.522643</v>
      </c>
      <c r="D10" s="0" t="n">
        <f aca="false">-D6*D9/100</f>
        <v>-74.42173728</v>
      </c>
      <c r="E10" s="0" t="n">
        <f aca="false">-E6*E9/100</f>
        <v>-75.1659546528</v>
      </c>
      <c r="F10" s="0" t="n">
        <f aca="false">-F6*F9/100</f>
        <v>-77.04510351912</v>
      </c>
      <c r="G10" s="0" t="n">
        <f aca="false">-G6*G9/100</f>
        <v>-78.971231107098</v>
      </c>
      <c r="H10" s="0" t="n">
        <f aca="false">-H6*H9/100</f>
        <v>-80.9455118847754</v>
      </c>
      <c r="I10" s="0" t="n">
        <f aca="false">-I6*I9/100</f>
        <v>-82.5644221224709</v>
      </c>
      <c r="J10" s="0" t="n">
        <f aca="false">-J6*J9/100</f>
        <v>-84.2157105649204</v>
      </c>
      <c r="K10" s="0" t="n">
        <f aca="false">-K6*K9/100</f>
        <v>-85.9000247762188</v>
      </c>
      <c r="L10" s="0" t="n">
        <f aca="false">-L6*L9/100</f>
        <v>-87.6180252717432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9535.285089</v>
      </c>
      <c r="D11" s="0" t="n">
        <f aca="false">D8+D10+D24</f>
        <v>8558.4997872</v>
      </c>
      <c r="E11" s="0" t="n">
        <f aca="false">E8+E10+E24</f>
        <v>8944.7486036832</v>
      </c>
      <c r="F11" s="0" t="n">
        <f aca="false">F8+F10+F24</f>
        <v>9476.54773285176</v>
      </c>
      <c r="G11" s="0" t="n">
        <f aca="false">G8+G10+G24</f>
        <v>10029.3463506014</v>
      </c>
      <c r="H11" s="0" t="n">
        <f aca="false">H8+H10+H24</f>
        <v>10441.971033136</v>
      </c>
      <c r="I11" s="0" t="n">
        <f aca="false">I8+I10+I24</f>
        <v>10650.8104537988</v>
      </c>
      <c r="J11" s="0" t="n">
        <f aca="false">J8+J10+J24</f>
        <v>10863.8266628747</v>
      </c>
      <c r="K11" s="0" t="n">
        <f aca="false">K8+K10+K24</f>
        <v>11081.1031961322</v>
      </c>
      <c r="L11" s="0" t="n">
        <f aca="false">L8+L10+L24</f>
        <v>11302.7252600549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-4341.268008</v>
      </c>
      <c r="D12" s="4" t="n">
        <f aca="false">-D6*Assumptions!D17/100</f>
        <v>-4167.61728768</v>
      </c>
      <c r="E12" s="4" t="n">
        <f aca="false">-E6*Assumptions!E17/100</f>
        <v>-4209.2934605568</v>
      </c>
      <c r="F12" s="4" t="n">
        <f aca="false">-F6*Assumptions!F17/100</f>
        <v>-4314.52579707072</v>
      </c>
      <c r="G12" s="4" t="n">
        <f aca="false">-G6*Assumptions!G17/100</f>
        <v>-4422.38894199749</v>
      </c>
      <c r="H12" s="4" t="n">
        <f aca="false">-H6*Assumptions!H17/100</f>
        <v>-4532.94866554742</v>
      </c>
      <c r="I12" s="4" t="n">
        <f aca="false">-I6*Assumptions!I17/100</f>
        <v>-4623.60763885837</v>
      </c>
      <c r="J12" s="4" t="n">
        <f aca="false">-J6*Assumptions!J17/100</f>
        <v>-4716.07979163554</v>
      </c>
      <c r="K12" s="4" t="n">
        <f aca="false">-K6*Assumptions!K17/100</f>
        <v>-4810.40138746825</v>
      </c>
      <c r="L12" s="4" t="n">
        <f aca="false">-L6*Assumptions!L17/100</f>
        <v>-4906.60941521762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5194.017081</v>
      </c>
      <c r="D13" s="0" t="n">
        <f aca="false">D11+D12</f>
        <v>4390.88249952</v>
      </c>
      <c r="E13" s="0" t="n">
        <f aca="false">E11+E12</f>
        <v>4735.4551431264</v>
      </c>
      <c r="F13" s="0" t="n">
        <f aca="false">F11+F12</f>
        <v>5162.02193578104</v>
      </c>
      <c r="G13" s="0" t="n">
        <f aca="false">G11+G12</f>
        <v>5606.95740860396</v>
      </c>
      <c r="H13" s="0" t="n">
        <f aca="false">H11+H12</f>
        <v>5909.02236758861</v>
      </c>
      <c r="I13" s="0" t="n">
        <f aca="false">I11+I12</f>
        <v>6027.20281494038</v>
      </c>
      <c r="J13" s="0" t="n">
        <f aca="false">J11+J12</f>
        <v>6147.74687123919</v>
      </c>
      <c r="K13" s="0" t="n">
        <f aca="false">K11+K12</f>
        <v>6270.70180866397</v>
      </c>
      <c r="L13" s="0" t="n">
        <f aca="false">L11+L12</f>
        <v>6396.11584483725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32</v>
      </c>
      <c r="D14" s="4" t="n">
        <f aca="false">Assumptions!D19</f>
        <v>31</v>
      </c>
      <c r="E14" s="4" t="n">
        <f aca="false">Assumptions!E19</f>
        <v>30</v>
      </c>
      <c r="F14" s="4" t="n">
        <f aca="false">Assumptions!F19</f>
        <v>29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3531.93161508</v>
      </c>
      <c r="D15" s="0" t="n">
        <f aca="false">D13-MAX(0,D13)*D14/100</f>
        <v>3029.7089246688</v>
      </c>
      <c r="E15" s="0" t="n">
        <f aca="false">E13-MAX(0,E13)*E14/100</f>
        <v>3314.81860018848</v>
      </c>
      <c r="F15" s="0" t="n">
        <f aca="false">F13-MAX(0,F13)*F14/100</f>
        <v>3665.03557440454</v>
      </c>
      <c r="G15" s="0" t="n">
        <f aca="false">G13-MAX(0,G13)*G14/100</f>
        <v>4037.00933419485</v>
      </c>
      <c r="H15" s="0" t="n">
        <f aca="false">H13-MAX(0,H13)*H14/100</f>
        <v>4254.4961046638</v>
      </c>
      <c r="I15" s="0" t="n">
        <f aca="false">I13-MAX(0,I13)*I14/100</f>
        <v>4339.58602675707</v>
      </c>
      <c r="J15" s="0" t="n">
        <f aca="false">J13-MAX(0,J13)*J14/100</f>
        <v>4426.37774729221</v>
      </c>
      <c r="K15" s="0" t="n">
        <f aca="false">K13-MAX(0,K13)*K14/100</f>
        <v>4514.90530223806</v>
      </c>
      <c r="L15" s="0" t="n">
        <f aca="false">L13-MAX(0,L13)*L14/100</f>
        <v>4605.20340828282</v>
      </c>
    </row>
    <row r="16" customFormat="false" ht="15" hidden="false" customHeight="false" outlineLevel="0" collapsed="false">
      <c r="A16" s="0" t="s">
        <v>119</v>
      </c>
      <c r="C16" s="0" t="n">
        <f aca="false">-C12</f>
        <v>4341.268008</v>
      </c>
      <c r="D16" s="0" t="n">
        <f aca="false">-D12</f>
        <v>4167.61728768</v>
      </c>
      <c r="E16" s="0" t="n">
        <f aca="false">-E12</f>
        <v>4209.2934605568</v>
      </c>
      <c r="F16" s="0" t="n">
        <f aca="false">-F12</f>
        <v>4314.52579707072</v>
      </c>
      <c r="G16" s="0" t="n">
        <f aca="false">-G12</f>
        <v>4422.38894199749</v>
      </c>
      <c r="H16" s="0" t="n">
        <f aca="false">-H12</f>
        <v>4532.94866554742</v>
      </c>
      <c r="I16" s="0" t="n">
        <f aca="false">-I12</f>
        <v>4623.60763885837</v>
      </c>
      <c r="J16" s="0" t="n">
        <f aca="false">-J12</f>
        <v>4716.07979163554</v>
      </c>
      <c r="K16" s="0" t="n">
        <f aca="false">-K12</f>
        <v>4810.40138746825</v>
      </c>
      <c r="L16" s="0" t="n">
        <f aca="false">-L12</f>
        <v>4906.60941521762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-4031.177436</v>
      </c>
      <c r="D17" s="4" t="n">
        <f aca="false">-D6*Assumptions!D18/100</f>
        <v>-4167.61728768</v>
      </c>
      <c r="E17" s="4" t="n">
        <f aca="false">-E6*Assumptions!E18/100</f>
        <v>-4359.6253698624</v>
      </c>
      <c r="F17" s="4" t="n">
        <f aca="false">-F6*Assumptions!F18/100</f>
        <v>-4622.7062111472</v>
      </c>
      <c r="G17" s="4" t="n">
        <f aca="false">-G6*Assumptions!G18/100</f>
        <v>-4738.27386642588</v>
      </c>
      <c r="H17" s="4" t="n">
        <f aca="false">-H6*Assumptions!H18/100</f>
        <v>-4856.73071308653</v>
      </c>
      <c r="I17" s="4" t="n">
        <f aca="false">-I6*Assumptions!I18/100</f>
        <v>-4953.86532734826</v>
      </c>
      <c r="J17" s="4" t="n">
        <f aca="false">-J6*Assumptions!J18/100</f>
        <v>-5052.94263389522</v>
      </c>
      <c r="K17" s="4" t="n">
        <f aca="false">-K6*Assumptions!K18/100</f>
        <v>-5154.00148657313</v>
      </c>
      <c r="L17" s="4" t="n">
        <f aca="false">-L6*Assumptions!L18/100</f>
        <v>-5257.08151630459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125.28912</v>
      </c>
      <c r="D18" s="4" t="n">
        <f aca="false">(D6-C6)*Assumptions!$B$23/100</f>
        <v>496.144915200002</v>
      </c>
      <c r="E18" s="4" t="n">
        <f aca="false">(E6-D6)*Assumptions!$B$23/100</f>
        <v>-119.074779648001</v>
      </c>
      <c r="F18" s="4" t="n">
        <f aca="false">(F6-E6)*Assumptions!$B$23/100</f>
        <v>-300.6638186112</v>
      </c>
      <c r="G18" s="4" t="n">
        <f aca="false">(G6-F6)*Assumptions!$B$23/100</f>
        <v>-308.180414076478</v>
      </c>
      <c r="H18" s="4" t="n">
        <f aca="false">(H6-G6)*Assumptions!$B$23/100</f>
        <v>-315.884924428391</v>
      </c>
      <c r="I18" s="4" t="n">
        <f aca="false">(I6-H6)*Assumptions!$B$23/100</f>
        <v>-259.025638031282</v>
      </c>
      <c r="J18" s="4" t="n">
        <f aca="false">(J6-I6)*Assumptions!$B$23/100</f>
        <v>-264.206150791908</v>
      </c>
      <c r="K18" s="4" t="n">
        <f aca="false">(K6-J6)*Assumptions!$B$23/100</f>
        <v>-269.490273807745</v>
      </c>
      <c r="L18" s="4" t="n">
        <f aca="false">(L6-K6)*Assumptions!$B$23/100</f>
        <v>-274.880079283901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3967.31130708</v>
      </c>
      <c r="D19" s="0" t="n">
        <f aca="false">D15+D16+D17+D18</f>
        <v>3525.8538398688</v>
      </c>
      <c r="E19" s="0" t="n">
        <f aca="false">E15+E16+E17+E18</f>
        <v>3045.41191123488</v>
      </c>
      <c r="F19" s="0" t="n">
        <f aca="false">F15+F16+F17+F18</f>
        <v>3056.19134171686</v>
      </c>
      <c r="G19" s="0" t="n">
        <f aca="false">G15+G16+G17+G18</f>
        <v>3412.94399568998</v>
      </c>
      <c r="H19" s="0" t="n">
        <f aca="false">H15+H16+H17+H18</f>
        <v>3614.8291326963</v>
      </c>
      <c r="I19" s="0" t="n">
        <f aca="false">I15+I16+I17+I18</f>
        <v>3750.30270023591</v>
      </c>
      <c r="J19" s="0" t="n">
        <f aca="false">J15+J16+J17+J18</f>
        <v>3825.30875424062</v>
      </c>
      <c r="K19" s="0" t="n">
        <f aca="false">K15+K16+K17+K18</f>
        <v>3901.81492932544</v>
      </c>
      <c r="L19" s="0" t="n">
        <f aca="false">L15+L16+L17+L18</f>
        <v>3979.85122791194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3656.50811712442</v>
      </c>
      <c r="D21" s="0" t="n">
        <f aca="false">D19*D20</f>
        <v>2995.05518475126</v>
      </c>
      <c r="E21" s="0" t="n">
        <f aca="false">E19*E20</f>
        <v>2384.27764836319</v>
      </c>
      <c r="F21" s="0" t="n">
        <f aca="false">F19*F20</f>
        <v>2205.26907998526</v>
      </c>
      <c r="G21" s="0" t="n">
        <f aca="false">G19*G20</f>
        <v>2269.76278427337</v>
      </c>
      <c r="H21" s="0" t="n">
        <f aca="false">H19*H20</f>
        <v>2215.6917702022</v>
      </c>
      <c r="I21" s="0" t="n">
        <f aca="false">I19*I20</f>
        <v>2118.64481873742</v>
      </c>
      <c r="J21" s="0" t="n">
        <f aca="false">J19*J20</f>
        <v>1991.72139641674</v>
      </c>
      <c r="K21" s="0" t="n">
        <f aca="false">K19*K20</f>
        <v>1872.40168142403</v>
      </c>
      <c r="L21" s="0" t="n">
        <f aca="false">L19*L20</f>
        <v>1760.23015212213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23469.5626334</v>
      </c>
    </row>
    <row r="31" customFormat="false" ht="15" hidden="false" customHeight="false" outlineLevel="0" collapsed="false">
      <c r="A31" s="0" t="s">
        <v>128</v>
      </c>
      <c r="B31" s="0" t="n">
        <f aca="false">L19</f>
        <v>3979.85122791194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57707.8428047232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47758.2147349433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47758.2147349433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21122.7618254656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44592.3244588656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20103.0244588656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4.50861518423224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-0.335991872719847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521.709004597831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561.906532744378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4.75164356414233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29922.5851580046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0.176211172816593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156611.4</v>
      </c>
      <c r="C6" s="0" t="n">
        <f aca="false">B6*(1+C5/100)</f>
        <v>159743.628</v>
      </c>
      <c r="D6" s="0" t="n">
        <f aca="false">C6*(1+D5/100)</f>
        <v>164535.93684</v>
      </c>
      <c r="E6" s="0" t="n">
        <f aca="false">D6*(1+E5/100)</f>
        <v>171117.3743136</v>
      </c>
      <c r="F6" s="0" t="n">
        <f aca="false">E6*(1+F5/100)</f>
        <v>177962.069286144</v>
      </c>
      <c r="G6" s="0" t="n">
        <f aca="false">F6*(1+G5/100)</f>
        <v>185080.55205759</v>
      </c>
      <c r="H6" s="0" t="n">
        <f aca="false">G6*(1+H5/100)</f>
        <v>191558.371379605</v>
      </c>
      <c r="I6" s="0" t="n">
        <f aca="false">H6*(1+I5/100)</f>
        <v>197305.122520994</v>
      </c>
      <c r="J6" s="0" t="n">
        <f aca="false">I6*(1+J5/100)</f>
        <v>203224.276196623</v>
      </c>
      <c r="K6" s="0" t="n">
        <f aca="false">J6*(1+K5/100)</f>
        <v>208304.883101539</v>
      </c>
      <c r="L6" s="0" t="n">
        <f aca="false">K6*(1+L5/100)</f>
        <v>213512.505179077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6.6</v>
      </c>
      <c r="D7" s="4" t="n">
        <f aca="false">Assumptions!D28</f>
        <v>6.9</v>
      </c>
      <c r="E7" s="4" t="n">
        <f aca="false">Assumptions!E28</f>
        <v>7.2</v>
      </c>
      <c r="F7" s="4" t="n">
        <f aca="false">Assumptions!F28</f>
        <v>7.4</v>
      </c>
      <c r="G7" s="4" t="n">
        <f aca="false">Assumptions!G28</f>
        <v>7.5</v>
      </c>
      <c r="H7" s="4" t="n">
        <f aca="false">Assumptions!H28</f>
        <v>7.5</v>
      </c>
      <c r="I7" s="4" t="n">
        <f aca="false">Assumptions!I28</f>
        <v>7.5</v>
      </c>
      <c r="J7" s="4" t="n">
        <f aca="false">Assumptions!J28</f>
        <v>7.5</v>
      </c>
      <c r="K7" s="4" t="n">
        <f aca="false">Assumptions!K28</f>
        <v>7.5</v>
      </c>
      <c r="L7" s="4" t="n">
        <f aca="false">Assumptions!L28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10543.079448</v>
      </c>
      <c r="D8" s="0" t="n">
        <f aca="false">D6*D7/100</f>
        <v>11352.97964196</v>
      </c>
      <c r="E8" s="0" t="n">
        <f aca="false">E6*E7/100</f>
        <v>12320.4509505792</v>
      </c>
      <c r="F8" s="0" t="n">
        <f aca="false">F6*F7/100</f>
        <v>13169.1931271747</v>
      </c>
      <c r="G8" s="0" t="n">
        <f aca="false">G6*G7/100</f>
        <v>13881.0414043192</v>
      </c>
      <c r="H8" s="0" t="n">
        <f aca="false">H6*H7/100</f>
        <v>14366.8778534704</v>
      </c>
      <c r="I8" s="0" t="n">
        <f aca="false">I6*I7/100</f>
        <v>14797.8841890745</v>
      </c>
      <c r="J8" s="0" t="n">
        <f aca="false">J6*J7/100</f>
        <v>15241.8207147468</v>
      </c>
      <c r="K8" s="0" t="n">
        <f aca="false">K6*K7/100</f>
        <v>15622.8662326154</v>
      </c>
      <c r="L8" s="0" t="n">
        <f aca="false">L6*L7/100</f>
        <v>16013.4378884308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-79.871814</v>
      </c>
      <c r="D10" s="0" t="n">
        <f aca="false">-D6*D9/100</f>
        <v>-82.26796842</v>
      </c>
      <c r="E10" s="0" t="n">
        <f aca="false">-E6*E9/100</f>
        <v>-85.5586871568</v>
      </c>
      <c r="F10" s="0" t="n">
        <f aca="false">-F6*F9/100</f>
        <v>-88.981034643072</v>
      </c>
      <c r="G10" s="0" t="n">
        <f aca="false">-G6*G9/100</f>
        <v>-92.5402760287949</v>
      </c>
      <c r="H10" s="0" t="n">
        <f aca="false">-H6*H9/100</f>
        <v>-95.7791856898027</v>
      </c>
      <c r="I10" s="0" t="n">
        <f aca="false">-I6*I9/100</f>
        <v>-98.6525612604968</v>
      </c>
      <c r="J10" s="0" t="n">
        <f aca="false">-J6*J9/100</f>
        <v>-101.612138098312</v>
      </c>
      <c r="K10" s="0" t="n">
        <f aca="false">-K6*K9/100</f>
        <v>-104.15244155077</v>
      </c>
      <c r="L10" s="0" t="n">
        <f aca="false">-L6*L9/100</f>
        <v>-106.756252589539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10463.207634</v>
      </c>
      <c r="D11" s="0" t="n">
        <f aca="false">D8+D10+D24</f>
        <v>11270.71167354</v>
      </c>
      <c r="E11" s="0" t="n">
        <f aca="false">E8+E10+E24</f>
        <v>12234.8922634224</v>
      </c>
      <c r="F11" s="0" t="n">
        <f aca="false">F8+F10+F24</f>
        <v>13080.2120925316</v>
      </c>
      <c r="G11" s="0" t="n">
        <f aca="false">G8+G10+G24</f>
        <v>13788.5011282904</v>
      </c>
      <c r="H11" s="0" t="n">
        <f aca="false">H8+H10+H24</f>
        <v>14271.0986677806</v>
      </c>
      <c r="I11" s="0" t="n">
        <f aca="false">I8+I10+I24</f>
        <v>14699.231627814</v>
      </c>
      <c r="J11" s="0" t="n">
        <f aca="false">J8+J10+J24</f>
        <v>15140.2085766484</v>
      </c>
      <c r="K11" s="0" t="n">
        <f aca="false">K8+K10+K24</f>
        <v>15518.7137910647</v>
      </c>
      <c r="L11" s="0" t="n">
        <f aca="false">L8+L10+L24</f>
        <v>15906.6816358413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-4472.821584</v>
      </c>
      <c r="D12" s="4" t="n">
        <f aca="false">-D6*Assumptions!D31/100</f>
        <v>-4607.00623152</v>
      </c>
      <c r="E12" s="4" t="n">
        <f aca="false">-E6*Assumptions!E31/100</f>
        <v>-4791.2864807808</v>
      </c>
      <c r="F12" s="4" t="n">
        <f aca="false">-F6*Assumptions!F31/100</f>
        <v>-4982.93794001203</v>
      </c>
      <c r="G12" s="4" t="n">
        <f aca="false">-G6*Assumptions!G31/100</f>
        <v>-5182.25545761251</v>
      </c>
      <c r="H12" s="4" t="n">
        <f aca="false">-H6*Assumptions!H31/100</f>
        <v>-5363.63439862895</v>
      </c>
      <c r="I12" s="4" t="n">
        <f aca="false">-I6*Assumptions!I31/100</f>
        <v>-5524.54343058782</v>
      </c>
      <c r="J12" s="4" t="n">
        <f aca="false">-J6*Assumptions!J31/100</f>
        <v>-5690.27973350546</v>
      </c>
      <c r="K12" s="4" t="n">
        <f aca="false">-K6*Assumptions!K31/100</f>
        <v>-5832.53672684309</v>
      </c>
      <c r="L12" s="4" t="n">
        <f aca="false">-L6*Assumptions!L31/100</f>
        <v>-5978.35014501417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5990.38605</v>
      </c>
      <c r="D13" s="0" t="n">
        <f aca="false">D11+D12</f>
        <v>6663.70544202</v>
      </c>
      <c r="E13" s="0" t="n">
        <f aca="false">E11+E12</f>
        <v>7443.6057826416</v>
      </c>
      <c r="F13" s="0" t="n">
        <f aca="false">F11+F12</f>
        <v>8097.27415251955</v>
      </c>
      <c r="G13" s="0" t="n">
        <f aca="false">G11+G12</f>
        <v>8606.24567067793</v>
      </c>
      <c r="H13" s="0" t="n">
        <f aca="false">H11+H12</f>
        <v>8907.46426915165</v>
      </c>
      <c r="I13" s="0" t="n">
        <f aca="false">I11+I12</f>
        <v>9174.6881972262</v>
      </c>
      <c r="J13" s="0" t="n">
        <f aca="false">J11+J12</f>
        <v>9449.92884314299</v>
      </c>
      <c r="K13" s="0" t="n">
        <f aca="false">K11+K12</f>
        <v>9686.17706422156</v>
      </c>
      <c r="L13" s="0" t="n">
        <f aca="false">L11+L12</f>
        <v>9928.3314908271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29</v>
      </c>
      <c r="E14" s="4" t="n">
        <f aca="false">Assumptions!E33</f>
        <v>28</v>
      </c>
      <c r="F14" s="4" t="n">
        <f aca="false">Assumptions!F33</f>
        <v>27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4193.270235</v>
      </c>
      <c r="D15" s="0" t="n">
        <f aca="false">D13-MAX(0,D13)*D14/100</f>
        <v>4731.2308638342</v>
      </c>
      <c r="E15" s="0" t="n">
        <f aca="false">E13-MAX(0,E13)*E14/100</f>
        <v>5359.39616350195</v>
      </c>
      <c r="F15" s="0" t="n">
        <f aca="false">F13-MAX(0,F13)*F14/100</f>
        <v>5911.01013133927</v>
      </c>
      <c r="G15" s="0" t="n">
        <f aca="false">G13-MAX(0,G13)*G14/100</f>
        <v>6368.62179630167</v>
      </c>
      <c r="H15" s="0" t="n">
        <f aca="false">H13-MAX(0,H13)*H14/100</f>
        <v>6591.52355917222</v>
      </c>
      <c r="I15" s="0" t="n">
        <f aca="false">I13-MAX(0,I13)*I14/100</f>
        <v>6789.26926594739</v>
      </c>
      <c r="J15" s="0" t="n">
        <f aca="false">J13-MAX(0,J13)*J14/100</f>
        <v>6992.94734392581</v>
      </c>
      <c r="K15" s="0" t="n">
        <f aca="false">K13-MAX(0,K13)*K14/100</f>
        <v>7167.77102752396</v>
      </c>
      <c r="L15" s="0" t="n">
        <f aca="false">L13-MAX(0,L13)*L14/100</f>
        <v>7346.96530321205</v>
      </c>
    </row>
    <row r="16" customFormat="false" ht="15" hidden="false" customHeight="false" outlineLevel="0" collapsed="false">
      <c r="A16" s="0" t="s">
        <v>119</v>
      </c>
      <c r="C16" s="0" t="n">
        <f aca="false">-C12</f>
        <v>4472.821584</v>
      </c>
      <c r="D16" s="0" t="n">
        <f aca="false">-D12</f>
        <v>4607.00623152</v>
      </c>
      <c r="E16" s="0" t="n">
        <f aca="false">-E12</f>
        <v>4791.2864807808</v>
      </c>
      <c r="F16" s="0" t="n">
        <f aca="false">-F12</f>
        <v>4982.93794001203</v>
      </c>
      <c r="G16" s="0" t="n">
        <f aca="false">-G12</f>
        <v>5182.25545761251</v>
      </c>
      <c r="H16" s="0" t="n">
        <f aca="false">-H12</f>
        <v>5363.63439862895</v>
      </c>
      <c r="I16" s="0" t="n">
        <f aca="false">-I12</f>
        <v>5524.54343058782</v>
      </c>
      <c r="J16" s="0" t="n">
        <f aca="false">-J12</f>
        <v>5690.27973350546</v>
      </c>
      <c r="K16" s="0" t="n">
        <f aca="false">-K12</f>
        <v>5832.53672684309</v>
      </c>
      <c r="L16" s="0" t="n">
        <f aca="false">-L12</f>
        <v>5978.35014501417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-4153.334328</v>
      </c>
      <c r="D17" s="4" t="n">
        <f aca="false">-D6*Assumptions!D32/100</f>
        <v>-4771.54216836</v>
      </c>
      <c r="E17" s="4" t="n">
        <f aca="false">-E6*Assumptions!E32/100</f>
        <v>-5304.6386037216</v>
      </c>
      <c r="F17" s="4" t="n">
        <f aca="false">-F6*Assumptions!F32/100</f>
        <v>-5516.82414787047</v>
      </c>
      <c r="G17" s="4" t="n">
        <f aca="false">-G6*Assumptions!G32/100</f>
        <v>-5737.49711378528</v>
      </c>
      <c r="H17" s="4" t="n">
        <f aca="false">-H6*Assumptions!H32/100</f>
        <v>-5938.30951276777</v>
      </c>
      <c r="I17" s="4" t="n">
        <f aca="false">-I6*Assumptions!I32/100</f>
        <v>-6116.4587981508</v>
      </c>
      <c r="J17" s="4" t="n">
        <f aca="false">-J6*Assumptions!J32/100</f>
        <v>-6299.95256209532</v>
      </c>
      <c r="K17" s="4" t="n">
        <f aca="false">-K6*Assumptions!K32/100</f>
        <v>-6457.45137614771</v>
      </c>
      <c r="L17" s="4" t="n">
        <f aca="false">-L6*Assumptions!L32/100</f>
        <v>-6618.8876605514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-250.57824</v>
      </c>
      <c r="D18" s="4" t="n">
        <f aca="false">(D6-C6)*Assumptions!$B$37/100</f>
        <v>-383.384707200001</v>
      </c>
      <c r="E18" s="4" t="n">
        <f aca="false">(E6-D6)*Assumptions!$B$37/100</f>
        <v>-526.514997888</v>
      </c>
      <c r="F18" s="4" t="n">
        <f aca="false">(F6-E6)*Assumptions!$B$37/100</f>
        <v>-547.575597803521</v>
      </c>
      <c r="G18" s="4" t="n">
        <f aca="false">(G6-F6)*Assumptions!$B$37/100</f>
        <v>-569.478621715661</v>
      </c>
      <c r="H18" s="4" t="n">
        <f aca="false">(H6-G6)*Assumptions!$B$37/100</f>
        <v>-518.22554576125</v>
      </c>
      <c r="I18" s="4" t="n">
        <f aca="false">(I6-H6)*Assumptions!$B$37/100</f>
        <v>-459.740091311054</v>
      </c>
      <c r="J18" s="4" t="n">
        <f aca="false">(J6-I6)*Assumptions!$B$37/100</f>
        <v>-473.532294050385</v>
      </c>
      <c r="K18" s="4" t="n">
        <f aca="false">(K6-J6)*Assumptions!$B$37/100</f>
        <v>-406.448552393245</v>
      </c>
      <c r="L18" s="4" t="n">
        <f aca="false">(L6-K6)*Assumptions!$B$37/100</f>
        <v>-416.609766203077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4262.179251</v>
      </c>
      <c r="D19" s="0" t="n">
        <f aca="false">D15+D16+D17+D18</f>
        <v>4183.3102197942</v>
      </c>
      <c r="E19" s="0" t="n">
        <f aca="false">E15+E16+E17+E18</f>
        <v>4319.52904267315</v>
      </c>
      <c r="F19" s="0" t="n">
        <f aca="false">F15+F16+F17+F18</f>
        <v>4829.54832567732</v>
      </c>
      <c r="G19" s="0" t="n">
        <f aca="false">G15+G16+G17+G18</f>
        <v>5243.90151841324</v>
      </c>
      <c r="H19" s="0" t="n">
        <f aca="false">H15+H16+H17+H18</f>
        <v>5498.62289927216</v>
      </c>
      <c r="I19" s="0" t="n">
        <f aca="false">I15+I16+I17+I18</f>
        <v>5737.61380707335</v>
      </c>
      <c r="J19" s="0" t="n">
        <f aca="false">J15+J16+J17+J18</f>
        <v>5909.74222128556</v>
      </c>
      <c r="K19" s="0" t="n">
        <f aca="false">K15+K16+K17+K18</f>
        <v>6136.40782582609</v>
      </c>
      <c r="L19" s="0" t="n">
        <f aca="false">L15+L16+L17+L18</f>
        <v>6289.81802147175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3928.27580737327</v>
      </c>
      <c r="D21" s="0" t="n">
        <f aca="false">D19*D20</f>
        <v>3553.53498251753</v>
      </c>
      <c r="E21" s="0" t="n">
        <f aca="false">E19*E20</f>
        <v>3381.79426891555</v>
      </c>
      <c r="F21" s="0" t="n">
        <f aca="false">F19*F20</f>
        <v>3484.87787643811</v>
      </c>
      <c r="G21" s="0" t="n">
        <f aca="false">G19*G20</f>
        <v>3487.432704996</v>
      </c>
      <c r="H21" s="0" t="n">
        <f aca="false">H19*H20</f>
        <v>3370.35391110594</v>
      </c>
      <c r="I21" s="0" t="n">
        <f aca="false">I19*I20</f>
        <v>3241.32923017323</v>
      </c>
      <c r="J21" s="0" t="n">
        <f aca="false">J19*J20</f>
        <v>3077.02221850546</v>
      </c>
      <c r="K21" s="0" t="n">
        <f aca="false">K19*K20</f>
        <v>2944.73739505804</v>
      </c>
      <c r="L21" s="0" t="n">
        <f aca="false">L19*L20</f>
        <v>2781.89477413318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33251.2531692163</v>
      </c>
    </row>
    <row r="31" customFormat="false" ht="15" hidden="false" customHeight="false" outlineLevel="0" collapsed="false">
      <c r="A31" s="0" t="s">
        <v>128</v>
      </c>
      <c r="B31" s="0" t="n">
        <f aca="false">L19</f>
        <v>6289.81802147175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98701.7597215566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75477.816257661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75477.816257661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33382.7372895981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66633.9904588144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42144.6904588144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9.45202010404859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0.392050088961501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600.774560538977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740.939510062073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9.75293365285254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49350.8798607783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2.81526610310358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156611.4</v>
      </c>
      <c r="C6" s="0" t="n">
        <f aca="false">B6*(1+C5/100)</f>
        <v>162875.856</v>
      </c>
      <c r="D6" s="0" t="n">
        <f aca="false">C6*(1+D5/100)</f>
        <v>175905.92448</v>
      </c>
      <c r="E6" s="0" t="n">
        <f aca="false">D6*(1+E5/100)</f>
        <v>188219.3391936</v>
      </c>
      <c r="F6" s="0" t="n">
        <f aca="false">E6*(1+F5/100)</f>
        <v>197630.30615328</v>
      </c>
      <c r="G6" s="0" t="n">
        <f aca="false">F6*(1+G5/100)</f>
        <v>205535.518399411</v>
      </c>
      <c r="H6" s="0" t="n">
        <f aca="false">G6*(1+H5/100)</f>
        <v>212729.261543391</v>
      </c>
      <c r="I6" s="0" t="n">
        <f aca="false">H6*(1+I5/100)</f>
        <v>219111.139389692</v>
      </c>
      <c r="J6" s="0" t="n">
        <f aca="false">I6*(1+J5/100)</f>
        <v>225684.473571383</v>
      </c>
      <c r="K6" s="0" t="n">
        <f aca="false">J6*(1+K5/100)</f>
        <v>232455.007778525</v>
      </c>
      <c r="L6" s="0" t="n">
        <f aca="false">K6*(1+L5/100)</f>
        <v>239428.65801188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6.8</v>
      </c>
      <c r="D7" s="4" t="n">
        <f aca="false">Assumptions!D42</f>
        <v>7.6</v>
      </c>
      <c r="E7" s="4" t="n">
        <f aca="false">Assumptions!E42</f>
        <v>8.3</v>
      </c>
      <c r="F7" s="4" t="n">
        <f aca="false">Assumptions!F42</f>
        <v>8.6</v>
      </c>
      <c r="G7" s="4" t="n">
        <f aca="false">Assumptions!G42</f>
        <v>8.6</v>
      </c>
      <c r="H7" s="4" t="n">
        <f aca="false">Assumptions!H42</f>
        <v>8.4</v>
      </c>
      <c r="I7" s="4" t="n">
        <f aca="false">Assumptions!I42</f>
        <v>8.3</v>
      </c>
      <c r="J7" s="4" t="n">
        <f aca="false">Assumptions!J42</f>
        <v>8.2</v>
      </c>
      <c r="K7" s="4" t="n">
        <f aca="false">Assumptions!K42</f>
        <v>8.2</v>
      </c>
      <c r="L7" s="4" t="n">
        <f aca="false">Assumptions!L42</f>
        <v>8.2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11075.558208</v>
      </c>
      <c r="D8" s="0" t="n">
        <f aca="false">D6*D7/100</f>
        <v>13368.85026048</v>
      </c>
      <c r="E8" s="0" t="n">
        <f aca="false">E6*E7/100</f>
        <v>15622.2051530688</v>
      </c>
      <c r="F8" s="0" t="n">
        <f aca="false">F6*F7/100</f>
        <v>16996.2063291821</v>
      </c>
      <c r="G8" s="0" t="n">
        <f aca="false">G6*G7/100</f>
        <v>17676.0545823494</v>
      </c>
      <c r="H8" s="0" t="n">
        <f aca="false">H6*H7/100</f>
        <v>17869.2579696448</v>
      </c>
      <c r="I8" s="0" t="n">
        <f aca="false">I6*I7/100</f>
        <v>18186.2245693445</v>
      </c>
      <c r="J8" s="0" t="n">
        <f aca="false">J6*J7/100</f>
        <v>18506.1268328534</v>
      </c>
      <c r="K8" s="0" t="n">
        <f aca="false">K6*K7/100</f>
        <v>19061.310637839</v>
      </c>
      <c r="L8" s="0" t="n">
        <f aca="false">L6*L7/100</f>
        <v>19633.1499569742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-81.437928</v>
      </c>
      <c r="D10" s="0" t="n">
        <f aca="false">-D6*D9/100</f>
        <v>-87.95296224</v>
      </c>
      <c r="E10" s="0" t="n">
        <f aca="false">-E6*E9/100</f>
        <v>-94.1096695968</v>
      </c>
      <c r="F10" s="0" t="n">
        <f aca="false">-F6*F9/100</f>
        <v>-98.81515307664</v>
      </c>
      <c r="G10" s="0" t="n">
        <f aca="false">-G6*G9/100</f>
        <v>-102.767759199706</v>
      </c>
      <c r="H10" s="0" t="n">
        <f aca="false">-H6*H9/100</f>
        <v>-106.364630771695</v>
      </c>
      <c r="I10" s="0" t="n">
        <f aca="false">-I6*I9/100</f>
        <v>-109.555569694846</v>
      </c>
      <c r="J10" s="0" t="n">
        <f aca="false">-J6*J9/100</f>
        <v>-112.842236785692</v>
      </c>
      <c r="K10" s="0" t="n">
        <f aca="false">-K6*K9/100</f>
        <v>-116.227503889262</v>
      </c>
      <c r="L10" s="0" t="n">
        <f aca="false">-L6*L9/100</f>
        <v>-119.71432900594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10994.12028</v>
      </c>
      <c r="D11" s="0" t="n">
        <f aca="false">D8+D10+D24</f>
        <v>13280.89729824</v>
      </c>
      <c r="E11" s="0" t="n">
        <f aca="false">E8+E10+E24</f>
        <v>15528.095483472</v>
      </c>
      <c r="F11" s="0" t="n">
        <f aca="false">F8+F10+F24</f>
        <v>16897.3911761054</v>
      </c>
      <c r="G11" s="0" t="n">
        <f aca="false">G8+G10+G24</f>
        <v>17573.2868231497</v>
      </c>
      <c r="H11" s="0" t="n">
        <f aca="false">H8+H10+H24</f>
        <v>17762.8933388731</v>
      </c>
      <c r="I11" s="0" t="n">
        <f aca="false">I8+I10+I24</f>
        <v>18076.6689996496</v>
      </c>
      <c r="J11" s="0" t="n">
        <f aca="false">J8+J10+J24</f>
        <v>18393.2845960677</v>
      </c>
      <c r="K11" s="0" t="n">
        <f aca="false">K8+K10+K24</f>
        <v>18945.0831339498</v>
      </c>
      <c r="L11" s="0" t="n">
        <f aca="false">L8+L10+L24</f>
        <v>19513.4356279683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-4560.523968</v>
      </c>
      <c r="D12" s="4" t="n">
        <f aca="false">-D6*Assumptions!D45/100</f>
        <v>-4925.36588544</v>
      </c>
      <c r="E12" s="4" t="n">
        <f aca="false">-E6*Assumptions!E45/100</f>
        <v>-5270.1414974208</v>
      </c>
      <c r="F12" s="4" t="n">
        <f aca="false">-F6*Assumptions!F45/100</f>
        <v>-5533.64857229184</v>
      </c>
      <c r="G12" s="4" t="n">
        <f aca="false">-G6*Assumptions!G45/100</f>
        <v>-5754.99451518351</v>
      </c>
      <c r="H12" s="4" t="n">
        <f aca="false">-H6*Assumptions!H45/100</f>
        <v>-5956.41932321494</v>
      </c>
      <c r="I12" s="4" t="n">
        <f aca="false">-I6*Assumptions!I45/100</f>
        <v>-6135.11190291139</v>
      </c>
      <c r="J12" s="4" t="n">
        <f aca="false">-J6*Assumptions!J45/100</f>
        <v>-6319.16525999873</v>
      </c>
      <c r="K12" s="4" t="n">
        <f aca="false">-K6*Assumptions!K45/100</f>
        <v>-6508.74021779869</v>
      </c>
      <c r="L12" s="4" t="n">
        <f aca="false">-L6*Assumptions!L45/100</f>
        <v>-6704.00242433265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6433.596312</v>
      </c>
      <c r="D13" s="0" t="n">
        <f aca="false">D11+D12</f>
        <v>8355.5314128</v>
      </c>
      <c r="E13" s="0" t="n">
        <f aca="false">E11+E12</f>
        <v>10257.9539860512</v>
      </c>
      <c r="F13" s="0" t="n">
        <f aca="false">F11+F12</f>
        <v>11363.7426038136</v>
      </c>
      <c r="G13" s="0" t="n">
        <f aca="false">G11+G12</f>
        <v>11818.2923079661</v>
      </c>
      <c r="H13" s="0" t="n">
        <f aca="false">H11+H12</f>
        <v>11806.4740156582</v>
      </c>
      <c r="I13" s="0" t="n">
        <f aca="false">I11+I12</f>
        <v>11941.5570967382</v>
      </c>
      <c r="J13" s="0" t="n">
        <f aca="false">J11+J12</f>
        <v>12074.119336069</v>
      </c>
      <c r="K13" s="0" t="n">
        <f aca="false">K11+K12</f>
        <v>12436.3429161511</v>
      </c>
      <c r="L13" s="0" t="n">
        <f aca="false">L11+L12</f>
        <v>12809.4332036356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29</v>
      </c>
      <c r="D14" s="4" t="n">
        <f aca="false">Assumptions!D47</f>
        <v>27</v>
      </c>
      <c r="E14" s="4" t="n">
        <f aca="false">Assumptions!E47</f>
        <v>26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4567.85338152</v>
      </c>
      <c r="D15" s="0" t="n">
        <f aca="false">D13-MAX(0,D13)*D14/100</f>
        <v>6099.537931344</v>
      </c>
      <c r="E15" s="0" t="n">
        <f aca="false">E13-MAX(0,E13)*E14/100</f>
        <v>7590.88594967789</v>
      </c>
      <c r="F15" s="0" t="n">
        <f aca="false">F13-MAX(0,F13)*F14/100</f>
        <v>8522.8069528602</v>
      </c>
      <c r="G15" s="0" t="n">
        <f aca="false">G13-MAX(0,G13)*G14/100</f>
        <v>8863.71923097461</v>
      </c>
      <c r="H15" s="0" t="n">
        <f aca="false">H13-MAX(0,H13)*H14/100</f>
        <v>8854.85551174364</v>
      </c>
      <c r="I15" s="0" t="n">
        <f aca="false">I13-MAX(0,I13)*I14/100</f>
        <v>8956.16782255368</v>
      </c>
      <c r="J15" s="0" t="n">
        <f aca="false">J13-MAX(0,J13)*J14/100</f>
        <v>9055.58950205175</v>
      </c>
      <c r="K15" s="0" t="n">
        <f aca="false">K13-MAX(0,K13)*K14/100</f>
        <v>9327.2571871133</v>
      </c>
      <c r="L15" s="0" t="n">
        <f aca="false">L13-MAX(0,L13)*L14/100</f>
        <v>9607.0749027267</v>
      </c>
    </row>
    <row r="16" customFormat="false" ht="15" hidden="false" customHeight="false" outlineLevel="0" collapsed="false">
      <c r="A16" s="0" t="s">
        <v>119</v>
      </c>
      <c r="C16" s="0" t="n">
        <f aca="false">-C12</f>
        <v>4560.523968</v>
      </c>
      <c r="D16" s="0" t="n">
        <f aca="false">-D12</f>
        <v>4925.36588544</v>
      </c>
      <c r="E16" s="0" t="n">
        <f aca="false">-E12</f>
        <v>5270.1414974208</v>
      </c>
      <c r="F16" s="0" t="n">
        <f aca="false">-F12</f>
        <v>5533.64857229184</v>
      </c>
      <c r="G16" s="0" t="n">
        <f aca="false">-G12</f>
        <v>5754.99451518351</v>
      </c>
      <c r="H16" s="0" t="n">
        <f aca="false">-H12</f>
        <v>5956.41932321494</v>
      </c>
      <c r="I16" s="0" t="n">
        <f aca="false">-I12</f>
        <v>6135.11190291139</v>
      </c>
      <c r="J16" s="0" t="n">
        <f aca="false">-J12</f>
        <v>6319.16525999873</v>
      </c>
      <c r="K16" s="0" t="n">
        <f aca="false">-K12</f>
        <v>6508.74021779869</v>
      </c>
      <c r="L16" s="0" t="n">
        <f aca="false">-L12</f>
        <v>6704.00242433265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-4397.648112</v>
      </c>
      <c r="D17" s="4" t="n">
        <f aca="false">-D6*Assumptions!D46/100</f>
        <v>-5453.08365888</v>
      </c>
      <c r="E17" s="4" t="n">
        <f aca="false">-E6*Assumptions!E46/100</f>
        <v>-6211.2381933888</v>
      </c>
      <c r="F17" s="4" t="n">
        <f aca="false">-F6*Assumptions!F46/100</f>
        <v>-6521.80010305824</v>
      </c>
      <c r="G17" s="4" t="n">
        <f aca="false">-G6*Assumptions!G46/100</f>
        <v>-6782.67210718057</v>
      </c>
      <c r="H17" s="4" t="n">
        <f aca="false">-H6*Assumptions!H46/100</f>
        <v>-7020.06563093189</v>
      </c>
      <c r="I17" s="4" t="n">
        <f aca="false">-I6*Assumptions!I46/100</f>
        <v>-7230.66759985985</v>
      </c>
      <c r="J17" s="4" t="n">
        <f aca="false">-J6*Assumptions!J46/100</f>
        <v>-7447.58762785564</v>
      </c>
      <c r="K17" s="4" t="n">
        <f aca="false">-K6*Assumptions!K46/100</f>
        <v>-7671.01525669131</v>
      </c>
      <c r="L17" s="4" t="n">
        <f aca="false">-L6*Assumptions!L46/100</f>
        <v>-7901.14571439205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-501.15648</v>
      </c>
      <c r="D18" s="4" t="n">
        <f aca="false">(D6-C6)*Assumptions!$B$51/100</f>
        <v>-1042.4054784</v>
      </c>
      <c r="E18" s="4" t="n">
        <f aca="false">(E6-D6)*Assumptions!$B$51/100</f>
        <v>-985.073177088001</v>
      </c>
      <c r="F18" s="4" t="n">
        <f aca="false">(F6-E6)*Assumptions!$B$51/100</f>
        <v>-752.877356774402</v>
      </c>
      <c r="G18" s="4" t="n">
        <f aca="false">(G6-F6)*Assumptions!$B$51/100</f>
        <v>-632.416979690497</v>
      </c>
      <c r="H18" s="4" t="n">
        <f aca="false">(H6-G6)*Assumptions!$B$51/100</f>
        <v>-575.49945151835</v>
      </c>
      <c r="I18" s="4" t="n">
        <f aca="false">(I6-H6)*Assumptions!$B$51/100</f>
        <v>-510.550227704139</v>
      </c>
      <c r="J18" s="4" t="n">
        <f aca="false">(J6-I6)*Assumptions!$B$51/100</f>
        <v>-525.866734535261</v>
      </c>
      <c r="K18" s="4" t="n">
        <f aca="false">(K6-J6)*Assumptions!$B$51/100</f>
        <v>-541.642736571319</v>
      </c>
      <c r="L18" s="4" t="n">
        <f aca="false">(L6-K6)*Assumptions!$B$51/100</f>
        <v>-557.892018668461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4229.57275752</v>
      </c>
      <c r="D19" s="0" t="n">
        <f aca="false">D15+D16+D17+D18</f>
        <v>4529.414679504</v>
      </c>
      <c r="E19" s="0" t="n">
        <f aca="false">E15+E16+E17+E18</f>
        <v>5664.71607662189</v>
      </c>
      <c r="F19" s="0" t="n">
        <f aca="false">F15+F16+F17+F18</f>
        <v>6781.7780653194</v>
      </c>
      <c r="G19" s="0" t="n">
        <f aca="false">G15+G16+G17+G18</f>
        <v>7203.62465928706</v>
      </c>
      <c r="H19" s="0" t="n">
        <f aca="false">H15+H16+H17+H18</f>
        <v>7215.70975250833</v>
      </c>
      <c r="I19" s="0" t="n">
        <f aca="false">I15+I16+I17+I18</f>
        <v>7350.06189790108</v>
      </c>
      <c r="J19" s="0" t="n">
        <f aca="false">J15+J16+J17+J18</f>
        <v>7401.30039965957</v>
      </c>
      <c r="K19" s="0" t="n">
        <f aca="false">K15+K16+K17+K18</f>
        <v>7623.33941164936</v>
      </c>
      <c r="L19" s="0" t="n">
        <f aca="false">L15+L16+L17+L18</f>
        <v>7852.03959399884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3898.22373964977</v>
      </c>
      <c r="D21" s="0" t="n">
        <f aca="false">D19*D20</f>
        <v>3847.53524560215</v>
      </c>
      <c r="E21" s="0" t="n">
        <f aca="false">E19*E20</f>
        <v>4434.95209169803</v>
      </c>
      <c r="F21" s="0" t="n">
        <f aca="false">F19*F20</f>
        <v>4893.55665354695</v>
      </c>
      <c r="G21" s="0" t="n">
        <f aca="false">G19*G20</f>
        <v>4790.73761074658</v>
      </c>
      <c r="H21" s="0" t="n">
        <f aca="false">H19*H20</f>
        <v>4422.83386791097</v>
      </c>
      <c r="I21" s="0" t="n">
        <f aca="false">I19*I20</f>
        <v>4152.243645935</v>
      </c>
      <c r="J21" s="0" t="n">
        <f aca="false">J19*J20</f>
        <v>3853.63099147695</v>
      </c>
      <c r="K21" s="0" t="n">
        <f aca="false">K19*K20</f>
        <v>3658.28564167858</v>
      </c>
      <c r="L21" s="0" t="n">
        <f aca="false">L19*L20</f>
        <v>3472.84259071791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41424.8420789629</v>
      </c>
    </row>
    <row r="31" customFormat="false" ht="15" hidden="false" customHeight="false" outlineLevel="0" collapsed="false">
      <c r="A31" s="0" t="s">
        <v>128</v>
      </c>
      <c r="B31" s="0" t="n">
        <f aca="false">L19</f>
        <v>7852.03959399884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134139.009730813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94224.475127986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94224.475127986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41674.1110886149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83098.9531675778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58609.6531675778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13.1447072929064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0.935892090266039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657.660160726334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904.526653875202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13.495067469174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64386.7246707905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4.96156861317267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4.50861518423224</v>
      </c>
      <c r="C4" s="0" t="n">
        <f aca="false">B4/Assumptions!$B$2-1</f>
        <v>-0.335991872719847</v>
      </c>
      <c r="D4" s="4" t="n">
        <f aca="false">Assumptions!$B$24</f>
        <v>0.25</v>
      </c>
      <c r="E4" s="4" t="n">
        <f aca="false">DCF_Bear!$B$43</f>
        <v>4.75164356414233</v>
      </c>
      <c r="F4" s="4" t="n">
        <f aca="false">DCF_Bear!$B$47</f>
        <v>0.176211172816593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9.45202010404859</v>
      </c>
      <c r="C5" s="0" t="n">
        <f aca="false">B5/Assumptions!$B$2-1</f>
        <v>0.392050088961501</v>
      </c>
      <c r="D5" s="4" t="n">
        <f aca="false">Assumptions!$B$38</f>
        <v>0.5</v>
      </c>
      <c r="E5" s="4" t="n">
        <f aca="false">DCF_Base!$B$43</f>
        <v>9.75293365285254</v>
      </c>
      <c r="F5" s="4" t="n">
        <f aca="false">DCF_Base!$B$47</f>
        <v>2.81526610310358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13.1447072929064</v>
      </c>
      <c r="C6" s="0" t="n">
        <f aca="false">B6/Assumptions!$B$2-1</f>
        <v>0.935892090266039</v>
      </c>
      <c r="D6" s="4" t="n">
        <f aca="false">Assumptions!$B$52</f>
        <v>0.25</v>
      </c>
      <c r="E6" s="4" t="n">
        <f aca="false">DCF_Bull!$B$43</f>
        <v>13.495067469174</v>
      </c>
      <c r="F6" s="4" t="n">
        <f aca="false">DCF_Bull!$B$47</f>
        <v>4.96156861317267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9.13934067130895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9.43814458475535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0.257058004051016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-786.24829380971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2.6920779980491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9.45202010404859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8.93852324774841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7.97864049112725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6.76968288441342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5.47973741083584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2.81526610310358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11.7590216011458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11.7590216011458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11.7590216011458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11.7590216011458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11.7590216011458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10.5522193539975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10.5522193539975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10.5522193539975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10.5522193539975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10.5522193539975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9.45202010404859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9.45202010404859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9.45202010404859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9.45202010404859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9.45202010404859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8.3808131757548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8.447780004218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8.447780004218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8.447780004218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8.447780004218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6.8187777909422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7.15464162100988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7.53001884285023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7.53001884285023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7.53001884285023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2026-10-17T02:24:11Z</dcterms:created>
  <dc:creator>openpyxl</dc:creator>
  <dc:description/>
  <dc:language>en-NZ</dc:language>
  <cp:lastModifiedBy/>
  <dcterms:modified xsi:type="dcterms:W3CDTF">2026-10-17T02:24:11Z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