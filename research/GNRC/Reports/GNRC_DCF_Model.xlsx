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<sst xmlns="http://schemas.openxmlformats.org/spreadsheetml/2006/main" count="410" uniqueCount="196">
  <si>
    <t xml:space="preserve">Ticker</t>
  </si>
  <si>
    <t xml:space="preserve">GNRC</t>
  </si>
  <si>
    <t xml:space="preserve">Company</t>
  </si>
  <si>
    <t xml:space="preserve">Generac Holdings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</si>
  <si>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</si>
  <si>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</si>
  <si>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</si>
  <si>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</si>
  <si>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(Friday); valuation dated the following Monday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</si>
  <si>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</si>
  <si>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</si>
  <si>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</si>
  <si>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</si>
  <si>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</si>
  <si>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</si>
  <si>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</si>
  <si>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</si>
  <si>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</si>
  <si>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</si>
  <si>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</si>
  <si>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</si>
  <si>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2026-09-28T08:56:09Z</t>
  </si>
  <si>
    <t xml:space="preserve">Drivers file</t>
  </si>
  <si>
    <t xml:space="preserve">GNRC_Drivers.json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</si>
  <si>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</si>
  <si>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</si>
  <si>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</si>
  <si>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with SBC and equity-award withholding fully expensed, share count held flat, working capital charged on revenue growth (manufacturer, negative capture), a 10-year horizon so the data-center mix and margin ramp mature before capitalisation, and a 15x owner-FCF terminal cap (Gordon at ~12x binds; ~7x EV/EBITDA) because Generac is a cyclical industrial whose earnings round-tripped between 2021 and 2023. Discounted at 11.5% USD: a 10% market WACC plus an explicit +1.5% customer-concentration premium for the hyperscaler/Amazon dependence of the FY2027-28 step-up. Base case is anchored to the contracted backlog and the top of the pre-Amazon Investor Day FY2028 range (~$6.6B); Amazon conversion beyond a small slice is bull-case upside. Cyclicality and execution are charged in the scenario spread and a 25/50/25 weighting. House basis is the headline; the street (SBC-as-non-cash) basis is a memo.
key_risks_to_valuation: Hyperscale/AI data-center capex pause or delay: the FY2027-28 revenue step-up in every scenario rests on backlog conversion by a handful of customers; a slip moves value toward the bear case quickly.; Customer concentration: the Amazon agreement (initial $2.4B, up to $8B) is roughly half the announced 2027-28 pipeline; the warrants also make Amazon's purchasing partly self-interested rather than contractual.; Residential storm-cycle lumpiness: home-standby demand spikes and troughs with outage activity; 2022-23 showed how fast a 24% margin becomes 16%.; Execution in large-scale switchgear and power infrastructure against entrenched incumbents (Caterpillar, Cummins, Eaton) and the risk of under-absorbed new capacity if demand slips.; FY2026 margin guidance includes ~1.5pt of one-off tariff refunds; tariff policy and commodity (steel, copper, battery cell) costs can move margins either way.; Adjusted-EBITDA basis: Generac excludes legal/regulatory/clean-energy charges most years; the model haircuts 0.5pt but a larger recurring gap (FY2025 GAAP EBITDA was ~5.5pts below adjusted) would lower every scenario.; Working-capital intensity (~30% of revenue): a faster ramp than modelled consumes more cash than the -15% capture assumes unless hyperscale deposits are larger than expected.
sanity_check_revision: date: 2026-09-28
trigger: scripts/sanity_check.py: implied P/E 88.7x on trailing GAAP EPS exceeded 2x the 10yr average (34.7x); P/B 3.75x, EV/EBITDA 24.9x and P/S 2.35x were inside their bounds.
diagnosis: Mostly a denominator artefact -- FY2025 GAAP EPS ($2.73, Q4 negative) is compressed by ~$180M of non-SBC charges and $102M of acquired-intangible amortisation, and TTM GAAP EPS through Q2 2026 is $4.41 (on which the prior IV was ~37x). But two of the check's candidates were genuinely under-charged: hyperscaler customer concentration sat in the scenario weights rather than the discount rate, and the base case front-loaded Amazon volumes that the warrant structure shows are not firm.
changes: WACC 10.0% -&gt; 11.5% in all three scenarios: +1.5% explicit customer-concentration premium (Amazon agreement ~50% of the FY2027-28 pipeline; low end of the 1.5-2.5% range because the residential dealer channel carries no concentration). Weighted IV effect -$34.11/share.; Base FY2027 growth 24% -&gt; 20% and FY2028 14% -&gt; 12%: FY2028 revenue re-anchored from ~$7.1B to ~$6.6B, the top of the pre-Amazon Investor Day range; Amazon conversion moves to the bull case. Weighted IV effect -$3.21/share.; Not applied: mid-cycle FCF rebuild (FY2025 owner FCF of $204M is a trough, not a peak; year-1 owner FCF ~$390M sits between FY2025 and FY2024's $530M). Not applied: a per-year growth cap at the 10.3% through-cycle CAGR (the FY2026-27 growth is guidance and contracted backlog; the base 10-year CAGR of 6.9% is already below it). Not binding: EV/EBITDA exit caps of 9.6x/17.7x/29.6x -- the terminal EV/EBITDA is ~7x under the existing 15x owner-FCF cap.; Unchanged and deliberately so: margin paths, SBC/D&amp;A/capex/tax paths, working-capital capture, 25/50/25 weights, bull and bear growth paths, 15x terminal cap. Evidence that would move them: FY2026 results showing the tariff-refund benefit is recurring (margins), a firm take-or-pay amendment to the Amazon agreement (base growth and the WACC premium), or a Q4 2026 GAAP-to-adjusted gap that persists (margin haircut).
result: Weighted IV $162.09 -&gt; $124.77 (-23%); the implied P/E on the check's trailing denominator falls to roughly 68x, inside the 2x bound, while P/S (~1.8x) and P/B (~2.9x) sit well below their 10yr averages. The dashboard should read the valuation as deliberately conservative on the multiples that use trough GAAP earnings.</t>
  </si>
  <si>
    <t xml:space="preserve">Data sources</t>
  </si>
  <si>
    <t xml:space="preserve">price: Yahoo Finance chart API regular close at inputs.price_as_of; 52-week range 134.80-296.44.
financials: SEC XBRL companyfacts for CIK 1474735 via GNRC_Metrics.csv (FY2012-Q2 2026); balance sheet, share count, dilutive securities, interest expense, D&amp;A split, tax paid, buybacks, equity-award withholding and acquisition spend read from the same companyfacts feed (10-K FY2025 filed 2026-02-13; 10-Q Q2 2026 filed 2026-07-31). No extracted filing text exists for this ticker.
qualitative: GNRC_Analysis.json (2026-09-28): Q2 2026 results and raised guidance (29 July 2026), March 2026 Investor Day FY2028 targets, Enercon acquisition, September 2026 Amazon supply agreement and warrants.</t>
  </si>
  <si>
    <t xml:space="preserve">Scenario narrative: bear</t>
  </si>
  <si>
    <t xml:space="preserve">The AI-capex cycle pauses in 2027-28: hyperscale deliveries slip, part of the backlog is pushed out or cancelled, and the concentrated customer base (Amazon) means the shortfall lands in one place. Residential simultaneously meets a mild storm season and a softer consumer, as in 2022-23. New capacity built for the data-center ramp is under-absorbed, competitors (Caterpillar, Cummins, Kohler/Rehlko, Eaton on switchgear) compete on price, and the adjusted margin falls to 16% before recovering only to the FY2024 level. Revenue reaches ~$6.1B by FY2035 -- roughly the pre-Amazon FY2028 target, seven years late -- and the March 2026 Investor Day targets join the 2022 ones as missed.</t>
  </si>
  <si>
    <t xml:space="preserve">Scenario narrative: base</t>
  </si>
  <si>
    <t xml:space="preserve">The residential franchise (~70-75% home-standby share, 7,000+ dealers) grows high single digits through the storm cycle while C&amp;I grows strongly to FY2028 on the contracted $1.6B data-center backlog, taking revenue to ~$6.6B (the top of management's pre-Amazon Investor Day range) and the adjusted margin toward 21.5% -- the bottom of the low-20s target, reached late. Amazon volumes beyond a small slice are treated as bull-case upside because the warrants vest on purchases rather than committed volume. After FY2028 the data-center cohort matures: Generac is a scale supplier of gensets and switchgear to hyperscalers rather than the sole one, growth fades to GDP-plus and the terminal multiple is that of a cyclical industrial (Gordon 12.1x owner FCF under a 15x cap, ~7x EV/EBITDA). Hyperscaler concentration is charged as a +1.5% WACC premium; storm-cycle lumpiness and execution are priced in the scenario spread and weights.</t>
  </si>
  <si>
    <t xml:space="preserve">Scenario narrative: bull</t>
  </si>
  <si>
    <t xml:space="preserve">Generac becomes a structural AI-infrastructure supplier: the 2027 backlog and Amazon's initial $2.4B ship on schedule, Amazon exercises toward the $8B ceiling, further hyperscalers sign, and Enercon capacity lets C&amp;I reach parity with residential by 2028 (~$7.9B). Scale in large gensets and switchgear lifts the adjusted margin to 23.5% by FY2030, and residential compounds on an active storm cycle, rising power prices and PWRcell attach. Even so, growth fades to 3% by the mid-2030s and the terminal value stays capped at a cyclical multiple.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</si>
  <si>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</si>
  <si>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</si>
  <si>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</si>
  <si>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</si>
  <si>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</si>
  <si>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</si>
  <si>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</si>
  <si>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</si>
  <si>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</si>
  <si>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</si>
  <si>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Fresh build earlier the same day, WACC 10.0%, base FY2027-28 growth 24%/14%; superseded after the multiples sanity check tripped.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</si>
  <si>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</si>
  <si>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</si>
  <si>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</si>
  <si>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</si>
  <si>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</si>
  <si>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</si>
  <si>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</si>
  <si>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</si>
  <si>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Anchor refresh (price, net debt, shares): none, same-day</t>
  </si>
  <si>
    <t xml:space="preserve">WACC 10.0% -&gt; 11.5%: +1.5% customer-concentration premium, all scenarios</t>
  </si>
  <si>
    <t xml:space="preserve">Base FY2027/28 growth 24%/14% -&gt; 20%/12% (FY2028 revenue re-anchored to Investor Day top of range)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</si>
  <si>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</si>
  <si>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</si>
  <si>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</si>
  <si>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</si>
  <si>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</si>
  <si>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</si>
  <si>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</si>
  <si>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</si>
  <si>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</si>
  <si>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</si>
  <si>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</si>
  <si>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</si>
  <si>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</si>
  <si>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</si>
  <si>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</si>
  <si>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</si>
  <si>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</si>
  <si>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</si>
  <si>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</si>
  <si>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</si>
  <si>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</si>
  <si>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</si>
  <si>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</si>
  <si>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</si>
  <si>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</si>
  <si>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</si>
  <si>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</si>
  <si>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</si>
  <si>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</si>
  <si>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</si>
  <si>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</si>
  <si>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</si>
  <si>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</si>
  <si>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</si>
  <si>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</si>
  <si>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</si>
  <si>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</si>
  <si>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</si>
  <si>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</si>
  <si>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</si>
  <si>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</si>
  <si>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</si>
  <si>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</si>
  <si>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</si>
  <si>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</si>
  <si>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</si>
  <si>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</si>
  <si>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</si>
  <si>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</si>
  <si>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</si>
  <si>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</si>
  <si>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</si>
  <si>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</si>
  <si>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</si>
  <si>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</si>
  <si>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</si>
  <si>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</si>
  <si>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</si>
  <si>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</si>
  <si>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</si>
  <si>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</si>
  <si>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</si>
  <si>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</si>
  <si>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</si>
  <si>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</si>
  <si>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</si>
  <si>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</si>
  <si>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</si>
  <si>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</si>
  <si>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</si>
  <si>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</si>
  <si>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</si>
  <si>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</si>
  <si>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</si>
  <si>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</si>
  <si>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</si>
  <si>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</si>
  <si>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</si>
  <si>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</si>
  <si>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</si>
  <si>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</si>
  <si>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</si>
  <si>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</si>
  <si>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GNRC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</si>
  <si>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</si>
  <si>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</si>
  <si>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</si>
  <si>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</si>
  <si>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</si>
  <si>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</si>
  <si>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</si>
  <si>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</si>
  <si>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</si>
  <si>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</si>
  <si>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</si>
  <si>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</si>
  <si>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</si>
  <si>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</si>
  <si>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</si>
  <si>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</si>
  <si>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</si>
  <si>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</si>
  <si>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</si>
  <si>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</si>
  <si>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</si>
  <si>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</si>
  <si>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</si>
  <si>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</si>
  <si>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</si>
  <si>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</si>
  <si>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</si>
  <si>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</si>
  <si>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</si>
  <si>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</si>
  <si>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GNRC owner-FCF component DCF: base case (millions, USD)</t>
  </si>
  <si>
    <t xml:space="preserve">GNRC owner-FCF component DCF: bull case (millions, USD)</t>
  </si>
  <si>
    <t xml:space="preserve">GNRC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</si>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</sst>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208.14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79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5</v>
      </c>
    </row>
    <row r="3" customFormat="false" ht="15" hidden="false" customHeight="false" outlineLevel="0" collapsed="false">
      <c r="A3" s="0" t="s">
        <v>40</v>
      </c>
      <c r="B3" s="0" t="n">
        <v>208.14</v>
      </c>
    </row>
    <row r="4" customFormat="false" ht="15" hidden="false" customHeight="false" outlineLevel="0" collapsed="false">
      <c r="A4" s="0" t="s">
        <v>41</v>
      </c>
      <c r="B4" s="0" t="n">
        <v>86.26</v>
      </c>
    </row>
    <row r="5" customFormat="false" ht="15" hidden="false" customHeight="false" outlineLevel="0" collapsed="false">
      <c r="A5" s="0" t="s">
        <v>42</v>
      </c>
      <c r="B5" s="0" t="n">
        <v>166.76</v>
      </c>
    </row>
    <row r="6" customFormat="false" ht="15" hidden="false" customHeight="false" outlineLevel="0" collapsed="false">
      <c r="A6" s="0" t="s">
        <v>43</v>
      </c>
      <c r="B6" s="0" t="n">
        <v>228.57</v>
      </c>
    </row>
    <row r="7" customFormat="false" ht="15" hidden="false" customHeight="false" outlineLevel="0" collapsed="false">
      <c r="A7" s="0" t="s">
        <v>44</v>
      </c>
      <c r="B7" s="0" t="n">
        <v>162.09</v>
      </c>
    </row>
    <row r="8" customFormat="false" ht="15" hidden="false" customHeight="false" outlineLevel="0" collapsed="false">
      <c r="A8" s="0" t="s">
        <v>45</v>
      </c>
      <c r="B8" s="0" t="s">
        <v>46</v>
      </c>
    </row>
    <row r="9" customFormat="false" ht="15" hidden="false" customHeight="false" outlineLevel="0" collapsed="false">
      <c r="A9" s="0" t="s">
        <v>47</v>
      </c>
      <c r="B9" s="0" t="s">
        <v>5</v>
      </c>
    </row>
    <row r="10" customFormat="false" ht="15" hidden="false" customHeight="false" outlineLevel="0" collapsed="false">
      <c r="A10" s="0" t="s">
        <v>48</v>
      </c>
      <c r="B10" s="0" t="n">
        <v>208.14</v>
      </c>
    </row>
    <row r="11" customFormat="false" ht="15" hidden="false" customHeight="false" outlineLevel="0" collapsed="false">
      <c r="A11" s="0" t="s">
        <v>49</v>
      </c>
      <c r="B11" s="0" t="n">
        <v>68.32</v>
      </c>
    </row>
    <row r="12" customFormat="false" ht="15" hidden="false" customHeight="false" outlineLevel="0" collapsed="false">
      <c r="A12" s="0" t="s">
        <v>50</v>
      </c>
      <c r="B12" s="0" t="n">
        <v>125.2</v>
      </c>
    </row>
    <row r="13" customFormat="false" ht="15" hidden="false" customHeight="false" outlineLevel="0" collapsed="false">
      <c r="A13" s="0" t="s">
        <v>51</v>
      </c>
      <c r="B13" s="0" t="n">
        <v>180.38</v>
      </c>
    </row>
    <row r="14" customFormat="false" ht="15" hidden="false" customHeight="false" outlineLevel="0" collapsed="false">
      <c r="A14" s="0" t="s">
        <v>52</v>
      </c>
      <c r="B14" s="0" t="n">
        <v>124.77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0" t="s">
        <v>54</v>
      </c>
      <c r="B17" s="0" t="n">
        <v>162.09</v>
      </c>
    </row>
    <row r="18" customFormat="false" ht="15" hidden="false" customHeight="false" outlineLevel="0" collapsed="false">
      <c r="A18" s="0" t="s">
        <v>55</v>
      </c>
      <c r="B18" s="0" t="n">
        <v>0</v>
      </c>
    </row>
    <row r="19" customFormat="false" ht="15" hidden="false" customHeight="false" outlineLevel="0" collapsed="false">
      <c r="A19" s="0" t="s">
        <v>56</v>
      </c>
      <c r="B19" s="0" t="n">
        <v>-34.11</v>
      </c>
    </row>
    <row r="20" customFormat="false" ht="15" hidden="false" customHeight="false" outlineLevel="0" collapsed="false">
      <c r="A20" s="0" t="s">
        <v>57</v>
      </c>
      <c r="B20" s="0" t="n">
        <v>-3.21</v>
      </c>
    </row>
    <row r="21" customFormat="false" ht="15" hidden="false" customHeight="false" outlineLevel="0" collapsed="false">
      <c r="A21" s="0" t="s">
        <v>58</v>
      </c>
      <c r="B21" s="0" t="n">
        <v>124.77</v>
      </c>
      <c r="C21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16</v>
      </c>
      <c r="AB1" s="2" t="s">
        <v>86</v>
      </c>
    </row>
    <row r="2" customFormat="false" ht="15" hidden="false" customHeight="false" outlineLevel="0" collapsed="false">
      <c r="A2" s="0" t="s">
        <v>87</v>
      </c>
      <c r="O2" s="0" t="n">
        <v>-810.194</v>
      </c>
      <c r="S2" s="0" t="n">
        <v>81.229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88</v>
      </c>
      <c r="D3" s="0" t="n">
        <v>235.85</v>
      </c>
      <c r="F3" s="0" t="n">
        <v>98.512</v>
      </c>
      <c r="I3" s="0" t="n">
        <v>43.055</v>
      </c>
      <c r="L3" s="0" t="n">
        <v>74.607</v>
      </c>
      <c r="M3" s="0" t="n">
        <v>4.525</v>
      </c>
      <c r="N3" s="0" t="n">
        <v>70.082</v>
      </c>
      <c r="O3" s="0" t="n">
        <v>-742.814</v>
      </c>
      <c r="S3" s="0" t="n">
        <v>161.307</v>
      </c>
      <c r="U3" s="0" t="n">
        <v>0.038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89</v>
      </c>
      <c r="D4" s="0" t="n">
        <v>237.357</v>
      </c>
      <c r="F4" s="0" t="n">
        <v>90.296</v>
      </c>
      <c r="I4" s="0" t="n">
        <v>56.913</v>
      </c>
      <c r="L4" s="0" t="n">
        <v>114.481</v>
      </c>
      <c r="M4" s="0" t="n">
        <v>9.631</v>
      </c>
      <c r="N4" s="0" t="n">
        <v>104.85</v>
      </c>
      <c r="O4" s="0" t="n">
        <v>441.067</v>
      </c>
      <c r="P4" s="0" t="n">
        <v>1209.883</v>
      </c>
      <c r="Q4" s="0" t="n">
        <v>768.816</v>
      </c>
      <c r="R4" s="0" t="n">
        <v>657.229</v>
      </c>
      <c r="S4" s="0" t="n">
        <v>78.583</v>
      </c>
      <c r="U4" s="0" t="n">
        <v>6.363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90</v>
      </c>
      <c r="D5" s="0" t="n">
        <v>294.654</v>
      </c>
      <c r="F5" s="0" t="n">
        <v>112.981</v>
      </c>
      <c r="I5" s="0" t="n">
        <v>324.643</v>
      </c>
      <c r="K5" s="0" t="n">
        <v>4.84</v>
      </c>
      <c r="L5" s="0" t="n">
        <v>169.712</v>
      </c>
      <c r="M5" s="0" t="n">
        <v>12.06</v>
      </c>
      <c r="N5" s="0" t="n">
        <v>157.652</v>
      </c>
      <c r="O5" s="0" t="n">
        <v>768.889</v>
      </c>
      <c r="P5" s="0" t="n">
        <v>1552.793</v>
      </c>
      <c r="Q5" s="0" t="n">
        <v>783.904</v>
      </c>
      <c r="R5" s="0" t="n">
        <v>627.246</v>
      </c>
      <c r="S5" s="0" t="n">
        <v>93.126</v>
      </c>
      <c r="T5" s="0" t="n">
        <v>67.797371</v>
      </c>
      <c r="U5" s="0" t="n">
        <v>8.646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91</v>
      </c>
      <c r="B6" s="0" t="n">
        <v>1176.306</v>
      </c>
      <c r="D6" s="0" t="n">
        <v>440.4</v>
      </c>
      <c r="E6" s="0" t="n">
        <v>37.4392377493611</v>
      </c>
      <c r="F6" s="0" t="n">
        <v>223.555</v>
      </c>
      <c r="G6" s="0" t="n">
        <v>19.0048337762453</v>
      </c>
      <c r="I6" s="0" t="n">
        <v>93.223</v>
      </c>
      <c r="J6" s="0" t="n">
        <v>7.92506371641393</v>
      </c>
      <c r="K6" s="0" t="n">
        <v>1.38</v>
      </c>
      <c r="L6" s="0" t="n">
        <v>235.594</v>
      </c>
      <c r="M6" s="0" t="n">
        <v>22.392</v>
      </c>
      <c r="N6" s="0" t="n">
        <v>213.202</v>
      </c>
      <c r="O6" s="0" t="n">
        <v>463.628</v>
      </c>
      <c r="P6" s="0" t="n">
        <v>1603.847</v>
      </c>
      <c r="Q6" s="0" t="n">
        <v>1140.219</v>
      </c>
      <c r="R6" s="0" t="n">
        <v>881.268</v>
      </c>
      <c r="S6" s="0" t="n">
        <v>108.023</v>
      </c>
      <c r="T6" s="0" t="n">
        <v>69.193138</v>
      </c>
      <c r="U6" s="0" t="n">
        <v>10.78</v>
      </c>
      <c r="V6" s="0" t="n">
        <v>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92</v>
      </c>
      <c r="B7" s="0" t="n">
        <v>1485.765</v>
      </c>
      <c r="D7" s="0" t="n">
        <v>569.56</v>
      </c>
      <c r="E7" s="0" t="n">
        <v>38.3344606986973</v>
      </c>
      <c r="F7" s="0" t="n">
        <v>351.465</v>
      </c>
      <c r="G7" s="0" t="n">
        <v>23.6554906058495</v>
      </c>
      <c r="I7" s="0" t="n">
        <v>174.539</v>
      </c>
      <c r="J7" s="0" t="n">
        <v>11.7474163141547</v>
      </c>
      <c r="K7" s="0" t="n">
        <v>2.56</v>
      </c>
      <c r="L7" s="0" t="n">
        <v>259.944</v>
      </c>
      <c r="M7" s="0" t="n">
        <v>30.77</v>
      </c>
      <c r="N7" s="0" t="n">
        <v>229.174</v>
      </c>
      <c r="O7" s="0" t="n">
        <v>317.071</v>
      </c>
      <c r="P7" s="0" t="n">
        <v>1798.205</v>
      </c>
      <c r="Q7" s="0" t="n">
        <v>1481.134</v>
      </c>
      <c r="R7" s="0" t="n">
        <v>1187.82</v>
      </c>
      <c r="S7" s="0" t="n">
        <v>150.147</v>
      </c>
      <c r="T7" s="0" t="n">
        <v>69.667529</v>
      </c>
      <c r="U7" s="0" t="n">
        <v>12.368</v>
      </c>
      <c r="V7" s="0" t="n">
        <v>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93</v>
      </c>
      <c r="B8" s="0" t="n">
        <v>1460.919</v>
      </c>
      <c r="D8" s="0" t="n">
        <v>516.219</v>
      </c>
      <c r="E8" s="0" t="n">
        <v>35.335223924119</v>
      </c>
      <c r="F8" s="0" t="n">
        <v>293.375</v>
      </c>
      <c r="G8" s="0" t="n">
        <v>20.0815377170124</v>
      </c>
      <c r="H8" s="0" t="n">
        <v>328.105</v>
      </c>
      <c r="I8" s="0" t="n">
        <v>174.613</v>
      </c>
      <c r="J8" s="0" t="n">
        <v>11.9522711389201</v>
      </c>
      <c r="K8" s="0" t="n">
        <v>2.55</v>
      </c>
      <c r="L8" s="0" t="n">
        <v>252.986</v>
      </c>
      <c r="M8" s="0" t="n">
        <v>34.689</v>
      </c>
      <c r="N8" s="0" t="n">
        <v>218.297</v>
      </c>
      <c r="O8" s="0" t="n">
        <v>489.799</v>
      </c>
      <c r="P8" s="0" t="n">
        <v>1864.419</v>
      </c>
      <c r="Q8" s="0" t="n">
        <v>1392.743</v>
      </c>
      <c r="R8" s="0" t="n">
        <v>1082.658</v>
      </c>
      <c r="S8" s="0" t="n">
        <v>189.761</v>
      </c>
      <c r="T8" s="0" t="n">
        <v>70.171044</v>
      </c>
      <c r="U8" s="0" t="n">
        <v>12.612</v>
      </c>
      <c r="V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94</v>
      </c>
      <c r="B9" s="0" t="n">
        <v>1317.299</v>
      </c>
      <c r="D9" s="0" t="n">
        <v>459.95</v>
      </c>
      <c r="E9" s="0" t="n">
        <v>34.9161428043292</v>
      </c>
      <c r="F9" s="0" t="n">
        <v>179.561</v>
      </c>
      <c r="G9" s="0" t="n">
        <v>13.6309979738844</v>
      </c>
      <c r="H9" s="0" t="n">
        <v>219.894</v>
      </c>
      <c r="I9" s="0" t="n">
        <v>77.747</v>
      </c>
      <c r="J9" s="0" t="n">
        <v>5.90200098838608</v>
      </c>
      <c r="K9" s="0" t="n">
        <v>1.14</v>
      </c>
      <c r="L9" s="0" t="n">
        <v>188.619</v>
      </c>
      <c r="M9" s="0" t="n">
        <v>30.651</v>
      </c>
      <c r="N9" s="0" t="n">
        <v>157.968</v>
      </c>
      <c r="O9" s="0" t="n">
        <v>465.871</v>
      </c>
      <c r="P9" s="0" t="n">
        <v>1778.635</v>
      </c>
      <c r="Q9" s="0" t="n">
        <v>1312.764</v>
      </c>
      <c r="R9" s="0" t="n">
        <v>1037.789</v>
      </c>
      <c r="S9" s="0" t="n">
        <v>115.857</v>
      </c>
      <c r="T9" s="0" t="n">
        <v>69.200297</v>
      </c>
      <c r="U9" s="0" t="n">
        <v>8.241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95</v>
      </c>
      <c r="B10" s="0" t="n">
        <v>1447.743</v>
      </c>
      <c r="C10" s="0" t="n">
        <v>935.322</v>
      </c>
      <c r="D10" s="0" t="n">
        <v>512.421</v>
      </c>
      <c r="E10" s="0" t="n">
        <v>35.3944726377541</v>
      </c>
      <c r="F10" s="0" t="n">
        <v>202.752</v>
      </c>
      <c r="G10" s="0" t="n">
        <v>14.0046955847827</v>
      </c>
      <c r="H10" s="0" t="n">
        <v>257.17</v>
      </c>
      <c r="I10" s="0" t="n">
        <v>97.178</v>
      </c>
      <c r="J10" s="0" t="n">
        <v>6.71237919989943</v>
      </c>
      <c r="K10" s="0" t="n">
        <v>1.48</v>
      </c>
      <c r="L10" s="0" t="n">
        <v>241.122</v>
      </c>
      <c r="M10" s="0" t="n">
        <v>30.467</v>
      </c>
      <c r="N10" s="0" t="n">
        <v>210.655</v>
      </c>
      <c r="O10" s="0" t="n">
        <v>397.179</v>
      </c>
      <c r="P10" s="0" t="n">
        <v>1865.969</v>
      </c>
      <c r="Q10" s="0" t="n">
        <v>1427.434</v>
      </c>
      <c r="R10" s="0" t="n">
        <v>1021.723</v>
      </c>
      <c r="S10" s="0" t="n">
        <v>67.272</v>
      </c>
      <c r="T10" s="0" t="n">
        <v>65.382774</v>
      </c>
      <c r="U10" s="0" t="n">
        <v>9.493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96</v>
      </c>
      <c r="B11" s="0" t="n">
        <v>1679.373</v>
      </c>
      <c r="C11" s="0" t="n">
        <v>1094.587</v>
      </c>
      <c r="D11" s="0" t="n">
        <v>584.786</v>
      </c>
      <c r="E11" s="0" t="n">
        <v>34.8216864270177</v>
      </c>
      <c r="F11" s="0" t="n">
        <v>250.634</v>
      </c>
      <c r="G11" s="0" t="n">
        <v>14.9242604233842</v>
      </c>
      <c r="H11" s="0" t="n">
        <v>302.622</v>
      </c>
      <c r="I11" s="0" t="n">
        <v>159.557</v>
      </c>
      <c r="J11" s="0" t="n">
        <v>9.50098638003588</v>
      </c>
      <c r="K11" s="0" t="n">
        <v>2.56</v>
      </c>
      <c r="L11" s="0" t="n">
        <v>257.322</v>
      </c>
      <c r="M11" s="0" t="n">
        <v>33.261</v>
      </c>
      <c r="N11" s="0" t="n">
        <v>224.061</v>
      </c>
      <c r="O11" s="0" t="n">
        <v>554.32</v>
      </c>
      <c r="P11" s="0" t="n">
        <v>2025.965</v>
      </c>
      <c r="Q11" s="0" t="n">
        <v>1427.716</v>
      </c>
      <c r="R11" s="0" t="n">
        <v>908.12</v>
      </c>
      <c r="S11" s="0" t="n">
        <v>138.472</v>
      </c>
      <c r="T11" s="0" t="n">
        <v>62.642872</v>
      </c>
      <c r="U11" s="0" t="n">
        <v>10.205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97</v>
      </c>
      <c r="B12" s="0" t="n">
        <v>2023.464</v>
      </c>
      <c r="C12" s="0" t="n">
        <v>1298.424</v>
      </c>
      <c r="D12" s="0" t="n">
        <v>725.04</v>
      </c>
      <c r="E12" s="0" t="n">
        <v>35.8316233943376</v>
      </c>
      <c r="F12" s="0" t="n">
        <v>357.181</v>
      </c>
      <c r="G12" s="0" t="n">
        <v>17.6519572376875</v>
      </c>
      <c r="H12" s="0" t="n">
        <v>404.589</v>
      </c>
      <c r="I12" s="0" t="n">
        <v>241.22</v>
      </c>
      <c r="J12" s="0" t="n">
        <v>11.9211411717728</v>
      </c>
      <c r="K12" s="0" t="n">
        <v>3.57</v>
      </c>
      <c r="L12" s="0" t="n">
        <v>247.227</v>
      </c>
      <c r="M12" s="0" t="n">
        <v>47.601</v>
      </c>
      <c r="N12" s="0" t="n">
        <v>199.626</v>
      </c>
      <c r="O12" s="0" t="n">
        <v>761.261</v>
      </c>
      <c r="P12" s="0" t="n">
        <v>2426.314</v>
      </c>
      <c r="Q12" s="0" t="n">
        <v>1604.049</v>
      </c>
      <c r="R12" s="0" t="n">
        <v>878.373</v>
      </c>
      <c r="S12" s="0" t="n">
        <v>224.482</v>
      </c>
      <c r="T12" s="0" t="n">
        <v>62.233225</v>
      </c>
      <c r="U12" s="0" t="n">
        <v>14.563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98</v>
      </c>
      <c r="B13" s="0" t="n">
        <v>2204.336</v>
      </c>
      <c r="C13" s="0" t="n">
        <v>1406.584</v>
      </c>
      <c r="D13" s="0" t="n">
        <v>797.752</v>
      </c>
      <c r="E13" s="0" t="n">
        <v>36.1901270949619</v>
      </c>
      <c r="F13" s="0" t="n">
        <v>372.163</v>
      </c>
      <c r="G13" s="0" t="n">
        <v>16.883224698957</v>
      </c>
      <c r="H13" s="0" t="n">
        <v>432.93</v>
      </c>
      <c r="I13" s="0" t="n">
        <v>252.308</v>
      </c>
      <c r="J13" s="0" t="n">
        <v>11.4459864557853</v>
      </c>
      <c r="K13" s="0" t="n">
        <v>4.09</v>
      </c>
      <c r="L13" s="0" t="n">
        <v>308.887</v>
      </c>
      <c r="M13" s="0" t="n">
        <v>60.802</v>
      </c>
      <c r="N13" s="0" t="n">
        <v>248.085</v>
      </c>
      <c r="O13" s="0" t="n">
        <v>1032.851</v>
      </c>
      <c r="P13" s="0" t="n">
        <v>2665.669</v>
      </c>
      <c r="Q13" s="0" t="n">
        <v>1571.591</v>
      </c>
      <c r="R13" s="0" t="n">
        <v>840.15</v>
      </c>
      <c r="S13" s="0" t="n">
        <v>322.883</v>
      </c>
      <c r="T13" s="0" t="n">
        <v>62.865446</v>
      </c>
      <c r="U13" s="0" t="n">
        <v>16.694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99</v>
      </c>
      <c r="B14" s="0" t="n">
        <v>2485.2</v>
      </c>
      <c r="C14" s="0" t="n">
        <v>1527.546</v>
      </c>
      <c r="D14" s="0" t="n">
        <v>957.654</v>
      </c>
      <c r="E14" s="0" t="n">
        <v>38.5342829550942</v>
      </c>
      <c r="F14" s="0" t="n">
        <v>479.106</v>
      </c>
      <c r="G14" s="0" t="n">
        <v>19.2783679381941</v>
      </c>
      <c r="H14" s="0" t="n">
        <v>547.879</v>
      </c>
      <c r="I14" s="0" t="n">
        <v>350.576</v>
      </c>
      <c r="J14" s="0" t="n">
        <v>14.1065507806213</v>
      </c>
      <c r="K14" s="0" t="n">
        <v>5.61</v>
      </c>
      <c r="L14" s="0" t="n">
        <v>486.533</v>
      </c>
      <c r="M14" s="0" t="n">
        <v>62.128</v>
      </c>
      <c r="N14" s="0" t="n">
        <v>424.405</v>
      </c>
      <c r="O14" s="0" t="n">
        <v>1390.204</v>
      </c>
      <c r="P14" s="0" t="n">
        <v>3235.423</v>
      </c>
      <c r="Q14" s="0" t="n">
        <v>1779.012</v>
      </c>
      <c r="R14" s="0" t="n">
        <v>845.911</v>
      </c>
      <c r="S14" s="0" t="n">
        <v>655.128</v>
      </c>
      <c r="T14" s="0" t="n">
        <v>63.737734</v>
      </c>
      <c r="U14" s="0" t="n">
        <v>20.882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100</v>
      </c>
      <c r="B15" s="0" t="n">
        <v>3737.184</v>
      </c>
      <c r="C15" s="0" t="n">
        <v>2377.102</v>
      </c>
      <c r="D15" s="0" t="n">
        <v>1360.082</v>
      </c>
      <c r="E15" s="0" t="n">
        <v>36.3932308390489</v>
      </c>
      <c r="F15" s="0" t="n">
        <v>721.136</v>
      </c>
      <c r="G15" s="0" t="n">
        <v>19.2962401637169</v>
      </c>
      <c r="H15" s="0" t="n">
        <v>813.177</v>
      </c>
      <c r="I15" s="0" t="n">
        <v>556.569</v>
      </c>
      <c r="J15" s="0" t="n">
        <v>14.8927374194046</v>
      </c>
      <c r="K15" s="0" t="n">
        <v>8.51</v>
      </c>
      <c r="L15" s="0" t="n">
        <v>411.156</v>
      </c>
      <c r="M15" s="0" t="n">
        <v>109.992</v>
      </c>
      <c r="N15" s="0" t="n">
        <v>301.164</v>
      </c>
      <c r="O15" s="0" t="n">
        <v>2214.087</v>
      </c>
      <c r="P15" s="0" t="n">
        <v>4877.78</v>
      </c>
      <c r="Q15" s="0" t="n">
        <v>2605.643</v>
      </c>
      <c r="R15" s="0" t="n">
        <v>908.021</v>
      </c>
      <c r="S15" s="0" t="n">
        <v>147.339</v>
      </c>
      <c r="T15" s="0" t="n">
        <v>64.253408</v>
      </c>
      <c r="U15" s="0" t="n">
        <v>23.954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101</v>
      </c>
      <c r="B16" s="0" t="n">
        <v>4564.737</v>
      </c>
      <c r="C16" s="0" t="n">
        <v>3042.733</v>
      </c>
      <c r="D16" s="0" t="n">
        <v>1522.004</v>
      </c>
      <c r="E16" s="0" t="n">
        <v>33.3426438368738</v>
      </c>
      <c r="F16" s="0" t="n">
        <v>566.33</v>
      </c>
      <c r="G16" s="0" t="n">
        <v>12.4066293414057</v>
      </c>
      <c r="H16" s="0" t="n">
        <v>722.471</v>
      </c>
      <c r="I16" s="0" t="n">
        <v>408.87</v>
      </c>
      <c r="J16" s="0" t="n">
        <v>8.95714254731434</v>
      </c>
      <c r="K16" s="0" t="n">
        <v>5.55</v>
      </c>
      <c r="L16" s="0" t="n">
        <v>58.516</v>
      </c>
      <c r="M16" s="0" t="n">
        <v>86.188</v>
      </c>
      <c r="N16" s="0" t="n">
        <v>-27.672</v>
      </c>
      <c r="O16" s="0" t="n">
        <v>2259.255</v>
      </c>
      <c r="P16" s="0" t="n">
        <v>5169.462</v>
      </c>
      <c r="Q16" s="0" t="n">
        <v>2799.736</v>
      </c>
      <c r="R16" s="0" t="n">
        <v>1381.818</v>
      </c>
      <c r="S16" s="0" t="n">
        <v>132.723</v>
      </c>
      <c r="T16" s="0" t="n">
        <v>64.681357</v>
      </c>
      <c r="U16" s="0" t="n">
        <v>29.481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102</v>
      </c>
      <c r="B17" s="0" t="n">
        <v>4022.667</v>
      </c>
      <c r="C17" s="0" t="n">
        <v>2657.236</v>
      </c>
      <c r="D17" s="0" t="n">
        <v>1365.431</v>
      </c>
      <c r="E17" s="0" t="n">
        <v>33.9434260902034</v>
      </c>
      <c r="F17" s="0" t="n">
        <v>386.199</v>
      </c>
      <c r="G17" s="0" t="n">
        <v>9.600570964487</v>
      </c>
      <c r="H17" s="0" t="n">
        <v>552.801</v>
      </c>
      <c r="I17" s="0" t="n">
        <v>217.12</v>
      </c>
      <c r="J17" s="0" t="n">
        <v>5.39741420306478</v>
      </c>
      <c r="K17" s="0" t="n">
        <v>3.31</v>
      </c>
      <c r="L17" s="0" t="n">
        <v>521.67</v>
      </c>
      <c r="M17" s="0" t="n">
        <v>129.06</v>
      </c>
      <c r="N17" s="0" t="n">
        <v>392.61</v>
      </c>
      <c r="O17" s="0" t="n">
        <v>2343.07</v>
      </c>
      <c r="P17" s="0" t="n">
        <v>5093.312</v>
      </c>
      <c r="Q17" s="0" t="n">
        <v>2743.693</v>
      </c>
      <c r="R17" s="0" t="n">
        <v>1493.448</v>
      </c>
      <c r="S17" s="0" t="n">
        <v>200.994</v>
      </c>
      <c r="T17" s="0" t="n">
        <v>62.058387</v>
      </c>
      <c r="U17" s="0" t="n">
        <v>35.492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103</v>
      </c>
      <c r="B18" s="0" t="n">
        <v>4295.834</v>
      </c>
      <c r="C18" s="0" t="n">
        <v>2630.208</v>
      </c>
      <c r="D18" s="0" t="n">
        <v>1665.626</v>
      </c>
      <c r="E18" s="0" t="n">
        <v>38.7730531487017</v>
      </c>
      <c r="F18" s="0" t="n">
        <v>536.742</v>
      </c>
      <c r="G18" s="0" t="n">
        <v>12.4944772074526</v>
      </c>
      <c r="H18" s="0" t="n">
        <v>708.51</v>
      </c>
      <c r="I18" s="0" t="n">
        <v>316.978</v>
      </c>
      <c r="J18" s="0" t="n">
        <v>7.37873018370822</v>
      </c>
      <c r="K18" s="0" t="n">
        <v>5.46</v>
      </c>
      <c r="L18" s="0" t="n">
        <v>741.301</v>
      </c>
      <c r="M18" s="0" t="n">
        <v>136.733</v>
      </c>
      <c r="N18" s="0" t="n">
        <v>604.568</v>
      </c>
      <c r="O18" s="0" t="n">
        <v>2497.443</v>
      </c>
      <c r="P18" s="0" t="n">
        <v>5109.331</v>
      </c>
      <c r="Q18" s="0" t="n">
        <v>2611.888</v>
      </c>
      <c r="R18" s="0" t="n">
        <v>1278.374</v>
      </c>
      <c r="S18" s="0" t="n">
        <v>281.277</v>
      </c>
      <c r="T18" s="0" t="n">
        <v>60.350412</v>
      </c>
      <c r="U18" s="0" t="n">
        <v>49.248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104</v>
      </c>
      <c r="B19" s="0" t="n">
        <v>4209.147</v>
      </c>
      <c r="C19" s="0" t="n">
        <v>2597.41</v>
      </c>
      <c r="D19" s="0" t="n">
        <v>1611.737</v>
      </c>
      <c r="E19" s="0" t="n">
        <v>38.2912975004199</v>
      </c>
      <c r="F19" s="0" t="n">
        <v>289.191</v>
      </c>
      <c r="G19" s="0" t="n">
        <v>6.87053695202377</v>
      </c>
      <c r="H19" s="0" t="n">
        <v>484.026</v>
      </c>
      <c r="I19" s="0" t="n">
        <v>161.354</v>
      </c>
      <c r="J19" s="0" t="n">
        <v>3.8334132782723</v>
      </c>
      <c r="K19" s="0" t="n">
        <v>2.73</v>
      </c>
      <c r="L19" s="0" t="n">
        <v>437.978</v>
      </c>
      <c r="M19" s="0" t="n">
        <v>169.85</v>
      </c>
      <c r="N19" s="0" t="n">
        <v>268.128</v>
      </c>
      <c r="O19" s="0" t="n">
        <v>2638.304</v>
      </c>
      <c r="P19" s="0" t="n">
        <v>5573.679</v>
      </c>
      <c r="Q19" s="0" t="n">
        <v>2934.633</v>
      </c>
      <c r="R19" s="0" t="n">
        <v>1282.448</v>
      </c>
      <c r="S19" s="0" t="n">
        <v>341.413</v>
      </c>
      <c r="T19" s="0" t="n">
        <v>59.275781</v>
      </c>
      <c r="U19" s="0" t="n">
        <v>49.947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105</v>
      </c>
      <c r="B1" s="2" t="s">
        <v>37</v>
      </c>
    </row>
    <row r="2" customFormat="false" ht="15" hidden="false" customHeight="false" outlineLevel="0" collapsed="false">
      <c r="A2" s="0" t="s">
        <v>106</v>
      </c>
      <c r="B2" s="3" t="n">
        <v>208.14</v>
      </c>
    </row>
    <row r="3" customFormat="false" ht="15" hidden="false" customHeight="false" outlineLevel="0" collapsed="false">
      <c r="A3" s="0" t="s">
        <v>107</v>
      </c>
      <c r="B3" s="3" t="n">
        <v>59.8</v>
      </c>
    </row>
    <row r="4" customFormat="false" ht="15" hidden="false" customHeight="false" outlineLevel="0" collapsed="false">
      <c r="A4" s="0" t="s">
        <v>108</v>
      </c>
      <c r="B4" s="3" t="n">
        <v>1016.1</v>
      </c>
    </row>
    <row r="5" customFormat="false" ht="15" hidden="false" customHeight="false" outlineLevel="0" collapsed="false">
      <c r="A5" s="0" t="s">
        <v>109</v>
      </c>
      <c r="B5" s="3" t="n">
        <v>0</v>
      </c>
    </row>
    <row r="6" customFormat="false" ht="15" hidden="false" customHeight="false" outlineLevel="0" collapsed="false">
      <c r="A6" s="0" t="s">
        <v>110</v>
      </c>
      <c r="B6" s="3" t="n">
        <v>15</v>
      </c>
    </row>
    <row r="7" customFormat="false" ht="15" hidden="false" customHeight="false" outlineLevel="0" collapsed="false">
      <c r="A7" s="0" t="s">
        <v>111</v>
      </c>
      <c r="B7" s="3" t="n">
        <v>4209.147</v>
      </c>
    </row>
    <row r="8" customFormat="false" ht="15" hidden="false" customHeight="false" outlineLevel="0" collapsed="false">
      <c r="A8" s="0" t="s">
        <v>112</v>
      </c>
      <c r="B8" s="3" t="s">
        <v>104</v>
      </c>
    </row>
    <row r="9" customFormat="false" ht="15" hidden="false" customHeight="false" outlineLevel="0" collapsed="false">
      <c r="A9" s="0" t="s">
        <v>113</v>
      </c>
      <c r="B9" s="3" t="s">
        <v>114</v>
      </c>
    </row>
    <row r="10" customFormat="false" ht="15" hidden="false" customHeight="false" outlineLevel="0" collapsed="false">
      <c r="A10" s="0" t="s">
        <v>115</v>
      </c>
      <c r="B10" s="3" t="n">
        <v>1</v>
      </c>
    </row>
    <row r="12" customFormat="false" ht="15" hidden="false" customHeight="false" outlineLevel="0" collapsed="false">
      <c r="A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2" t="s">
        <v>125</v>
      </c>
      <c r="L12" s="2" t="s">
        <v>126</v>
      </c>
    </row>
    <row r="13" customFormat="false" ht="15" hidden="false" customHeight="false" outlineLevel="0" collapsed="false">
      <c r="A13" s="0" t="s">
        <v>127</v>
      </c>
      <c r="C13" s="3" t="n">
        <v>15</v>
      </c>
      <c r="D13" s="3" t="n">
        <v>10</v>
      </c>
      <c r="E13" s="3" t="n">
        <v>3</v>
      </c>
      <c r="F13" s="3" t="n">
        <v>-3</v>
      </c>
      <c r="G13" s="3" t="n">
        <v>2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128</v>
      </c>
      <c r="C14" s="3" t="n">
        <v>19.5</v>
      </c>
      <c r="D14" s="3" t="n">
        <v>17.5</v>
      </c>
      <c r="E14" s="3" t="n">
        <v>16.5</v>
      </c>
      <c r="F14" s="3" t="n">
        <v>16</v>
      </c>
      <c r="G14" s="3" t="n">
        <v>17</v>
      </c>
      <c r="H14" s="3" t="n">
        <v>17.5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129</v>
      </c>
      <c r="C15" s="3" t="n">
        <v>1.8</v>
      </c>
      <c r="D15" s="3" t="n">
        <v>1.6</v>
      </c>
      <c r="E15" s="3" t="n">
        <v>1.5</v>
      </c>
      <c r="F15" s="3" t="n">
        <v>1.4</v>
      </c>
      <c r="G15" s="3" t="n">
        <v>1.4</v>
      </c>
      <c r="H15" s="3" t="n">
        <v>1.3</v>
      </c>
      <c r="I15" s="3" t="n">
        <v>1.3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130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131</v>
      </c>
      <c r="C17" s="3" t="n">
        <v>4</v>
      </c>
      <c r="D17" s="3" t="n">
        <v>3.8</v>
      </c>
      <c r="E17" s="3" t="n">
        <v>3.6</v>
      </c>
      <c r="F17" s="3" t="n">
        <v>3.4</v>
      </c>
      <c r="G17" s="3" t="n">
        <v>3.2</v>
      </c>
      <c r="H17" s="3" t="n">
        <v>3.1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132</v>
      </c>
      <c r="C18" s="3" t="n">
        <v>4.5</v>
      </c>
      <c r="D18" s="3" t="n">
        <v>4.2</v>
      </c>
      <c r="E18" s="3" t="n">
        <v>3.6</v>
      </c>
      <c r="F18" s="3" t="n">
        <v>3.3</v>
      </c>
      <c r="G18" s="3" t="n">
        <v>3.2</v>
      </c>
      <c r="H18" s="3" t="n">
        <v>3.2</v>
      </c>
      <c r="I18" s="3" t="n">
        <v>3.2</v>
      </c>
      <c r="J18" s="3" t="n">
        <v>3.2</v>
      </c>
      <c r="K18" s="3" t="n">
        <v>3.2</v>
      </c>
      <c r="L18" s="3" t="n">
        <v>3.2</v>
      </c>
    </row>
    <row r="19" customFormat="false" ht="15" hidden="false" customHeight="false" outlineLevel="0" collapsed="false">
      <c r="A19" s="0" t="s">
        <v>133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134</v>
      </c>
      <c r="B20" s="3" t="n">
        <v>11.5</v>
      </c>
    </row>
    <row r="21" customFormat="false" ht="15" hidden="false" customHeight="false" outlineLevel="0" collapsed="false">
      <c r="A21" s="0" t="s">
        <v>135</v>
      </c>
      <c r="B21" s="3" t="n">
        <v>2.5</v>
      </c>
    </row>
    <row r="22" customFormat="false" ht="15" hidden="false" customHeight="false" outlineLevel="0" collapsed="false">
      <c r="A22" s="0" t="s">
        <v>136</v>
      </c>
      <c r="B22" s="3" t="n">
        <v>15</v>
      </c>
    </row>
    <row r="23" customFormat="false" ht="15" hidden="false" customHeight="false" outlineLevel="0" collapsed="false">
      <c r="A23" s="0" t="s">
        <v>137</v>
      </c>
      <c r="B23" s="3" t="n">
        <v>-15</v>
      </c>
    </row>
    <row r="24" customFormat="false" ht="15" hidden="false" customHeight="false" outlineLevel="0" collapsed="false">
      <c r="A24" s="0" t="s">
        <v>138</v>
      </c>
      <c r="B24" s="3" t="n">
        <v>0.25</v>
      </c>
    </row>
    <row r="26" customFormat="false" ht="15" hidden="false" customHeight="false" outlineLevel="0" collapsed="false">
      <c r="A26" s="2" t="s">
        <v>139</v>
      </c>
      <c r="C26" s="2" t="s">
        <v>117</v>
      </c>
      <c r="D26" s="2" t="s">
        <v>118</v>
      </c>
      <c r="E26" s="2" t="s">
        <v>119</v>
      </c>
      <c r="F26" s="2" t="s">
        <v>120</v>
      </c>
      <c r="G26" s="2" t="s">
        <v>121</v>
      </c>
      <c r="H26" s="2" t="s">
        <v>122</v>
      </c>
      <c r="I26" s="2" t="s">
        <v>123</v>
      </c>
      <c r="J26" s="2" t="s">
        <v>124</v>
      </c>
      <c r="K26" s="2" t="s">
        <v>125</v>
      </c>
      <c r="L26" s="2" t="s">
        <v>126</v>
      </c>
    </row>
    <row r="27" customFormat="false" ht="15" hidden="false" customHeight="false" outlineLevel="0" collapsed="false">
      <c r="A27" s="0" t="s">
        <v>127</v>
      </c>
      <c r="C27" s="3" t="n">
        <v>17</v>
      </c>
      <c r="D27" s="3" t="n">
        <v>20</v>
      </c>
      <c r="E27" s="3" t="n">
        <v>12</v>
      </c>
      <c r="F27" s="3" t="n">
        <v>6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128</v>
      </c>
      <c r="C28" s="3" t="n">
        <v>20</v>
      </c>
      <c r="D28" s="3" t="n">
        <v>19.8</v>
      </c>
      <c r="E28" s="3" t="n">
        <v>20.5</v>
      </c>
      <c r="F28" s="3" t="n">
        <v>21</v>
      </c>
      <c r="G28" s="3" t="n">
        <v>21.3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129</v>
      </c>
      <c r="C29" s="3" t="n">
        <v>1.8</v>
      </c>
      <c r="D29" s="3" t="n">
        <v>1.6</v>
      </c>
      <c r="E29" s="3" t="n">
        <v>1.5</v>
      </c>
      <c r="F29" s="3" t="n">
        <v>1.4</v>
      </c>
      <c r="G29" s="3" t="n">
        <v>1.4</v>
      </c>
      <c r="H29" s="3" t="n">
        <v>1.3</v>
      </c>
      <c r="I29" s="3" t="n">
        <v>1.3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130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131</v>
      </c>
      <c r="C31" s="3" t="n">
        <v>4</v>
      </c>
      <c r="D31" s="3" t="n">
        <v>3.8</v>
      </c>
      <c r="E31" s="3" t="n">
        <v>3.6</v>
      </c>
      <c r="F31" s="3" t="n">
        <v>3.4</v>
      </c>
      <c r="G31" s="3" t="n">
        <v>3.2</v>
      </c>
      <c r="H31" s="3" t="n">
        <v>3.1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132</v>
      </c>
      <c r="C32" s="3" t="n">
        <v>4.5</v>
      </c>
      <c r="D32" s="3" t="n">
        <v>4.5</v>
      </c>
      <c r="E32" s="3" t="n">
        <v>4</v>
      </c>
      <c r="F32" s="3" t="n">
        <v>3.8</v>
      </c>
      <c r="G32" s="3" t="n">
        <v>3.5</v>
      </c>
      <c r="H32" s="3" t="n">
        <v>3.4</v>
      </c>
      <c r="I32" s="3" t="n">
        <v>3.3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133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134</v>
      </c>
      <c r="B34" s="3" t="n">
        <v>11.5</v>
      </c>
    </row>
    <row r="35" customFormat="false" ht="15" hidden="false" customHeight="false" outlineLevel="0" collapsed="false">
      <c r="A35" s="0" t="s">
        <v>135</v>
      </c>
      <c r="B35" s="3" t="n">
        <v>3</v>
      </c>
    </row>
    <row r="36" customFormat="false" ht="15" hidden="false" customHeight="false" outlineLevel="0" collapsed="false">
      <c r="A36" s="0" t="s">
        <v>136</v>
      </c>
      <c r="B36" s="3" t="n">
        <v>15</v>
      </c>
    </row>
    <row r="37" customFormat="false" ht="15" hidden="false" customHeight="false" outlineLevel="0" collapsed="false">
      <c r="A37" s="0" t="s">
        <v>137</v>
      </c>
      <c r="B37" s="3" t="n">
        <v>-15</v>
      </c>
    </row>
    <row r="38" customFormat="false" ht="15" hidden="false" customHeight="false" outlineLevel="0" collapsed="false">
      <c r="A38" s="0" t="s">
        <v>138</v>
      </c>
      <c r="B38" s="3" t="n">
        <v>0.5</v>
      </c>
    </row>
    <row r="40" customFormat="false" ht="15" hidden="false" customHeight="false" outlineLevel="0" collapsed="false">
      <c r="A40" s="2" t="s">
        <v>140</v>
      </c>
      <c r="C40" s="2" t="s">
        <v>117</v>
      </c>
      <c r="D40" s="2" t="s">
        <v>118</v>
      </c>
      <c r="E40" s="2" t="s">
        <v>119</v>
      </c>
      <c r="F40" s="2" t="s">
        <v>120</v>
      </c>
      <c r="G40" s="2" t="s">
        <v>121</v>
      </c>
      <c r="H40" s="2" t="s">
        <v>122</v>
      </c>
      <c r="I40" s="2" t="s">
        <v>123</v>
      </c>
      <c r="J40" s="2" t="s">
        <v>124</v>
      </c>
      <c r="K40" s="2" t="s">
        <v>125</v>
      </c>
      <c r="L40" s="2" t="s">
        <v>126</v>
      </c>
    </row>
    <row r="41" customFormat="false" ht="15" hidden="false" customHeight="false" outlineLevel="0" collapsed="false">
      <c r="A41" s="0" t="s">
        <v>127</v>
      </c>
      <c r="C41" s="3" t="n">
        <v>18</v>
      </c>
      <c r="D41" s="3" t="n">
        <v>32</v>
      </c>
      <c r="E41" s="3" t="n">
        <v>20</v>
      </c>
      <c r="F41" s="3" t="n">
        <v>10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128</v>
      </c>
      <c r="C42" s="3" t="n">
        <v>20.5</v>
      </c>
      <c r="D42" s="3" t="n">
        <v>21</v>
      </c>
      <c r="E42" s="3" t="n">
        <v>22</v>
      </c>
      <c r="F42" s="3" t="n">
        <v>23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129</v>
      </c>
      <c r="C43" s="3" t="n">
        <v>1.8</v>
      </c>
      <c r="D43" s="3" t="n">
        <v>1.6</v>
      </c>
      <c r="E43" s="3" t="n">
        <v>1.5</v>
      </c>
      <c r="F43" s="3" t="n">
        <v>1.4</v>
      </c>
      <c r="G43" s="3" t="n">
        <v>1.4</v>
      </c>
      <c r="H43" s="3" t="n">
        <v>1.3</v>
      </c>
      <c r="I43" s="3" t="n">
        <v>1.3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130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131</v>
      </c>
      <c r="C45" s="3" t="n">
        <v>4</v>
      </c>
      <c r="D45" s="3" t="n">
        <v>3.8</v>
      </c>
      <c r="E45" s="3" t="n">
        <v>3.6</v>
      </c>
      <c r="F45" s="3" t="n">
        <v>3.4</v>
      </c>
      <c r="G45" s="3" t="n">
        <v>3.2</v>
      </c>
      <c r="H45" s="3" t="n">
        <v>3.1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132</v>
      </c>
      <c r="C46" s="3" t="n">
        <v>4.8</v>
      </c>
      <c r="D46" s="3" t="n">
        <v>4.8</v>
      </c>
      <c r="E46" s="3" t="n">
        <v>4.2</v>
      </c>
      <c r="F46" s="3" t="n">
        <v>3.8</v>
      </c>
      <c r="G46" s="3" t="n">
        <v>3.5</v>
      </c>
      <c r="H46" s="3" t="n">
        <v>3.4</v>
      </c>
      <c r="I46" s="3" t="n">
        <v>3.3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133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134</v>
      </c>
      <c r="B48" s="3" t="n">
        <v>11.5</v>
      </c>
    </row>
    <row r="49" customFormat="false" ht="15" hidden="false" customHeight="false" outlineLevel="0" collapsed="false">
      <c r="A49" s="0" t="s">
        <v>135</v>
      </c>
      <c r="B49" s="3" t="n">
        <v>3</v>
      </c>
    </row>
    <row r="50" customFormat="false" ht="15" hidden="false" customHeight="false" outlineLevel="0" collapsed="false">
      <c r="A50" s="0" t="s">
        <v>136</v>
      </c>
      <c r="B50" s="3" t="n">
        <v>15</v>
      </c>
    </row>
    <row r="51" customFormat="false" ht="15" hidden="false" customHeight="false" outlineLevel="0" collapsed="false">
      <c r="A51" s="0" t="s">
        <v>137</v>
      </c>
      <c r="B51" s="3" t="n">
        <v>-15</v>
      </c>
    </row>
    <row r="52" customFormat="false" ht="15" hidden="false" customHeight="false" outlineLevel="0" collapsed="false">
      <c r="A52" s="0" t="s">
        <v>138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142</v>
      </c>
      <c r="B3" s="0" t="s">
        <v>104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customFormat="false" ht="15" hidden="false" customHeight="false" outlineLevel="0" collapsed="false">
      <c r="A4" s="0" t="s">
        <v>143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127</v>
      </c>
      <c r="C5" s="4" t="n">
        <f aca="false">Assumptions!C13</f>
        <v>15</v>
      </c>
      <c r="D5" s="4" t="n">
        <f aca="false">Assumptions!D13</f>
        <v>10</v>
      </c>
      <c r="E5" s="4" t="n">
        <f aca="false">Assumptions!E13</f>
        <v>3</v>
      </c>
      <c r="F5" s="4" t="n">
        <f aca="false">Assumptions!F13</f>
        <v>-3</v>
      </c>
      <c r="G5" s="4" t="n">
        <f aca="false">Assumptions!G13</f>
        <v>2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61</v>
      </c>
      <c r="B6" s="3" t="n">
        <v>4209.147</v>
      </c>
      <c r="C6" s="0" t="n">
        <f aca="false">B6*(1+C5/100)</f>
        <v>4840.51905</v>
      </c>
      <c r="D6" s="0" t="n">
        <f aca="false">C6*(1+D5/100)</f>
        <v>5324.570955</v>
      </c>
      <c r="E6" s="0" t="n">
        <f aca="false">D6*(1+E5/100)</f>
        <v>5484.30808365</v>
      </c>
      <c r="F6" s="0" t="n">
        <f aca="false">E6*(1+F5/100)</f>
        <v>5319.7788411405</v>
      </c>
      <c r="G6" s="0" t="n">
        <f aca="false">F6*(1+G5/100)</f>
        <v>5426.17441796331</v>
      </c>
      <c r="H6" s="0" t="n">
        <f aca="false">G6*(1+H5/100)</f>
        <v>5588.95965050221</v>
      </c>
      <c r="I6" s="0" t="n">
        <f aca="false">H6*(1+I5/100)</f>
        <v>5756.62844001728</v>
      </c>
      <c r="J6" s="0" t="n">
        <f aca="false">I6*(1+J5/100)</f>
        <v>5929.32729321779</v>
      </c>
      <c r="K6" s="0" t="n">
        <f aca="false">J6*(1+K5/100)</f>
        <v>6077.56047554824</v>
      </c>
      <c r="L6" s="0" t="n">
        <f aca="false">K6*(1+L5/100)</f>
        <v>6229.49948743694</v>
      </c>
    </row>
    <row r="7" customFormat="false" ht="15" hidden="false" customHeight="false" outlineLevel="0" collapsed="false">
      <c r="A7" s="0" t="s">
        <v>128</v>
      </c>
      <c r="C7" s="4" t="n">
        <f aca="false">Assumptions!C14</f>
        <v>19.5</v>
      </c>
      <c r="D7" s="4" t="n">
        <f aca="false">Assumptions!D14</f>
        <v>17.5</v>
      </c>
      <c r="E7" s="4" t="n">
        <f aca="false">Assumptions!E14</f>
        <v>16.5</v>
      </c>
      <c r="F7" s="4" t="n">
        <f aca="false">Assumptions!F14</f>
        <v>16</v>
      </c>
      <c r="G7" s="4" t="n">
        <f aca="false">Assumptions!G14</f>
        <v>17</v>
      </c>
      <c r="H7" s="4" t="n">
        <f aca="false">Assumptions!H14</f>
        <v>17.5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67</v>
      </c>
      <c r="C8" s="0" t="n">
        <f aca="false">C6*C7/100</f>
        <v>943.90121475</v>
      </c>
      <c r="D8" s="0" t="n">
        <f aca="false">D6*D7/100</f>
        <v>931.799917125</v>
      </c>
      <c r="E8" s="0" t="n">
        <f aca="false">E6*E7/100</f>
        <v>904.91083380225</v>
      </c>
      <c r="F8" s="0" t="n">
        <f aca="false">F6*F7/100</f>
        <v>851.16461458248</v>
      </c>
      <c r="G8" s="0" t="n">
        <f aca="false">G6*G7/100</f>
        <v>922.449651053763</v>
      </c>
      <c r="H8" s="0" t="n">
        <f aca="false">H6*H7/100</f>
        <v>978.067938837887</v>
      </c>
      <c r="I8" s="0" t="n">
        <f aca="false">I6*I7/100</f>
        <v>1036.19311920311</v>
      </c>
      <c r="J8" s="0" t="n">
        <f aca="false">J6*J7/100</f>
        <v>1067.2789127792</v>
      </c>
      <c r="K8" s="0" t="n">
        <f aca="false">K6*K7/100</f>
        <v>1093.96088559868</v>
      </c>
      <c r="L8" s="0" t="n">
        <f aca="false">L6*L7/100</f>
        <v>1121.30990773865</v>
      </c>
    </row>
    <row r="9" customFormat="false" ht="15" hidden="false" customHeight="false" outlineLevel="0" collapsed="false">
      <c r="A9" s="0" t="s">
        <v>129</v>
      </c>
      <c r="C9" s="4" t="n">
        <f aca="false">Assumptions!C15</f>
        <v>1.8</v>
      </c>
      <c r="D9" s="4" t="n">
        <f aca="false">Assumptions!D15</f>
        <v>1.6</v>
      </c>
      <c r="E9" s="4" t="n">
        <f aca="false">Assumptions!E15</f>
        <v>1.5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144</v>
      </c>
      <c r="C10" s="0" t="n">
        <f aca="false">-C6*C9/100</f>
        <v>-87.1293429</v>
      </c>
      <c r="D10" s="0" t="n">
        <f aca="false">-D6*D9/100</f>
        <v>-85.19313528</v>
      </c>
      <c r="E10" s="0" t="n">
        <f aca="false">-E6*E9/100</f>
        <v>-82.26462125475</v>
      </c>
      <c r="F10" s="0" t="n">
        <f aca="false">-F6*F9/100</f>
        <v>-74.476903775967</v>
      </c>
      <c r="G10" s="0" t="n">
        <f aca="false">-G6*G9/100</f>
        <v>-75.9664418514863</v>
      </c>
      <c r="H10" s="0" t="n">
        <f aca="false">-H6*H9/100</f>
        <v>-72.6564754565287</v>
      </c>
      <c r="I10" s="0" t="n">
        <f aca="false">-I6*I9/100</f>
        <v>-74.8361697202246</v>
      </c>
      <c r="J10" s="0" t="n">
        <f aca="false">-J6*J9/100</f>
        <v>-71.1519275186135</v>
      </c>
      <c r="K10" s="0" t="n">
        <f aca="false">-K6*K9/100</f>
        <v>-72.9307257065788</v>
      </c>
      <c r="L10" s="0" t="n">
        <f aca="false">-L6*L9/100</f>
        <v>-74.7539938492433</v>
      </c>
    </row>
    <row r="11" customFormat="false" ht="15" hidden="false" customHeight="false" outlineLevel="0" collapsed="false">
      <c r="A11" s="0" t="s">
        <v>145</v>
      </c>
      <c r="C11" s="0" t="n">
        <f aca="false">C8+C10+C24</f>
        <v>856.77187185</v>
      </c>
      <c r="D11" s="0" t="n">
        <f aca="false">D8+D10+D24</f>
        <v>846.606781845</v>
      </c>
      <c r="E11" s="0" t="n">
        <f aca="false">E8+E10+E24</f>
        <v>822.6462125475</v>
      </c>
      <c r="F11" s="0" t="n">
        <f aca="false">F8+F10+F24</f>
        <v>776.687710806513</v>
      </c>
      <c r="G11" s="0" t="n">
        <f aca="false">G8+G10+G24</f>
        <v>846.483209202276</v>
      </c>
      <c r="H11" s="0" t="n">
        <f aca="false">H8+H10+H24</f>
        <v>905.411463381358</v>
      </c>
      <c r="I11" s="0" t="n">
        <f aca="false">I8+I10+I24</f>
        <v>961.356949482885</v>
      </c>
      <c r="J11" s="0" t="n">
        <f aca="false">J8+J10+J24</f>
        <v>996.126985260589</v>
      </c>
      <c r="K11" s="0" t="n">
        <f aca="false">K8+K10+K24</f>
        <v>1021.0301598921</v>
      </c>
      <c r="L11" s="0" t="n">
        <f aca="false">L8+L10+L24</f>
        <v>1046.55591388941</v>
      </c>
    </row>
    <row r="12" customFormat="false" ht="15" hidden="false" customHeight="false" outlineLevel="0" collapsed="false">
      <c r="A12" s="0" t="s">
        <v>146</v>
      </c>
      <c r="C12" s="4" t="n">
        <f aca="false">-C6*Assumptions!C17/100</f>
        <v>-193.620762</v>
      </c>
      <c r="D12" s="4" t="n">
        <f aca="false">-D6*Assumptions!D17/100</f>
        <v>-202.33369629</v>
      </c>
      <c r="E12" s="4" t="n">
        <f aca="false">-E6*Assumptions!E17/100</f>
        <v>-197.4350910114</v>
      </c>
      <c r="F12" s="4" t="n">
        <f aca="false">-F6*Assumptions!F17/100</f>
        <v>-180.872480598777</v>
      </c>
      <c r="G12" s="4" t="n">
        <f aca="false">-G6*Assumptions!G17/100</f>
        <v>-173.637581374826</v>
      </c>
      <c r="H12" s="4" t="n">
        <f aca="false">-H6*Assumptions!H17/100</f>
        <v>-173.257749165569</v>
      </c>
      <c r="I12" s="4" t="n">
        <f aca="false">-I6*Assumptions!I17/100</f>
        <v>-172.698853200518</v>
      </c>
      <c r="J12" s="4" t="n">
        <f aca="false">-J6*Assumptions!J17/100</f>
        <v>-177.879818796534</v>
      </c>
      <c r="K12" s="4" t="n">
        <f aca="false">-K6*Assumptions!K17/100</f>
        <v>-182.326814266447</v>
      </c>
      <c r="L12" s="4" t="n">
        <f aca="false">-L6*Assumptions!L17/100</f>
        <v>-186.884984623108</v>
      </c>
    </row>
    <row r="13" customFormat="false" ht="15" hidden="false" customHeight="false" outlineLevel="0" collapsed="false">
      <c r="A13" s="0" t="s">
        <v>147</v>
      </c>
      <c r="C13" s="0" t="n">
        <f aca="false">C11+C12</f>
        <v>663.15110985</v>
      </c>
      <c r="D13" s="0" t="n">
        <f aca="false">D11+D12</f>
        <v>644.273085555</v>
      </c>
      <c r="E13" s="0" t="n">
        <f aca="false">E11+E12</f>
        <v>625.2111215361</v>
      </c>
      <c r="F13" s="0" t="n">
        <f aca="false">F11+F12</f>
        <v>595.815230207736</v>
      </c>
      <c r="G13" s="0" t="n">
        <f aca="false">G11+G12</f>
        <v>672.84562782745</v>
      </c>
      <c r="H13" s="0" t="n">
        <f aca="false">H11+H12</f>
        <v>732.153714215789</v>
      </c>
      <c r="I13" s="0" t="n">
        <f aca="false">I11+I12</f>
        <v>788.658096282367</v>
      </c>
      <c r="J13" s="0" t="n">
        <f aca="false">J11+J12</f>
        <v>818.247166464056</v>
      </c>
      <c r="K13" s="0" t="n">
        <f aca="false">K11+K12</f>
        <v>838.703345625657</v>
      </c>
      <c r="L13" s="0" t="n">
        <f aca="false">L11+L12</f>
        <v>859.670929266298</v>
      </c>
    </row>
    <row r="14" customFormat="false" ht="15" hidden="false" customHeight="false" outlineLevel="0" collapsed="false">
      <c r="A14" s="0" t="s">
        <v>133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148</v>
      </c>
      <c r="C15" s="0" t="n">
        <f aca="false">C13-MAX(0,C13)*C14/100</f>
        <v>497.3633323875</v>
      </c>
      <c r="D15" s="0" t="n">
        <f aca="false">D13-MAX(0,D13)*D14/100</f>
        <v>483.20481416625</v>
      </c>
      <c r="E15" s="0" t="n">
        <f aca="false">E13-MAX(0,E13)*E14/100</f>
        <v>468.908341152075</v>
      </c>
      <c r="F15" s="0" t="n">
        <f aca="false">F13-MAX(0,F13)*F14/100</f>
        <v>446.861422655802</v>
      </c>
      <c r="G15" s="0" t="n">
        <f aca="false">G13-MAX(0,G13)*G14/100</f>
        <v>504.634220870588</v>
      </c>
      <c r="H15" s="0" t="n">
        <f aca="false">H13-MAX(0,H13)*H14/100</f>
        <v>549.115285661842</v>
      </c>
      <c r="I15" s="0" t="n">
        <f aca="false">I13-MAX(0,I13)*I14/100</f>
        <v>591.493572211775</v>
      </c>
      <c r="J15" s="0" t="n">
        <f aca="false">J13-MAX(0,J13)*J14/100</f>
        <v>613.685374848042</v>
      </c>
      <c r="K15" s="0" t="n">
        <f aca="false">K13-MAX(0,K13)*K14/100</f>
        <v>629.027509219242</v>
      </c>
      <c r="L15" s="0" t="n">
        <f aca="false">L13-MAX(0,L13)*L14/100</f>
        <v>644.753196949724</v>
      </c>
    </row>
    <row r="16" customFormat="false" ht="15" hidden="false" customHeight="false" outlineLevel="0" collapsed="false">
      <c r="A16" s="0" t="s">
        <v>149</v>
      </c>
      <c r="C16" s="0" t="n">
        <f aca="false">-C12</f>
        <v>193.620762</v>
      </c>
      <c r="D16" s="0" t="n">
        <f aca="false">-D12</f>
        <v>202.33369629</v>
      </c>
      <c r="E16" s="0" t="n">
        <f aca="false">-E12</f>
        <v>197.4350910114</v>
      </c>
      <c r="F16" s="0" t="n">
        <f aca="false">-F12</f>
        <v>180.872480598777</v>
      </c>
      <c r="G16" s="0" t="n">
        <f aca="false">-G12</f>
        <v>173.637581374826</v>
      </c>
      <c r="H16" s="0" t="n">
        <f aca="false">-H12</f>
        <v>173.257749165569</v>
      </c>
      <c r="I16" s="0" t="n">
        <f aca="false">-I12</f>
        <v>172.698853200518</v>
      </c>
      <c r="J16" s="0" t="n">
        <f aca="false">-J12</f>
        <v>177.879818796534</v>
      </c>
      <c r="K16" s="0" t="n">
        <f aca="false">-K12</f>
        <v>182.326814266447</v>
      </c>
      <c r="L16" s="0" t="n">
        <f aca="false">-L12</f>
        <v>186.884984623108</v>
      </c>
    </row>
    <row r="17" customFormat="false" ht="15" hidden="false" customHeight="false" outlineLevel="0" collapsed="false">
      <c r="A17" s="0" t="s">
        <v>150</v>
      </c>
      <c r="C17" s="4" t="n">
        <f aca="false">-C6*Assumptions!C18/100</f>
        <v>-217.82335725</v>
      </c>
      <c r="D17" s="4" t="n">
        <f aca="false">-D6*Assumptions!D18/100</f>
        <v>-223.63198011</v>
      </c>
      <c r="E17" s="4" t="n">
        <f aca="false">-E6*Assumptions!E18/100</f>
        <v>-197.4350910114</v>
      </c>
      <c r="F17" s="4" t="n">
        <f aca="false">-F6*Assumptions!F18/100</f>
        <v>-175.552701757637</v>
      </c>
      <c r="G17" s="4" t="n">
        <f aca="false">-G6*Assumptions!G18/100</f>
        <v>-173.637581374826</v>
      </c>
      <c r="H17" s="4" t="n">
        <f aca="false">-H6*Assumptions!H18/100</f>
        <v>-178.846708816071</v>
      </c>
      <c r="I17" s="4" t="n">
        <f aca="false">-I6*Assumptions!I18/100</f>
        <v>-184.212110080553</v>
      </c>
      <c r="J17" s="4" t="n">
        <f aca="false">-J6*Assumptions!J18/100</f>
        <v>-189.738473382969</v>
      </c>
      <c r="K17" s="4" t="n">
        <f aca="false">-K6*Assumptions!K18/100</f>
        <v>-194.481935217544</v>
      </c>
      <c r="L17" s="4" t="n">
        <f aca="false">-L6*Assumptions!L18/100</f>
        <v>-199.343983597982</v>
      </c>
    </row>
    <row r="18" customFormat="false" ht="15" hidden="false" customHeight="false" outlineLevel="0" collapsed="false">
      <c r="A18" s="0" t="s">
        <v>151</v>
      </c>
      <c r="C18" s="4" t="n">
        <f aca="false">(C6-B6)*Assumptions!$B$23/100</f>
        <v>-94.7058075</v>
      </c>
      <c r="D18" s="4" t="n">
        <f aca="false">(D6-C6)*Assumptions!$B$23/100</f>
        <v>-72.60778575</v>
      </c>
      <c r="E18" s="4" t="n">
        <f aca="false">(E6-D6)*Assumptions!$B$23/100</f>
        <v>-23.9605692975</v>
      </c>
      <c r="F18" s="4" t="n">
        <f aca="false">(F6-E6)*Assumptions!$B$23/100</f>
        <v>24.6793863764251</v>
      </c>
      <c r="G18" s="4" t="n">
        <f aca="false">(G6-F6)*Assumptions!$B$23/100</f>
        <v>-15.9593365234215</v>
      </c>
      <c r="H18" s="4" t="n">
        <f aca="false">(H6-G6)*Assumptions!$B$23/100</f>
        <v>-24.4177848808349</v>
      </c>
      <c r="I18" s="4" t="n">
        <f aca="false">(I6-H6)*Assumptions!$B$23/100</f>
        <v>-25.1503184272599</v>
      </c>
      <c r="J18" s="4" t="n">
        <f aca="false">(J6-I6)*Assumptions!$B$23/100</f>
        <v>-25.9048279800777</v>
      </c>
      <c r="K18" s="4" t="n">
        <f aca="false">(K6-J6)*Assumptions!$B$23/100</f>
        <v>-22.2349773495666</v>
      </c>
      <c r="L18" s="4" t="n">
        <f aca="false">(L6-K6)*Assumptions!$B$23/100</f>
        <v>-22.7908517833057</v>
      </c>
    </row>
    <row r="19" customFormat="false" ht="15" hidden="false" customHeight="false" outlineLevel="0" collapsed="false">
      <c r="A19" s="0" t="s">
        <v>152</v>
      </c>
      <c r="C19" s="0" t="n">
        <f aca="false">C15+C16+C17+C18</f>
        <v>378.4549296375</v>
      </c>
      <c r="D19" s="0" t="n">
        <f aca="false">D15+D16+D17+D18</f>
        <v>389.29874459625</v>
      </c>
      <c r="E19" s="0" t="n">
        <f aca="false">E15+E16+E17+E18</f>
        <v>444.947771854575</v>
      </c>
      <c r="F19" s="0" t="n">
        <f aca="false">F15+F16+F17+F18</f>
        <v>476.860587873368</v>
      </c>
      <c r="G19" s="0" t="n">
        <f aca="false">G15+G16+G17+G18</f>
        <v>488.674884347166</v>
      </c>
      <c r="H19" s="0" t="n">
        <f aca="false">H15+H16+H17+H18</f>
        <v>519.108541130505</v>
      </c>
      <c r="I19" s="0" t="n">
        <f aca="false">I15+I16+I17+I18</f>
        <v>554.829996904481</v>
      </c>
      <c r="J19" s="0" t="n">
        <f aca="false">J15+J16+J17+J18</f>
        <v>575.921892281528</v>
      </c>
      <c r="K19" s="0" t="n">
        <f aca="false">K15+K16+K17+K18</f>
        <v>594.637410918579</v>
      </c>
      <c r="L19" s="0" t="n">
        <f aca="false">L15+L16+L17+L18</f>
        <v>609.503346191544</v>
      </c>
    </row>
    <row r="20" customFormat="false" ht="15" hidden="false" customHeight="false" outlineLevel="0" collapsed="false">
      <c r="A20" s="0" t="s">
        <v>153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154</v>
      </c>
      <c r="C21" s="0" t="n">
        <f aca="false">C19*C20</f>
        <v>339.421461558296</v>
      </c>
      <c r="D21" s="0" t="n">
        <f aca="false">D19*D20</f>
        <v>313.136193847654</v>
      </c>
      <c r="E21" s="0" t="n">
        <f aca="false">E19*E20</f>
        <v>320.984775585611</v>
      </c>
      <c r="F21" s="0" t="n">
        <f aca="false">F19*F20</f>
        <v>308.526136167828</v>
      </c>
      <c r="G21" s="0" t="n">
        <f aca="false">G19*G20</f>
        <v>283.56046635044</v>
      </c>
      <c r="H21" s="0" t="n">
        <f aca="false">H19*H20</f>
        <v>270.152487191684</v>
      </c>
      <c r="I21" s="0" t="n">
        <f aca="false">I19*I20</f>
        <v>258.961893247162</v>
      </c>
      <c r="J21" s="0" t="n">
        <f aca="false">J19*J20</f>
        <v>241.081923804735</v>
      </c>
      <c r="K21" s="0" t="n">
        <f aca="false">K19*K20</f>
        <v>223.243294208856</v>
      </c>
      <c r="L21" s="0" t="n">
        <f aca="false">L19*L20</f>
        <v>205.22365611128</v>
      </c>
    </row>
    <row r="23" customFormat="false" ht="15" hidden="false" customHeight="false" outlineLevel="0" collapsed="false">
      <c r="A23" s="0" t="s">
        <v>130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155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156</v>
      </c>
    </row>
    <row r="27" customFormat="false" ht="15" hidden="false" customHeight="false" outlineLevel="0" collapsed="false">
      <c r="A27" s="0" t="s">
        <v>134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135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136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157</v>
      </c>
      <c r="B30" s="0" t="n">
        <f aca="false">SUM(C21:L21)</f>
        <v>2764.29228807355</v>
      </c>
    </row>
    <row r="31" customFormat="false" ht="15" hidden="false" customHeight="false" outlineLevel="0" collapsed="false">
      <c r="A31" s="0" t="s">
        <v>158</v>
      </c>
      <c r="B31" s="0" t="n">
        <f aca="false">L19</f>
        <v>609.503346191544</v>
      </c>
    </row>
    <row r="32" customFormat="false" ht="15" hidden="false" customHeight="false" outlineLevel="0" collapsed="false">
      <c r="A32" s="0" t="s">
        <v>159</v>
      </c>
      <c r="B32" s="0" t="n">
        <f aca="false">IF(B27&gt;B28,B31*(1+B28/100)/((B27-B28)/100),B31*B29)</f>
        <v>6941.56588718147</v>
      </c>
    </row>
    <row r="33" customFormat="false" ht="15" hidden="false" customHeight="false" outlineLevel="0" collapsed="false">
      <c r="A33" s="0" t="s">
        <v>160</v>
      </c>
      <c r="B33" s="0" t="n">
        <f aca="false">B31*B29</f>
        <v>9142.55019287316</v>
      </c>
    </row>
    <row r="34" customFormat="false" ht="15" hidden="false" customHeight="false" outlineLevel="0" collapsed="false">
      <c r="A34" s="0" t="s">
        <v>161</v>
      </c>
      <c r="B34" s="0" t="n">
        <f aca="false">MAX(0,MIN(B32,B33))</f>
        <v>6941.56588718147</v>
      </c>
    </row>
    <row r="35" customFormat="false" ht="15" hidden="false" customHeight="false" outlineLevel="0" collapsed="false">
      <c r="A35" s="0" t="s">
        <v>162</v>
      </c>
      <c r="B35" s="0" t="n">
        <f aca="false">B34/(1+B27/100)^L4</f>
        <v>2337.26941682292</v>
      </c>
    </row>
    <row r="36" customFormat="false" ht="15" hidden="false" customHeight="false" outlineLevel="0" collapsed="false">
      <c r="A36" s="0" t="s">
        <v>163</v>
      </c>
      <c r="B36" s="0" t="n">
        <f aca="false">B30+B35</f>
        <v>5101.56170489646</v>
      </c>
    </row>
    <row r="37" customFormat="false" ht="15" hidden="false" customHeight="false" outlineLevel="0" collapsed="false">
      <c r="A37" s="0" t="s">
        <v>164</v>
      </c>
      <c r="B37" s="0" t="n">
        <f aca="false">B36+Assumptions!$B$5-Assumptions!$B$4</f>
        <v>4085.46170489646</v>
      </c>
    </row>
    <row r="38" customFormat="false" ht="15" hidden="false" customHeight="false" outlineLevel="0" collapsed="false">
      <c r="A38" s="0" t="s">
        <v>165</v>
      </c>
      <c r="B38" s="0" t="n">
        <f aca="false">B37/Assumptions!$B$3*Assumptions!$B$10</f>
        <v>68.3187576069643</v>
      </c>
    </row>
    <row r="39" customFormat="false" ht="15" hidden="false" customHeight="false" outlineLevel="0" collapsed="false">
      <c r="A39" s="0" t="s">
        <v>166</v>
      </c>
      <c r="B39" s="4" t="n">
        <f aca="false">B38/Assumptions!$B$2-1</f>
        <v>-0.671765361742268</v>
      </c>
    </row>
    <row r="41" customFormat="false" ht="15" hidden="false" customHeight="false" outlineLevel="0" collapsed="false">
      <c r="A41" s="0" t="s">
        <v>167</v>
      </c>
      <c r="B41" s="0" t="n">
        <f aca="false">SUMPRODUCT(-C10:L10/(1+$B$27/100)^C4:L4)</f>
        <v>453.356547523802</v>
      </c>
    </row>
    <row r="42" customFormat="false" ht="15" hidden="false" customHeight="false" outlineLevel="0" collapsed="false">
      <c r="A42" s="0" t="s">
        <v>168</v>
      </c>
      <c r="B42" s="0" t="n">
        <f aca="false">IF(B27&gt;B28,-L10*(1+B28/100)/((B27-B28)/100),-L10*20)/(1+B27/100)^L4</f>
        <v>286.659990795681</v>
      </c>
    </row>
    <row r="43" customFormat="false" ht="15" hidden="false" customHeight="false" outlineLevel="0" collapsed="false">
      <c r="A43" s="0" t="s">
        <v>169</v>
      </c>
      <c r="B43" s="0" t="n">
        <f aca="false">(B37+B41+B42)/Assumptions!$B$3*Assumptions!$B$10</f>
        <v>80.6936161072901</v>
      </c>
    </row>
    <row r="45" customFormat="false" ht="15" hidden="false" customHeight="false" outlineLevel="0" collapsed="false">
      <c r="A45" s="0" t="s">
        <v>110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170</v>
      </c>
      <c r="B46" s="0" t="n">
        <f aca="false">MAX(0,MIN(IF(B45&gt;B28,B31*(1+B28/100)/((B45-B28)/100),B31*B29),B31*B29))</f>
        <v>4997.92743877066</v>
      </c>
    </row>
    <row r="47" customFormat="false" ht="15" hidden="false" customHeight="false" outlineLevel="0" collapsed="false">
      <c r="A47" s="0" t="s">
        <v>171</v>
      </c>
      <c r="B47" s="0" t="n">
        <f aca="false">(SUMPRODUCT(C19:L19/(1+B45/100)^C4:L4)+B46/(1+B45/100)^L4+Assumptions!$B$5-Assumptions!$B$4)/Assumptions!$B$3*Assumptions!$B$10</f>
        <v>43.3428420814399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172</v>
      </c>
    </row>
    <row r="3" customFormat="false" ht="15" hidden="false" customHeight="false" outlineLevel="0" collapsed="false">
      <c r="A3" s="0" t="s">
        <v>142</v>
      </c>
      <c r="B3" s="0" t="s">
        <v>104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customFormat="false" ht="15" hidden="false" customHeight="false" outlineLevel="0" collapsed="false">
      <c r="A4" s="0" t="s">
        <v>143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127</v>
      </c>
      <c r="C5" s="4" t="n">
        <f aca="false">Assumptions!C27</f>
        <v>17</v>
      </c>
      <c r="D5" s="4" t="n">
        <f aca="false">Assumptions!D27</f>
        <v>20</v>
      </c>
      <c r="E5" s="4" t="n">
        <f aca="false">Assumptions!E27</f>
        <v>12</v>
      </c>
      <c r="F5" s="4" t="n">
        <f aca="false">Assumptions!F27</f>
        <v>6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61</v>
      </c>
      <c r="B6" s="3" t="n">
        <v>4209.147</v>
      </c>
      <c r="C6" s="0" t="n">
        <f aca="false">B6*(1+C5/100)</f>
        <v>4924.70199</v>
      </c>
      <c r="D6" s="0" t="n">
        <f aca="false">C6*(1+D5/100)</f>
        <v>5909.642388</v>
      </c>
      <c r="E6" s="0" t="n">
        <f aca="false">D6*(1+E5/100)</f>
        <v>6618.79947456</v>
      </c>
      <c r="F6" s="0" t="n">
        <f aca="false">E6*(1+F5/100)</f>
        <v>7015.9274430336</v>
      </c>
      <c r="G6" s="0" t="n">
        <f aca="false">F6*(1+G5/100)</f>
        <v>7296.56454075495</v>
      </c>
      <c r="H6" s="0" t="n">
        <f aca="false">G6*(1+H5/100)</f>
        <v>7551.94429968137</v>
      </c>
      <c r="I6" s="0" t="n">
        <f aca="false">H6*(1+I5/100)</f>
        <v>7778.50262867181</v>
      </c>
      <c r="J6" s="0" t="n">
        <f aca="false">I6*(1+J5/100)</f>
        <v>8011.85770753196</v>
      </c>
      <c r="K6" s="0" t="n">
        <f aca="false">J6*(1+K5/100)</f>
        <v>8252.21343875792</v>
      </c>
      <c r="L6" s="0" t="n">
        <f aca="false">K6*(1+L5/100)</f>
        <v>8458.51877472687</v>
      </c>
    </row>
    <row r="7" customFormat="false" ht="15" hidden="false" customHeight="false" outlineLevel="0" collapsed="false">
      <c r="A7" s="0" t="s">
        <v>128</v>
      </c>
      <c r="C7" s="4" t="n">
        <f aca="false">Assumptions!C28</f>
        <v>20</v>
      </c>
      <c r="D7" s="4" t="n">
        <f aca="false">Assumptions!D28</f>
        <v>19.8</v>
      </c>
      <c r="E7" s="4" t="n">
        <f aca="false">Assumptions!E28</f>
        <v>20.5</v>
      </c>
      <c r="F7" s="4" t="n">
        <f aca="false">Assumptions!F28</f>
        <v>21</v>
      </c>
      <c r="G7" s="4" t="n">
        <f aca="false">Assumptions!G28</f>
        <v>21.3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67</v>
      </c>
      <c r="C8" s="0" t="n">
        <f aca="false">C6*C7/100</f>
        <v>984.940398</v>
      </c>
      <c r="D8" s="0" t="n">
        <f aca="false">D6*D7/100</f>
        <v>1170.109192824</v>
      </c>
      <c r="E8" s="0" t="n">
        <f aca="false">E6*E7/100</f>
        <v>1356.8538922848</v>
      </c>
      <c r="F8" s="0" t="n">
        <f aca="false">F6*F7/100</f>
        <v>1473.34476303706</v>
      </c>
      <c r="G8" s="0" t="n">
        <f aca="false">G6*G7/100</f>
        <v>1554.1682471808</v>
      </c>
      <c r="H8" s="0" t="n">
        <f aca="false">H6*H7/100</f>
        <v>1623.66802443149</v>
      </c>
      <c r="I8" s="0" t="n">
        <f aca="false">I6*I7/100</f>
        <v>1672.37806516444</v>
      </c>
      <c r="J8" s="0" t="n">
        <f aca="false">J6*J7/100</f>
        <v>1722.54940711937</v>
      </c>
      <c r="K8" s="0" t="n">
        <f aca="false">K6*K7/100</f>
        <v>1774.22588933295</v>
      </c>
      <c r="L8" s="0" t="n">
        <f aca="false">L6*L7/100</f>
        <v>1818.58153656628</v>
      </c>
    </row>
    <row r="9" customFormat="false" ht="15" hidden="false" customHeight="false" outlineLevel="0" collapsed="false">
      <c r="A9" s="0" t="s">
        <v>129</v>
      </c>
      <c r="C9" s="4" t="n">
        <f aca="false">Assumptions!C29</f>
        <v>1.8</v>
      </c>
      <c r="D9" s="4" t="n">
        <f aca="false">Assumptions!D29</f>
        <v>1.6</v>
      </c>
      <c r="E9" s="4" t="n">
        <f aca="false">Assumptions!E29</f>
        <v>1.5</v>
      </c>
      <c r="F9" s="4" t="n">
        <f aca="false">Assumptions!F29</f>
        <v>1.4</v>
      </c>
      <c r="G9" s="4" t="n">
        <f aca="false">Assumptions!G29</f>
        <v>1.4</v>
      </c>
      <c r="H9" s="4" t="n">
        <f aca="false">Assumptions!H29</f>
        <v>1.3</v>
      </c>
      <c r="I9" s="4" t="n">
        <f aca="false">Assumptions!I29</f>
        <v>1.3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144</v>
      </c>
      <c r="C10" s="0" t="n">
        <f aca="false">-C6*C9/100</f>
        <v>-88.64463582</v>
      </c>
      <c r="D10" s="0" t="n">
        <f aca="false">-D6*D9/100</f>
        <v>-94.554278208</v>
      </c>
      <c r="E10" s="0" t="n">
        <f aca="false">-E6*E9/100</f>
        <v>-99.2819921184</v>
      </c>
      <c r="F10" s="0" t="n">
        <f aca="false">-F6*F9/100</f>
        <v>-98.2229842024704</v>
      </c>
      <c r="G10" s="0" t="n">
        <f aca="false">-G6*G9/100</f>
        <v>-102.151903570569</v>
      </c>
      <c r="H10" s="0" t="n">
        <f aca="false">-H6*H9/100</f>
        <v>-98.1752758958578</v>
      </c>
      <c r="I10" s="0" t="n">
        <f aca="false">-I6*I9/100</f>
        <v>-101.120534172734</v>
      </c>
      <c r="J10" s="0" t="n">
        <f aca="false">-J6*J9/100</f>
        <v>-96.1422924903836</v>
      </c>
      <c r="K10" s="0" t="n">
        <f aca="false">-K6*K9/100</f>
        <v>-99.0265612650951</v>
      </c>
      <c r="L10" s="0" t="n">
        <f aca="false">-L6*L9/100</f>
        <v>-101.502225296722</v>
      </c>
    </row>
    <row r="11" customFormat="false" ht="15" hidden="false" customHeight="false" outlineLevel="0" collapsed="false">
      <c r="A11" s="0" t="s">
        <v>145</v>
      </c>
      <c r="C11" s="0" t="n">
        <f aca="false">C8+C10+C24</f>
        <v>896.29576218</v>
      </c>
      <c r="D11" s="0" t="n">
        <f aca="false">D8+D10+D24</f>
        <v>1075.554914616</v>
      </c>
      <c r="E11" s="0" t="n">
        <f aca="false">E8+E10+E24</f>
        <v>1257.5719001664</v>
      </c>
      <c r="F11" s="0" t="n">
        <f aca="false">F8+F10+F24</f>
        <v>1375.12177883459</v>
      </c>
      <c r="G11" s="0" t="n">
        <f aca="false">G8+G10+G24</f>
        <v>1452.01634361023</v>
      </c>
      <c r="H11" s="0" t="n">
        <f aca="false">H8+H10+H24</f>
        <v>1525.49274853564</v>
      </c>
      <c r="I11" s="0" t="n">
        <f aca="false">I8+I10+I24</f>
        <v>1571.25753099171</v>
      </c>
      <c r="J11" s="0" t="n">
        <f aca="false">J8+J10+J24</f>
        <v>1626.40711462899</v>
      </c>
      <c r="K11" s="0" t="n">
        <f aca="false">K8+K10+K24</f>
        <v>1675.19932806786</v>
      </c>
      <c r="L11" s="0" t="n">
        <f aca="false">L8+L10+L24</f>
        <v>1717.07931126955</v>
      </c>
    </row>
    <row r="12" customFormat="false" ht="15" hidden="false" customHeight="false" outlineLevel="0" collapsed="false">
      <c r="A12" s="0" t="s">
        <v>146</v>
      </c>
      <c r="C12" s="4" t="n">
        <f aca="false">-C6*Assumptions!C31/100</f>
        <v>-196.9880796</v>
      </c>
      <c r="D12" s="4" t="n">
        <f aca="false">-D6*Assumptions!D31/100</f>
        <v>-224.566410744</v>
      </c>
      <c r="E12" s="4" t="n">
        <f aca="false">-E6*Assumptions!E31/100</f>
        <v>-238.27678108416</v>
      </c>
      <c r="F12" s="4" t="n">
        <f aca="false">-F6*Assumptions!F31/100</f>
        <v>-238.541533063142</v>
      </c>
      <c r="G12" s="4" t="n">
        <f aca="false">-G6*Assumptions!G31/100</f>
        <v>-233.490065304158</v>
      </c>
      <c r="H12" s="4" t="n">
        <f aca="false">-H6*Assumptions!H31/100</f>
        <v>-234.110273290122</v>
      </c>
      <c r="I12" s="4" t="n">
        <f aca="false">-I6*Assumptions!I31/100</f>
        <v>-233.355078860154</v>
      </c>
      <c r="J12" s="4" t="n">
        <f aca="false">-J6*Assumptions!J31/100</f>
        <v>-240.355731225959</v>
      </c>
      <c r="K12" s="4" t="n">
        <f aca="false">-K6*Assumptions!K31/100</f>
        <v>-247.566403162738</v>
      </c>
      <c r="L12" s="4" t="n">
        <f aca="false">-L6*Assumptions!L31/100</f>
        <v>-253.755563241806</v>
      </c>
    </row>
    <row r="13" customFormat="false" ht="15" hidden="false" customHeight="false" outlineLevel="0" collapsed="false">
      <c r="A13" s="0" t="s">
        <v>147</v>
      </c>
      <c r="C13" s="0" t="n">
        <f aca="false">C11+C12</f>
        <v>699.30768258</v>
      </c>
      <c r="D13" s="0" t="n">
        <f aca="false">D11+D12</f>
        <v>850.988503872</v>
      </c>
      <c r="E13" s="0" t="n">
        <f aca="false">E11+E12</f>
        <v>1019.29511908224</v>
      </c>
      <c r="F13" s="0" t="n">
        <f aca="false">F11+F12</f>
        <v>1136.58024577144</v>
      </c>
      <c r="G13" s="0" t="n">
        <f aca="false">G11+G12</f>
        <v>1218.52627830608</v>
      </c>
      <c r="H13" s="0" t="n">
        <f aca="false">H11+H12</f>
        <v>1291.38247524551</v>
      </c>
      <c r="I13" s="0" t="n">
        <f aca="false">I11+I12</f>
        <v>1337.90245213155</v>
      </c>
      <c r="J13" s="0" t="n">
        <f aca="false">J11+J12</f>
        <v>1386.05138340303</v>
      </c>
      <c r="K13" s="0" t="n">
        <f aca="false">K11+K12</f>
        <v>1427.63292490512</v>
      </c>
      <c r="L13" s="0" t="n">
        <f aca="false">L11+L12</f>
        <v>1463.32374802775</v>
      </c>
    </row>
    <row r="14" customFormat="false" ht="15" hidden="false" customHeight="false" outlineLevel="0" collapsed="false">
      <c r="A14" s="0" t="s">
        <v>133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148</v>
      </c>
      <c r="C15" s="0" t="n">
        <f aca="false">C13-MAX(0,C13)*C14/100</f>
        <v>524.480761935</v>
      </c>
      <c r="D15" s="0" t="n">
        <f aca="false">D13-MAX(0,D13)*D14/100</f>
        <v>638.241377904</v>
      </c>
      <c r="E15" s="0" t="n">
        <f aca="false">E13-MAX(0,E13)*E14/100</f>
        <v>764.47133931168</v>
      </c>
      <c r="F15" s="0" t="n">
        <f aca="false">F13-MAX(0,F13)*F14/100</f>
        <v>852.435184328582</v>
      </c>
      <c r="G15" s="0" t="n">
        <f aca="false">G13-MAX(0,G13)*G14/100</f>
        <v>913.894708729557</v>
      </c>
      <c r="H15" s="0" t="n">
        <f aca="false">H13-MAX(0,H13)*H14/100</f>
        <v>968.536856434135</v>
      </c>
      <c r="I15" s="0" t="n">
        <f aca="false">I13-MAX(0,I13)*I14/100</f>
        <v>1003.42683909866</v>
      </c>
      <c r="J15" s="0" t="n">
        <f aca="false">J13-MAX(0,J13)*J14/100</f>
        <v>1039.53853755227</v>
      </c>
      <c r="K15" s="0" t="n">
        <f aca="false">K13-MAX(0,K13)*K14/100</f>
        <v>1070.72469367884</v>
      </c>
      <c r="L15" s="0" t="n">
        <f aca="false">L13-MAX(0,L13)*L14/100</f>
        <v>1097.49281102081</v>
      </c>
    </row>
    <row r="16" customFormat="false" ht="15" hidden="false" customHeight="false" outlineLevel="0" collapsed="false">
      <c r="A16" s="0" t="s">
        <v>149</v>
      </c>
      <c r="C16" s="0" t="n">
        <f aca="false">-C12</f>
        <v>196.9880796</v>
      </c>
      <c r="D16" s="0" t="n">
        <f aca="false">-D12</f>
        <v>224.566410744</v>
      </c>
      <c r="E16" s="0" t="n">
        <f aca="false">-E12</f>
        <v>238.27678108416</v>
      </c>
      <c r="F16" s="0" t="n">
        <f aca="false">-F12</f>
        <v>238.541533063142</v>
      </c>
      <c r="G16" s="0" t="n">
        <f aca="false">-G12</f>
        <v>233.490065304158</v>
      </c>
      <c r="H16" s="0" t="n">
        <f aca="false">-H12</f>
        <v>234.110273290122</v>
      </c>
      <c r="I16" s="0" t="n">
        <f aca="false">-I12</f>
        <v>233.355078860154</v>
      </c>
      <c r="J16" s="0" t="n">
        <f aca="false">-J12</f>
        <v>240.355731225959</v>
      </c>
      <c r="K16" s="0" t="n">
        <f aca="false">-K12</f>
        <v>247.566403162738</v>
      </c>
      <c r="L16" s="0" t="n">
        <f aca="false">-L12</f>
        <v>253.755563241806</v>
      </c>
    </row>
    <row r="17" customFormat="false" ht="15" hidden="false" customHeight="false" outlineLevel="0" collapsed="false">
      <c r="A17" s="0" t="s">
        <v>150</v>
      </c>
      <c r="C17" s="4" t="n">
        <f aca="false">-C6*Assumptions!C32/100</f>
        <v>-221.61158955</v>
      </c>
      <c r="D17" s="4" t="n">
        <f aca="false">-D6*Assumptions!D32/100</f>
        <v>-265.93390746</v>
      </c>
      <c r="E17" s="4" t="n">
        <f aca="false">-E6*Assumptions!E32/100</f>
        <v>-264.7519789824</v>
      </c>
      <c r="F17" s="4" t="n">
        <f aca="false">-F6*Assumptions!F32/100</f>
        <v>-266.605242835277</v>
      </c>
      <c r="G17" s="4" t="n">
        <f aca="false">-G6*Assumptions!G32/100</f>
        <v>-255.379758926423</v>
      </c>
      <c r="H17" s="4" t="n">
        <f aca="false">-H6*Assumptions!H32/100</f>
        <v>-256.766106189166</v>
      </c>
      <c r="I17" s="4" t="n">
        <f aca="false">-I6*Assumptions!I32/100</f>
        <v>-256.69058674617</v>
      </c>
      <c r="J17" s="4" t="n">
        <f aca="false">-J6*Assumptions!J32/100</f>
        <v>-256.379446641023</v>
      </c>
      <c r="K17" s="4" t="n">
        <f aca="false">-K6*Assumptions!K32/100</f>
        <v>-264.070830040254</v>
      </c>
      <c r="L17" s="4" t="n">
        <f aca="false">-L6*Assumptions!L32/100</f>
        <v>-270.67260079126</v>
      </c>
    </row>
    <row r="18" customFormat="false" ht="15" hidden="false" customHeight="false" outlineLevel="0" collapsed="false">
      <c r="A18" s="0" t="s">
        <v>151</v>
      </c>
      <c r="C18" s="4" t="n">
        <f aca="false">(C6-B6)*Assumptions!$B$37/100</f>
        <v>-107.3332485</v>
      </c>
      <c r="D18" s="4" t="n">
        <f aca="false">(D6-C6)*Assumptions!$B$37/100</f>
        <v>-147.7410597</v>
      </c>
      <c r="E18" s="4" t="n">
        <f aca="false">(E6-D6)*Assumptions!$B$37/100</f>
        <v>-106.373562984</v>
      </c>
      <c r="F18" s="4" t="n">
        <f aca="false">(F6-E6)*Assumptions!$B$37/100</f>
        <v>-59.56919527104</v>
      </c>
      <c r="G18" s="4" t="n">
        <f aca="false">(G6-F6)*Assumptions!$B$37/100</f>
        <v>-42.0955646582017</v>
      </c>
      <c r="H18" s="4" t="n">
        <f aca="false">(H6-G6)*Assumptions!$B$37/100</f>
        <v>-38.3069638389633</v>
      </c>
      <c r="I18" s="4" t="n">
        <f aca="false">(I6-H6)*Assumptions!$B$37/100</f>
        <v>-33.9837493485662</v>
      </c>
      <c r="J18" s="4" t="n">
        <f aca="false">(J6-I6)*Assumptions!$B$37/100</f>
        <v>-35.0032618290231</v>
      </c>
      <c r="K18" s="4" t="n">
        <f aca="false">(K6-J6)*Assumptions!$B$37/100</f>
        <v>-36.053359683894</v>
      </c>
      <c r="L18" s="4" t="n">
        <f aca="false">(L6-K6)*Assumptions!$B$37/100</f>
        <v>-30.9458003953421</v>
      </c>
    </row>
    <row r="19" customFormat="false" ht="15" hidden="false" customHeight="false" outlineLevel="0" collapsed="false">
      <c r="A19" s="0" t="s">
        <v>152</v>
      </c>
      <c r="C19" s="0" t="n">
        <f aca="false">C15+C16+C17+C18</f>
        <v>392.524003485</v>
      </c>
      <c r="D19" s="0" t="n">
        <f aca="false">D15+D16+D17+D18</f>
        <v>449.132821488</v>
      </c>
      <c r="E19" s="0" t="n">
        <f aca="false">E15+E16+E17+E18</f>
        <v>631.62257842944</v>
      </c>
      <c r="F19" s="0" t="n">
        <f aca="false">F15+F16+F17+F18</f>
        <v>764.802279285408</v>
      </c>
      <c r="G19" s="0" t="n">
        <f aca="false">G15+G16+G17+G18</f>
        <v>849.90945044909</v>
      </c>
      <c r="H19" s="0" t="n">
        <f aca="false">H15+H16+H17+H18</f>
        <v>907.574059696128</v>
      </c>
      <c r="I19" s="0" t="n">
        <f aca="false">I15+I16+I17+I18</f>
        <v>946.107581864082</v>
      </c>
      <c r="J19" s="0" t="n">
        <f aca="false">J15+J16+J17+J18</f>
        <v>988.511560308185</v>
      </c>
      <c r="K19" s="0" t="n">
        <f aca="false">K15+K16+K17+K18</f>
        <v>1018.16690711743</v>
      </c>
      <c r="L19" s="0" t="n">
        <f aca="false">L15+L16+L17+L18</f>
        <v>1049.62997307602</v>
      </c>
    </row>
    <row r="20" customFormat="false" ht="15" hidden="false" customHeight="false" outlineLevel="0" collapsed="false">
      <c r="A20" s="0" t="s">
        <v>153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154</v>
      </c>
      <c r="C21" s="0" t="n">
        <f aca="false">C19*C20</f>
        <v>352.039465008969</v>
      </c>
      <c r="D21" s="0" t="n">
        <f aca="false">D19*D20</f>
        <v>361.264309749241</v>
      </c>
      <c r="E21" s="0" t="n">
        <f aca="false">E19*E20</f>
        <v>455.651751545892</v>
      </c>
      <c r="F21" s="0" t="n">
        <f aca="false">F19*F20</f>
        <v>494.822801801636</v>
      </c>
      <c r="G21" s="0" t="n">
        <f aca="false">G19*G20</f>
        <v>493.171897808804</v>
      </c>
      <c r="H21" s="0" t="n">
        <f aca="false">H19*H20</f>
        <v>472.316230828348</v>
      </c>
      <c r="I21" s="0" t="n">
        <f aca="false">I19*I20</f>
        <v>441.587174417315</v>
      </c>
      <c r="J21" s="0" t="n">
        <f aca="false">J19*J20</f>
        <v>413.792689349311</v>
      </c>
      <c r="K21" s="0" t="n">
        <f aca="false">K19*K20</f>
        <v>382.247955183669</v>
      </c>
      <c r="L21" s="0" t="n">
        <f aca="false">L19*L20</f>
        <v>353.417092760226</v>
      </c>
    </row>
    <row r="23" customFormat="false" ht="15" hidden="false" customHeight="false" outlineLevel="0" collapsed="false">
      <c r="A23" s="0" t="s">
        <v>130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155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156</v>
      </c>
    </row>
    <row r="27" customFormat="false" ht="15" hidden="false" customHeight="false" outlineLevel="0" collapsed="false">
      <c r="A27" s="0" t="s">
        <v>134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135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136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157</v>
      </c>
      <c r="B30" s="0" t="n">
        <f aca="false">SUM(C21:L21)</f>
        <v>4220.31136845341</v>
      </c>
    </row>
    <row r="31" customFormat="false" ht="15" hidden="false" customHeight="false" outlineLevel="0" collapsed="false">
      <c r="A31" s="0" t="s">
        <v>158</v>
      </c>
      <c r="B31" s="0" t="n">
        <f aca="false">L19</f>
        <v>1049.62997307602</v>
      </c>
    </row>
    <row r="32" customFormat="false" ht="15" hidden="false" customHeight="false" outlineLevel="0" collapsed="false">
      <c r="A32" s="0" t="s">
        <v>159</v>
      </c>
      <c r="B32" s="0" t="n">
        <f aca="false">IF(B27&gt;B28,B31*(1+B28/100)/((B27-B28)/100),B31*B29)</f>
        <v>12719.0455560976</v>
      </c>
    </row>
    <row r="33" customFormat="false" ht="15" hidden="false" customHeight="false" outlineLevel="0" collapsed="false">
      <c r="A33" s="0" t="s">
        <v>160</v>
      </c>
      <c r="B33" s="0" t="n">
        <f aca="false">B31*B29</f>
        <v>15744.4495961402</v>
      </c>
    </row>
    <row r="34" customFormat="false" ht="15" hidden="false" customHeight="false" outlineLevel="0" collapsed="false">
      <c r="A34" s="0" t="s">
        <v>161</v>
      </c>
      <c r="B34" s="0" t="n">
        <f aca="false">MAX(0,MIN(B32,B33))</f>
        <v>12719.0455560976</v>
      </c>
    </row>
    <row r="35" customFormat="false" ht="15" hidden="false" customHeight="false" outlineLevel="0" collapsed="false">
      <c r="A35" s="0" t="s">
        <v>162</v>
      </c>
      <c r="B35" s="0" t="n">
        <f aca="false">B34/(1+B27/100)^L4</f>
        <v>4282.58359462391</v>
      </c>
    </row>
    <row r="36" customFormat="false" ht="15" hidden="false" customHeight="false" outlineLevel="0" collapsed="false">
      <c r="A36" s="0" t="s">
        <v>163</v>
      </c>
      <c r="B36" s="0" t="n">
        <f aca="false">B30+B35</f>
        <v>8502.89496307732</v>
      </c>
    </row>
    <row r="37" customFormat="false" ht="15" hidden="false" customHeight="false" outlineLevel="0" collapsed="false">
      <c r="A37" s="0" t="s">
        <v>164</v>
      </c>
      <c r="B37" s="0" t="n">
        <f aca="false">B36+Assumptions!$B$5-Assumptions!$B$4</f>
        <v>7486.79496307732</v>
      </c>
    </row>
    <row r="38" customFormat="false" ht="15" hidden="false" customHeight="false" outlineLevel="0" collapsed="false">
      <c r="A38" s="0" t="s">
        <v>165</v>
      </c>
      <c r="B38" s="0" t="n">
        <f aca="false">B37/Assumptions!$B$3*Assumptions!$B$10</f>
        <v>125.197240185239</v>
      </c>
    </row>
    <row r="39" customFormat="false" ht="15" hidden="false" customHeight="false" outlineLevel="0" collapsed="false">
      <c r="A39" s="0" t="s">
        <v>166</v>
      </c>
      <c r="B39" s="4" t="n">
        <f aca="false">B38/Assumptions!$B$2-1</f>
        <v>-0.398495050517731</v>
      </c>
    </row>
    <row r="41" customFormat="false" ht="15" hidden="false" customHeight="false" outlineLevel="0" collapsed="false">
      <c r="A41" s="0" t="s">
        <v>167</v>
      </c>
      <c r="B41" s="0" t="n">
        <f aca="false">SUMPRODUCT(-C10:L10/(1+$B$27/100)^C4:L4)</f>
        <v>559.892448180421</v>
      </c>
    </row>
    <row r="42" customFormat="false" ht="15" hidden="false" customHeight="false" outlineLevel="0" collapsed="false">
      <c r="A42" s="0" t="s">
        <v>168</v>
      </c>
      <c r="B42" s="0" t="n">
        <f aca="false">IF(B27&gt;B28,-L10*(1+B28/100)/((B27-B28)/100),-L10*20)/(1+B27/100)^L4</f>
        <v>414.138102020532</v>
      </c>
    </row>
    <row r="43" customFormat="false" ht="15" hidden="false" customHeight="false" outlineLevel="0" collapsed="false">
      <c r="A43" s="0" t="s">
        <v>169</v>
      </c>
      <c r="B43" s="0" t="n">
        <f aca="false">(B37+B41+B42)/Assumptions!$B$3*Assumptions!$B$10</f>
        <v>141.485376476225</v>
      </c>
    </row>
    <row r="45" customFormat="false" ht="15" hidden="false" customHeight="false" outlineLevel="0" collapsed="false">
      <c r="A45" s="0" t="s">
        <v>110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170</v>
      </c>
      <c r="B46" s="0" t="n">
        <f aca="false">MAX(0,MIN(IF(B45&gt;B28,B31*(1+B28/100)/((B45-B28)/100),B31*B29),B31*B29))</f>
        <v>9009.32393556914</v>
      </c>
    </row>
    <row r="47" customFormat="false" ht="15" hidden="false" customHeight="false" outlineLevel="0" collapsed="false">
      <c r="A47" s="0" t="s">
        <v>171</v>
      </c>
      <c r="B47" s="0" t="n">
        <f aca="false">(SUMPRODUCT(C19:L19/(1+B45/100)^C4:L4)+B46/(1+B45/100)^L4+Assumptions!$B$5-Assumptions!$B$4)/Assumptions!$B$3*Assumptions!$B$10</f>
        <v>80.0503038941529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173</v>
      </c>
    </row>
    <row r="3" customFormat="false" ht="15" hidden="false" customHeight="false" outlineLevel="0" collapsed="false">
      <c r="A3" s="0" t="s">
        <v>142</v>
      </c>
      <c r="B3" s="0" t="s">
        <v>104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customFormat="false" ht="15" hidden="false" customHeight="false" outlineLevel="0" collapsed="false">
      <c r="A4" s="0" t="s">
        <v>143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127</v>
      </c>
      <c r="C5" s="4" t="n">
        <f aca="false">Assumptions!C41</f>
        <v>18</v>
      </c>
      <c r="D5" s="4" t="n">
        <f aca="false">Assumptions!D41</f>
        <v>32</v>
      </c>
      <c r="E5" s="4" t="n">
        <f aca="false">Assumptions!E41</f>
        <v>20</v>
      </c>
      <c r="F5" s="4" t="n">
        <f aca="false">Assumptions!F41</f>
        <v>10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61</v>
      </c>
      <c r="B6" s="3" t="n">
        <v>4209.147</v>
      </c>
      <c r="C6" s="0" t="n">
        <f aca="false">B6*(1+C5/100)</f>
        <v>4966.79346</v>
      </c>
      <c r="D6" s="0" t="n">
        <f aca="false">C6*(1+D5/100)</f>
        <v>6556.1673672</v>
      </c>
      <c r="E6" s="0" t="n">
        <f aca="false">D6*(1+E5/100)</f>
        <v>7867.40084064</v>
      </c>
      <c r="F6" s="0" t="n">
        <f aca="false">E6*(1+F5/100)</f>
        <v>8654.140924704</v>
      </c>
      <c r="G6" s="0" t="n">
        <f aca="false">F6*(1+G5/100)</f>
        <v>9173.38938018624</v>
      </c>
      <c r="H6" s="0" t="n">
        <f aca="false">G6*(1+H5/100)</f>
        <v>9632.05884919555</v>
      </c>
      <c r="I6" s="0" t="n">
        <f aca="false">H6*(1+I5/100)</f>
        <v>10017.3412031634</v>
      </c>
      <c r="J6" s="0" t="n">
        <f aca="false">I6*(1+J5/100)</f>
        <v>10367.9481452741</v>
      </c>
      <c r="K6" s="0" t="n">
        <f aca="false">J6*(1+K5/100)</f>
        <v>10678.9865896323</v>
      </c>
      <c r="L6" s="0" t="n">
        <f aca="false">K6*(1+L5/100)</f>
        <v>10999.3561873213</v>
      </c>
    </row>
    <row r="7" customFormat="false" ht="15" hidden="false" customHeight="false" outlineLevel="0" collapsed="false">
      <c r="A7" s="0" t="s">
        <v>128</v>
      </c>
      <c r="C7" s="4" t="n">
        <f aca="false">Assumptions!C42</f>
        <v>20.5</v>
      </c>
      <c r="D7" s="4" t="n">
        <f aca="false">Assumptions!D42</f>
        <v>21</v>
      </c>
      <c r="E7" s="4" t="n">
        <f aca="false">Assumptions!E42</f>
        <v>22</v>
      </c>
      <c r="F7" s="4" t="n">
        <f aca="false">Assumptions!F42</f>
        <v>23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67</v>
      </c>
      <c r="C8" s="0" t="n">
        <f aca="false">C6*C7/100</f>
        <v>1018.1926593</v>
      </c>
      <c r="D8" s="0" t="n">
        <f aca="false">D6*D7/100</f>
        <v>1376.795147112</v>
      </c>
      <c r="E8" s="0" t="n">
        <f aca="false">E6*E7/100</f>
        <v>1730.8281849408</v>
      </c>
      <c r="F8" s="0" t="n">
        <f aca="false">F6*F7/100</f>
        <v>1990.45241268192</v>
      </c>
      <c r="G8" s="0" t="n">
        <f aca="false">G6*G7/100</f>
        <v>2155.74650434377</v>
      </c>
      <c r="H8" s="0" t="n">
        <f aca="false">H6*H7/100</f>
        <v>2263.53382956095</v>
      </c>
      <c r="I8" s="0" t="n">
        <f aca="false">I6*I7/100</f>
        <v>2354.07518274339</v>
      </c>
      <c r="J8" s="0" t="n">
        <f aca="false">J6*J7/100</f>
        <v>2436.46781413941</v>
      </c>
      <c r="K8" s="0" t="n">
        <f aca="false">K6*K7/100</f>
        <v>2509.56184856359</v>
      </c>
      <c r="L8" s="0" t="n">
        <f aca="false">L6*L7/100</f>
        <v>2584.8487040205</v>
      </c>
    </row>
    <row r="9" customFormat="false" ht="15" hidden="false" customHeight="false" outlineLevel="0" collapsed="false">
      <c r="A9" s="0" t="s">
        <v>129</v>
      </c>
      <c r="C9" s="4" t="n">
        <f aca="false">Assumptions!C43</f>
        <v>1.8</v>
      </c>
      <c r="D9" s="4" t="n">
        <f aca="false">Assumptions!D43</f>
        <v>1.6</v>
      </c>
      <c r="E9" s="4" t="n">
        <f aca="false">Assumptions!E43</f>
        <v>1.5</v>
      </c>
      <c r="F9" s="4" t="n">
        <f aca="false">Assumptions!F43</f>
        <v>1.4</v>
      </c>
      <c r="G9" s="4" t="n">
        <f aca="false">Assumptions!G43</f>
        <v>1.4</v>
      </c>
      <c r="H9" s="4" t="n">
        <f aca="false">Assumptions!H43</f>
        <v>1.3</v>
      </c>
      <c r="I9" s="4" t="n">
        <f aca="false">Assumptions!I43</f>
        <v>1.3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144</v>
      </c>
      <c r="C10" s="0" t="n">
        <f aca="false">-C6*C9/100</f>
        <v>-89.40228228</v>
      </c>
      <c r="D10" s="0" t="n">
        <f aca="false">-D6*D9/100</f>
        <v>-104.8986778752</v>
      </c>
      <c r="E10" s="0" t="n">
        <f aca="false">-E6*E9/100</f>
        <v>-118.0110126096</v>
      </c>
      <c r="F10" s="0" t="n">
        <f aca="false">-F6*F9/100</f>
        <v>-121.157972945856</v>
      </c>
      <c r="G10" s="0" t="n">
        <f aca="false">-G6*G9/100</f>
        <v>-128.427451322607</v>
      </c>
      <c r="H10" s="0" t="n">
        <f aca="false">-H6*H9/100</f>
        <v>-125.216765039542</v>
      </c>
      <c r="I10" s="0" t="n">
        <f aca="false">-I6*I9/100</f>
        <v>-130.225435641124</v>
      </c>
      <c r="J10" s="0" t="n">
        <f aca="false">-J6*J9/100</f>
        <v>-124.415377743289</v>
      </c>
      <c r="K10" s="0" t="n">
        <f aca="false">-K6*K9/100</f>
        <v>-128.147839075588</v>
      </c>
      <c r="L10" s="0" t="n">
        <f aca="false">-L6*L9/100</f>
        <v>-131.992274247855</v>
      </c>
    </row>
    <row r="11" customFormat="false" ht="15" hidden="false" customHeight="false" outlineLevel="0" collapsed="false">
      <c r="A11" s="0" t="s">
        <v>145</v>
      </c>
      <c r="C11" s="0" t="n">
        <f aca="false">C8+C10+C24</f>
        <v>928.79037702</v>
      </c>
      <c r="D11" s="0" t="n">
        <f aca="false">D8+D10+D24</f>
        <v>1271.8964692368</v>
      </c>
      <c r="E11" s="0" t="n">
        <f aca="false">E8+E10+E24</f>
        <v>1612.8171723312</v>
      </c>
      <c r="F11" s="0" t="n">
        <f aca="false">F8+F10+F24</f>
        <v>1869.29443973606</v>
      </c>
      <c r="G11" s="0" t="n">
        <f aca="false">G8+G10+G24</f>
        <v>2027.31905302116</v>
      </c>
      <c r="H11" s="0" t="n">
        <f aca="false">H8+H10+H24</f>
        <v>2138.31706452141</v>
      </c>
      <c r="I11" s="0" t="n">
        <f aca="false">I8+I10+I24</f>
        <v>2223.84974710227</v>
      </c>
      <c r="J11" s="0" t="n">
        <f aca="false">J8+J10+J24</f>
        <v>2312.05243639612</v>
      </c>
      <c r="K11" s="0" t="n">
        <f aca="false">K8+K10+K24</f>
        <v>2381.41400948801</v>
      </c>
      <c r="L11" s="0" t="n">
        <f aca="false">L8+L10+L24</f>
        <v>2452.85642977265</v>
      </c>
    </row>
    <row r="12" customFormat="false" ht="15" hidden="false" customHeight="false" outlineLevel="0" collapsed="false">
      <c r="A12" s="0" t="s">
        <v>146</v>
      </c>
      <c r="C12" s="4" t="n">
        <f aca="false">-C6*Assumptions!C45/100</f>
        <v>-198.6717384</v>
      </c>
      <c r="D12" s="4" t="n">
        <f aca="false">-D6*Assumptions!D45/100</f>
        <v>-249.1343599536</v>
      </c>
      <c r="E12" s="4" t="n">
        <f aca="false">-E6*Assumptions!E45/100</f>
        <v>-283.22643026304</v>
      </c>
      <c r="F12" s="4" t="n">
        <f aca="false">-F6*Assumptions!F45/100</f>
        <v>-294.240791439936</v>
      </c>
      <c r="G12" s="4" t="n">
        <f aca="false">-G6*Assumptions!G45/100</f>
        <v>-293.54846016596</v>
      </c>
      <c r="H12" s="4" t="n">
        <f aca="false">-H6*Assumptions!H45/100</f>
        <v>-298.593824325062</v>
      </c>
      <c r="I12" s="4" t="n">
        <f aca="false">-I6*Assumptions!I45/100</f>
        <v>-300.520236094901</v>
      </c>
      <c r="J12" s="4" t="n">
        <f aca="false">-J6*Assumptions!J45/100</f>
        <v>-311.038444358223</v>
      </c>
      <c r="K12" s="4" t="n">
        <f aca="false">-K6*Assumptions!K45/100</f>
        <v>-320.369597688969</v>
      </c>
      <c r="L12" s="4" t="n">
        <f aca="false">-L6*Assumptions!L45/100</f>
        <v>-329.980685619639</v>
      </c>
    </row>
    <row r="13" customFormat="false" ht="15" hidden="false" customHeight="false" outlineLevel="0" collapsed="false">
      <c r="A13" s="0" t="s">
        <v>147</v>
      </c>
      <c r="C13" s="0" t="n">
        <f aca="false">C11+C12</f>
        <v>730.11863862</v>
      </c>
      <c r="D13" s="0" t="n">
        <f aca="false">D11+D12</f>
        <v>1022.7621092832</v>
      </c>
      <c r="E13" s="0" t="n">
        <f aca="false">E11+E12</f>
        <v>1329.59074206816</v>
      </c>
      <c r="F13" s="0" t="n">
        <f aca="false">F11+F12</f>
        <v>1575.05364829613</v>
      </c>
      <c r="G13" s="0" t="n">
        <f aca="false">G11+G12</f>
        <v>1733.7705928552</v>
      </c>
      <c r="H13" s="0" t="n">
        <f aca="false">H11+H12</f>
        <v>1839.72324019635</v>
      </c>
      <c r="I13" s="0" t="n">
        <f aca="false">I11+I12</f>
        <v>1923.32951100737</v>
      </c>
      <c r="J13" s="0" t="n">
        <f aca="false">J11+J12</f>
        <v>2001.0139920379</v>
      </c>
      <c r="K13" s="0" t="n">
        <f aca="false">K11+K12</f>
        <v>2061.04441179904</v>
      </c>
      <c r="L13" s="0" t="n">
        <f aca="false">L11+L12</f>
        <v>2122.87574415301</v>
      </c>
    </row>
    <row r="14" customFormat="false" ht="15" hidden="false" customHeight="false" outlineLevel="0" collapsed="false">
      <c r="A14" s="0" t="s">
        <v>133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148</v>
      </c>
      <c r="C15" s="0" t="n">
        <f aca="false">C13-MAX(0,C13)*C14/100</f>
        <v>547.588978965</v>
      </c>
      <c r="D15" s="0" t="n">
        <f aca="false">D13-MAX(0,D13)*D14/100</f>
        <v>767.0715819624</v>
      </c>
      <c r="E15" s="0" t="n">
        <f aca="false">E13-MAX(0,E13)*E14/100</f>
        <v>997.19305655112</v>
      </c>
      <c r="F15" s="0" t="n">
        <f aca="false">F13-MAX(0,F13)*F14/100</f>
        <v>1181.2902362221</v>
      </c>
      <c r="G15" s="0" t="n">
        <f aca="false">G13-MAX(0,G13)*G14/100</f>
        <v>1300.3279446414</v>
      </c>
      <c r="H15" s="0" t="n">
        <f aca="false">H13-MAX(0,H13)*H14/100</f>
        <v>1379.79243014726</v>
      </c>
      <c r="I15" s="0" t="n">
        <f aca="false">I13-MAX(0,I13)*I14/100</f>
        <v>1442.49713325553</v>
      </c>
      <c r="J15" s="0" t="n">
        <f aca="false">J13-MAX(0,J13)*J14/100</f>
        <v>1500.76049402843</v>
      </c>
      <c r="K15" s="0" t="n">
        <f aca="false">K13-MAX(0,K13)*K14/100</f>
        <v>1545.78330884928</v>
      </c>
      <c r="L15" s="0" t="n">
        <f aca="false">L13-MAX(0,L13)*L14/100</f>
        <v>1592.15680811476</v>
      </c>
    </row>
    <row r="16" customFormat="false" ht="15" hidden="false" customHeight="false" outlineLevel="0" collapsed="false">
      <c r="A16" s="0" t="s">
        <v>149</v>
      </c>
      <c r="C16" s="0" t="n">
        <f aca="false">-C12</f>
        <v>198.6717384</v>
      </c>
      <c r="D16" s="0" t="n">
        <f aca="false">-D12</f>
        <v>249.1343599536</v>
      </c>
      <c r="E16" s="0" t="n">
        <f aca="false">-E12</f>
        <v>283.22643026304</v>
      </c>
      <c r="F16" s="0" t="n">
        <f aca="false">-F12</f>
        <v>294.240791439936</v>
      </c>
      <c r="G16" s="0" t="n">
        <f aca="false">-G12</f>
        <v>293.54846016596</v>
      </c>
      <c r="H16" s="0" t="n">
        <f aca="false">-H12</f>
        <v>298.593824325062</v>
      </c>
      <c r="I16" s="0" t="n">
        <f aca="false">-I12</f>
        <v>300.520236094901</v>
      </c>
      <c r="J16" s="0" t="n">
        <f aca="false">-J12</f>
        <v>311.038444358223</v>
      </c>
      <c r="K16" s="0" t="n">
        <f aca="false">-K12</f>
        <v>320.369597688969</v>
      </c>
      <c r="L16" s="0" t="n">
        <f aca="false">-L12</f>
        <v>329.980685619639</v>
      </c>
    </row>
    <row r="17" customFormat="false" ht="15" hidden="false" customHeight="false" outlineLevel="0" collapsed="false">
      <c r="A17" s="0" t="s">
        <v>150</v>
      </c>
      <c r="C17" s="4" t="n">
        <f aca="false">-C6*Assumptions!C46/100</f>
        <v>-238.40608608</v>
      </c>
      <c r="D17" s="4" t="n">
        <f aca="false">-D6*Assumptions!D46/100</f>
        <v>-314.6960336256</v>
      </c>
      <c r="E17" s="4" t="n">
        <f aca="false">-E6*Assumptions!E46/100</f>
        <v>-330.43083530688</v>
      </c>
      <c r="F17" s="4" t="n">
        <f aca="false">-F6*Assumptions!F46/100</f>
        <v>-328.857355138752</v>
      </c>
      <c r="G17" s="4" t="n">
        <f aca="false">-G6*Assumptions!G46/100</f>
        <v>-321.068628306518</v>
      </c>
      <c r="H17" s="4" t="n">
        <f aca="false">-H6*Assumptions!H46/100</f>
        <v>-327.490000872649</v>
      </c>
      <c r="I17" s="4" t="n">
        <f aca="false">-I6*Assumptions!I46/100</f>
        <v>-330.572259704391</v>
      </c>
      <c r="J17" s="4" t="n">
        <f aca="false">-J6*Assumptions!J46/100</f>
        <v>-331.774340648771</v>
      </c>
      <c r="K17" s="4" t="n">
        <f aca="false">-K6*Assumptions!K46/100</f>
        <v>-341.727570868234</v>
      </c>
      <c r="L17" s="4" t="n">
        <f aca="false">-L6*Assumptions!L46/100</f>
        <v>-351.979397994281</v>
      </c>
    </row>
    <row r="18" customFormat="false" ht="15" hidden="false" customHeight="false" outlineLevel="0" collapsed="false">
      <c r="A18" s="0" t="s">
        <v>151</v>
      </c>
      <c r="C18" s="4" t="n">
        <f aca="false">(C6-B6)*Assumptions!$B$51/100</f>
        <v>-113.646969</v>
      </c>
      <c r="D18" s="4" t="n">
        <f aca="false">(D6-C6)*Assumptions!$B$51/100</f>
        <v>-238.40608608</v>
      </c>
      <c r="E18" s="4" t="n">
        <f aca="false">(E6-D6)*Assumptions!$B$51/100</f>
        <v>-196.685021016</v>
      </c>
      <c r="F18" s="4" t="n">
        <f aca="false">(F6-E6)*Assumptions!$B$51/100</f>
        <v>-118.0110126096</v>
      </c>
      <c r="G18" s="4" t="n">
        <f aca="false">(G6-F6)*Assumptions!$B$51/100</f>
        <v>-77.8872683223361</v>
      </c>
      <c r="H18" s="4" t="n">
        <f aca="false">(H6-G6)*Assumptions!$B$51/100</f>
        <v>-68.8004203513968</v>
      </c>
      <c r="I18" s="4" t="n">
        <f aca="false">(I6-H6)*Assumptions!$B$51/100</f>
        <v>-57.7923530951734</v>
      </c>
      <c r="J18" s="4" t="n">
        <f aca="false">(J6-I6)*Assumptions!$B$51/100</f>
        <v>-52.5910413166075</v>
      </c>
      <c r="K18" s="4" t="n">
        <f aca="false">(K6-J6)*Assumptions!$B$51/100</f>
        <v>-46.6557666537334</v>
      </c>
      <c r="L18" s="4" t="n">
        <f aca="false">(L6-K6)*Assumptions!$B$51/100</f>
        <v>-48.0554396533455</v>
      </c>
    </row>
    <row r="19" customFormat="false" ht="15" hidden="false" customHeight="false" outlineLevel="0" collapsed="false">
      <c r="A19" s="0" t="s">
        <v>152</v>
      </c>
      <c r="C19" s="0" t="n">
        <f aca="false">C15+C16+C17+C18</f>
        <v>394.207662285</v>
      </c>
      <c r="D19" s="0" t="n">
        <f aca="false">D15+D16+D17+D18</f>
        <v>463.1038222104</v>
      </c>
      <c r="E19" s="0" t="n">
        <f aca="false">E15+E16+E17+E18</f>
        <v>753.30363049128</v>
      </c>
      <c r="F19" s="0" t="n">
        <f aca="false">F15+F16+F17+F18</f>
        <v>1028.66265991368</v>
      </c>
      <c r="G19" s="0" t="n">
        <f aca="false">G15+G16+G17+G18</f>
        <v>1194.92050817851</v>
      </c>
      <c r="H19" s="0" t="n">
        <f aca="false">H15+H16+H17+H18</f>
        <v>1282.09583324828</v>
      </c>
      <c r="I19" s="0" t="n">
        <f aca="false">I15+I16+I17+I18</f>
        <v>1354.65275655086</v>
      </c>
      <c r="J19" s="0" t="n">
        <f aca="false">J15+J16+J17+J18</f>
        <v>1427.43355642127</v>
      </c>
      <c r="K19" s="0" t="n">
        <f aca="false">K15+K16+K17+K18</f>
        <v>1477.76956901628</v>
      </c>
      <c r="L19" s="0" t="n">
        <f aca="false">L15+L16+L17+L18</f>
        <v>1522.10265608677</v>
      </c>
    </row>
    <row r="20" customFormat="false" ht="15" hidden="false" customHeight="false" outlineLevel="0" collapsed="false">
      <c r="A20" s="0" t="s">
        <v>153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154</v>
      </c>
      <c r="C21" s="0" t="n">
        <f aca="false">C19*C20</f>
        <v>353.549472901345</v>
      </c>
      <c r="D21" s="0" t="n">
        <f aca="false">D19*D20</f>
        <v>372.502018709727</v>
      </c>
      <c r="E21" s="0" t="n">
        <f aca="false">E19*E20</f>
        <v>543.432312905476</v>
      </c>
      <c r="F21" s="0" t="n">
        <f aca="false">F19*F20</f>
        <v>665.538993898919</v>
      </c>
      <c r="G21" s="0" t="n">
        <f aca="false">G19*G20</f>
        <v>693.369410632708</v>
      </c>
      <c r="H21" s="0" t="n">
        <f aca="false">H19*H20</f>
        <v>667.223423863953</v>
      </c>
      <c r="I21" s="0" t="n">
        <f aca="false">I19*I20</f>
        <v>632.271947238088</v>
      </c>
      <c r="J21" s="0" t="n">
        <f aca="false">J19*J20</f>
        <v>597.52621405344</v>
      </c>
      <c r="K21" s="0" t="n">
        <f aca="false">K19*K20</f>
        <v>554.795478069858</v>
      </c>
      <c r="L21" s="0" t="n">
        <f aca="false">L19*L20</f>
        <v>512.501652387403</v>
      </c>
    </row>
    <row r="23" customFormat="false" ht="15" hidden="false" customHeight="false" outlineLevel="0" collapsed="false">
      <c r="A23" s="0" t="s">
        <v>130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155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156</v>
      </c>
    </row>
    <row r="27" customFormat="false" ht="15" hidden="false" customHeight="false" outlineLevel="0" collapsed="false">
      <c r="A27" s="0" t="s">
        <v>134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135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136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157</v>
      </c>
      <c r="B30" s="0" t="n">
        <f aca="false">SUM(C21:L21)</f>
        <v>5592.71092466092</v>
      </c>
    </row>
    <row r="31" customFormat="false" ht="15" hidden="false" customHeight="false" outlineLevel="0" collapsed="false">
      <c r="A31" s="0" t="s">
        <v>158</v>
      </c>
      <c r="B31" s="0" t="n">
        <f aca="false">L19</f>
        <v>1522.10265608677</v>
      </c>
    </row>
    <row r="32" customFormat="false" ht="15" hidden="false" customHeight="false" outlineLevel="0" collapsed="false">
      <c r="A32" s="0" t="s">
        <v>159</v>
      </c>
      <c r="B32" s="0" t="n">
        <f aca="false">IF(B27&gt;B28,B31*(1+B28/100)/((B27-B28)/100),B31*B29)</f>
        <v>18444.3027737573</v>
      </c>
    </row>
    <row r="33" customFormat="false" ht="15" hidden="false" customHeight="false" outlineLevel="0" collapsed="false">
      <c r="A33" s="0" t="s">
        <v>160</v>
      </c>
      <c r="B33" s="0" t="n">
        <f aca="false">B31*B29</f>
        <v>22831.5398413015</v>
      </c>
    </row>
    <row r="34" customFormat="false" ht="15" hidden="false" customHeight="false" outlineLevel="0" collapsed="false">
      <c r="A34" s="0" t="s">
        <v>161</v>
      </c>
      <c r="B34" s="0" t="n">
        <f aca="false">MAX(0,MIN(B32,B33))</f>
        <v>18444.3027737573</v>
      </c>
    </row>
    <row r="35" customFormat="false" ht="15" hidden="false" customHeight="false" outlineLevel="0" collapsed="false">
      <c r="A35" s="0" t="s">
        <v>162</v>
      </c>
      <c r="B35" s="0" t="n">
        <f aca="false">B34/(1+B27/100)^L4</f>
        <v>6210.31414069441</v>
      </c>
    </row>
    <row r="36" customFormat="false" ht="15" hidden="false" customHeight="false" outlineLevel="0" collapsed="false">
      <c r="A36" s="0" t="s">
        <v>163</v>
      </c>
      <c r="B36" s="0" t="n">
        <f aca="false">B30+B35</f>
        <v>11803.0250653553</v>
      </c>
    </row>
    <row r="37" customFormat="false" ht="15" hidden="false" customHeight="false" outlineLevel="0" collapsed="false">
      <c r="A37" s="0" t="s">
        <v>164</v>
      </c>
      <c r="B37" s="0" t="n">
        <f aca="false">B36+Assumptions!$B$5-Assumptions!$B$4</f>
        <v>10786.9250653553</v>
      </c>
    </row>
    <row r="38" customFormat="false" ht="15" hidden="false" customHeight="false" outlineLevel="0" collapsed="false">
      <c r="A38" s="0" t="s">
        <v>165</v>
      </c>
      <c r="B38" s="0" t="n">
        <f aca="false">B37/Assumptions!$B$3*Assumptions!$B$10</f>
        <v>180.383362296912</v>
      </c>
    </row>
    <row r="39" customFormat="false" ht="15" hidden="false" customHeight="false" outlineLevel="0" collapsed="false">
      <c r="A39" s="0" t="s">
        <v>166</v>
      </c>
      <c r="B39" s="4" t="n">
        <f aca="false">B38/Assumptions!$B$2-1</f>
        <v>-0.13335561498553</v>
      </c>
    </row>
    <row r="41" customFormat="false" ht="15" hidden="false" customHeight="false" outlineLevel="0" collapsed="false">
      <c r="A41" s="0" t="s">
        <v>167</v>
      </c>
      <c r="B41" s="0" t="n">
        <f aca="false">SUMPRODUCT(-C10:L10/(1+$B$27/100)^C4:L4)</f>
        <v>673.180793995953</v>
      </c>
    </row>
    <row r="42" customFormat="false" ht="15" hidden="false" customHeight="false" outlineLevel="0" collapsed="false">
      <c r="A42" s="0" t="s">
        <v>168</v>
      </c>
      <c r="B42" s="0" t="n">
        <f aca="false">IF(B27&gt;B28,-L10*(1+B28/100)/((B27-B28)/100),-L10*20)/(1+B27/100)^L4</f>
        <v>538.540212084843</v>
      </c>
    </row>
    <row r="43" customFormat="false" ht="15" hidden="false" customHeight="false" outlineLevel="0" collapsed="false">
      <c r="A43" s="0" t="s">
        <v>169</v>
      </c>
      <c r="B43" s="0" t="n">
        <f aca="false">(B37+B41+B42)/Assumptions!$B$3*Assumptions!$B$10</f>
        <v>200.646255375186</v>
      </c>
    </row>
    <row r="45" customFormat="false" ht="15" hidden="false" customHeight="false" outlineLevel="0" collapsed="false">
      <c r="A45" s="0" t="s">
        <v>110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170</v>
      </c>
      <c r="B46" s="0" t="n">
        <f aca="false">MAX(0,MIN(IF(B45&gt;B28,B31*(1+B28/100)/((B45-B28)/100),B31*B29),B31*B29))</f>
        <v>13064.7144647448</v>
      </c>
    </row>
    <row r="47" customFormat="false" ht="15" hidden="false" customHeight="false" outlineLevel="0" collapsed="false">
      <c r="A47" s="0" t="s">
        <v>171</v>
      </c>
      <c r="B47" s="0" t="n">
        <f aca="false">(SUMPRODUCT(C19:L19/(1+B45/100)^C4:L4)+B46/(1+B45/100)^L4+Assumptions!$B$5-Assumptions!$B$4)/Assumptions!$B$3*Assumptions!$B$10</f>
        <v>115.556724321277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174</v>
      </c>
    </row>
    <row r="3" customFormat="false" ht="15" hidden="false" customHeight="false" outlineLevel="0" collapsed="false">
      <c r="A3" s="2" t="s">
        <v>175</v>
      </c>
      <c r="B3" s="2" t="s">
        <v>176</v>
      </c>
      <c r="C3" s="2" t="s">
        <v>166</v>
      </c>
      <c r="D3" s="2" t="s">
        <v>177</v>
      </c>
      <c r="E3" s="2" t="s">
        <v>169</v>
      </c>
      <c r="F3" s="2" t="s">
        <v>178</v>
      </c>
    </row>
    <row r="4" customFormat="false" ht="15" hidden="false" customHeight="false" outlineLevel="0" collapsed="false">
      <c r="A4" s="0" t="s">
        <v>179</v>
      </c>
      <c r="B4" s="4" t="n">
        <f aca="false">DCF_Bear!$B$38</f>
        <v>68.3187576069643</v>
      </c>
      <c r="C4" s="0" t="n">
        <f aca="false">B4/Assumptions!$B$2-1</f>
        <v>-0.671765361742268</v>
      </c>
      <c r="D4" s="4" t="n">
        <f aca="false">Assumptions!$B$24</f>
        <v>0.25</v>
      </c>
      <c r="E4" s="4" t="n">
        <f aca="false">DCF_Bear!$B$43</f>
        <v>80.6936161072901</v>
      </c>
      <c r="F4" s="4" t="n">
        <f aca="false">DCF_Bear!$B$47</f>
        <v>43.3428420814399</v>
      </c>
    </row>
    <row r="5" customFormat="false" ht="15" hidden="false" customHeight="false" outlineLevel="0" collapsed="false">
      <c r="A5" s="0" t="s">
        <v>180</v>
      </c>
      <c r="B5" s="4" t="n">
        <f aca="false">DCF_Base!$B$38</f>
        <v>125.197240185239</v>
      </c>
      <c r="C5" s="0" t="n">
        <f aca="false">B5/Assumptions!$B$2-1</f>
        <v>-0.398495050517731</v>
      </c>
      <c r="D5" s="4" t="n">
        <f aca="false">Assumptions!$B$38</f>
        <v>0.5</v>
      </c>
      <c r="E5" s="4" t="n">
        <f aca="false">DCF_Base!$B$43</f>
        <v>141.485376476225</v>
      </c>
      <c r="F5" s="4" t="n">
        <f aca="false">DCF_Base!$B$47</f>
        <v>80.0503038941529</v>
      </c>
    </row>
    <row r="6" customFormat="false" ht="15" hidden="false" customHeight="false" outlineLevel="0" collapsed="false">
      <c r="A6" s="0" t="s">
        <v>181</v>
      </c>
      <c r="B6" s="4" t="n">
        <f aca="false">DCF_Bull!$B$38</f>
        <v>180.383362296912</v>
      </c>
      <c r="C6" s="0" t="n">
        <f aca="false">B6/Assumptions!$B$2-1</f>
        <v>-0.13335561498553</v>
      </c>
      <c r="D6" s="4" t="n">
        <f aca="false">Assumptions!$B$52</f>
        <v>0.25</v>
      </c>
      <c r="E6" s="4" t="n">
        <f aca="false">DCF_Bull!$B$43</f>
        <v>200.646255375186</v>
      </c>
      <c r="F6" s="4" t="n">
        <f aca="false">DCF_Bull!$B$47</f>
        <v>115.556724321277</v>
      </c>
    </row>
    <row r="8" customFormat="false" ht="15" hidden="false" customHeight="false" outlineLevel="0" collapsed="false">
      <c r="A8" s="0" t="s">
        <v>182</v>
      </c>
      <c r="B8" s="0" t="n">
        <f aca="false">SUMPRODUCT(B4:B6,D4:D6)</f>
        <v>124.774150068589</v>
      </c>
    </row>
    <row r="9" customFormat="false" ht="15" hidden="false" customHeight="false" outlineLevel="0" collapsed="false">
      <c r="A9" s="0" t="s">
        <v>183</v>
      </c>
      <c r="B9" s="0" t="n">
        <f aca="false">SUMPRODUCT(E4:E6,D4:D6)</f>
        <v>141.077656108732</v>
      </c>
    </row>
    <row r="10" customFormat="false" ht="15" hidden="false" customHeight="false" outlineLevel="0" collapsed="false">
      <c r="A10" s="0" t="s">
        <v>184</v>
      </c>
      <c r="B10" s="0" t="n">
        <f aca="false">1-Assumptions!$B$2/B8</f>
        <v>-0.668133983566186</v>
      </c>
    </row>
    <row r="11" customFormat="false" ht="15" hidden="false" customHeight="false" outlineLevel="0" collapsed="false">
      <c r="A11" s="0" t="s">
        <v>185</v>
      </c>
      <c r="B11" s="0" t="n">
        <f aca="false">IF(ABS(B9-B8)&gt;0.01*ABS(B8),(Assumptions!$B$2-B8)/(B9-B8)*100,"n/a")</f>
        <v>511.33694633624</v>
      </c>
    </row>
    <row r="12" customFormat="false" ht="15" hidden="false" customHeight="false" outlineLevel="0" collapsed="false">
      <c r="A12" s="0" t="s">
        <v>186</v>
      </c>
      <c r="B12" s="0" t="n">
        <f aca="false">SUMPRODUCT(F4:F6,D4:D6)</f>
        <v>79.7500435477557</v>
      </c>
    </row>
    <row r="14" customFormat="false" ht="15" hidden="false" customHeight="false" outlineLevel="0" collapsed="false">
      <c r="A14" s="2" t="s">
        <v>187</v>
      </c>
      <c r="C14" s="0" t="s">
        <v>188</v>
      </c>
    </row>
    <row r="15" customFormat="false" ht="15" hidden="false" customHeight="false" outlineLevel="0" collapsed="false">
      <c r="A15" s="0" t="s">
        <v>189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174.273580157643</v>
      </c>
      <c r="C15" s="3" t="n">
        <v>9</v>
      </c>
    </row>
    <row r="16" customFormat="false" ht="15" hidden="false" customHeight="false" outlineLevel="0" collapsed="false">
      <c r="A16" s="0" t="s">
        <v>190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158.637891769359</v>
      </c>
      <c r="C16" s="3" t="n">
        <v>10</v>
      </c>
    </row>
    <row r="17" customFormat="false" ht="15" hidden="false" customHeight="false" outlineLevel="0" collapsed="false">
      <c r="A17" s="0" t="s">
        <v>191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134.933806827987</v>
      </c>
      <c r="C17" s="3" t="n">
        <v>11</v>
      </c>
    </row>
    <row r="18" customFormat="false" ht="15" hidden="false" customHeight="false" outlineLevel="0" collapsed="false">
      <c r="A18" s="0" t="s">
        <v>192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125.197240185239</v>
      </c>
      <c r="C18" s="3" t="n">
        <v>11.5</v>
      </c>
    </row>
    <row r="19" customFormat="false" ht="15" hidden="false" customHeight="false" outlineLevel="0" collapsed="false">
      <c r="A19" s="0" t="s">
        <v>193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116.557064463118</v>
      </c>
      <c r="C19" s="3" t="n">
        <v>12</v>
      </c>
    </row>
    <row r="20" customFormat="false" ht="15" hidden="false" customHeight="false" outlineLevel="0" collapsed="false">
      <c r="A20" s="0" t="s">
        <v>194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80.0503038941529</v>
      </c>
      <c r="C20" s="3" t="n">
        <v>15</v>
      </c>
    </row>
    <row r="22" customFormat="false" ht="15" hidden="false" customHeight="false" outlineLevel="0" collapsed="false">
      <c r="A22" s="2" t="s">
        <v>195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157.348806007984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164.734965277527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167.264471876686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167.264471876686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167.264471876686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134.776799627852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140.031350842095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145.986508884903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152.79240379097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154.178219495825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117.036703858212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120.890290457086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125.197240185239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130.042558629412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135.533919532807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102.74374623813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105.639376075754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108.839809054181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112.395845696877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116.370239591656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90.9950934615426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93.214576165178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95.6454381739215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98.3193863835393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101.274802825749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2026-09-28T08:56:09Z</dcterms:created>
  <dc:creator>openpyxl</dc:creator>
  <dc:description/>
  <dc:language>en-NZ</dc:language>
  <cp:lastModifiedBy/>
  <dcterms:modified xsi:type="dcterms:W3CDTF">2026-09-28T08:56:09Z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