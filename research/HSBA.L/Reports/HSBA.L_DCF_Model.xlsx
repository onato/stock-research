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<sst xmlns="http://schemas.openxmlformats.org/spreadsheetml/2006/main" count="366" uniqueCount="169">
  <si>
    <t xml:space="preserve">Ticker</t>
  </si>
  <si>
    <t xml:space="preserve">HSBA.L</t>
  </si>
  <si>
    <t xml:space="preserve">Company</t>
  </si>
  <si>
    <t xml:space="preserve">HSBC Holdings plc</t>
  </si>
  <si>
    <t xml:space="preserve">Valuation date</t>
  </si>
  <si>
    <t xml:space="preserve">2026-10-10</t>
  </si>
  <si>
    <t xml:space="preserve">Current price</t>
  </si>
  <si>
    <t xml:space="preserve">Price as of</t>
  </si>
  <si>
    <t xml:space="preserve">2026-10-09T15:49:18Z LSE regular close (Yahoo Finance chart API; 2026-10-10 is a Saturday, no later print)</t>
  </si>
  <si>
    <t xml:space="preserve">Balance sheet date</t>
  </si>
  <si>
    <t xml:space="preserve">2026-06-30</t>
  </si>
  <si>
    <t xml:space="preserve">Model</t>
  </si>
  <si>
    <t xml:space="preserve">Bank FCFE at cost of equity (engine route): NI to ordinary shareholders less CET1 and associate retention, net debt zero, per ordinary share, USD flows bridged to a GBp quote</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</si>
  <si>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</si>
  <si>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</si>
  <si>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</si>
  <si>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</si>
  <si>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</si>
  <si>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</si>
  <si>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</si>
  <si>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</si>
  <si>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</si>
  <si>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2026-10-09T23:32:40Z</t>
  </si>
  <si>
    <t xml:space="preserve">Drivers file</t>
  </si>
  <si>
    <t xml:space="preserve">HSBA.L_Drivers.json</t>
  </si>
  <si>
    <t xml:space="preserve">Convention</t>
  </si>
  <si>
    <t xml:space="preserve">Percents stored as percents; formulas divide by 100. Blue = input, green = link, black = formula.</t>
  </si>
  <si>
    <t xml:space="preserve">Methodology</t>
  </si>
  <si>
    <t xml:space="preserve">summary: HSBC is valued as the cash its ordinary shareholders can actually take out: NI to ordinary (after AT1 coupons and the now-small NCI) less the CET1 needed to keep the ratio at ~14.1% as the balance sheet grows, less undistributed associate (BoCom/SAB) earnings, discounted at a 10.5% USD cost of equity. Deposits are funding, not debt, so net debt is zero and nothing is deducted after the flows. Value is computed per ordinary share in USD and bridged to pence sterling at spot GBPUSD so it is comparable to the LSE quote; the USD siblings are kept alongside.
key_risks_to_valuation: Hong Kong/mainland China CRE: $6.3bn stage-3 HK CRE at end-2025; a deeper cycle is the main driver of the bear case; Rate sensitivity: banking NII guidance is conditioned on mid-July 2026 market rates; the structural hedge tailwind reverses in a fast cutting cycle; US-China geopolitical/sanctions risk to the cross-border model; Notable items recur nearly every period (BoCom impairment/dilution, disposal losses on exits, litigation): the model's underlying margin assumes they average small; BoCom carrying value: the 2.0%-of-revenue associate retention charge is a judgment; full retention would lower value ~3%; FX: a GBp holder's value moves one-for-one with GBPUSD; a 5% stronger pound takes ~5% off every GBp figure here with no change in the USD business; Share count after 29-Sep-2026 relies on the TVR announcement read in the ADR build; a new buy-back announced with 3Q26 results (late Oct 2026) would lower it further (value-neutral per share under this method)</t>
  </si>
  <si>
    <t xml:space="preserve">Data sources</t>
  </si>
  <si>
    <t xml:space="preserve">price: Yahoo Finance chart API at inputs.price_as_of; 52-week range 959.3-1,610.0p; parity cross-checked against the NYSE HSBC ADS (5:1) at GBPUSD=X
financials: HSBC Holdings Annual Reports FY2014-FY2025 and Interim Reports H1-2015 to H1-2026 (research/HSBA.L/Extracted), HSBA.L_Metrics.csv and kpis (incl. IFRS 17 restated FY2022 comparatives); 2026 Interim Report (HSBA.L_Quarterly_Q2-2026.txt) for 1H26 flows, capital and share counts; Total Voting Rights 2026-09-30 for the post-buy-back issued count
qualitative: HSBA.L_Analysis.json (2026-10-10)</t>
  </si>
  <si>
    <t xml:space="preserve">Scenario narrative: bear</t>
  </si>
  <si>
    <t xml:space="preserve">The two concentrations bite together. Faster rate cuts across USD/HKD and GBP compress banking NII as the hedge rolls off, while a mainland China slowdown and tariff-driven trade contraction push Hong Kong CRE, mainland-linked corporate and trade exposures into a credit cycle: ECL near 1% of loans in year 2 and revenue down 2%. US-China sanctions friction raises compliance costs and constrains the cross-border model, and legacy litigation (Madoff/Herald appeals) recurs. Returns recover only to ~13% RoTE, roughly the pre-2022 franchise economics plus the simplification savings.</t>
  </si>
  <si>
    <t xml:space="preserve">Scenario narrative: base</t>
  </si>
  <si>
    <t xml:space="preserve">HSBC delivers the bottom of its 17%+ RoTE target through 2028. Banking NII holds around $46bn as the structural hedge reinvests at higher yields while policy rates drift lower; wealth fees in Hong Kong and IWPB grow high single digits; the $1.8-2.0bn of simplification saves and Hang Seng synergies keep cost growth near 1-2%. ECL runs ~45bp in 2026 with Hong Kong CRE still bleeding, then normalises to 30-40bp. CET1 is held at ~14% and roughly 70-80% of earnings go out as the 50% dividend plus quarterly buy-backs. After 2028 returns fade to ~16% as the rate tailwind is competed away and trade-finance share continues to leak to Standard Chartered and Citi.</t>
  </si>
  <si>
    <t xml:space="preserve">Scenario narrative: bull</t>
  </si>
  <si>
    <t xml:space="preserve">The 19% RoTE (ex notables) printed in 1H26 is the new normal rather than a peak. Hong Kong's super-connector role and cross-border wealth flows drive Asia wealth and insurance growth; wholly-owned Hang Seng delivers the full $0.9bn synergy opportunity; UK ring-fencing reform ('Growth Allowance') frees capital and lending capacity; HK CRE losses are cleared through portfolio sales and ECL drops to ~30bp. Revenue grows 6-7% for three years and RoTE settles near 19%.</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</si>
  <si>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</si>
  <si>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</si>
  <si>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</si>
  <si>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</si>
  <si>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</si>
  <si>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</si>
  <si>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</si>
  <si>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</si>
  <si>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</si>
  <si>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</si>
  <si>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</si>
  <si>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</si>
  <si>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</si>
  <si>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</si>
  <si>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</si>
  <si>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</si>
  <si>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</si>
  <si>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</si>
  <si>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</si>
  <si>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</si>
  <si>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</si>
  <si>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</si>
  <si>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</si>
  <si>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</si>
  <si>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</si>
  <si>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</si>
  <si>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</si>
  <si>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</si>
  <si>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</si>
  <si>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</si>
  <si>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</si>
  <si>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</si>
  <si>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</si>
  <si>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</si>
  <si>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</si>
  <si>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</si>
  <si>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</si>
  <si>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</si>
  <si>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</si>
  <si>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</si>
  <si>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</si>
  <si>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</si>
  <si>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</si>
  <si>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</si>
  <si>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</si>
  <si>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</si>
  <si>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</si>
  <si>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</si>
  <si>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</si>
  <si>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</si>
  <si>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</si>
  <si>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</si>
  <si>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</si>
  <si>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</si>
  <si>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</si>
  <si>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</si>
  <si>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</si>
  <si>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</si>
  <si>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</si>
  <si>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</si>
  <si>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</si>
  <si>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</si>
  <si>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</si>
  <si>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</si>
  <si>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</si>
  <si>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</si>
  <si>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</si>
  <si>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</si>
  <si>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</si>
  <si>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</si>
  <si>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</si>
  <si>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</si>
  <si>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</si>
  <si>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</si>
  <si>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</si>
  <si>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</si>
  <si>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</si>
  <si>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HSBA.L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</si>
  <si>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</si>
  <si>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</si>
  <si>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</si>
  <si>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</si>
  <si>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</si>
  <si>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</si>
  <si>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</si>
  <si>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</si>
  <si>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</si>
  <si>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</si>
  <si>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</si>
  <si>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</si>
  <si>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</si>
  <si>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</si>
  <si>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</si>
  <si>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</si>
  <si>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</si>
  <si>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</si>
  <si>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</si>
  <si>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</si>
  <si>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</si>
  <si>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</si>
  <si>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</si>
  <si>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</si>
  <si>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</si>
  <si>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</si>
  <si>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</si>
  <si>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</si>
  <si>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</si>
  <si>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</si>
  <si>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HSBA.L owner-FCF component DCF: base case (millions, USD)</t>
  </si>
  <si>
    <t xml:space="preserve">HSBA.L owner-FCF component DCF: bull case (millions, USD)</t>
  </si>
  <si>
    <t xml:space="preserve">HSBA.L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</si>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</sst>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1395.8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61248</v>
      </c>
      <c r="F2" s="0" t="n">
        <v>16148</v>
      </c>
      <c r="G2" s="0" t="n">
        <v>26.4</v>
      </c>
      <c r="I2" s="0" t="n">
        <v>13115</v>
      </c>
      <c r="J2" s="0" t="n">
        <v>21.4</v>
      </c>
      <c r="K2" s="0" t="n">
        <v>0.69</v>
      </c>
      <c r="L2" s="0" t="n">
        <v>-21372</v>
      </c>
      <c r="M2" s="0" t="n">
        <v>2380</v>
      </c>
      <c r="O2" s="0" t="n">
        <v>190447</v>
      </c>
      <c r="P2" s="0" t="n">
        <v>2634139</v>
      </c>
      <c r="Q2" s="0" t="n">
        <v>2434161</v>
      </c>
      <c r="S2" s="0" t="n">
        <v>301301</v>
      </c>
      <c r="T2" s="0" t="n">
        <v>19218</v>
      </c>
      <c r="U2" s="0" t="n">
        <v>732</v>
      </c>
      <c r="AA2" s="0" t="s">
        <v>18</v>
      </c>
      <c r="AB2" s="0" t="s">
        <v>14</v>
      </c>
    </row>
    <row r="3" customFormat="false" ht="15" hidden="false" customHeight="false" outlineLevel="0" collapsed="false">
      <c r="A3" s="0" t="s">
        <v>65</v>
      </c>
      <c r="B3" s="0" t="n">
        <v>59800</v>
      </c>
      <c r="F3" s="0" t="n">
        <v>16311</v>
      </c>
      <c r="G3" s="0" t="n">
        <v>27.3</v>
      </c>
      <c r="I3" s="0" t="n">
        <v>12572</v>
      </c>
      <c r="J3" s="0" t="n">
        <v>21</v>
      </c>
      <c r="K3" s="0" t="n">
        <v>0.65</v>
      </c>
      <c r="L3" s="0" t="n">
        <v>-1122</v>
      </c>
      <c r="M3" s="0" t="n">
        <v>2306</v>
      </c>
      <c r="O3" s="0" t="n">
        <v>188460</v>
      </c>
      <c r="P3" s="0" t="n">
        <v>2409656</v>
      </c>
      <c r="Q3" s="0" t="n">
        <v>2212138</v>
      </c>
      <c r="S3" s="0" t="n">
        <v>243863</v>
      </c>
      <c r="T3" s="0" t="n">
        <v>19685</v>
      </c>
      <c r="U3" s="0" t="n">
        <v>757</v>
      </c>
      <c r="AA3" s="0" t="s">
        <v>18</v>
      </c>
      <c r="AB3" s="0" t="s">
        <v>14</v>
      </c>
    </row>
    <row r="4" customFormat="false" ht="15" hidden="false" customHeight="false" outlineLevel="0" collapsed="false">
      <c r="A4" s="0" t="s">
        <v>66</v>
      </c>
      <c r="B4" s="0" t="n">
        <v>47966</v>
      </c>
      <c r="F4" s="0" t="n">
        <v>4758</v>
      </c>
      <c r="G4" s="0" t="n">
        <v>9.9</v>
      </c>
      <c r="I4" s="0" t="n">
        <v>1299</v>
      </c>
      <c r="J4" s="0" t="n">
        <v>2.7</v>
      </c>
      <c r="K4" s="0" t="n">
        <v>0.07</v>
      </c>
      <c r="L4" s="0" t="n">
        <v>68959</v>
      </c>
      <c r="M4" s="0" t="n">
        <v>2057</v>
      </c>
      <c r="O4" s="0" t="n">
        <v>175386</v>
      </c>
      <c r="P4" s="0" t="n">
        <v>2374986</v>
      </c>
      <c r="Q4" s="0" t="n">
        <v>2192408</v>
      </c>
      <c r="S4" s="0" t="n">
        <v>274550</v>
      </c>
      <c r="T4" s="0" t="n">
        <v>20192</v>
      </c>
      <c r="U4" s="0" t="n">
        <v>534</v>
      </c>
      <c r="AA4" s="0" t="s">
        <v>18</v>
      </c>
      <c r="AB4" s="0" t="s">
        <v>14</v>
      </c>
    </row>
    <row r="5" customFormat="false" ht="15" hidden="false" customHeight="false" outlineLevel="0" collapsed="false">
      <c r="A5" s="0" t="s">
        <v>67</v>
      </c>
      <c r="B5" s="0" t="n">
        <v>51445</v>
      </c>
      <c r="F5" s="0" t="n">
        <v>14792</v>
      </c>
      <c r="G5" s="0" t="n">
        <v>28.8</v>
      </c>
      <c r="I5" s="0" t="n">
        <v>9683</v>
      </c>
      <c r="J5" s="0" t="n">
        <v>18.8</v>
      </c>
      <c r="K5" s="0" t="n">
        <v>0.48</v>
      </c>
      <c r="L5" s="0" t="n">
        <v>-10478</v>
      </c>
      <c r="M5" s="0" t="n">
        <v>2452</v>
      </c>
      <c r="O5" s="0" t="n">
        <v>190250</v>
      </c>
      <c r="P5" s="0" t="n">
        <v>2521771</v>
      </c>
      <c r="Q5" s="0" t="n">
        <v>2323900</v>
      </c>
      <c r="S5" s="0" t="n">
        <v>337412</v>
      </c>
      <c r="T5" s="0" t="n">
        <v>20321</v>
      </c>
      <c r="U5" s="0" t="n">
        <v>500</v>
      </c>
      <c r="AA5" s="0" t="s">
        <v>18</v>
      </c>
      <c r="AB5" s="0" t="s">
        <v>14</v>
      </c>
    </row>
    <row r="6" customFormat="false" ht="15" hidden="false" customHeight="false" outlineLevel="0" collapsed="false">
      <c r="A6" s="0" t="s">
        <v>68</v>
      </c>
      <c r="B6" s="0" t="n">
        <v>53780</v>
      </c>
      <c r="F6" s="0" t="n">
        <v>17354</v>
      </c>
      <c r="G6" s="0" t="n">
        <v>32.3</v>
      </c>
      <c r="I6" s="0" t="n">
        <v>12608</v>
      </c>
      <c r="J6" s="0" t="n">
        <v>23.4</v>
      </c>
      <c r="K6" s="0" t="n">
        <v>0.63</v>
      </c>
      <c r="L6" s="0" t="n">
        <v>6469</v>
      </c>
      <c r="M6" s="0" t="n">
        <v>3044</v>
      </c>
      <c r="O6" s="0" t="n">
        <v>186253</v>
      </c>
      <c r="P6" s="0" t="n">
        <v>2558124</v>
      </c>
      <c r="Q6" s="0" t="n">
        <v>2363875</v>
      </c>
      <c r="S6" s="0" t="n">
        <v>301082</v>
      </c>
      <c r="T6" s="0" t="n">
        <v>20361</v>
      </c>
      <c r="U6" s="0" t="n">
        <v>450</v>
      </c>
      <c r="AA6" s="0" t="s">
        <v>18</v>
      </c>
      <c r="AB6" s="0" t="s">
        <v>14</v>
      </c>
    </row>
    <row r="7" customFormat="false" ht="15" hidden="false" customHeight="false" outlineLevel="0" collapsed="false">
      <c r="A7" s="0" t="s">
        <v>69</v>
      </c>
      <c r="B7" s="0" t="n">
        <v>56098</v>
      </c>
      <c r="F7" s="0" t="n">
        <v>10993</v>
      </c>
      <c r="G7" s="0" t="n">
        <v>19.6</v>
      </c>
      <c r="I7" s="0" t="n">
        <v>5969</v>
      </c>
      <c r="J7" s="0" t="n">
        <v>10.6</v>
      </c>
      <c r="K7" s="0" t="n">
        <v>0.3</v>
      </c>
      <c r="L7" s="0" t="n">
        <v>29743</v>
      </c>
      <c r="M7" s="0" t="n">
        <v>3632</v>
      </c>
      <c r="O7" s="0" t="n">
        <v>183955</v>
      </c>
      <c r="P7" s="0" t="n">
        <v>2715152</v>
      </c>
      <c r="Q7" s="0" t="n">
        <v>2522484</v>
      </c>
      <c r="S7" s="0" t="n">
        <v>293742</v>
      </c>
      <c r="T7" s="0" t="n">
        <v>20639</v>
      </c>
      <c r="U7" s="0" t="n">
        <v>478</v>
      </c>
      <c r="AA7" s="0" t="s">
        <v>18</v>
      </c>
      <c r="AB7" s="0" t="s">
        <v>14</v>
      </c>
    </row>
    <row r="8" customFormat="false" ht="15" hidden="false" customHeight="false" outlineLevel="0" collapsed="false">
      <c r="A8" s="0" t="s">
        <v>70</v>
      </c>
      <c r="B8" s="0" t="n">
        <v>50429</v>
      </c>
      <c r="F8" s="0" t="n">
        <v>7180</v>
      </c>
      <c r="G8" s="0" t="n">
        <v>14.2</v>
      </c>
      <c r="I8" s="0" t="n">
        <v>3898</v>
      </c>
      <c r="J8" s="0" t="n">
        <v>7.7</v>
      </c>
      <c r="K8" s="0" t="n">
        <v>0.19</v>
      </c>
      <c r="L8" s="0" t="n">
        <v>182220</v>
      </c>
      <c r="M8" s="0" t="n">
        <v>3510</v>
      </c>
      <c r="O8" s="0" t="n">
        <v>196443</v>
      </c>
      <c r="P8" s="0" t="n">
        <v>2984164</v>
      </c>
      <c r="Q8" s="0" t="n">
        <v>2779169</v>
      </c>
      <c r="S8" s="0" t="n">
        <v>468323</v>
      </c>
      <c r="T8" s="0" t="n">
        <v>20694</v>
      </c>
      <c r="U8" s="0" t="n">
        <v>433</v>
      </c>
      <c r="AA8" s="0" t="s">
        <v>18</v>
      </c>
      <c r="AB8" s="0" t="s">
        <v>14</v>
      </c>
    </row>
    <row r="9" customFormat="false" ht="15" hidden="false" customHeight="false" outlineLevel="0" collapsed="false">
      <c r="A9" s="0" t="s">
        <v>71</v>
      </c>
      <c r="B9" s="0" t="n">
        <v>49552</v>
      </c>
      <c r="F9" s="0" t="n">
        <v>15860</v>
      </c>
      <c r="G9" s="0" t="n">
        <v>32</v>
      </c>
      <c r="I9" s="0" t="n">
        <v>12607</v>
      </c>
      <c r="J9" s="0" t="n">
        <v>25.4</v>
      </c>
      <c r="K9" s="0" t="n">
        <v>0.62</v>
      </c>
      <c r="L9" s="0" t="n">
        <v>104312</v>
      </c>
      <c r="M9" s="0" t="n">
        <v>3565</v>
      </c>
      <c r="O9" s="0" t="n">
        <v>198250</v>
      </c>
      <c r="P9" s="0" t="n">
        <v>2957939</v>
      </c>
      <c r="Q9" s="0" t="n">
        <v>2751162</v>
      </c>
      <c r="S9" s="0" t="n">
        <v>574032</v>
      </c>
      <c r="T9" s="0" t="n">
        <v>20632</v>
      </c>
      <c r="U9" s="0" t="n">
        <v>467</v>
      </c>
      <c r="AA9" s="0" t="s">
        <v>18</v>
      </c>
      <c r="AB9" s="0" t="s">
        <v>14</v>
      </c>
    </row>
    <row r="10" customFormat="false" ht="15" hidden="false" customHeight="false" outlineLevel="0" collapsed="false">
      <c r="A10" s="0" t="s">
        <v>72</v>
      </c>
      <c r="B10" s="0" t="n">
        <v>51727</v>
      </c>
      <c r="F10" s="0" t="n">
        <v>14805</v>
      </c>
      <c r="G10" s="0" t="n">
        <v>28.6</v>
      </c>
      <c r="I10" s="0" t="n">
        <v>14822</v>
      </c>
      <c r="J10" s="0" t="n">
        <v>28.7</v>
      </c>
      <c r="K10" s="0" t="n">
        <v>0.75</v>
      </c>
      <c r="L10" s="0" t="n">
        <v>26434</v>
      </c>
      <c r="M10" s="0" t="n">
        <v>4410</v>
      </c>
      <c r="O10" s="0" t="n">
        <v>187484</v>
      </c>
      <c r="P10" s="0" t="n">
        <v>2966530</v>
      </c>
      <c r="Q10" s="0" t="n">
        <v>2770502</v>
      </c>
      <c r="S10" s="0" t="n">
        <v>521671</v>
      </c>
      <c r="T10" s="0" t="n">
        <v>20294</v>
      </c>
      <c r="U10" s="0" t="n">
        <v>400</v>
      </c>
      <c r="AA10" s="0" t="s">
        <v>18</v>
      </c>
      <c r="AB10" s="0" t="s">
        <v>14</v>
      </c>
    </row>
    <row r="11" customFormat="false" ht="15" hidden="false" customHeight="false" outlineLevel="0" collapsed="false">
      <c r="A11" s="0" t="s">
        <v>73</v>
      </c>
      <c r="B11" s="0" t="n">
        <v>66058</v>
      </c>
      <c r="F11" s="0" t="n">
        <v>30541</v>
      </c>
      <c r="G11" s="0" t="n">
        <v>46.2</v>
      </c>
      <c r="I11" s="0" t="n">
        <v>22432</v>
      </c>
      <c r="J11" s="0" t="n">
        <v>34</v>
      </c>
      <c r="K11" s="0" t="n">
        <v>1.15</v>
      </c>
      <c r="L11" s="0" t="n">
        <v>39111</v>
      </c>
      <c r="M11" s="0" t="n">
        <v>3695</v>
      </c>
      <c r="O11" s="0" t="n">
        <v>185329</v>
      </c>
      <c r="P11" s="0" t="n">
        <v>3038677</v>
      </c>
      <c r="Q11" s="0" t="n">
        <v>2846067</v>
      </c>
      <c r="S11" s="0" t="n">
        <v>490933</v>
      </c>
      <c r="T11" s="0" t="n">
        <v>19263</v>
      </c>
      <c r="U11" s="0" t="n">
        <v>482</v>
      </c>
      <c r="AA11" s="0" t="s">
        <v>18</v>
      </c>
      <c r="AB11" s="0" t="s">
        <v>14</v>
      </c>
    </row>
    <row r="12" customFormat="false" ht="15" hidden="false" customHeight="false" outlineLevel="0" collapsed="false">
      <c r="A12" s="0" t="s">
        <v>74</v>
      </c>
      <c r="B12" s="0" t="n">
        <v>65854</v>
      </c>
      <c r="F12" s="0" t="n">
        <v>29397</v>
      </c>
      <c r="G12" s="0" t="n">
        <v>44.6</v>
      </c>
      <c r="I12" s="0" t="n">
        <v>22917</v>
      </c>
      <c r="J12" s="0" t="n">
        <v>34.8</v>
      </c>
      <c r="K12" s="0" t="n">
        <v>1.25</v>
      </c>
      <c r="L12" s="0" t="n">
        <v>65305</v>
      </c>
      <c r="M12" s="0" t="n">
        <v>3886</v>
      </c>
      <c r="O12" s="0" t="n">
        <v>184973</v>
      </c>
      <c r="P12" s="0" t="n">
        <v>3017048</v>
      </c>
      <c r="Q12" s="0" t="n">
        <v>2824775</v>
      </c>
      <c r="S12" s="0" t="n">
        <v>434940</v>
      </c>
      <c r="T12" s="0" t="n">
        <v>17947</v>
      </c>
      <c r="U12" s="0" t="n">
        <v>529</v>
      </c>
      <c r="AA12" s="0" t="s">
        <v>18</v>
      </c>
      <c r="AB12" s="0" t="s">
        <v>14</v>
      </c>
    </row>
    <row r="13" customFormat="false" ht="15" hidden="false" customHeight="false" outlineLevel="0" collapsed="false">
      <c r="A13" s="0" t="s">
        <v>75</v>
      </c>
      <c r="B13" s="0" t="n">
        <v>68274</v>
      </c>
      <c r="F13" s="0" t="n">
        <v>27996</v>
      </c>
      <c r="G13" s="0" t="n">
        <v>41</v>
      </c>
      <c r="I13" s="0" t="n">
        <v>21102</v>
      </c>
      <c r="J13" s="0" t="n">
        <v>30.9</v>
      </c>
      <c r="K13" s="0" t="n">
        <v>1.21</v>
      </c>
      <c r="L13" s="0" t="n">
        <v>29766</v>
      </c>
      <c r="M13" s="0" t="n">
        <v>4661</v>
      </c>
      <c r="O13" s="0" t="n">
        <v>198225</v>
      </c>
      <c r="P13" s="0" t="n">
        <v>3233034</v>
      </c>
      <c r="Q13" s="0" t="n">
        <v>3027368</v>
      </c>
      <c r="S13" s="0" t="n">
        <v>432887</v>
      </c>
      <c r="T13" s="0" t="n">
        <v>17175</v>
      </c>
      <c r="U13" s="0" t="n">
        <v>621</v>
      </c>
      <c r="AA13" s="0" t="s">
        <v>18</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1395.8</v>
      </c>
    </row>
    <row r="3" customFormat="false" ht="15" hidden="false" customHeight="false" outlineLevel="0" collapsed="false">
      <c r="A3" s="0" t="s">
        <v>79</v>
      </c>
      <c r="B3" s="3" t="n">
        <v>17241</v>
      </c>
    </row>
    <row r="4" customFormat="false" ht="15" hidden="false" customHeight="false" outlineLevel="0" collapsed="false">
      <c r="A4" s="0" t="s">
        <v>80</v>
      </c>
      <c r="B4" s="3" t="n">
        <v>0</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71894</v>
      </c>
    </row>
    <row r="8" customFormat="false" ht="15" hidden="false" customHeight="false" outlineLevel="0" collapsed="false">
      <c r="A8" s="0" t="s">
        <v>84</v>
      </c>
      <c r="B8" s="3" t="s">
        <v>85</v>
      </c>
    </row>
    <row r="9" customFormat="false" ht="15" hidden="false" customHeight="false" outlineLevel="0" collapsed="false">
      <c r="A9" s="0" t="s">
        <v>86</v>
      </c>
      <c r="B9" s="3" t="s">
        <v>87</v>
      </c>
    </row>
    <row r="10" customFormat="false" ht="15" hidden="false" customHeight="false" outlineLevel="0" collapsed="false">
      <c r="A10" s="0" t="s">
        <v>88</v>
      </c>
      <c r="B10" s="3" t="n">
        <v>75.5687</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1</v>
      </c>
      <c r="D13" s="3" t="n">
        <v>-2</v>
      </c>
      <c r="E13" s="3" t="n">
        <v>1</v>
      </c>
      <c r="F13" s="3" t="n">
        <v>2.5</v>
      </c>
      <c r="G13" s="3" t="n">
        <v>3</v>
      </c>
      <c r="H13" s="3" t="n">
        <v>3</v>
      </c>
      <c r="I13" s="3" t="n">
        <v>3</v>
      </c>
      <c r="J13" s="3" t="n">
        <v>2.5</v>
      </c>
      <c r="K13" s="3" t="n">
        <v>2.5</v>
      </c>
      <c r="L13" s="3" t="n">
        <v>2.5</v>
      </c>
    </row>
    <row r="14" customFormat="false" ht="15" hidden="false" customHeight="false" outlineLevel="0" collapsed="false">
      <c r="A14" s="0" t="s">
        <v>101</v>
      </c>
      <c r="C14" s="3" t="n">
        <v>45</v>
      </c>
      <c r="D14" s="3" t="n">
        <v>39</v>
      </c>
      <c r="E14" s="3" t="n">
        <v>41</v>
      </c>
      <c r="F14" s="3" t="n">
        <v>42</v>
      </c>
      <c r="G14" s="3" t="n">
        <v>42</v>
      </c>
      <c r="H14" s="3" t="n">
        <v>42</v>
      </c>
      <c r="I14" s="3" t="n">
        <v>42</v>
      </c>
      <c r="J14" s="3" t="n">
        <v>42</v>
      </c>
      <c r="K14" s="3" t="n">
        <v>42</v>
      </c>
      <c r="L14" s="3" t="n">
        <v>42</v>
      </c>
    </row>
    <row r="15" customFormat="false" ht="15" hidden="false" customHeight="false" outlineLevel="0" collapsed="false">
      <c r="A15" s="0" t="s">
        <v>102</v>
      </c>
      <c r="C15" s="3" t="n">
        <v>0.87</v>
      </c>
      <c r="D15" s="3" t="n">
        <v>0.87</v>
      </c>
      <c r="E15" s="3" t="n">
        <v>0.87</v>
      </c>
      <c r="F15" s="3" t="n">
        <v>0.87</v>
      </c>
      <c r="G15" s="3" t="n">
        <v>0.87</v>
      </c>
      <c r="H15" s="3" t="n">
        <v>0.87</v>
      </c>
      <c r="I15" s="3" t="n">
        <v>0.87</v>
      </c>
      <c r="J15" s="3" t="n">
        <v>0.87</v>
      </c>
      <c r="K15" s="3" t="n">
        <v>0.87</v>
      </c>
      <c r="L15" s="3" t="n">
        <v>0.87</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3.76</v>
      </c>
      <c r="D18" s="3" t="n">
        <v>2</v>
      </c>
      <c r="E18" s="3" t="n">
        <v>3.76</v>
      </c>
      <c r="F18" s="3" t="n">
        <v>6.33</v>
      </c>
      <c r="G18" s="3" t="n">
        <v>7.17</v>
      </c>
      <c r="H18" s="3" t="n">
        <v>7.17</v>
      </c>
      <c r="I18" s="3" t="n">
        <v>7.17</v>
      </c>
      <c r="J18" s="3" t="n">
        <v>6.33</v>
      </c>
      <c r="K18" s="3" t="n">
        <v>6.33</v>
      </c>
      <c r="L18" s="3" t="n">
        <v>6.33</v>
      </c>
    </row>
    <row r="19" customFormat="false" ht="15" hidden="false" customHeight="false" outlineLevel="0" collapsed="false">
      <c r="A19" s="0" t="s">
        <v>106</v>
      </c>
      <c r="C19" s="3" t="n">
        <v>23.5</v>
      </c>
      <c r="D19" s="3" t="n">
        <v>23.5</v>
      </c>
      <c r="E19" s="3" t="n">
        <v>23.5</v>
      </c>
      <c r="F19" s="3" t="n">
        <v>23.5</v>
      </c>
      <c r="G19" s="3" t="n">
        <v>23.5</v>
      </c>
      <c r="H19" s="3" t="n">
        <v>23.5</v>
      </c>
      <c r="I19" s="3" t="n">
        <v>23.5</v>
      </c>
      <c r="J19" s="3" t="n">
        <v>23.5</v>
      </c>
      <c r="K19" s="3" t="n">
        <v>23.5</v>
      </c>
      <c r="L19" s="3" t="n">
        <v>23.5</v>
      </c>
    </row>
    <row r="20" customFormat="false" ht="15" hidden="false" customHeight="false" outlineLevel="0" collapsed="false">
      <c r="A20" s="0" t="s">
        <v>107</v>
      </c>
      <c r="B20" s="3" t="n">
        <v>10.5</v>
      </c>
    </row>
    <row r="21" customFormat="false" ht="15" hidden="false" customHeight="false" outlineLevel="0" collapsed="false">
      <c r="A21" s="0" t="s">
        <v>108</v>
      </c>
      <c r="B21" s="3" t="n">
        <v>2.5</v>
      </c>
    </row>
    <row r="22" customFormat="false" ht="15" hidden="false" customHeight="false" outlineLevel="0" collapsed="false">
      <c r="A22" s="0" t="s">
        <v>109</v>
      </c>
      <c r="B22" s="3" t="n">
        <v>12</v>
      </c>
    </row>
    <row r="23" customFormat="false" ht="15" hidden="false" customHeight="false" outlineLevel="0" collapsed="false">
      <c r="A23" s="0" t="s">
        <v>110</v>
      </c>
      <c r="B23" s="3" t="n">
        <v>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5.5</v>
      </c>
      <c r="D27" s="3" t="n">
        <v>4</v>
      </c>
      <c r="E27" s="3" t="n">
        <v>4.5</v>
      </c>
      <c r="F27" s="3" t="n">
        <v>4.5</v>
      </c>
      <c r="G27" s="3" t="n">
        <v>4</v>
      </c>
      <c r="H27" s="3" t="n">
        <v>3.5</v>
      </c>
      <c r="I27" s="3" t="n">
        <v>3.5</v>
      </c>
      <c r="J27" s="3" t="n">
        <v>3</v>
      </c>
      <c r="K27" s="3" t="n">
        <v>3</v>
      </c>
      <c r="L27" s="3" t="n">
        <v>3</v>
      </c>
    </row>
    <row r="28" customFormat="false" ht="15" hidden="false" customHeight="false" outlineLevel="0" collapsed="false">
      <c r="A28" s="0" t="s">
        <v>101</v>
      </c>
      <c r="C28" s="3" t="n">
        <v>48</v>
      </c>
      <c r="D28" s="3" t="n">
        <v>48.5</v>
      </c>
      <c r="E28" s="3" t="n">
        <v>49</v>
      </c>
      <c r="F28" s="3" t="n">
        <v>48.8</v>
      </c>
      <c r="G28" s="3" t="n">
        <v>48.5</v>
      </c>
      <c r="H28" s="3" t="n">
        <v>48.2</v>
      </c>
      <c r="I28" s="3" t="n">
        <v>48</v>
      </c>
      <c r="J28" s="3" t="n">
        <v>48</v>
      </c>
      <c r="K28" s="3" t="n">
        <v>48</v>
      </c>
      <c r="L28" s="3" t="n">
        <v>48</v>
      </c>
    </row>
    <row r="29" customFormat="false" ht="15" hidden="false" customHeight="false" outlineLevel="0" collapsed="false">
      <c r="A29" s="0" t="s">
        <v>102</v>
      </c>
      <c r="C29" s="3" t="n">
        <v>0.87</v>
      </c>
      <c r="D29" s="3" t="n">
        <v>0.87</v>
      </c>
      <c r="E29" s="3" t="n">
        <v>0.87</v>
      </c>
      <c r="F29" s="3" t="n">
        <v>0.87</v>
      </c>
      <c r="G29" s="3" t="n">
        <v>0.87</v>
      </c>
      <c r="H29" s="3" t="n">
        <v>0.87</v>
      </c>
      <c r="I29" s="3" t="n">
        <v>0.87</v>
      </c>
      <c r="J29" s="3" t="n">
        <v>0.87</v>
      </c>
      <c r="K29" s="3" t="n">
        <v>0.87</v>
      </c>
      <c r="L29" s="3" t="n">
        <v>0.87</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11.26</v>
      </c>
      <c r="D32" s="3" t="n">
        <v>8.83</v>
      </c>
      <c r="E32" s="3" t="n">
        <v>9.65</v>
      </c>
      <c r="F32" s="3" t="n">
        <v>9.65</v>
      </c>
      <c r="G32" s="3" t="n">
        <v>8.83</v>
      </c>
      <c r="H32" s="3" t="n">
        <v>8.01</v>
      </c>
      <c r="I32" s="3" t="n">
        <v>8.01</v>
      </c>
      <c r="J32" s="3" t="n">
        <v>7.17</v>
      </c>
      <c r="K32" s="3" t="n">
        <v>7.17</v>
      </c>
      <c r="L32" s="3" t="n">
        <v>7.17</v>
      </c>
    </row>
    <row r="33" customFormat="false" ht="15" hidden="false" customHeight="false" outlineLevel="0" collapsed="false">
      <c r="A33" s="0" t="s">
        <v>106</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107</v>
      </c>
      <c r="B34" s="3" t="n">
        <v>10.5</v>
      </c>
    </row>
    <row r="35" customFormat="false" ht="15" hidden="false" customHeight="false" outlineLevel="0" collapsed="false">
      <c r="A35" s="0" t="s">
        <v>108</v>
      </c>
      <c r="B35" s="3" t="n">
        <v>3</v>
      </c>
    </row>
    <row r="36" customFormat="false" ht="15" hidden="false" customHeight="false" outlineLevel="0" collapsed="false">
      <c r="A36" s="0" t="s">
        <v>109</v>
      </c>
      <c r="B36" s="3" t="n">
        <v>15</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7</v>
      </c>
      <c r="D41" s="3" t="n">
        <v>6</v>
      </c>
      <c r="E41" s="3" t="n">
        <v>6</v>
      </c>
      <c r="F41" s="3" t="n">
        <v>5.5</v>
      </c>
      <c r="G41" s="3" t="n">
        <v>5</v>
      </c>
      <c r="H41" s="3" t="n">
        <v>4.5</v>
      </c>
      <c r="I41" s="3" t="n">
        <v>4</v>
      </c>
      <c r="J41" s="3" t="n">
        <v>3.5</v>
      </c>
      <c r="K41" s="3" t="n">
        <v>3.5</v>
      </c>
      <c r="L41" s="3" t="n">
        <v>3</v>
      </c>
    </row>
    <row r="42" customFormat="false" ht="15" hidden="false" customHeight="false" outlineLevel="0" collapsed="false">
      <c r="A42" s="0" t="s">
        <v>101</v>
      </c>
      <c r="C42" s="3" t="n">
        <v>49</v>
      </c>
      <c r="D42" s="3" t="n">
        <v>50</v>
      </c>
      <c r="E42" s="3" t="n">
        <v>51</v>
      </c>
      <c r="F42" s="3" t="n">
        <v>51.5</v>
      </c>
      <c r="G42" s="3" t="n">
        <v>51.5</v>
      </c>
      <c r="H42" s="3" t="n">
        <v>51</v>
      </c>
      <c r="I42" s="3" t="n">
        <v>51</v>
      </c>
      <c r="J42" s="3" t="n">
        <v>51</v>
      </c>
      <c r="K42" s="3" t="n">
        <v>51</v>
      </c>
      <c r="L42" s="3" t="n">
        <v>51</v>
      </c>
    </row>
    <row r="43" customFormat="false" ht="15" hidden="false" customHeight="false" outlineLevel="0" collapsed="false">
      <c r="A43" s="0" t="s">
        <v>102</v>
      </c>
      <c r="C43" s="3" t="n">
        <v>0.87</v>
      </c>
      <c r="D43" s="3" t="n">
        <v>0.87</v>
      </c>
      <c r="E43" s="3" t="n">
        <v>0.87</v>
      </c>
      <c r="F43" s="3" t="n">
        <v>0.87</v>
      </c>
      <c r="G43" s="3" t="n">
        <v>0.87</v>
      </c>
      <c r="H43" s="3" t="n">
        <v>0.87</v>
      </c>
      <c r="I43" s="3" t="n">
        <v>0.87</v>
      </c>
      <c r="J43" s="3" t="n">
        <v>0.87</v>
      </c>
      <c r="K43" s="3" t="n">
        <v>0.87</v>
      </c>
      <c r="L43" s="3" t="n">
        <v>0.87</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13.62</v>
      </c>
      <c r="D46" s="3" t="n">
        <v>12.05</v>
      </c>
      <c r="E46" s="3" t="n">
        <v>12.05</v>
      </c>
      <c r="F46" s="3" t="n">
        <v>11.26</v>
      </c>
      <c r="G46" s="3" t="n">
        <v>10.46</v>
      </c>
      <c r="H46" s="3" t="n">
        <v>9.65</v>
      </c>
      <c r="I46" s="3" t="n">
        <v>8.83</v>
      </c>
      <c r="J46" s="3" t="n">
        <v>8.01</v>
      </c>
      <c r="K46" s="3" t="n">
        <v>8.01</v>
      </c>
      <c r="L46" s="3" t="n">
        <v>7.17</v>
      </c>
    </row>
    <row r="47" customFormat="false" ht="15" hidden="false" customHeight="false" outlineLevel="0" collapsed="false">
      <c r="A47" s="0" t="s">
        <v>106</v>
      </c>
      <c r="C47" s="3" t="n">
        <v>22.5</v>
      </c>
      <c r="D47" s="3" t="n">
        <v>22.5</v>
      </c>
      <c r="E47" s="3" t="n">
        <v>22.5</v>
      </c>
      <c r="F47" s="3" t="n">
        <v>22.5</v>
      </c>
      <c r="G47" s="3" t="n">
        <v>22.5</v>
      </c>
      <c r="H47" s="3" t="n">
        <v>22.5</v>
      </c>
      <c r="I47" s="3" t="n">
        <v>22.5</v>
      </c>
      <c r="J47" s="3" t="n">
        <v>22.5</v>
      </c>
      <c r="K47" s="3" t="n">
        <v>22.5</v>
      </c>
      <c r="L47" s="3" t="n">
        <v>22.5</v>
      </c>
    </row>
    <row r="48" customFormat="false" ht="15" hidden="false" customHeight="false" outlineLevel="0" collapsed="false">
      <c r="A48" s="0" t="s">
        <v>107</v>
      </c>
      <c r="B48" s="3" t="n">
        <v>10.5</v>
      </c>
    </row>
    <row r="49" customFormat="false" ht="15" hidden="false" customHeight="false" outlineLevel="0" collapsed="false">
      <c r="A49" s="0" t="s">
        <v>108</v>
      </c>
      <c r="B49" s="3" t="n">
        <v>3</v>
      </c>
    </row>
    <row r="50" customFormat="false" ht="15" hidden="false" customHeight="false" outlineLevel="0" collapsed="false">
      <c r="A50" s="0" t="s">
        <v>109</v>
      </c>
      <c r="B50" s="3" t="n">
        <v>15</v>
      </c>
    </row>
    <row r="51" customFormat="false" ht="15" hidden="false" customHeight="false" outlineLevel="0" collapsed="false">
      <c r="A51" s="0" t="s">
        <v>110</v>
      </c>
      <c r="B51" s="3" t="n">
        <v>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1</v>
      </c>
      <c r="D5" s="4" t="n">
        <f aca="false">Assumptions!D13</f>
        <v>-2</v>
      </c>
      <c r="E5" s="4" t="n">
        <f aca="false">Assumptions!E13</f>
        <v>1</v>
      </c>
      <c r="F5" s="4" t="n">
        <f aca="false">Assumptions!F13</f>
        <v>2.5</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71894</v>
      </c>
      <c r="C6" s="0" t="n">
        <f aca="false">B6*(1+C5/100)</f>
        <v>72612.94</v>
      </c>
      <c r="D6" s="0" t="n">
        <f aca="false">C6*(1+D5/100)</f>
        <v>71160.6812</v>
      </c>
      <c r="E6" s="0" t="n">
        <f aca="false">D6*(1+E5/100)</f>
        <v>71872.288012</v>
      </c>
      <c r="F6" s="0" t="n">
        <f aca="false">E6*(1+F5/100)</f>
        <v>73669.0952123</v>
      </c>
      <c r="G6" s="0" t="n">
        <f aca="false">F6*(1+G5/100)</f>
        <v>75879.168068669</v>
      </c>
      <c r="H6" s="0" t="n">
        <f aca="false">G6*(1+H5/100)</f>
        <v>78155.5431107291</v>
      </c>
      <c r="I6" s="0" t="n">
        <f aca="false">H6*(1+I5/100)</f>
        <v>80500.209404051</v>
      </c>
      <c r="J6" s="0" t="n">
        <f aca="false">I6*(1+J5/100)</f>
        <v>82512.7146391522</v>
      </c>
      <c r="K6" s="0" t="n">
        <f aca="false">J6*(1+K5/100)</f>
        <v>84575.532505131</v>
      </c>
      <c r="L6" s="0" t="n">
        <f aca="false">K6*(1+L5/100)</f>
        <v>86689.9208177593</v>
      </c>
    </row>
    <row r="7" customFormat="false" ht="15" hidden="false" customHeight="false" outlineLevel="0" collapsed="false">
      <c r="A7" s="0" t="s">
        <v>101</v>
      </c>
      <c r="C7" s="4" t="n">
        <f aca="false">Assumptions!C14</f>
        <v>45</v>
      </c>
      <c r="D7" s="4" t="n">
        <f aca="false">Assumptions!D14</f>
        <v>39</v>
      </c>
      <c r="E7" s="4" t="n">
        <f aca="false">Assumptions!E14</f>
        <v>41</v>
      </c>
      <c r="F7" s="4" t="n">
        <f aca="false">Assumptions!F14</f>
        <v>42</v>
      </c>
      <c r="G7" s="4" t="n">
        <f aca="false">Assumptions!G14</f>
        <v>42</v>
      </c>
      <c r="H7" s="4" t="n">
        <f aca="false">Assumptions!H14</f>
        <v>42</v>
      </c>
      <c r="I7" s="4" t="n">
        <f aca="false">Assumptions!I14</f>
        <v>42</v>
      </c>
      <c r="J7" s="4" t="n">
        <f aca="false">Assumptions!J14</f>
        <v>42</v>
      </c>
      <c r="K7" s="4" t="n">
        <f aca="false">Assumptions!K14</f>
        <v>42</v>
      </c>
      <c r="L7" s="4" t="n">
        <f aca="false">Assumptions!L14</f>
        <v>42</v>
      </c>
    </row>
    <row r="8" customFormat="false" ht="15" hidden="false" customHeight="false" outlineLevel="0" collapsed="false">
      <c r="A8" s="0" t="s">
        <v>44</v>
      </c>
      <c r="C8" s="0" t="n">
        <f aca="false">C6*C7/100</f>
        <v>32675.823</v>
      </c>
      <c r="D8" s="0" t="n">
        <f aca="false">D6*D7/100</f>
        <v>27752.665668</v>
      </c>
      <c r="E8" s="0" t="n">
        <f aca="false">E6*E7/100</f>
        <v>29467.63808492</v>
      </c>
      <c r="F8" s="0" t="n">
        <f aca="false">F6*F7/100</f>
        <v>30941.019989166</v>
      </c>
      <c r="G8" s="0" t="n">
        <f aca="false">G6*G7/100</f>
        <v>31869.250588841</v>
      </c>
      <c r="H8" s="0" t="n">
        <f aca="false">H6*H7/100</f>
        <v>32825.3281065062</v>
      </c>
      <c r="I8" s="0" t="n">
        <f aca="false">I6*I7/100</f>
        <v>33810.0879497014</v>
      </c>
      <c r="J8" s="0" t="n">
        <f aca="false">J6*J7/100</f>
        <v>34655.3401484439</v>
      </c>
      <c r="K8" s="0" t="n">
        <f aca="false">K6*K7/100</f>
        <v>35521.723652155</v>
      </c>
      <c r="L8" s="0" t="n">
        <f aca="false">L6*L7/100</f>
        <v>36409.7667434589</v>
      </c>
    </row>
    <row r="9" customFormat="false" ht="15" hidden="false" customHeight="false" outlineLevel="0" collapsed="false">
      <c r="A9" s="0" t="s">
        <v>102</v>
      </c>
      <c r="C9" s="4" t="n">
        <f aca="false">Assumptions!C15</f>
        <v>0.87</v>
      </c>
      <c r="D9" s="4" t="n">
        <f aca="false">Assumptions!D15</f>
        <v>0.87</v>
      </c>
      <c r="E9" s="4" t="n">
        <f aca="false">Assumptions!E15</f>
        <v>0.87</v>
      </c>
      <c r="F9" s="4" t="n">
        <f aca="false">Assumptions!F15</f>
        <v>0.87</v>
      </c>
      <c r="G9" s="4" t="n">
        <f aca="false">Assumptions!G15</f>
        <v>0.87</v>
      </c>
      <c r="H9" s="4" t="n">
        <f aca="false">Assumptions!H15</f>
        <v>0.87</v>
      </c>
      <c r="I9" s="4" t="n">
        <f aca="false">Assumptions!I15</f>
        <v>0.87</v>
      </c>
      <c r="J9" s="4" t="n">
        <f aca="false">Assumptions!J15</f>
        <v>0.87</v>
      </c>
      <c r="K9" s="4" t="n">
        <f aca="false">Assumptions!K15</f>
        <v>0.87</v>
      </c>
      <c r="L9" s="4" t="n">
        <f aca="false">Assumptions!L15</f>
        <v>0.87</v>
      </c>
    </row>
    <row r="10" customFormat="false" ht="15" hidden="false" customHeight="false" outlineLevel="0" collapsed="false">
      <c r="A10" s="0" t="s">
        <v>117</v>
      </c>
      <c r="C10" s="0" t="n">
        <f aca="false">-C6*C9/100</f>
        <v>-631.732578</v>
      </c>
      <c r="D10" s="0" t="n">
        <f aca="false">-D6*D9/100</f>
        <v>-619.09792644</v>
      </c>
      <c r="E10" s="0" t="n">
        <f aca="false">-E6*E9/100</f>
        <v>-625.2889057044</v>
      </c>
      <c r="F10" s="0" t="n">
        <f aca="false">-F6*F9/100</f>
        <v>-640.92112834701</v>
      </c>
      <c r="G10" s="0" t="n">
        <f aca="false">-G6*G9/100</f>
        <v>-660.14876219742</v>
      </c>
      <c r="H10" s="0" t="n">
        <f aca="false">-H6*H9/100</f>
        <v>-679.953225063343</v>
      </c>
      <c r="I10" s="0" t="n">
        <f aca="false">-I6*I9/100</f>
        <v>-700.351821815243</v>
      </c>
      <c r="J10" s="0" t="n">
        <f aca="false">-J6*J9/100</f>
        <v>-717.860617360624</v>
      </c>
      <c r="K10" s="0" t="n">
        <f aca="false">-K6*K9/100</f>
        <v>-735.80713279464</v>
      </c>
      <c r="L10" s="0" t="n">
        <f aca="false">-L6*L9/100</f>
        <v>-754.202311114506</v>
      </c>
    </row>
    <row r="11" customFormat="false" ht="15" hidden="false" customHeight="false" outlineLevel="0" collapsed="false">
      <c r="A11" s="0" t="s">
        <v>118</v>
      </c>
      <c r="C11" s="0" t="n">
        <f aca="false">C8+C10+C24</f>
        <v>32044.090422</v>
      </c>
      <c r="D11" s="0" t="n">
        <f aca="false">D8+D10+D24</f>
        <v>27133.56774156</v>
      </c>
      <c r="E11" s="0" t="n">
        <f aca="false">E8+E10+E24</f>
        <v>28842.3491792156</v>
      </c>
      <c r="F11" s="0" t="n">
        <f aca="false">F8+F10+F24</f>
        <v>30300.098860819</v>
      </c>
      <c r="G11" s="0" t="n">
        <f aca="false">G8+G10+G24</f>
        <v>31209.1018266436</v>
      </c>
      <c r="H11" s="0" t="n">
        <f aca="false">H8+H10+H24</f>
        <v>32145.3748814429</v>
      </c>
      <c r="I11" s="0" t="n">
        <f aca="false">I8+I10+I24</f>
        <v>33109.7361278862</v>
      </c>
      <c r="J11" s="0" t="n">
        <f aca="false">J8+J10+J24</f>
        <v>33937.4795310833</v>
      </c>
      <c r="K11" s="0" t="n">
        <f aca="false">K8+K10+K24</f>
        <v>34785.9165193604</v>
      </c>
      <c r="L11" s="0" t="n">
        <f aca="false">L8+L10+L24</f>
        <v>35655.5644323444</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32044.090422</v>
      </c>
      <c r="D13" s="0" t="n">
        <f aca="false">D11+D12</f>
        <v>27133.56774156</v>
      </c>
      <c r="E13" s="0" t="n">
        <f aca="false">E11+E12</f>
        <v>28842.3491792156</v>
      </c>
      <c r="F13" s="0" t="n">
        <f aca="false">F11+F12</f>
        <v>30300.098860819</v>
      </c>
      <c r="G13" s="0" t="n">
        <f aca="false">G11+G12</f>
        <v>31209.1018266436</v>
      </c>
      <c r="H13" s="0" t="n">
        <f aca="false">H11+H12</f>
        <v>32145.3748814429</v>
      </c>
      <c r="I13" s="0" t="n">
        <f aca="false">I11+I12</f>
        <v>33109.7361278862</v>
      </c>
      <c r="J13" s="0" t="n">
        <f aca="false">J11+J12</f>
        <v>33937.4795310833</v>
      </c>
      <c r="K13" s="0" t="n">
        <f aca="false">K11+K12</f>
        <v>34785.9165193604</v>
      </c>
      <c r="L13" s="0" t="n">
        <f aca="false">L11+L12</f>
        <v>35655.5644323444</v>
      </c>
    </row>
    <row r="14" customFormat="false" ht="15" hidden="false" customHeight="false" outlineLevel="0" collapsed="false">
      <c r="A14" s="0" t="s">
        <v>106</v>
      </c>
      <c r="C14" s="4" t="n">
        <f aca="false">Assumptions!C19</f>
        <v>23.5</v>
      </c>
      <c r="D14" s="4" t="n">
        <f aca="false">Assumptions!D19</f>
        <v>23.5</v>
      </c>
      <c r="E14" s="4" t="n">
        <f aca="false">Assumptions!E19</f>
        <v>23.5</v>
      </c>
      <c r="F14" s="4" t="n">
        <f aca="false">Assumptions!F19</f>
        <v>23.5</v>
      </c>
      <c r="G14" s="4" t="n">
        <f aca="false">Assumptions!G19</f>
        <v>23.5</v>
      </c>
      <c r="H14" s="4" t="n">
        <f aca="false">Assumptions!H19</f>
        <v>23.5</v>
      </c>
      <c r="I14" s="4" t="n">
        <f aca="false">Assumptions!I19</f>
        <v>23.5</v>
      </c>
      <c r="J14" s="4" t="n">
        <f aca="false">Assumptions!J19</f>
        <v>23.5</v>
      </c>
      <c r="K14" s="4" t="n">
        <f aca="false">Assumptions!K19</f>
        <v>23.5</v>
      </c>
      <c r="L14" s="4" t="n">
        <f aca="false">Assumptions!L19</f>
        <v>23.5</v>
      </c>
    </row>
    <row r="15" customFormat="false" ht="15" hidden="false" customHeight="false" outlineLevel="0" collapsed="false">
      <c r="A15" s="0" t="s">
        <v>121</v>
      </c>
      <c r="C15" s="0" t="n">
        <f aca="false">C13-MAX(0,C13)*C14/100</f>
        <v>24513.72917283</v>
      </c>
      <c r="D15" s="0" t="n">
        <f aca="false">D13-MAX(0,D13)*D14/100</f>
        <v>20757.1793222934</v>
      </c>
      <c r="E15" s="0" t="n">
        <f aca="false">E13-MAX(0,E13)*E14/100</f>
        <v>22064.3971220999</v>
      </c>
      <c r="F15" s="0" t="n">
        <f aca="false">F13-MAX(0,F13)*F14/100</f>
        <v>23179.5756285265</v>
      </c>
      <c r="G15" s="0" t="n">
        <f aca="false">G13-MAX(0,G13)*G14/100</f>
        <v>23874.9628973823</v>
      </c>
      <c r="H15" s="0" t="n">
        <f aca="false">H13-MAX(0,H13)*H14/100</f>
        <v>24591.2117843038</v>
      </c>
      <c r="I15" s="0" t="n">
        <f aca="false">I13-MAX(0,I13)*I14/100</f>
        <v>25328.9481378329</v>
      </c>
      <c r="J15" s="0" t="n">
        <f aca="false">J13-MAX(0,J13)*J14/100</f>
        <v>25962.1718412787</v>
      </c>
      <c r="K15" s="0" t="n">
        <f aca="false">K13-MAX(0,K13)*K14/100</f>
        <v>26611.2261373107</v>
      </c>
      <c r="L15" s="0" t="n">
        <f aca="false">L13-MAX(0,L13)*L14/100</f>
        <v>27276.5067907435</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-2730.246544</v>
      </c>
      <c r="D17" s="4" t="n">
        <f aca="false">-D6*Assumptions!D18/100</f>
        <v>-1423.213624</v>
      </c>
      <c r="E17" s="4" t="n">
        <f aca="false">-E6*Assumptions!E18/100</f>
        <v>-2702.3980292512</v>
      </c>
      <c r="F17" s="4" t="n">
        <f aca="false">-F6*Assumptions!F18/100</f>
        <v>-4663.25372693859</v>
      </c>
      <c r="G17" s="4" t="n">
        <f aca="false">-G6*Assumptions!G18/100</f>
        <v>-5440.53635052357</v>
      </c>
      <c r="H17" s="4" t="n">
        <f aca="false">-H6*Assumptions!H18/100</f>
        <v>-5603.75244103928</v>
      </c>
      <c r="I17" s="4" t="n">
        <f aca="false">-I6*Assumptions!I18/100</f>
        <v>-5771.86501427045</v>
      </c>
      <c r="J17" s="4" t="n">
        <f aca="false">-J6*Assumptions!J18/100</f>
        <v>-5223.05483665834</v>
      </c>
      <c r="K17" s="4" t="n">
        <f aca="false">-K6*Assumptions!K18/100</f>
        <v>-5353.63120757479</v>
      </c>
      <c r="L17" s="4" t="n">
        <f aca="false">-L6*Assumptions!L18/100</f>
        <v>-5487.47198776416</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21783.48262883</v>
      </c>
      <c r="D19" s="0" t="n">
        <f aca="false">D15+D16+D17+D18</f>
        <v>19333.9656982934</v>
      </c>
      <c r="E19" s="0" t="n">
        <f aca="false">E15+E16+E17+E18</f>
        <v>19361.9990928487</v>
      </c>
      <c r="F19" s="0" t="n">
        <f aca="false">F15+F16+F17+F18</f>
        <v>18516.3219015879</v>
      </c>
      <c r="G19" s="0" t="n">
        <f aca="false">G15+G16+G17+G18</f>
        <v>18434.4265468588</v>
      </c>
      <c r="H19" s="0" t="n">
        <f aca="false">H15+H16+H17+H18</f>
        <v>18987.4593432645</v>
      </c>
      <c r="I19" s="0" t="n">
        <f aca="false">I15+I16+I17+I18</f>
        <v>19557.0831235625</v>
      </c>
      <c r="J19" s="0" t="n">
        <f aca="false">J15+J16+J17+J18</f>
        <v>20739.1170046204</v>
      </c>
      <c r="K19" s="0" t="n">
        <f aca="false">K15+K16+K17+K18</f>
        <v>21257.5949297359</v>
      </c>
      <c r="L19" s="0" t="n">
        <f aca="false">L15+L16+L17+L18</f>
        <v>21789.0348029793</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19713.5589401177</v>
      </c>
      <c r="D21" s="0" t="n">
        <f aca="false">D19*D20</f>
        <v>15834.2095356716</v>
      </c>
      <c r="E21" s="0" t="n">
        <f aca="false">E19*E20</f>
        <v>14350.3786775455</v>
      </c>
      <c r="F21" s="0" t="n">
        <f aca="false">F19*F20</f>
        <v>12419.5428491266</v>
      </c>
      <c r="G21" s="0" t="n">
        <f aca="false">G19*G20</f>
        <v>11189.6948222988</v>
      </c>
      <c r="H21" s="0" t="n">
        <f aca="false">H19*H20</f>
        <v>10430.213273274</v>
      </c>
      <c r="I21" s="0" t="n">
        <f aca="false">I19*I20</f>
        <v>9722.28024567623</v>
      </c>
      <c r="J21" s="0" t="n">
        <f aca="false">J19*J20</f>
        <v>9330.22329537923</v>
      </c>
      <c r="K21" s="0" t="n">
        <f aca="false">K19*K20</f>
        <v>8654.73201607575</v>
      </c>
      <c r="L21" s="0" t="n">
        <f aca="false">L19*L20</f>
        <v>8028.1450827852</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10.5</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119672.978737951</v>
      </c>
    </row>
    <row r="31" customFormat="false" ht="15" hidden="false" customHeight="false" outlineLevel="0" collapsed="false">
      <c r="A31" s="0" t="s">
        <v>131</v>
      </c>
      <c r="B31" s="0" t="n">
        <f aca="false">L19</f>
        <v>21789.0348029793</v>
      </c>
    </row>
    <row r="32" customFormat="false" ht="15" hidden="false" customHeight="false" outlineLevel="0" collapsed="false">
      <c r="A32" s="0" t="s">
        <v>132</v>
      </c>
      <c r="B32" s="0" t="n">
        <f aca="false">IF(B27&gt;B28,B31*(1+B28/100)/((B27-B28)/100),B31*B29)</f>
        <v>279172.008413172</v>
      </c>
    </row>
    <row r="33" customFormat="false" ht="15" hidden="false" customHeight="false" outlineLevel="0" collapsed="false">
      <c r="A33" s="0" t="s">
        <v>133</v>
      </c>
      <c r="B33" s="0" t="n">
        <f aca="false">B31*B29</f>
        <v>261468.417635752</v>
      </c>
    </row>
    <row r="34" customFormat="false" ht="15" hidden="false" customHeight="false" outlineLevel="0" collapsed="false">
      <c r="A34" s="0" t="s">
        <v>134</v>
      </c>
      <c r="B34" s="0" t="n">
        <f aca="false">MAX(0,MIN(B32,B33))</f>
        <v>261468.417635752</v>
      </c>
    </row>
    <row r="35" customFormat="false" ht="15" hidden="false" customHeight="false" outlineLevel="0" collapsed="false">
      <c r="A35" s="0" t="s">
        <v>135</v>
      </c>
      <c r="B35" s="0" t="n">
        <f aca="false">B34/(1+B27/100)^L4</f>
        <v>96337.7409934224</v>
      </c>
    </row>
    <row r="36" customFormat="false" ht="15" hidden="false" customHeight="false" outlineLevel="0" collapsed="false">
      <c r="A36" s="0" t="s">
        <v>136</v>
      </c>
      <c r="B36" s="0" t="n">
        <f aca="false">B30+B35</f>
        <v>216010.719731373</v>
      </c>
    </row>
    <row r="37" customFormat="false" ht="15" hidden="false" customHeight="false" outlineLevel="0" collapsed="false">
      <c r="A37" s="0" t="s">
        <v>137</v>
      </c>
      <c r="B37" s="0" t="n">
        <f aca="false">B36+Assumptions!$B$5-Assumptions!$B$4</f>
        <v>216010.719731373</v>
      </c>
    </row>
    <row r="38" customFormat="false" ht="15" hidden="false" customHeight="false" outlineLevel="0" collapsed="false">
      <c r="A38" s="0" t="s">
        <v>138</v>
      </c>
      <c r="B38" s="0" t="n">
        <f aca="false">B37/Assumptions!$B$3*Assumptions!$B$10</f>
        <v>946.792487452248</v>
      </c>
    </row>
    <row r="39" customFormat="false" ht="15" hidden="false" customHeight="false" outlineLevel="0" collapsed="false">
      <c r="A39" s="0" t="s">
        <v>139</v>
      </c>
      <c r="B39" s="4" t="n">
        <f aca="false">B38/Assumptions!$B$2-1</f>
        <v>-0.321684705937636</v>
      </c>
    </row>
    <row r="41" customFormat="false" ht="15" hidden="false" customHeight="false" outlineLevel="0" collapsed="false">
      <c r="A41" s="0" t="s">
        <v>140</v>
      </c>
      <c r="B41" s="0" t="n">
        <f aca="false">SUMPRODUCT(-C10:L10/(1+$B$27/100)^C4:L4)</f>
        <v>3994.86111700205</v>
      </c>
    </row>
    <row r="42" customFormat="false" ht="15" hidden="false" customHeight="false" outlineLevel="0" collapsed="false">
      <c r="A42" s="0" t="s">
        <v>141</v>
      </c>
      <c r="B42" s="0" t="n">
        <f aca="false">IF(B27&gt;B28,-L10*(1+B28/100)/((B27-B28)/100),-L10*20)/(1+B27/100)^L4</f>
        <v>3560.4013503248</v>
      </c>
    </row>
    <row r="43" customFormat="false" ht="15" hidden="false" customHeight="false" outlineLevel="0" collapsed="false">
      <c r="A43" s="0" t="s">
        <v>142</v>
      </c>
      <c r="B43" s="0" t="n">
        <f aca="false">(B37+B41+B42)/Assumptions!$B$3*Assumptions!$B$10</f>
        <v>979.907815032707</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178670.08538443</v>
      </c>
    </row>
    <row r="47" customFormat="false" ht="15" hidden="false" customHeight="false" outlineLevel="0" collapsed="false">
      <c r="A47" s="0" t="s">
        <v>144</v>
      </c>
      <c r="B47" s="0" t="n">
        <f aca="false">(SUMPRODUCT(C19:L19/(1+B45/100)^C4:L4)+B46/(1+B45/100)^L4+Assumptions!$B$5-Assumptions!$B$4)/Assumptions!$B$3*Assumptions!$B$10</f>
        <v>631.067376222584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5.5</v>
      </c>
      <c r="D5" s="4" t="n">
        <f aca="false">Assumptions!D27</f>
        <v>4</v>
      </c>
      <c r="E5" s="4" t="n">
        <f aca="false">Assumptions!E27</f>
        <v>4.5</v>
      </c>
      <c r="F5" s="4" t="n">
        <f aca="false">Assumptions!F27</f>
        <v>4.5</v>
      </c>
      <c r="G5" s="4" t="n">
        <f aca="false">Assumptions!G27</f>
        <v>4</v>
      </c>
      <c r="H5" s="4" t="n">
        <f aca="false">Assumptions!H27</f>
        <v>3.5</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71894</v>
      </c>
      <c r="C6" s="0" t="n">
        <f aca="false">B6*(1+C5/100)</f>
        <v>75848.17</v>
      </c>
      <c r="D6" s="0" t="n">
        <f aca="false">C6*(1+D5/100)</f>
        <v>78882.0968</v>
      </c>
      <c r="E6" s="0" t="n">
        <f aca="false">D6*(1+E5/100)</f>
        <v>82431.791156</v>
      </c>
      <c r="F6" s="0" t="n">
        <f aca="false">E6*(1+F5/100)</f>
        <v>86141.22175802</v>
      </c>
      <c r="G6" s="0" t="n">
        <f aca="false">F6*(1+G5/100)</f>
        <v>89586.8706283408</v>
      </c>
      <c r="H6" s="0" t="n">
        <f aca="false">G6*(1+H5/100)</f>
        <v>92722.4111003327</v>
      </c>
      <c r="I6" s="0" t="n">
        <f aca="false">H6*(1+I5/100)</f>
        <v>95967.6954888443</v>
      </c>
      <c r="J6" s="0" t="n">
        <f aca="false">I6*(1+J5/100)</f>
        <v>98846.7263535097</v>
      </c>
      <c r="K6" s="0" t="n">
        <f aca="false">J6*(1+K5/100)</f>
        <v>101812.128144115</v>
      </c>
      <c r="L6" s="0" t="n">
        <f aca="false">K6*(1+L5/100)</f>
        <v>104866.491988438</v>
      </c>
    </row>
    <row r="7" customFormat="false" ht="15" hidden="false" customHeight="false" outlineLevel="0" collapsed="false">
      <c r="A7" s="0" t="s">
        <v>101</v>
      </c>
      <c r="C7" s="4" t="n">
        <f aca="false">Assumptions!C28</f>
        <v>48</v>
      </c>
      <c r="D7" s="4" t="n">
        <f aca="false">Assumptions!D28</f>
        <v>48.5</v>
      </c>
      <c r="E7" s="4" t="n">
        <f aca="false">Assumptions!E28</f>
        <v>49</v>
      </c>
      <c r="F7" s="4" t="n">
        <f aca="false">Assumptions!F28</f>
        <v>48.8</v>
      </c>
      <c r="G7" s="4" t="n">
        <f aca="false">Assumptions!G28</f>
        <v>48.5</v>
      </c>
      <c r="H7" s="4" t="n">
        <f aca="false">Assumptions!H28</f>
        <v>48.2</v>
      </c>
      <c r="I7" s="4" t="n">
        <f aca="false">Assumptions!I28</f>
        <v>48</v>
      </c>
      <c r="J7" s="4" t="n">
        <f aca="false">Assumptions!J28</f>
        <v>48</v>
      </c>
      <c r="K7" s="4" t="n">
        <f aca="false">Assumptions!K28</f>
        <v>48</v>
      </c>
      <c r="L7" s="4" t="n">
        <f aca="false">Assumptions!L28</f>
        <v>48</v>
      </c>
    </row>
    <row r="8" customFormat="false" ht="15" hidden="false" customHeight="false" outlineLevel="0" collapsed="false">
      <c r="A8" s="0" t="s">
        <v>44</v>
      </c>
      <c r="C8" s="0" t="n">
        <f aca="false">C6*C7/100</f>
        <v>36407.1216</v>
      </c>
      <c r="D8" s="0" t="n">
        <f aca="false">D6*D7/100</f>
        <v>38257.816948</v>
      </c>
      <c r="E8" s="0" t="n">
        <f aca="false">E6*E7/100</f>
        <v>40391.57766644</v>
      </c>
      <c r="F8" s="0" t="n">
        <f aca="false">F6*F7/100</f>
        <v>42036.9162179138</v>
      </c>
      <c r="G8" s="0" t="n">
        <f aca="false">G6*G7/100</f>
        <v>43449.6322547453</v>
      </c>
      <c r="H8" s="0" t="n">
        <f aca="false">H6*H7/100</f>
        <v>44692.2021503604</v>
      </c>
      <c r="I8" s="0" t="n">
        <f aca="false">I6*I7/100</f>
        <v>46064.4938346453</v>
      </c>
      <c r="J8" s="0" t="n">
        <f aca="false">J6*J7/100</f>
        <v>47446.4286496846</v>
      </c>
      <c r="K8" s="0" t="n">
        <f aca="false">K6*K7/100</f>
        <v>48869.8215091752</v>
      </c>
      <c r="L8" s="0" t="n">
        <f aca="false">L6*L7/100</f>
        <v>50335.9161544504</v>
      </c>
    </row>
    <row r="9" customFormat="false" ht="15" hidden="false" customHeight="false" outlineLevel="0" collapsed="false">
      <c r="A9" s="0" t="s">
        <v>102</v>
      </c>
      <c r="C9" s="4" t="n">
        <f aca="false">Assumptions!C29</f>
        <v>0.87</v>
      </c>
      <c r="D9" s="4" t="n">
        <f aca="false">Assumptions!D29</f>
        <v>0.87</v>
      </c>
      <c r="E9" s="4" t="n">
        <f aca="false">Assumptions!E29</f>
        <v>0.87</v>
      </c>
      <c r="F9" s="4" t="n">
        <f aca="false">Assumptions!F29</f>
        <v>0.87</v>
      </c>
      <c r="G9" s="4" t="n">
        <f aca="false">Assumptions!G29</f>
        <v>0.87</v>
      </c>
      <c r="H9" s="4" t="n">
        <f aca="false">Assumptions!H29</f>
        <v>0.87</v>
      </c>
      <c r="I9" s="4" t="n">
        <f aca="false">Assumptions!I29</f>
        <v>0.87</v>
      </c>
      <c r="J9" s="4" t="n">
        <f aca="false">Assumptions!J29</f>
        <v>0.87</v>
      </c>
      <c r="K9" s="4" t="n">
        <f aca="false">Assumptions!K29</f>
        <v>0.87</v>
      </c>
      <c r="L9" s="4" t="n">
        <f aca="false">Assumptions!L29</f>
        <v>0.87</v>
      </c>
    </row>
    <row r="10" customFormat="false" ht="15" hidden="false" customHeight="false" outlineLevel="0" collapsed="false">
      <c r="A10" s="0" t="s">
        <v>117</v>
      </c>
      <c r="C10" s="0" t="n">
        <f aca="false">-C6*C9/100</f>
        <v>-659.879079</v>
      </c>
      <c r="D10" s="0" t="n">
        <f aca="false">-D6*D9/100</f>
        <v>-686.27424216</v>
      </c>
      <c r="E10" s="0" t="n">
        <f aca="false">-E6*E9/100</f>
        <v>-717.1565830572</v>
      </c>
      <c r="F10" s="0" t="n">
        <f aca="false">-F6*F9/100</f>
        <v>-749.428629294774</v>
      </c>
      <c r="G10" s="0" t="n">
        <f aca="false">-G6*G9/100</f>
        <v>-779.405774466565</v>
      </c>
      <c r="H10" s="0" t="n">
        <f aca="false">-H6*H9/100</f>
        <v>-806.684976572895</v>
      </c>
      <c r="I10" s="0" t="n">
        <f aca="false">-I6*I9/100</f>
        <v>-834.918950752946</v>
      </c>
      <c r="J10" s="0" t="n">
        <f aca="false">-J6*J9/100</f>
        <v>-859.966519275534</v>
      </c>
      <c r="K10" s="0" t="n">
        <f aca="false">-K6*K9/100</f>
        <v>-885.7655148538</v>
      </c>
      <c r="L10" s="0" t="n">
        <f aca="false">-L6*L9/100</f>
        <v>-912.338480299414</v>
      </c>
    </row>
    <row r="11" customFormat="false" ht="15" hidden="false" customHeight="false" outlineLevel="0" collapsed="false">
      <c r="A11" s="0" t="s">
        <v>118</v>
      </c>
      <c r="C11" s="0" t="n">
        <f aca="false">C8+C10+C24</f>
        <v>35747.242521</v>
      </c>
      <c r="D11" s="0" t="n">
        <f aca="false">D8+D10+D24</f>
        <v>37571.54270584</v>
      </c>
      <c r="E11" s="0" t="n">
        <f aca="false">E8+E10+E24</f>
        <v>39674.4210833828</v>
      </c>
      <c r="F11" s="0" t="n">
        <f aca="false">F8+F10+F24</f>
        <v>41287.487588619</v>
      </c>
      <c r="G11" s="0" t="n">
        <f aca="false">G8+G10+G24</f>
        <v>42670.2264802787</v>
      </c>
      <c r="H11" s="0" t="n">
        <f aca="false">H8+H10+H24</f>
        <v>43885.5171737875</v>
      </c>
      <c r="I11" s="0" t="n">
        <f aca="false">I8+I10+I24</f>
        <v>45229.5748838923</v>
      </c>
      <c r="J11" s="0" t="n">
        <f aca="false">J8+J10+J24</f>
        <v>46586.4621304091</v>
      </c>
      <c r="K11" s="0" t="n">
        <f aca="false">K8+K10+K24</f>
        <v>47984.0559943214</v>
      </c>
      <c r="L11" s="0" t="n">
        <f aca="false">L8+L10+L24</f>
        <v>49423.577674151</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35747.242521</v>
      </c>
      <c r="D13" s="0" t="n">
        <f aca="false">D11+D12</f>
        <v>37571.54270584</v>
      </c>
      <c r="E13" s="0" t="n">
        <f aca="false">E11+E12</f>
        <v>39674.4210833828</v>
      </c>
      <c r="F13" s="0" t="n">
        <f aca="false">F11+F12</f>
        <v>41287.487588619</v>
      </c>
      <c r="G13" s="0" t="n">
        <f aca="false">G11+G12</f>
        <v>42670.2264802787</v>
      </c>
      <c r="H13" s="0" t="n">
        <f aca="false">H11+H12</f>
        <v>43885.5171737875</v>
      </c>
      <c r="I13" s="0" t="n">
        <f aca="false">I11+I12</f>
        <v>45229.5748838923</v>
      </c>
      <c r="J13" s="0" t="n">
        <f aca="false">J11+J12</f>
        <v>46586.4621304091</v>
      </c>
      <c r="K13" s="0" t="n">
        <f aca="false">K11+K12</f>
        <v>47984.0559943214</v>
      </c>
      <c r="L13" s="0" t="n">
        <f aca="false">L11+L12</f>
        <v>49423.577674151</v>
      </c>
    </row>
    <row r="14" customFormat="false" ht="15" hidden="false" customHeight="false" outlineLevel="0" collapsed="false">
      <c r="A14" s="0" t="s">
        <v>106</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121</v>
      </c>
      <c r="C15" s="0" t="n">
        <f aca="false">C13-MAX(0,C13)*C14/100</f>
        <v>27525.37674117</v>
      </c>
      <c r="D15" s="0" t="n">
        <f aca="false">D13-MAX(0,D13)*D14/100</f>
        <v>28930.0878834968</v>
      </c>
      <c r="E15" s="0" t="n">
        <f aca="false">E13-MAX(0,E13)*E14/100</f>
        <v>30549.3042342048</v>
      </c>
      <c r="F15" s="0" t="n">
        <f aca="false">F13-MAX(0,F13)*F14/100</f>
        <v>31791.3654432366</v>
      </c>
      <c r="G15" s="0" t="n">
        <f aca="false">G13-MAX(0,G13)*G14/100</f>
        <v>32856.0743898146</v>
      </c>
      <c r="H15" s="0" t="n">
        <f aca="false">H13-MAX(0,H13)*H14/100</f>
        <v>33791.8482238164</v>
      </c>
      <c r="I15" s="0" t="n">
        <f aca="false">I13-MAX(0,I13)*I14/100</f>
        <v>34826.7726605971</v>
      </c>
      <c r="J15" s="0" t="n">
        <f aca="false">J13-MAX(0,J13)*J14/100</f>
        <v>35871.575840415</v>
      </c>
      <c r="K15" s="0" t="n">
        <f aca="false">K13-MAX(0,K13)*K14/100</f>
        <v>36947.7231156275</v>
      </c>
      <c r="L15" s="0" t="n">
        <f aca="false">L13-MAX(0,L13)*L14/100</f>
        <v>38056.1548090963</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-8540.503942</v>
      </c>
      <c r="D17" s="4" t="n">
        <f aca="false">-D6*Assumptions!D32/100</f>
        <v>-6965.28914744</v>
      </c>
      <c r="E17" s="4" t="n">
        <f aca="false">-E6*Assumptions!E32/100</f>
        <v>-7954.667846554</v>
      </c>
      <c r="F17" s="4" t="n">
        <f aca="false">-F6*Assumptions!F32/100</f>
        <v>-8312.62789964893</v>
      </c>
      <c r="G17" s="4" t="n">
        <f aca="false">-G6*Assumptions!G32/100</f>
        <v>-7910.52067648249</v>
      </c>
      <c r="H17" s="4" t="n">
        <f aca="false">-H6*Assumptions!H32/100</f>
        <v>-7427.06512913665</v>
      </c>
      <c r="I17" s="4" t="n">
        <f aca="false">-I6*Assumptions!I32/100</f>
        <v>-7687.01240865643</v>
      </c>
      <c r="J17" s="4" t="n">
        <f aca="false">-J6*Assumptions!J32/100</f>
        <v>-7087.31027954664</v>
      </c>
      <c r="K17" s="4" t="n">
        <f aca="false">-K6*Assumptions!K32/100</f>
        <v>-7299.92958793304</v>
      </c>
      <c r="L17" s="4" t="n">
        <f aca="false">-L6*Assumptions!L32/100</f>
        <v>-7518.92747557103</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18984.87279917</v>
      </c>
      <c r="D19" s="0" t="n">
        <f aca="false">D15+D16+D17+D18</f>
        <v>21964.7987360568</v>
      </c>
      <c r="E19" s="0" t="n">
        <f aca="false">E15+E16+E17+E18</f>
        <v>22594.6363876508</v>
      </c>
      <c r="F19" s="0" t="n">
        <f aca="false">F15+F16+F17+F18</f>
        <v>23478.7375435877</v>
      </c>
      <c r="G19" s="0" t="n">
        <f aca="false">G15+G16+G17+G18</f>
        <v>24945.5537133321</v>
      </c>
      <c r="H19" s="0" t="n">
        <f aca="false">H15+H16+H17+H18</f>
        <v>26364.7830946797</v>
      </c>
      <c r="I19" s="0" t="n">
        <f aca="false">I15+I16+I17+I18</f>
        <v>27139.7602519407</v>
      </c>
      <c r="J19" s="0" t="n">
        <f aca="false">J15+J16+J17+J18</f>
        <v>28784.2655608684</v>
      </c>
      <c r="K19" s="0" t="n">
        <f aca="false">K15+K16+K17+K18</f>
        <v>29647.7935276944</v>
      </c>
      <c r="L19" s="0" t="n">
        <f aca="false">L15+L16+L17+L18</f>
        <v>30537.2273335253</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17180.8803612398</v>
      </c>
      <c r="D21" s="0" t="n">
        <f aca="false">D19*D20</f>
        <v>17988.8198325643</v>
      </c>
      <c r="E21" s="0" t="n">
        <f aca="false">E19*E20</f>
        <v>16746.2867180897</v>
      </c>
      <c r="F21" s="0" t="n">
        <f aca="false">F19*F20</f>
        <v>15748.0080825868</v>
      </c>
      <c r="G21" s="0" t="n">
        <f aca="false">G19*G20</f>
        <v>15141.9482735694</v>
      </c>
      <c r="H21" s="0" t="n">
        <f aca="false">H19*H20</f>
        <v>14482.7333457157</v>
      </c>
      <c r="I21" s="0" t="n">
        <f aca="false">I19*I20</f>
        <v>13491.8051584048</v>
      </c>
      <c r="J21" s="0" t="n">
        <f aca="false">J19*J20</f>
        <v>12949.6171421649</v>
      </c>
      <c r="K21" s="0" t="n">
        <f aca="false">K19*K20</f>
        <v>12070.6838519727</v>
      </c>
      <c r="L21" s="0" t="n">
        <f aca="false">L19*L20</f>
        <v>11251.4066674497</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10.5</v>
      </c>
    </row>
    <row r="28" customFormat="false" ht="15" hidden="false" customHeight="false" outlineLevel="0" collapsed="false">
      <c r="A28" s="0" t="s">
        <v>108</v>
      </c>
      <c r="B28" s="4" t="n">
        <f aca="false">Assumptions!$B$35</f>
        <v>3</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147052.189433758</v>
      </c>
    </row>
    <row r="31" customFormat="false" ht="15" hidden="false" customHeight="false" outlineLevel="0" collapsed="false">
      <c r="A31" s="0" t="s">
        <v>131</v>
      </c>
      <c r="B31" s="0" t="n">
        <f aca="false">L19</f>
        <v>30537.2273335253</v>
      </c>
    </row>
    <row r="32" customFormat="false" ht="15" hidden="false" customHeight="false" outlineLevel="0" collapsed="false">
      <c r="A32" s="0" t="s">
        <v>132</v>
      </c>
      <c r="B32" s="0" t="n">
        <f aca="false">IF(B27&gt;B28,B31*(1+B28/100)/((B27-B28)/100),B31*B29)</f>
        <v>419377.92204708</v>
      </c>
    </row>
    <row r="33" customFormat="false" ht="15" hidden="false" customHeight="false" outlineLevel="0" collapsed="false">
      <c r="A33" s="0" t="s">
        <v>133</v>
      </c>
      <c r="B33" s="0" t="n">
        <f aca="false">B31*B29</f>
        <v>458058.410002879</v>
      </c>
    </row>
    <row r="34" customFormat="false" ht="15" hidden="false" customHeight="false" outlineLevel="0" collapsed="false">
      <c r="A34" s="0" t="s">
        <v>134</v>
      </c>
      <c r="B34" s="0" t="n">
        <f aca="false">MAX(0,MIN(B32,B33))</f>
        <v>419377.92204708</v>
      </c>
    </row>
    <row r="35" customFormat="false" ht="15" hidden="false" customHeight="false" outlineLevel="0" collapsed="false">
      <c r="A35" s="0" t="s">
        <v>135</v>
      </c>
      <c r="B35" s="0" t="n">
        <f aca="false">B34/(1+B27/100)^L4</f>
        <v>154519.318232976</v>
      </c>
    </row>
    <row r="36" customFormat="false" ht="15" hidden="false" customHeight="false" outlineLevel="0" collapsed="false">
      <c r="A36" s="0" t="s">
        <v>136</v>
      </c>
      <c r="B36" s="0" t="n">
        <f aca="false">B30+B35</f>
        <v>301571.507666733</v>
      </c>
    </row>
    <row r="37" customFormat="false" ht="15" hidden="false" customHeight="false" outlineLevel="0" collapsed="false">
      <c r="A37" s="0" t="s">
        <v>137</v>
      </c>
      <c r="B37" s="0" t="n">
        <f aca="false">B36+Assumptions!$B$5-Assumptions!$B$4</f>
        <v>301571.507666733</v>
      </c>
    </row>
    <row r="38" customFormat="false" ht="15" hidden="false" customHeight="false" outlineLevel="0" collapsed="false">
      <c r="A38" s="0" t="s">
        <v>138</v>
      </c>
      <c r="B38" s="0" t="n">
        <f aca="false">B37/Assumptions!$B$3*Assumptions!$B$10</f>
        <v>1321.81235377386</v>
      </c>
    </row>
    <row r="39" customFormat="false" ht="15" hidden="false" customHeight="false" outlineLevel="0" collapsed="false">
      <c r="A39" s="0" t="s">
        <v>139</v>
      </c>
      <c r="B39" s="4" t="n">
        <f aca="false">B38/Assumptions!$B$2-1</f>
        <v>-0.0530073407552243</v>
      </c>
    </row>
    <row r="41" customFormat="false" ht="15" hidden="false" customHeight="false" outlineLevel="0" collapsed="false">
      <c r="A41" s="0" t="s">
        <v>140</v>
      </c>
      <c r="B41" s="0" t="n">
        <f aca="false">SUMPRODUCT(-C10:L10/(1+$B$27/100)^C4:L4)</f>
        <v>4608.36976473466</v>
      </c>
    </row>
    <row r="42" customFormat="false" ht="15" hidden="false" customHeight="false" outlineLevel="0" collapsed="false">
      <c r="A42" s="0" t="s">
        <v>141</v>
      </c>
      <c r="B42" s="0" t="n">
        <f aca="false">IF(B27&gt;B28,-L10*(1+B28/100)/((B27-B28)/100),-L10*20)/(1+B27/100)^L4</f>
        <v>4616.46103078935</v>
      </c>
    </row>
    <row r="43" customFormat="false" ht="15" hidden="false" customHeight="false" outlineLevel="0" collapsed="false">
      <c r="A43" s="0" t="s">
        <v>142</v>
      </c>
      <c r="B43" s="0" t="n">
        <f aca="false">(B37+B41+B42)/Assumptions!$B$3*Assumptions!$B$10</f>
        <v>1362.24553461822</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262111.201279425</v>
      </c>
    </row>
    <row r="47" customFormat="false" ht="15" hidden="false" customHeight="false" outlineLevel="0" collapsed="false">
      <c r="A47" s="0" t="s">
        <v>144</v>
      </c>
      <c r="B47" s="0" t="n">
        <f aca="false">(SUMPRODUCT(C19:L19/(1+B45/100)^C4:L4)+B46/(1+B45/100)^L4+Assumptions!$B$5-Assumptions!$B$4)/Assumptions!$B$3*Assumptions!$B$10</f>
        <v>813.396937466885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7</v>
      </c>
      <c r="D5" s="4" t="n">
        <f aca="false">Assumptions!D41</f>
        <v>6</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3.5</v>
      </c>
      <c r="L5" s="4" t="n">
        <f aca="false">Assumptions!L41</f>
        <v>3</v>
      </c>
    </row>
    <row r="6" customFormat="false" ht="15" hidden="false" customHeight="false" outlineLevel="0" collapsed="false">
      <c r="A6" s="0" t="s">
        <v>38</v>
      </c>
      <c r="B6" s="3" t="n">
        <v>71894</v>
      </c>
      <c r="C6" s="0" t="n">
        <f aca="false">B6*(1+C5/100)</f>
        <v>76926.58</v>
      </c>
      <c r="D6" s="0" t="n">
        <f aca="false">C6*(1+D5/100)</f>
        <v>81542.1748</v>
      </c>
      <c r="E6" s="0" t="n">
        <f aca="false">D6*(1+E5/100)</f>
        <v>86434.705288</v>
      </c>
      <c r="F6" s="0" t="n">
        <f aca="false">E6*(1+F5/100)</f>
        <v>91188.61407884</v>
      </c>
      <c r="G6" s="0" t="n">
        <f aca="false">F6*(1+G5/100)</f>
        <v>95748.044782782</v>
      </c>
      <c r="H6" s="0" t="n">
        <f aca="false">G6*(1+H5/100)</f>
        <v>100056.706798007</v>
      </c>
      <c r="I6" s="0" t="n">
        <f aca="false">H6*(1+I5/100)</f>
        <v>104058.975069927</v>
      </c>
      <c r="J6" s="0" t="n">
        <f aca="false">I6*(1+J5/100)</f>
        <v>107701.039197375</v>
      </c>
      <c r="K6" s="0" t="n">
        <f aca="false">J6*(1+K5/100)</f>
        <v>111470.575569283</v>
      </c>
      <c r="L6" s="0" t="n">
        <f aca="false">K6*(1+L5/100)</f>
        <v>114814.692836362</v>
      </c>
    </row>
    <row r="7" customFormat="false" ht="15" hidden="false" customHeight="false" outlineLevel="0" collapsed="false">
      <c r="A7" s="0" t="s">
        <v>101</v>
      </c>
      <c r="C7" s="4" t="n">
        <f aca="false">Assumptions!C42</f>
        <v>49</v>
      </c>
      <c r="D7" s="4" t="n">
        <f aca="false">Assumptions!D42</f>
        <v>50</v>
      </c>
      <c r="E7" s="4" t="n">
        <f aca="false">Assumptions!E42</f>
        <v>51</v>
      </c>
      <c r="F7" s="4" t="n">
        <f aca="false">Assumptions!F42</f>
        <v>51.5</v>
      </c>
      <c r="G7" s="4" t="n">
        <f aca="false">Assumptions!G42</f>
        <v>51.5</v>
      </c>
      <c r="H7" s="4" t="n">
        <f aca="false">Assumptions!H42</f>
        <v>51</v>
      </c>
      <c r="I7" s="4" t="n">
        <f aca="false">Assumptions!I42</f>
        <v>51</v>
      </c>
      <c r="J7" s="4" t="n">
        <f aca="false">Assumptions!J42</f>
        <v>51</v>
      </c>
      <c r="K7" s="4" t="n">
        <f aca="false">Assumptions!K42</f>
        <v>51</v>
      </c>
      <c r="L7" s="4" t="n">
        <f aca="false">Assumptions!L42</f>
        <v>51</v>
      </c>
    </row>
    <row r="8" customFormat="false" ht="15" hidden="false" customHeight="false" outlineLevel="0" collapsed="false">
      <c r="A8" s="0" t="s">
        <v>44</v>
      </c>
      <c r="C8" s="0" t="n">
        <f aca="false">C6*C7/100</f>
        <v>37694.0242</v>
      </c>
      <c r="D8" s="0" t="n">
        <f aca="false">D6*D7/100</f>
        <v>40771.0874</v>
      </c>
      <c r="E8" s="0" t="n">
        <f aca="false">E6*E7/100</f>
        <v>44081.69969688</v>
      </c>
      <c r="F8" s="0" t="n">
        <f aca="false">F6*F7/100</f>
        <v>46962.1362506026</v>
      </c>
      <c r="G8" s="0" t="n">
        <f aca="false">G6*G7/100</f>
        <v>49310.2430631327</v>
      </c>
      <c r="H8" s="0" t="n">
        <f aca="false">H6*H7/100</f>
        <v>51028.9204669837</v>
      </c>
      <c r="I8" s="0" t="n">
        <f aca="false">I6*I7/100</f>
        <v>53070.077285663</v>
      </c>
      <c r="J8" s="0" t="n">
        <f aca="false">J6*J7/100</f>
        <v>54927.5299906612</v>
      </c>
      <c r="K8" s="0" t="n">
        <f aca="false">K6*K7/100</f>
        <v>56849.9935403344</v>
      </c>
      <c r="L8" s="0" t="n">
        <f aca="false">L6*L7/100</f>
        <v>58555.4933465444</v>
      </c>
    </row>
    <row r="9" customFormat="false" ht="15" hidden="false" customHeight="false" outlineLevel="0" collapsed="false">
      <c r="A9" s="0" t="s">
        <v>102</v>
      </c>
      <c r="C9" s="4" t="n">
        <f aca="false">Assumptions!C43</f>
        <v>0.87</v>
      </c>
      <c r="D9" s="4" t="n">
        <f aca="false">Assumptions!D43</f>
        <v>0.87</v>
      </c>
      <c r="E9" s="4" t="n">
        <f aca="false">Assumptions!E43</f>
        <v>0.87</v>
      </c>
      <c r="F9" s="4" t="n">
        <f aca="false">Assumptions!F43</f>
        <v>0.87</v>
      </c>
      <c r="G9" s="4" t="n">
        <f aca="false">Assumptions!G43</f>
        <v>0.87</v>
      </c>
      <c r="H9" s="4" t="n">
        <f aca="false">Assumptions!H43</f>
        <v>0.87</v>
      </c>
      <c r="I9" s="4" t="n">
        <f aca="false">Assumptions!I43</f>
        <v>0.87</v>
      </c>
      <c r="J9" s="4" t="n">
        <f aca="false">Assumptions!J43</f>
        <v>0.87</v>
      </c>
      <c r="K9" s="4" t="n">
        <f aca="false">Assumptions!K43</f>
        <v>0.87</v>
      </c>
      <c r="L9" s="4" t="n">
        <f aca="false">Assumptions!L43</f>
        <v>0.87</v>
      </c>
    </row>
    <row r="10" customFormat="false" ht="15" hidden="false" customHeight="false" outlineLevel="0" collapsed="false">
      <c r="A10" s="0" t="s">
        <v>117</v>
      </c>
      <c r="C10" s="0" t="n">
        <f aca="false">-C6*C9/100</f>
        <v>-669.261246</v>
      </c>
      <c r="D10" s="0" t="n">
        <f aca="false">-D6*D9/100</f>
        <v>-709.41692076</v>
      </c>
      <c r="E10" s="0" t="n">
        <f aca="false">-E6*E9/100</f>
        <v>-751.9819360056</v>
      </c>
      <c r="F10" s="0" t="n">
        <f aca="false">-F6*F9/100</f>
        <v>-793.340942485908</v>
      </c>
      <c r="G10" s="0" t="n">
        <f aca="false">-G6*G9/100</f>
        <v>-833.007989610204</v>
      </c>
      <c r="H10" s="0" t="n">
        <f aca="false">-H6*H9/100</f>
        <v>-870.493349142663</v>
      </c>
      <c r="I10" s="0" t="n">
        <f aca="false">-I6*I9/100</f>
        <v>-905.313083108369</v>
      </c>
      <c r="J10" s="0" t="n">
        <f aca="false">-J6*J9/100</f>
        <v>-936.999041017162</v>
      </c>
      <c r="K10" s="0" t="n">
        <f aca="false">-K6*K9/100</f>
        <v>-969.794007452763</v>
      </c>
      <c r="L10" s="0" t="n">
        <f aca="false">-L6*L9/100</f>
        <v>-998.887827676345</v>
      </c>
    </row>
    <row r="11" customFormat="false" ht="15" hidden="false" customHeight="false" outlineLevel="0" collapsed="false">
      <c r="A11" s="0" t="s">
        <v>118</v>
      </c>
      <c r="C11" s="0" t="n">
        <f aca="false">C8+C10+C24</f>
        <v>37024.762954</v>
      </c>
      <c r="D11" s="0" t="n">
        <f aca="false">D8+D10+D24</f>
        <v>40061.67047924</v>
      </c>
      <c r="E11" s="0" t="n">
        <f aca="false">E8+E10+E24</f>
        <v>43329.7177608744</v>
      </c>
      <c r="F11" s="0" t="n">
        <f aca="false">F8+F10+F24</f>
        <v>46168.7953081167</v>
      </c>
      <c r="G11" s="0" t="n">
        <f aca="false">G8+G10+G24</f>
        <v>48477.2350735225</v>
      </c>
      <c r="H11" s="0" t="n">
        <f aca="false">H8+H10+H24</f>
        <v>50158.427117841</v>
      </c>
      <c r="I11" s="0" t="n">
        <f aca="false">I8+I10+I24</f>
        <v>52164.7642025547</v>
      </c>
      <c r="J11" s="0" t="n">
        <f aca="false">J8+J10+J24</f>
        <v>53990.5309496441</v>
      </c>
      <c r="K11" s="0" t="n">
        <f aca="false">K8+K10+K24</f>
        <v>55880.1995328816</v>
      </c>
      <c r="L11" s="0" t="n">
        <f aca="false">L8+L10+L24</f>
        <v>57556.605518868</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37024.762954</v>
      </c>
      <c r="D13" s="0" t="n">
        <f aca="false">D11+D12</f>
        <v>40061.67047924</v>
      </c>
      <c r="E13" s="0" t="n">
        <f aca="false">E11+E12</f>
        <v>43329.7177608744</v>
      </c>
      <c r="F13" s="0" t="n">
        <f aca="false">F11+F12</f>
        <v>46168.7953081167</v>
      </c>
      <c r="G13" s="0" t="n">
        <f aca="false">G11+G12</f>
        <v>48477.2350735225</v>
      </c>
      <c r="H13" s="0" t="n">
        <f aca="false">H11+H12</f>
        <v>50158.427117841</v>
      </c>
      <c r="I13" s="0" t="n">
        <f aca="false">I11+I12</f>
        <v>52164.7642025547</v>
      </c>
      <c r="J13" s="0" t="n">
        <f aca="false">J11+J12</f>
        <v>53990.5309496441</v>
      </c>
      <c r="K13" s="0" t="n">
        <f aca="false">K11+K12</f>
        <v>55880.1995328816</v>
      </c>
      <c r="L13" s="0" t="n">
        <f aca="false">L11+L12</f>
        <v>57556.605518868</v>
      </c>
    </row>
    <row r="14" customFormat="false" ht="15" hidden="false" customHeight="false" outlineLevel="0" collapsed="false">
      <c r="A14" s="0" t="s">
        <v>106</v>
      </c>
      <c r="C14" s="4" t="n">
        <f aca="false">Assumptions!C47</f>
        <v>22.5</v>
      </c>
      <c r="D14" s="4" t="n">
        <f aca="false">Assumptions!D47</f>
        <v>22.5</v>
      </c>
      <c r="E14" s="4" t="n">
        <f aca="false">Assumptions!E47</f>
        <v>22.5</v>
      </c>
      <c r="F14" s="4" t="n">
        <f aca="false">Assumptions!F47</f>
        <v>22.5</v>
      </c>
      <c r="G14" s="4" t="n">
        <f aca="false">Assumptions!G47</f>
        <v>22.5</v>
      </c>
      <c r="H14" s="4" t="n">
        <f aca="false">Assumptions!H47</f>
        <v>22.5</v>
      </c>
      <c r="I14" s="4" t="n">
        <f aca="false">Assumptions!I47</f>
        <v>22.5</v>
      </c>
      <c r="J14" s="4" t="n">
        <f aca="false">Assumptions!J47</f>
        <v>22.5</v>
      </c>
      <c r="K14" s="4" t="n">
        <f aca="false">Assumptions!K47</f>
        <v>22.5</v>
      </c>
      <c r="L14" s="4" t="n">
        <f aca="false">Assumptions!L47</f>
        <v>22.5</v>
      </c>
    </row>
    <row r="15" customFormat="false" ht="15" hidden="false" customHeight="false" outlineLevel="0" collapsed="false">
      <c r="A15" s="0" t="s">
        <v>121</v>
      </c>
      <c r="C15" s="0" t="n">
        <f aca="false">C13-MAX(0,C13)*C14/100</f>
        <v>28694.19128935</v>
      </c>
      <c r="D15" s="0" t="n">
        <f aca="false">D13-MAX(0,D13)*D14/100</f>
        <v>31047.794621411</v>
      </c>
      <c r="E15" s="0" t="n">
        <f aca="false">E13-MAX(0,E13)*E14/100</f>
        <v>33580.5312646777</v>
      </c>
      <c r="F15" s="0" t="n">
        <f aca="false">F13-MAX(0,F13)*F14/100</f>
        <v>35780.8163637904</v>
      </c>
      <c r="G15" s="0" t="n">
        <f aca="false">G13-MAX(0,G13)*G14/100</f>
        <v>37569.85718198</v>
      </c>
      <c r="H15" s="0" t="n">
        <f aca="false">H13-MAX(0,H13)*H14/100</f>
        <v>38872.7810163268</v>
      </c>
      <c r="I15" s="0" t="n">
        <f aca="false">I13-MAX(0,I13)*I14/100</f>
        <v>40427.6922569799</v>
      </c>
      <c r="J15" s="0" t="n">
        <f aca="false">J13-MAX(0,J13)*J14/100</f>
        <v>41842.6614859741</v>
      </c>
      <c r="K15" s="0" t="n">
        <f aca="false">K13-MAX(0,K13)*K14/100</f>
        <v>43307.1546379832</v>
      </c>
      <c r="L15" s="0" t="n">
        <f aca="false">L13-MAX(0,L13)*L14/100</f>
        <v>44606.3692771227</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-10477.400196</v>
      </c>
      <c r="D17" s="4" t="n">
        <f aca="false">-D6*Assumptions!D46/100</f>
        <v>-9825.8320634</v>
      </c>
      <c r="E17" s="4" t="n">
        <f aca="false">-E6*Assumptions!E46/100</f>
        <v>-10415.381987204</v>
      </c>
      <c r="F17" s="4" t="n">
        <f aca="false">-F6*Assumptions!F46/100</f>
        <v>-10267.8379452774</v>
      </c>
      <c r="G17" s="4" t="n">
        <f aca="false">-G6*Assumptions!G46/100</f>
        <v>-10015.245484279</v>
      </c>
      <c r="H17" s="4" t="n">
        <f aca="false">-H6*Assumptions!H46/100</f>
        <v>-9655.4722060077</v>
      </c>
      <c r="I17" s="4" t="n">
        <f aca="false">-I6*Assumptions!I46/100</f>
        <v>-9188.4074986746</v>
      </c>
      <c r="J17" s="4" t="n">
        <f aca="false">-J6*Assumptions!J46/100</f>
        <v>-8626.85323970973</v>
      </c>
      <c r="K17" s="4" t="n">
        <f aca="false">-K6*Assumptions!K46/100</f>
        <v>-8928.79310309957</v>
      </c>
      <c r="L17" s="4" t="n">
        <f aca="false">-L6*Assumptions!L46/100</f>
        <v>-8232.21347636712</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18216.79109335</v>
      </c>
      <c r="D19" s="0" t="n">
        <f aca="false">D15+D16+D17+D18</f>
        <v>21221.962558011</v>
      </c>
      <c r="E19" s="0" t="n">
        <f aca="false">E15+E16+E17+E18</f>
        <v>23165.1492774737</v>
      </c>
      <c r="F19" s="0" t="n">
        <f aca="false">F15+F16+F17+F18</f>
        <v>25512.9784185131</v>
      </c>
      <c r="G19" s="0" t="n">
        <f aca="false">G15+G16+G17+G18</f>
        <v>27554.611697701</v>
      </c>
      <c r="H19" s="0" t="n">
        <f aca="false">H15+H16+H17+H18</f>
        <v>29217.3088103191</v>
      </c>
      <c r="I19" s="0" t="n">
        <f aca="false">I15+I16+I17+I18</f>
        <v>31239.2847583053</v>
      </c>
      <c r="J19" s="0" t="n">
        <f aca="false">J15+J16+J17+J18</f>
        <v>33215.8082462644</v>
      </c>
      <c r="K19" s="0" t="n">
        <f aca="false">K15+K16+K17+K18</f>
        <v>34378.3615348837</v>
      </c>
      <c r="L19" s="0" t="n">
        <f aca="false">L15+L16+L17+L18</f>
        <v>36374.1558007556</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16485.7837948869</v>
      </c>
      <c r="D21" s="0" t="n">
        <f aca="false">D19*D20</f>
        <v>17380.4488507696</v>
      </c>
      <c r="E21" s="0" t="n">
        <f aca="false">E19*E20</f>
        <v>17169.1292133361</v>
      </c>
      <c r="F21" s="0" t="n">
        <f aca="false">F19*F20</f>
        <v>17112.4443807813</v>
      </c>
      <c r="G21" s="0" t="n">
        <f aca="false">G19*G20</f>
        <v>16725.646174047</v>
      </c>
      <c r="H21" s="0" t="n">
        <f aca="false">H19*H20</f>
        <v>16049.6860929863</v>
      </c>
      <c r="I21" s="0" t="n">
        <f aca="false">I19*I20</f>
        <v>15529.7740044274</v>
      </c>
      <c r="J21" s="0" t="n">
        <f aca="false">J19*J20</f>
        <v>14943.3029287169</v>
      </c>
      <c r="K21" s="0" t="n">
        <f aca="false">K19*K20</f>
        <v>13996.668354047</v>
      </c>
      <c r="L21" s="0" t="n">
        <f aca="false">L19*L20</f>
        <v>13402.0163202626</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10.5</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158794.900114261</v>
      </c>
    </row>
    <row r="31" customFormat="false" ht="15" hidden="false" customHeight="false" outlineLevel="0" collapsed="false">
      <c r="A31" s="0" t="s">
        <v>131</v>
      </c>
      <c r="B31" s="0" t="n">
        <f aca="false">L19</f>
        <v>36374.1558007556</v>
      </c>
    </row>
    <row r="32" customFormat="false" ht="15" hidden="false" customHeight="false" outlineLevel="0" collapsed="false">
      <c r="A32" s="0" t="s">
        <v>132</v>
      </c>
      <c r="B32" s="0" t="n">
        <f aca="false">IF(B27&gt;B28,B31*(1+B28/100)/((B27-B28)/100),B31*B29)</f>
        <v>499538.406330377</v>
      </c>
    </row>
    <row r="33" customFormat="false" ht="15" hidden="false" customHeight="false" outlineLevel="0" collapsed="false">
      <c r="A33" s="0" t="s">
        <v>133</v>
      </c>
      <c r="B33" s="0" t="n">
        <f aca="false">B31*B29</f>
        <v>545612.337011334</v>
      </c>
    </row>
    <row r="34" customFormat="false" ht="15" hidden="false" customHeight="false" outlineLevel="0" collapsed="false">
      <c r="A34" s="0" t="s">
        <v>134</v>
      </c>
      <c r="B34" s="0" t="n">
        <f aca="false">MAX(0,MIN(B32,B33))</f>
        <v>499538.406330377</v>
      </c>
    </row>
    <row r="35" customFormat="false" ht="15" hidden="false" customHeight="false" outlineLevel="0" collapsed="false">
      <c r="A35" s="0" t="s">
        <v>135</v>
      </c>
      <c r="B35" s="0" t="n">
        <f aca="false">B34/(1+B27/100)^L4</f>
        <v>184054.35746494</v>
      </c>
    </row>
    <row r="36" customFormat="false" ht="15" hidden="false" customHeight="false" outlineLevel="0" collapsed="false">
      <c r="A36" s="0" t="s">
        <v>136</v>
      </c>
      <c r="B36" s="0" t="n">
        <f aca="false">B30+B35</f>
        <v>342849.257579201</v>
      </c>
    </row>
    <row r="37" customFormat="false" ht="15" hidden="false" customHeight="false" outlineLevel="0" collapsed="false">
      <c r="A37" s="0" t="s">
        <v>137</v>
      </c>
      <c r="B37" s="0" t="n">
        <f aca="false">B36+Assumptions!$B$5-Assumptions!$B$4</f>
        <v>342849.257579201</v>
      </c>
    </row>
    <row r="38" customFormat="false" ht="15" hidden="false" customHeight="false" outlineLevel="0" collapsed="false">
      <c r="A38" s="0" t="s">
        <v>138</v>
      </c>
      <c r="B38" s="0" t="n">
        <f aca="false">B37/Assumptions!$B$3*Assumptions!$B$10</f>
        <v>1502.73607628475</v>
      </c>
    </row>
    <row r="39" customFormat="false" ht="15" hidden="false" customHeight="false" outlineLevel="0" collapsed="false">
      <c r="A39" s="0" t="s">
        <v>139</v>
      </c>
      <c r="B39" s="4" t="n">
        <f aca="false">B38/Assumptions!$B$2-1</f>
        <v>0.0766127498816094</v>
      </c>
    </row>
    <row r="41" customFormat="false" ht="15" hidden="false" customHeight="false" outlineLevel="0" collapsed="false">
      <c r="A41" s="0" t="s">
        <v>140</v>
      </c>
      <c r="B41" s="0" t="n">
        <f aca="false">SUMPRODUCT(-C10:L10/(1+$B$27/100)^C4:L4)</f>
        <v>4894.41686313933</v>
      </c>
    </row>
    <row r="42" customFormat="false" ht="15" hidden="false" customHeight="false" outlineLevel="0" collapsed="false">
      <c r="A42" s="0" t="s">
        <v>141</v>
      </c>
      <c r="B42" s="0" t="n">
        <f aca="false">IF(B27&gt;B28,-L10*(1+B28/100)/((B27-B28)/100),-L10*20)/(1+B27/100)^L4</f>
        <v>5054.40341514951</v>
      </c>
    </row>
    <row r="43" customFormat="false" ht="15" hidden="false" customHeight="false" outlineLevel="0" collapsed="false">
      <c r="A43" s="0" t="s">
        <v>142</v>
      </c>
      <c r="B43" s="0" t="n">
        <f aca="false">(B37+B41+B42)/Assumptions!$B$3*Assumptions!$B$10</f>
        <v>1546.34256169534</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312211.503956486</v>
      </c>
    </row>
    <row r="47" customFormat="false" ht="15" hidden="false" customHeight="false" outlineLevel="0" collapsed="false">
      <c r="A47" s="0" t="s">
        <v>144</v>
      </c>
      <c r="B47" s="0" t="n">
        <f aca="false">(SUMPRODUCT(C19:L19/(1+B45/100)^C4:L4)+B46/(1+B45/100)^L4+Assumptions!$B$5-Assumptions!$B$4)/Assumptions!$B$3*Assumptions!$B$10</f>
        <v>905.443387037566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946.792487452248</v>
      </c>
      <c r="C4" s="0" t="n">
        <f aca="false">B4/Assumptions!$B$2-1</f>
        <v>-0.321684705937636</v>
      </c>
      <c r="D4" s="4" t="n">
        <f aca="false">Assumptions!$B$24</f>
        <v>0.25</v>
      </c>
      <c r="E4" s="4" t="n">
        <f aca="false">DCF_Bear!$B$43</f>
        <v>979.907815032707</v>
      </c>
      <c r="F4" s="4" t="n">
        <f aca="false">DCF_Bear!$B$47</f>
        <v>631.067376222584</v>
      </c>
    </row>
    <row r="5" customFormat="false" ht="15" hidden="false" customHeight="false" outlineLevel="0" collapsed="false">
      <c r="A5" s="0" t="s">
        <v>153</v>
      </c>
      <c r="B5" s="4" t="n">
        <f aca="false">DCF_Base!$B$38</f>
        <v>1321.81235377386</v>
      </c>
      <c r="C5" s="0" t="n">
        <f aca="false">B5/Assumptions!$B$2-1</f>
        <v>-0.0530073407552243</v>
      </c>
      <c r="D5" s="4" t="n">
        <f aca="false">Assumptions!$B$38</f>
        <v>0.5</v>
      </c>
      <c r="E5" s="4" t="n">
        <f aca="false">DCF_Base!$B$43</f>
        <v>1362.24553461822</v>
      </c>
      <c r="F5" s="4" t="n">
        <f aca="false">DCF_Base!$B$47</f>
        <v>813.396937466885</v>
      </c>
    </row>
    <row r="6" customFormat="false" ht="15" hidden="false" customHeight="false" outlineLevel="0" collapsed="false">
      <c r="A6" s="0" t="s">
        <v>154</v>
      </c>
      <c r="B6" s="4" t="n">
        <f aca="false">DCF_Bull!$B$38</f>
        <v>1502.73607628475</v>
      </c>
      <c r="C6" s="0" t="n">
        <f aca="false">B6/Assumptions!$B$2-1</f>
        <v>0.0766127498816094</v>
      </c>
      <c r="D6" s="4" t="n">
        <f aca="false">Assumptions!$B$52</f>
        <v>0.25</v>
      </c>
      <c r="E6" s="4" t="n">
        <f aca="false">DCF_Bull!$B$43</f>
        <v>1546.34256169534</v>
      </c>
      <c r="F6" s="4" t="n">
        <f aca="false">DCF_Bull!$B$47</f>
        <v>905.443387037566</v>
      </c>
    </row>
    <row r="8" customFormat="false" ht="15" hidden="false" customHeight="false" outlineLevel="0" collapsed="false">
      <c r="A8" s="0" t="s">
        <v>155</v>
      </c>
      <c r="B8" s="0" t="n">
        <f aca="false">SUMPRODUCT(B4:B6,D4:D6)</f>
        <v>1273.28831782118</v>
      </c>
    </row>
    <row r="9" customFormat="false" ht="15" hidden="false" customHeight="false" outlineLevel="0" collapsed="false">
      <c r="A9" s="0" t="s">
        <v>156</v>
      </c>
      <c r="B9" s="0" t="n">
        <f aca="false">SUMPRODUCT(E4:E6,D4:D6)</f>
        <v>1312.68536149112</v>
      </c>
    </row>
    <row r="10" customFormat="false" ht="15" hidden="false" customHeight="false" outlineLevel="0" collapsed="false">
      <c r="A10" s="0" t="s">
        <v>157</v>
      </c>
      <c r="B10" s="0" t="n">
        <f aca="false">1-Assumptions!$B$2/B8</f>
        <v>-0.0962167644704859</v>
      </c>
    </row>
    <row r="11" customFormat="false" ht="15" hidden="false" customHeight="false" outlineLevel="0" collapsed="false">
      <c r="A11" s="0" t="s">
        <v>158</v>
      </c>
      <c r="B11" s="0" t="n">
        <f aca="false">IF(ABS(B9-B8)&gt;0.01*ABS(B8),(Assumptions!$B$2-B8)/(B9-B8)*100,"n/a")</f>
        <v>310.966688783007</v>
      </c>
    </row>
    <row r="12" customFormat="false" ht="15" hidden="false" customHeight="false" outlineLevel="0" collapsed="false">
      <c r="A12" s="0" t="s">
        <v>159</v>
      </c>
      <c r="B12" s="0" t="n">
        <f aca="false">SUMPRODUCT(F4:F6,D4:D6)</f>
        <v>790.82615954848</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1539.55332509656</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1418.95538715053</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1321.81235377386</v>
      </c>
      <c r="C17" s="3" t="n">
        <v>10.5</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1236.86969137371</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1095.44534966816</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813.396937466885</v>
      </c>
      <c r="C20" s="3" t="n">
        <v>15</v>
      </c>
    </row>
    <row r="22" customFormat="false" ht="15" hidden="false" customHeight="false" outlineLevel="0" collapsed="false">
      <c r="A22" s="2" t="s">
        <v>168</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1596.23970538683</v>
      </c>
      <c r="C24" s="0" t="n">
        <f aca="false">(SUMPRODUCT(DCF_Base!$C$19:$L$19/(1+$A$24/100)^DCF_Base!$C$4:$L$4)+MAX(0,MIN(IF($A$24&gt;$C$23,DCF_Base!$L$19*(1+$C$23/100)/(($A$24-$C$23)/100),DCF_Base!$L$19*DCF_Base!$B$29),DCF_Base!$L$19*DCF_Base!$B$29))/(1+$A$24/100)^DCF_Base!$L$4+Assumptions!$B$5-Assumptions!$B$4)/Assumptions!$B$3*Assumptions!$B$10</f>
        <v>1596.23970538683</v>
      </c>
      <c r="D24" s="0" t="n">
        <f aca="false">(SUMPRODUCT(DCF_Base!$C$19:$L$19/(1+$A$24/100)^DCF_Base!$C$4:$L$4)+MAX(0,MIN(IF($A$24&gt;$D$23,DCF_Base!$L$19*(1+$D$23/100)/(($A$24-$D$23)/100),DCF_Base!$L$19*DCF_Base!$B$29),DCF_Base!$L$19*DCF_Base!$B$29))/(1+$A$24/100)^DCF_Base!$L$4+Assumptions!$B$5-Assumptions!$B$4)/Assumptions!$B$3*Assumptions!$B$10</f>
        <v>1596.23970538683</v>
      </c>
      <c r="E24" s="0" t="n">
        <f aca="false">(SUMPRODUCT(DCF_Base!$C$19:$L$19/(1+$A$24/100)^DCF_Base!$C$4:$L$4)+MAX(0,MIN(IF($A$24&gt;$E$23,DCF_Base!$L$19*(1+$E$23/100)/(($A$24-$E$23)/100),DCF_Base!$L$19*DCF_Base!$B$29),DCF_Base!$L$19*DCF_Base!$B$29))/(1+$A$24/100)^DCF_Base!$L$4+Assumptions!$B$5-Assumptions!$B$4)/Assumptions!$B$3*Assumptions!$B$10</f>
        <v>1596.23970538683</v>
      </c>
      <c r="F24" s="0" t="n">
        <f aca="false">(SUMPRODUCT(DCF_Base!$C$19:$L$19/(1+$A$24/100)^DCF_Base!$C$4:$L$4)+MAX(0,MIN(IF($A$24&gt;$F$23,DCF_Base!$L$19*(1+$F$23/100)/(($A$24-$F$23)/100),DCF_Base!$L$19*DCF_Base!$B$29),DCF_Base!$L$19*DCF_Base!$B$29))/(1+$A$24/100)^DCF_Base!$L$4+Assumptions!$B$5-Assumptions!$B$4)/Assumptions!$B$3*Assumptions!$B$10</f>
        <v>1596.23970538683</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1409.80362490994</v>
      </c>
      <c r="C25" s="0" t="n">
        <f aca="false">(SUMPRODUCT(DCF_Base!$C$19:$L$19/(1+$A$25/100)^DCF_Base!$C$4:$L$4)+MAX(0,MIN(IF($A$25&gt;$C$23,DCF_Base!$L$19*(1+$C$23/100)/(($A$25-$C$23)/100),DCF_Base!$L$19*DCF_Base!$B$29),DCF_Base!$L$19*DCF_Base!$B$29))/(1+$A$25/100)^DCF_Base!$L$4+Assumptions!$B$5-Assumptions!$B$4)/Assumptions!$B$3*Assumptions!$B$10</f>
        <v>1466.12752634835</v>
      </c>
      <c r="D25" s="0" t="n">
        <f aca="false">(SUMPRODUCT(DCF_Base!$C$19:$L$19/(1+$A$25/100)^DCF_Base!$C$4:$L$4)+MAX(0,MIN(IF($A$25&gt;$D$23,DCF_Base!$L$19*(1+$D$23/100)/(($A$25-$D$23)/100),DCF_Base!$L$19*DCF_Base!$B$29),DCF_Base!$L$19*DCF_Base!$B$29))/(1+$A$25/100)^DCF_Base!$L$4+Assumptions!$B$5-Assumptions!$B$4)/Assumptions!$B$3*Assumptions!$B$10</f>
        <v>1485.41653369026</v>
      </c>
      <c r="E25" s="0" t="n">
        <f aca="false">(SUMPRODUCT(DCF_Base!$C$19:$L$19/(1+$A$25/100)^DCF_Base!$C$4:$L$4)+MAX(0,MIN(IF($A$25&gt;$E$23,DCF_Base!$L$19*(1+$E$23/100)/(($A$25-$E$23)/100),DCF_Base!$L$19*DCF_Base!$B$29),DCF_Base!$L$19*DCF_Base!$B$29))/(1+$A$25/100)^DCF_Base!$L$4+Assumptions!$B$5-Assumptions!$B$4)/Assumptions!$B$3*Assumptions!$B$10</f>
        <v>1485.41653369026</v>
      </c>
      <c r="F25" s="0" t="n">
        <f aca="false">(SUMPRODUCT(DCF_Base!$C$19:$L$19/(1+$A$25/100)^DCF_Base!$C$4:$L$4)+MAX(0,MIN(IF($A$25&gt;$F$23,DCF_Base!$L$19*(1+$F$23/100)/(($A$25-$F$23)/100),DCF_Base!$L$19*DCF_Base!$B$29),DCF_Base!$L$19*DCF_Base!$B$29))/(1+$A$25/100)^DCF_Base!$L$4+Assumptions!$B$5-Assumptions!$B$4)/Assumptions!$B$3*Assumptions!$B$10</f>
        <v>1485.41653369026</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1236.33158680058</v>
      </c>
      <c r="C26" s="0" t="n">
        <f aca="false">(SUMPRODUCT(DCF_Base!$C$19:$L$19/(1+$A$26/100)^DCF_Base!$C$4:$L$4)+MAX(0,MIN(IF($A$26&gt;$C$23,DCF_Base!$L$19*(1+$C$23/100)/(($A$26-$C$23)/100),DCF_Base!$L$19*DCF_Base!$B$29),DCF_Base!$L$19*DCF_Base!$B$29))/(1+$A$26/100)^DCF_Base!$L$4+Assumptions!$B$5-Assumptions!$B$4)/Assumptions!$B$3*Assumptions!$B$10</f>
        <v>1276.40069631931</v>
      </c>
      <c r="D26" s="0" t="n">
        <f aca="false">(SUMPRODUCT(DCF_Base!$C$19:$L$19/(1+$A$26/100)^DCF_Base!$C$4:$L$4)+MAX(0,MIN(IF($A$26&gt;$D$23,DCF_Base!$L$19*(1+$D$23/100)/(($A$26-$D$23)/100),DCF_Base!$L$19*DCF_Base!$B$29),DCF_Base!$L$19*DCF_Base!$B$29))/(1+$A$26/100)^DCF_Base!$L$4+Assumptions!$B$5-Assumptions!$B$4)/Assumptions!$B$3*Assumptions!$B$10</f>
        <v>1321.81235377386</v>
      </c>
      <c r="E26" s="0" t="n">
        <f aca="false">(SUMPRODUCT(DCF_Base!$C$19:$L$19/(1+$A$26/100)^DCF_Base!$C$4:$L$4)+MAX(0,MIN(IF($A$26&gt;$E$23,DCF_Base!$L$19*(1+$E$23/100)/(($A$26-$E$23)/100),DCF_Base!$L$19*DCF_Base!$B$29),DCF_Base!$L$19*DCF_Base!$B$29))/(1+$A$26/100)^DCF_Base!$L$4+Assumptions!$B$5-Assumptions!$B$4)/Assumptions!$B$3*Assumptions!$B$10</f>
        <v>1373.71139086477</v>
      </c>
      <c r="F26" s="0" t="n">
        <f aca="false">(SUMPRODUCT(DCF_Base!$C$19:$L$19/(1+$A$26/100)^DCF_Base!$C$4:$L$4)+MAX(0,MIN(IF($A$26&gt;$F$23,DCF_Base!$L$19*(1+$F$23/100)/(($A$26-$F$23)/100),DCF_Base!$L$19*DCF_Base!$B$29),DCF_Base!$L$19*DCF_Base!$B$29))/(1+$A$26/100)^DCF_Base!$L$4+Assumptions!$B$5-Assumptions!$B$4)/Assumptions!$B$3*Assumptions!$B$10</f>
        <v>1384.27906810048</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1099.74365110859</v>
      </c>
      <c r="C27" s="0" t="n">
        <f aca="false">(SUMPRODUCT(DCF_Base!$C$19:$L$19/(1+$A$27/100)^DCF_Base!$C$4:$L$4)+MAX(0,MIN(IF($A$27&gt;$C$23,DCF_Base!$L$19*(1+$C$23/100)/(($A$27-$C$23)/100),DCF_Base!$L$19*DCF_Base!$B$29),DCF_Base!$L$19*DCF_Base!$B$29))/(1+$A$27/100)^DCF_Base!$L$4+Assumptions!$B$5-Assumptions!$B$4)/Assumptions!$B$3*Assumptions!$B$10</f>
        <v>1129.12956384869</v>
      </c>
      <c r="D27" s="0" t="n">
        <f aca="false">(SUMPRODUCT(DCF_Base!$C$19:$L$19/(1+$A$27/100)^DCF_Base!$C$4:$L$4)+MAX(0,MIN(IF($A$27&gt;$D$23,DCF_Base!$L$19*(1+$D$23/100)/(($A$27-$D$23)/100),DCF_Base!$L$19*DCF_Base!$B$29),DCF_Base!$L$19*DCF_Base!$B$29))/(1+$A$27/100)^DCF_Base!$L$4+Assumptions!$B$5-Assumptions!$B$4)/Assumptions!$B$3*Assumptions!$B$10</f>
        <v>1161.97264279352</v>
      </c>
      <c r="E27" s="0" t="n">
        <f aca="false">(SUMPRODUCT(DCF_Base!$C$19:$L$19/(1+$A$27/100)^DCF_Base!$C$4:$L$4)+MAX(0,MIN(IF($A$27&gt;$E$23,DCF_Base!$L$19*(1+$E$23/100)/(($A$27-$E$23)/100),DCF_Base!$L$19*DCF_Base!$B$29),DCF_Base!$L$19*DCF_Base!$B$29))/(1+$A$27/100)^DCF_Base!$L$4+Assumptions!$B$5-Assumptions!$B$4)/Assumptions!$B$3*Assumptions!$B$10</f>
        <v>1198.92110660645</v>
      </c>
      <c r="F27" s="0" t="n">
        <f aca="false">(SUMPRODUCT(DCF_Base!$C$19:$L$19/(1+$A$27/100)^DCF_Base!$C$4:$L$4)+MAX(0,MIN(IF($A$27&gt;$F$23,DCF_Base!$L$19*(1+$F$23/100)/(($A$27-$F$23)/100),DCF_Base!$L$19*DCF_Base!$B$29),DCF_Base!$L$19*DCF_Base!$B$29))/(1+$A$27/100)^DCF_Base!$L$4+Assumptions!$B$5-Assumptions!$B$4)/Assumptions!$B$3*Assumptions!$B$10</f>
        <v>1240.7960322611</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989.478682765793</v>
      </c>
      <c r="C28" s="0" t="n">
        <f aca="false">(SUMPRODUCT(DCF_Base!$C$19:$L$19/(1+$A$28/100)^DCF_Base!$C$4:$L$4)+MAX(0,MIN(IF($A$28&gt;$C$23,DCF_Base!$L$19*(1+$C$23/100)/(($A$28-$C$23)/100),DCF_Base!$L$19*DCF_Base!$B$29),DCF_Base!$L$19*DCF_Base!$B$29))/(1+$A$28/100)^DCF_Base!$L$4+Assumptions!$B$5-Assumptions!$B$4)/Assumptions!$B$3*Assumptions!$B$10</f>
        <v>1011.55959973829</v>
      </c>
      <c r="D28" s="0" t="n">
        <f aca="false">(SUMPRODUCT(DCF_Base!$C$19:$L$19/(1+$A$28/100)^DCF_Base!$C$4:$L$4)+MAX(0,MIN(IF($A$28&gt;$D$23,DCF_Base!$L$19*(1+$D$23/100)/(($A$28-$D$23)/100),DCF_Base!$L$19*DCF_Base!$B$29),DCF_Base!$L$19*DCF_Base!$B$29))/(1+$A$28/100)^DCF_Base!$L$4+Assumptions!$B$5-Assumptions!$B$4)/Assumptions!$B$3*Assumptions!$B$10</f>
        <v>1035.96482376053</v>
      </c>
      <c r="E28" s="0" t="n">
        <f aca="false">(SUMPRODUCT(DCF_Base!$C$19:$L$19/(1+$A$28/100)^DCF_Base!$C$4:$L$4)+MAX(0,MIN(IF($A$28&gt;$E$23,DCF_Base!$L$19*(1+$E$23/100)/(($A$28-$E$23)/100),DCF_Base!$L$19*DCF_Base!$B$29),DCF_Base!$L$19*DCF_Base!$B$29))/(1+$A$28/100)^DCF_Base!$L$4+Assumptions!$B$5-Assumptions!$B$4)/Assumptions!$B$3*Assumptions!$B$10</f>
        <v>1063.0817393408</v>
      </c>
      <c r="F28" s="0" t="n">
        <f aca="false">(SUMPRODUCT(DCF_Base!$C$19:$L$19/(1+$A$28/100)^DCF_Base!$C$4:$L$4)+MAX(0,MIN(IF($A$28&gt;$F$23,DCF_Base!$L$19*(1+$F$23/100)/(($A$28-$F$23)/100),DCF_Base!$L$19*DCF_Base!$B$29),DCF_Base!$L$19*DCF_Base!$B$29))/(1+$A$28/100)^DCF_Base!$L$4+Assumptions!$B$5-Assumptions!$B$4)/Assumptions!$B$3*Assumptions!$B$10</f>
        <v>1093.38888028344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2026-10-09T23:32:40Z</dcterms:created>
  <dc:creator>openpyxl</dc:creator>
  <dc:description/>
  <dc:language>en-NZ</dc:language>
  <cp:lastModifiedBy/>
  <dcterms:modified xsi:type="dcterms:W3CDTF">2026-10-09T23:32:40Z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