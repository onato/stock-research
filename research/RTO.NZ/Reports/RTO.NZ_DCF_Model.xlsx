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ll Valuation" sheetId="1" r:id="rId1"/>
    <sheet name="Sensitivity" sheetId="2" r:id="rId2"/>
    <sheet name="FCF Quality" sheetId="3" r:id="rId3"/>
    <sheet name="Historical" sheetId="4" r:id="rId4"/>
    <sheet name="Model_Info" sheetId="5" r:id="rId5"/>
  </sheets>
  <calcPr calcId="124519" fullCalcOnLoad="1"/>
</workbook>
</file>

<file path=xl/sharedStrings.xml><?xml version="1.0" encoding="utf-8"?>
<sst xmlns="http://schemas.openxmlformats.org/spreadsheetml/2006/main" count="123" uniqueCount="114">
  <si>
    <t>RTO.NZ Asset/Scenario Shell Valuation Model</t>
  </si>
  <si>
    <t>This is NOT a growth DCF - RTO Limited is a dormant cash shell with no operating business.</t>
  </si>
  <si>
    <t>Gray cells are INPUTS - adjust to see valuation change</t>
  </si>
  <si>
    <t>KEY INPUTS</t>
  </si>
  <si>
    <t>Current Stock Price (RTO.NZ)</t>
  </si>
  <si>
    <t>Shares Outstanding</t>
  </si>
  <si>
    <t>FY2026 Cash (NZD)</t>
  </si>
  <si>
    <t>FY2026 Total Debt (NZD)</t>
  </si>
  <si>
    <t>FY2026 Total Liabilities (NZD)</t>
  </si>
  <si>
    <t>FY2026 Shareholders' Equity / NTA (NZD)</t>
  </si>
  <si>
    <t>Pending Shareholder Loan (NZD, not yet drawn)</t>
  </si>
  <si>
    <t>NTA per Share (formula)</t>
  </si>
  <si>
    <t>Market Cap (formula)</t>
  </si>
  <si>
    <t>Price / NTA multiple (formula)</t>
  </si>
  <si>
    <t>SCENARIO ASSUMPTIONS</t>
  </si>
  <si>
    <t>Bear</t>
  </si>
  <si>
    <t>Base</t>
  </si>
  <si>
    <t>Bull</t>
  </si>
  <si>
    <t>Probability Weight</t>
  </si>
  <si>
    <t>Weights sum check (formula)</t>
  </si>
  <si>
    <t>Bear: Residual equity value after loan/wind-up (NZD)</t>
  </si>
  <si>
    <t>Base: Tangible equity / NTA (NZD)</t>
  </si>
  <si>
    <t>Base: Shell scarcity value (NZD)</t>
  </si>
  <si>
    <t>Base: Total equity value (formula)</t>
  </si>
  <si>
    <t>Bull: Upper-precedent completed-RTO shell value (NZD)</t>
  </si>
  <si>
    <t>SCENARIO INTRINSIC VALUES (per share, formulas)</t>
  </si>
  <si>
    <t>Equity Value (NZD)</t>
  </si>
  <si>
    <t>Intrinsic Value / Share</t>
  </si>
  <si>
    <t>Implied P/NTA multiple</t>
  </si>
  <si>
    <t>Upside / (Downside) vs Current Price</t>
  </si>
  <si>
    <t>PROBABILITY-WEIGHTED VALUATION</t>
  </si>
  <si>
    <t>Weighted Intrinsic Value / Share</t>
  </si>
  <si>
    <t>Weighted Upside / (Downside) vs Current Price</t>
  </si>
  <si>
    <t>Weighted Implied P/NTA multiple</t>
  </si>
  <si>
    <t>ENTRY PRICE (no IRR mechanics - shell has no distributable cash flow)</t>
  </si>
  <si>
    <t>Recommended Entry Price = Probability-Weighted Intrinsic Value</t>
  </si>
  <si>
    <t>Discount required vs current price to reach entry price (formula)</t>
  </si>
  <si>
    <t>Note: RTO Limited pays no dividends and has never generated distributable</t>
  </si>
  <si>
    <t>free cash flow. A standard 15%-IRR entry-price/exit formula does not apply.</t>
  </si>
  <si>
    <t>The probability-weighted intrinsic value above IS the entry-price answer.</t>
  </si>
  <si>
    <t>Sensitivity Analysis - Base Case</t>
  </si>
  <si>
    <t>Intrinsic Value/Share by NTA Haircut (rows) and Shell Scarcity Value (columns)</t>
  </si>
  <si>
    <t>All cells are FORMULAS referencing the Shell Valuation sheet inputs.</t>
  </si>
  <si>
    <t>Haircut \ Shell $</t>
  </si>
  <si>
    <t>Current Price Reference</t>
  </si>
  <si>
    <t>Note</t>
  </si>
  <si>
    <t>Only the top-right corner (0% haircut, $1.0M shell value) approaches the current</t>
  </si>
  <si>
    <t>market price - requiring simultaneously crediting full unhaircut book value AND</t>
  </si>
  <si>
    <t>assuming near-maximum plausible shell premium. Not the modal outcome.</t>
  </si>
  <si>
    <t>Cash Burn / "FCF Quality" Reconciliation</t>
  </si>
  <si>
    <t>RTO Limited has NO free cash flow to reconcile - this sheet documents WHY, and shows</t>
  </si>
  <si>
    <t>the full historical cash-burn series in place of an owner-FCF build.</t>
  </si>
  <si>
    <t>Period</t>
  </si>
  <si>
    <t>FY2021</t>
  </si>
  <si>
    <t>FY2022</t>
  </si>
  <si>
    <t>FY2023</t>
  </si>
  <si>
    <t>FY2024</t>
  </si>
  <si>
    <t>FY2025</t>
  </si>
  <si>
    <t>FY2026</t>
  </si>
  <si>
    <t>Operating Cash Flow (NZD millions)</t>
  </si>
  <si>
    <t>Net Income (NZD millions)</t>
  </si>
  <si>
    <t>Shareholders' Equity / NTA (NZD millions)</t>
  </si>
  <si>
    <t>Reported FCF (company definition)</t>
  </si>
  <si>
    <t>Less: SBC incl. equity-award taxes</t>
  </si>
  <si>
    <t>Less: Interest income</t>
  </si>
  <si>
    <t>Owner FCF (formula)</t>
  </si>
  <si>
    <t>Why no FCF projection exists:</t>
  </si>
  <si>
    <t>The mortgage-lending business was discontinued in FY2023. Every year since has</t>
  </si>
  <si>
    <t>been a cash outflow funded by drawing down the cash balance, not by operations.</t>
  </si>
  <si>
    <t>FY2026 total income of $70,031 is $69,000 one-off reimbursement + $1,031 bank</t>
  </si>
  <si>
    <t>interest - neither is repeatable operating revenue. There is no owner-FCF base</t>
  </si>
  <si>
    <t>to project forward; this is why the model values scenarios on NTA + option value.</t>
  </si>
  <si>
    <t>Cash Runway Check</t>
  </si>
  <si>
    <t>FY2026 Annual Burn (NZD)</t>
  </si>
  <si>
    <t>Runway (years, formula)</t>
  </si>
  <si>
    <t>Historical Growth Rates</t>
  </si>
  <si>
    <t>Not applicable in the conventional sense - see notes below.</t>
  </si>
  <si>
    <t>Metric</t>
  </si>
  <si>
    <t>3-Year CAGR</t>
  </si>
  <si>
    <t>5-Year CAGR</t>
  </si>
  <si>
    <t>Revenue</t>
  </si>
  <si>
    <t>n/a</t>
  </si>
  <si>
    <t>EPS</t>
  </si>
  <si>
    <t>Equity / NTA</t>
  </si>
  <si>
    <t>FCF</t>
  </si>
  <si>
    <t>Growth Rate Source:</t>
  </si>
  <si>
    <t>not_applicable_asset_scenario_model</t>
  </si>
  <si>
    <t>Note:</t>
  </si>
  <si>
    <t>No meaningful revenue, EPS, or FCF history exists to extrapolate. The only genuinely trending series is NTA per share, which nearly halved in FY2026 alone (3.61c to 1.87c) purely from overhead burn with no offsetting revenue. This is why the valuation approach below abandons growth-rate selection entirely in favour of scenario-weighted asset/option valuation.</t>
  </si>
  <si>
    <t>Model Provenance &amp; Methodology Notes</t>
  </si>
  <si>
    <t>Ticker</t>
  </si>
  <si>
    <t>RTO.NZ (RTO Limited, formerly Blackwell Global Holdings Limited / BGI.NZ)</t>
  </si>
  <si>
    <t>Built by</t>
  </si>
  <si>
    <t>Claude agent (DCF/valuation workflow), per project CLAUDE.md instructions</t>
  </si>
  <si>
    <t>Valuation date</t>
  </si>
  <si>
    <t>2026-08-13</t>
  </si>
  <si>
    <t>Price date/source</t>
  </si>
  <si>
    <t>Yahoo Finance chart API, regularMarketPrice, verified 13-Aug-2026 ~12:04 NZT (251 daily bars, RTO.NZ actively trading)</t>
  </si>
  <si>
    <t>Price used</t>
  </si>
  <si>
    <t>NZ$0.118 (RTO.NZ) - NOT the dead BGI.NZ quote of $0.004 frozen at 30-Apr-2024</t>
  </si>
  <si>
    <t>Filing vintage</t>
  </si>
  <si>
    <t>FY2026 Annual Report (year ended 31 March 2026), signed by auditor William Buck 24 June 2026</t>
  </si>
  <si>
    <t>Methodology</t>
  </si>
  <si>
    <t>Asset/scenario-weighted valuation, NOT a growth DCF. RTO Limited has no operating business, no revenue, and no positive FCF history since the mortgage-lending business was discontinued in FY2023. Value is modelled as a probability-weighted mix of bear (wind-up/dilutive rescue), base (persistent shell plus modest scarcity premium), and bull (prompt favourable-terms RTO) scenarios. This mirrors the approach used for AFC.NZ and this company's own prior model under the BGI.NZ ticker.</t>
  </si>
  <si>
    <t>Key methodology choices</t>
  </si>
  <si>
    <t>(1) Base case = FY2026 NTA ($187,125) + NZ$500,000 shell scarcity value, anchored to AFC.NZ NZX shell-value precedent (NZ$0.5-1.5M range). (2) Bull case = NZ$2.5M upper-precedent completed-RTO shell value (pre-dilution retained economic claim). (3) Bear case = NZ$20,000 residual after the pending $200,000 shareholder loan (once drawn) ranks ahead of equity in a wind-up. (4) Probability weights 60% bear / 32% base / 8% bull, reflecting a multi-year pattern of unconverted RTO "discussions", an explicit going-concern qualification, and under 8 months of pre-loan cash runway.</t>
  </si>
  <si>
    <t>What changed from the prior (BGI.NZ) model</t>
  </si>
  <si>
    <t>ONLY the price and every figure derived from it: current_price ($0.004 dead BGI.NZ quote -&gt; $0.118 live RTO.NZ quote), upside for all three scenarios, weighted upside, entry-price discount narrative, sensitivity matrix read note, and sanity-check P/NTA multiple/trip reasons. The underlying scenario dollar values (bear $20,000 / base $687,125 / bull $2,500,000 equity value) are UNCHANGED - they do not depend on the market price.</t>
  </si>
  <si>
    <t>What to refresh after next filing/print</t>
  </si>
  <si>
    <t>FY2027 annual report (expected ~June 2027): update cash, NTA, burn rate, going-concern status, and status of the $200,000 shareholder loan (drawn? repaid? converted?) and of any RTO transaction. Re-verify RTO.NZ live price at that time - do not reuse this file's $0.118 without checking it is still current.</t>
  </si>
  <si>
    <t>Cell colour convention</t>
  </si>
  <si>
    <t>Gray-filled cells (light blue-gray, #dfe6e9) on the Shell Valuation sheet are INPUTS - edit these to see the model recalculate. White cells are FORMULAS derived from the inputs. Green cells are headline OUTPUTS (weighted intrinsic value, entry price). Red cell is the weighted upside/downside, flagged red because it is currently a large negative number.</t>
  </si>
  <si>
    <t>Known limitation</t>
  </si>
  <si>
    <t>Figures go stale. Cash, NTA, and burn rate are FY2026 year-end (31-Mar-2026) figures; by the time this is read, roughly 4-5 months of further burn (and the pending shareholder loan draw) will likely have occurred but are not reflected in the balance-sheet inputs above.</t>
  </si>
</sst>
</file>

<file path=xl/styles.xml><?xml version="1.0" encoding="utf-8"?>
<styleSheet xmlns="http://schemas.openxmlformats.org/spreadsheetml/2006/main">
  <numFmts count="7">
    <numFmt numFmtId="164" formatCode="&quot;$&quot;#,##0.0000"/>
    <numFmt numFmtId="165" formatCode="#,##0"/>
    <numFmt numFmtId="166" formatCode="0.00&quot;x&quot;"/>
    <numFmt numFmtId="167" formatCode="0.0%"/>
    <numFmt numFmtId="168" formatCode="&quot;$&quot;#,##0"/>
    <numFmt numFmtId="169" formatCode="0%"/>
    <numFmt numFmtId="170" formatCode="0.00&quot;yr&quot;"/>
  </numFmts>
  <fonts count="6">
    <font>
      <sz val="11"/>
      <color theme="1"/>
      <name val="Calibri"/>
      <family val="2"/>
      <scheme val="minor"/>
    </font>
    <font>
      <b/>
      <sz val="16"/>
      <color theme="1"/>
      <name val="Calibri"/>
      <family val="2"/>
      <scheme val="minor"/>
    </font>
    <font>
      <i/>
      <sz val="11"/>
      <color rgb="FF808080"/>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s>
  <fills count="6">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
      <patternFill patternType="solid">
        <fgColor rgb="FFD63031"/>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1" xfId="0" applyFont="1" applyBorder="1"/>
    <xf numFmtId="164" fontId="0" fillId="2" borderId="2" xfId="0" applyNumberFormat="1" applyFill="1" applyBorder="1"/>
    <xf numFmtId="165" fontId="0" fillId="2" borderId="2" xfId="0" applyNumberFormat="1" applyFill="1" applyBorder="1"/>
    <xf numFmtId="164" fontId="0" fillId="0" borderId="2" xfId="0" applyNumberFormat="1" applyBorder="1"/>
    <xf numFmtId="165" fontId="0" fillId="0" borderId="2" xfId="0" applyNumberFormat="1" applyBorder="1"/>
    <xf numFmtId="166" fontId="0" fillId="0" borderId="2" xfId="0" applyNumberFormat="1" applyBorder="1"/>
    <xf numFmtId="0" fontId="4" fillId="3" borderId="2" xfId="0" applyFont="1" applyFill="1" applyBorder="1"/>
    <xf numFmtId="167" fontId="0" fillId="2" borderId="2" xfId="0" applyNumberFormat="1" applyFill="1" applyBorder="1"/>
    <xf numFmtId="167" fontId="0" fillId="0" borderId="2" xfId="0" applyNumberFormat="1" applyBorder="1"/>
    <xf numFmtId="164" fontId="4" fillId="4" borderId="2" xfId="0" applyNumberFormat="1" applyFont="1" applyFill="1" applyBorder="1"/>
    <xf numFmtId="167" fontId="4" fillId="5" borderId="2" xfId="0" applyNumberFormat="1" applyFont="1" applyFill="1" applyBorder="1"/>
    <xf numFmtId="0" fontId="0" fillId="0" borderId="0" xfId="0" applyAlignment="1">
      <alignment vertical="top" wrapText="1"/>
    </xf>
    <xf numFmtId="168" fontId="4" fillId="3" borderId="0" xfId="0" applyNumberFormat="1" applyFont="1" applyFill="1"/>
    <xf numFmtId="169" fontId="4" fillId="3" borderId="0" xfId="0" applyNumberFormat="1" applyFont="1" applyFill="1"/>
    <xf numFmtId="0" fontId="5" fillId="0" borderId="0" xfId="0" applyFont="1"/>
    <xf numFmtId="170" fontId="0" fillId="0" borderId="2"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7"/>
  <sheetViews>
    <sheetView tabSelected="1" workbookViewId="0"/>
  </sheetViews>
  <sheetFormatPr defaultRowHeight="15"/>
  <cols>
    <col min="1" max="1" width="32.7109375" customWidth="1"/>
    <col min="2" max="7" width="15.7109375" customWidth="1"/>
  </cols>
  <sheetData>
    <row r="1" spans="1:2">
      <c r="A1" s="1" t="s">
        <v>0</v>
      </c>
    </row>
    <row r="2" spans="1:2">
      <c r="A2" s="2" t="s">
        <v>1</v>
      </c>
    </row>
    <row r="3" spans="1:2">
      <c r="A3" s="2" t="s">
        <v>2</v>
      </c>
    </row>
    <row r="5" spans="1:2">
      <c r="A5" s="3" t="s">
        <v>3</v>
      </c>
    </row>
    <row r="6" spans="1:2">
      <c r="A6" t="s">
        <v>4</v>
      </c>
      <c r="B6" s="4">
        <v>0.118</v>
      </c>
    </row>
    <row r="7" spans="1:2">
      <c r="A7" t="s">
        <v>5</v>
      </c>
      <c r="B7" s="5">
        <v>10000026</v>
      </c>
    </row>
    <row r="8" spans="1:2">
      <c r="A8" t="s">
        <v>6</v>
      </c>
      <c r="B8" s="5">
        <v>114903</v>
      </c>
    </row>
    <row r="9" spans="1:2">
      <c r="A9" t="s">
        <v>7</v>
      </c>
      <c r="B9" s="5">
        <v>0</v>
      </c>
    </row>
    <row r="10" spans="1:2">
      <c r="A10" t="s">
        <v>8</v>
      </c>
      <c r="B10" s="5">
        <v>14956</v>
      </c>
    </row>
    <row r="11" spans="1:2">
      <c r="A11" t="s">
        <v>9</v>
      </c>
      <c r="B11" s="5">
        <v>187125</v>
      </c>
    </row>
    <row r="12" spans="1:2">
      <c r="A12" t="s">
        <v>10</v>
      </c>
      <c r="B12" s="5">
        <v>200000</v>
      </c>
    </row>
    <row r="14" spans="1:2">
      <c r="A14" t="s">
        <v>11</v>
      </c>
      <c r="B14" s="6">
        <f>B11/B7</f>
        <v>0</v>
      </c>
    </row>
    <row r="15" spans="1:2">
      <c r="A15" t="s">
        <v>12</v>
      </c>
      <c r="B15" s="7">
        <f>B6*B7</f>
        <v>0</v>
      </c>
    </row>
    <row r="16" spans="1:2">
      <c r="A16" t="s">
        <v>13</v>
      </c>
      <c r="B16" s="8">
        <f>B15/B11</f>
        <v>0</v>
      </c>
    </row>
    <row r="18" spans="1:4">
      <c r="A18" s="3" t="s">
        <v>14</v>
      </c>
    </row>
    <row r="19" spans="1:4">
      <c r="A19" s="9"/>
      <c r="B19" s="9" t="s">
        <v>15</v>
      </c>
      <c r="C19" s="9" t="s">
        <v>16</v>
      </c>
      <c r="D19" s="9" t="s">
        <v>17</v>
      </c>
    </row>
    <row r="20" spans="1:4">
      <c r="A20" t="s">
        <v>18</v>
      </c>
      <c r="B20" s="10">
        <v>0.6</v>
      </c>
      <c r="C20" s="10">
        <v>0.32</v>
      </c>
      <c r="D20" s="10">
        <v>0.08</v>
      </c>
    </row>
    <row r="21" spans="1:4">
      <c r="A21" t="s">
        <v>19</v>
      </c>
      <c r="B21" s="11">
        <f>SUM(B20:D20)</f>
        <v>0</v>
      </c>
    </row>
    <row r="23" spans="1:4">
      <c r="A23" t="s">
        <v>20</v>
      </c>
      <c r="B23" s="5">
        <v>20000</v>
      </c>
    </row>
    <row r="24" spans="1:4">
      <c r="A24" t="s">
        <v>21</v>
      </c>
      <c r="B24" s="5">
        <v>187125</v>
      </c>
    </row>
    <row r="25" spans="1:4">
      <c r="A25" t="s">
        <v>22</v>
      </c>
      <c r="B25" s="5">
        <v>500000</v>
      </c>
    </row>
    <row r="26" spans="1:4">
      <c r="A26" t="s">
        <v>23</v>
      </c>
      <c r="B26" s="7">
        <f>B24+B25</f>
        <v>0</v>
      </c>
    </row>
    <row r="27" spans="1:4">
      <c r="A27" t="s">
        <v>24</v>
      </c>
      <c r="B27" s="5">
        <v>2500000</v>
      </c>
    </row>
    <row r="29" spans="1:4">
      <c r="A29" s="3" t="s">
        <v>25</v>
      </c>
    </row>
    <row r="30" spans="1:4">
      <c r="A30" s="9"/>
      <c r="B30" s="9" t="s">
        <v>15</v>
      </c>
      <c r="C30" s="9" t="s">
        <v>16</v>
      </c>
      <c r="D30" s="9" t="s">
        <v>17</v>
      </c>
    </row>
    <row r="31" spans="1:4">
      <c r="A31" t="s">
        <v>26</v>
      </c>
      <c r="B31" s="7">
        <f>B23</f>
        <v>0</v>
      </c>
      <c r="C31" s="7">
        <f>B26</f>
        <v>0</v>
      </c>
      <c r="D31" s="7">
        <f>B27</f>
        <v>0</v>
      </c>
    </row>
    <row r="32" spans="1:4">
      <c r="A32" t="s">
        <v>27</v>
      </c>
      <c r="B32" s="6">
        <f>B31/$B$7</f>
        <v>0</v>
      </c>
      <c r="C32" s="6">
        <f>C31/$B$7</f>
        <v>0</v>
      </c>
      <c r="D32" s="6">
        <f>D31/$B$7</f>
        <v>0</v>
      </c>
    </row>
    <row r="33" spans="1:4">
      <c r="A33" t="s">
        <v>28</v>
      </c>
      <c r="B33" s="8">
        <f>B31/$B$11</f>
        <v>0</v>
      </c>
      <c r="C33" s="8">
        <f>C31/$B$11</f>
        <v>0</v>
      </c>
      <c r="D33" s="8">
        <f>D31/$B$11</f>
        <v>0</v>
      </c>
    </row>
    <row r="34" spans="1:4">
      <c r="A34" t="s">
        <v>29</v>
      </c>
      <c r="B34" s="11">
        <f>(B32-$B$6)/$B$6</f>
        <v>0</v>
      </c>
      <c r="C34" s="11">
        <f>(C32-$B$6)/$B$6</f>
        <v>0</v>
      </c>
      <c r="D34" s="11">
        <f>(D32-$B$6)/$B$6</f>
        <v>0</v>
      </c>
    </row>
    <row r="36" spans="1:4">
      <c r="A36" s="3" t="s">
        <v>30</v>
      </c>
    </row>
    <row r="37" spans="1:4">
      <c r="A37" t="s">
        <v>31</v>
      </c>
      <c r="B37" s="12">
        <f>B20*B32+C20*C32+D20*D32</f>
        <v>0</v>
      </c>
    </row>
    <row r="38" spans="1:4">
      <c r="A38" t="s">
        <v>32</v>
      </c>
      <c r="B38" s="13">
        <f>(B37-$B$6)/$B$6</f>
        <v>0</v>
      </c>
    </row>
    <row r="39" spans="1:4">
      <c r="A39" t="s">
        <v>33</v>
      </c>
      <c r="B39" s="8">
        <f>B37*$B$7/$B$11</f>
        <v>0</v>
      </c>
    </row>
    <row r="41" spans="1:4">
      <c r="A41" s="3" t="s">
        <v>34</v>
      </c>
    </row>
    <row r="42" spans="1:4">
      <c r="A42" t="s">
        <v>35</v>
      </c>
      <c r="B42" s="12">
        <f>B37</f>
        <v>0</v>
      </c>
    </row>
    <row r="43" spans="1:4">
      <c r="A43" t="s">
        <v>36</v>
      </c>
      <c r="B43" s="11">
        <f>(B6-B42)/B6</f>
        <v>0</v>
      </c>
    </row>
    <row r="45" spans="1:4">
      <c r="A45" s="14" t="s">
        <v>37</v>
      </c>
    </row>
    <row r="46" spans="1:4">
      <c r="A46" s="14" t="s">
        <v>38</v>
      </c>
    </row>
    <row r="47" spans="1:4">
      <c r="A47" s="14"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6"/>
  <sheetViews>
    <sheetView workbookViewId="0"/>
  </sheetViews>
  <sheetFormatPr defaultRowHeight="15"/>
  <cols>
    <col min="1" max="1" width="22.7109375" customWidth="1"/>
    <col min="2" max="6" width="13.7109375" customWidth="1"/>
  </cols>
  <sheetData>
    <row r="1" spans="1:6">
      <c r="A1" s="1" t="s">
        <v>40</v>
      </c>
    </row>
    <row r="2" spans="1:6">
      <c r="A2" t="s">
        <v>41</v>
      </c>
    </row>
    <row r="3" spans="1:6">
      <c r="A3" s="2" t="s">
        <v>42</v>
      </c>
    </row>
    <row r="5" spans="1:6">
      <c r="A5" s="9" t="s">
        <v>43</v>
      </c>
      <c r="B5" s="15">
        <v>0</v>
      </c>
      <c r="C5" s="15">
        <v>250000</v>
      </c>
      <c r="D5" s="15">
        <v>500000</v>
      </c>
      <c r="E5" s="15">
        <v>750000</v>
      </c>
      <c r="F5" s="15">
        <v>1000000</v>
      </c>
    </row>
    <row r="6" spans="1:6">
      <c r="A6" s="16">
        <v>0</v>
      </c>
      <c r="B6" s="6">
        <f>('Shell Valuation'!$B$11*(1-0.0)+0)/'Shell Valuation'!$B$7</f>
        <v>0</v>
      </c>
      <c r="C6" s="6">
        <f>('Shell Valuation'!$B$11*(1-0.0)+250000)/'Shell Valuation'!$B$7</f>
        <v>0</v>
      </c>
      <c r="D6" s="6">
        <f>('Shell Valuation'!$B$11*(1-0.0)+500000)/'Shell Valuation'!$B$7</f>
        <v>0</v>
      </c>
      <c r="E6" s="6">
        <f>('Shell Valuation'!$B$11*(1-0.0)+750000)/'Shell Valuation'!$B$7</f>
        <v>0</v>
      </c>
      <c r="F6" s="6">
        <f>('Shell Valuation'!$B$11*(1-0.0)+1000000)/'Shell Valuation'!$B$7</f>
        <v>0</v>
      </c>
    </row>
    <row r="7" spans="1:6">
      <c r="A7" s="16">
        <v>0.25</v>
      </c>
      <c r="B7" s="6">
        <f>('Shell Valuation'!$B$11*(1-0.25)+0)/'Shell Valuation'!$B$7</f>
        <v>0</v>
      </c>
      <c r="C7" s="6">
        <f>('Shell Valuation'!$B$11*(1-0.25)+250000)/'Shell Valuation'!$B$7</f>
        <v>0</v>
      </c>
      <c r="D7" s="6">
        <f>('Shell Valuation'!$B$11*(1-0.25)+500000)/'Shell Valuation'!$B$7</f>
        <v>0</v>
      </c>
      <c r="E7" s="6">
        <f>('Shell Valuation'!$B$11*(1-0.25)+750000)/'Shell Valuation'!$B$7</f>
        <v>0</v>
      </c>
      <c r="F7" s="6">
        <f>('Shell Valuation'!$B$11*(1-0.25)+1000000)/'Shell Valuation'!$B$7</f>
        <v>0</v>
      </c>
    </row>
    <row r="8" spans="1:6">
      <c r="A8" s="16">
        <v>0.5</v>
      </c>
      <c r="B8" s="6">
        <f>('Shell Valuation'!$B$11*(1-0.5)+0)/'Shell Valuation'!$B$7</f>
        <v>0</v>
      </c>
      <c r="C8" s="6">
        <f>('Shell Valuation'!$B$11*(1-0.5)+250000)/'Shell Valuation'!$B$7</f>
        <v>0</v>
      </c>
      <c r="D8" s="6">
        <f>('Shell Valuation'!$B$11*(1-0.5)+500000)/'Shell Valuation'!$B$7</f>
        <v>0</v>
      </c>
      <c r="E8" s="6">
        <f>('Shell Valuation'!$B$11*(1-0.5)+750000)/'Shell Valuation'!$B$7</f>
        <v>0</v>
      </c>
      <c r="F8" s="6">
        <f>('Shell Valuation'!$B$11*(1-0.5)+1000000)/'Shell Valuation'!$B$7</f>
        <v>0</v>
      </c>
    </row>
    <row r="9" spans="1:6">
      <c r="A9" s="16">
        <v>0.75</v>
      </c>
      <c r="B9" s="6">
        <f>('Shell Valuation'!$B$11*(1-0.75)+0)/'Shell Valuation'!$B$7</f>
        <v>0</v>
      </c>
      <c r="C9" s="6">
        <f>('Shell Valuation'!$B$11*(1-0.75)+250000)/'Shell Valuation'!$B$7</f>
        <v>0</v>
      </c>
      <c r="D9" s="6">
        <f>('Shell Valuation'!$B$11*(1-0.75)+500000)/'Shell Valuation'!$B$7</f>
        <v>0</v>
      </c>
      <c r="E9" s="6">
        <f>('Shell Valuation'!$B$11*(1-0.75)+750000)/'Shell Valuation'!$B$7</f>
        <v>0</v>
      </c>
      <c r="F9" s="6">
        <f>('Shell Valuation'!$B$11*(1-0.75)+1000000)/'Shell Valuation'!$B$7</f>
        <v>0</v>
      </c>
    </row>
    <row r="10" spans="1:6">
      <c r="A10" s="16">
        <v>1</v>
      </c>
      <c r="B10" s="6">
        <f>('Shell Valuation'!$B$11*(1-1.0)+0)/'Shell Valuation'!$B$7</f>
        <v>0</v>
      </c>
      <c r="C10" s="6">
        <f>('Shell Valuation'!$B$11*(1-1.0)+250000)/'Shell Valuation'!$B$7</f>
        <v>0</v>
      </c>
      <c r="D10" s="6">
        <f>('Shell Valuation'!$B$11*(1-1.0)+500000)/'Shell Valuation'!$B$7</f>
        <v>0</v>
      </c>
      <c r="E10" s="6">
        <f>('Shell Valuation'!$B$11*(1-1.0)+750000)/'Shell Valuation'!$B$7</f>
        <v>0</v>
      </c>
      <c r="F10" s="6">
        <f>('Shell Valuation'!$B$11*(1-1.0)+1000000)/'Shell Valuation'!$B$7</f>
        <v>0</v>
      </c>
    </row>
    <row r="12" spans="1:6">
      <c r="A12" t="s">
        <v>44</v>
      </c>
      <c r="B12" s="6">
        <f>'Shell Valuation'!$B$6</f>
        <v>0</v>
      </c>
    </row>
    <row r="13" spans="1:6">
      <c r="A13" s="17" t="s">
        <v>45</v>
      </c>
    </row>
    <row r="14" spans="1:6">
      <c r="A14" s="14" t="s">
        <v>46</v>
      </c>
    </row>
    <row r="15" spans="1:6">
      <c r="A15" s="14" t="s">
        <v>47</v>
      </c>
    </row>
    <row r="16" spans="1:6">
      <c r="A16" s="14"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5"/>
  <sheetViews>
    <sheetView workbookViewId="0"/>
  </sheetViews>
  <sheetFormatPr defaultRowHeight="15"/>
  <cols>
    <col min="1" max="1" width="32.7109375" customWidth="1"/>
    <col min="2" max="8" width="13.7109375" customWidth="1"/>
  </cols>
  <sheetData>
    <row r="1" spans="1:7">
      <c r="A1" s="1" t="s">
        <v>49</v>
      </c>
    </row>
    <row r="2" spans="1:7">
      <c r="A2" s="2" t="s">
        <v>50</v>
      </c>
    </row>
    <row r="3" spans="1:7">
      <c r="A3" s="2" t="s">
        <v>51</v>
      </c>
    </row>
    <row r="5" spans="1:7">
      <c r="A5" s="9" t="s">
        <v>52</v>
      </c>
      <c r="B5" s="9" t="s">
        <v>53</v>
      </c>
      <c r="C5" s="9" t="s">
        <v>54</v>
      </c>
      <c r="D5" s="9" t="s">
        <v>55</v>
      </c>
      <c r="E5" s="9" t="s">
        <v>56</v>
      </c>
      <c r="F5" s="9" t="s">
        <v>57</v>
      </c>
      <c r="G5" s="9" t="s">
        <v>58</v>
      </c>
    </row>
    <row r="6" spans="1:7">
      <c r="A6" t="s">
        <v>59</v>
      </c>
      <c r="B6" s="7">
        <v>0.18201</v>
      </c>
      <c r="C6" s="7">
        <v>0.127124</v>
      </c>
      <c r="D6" s="7">
        <v>-0.280052</v>
      </c>
      <c r="E6" s="7">
        <v>-0.229058</v>
      </c>
      <c r="F6" s="7">
        <v>-0.346307</v>
      </c>
      <c r="G6" s="7">
        <v>-0.173632</v>
      </c>
    </row>
    <row r="7" spans="1:7">
      <c r="A7" t="s">
        <v>60</v>
      </c>
      <c r="B7" s="7">
        <v>-0.779559</v>
      </c>
      <c r="C7" s="7">
        <v>-0.455083</v>
      </c>
      <c r="D7" s="7">
        <v>-0.264717</v>
      </c>
      <c r="E7" s="7">
        <v>-0.245732</v>
      </c>
      <c r="F7" s="7">
        <v>-0.055236</v>
      </c>
      <c r="G7" s="7">
        <v>-0.173831</v>
      </c>
    </row>
    <row r="8" spans="1:7">
      <c r="A8" t="s">
        <v>61</v>
      </c>
      <c r="B8" s="7">
        <v>0.190764</v>
      </c>
      <c r="C8" s="7">
        <v>0.230983</v>
      </c>
      <c r="D8" s="7">
        <v>0.950726</v>
      </c>
      <c r="E8" s="7">
        <v>0.166193</v>
      </c>
      <c r="F8" s="7">
        <v>0.360956</v>
      </c>
      <c r="G8" s="7">
        <v>0.187125</v>
      </c>
    </row>
    <row r="10" spans="1:7">
      <c r="A10" s="17" t="s">
        <v>62</v>
      </c>
      <c r="B10" s="7">
        <v>-173632</v>
      </c>
    </row>
    <row r="11" spans="1:7">
      <c r="A11" t="s">
        <v>63</v>
      </c>
      <c r="B11" s="7">
        <v>0</v>
      </c>
    </row>
    <row r="12" spans="1:7">
      <c r="A12" t="s">
        <v>64</v>
      </c>
      <c r="B12" s="7">
        <v>1031</v>
      </c>
    </row>
    <row r="13" spans="1:7">
      <c r="A13" s="17" t="s">
        <v>65</v>
      </c>
      <c r="B13" s="7">
        <f>B10-B11-B12</f>
        <v>0</v>
      </c>
    </row>
    <row r="15" spans="1:7">
      <c r="A15" s="17" t="s">
        <v>66</v>
      </c>
    </row>
    <row r="16" spans="1:7">
      <c r="A16" s="14" t="s">
        <v>67</v>
      </c>
    </row>
    <row r="17" spans="1:2">
      <c r="A17" s="14" t="s">
        <v>68</v>
      </c>
    </row>
    <row r="18" spans="1:2">
      <c r="A18" s="14" t="s">
        <v>69</v>
      </c>
    </row>
    <row r="19" spans="1:2">
      <c r="A19" s="14" t="s">
        <v>70</v>
      </c>
    </row>
    <row r="20" spans="1:2">
      <c r="A20" s="14" t="s">
        <v>71</v>
      </c>
    </row>
    <row r="22" spans="1:2">
      <c r="A22" s="17" t="s">
        <v>72</v>
      </c>
    </row>
    <row r="23" spans="1:2">
      <c r="A23" t="s">
        <v>6</v>
      </c>
      <c r="B23" s="7">
        <f>'Shell Valuation'!$B$8</f>
        <v>0</v>
      </c>
    </row>
    <row r="24" spans="1:2">
      <c r="A24" t="s">
        <v>73</v>
      </c>
      <c r="B24" s="7">
        <v>173632</v>
      </c>
    </row>
    <row r="25" spans="1:2">
      <c r="A25" t="s">
        <v>74</v>
      </c>
      <c r="B25" s="18">
        <f>B23/B24</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2"/>
  <sheetViews>
    <sheetView workbookViewId="0"/>
  </sheetViews>
  <sheetFormatPr defaultRowHeight="15"/>
  <cols>
    <col min="1" max="1" width="24.7109375" customWidth="1"/>
    <col min="2" max="3" width="15.7109375" customWidth="1"/>
  </cols>
  <sheetData>
    <row r="1" spans="1:3">
      <c r="A1" s="1" t="s">
        <v>75</v>
      </c>
    </row>
    <row r="2" spans="1:3">
      <c r="A2" s="2" t="s">
        <v>76</v>
      </c>
    </row>
    <row r="4" spans="1:3">
      <c r="A4" s="9" t="s">
        <v>77</v>
      </c>
      <c r="B4" s="9" t="s">
        <v>78</v>
      </c>
      <c r="C4" s="9" t="s">
        <v>79</v>
      </c>
    </row>
    <row r="5" spans="1:3">
      <c r="A5" t="s">
        <v>80</v>
      </c>
      <c r="B5" t="s">
        <v>81</v>
      </c>
      <c r="C5" t="s">
        <v>81</v>
      </c>
    </row>
    <row r="6" spans="1:3">
      <c r="A6" t="s">
        <v>82</v>
      </c>
      <c r="B6" t="s">
        <v>81</v>
      </c>
      <c r="C6" t="s">
        <v>81</v>
      </c>
    </row>
    <row r="7" spans="1:3">
      <c r="A7" t="s">
        <v>83</v>
      </c>
      <c r="B7" s="11">
        <v>-0.4183</v>
      </c>
      <c r="C7" s="11">
        <v>-0.0038</v>
      </c>
    </row>
    <row r="8" spans="1:3">
      <c r="A8" t="s">
        <v>84</v>
      </c>
      <c r="B8" t="s">
        <v>81</v>
      </c>
      <c r="C8" t="s">
        <v>81</v>
      </c>
    </row>
    <row r="9" spans="1:3">
      <c r="A9" s="17" t="s">
        <v>85</v>
      </c>
      <c r="B9" t="s">
        <v>86</v>
      </c>
    </row>
    <row r="11" spans="1:3">
      <c r="A11" s="17" t="s">
        <v>87</v>
      </c>
    </row>
    <row r="12" spans="1:3" ht="60" customHeight="1">
      <c r="A12" s="14" t="s">
        <v>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8.7109375" customWidth="1"/>
    <col min="2" max="2" width="90.7109375" customWidth="1"/>
  </cols>
  <sheetData>
    <row r="1" spans="1:2">
      <c r="A1" s="1" t="s">
        <v>89</v>
      </c>
    </row>
    <row r="4" spans="1:2" ht="20" customHeight="1">
      <c r="A4" s="17" t="s">
        <v>90</v>
      </c>
      <c r="B4" s="14" t="s">
        <v>91</v>
      </c>
    </row>
    <row r="5" spans="1:2" ht="20" customHeight="1">
      <c r="A5" s="17" t="s">
        <v>92</v>
      </c>
      <c r="B5" s="14" t="s">
        <v>93</v>
      </c>
    </row>
    <row r="6" spans="1:2" ht="20" customHeight="1">
      <c r="A6" s="17" t="s">
        <v>94</v>
      </c>
      <c r="B6" s="14" t="s">
        <v>95</v>
      </c>
    </row>
    <row r="7" spans="1:2" ht="30" customHeight="1">
      <c r="A7" s="17" t="s">
        <v>96</v>
      </c>
      <c r="B7" s="14" t="s">
        <v>97</v>
      </c>
    </row>
    <row r="8" spans="1:2" ht="20" customHeight="1">
      <c r="A8" s="17" t="s">
        <v>98</v>
      </c>
      <c r="B8" s="14" t="s">
        <v>99</v>
      </c>
    </row>
    <row r="9" spans="1:2" ht="30" customHeight="1">
      <c r="A9" s="17" t="s">
        <v>100</v>
      </c>
      <c r="B9" s="14" t="s">
        <v>101</v>
      </c>
    </row>
    <row r="10" spans="1:2" ht="90" customHeight="1">
      <c r="A10" s="17" t="s">
        <v>102</v>
      </c>
      <c r="B10" s="14" t="s">
        <v>103</v>
      </c>
    </row>
    <row r="11" spans="1:2" ht="105" customHeight="1">
      <c r="A11" s="17" t="s">
        <v>104</v>
      </c>
      <c r="B11" s="14" t="s">
        <v>105</v>
      </c>
    </row>
    <row r="12" spans="1:2" ht="75" customHeight="1">
      <c r="A12" s="17" t="s">
        <v>106</v>
      </c>
      <c r="B12" s="14" t="s">
        <v>107</v>
      </c>
    </row>
    <row r="13" spans="1:2" ht="60" customHeight="1">
      <c r="A13" s="17" t="s">
        <v>108</v>
      </c>
      <c r="B13" s="14" t="s">
        <v>109</v>
      </c>
    </row>
    <row r="14" spans="1:2" ht="60" customHeight="1">
      <c r="A14" s="17" t="s">
        <v>110</v>
      </c>
      <c r="B14" s="14" t="s">
        <v>111</v>
      </c>
    </row>
    <row r="15" spans="1:2" ht="45" customHeight="1">
      <c r="A15" s="17" t="s">
        <v>112</v>
      </c>
      <c r="B15" s="14"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Shell Valuation</vt:lpstr>
      <vt:lpstr>Sensitivity</vt:lpstr>
      <vt:lpstr>FCF Quality</vt:lpstr>
      <vt:lpstr>Historical</vt:lpstr>
      <vt:lpstr>Model_Info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2026-08-13T03:00:25Z</dcterms:created>
  <dcterms:modified xsi:type="dcterms:W3CDTF">2026-08-13T03:00:25Z</dcterms:modified>
</cp:coreProperties>
</file>