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<sst xmlns="http://schemas.openxmlformats.org/spreadsheetml/2006/main" count="356" uniqueCount="166">
  <si>
    <t xml:space="preserve">Ticker</t>
  </si>
  <si>
    <t xml:space="preserve">0667.HK</t>
  </si>
  <si>
    <t xml:space="preserve">Company</t>
  </si>
  <si>
    <t xml:space="preserve">China East Education Holdings Limited</t>
  </si>
  <si>
    <t xml:space="preserve">Valuation date</t>
  </si>
  <si>
    <t xml:space="preserve">2026-10-11</t>
  </si>
  <si>
    <t xml:space="preserve">Current price</t>
  </si>
  <si>
    <t xml:space="preserve">Price as of</t>
  </si>
  <si>
    <t xml:space="preserve">2026-10-09T08:08:06Z regular close (HKEX), Yahoo chart API; latest trading session before the 2026-10-11 valuation date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</si>
  <si>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</si>
  <si>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</si>
  <si>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</si>
  <si>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</si>
  <si>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</si>
  <si>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</si>
  <si>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</si>
  <si>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</si>
  <si>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</si>
  <si>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</si>
  <si>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</si>
  <si>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</si>
  <si>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</si>
  <si>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2026-10-11T03:30:31Z</t>
  </si>
  <si>
    <t xml:space="preserve">Drivers file</t>
  </si>
  <si>
    <t xml:space="preserve">0667.HK_Drivers.json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</si>
  <si>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</si>
  <si>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</si>
  <si>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</si>
  <si>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Owner-FCF DCF in CNY, converted to HKD at the spot rate. Leases are an operating cost (full cash payment inside EBIT), so lease liabilities stay out of net debt; interest and fair-value income are excluded from the flows and their source assets (RMB3.5bn of cash, deposits, structured deposits and funds) are added in the bridge, less an operating-cash reserve and the H1 FY2026 cash overlap. Terminal value is capped at 12x to reflect the demographic ceiling on a mature Chinese education business.
key_risks_to_valuation: Regulatory: an abrupt change in China's rules for private vocational schools (licensing, fees, advertising, for-profit status) -- the 2021 K-12 tutoring precedent; Demographics: shrinking school-leaver cohort compresses the addressable pool for long-term programmes; Customer acquisition cost: selling expenses rising faster than revenue (H1 FY2026 RMB568m vs RMB491m); Treasury quality: RMB1.08bn of structured deposits are not principal-protected and RMB408m of unquoted funds are level-3 fair values; both are taken at carrying value in the bridge; Capital allocation: industrial-park capex could stay elevated (H1 FY2026 15% of revenue) rather than taper as modelled; Cayman/VIE-style holding structure and HKD/CNY translation risk for HKD shareholders</t>
  </si>
  <si>
    <t xml:space="preserve">Data sources</t>
  </si>
  <si>
    <t xml:space="preserve">price: Yahoo Finance chart API at inputs.price_as_of; 52-week range HK$3.505-7.21
fx: Yahoo Finance HKDCNY=X at 2026-10-11T02:32Z
financials: 0667.HK_Metrics.csv / core_metrics and kpis (FY2018-FY2025, H1 FY2023-H1 FY2026); FY2025 annual report cash flow statement (lease principal and interest, interest income classification, capex, leasehold-land deposits); H1 FY2026 interim report (balance sheet at 30 Jun 2026, note 11 diluted shares, note 15 other financial assets, note 21 capital commitments)
qualitative: 0667.HK_Analysis.json (2026-10-11)</t>
  </si>
  <si>
    <t xml:space="preserve">Scenario narrative: bear</t>
  </si>
  <si>
    <t xml:space="preserve">Demographics and regional competition win: enrolment declines from FY2028, advertising keeps rising, margin falls back to 28% and fixed leases deleverage on a shrinking base; any regulatory tightening of private vocational schools lands here. Net cash still carries a large share of the value, so the bear case is a de-rating, not a solvency event.</t>
  </si>
  <si>
    <t xml:space="preserve">Scenario narrative: base</t>
  </si>
  <si>
    <t xml:space="preserve">FY2026 meets the &gt;10% revenue guidance (H1 +10.6%), then growth fades to 2% as industrial-park capacity fills and the shrinking school-leaver cohort bites. EBITDA margin holds ~35.5% -- mix-driven gross-margin gains are largely spent on rising advertising (selling expenses ~23% of revenue). Capex steps down from the park build to ~9% of revenue. The large net-cash position (RMB3.5bn, ~45% of market cap) is a meaningful floor.</t>
  </si>
  <si>
    <t xml:space="preserve">Scenario narrative: bull</t>
  </si>
  <si>
    <t xml:space="preserve">Vocational training stays explicitly policy-favoured and the company's technician-college upgrades and new-sector majors (AI, humanoid robotics, elder care, NEV) lift both enrolment and fee per student; high-single-digit growth for five years and operating leverage to a 38% EBITDA margin. Analyst targets (Citi HK$7.8, CICC HK$9.5) sit in this case.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</si>
  <si>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</si>
  <si>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</si>
  <si>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</si>
  <si>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</si>
  <si>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</si>
  <si>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</si>
  <si>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</si>
  <si>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</si>
  <si>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</si>
  <si>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</si>
  <si>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</si>
  <si>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</si>
  <si>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</si>
  <si>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</si>
  <si>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</si>
  <si>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</si>
  <si>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</si>
  <si>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</si>
  <si>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</si>
  <si>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</si>
  <si>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</si>
  <si>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</si>
  <si>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</si>
  <si>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</si>
  <si>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</si>
  <si>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</si>
  <si>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</si>
  <si>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EPSBasic</t>
  </si>
  <si>
    <t xml:space="preserve">TimeDeposits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</si>
  <si>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</si>
  <si>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</si>
  <si>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</si>
  <si>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</si>
  <si>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</si>
  <si>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</si>
  <si>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</si>
  <si>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</si>
  <si>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</si>
  <si>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</si>
  <si>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</si>
  <si>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</si>
  <si>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</si>
  <si>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</si>
  <si>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</si>
  <si>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</si>
  <si>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</si>
  <si>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</si>
  <si>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</si>
  <si>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</si>
  <si>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</si>
  <si>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</si>
  <si>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</si>
  <si>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</si>
  <si>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</si>
  <si>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</si>
  <si>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</si>
  <si>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</si>
  <si>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</si>
  <si>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</si>
  <si>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</si>
  <si>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</si>
  <si>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</si>
  <si>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</si>
  <si>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</si>
  <si>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</si>
  <si>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</si>
  <si>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</si>
  <si>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</si>
  <si>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</si>
  <si>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</si>
  <si>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</si>
  <si>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</si>
  <si>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</si>
  <si>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</si>
  <si>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0667.HK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</si>
  <si>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</si>
  <si>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</si>
  <si>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</si>
  <si>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</si>
  <si>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</si>
  <si>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</si>
  <si>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</si>
  <si>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</si>
  <si>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</si>
  <si>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</si>
  <si>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</si>
  <si>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</si>
  <si>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</si>
  <si>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</si>
  <si>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</si>
  <si>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</si>
  <si>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</si>
  <si>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</si>
  <si>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</si>
  <si>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</si>
  <si>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</si>
  <si>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</si>
  <si>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</si>
  <si>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</si>
  <si>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</si>
  <si>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</si>
  <si>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</si>
  <si>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</si>
  <si>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</si>
  <si>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</si>
  <si>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0667.HK owner-FCF component DCF: base case (millions, CNY)</t>
  </si>
  <si>
    <t xml:space="preserve">0667.HK owner-FCF component DCF: bull case (millions, CNY)</t>
  </si>
  <si>
    <t xml:space="preserve">0667.HK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</si>
  <si>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</si>
  <si>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</si>
  <si>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</si>
  <si>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</si>
  <si>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</si>
  <si>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</si>
  <si>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</si>
  <si>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</si>
  <si>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</si>
  <si>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</si>
  <si>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</si>
  <si>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</si>
  <si>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</si>
  <si>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</si>
  <si>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</si>
  <si>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9.5%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</si>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</sst>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3.62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46.2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  <c r="AD1" s="2" t="s">
        <v>65</v>
      </c>
    </row>
    <row r="2" customFormat="false" ht="15" hidden="false" customHeight="false" outlineLevel="0" collapsed="false">
      <c r="A2" s="0" t="s">
        <v>66</v>
      </c>
      <c r="B2" s="0" t="n">
        <v>3264.964</v>
      </c>
      <c r="C2" s="0" t="n">
        <v>1559.856</v>
      </c>
      <c r="D2" s="0" t="n">
        <v>1705.108</v>
      </c>
      <c r="E2" s="0" t="n">
        <v>52.2</v>
      </c>
      <c r="F2" s="0" t="n">
        <v>687.004</v>
      </c>
      <c r="G2" s="0" t="n">
        <v>21</v>
      </c>
      <c r="H2" s="0" t="n">
        <v>1044.511</v>
      </c>
      <c r="I2" s="0" t="n">
        <v>510.093</v>
      </c>
      <c r="J2" s="0" t="n">
        <v>15.6</v>
      </c>
      <c r="K2" s="0" t="n">
        <v>0.1025</v>
      </c>
      <c r="L2" s="0" t="n">
        <v>980.12</v>
      </c>
      <c r="M2" s="0" t="n">
        <v>665.585</v>
      </c>
      <c r="N2" s="0" t="n">
        <v>314.535</v>
      </c>
      <c r="O2" s="0" t="n">
        <v>872.631</v>
      </c>
      <c r="P2" s="0" t="n">
        <v>2815.535</v>
      </c>
      <c r="Q2" s="0" t="n">
        <v>1942.904</v>
      </c>
      <c r="R2" s="0" t="n">
        <v>0</v>
      </c>
      <c r="S2" s="0" t="n">
        <v>986.293</v>
      </c>
      <c r="T2" s="0" t="n">
        <v>4975.633</v>
      </c>
      <c r="U2" s="0" t="n">
        <v>8.125</v>
      </c>
      <c r="AA2" s="0" t="s">
        <v>18</v>
      </c>
      <c r="AB2" s="0" t="s">
        <v>14</v>
      </c>
      <c r="AC2" s="0" t="n">
        <v>0.1026</v>
      </c>
    </row>
    <row r="3" customFormat="false" ht="15" hidden="false" customHeight="false" outlineLevel="0" collapsed="false">
      <c r="A3" s="0" t="s">
        <v>67</v>
      </c>
      <c r="B3" s="0" t="n">
        <v>3905.306</v>
      </c>
      <c r="C3" s="0" t="n">
        <v>1625.307</v>
      </c>
      <c r="D3" s="0" t="n">
        <v>2279.999</v>
      </c>
      <c r="E3" s="0" t="n">
        <v>58.4</v>
      </c>
      <c r="F3" s="0" t="n">
        <v>1201.042</v>
      </c>
      <c r="G3" s="0" t="n">
        <v>30.8</v>
      </c>
      <c r="H3" s="0" t="n">
        <v>1744.365</v>
      </c>
      <c r="I3" s="0" t="n">
        <v>847.818</v>
      </c>
      <c r="J3" s="0" t="n">
        <v>21.7</v>
      </c>
      <c r="K3" s="0" t="n">
        <v>0.4084</v>
      </c>
      <c r="L3" s="0" t="n">
        <v>1596.222</v>
      </c>
      <c r="M3" s="0" t="n">
        <v>371.434</v>
      </c>
      <c r="N3" s="0" t="n">
        <v>1224.788</v>
      </c>
      <c r="O3" s="0" t="n">
        <v>6120.402</v>
      </c>
      <c r="P3" s="0" t="n">
        <v>9677.862</v>
      </c>
      <c r="Q3" s="0" t="n">
        <v>3557.46</v>
      </c>
      <c r="R3" s="0" t="n">
        <v>0</v>
      </c>
      <c r="S3" s="0" t="n">
        <v>3882.953</v>
      </c>
      <c r="T3" s="0" t="n">
        <v>2075.909</v>
      </c>
      <c r="U3" s="0" t="n">
        <v>115.829</v>
      </c>
      <c r="AA3" s="0" t="s">
        <v>18</v>
      </c>
      <c r="AB3" s="0" t="s">
        <v>14</v>
      </c>
      <c r="AC3" s="0" t="n">
        <v>0.426</v>
      </c>
      <c r="AD3" s="0" t="n">
        <v>1891.6</v>
      </c>
    </row>
    <row r="4" customFormat="false" ht="15" hidden="false" customHeight="false" outlineLevel="0" collapsed="false">
      <c r="A4" s="0" t="s">
        <v>68</v>
      </c>
      <c r="B4" s="0" t="n">
        <v>3648.892</v>
      </c>
      <c r="C4" s="0" t="n">
        <v>1680.059</v>
      </c>
      <c r="D4" s="0" t="n">
        <v>1968.833</v>
      </c>
      <c r="E4" s="0" t="n">
        <v>54</v>
      </c>
      <c r="F4" s="0" t="n">
        <v>589.801</v>
      </c>
      <c r="G4" s="0" t="n">
        <v>16.2</v>
      </c>
      <c r="H4" s="0" t="n">
        <v>1193.01</v>
      </c>
      <c r="I4" s="0" t="n">
        <v>257.614</v>
      </c>
      <c r="J4" s="0" t="n">
        <v>7.1</v>
      </c>
      <c r="K4" s="0" t="n">
        <v>0.1128</v>
      </c>
      <c r="L4" s="0" t="n">
        <v>1111.891</v>
      </c>
      <c r="M4" s="0" t="n">
        <v>332.455</v>
      </c>
      <c r="N4" s="0" t="n">
        <v>779.436</v>
      </c>
      <c r="O4" s="0" t="n">
        <v>6040.038</v>
      </c>
      <c r="P4" s="0" t="n">
        <v>9821.294</v>
      </c>
      <c r="Q4" s="0" t="n">
        <v>3781.256</v>
      </c>
      <c r="R4" s="0" t="n">
        <v>0</v>
      </c>
      <c r="S4" s="0" t="n">
        <v>2972.325</v>
      </c>
      <c r="T4" s="0" t="n">
        <v>2284.538</v>
      </c>
      <c r="U4" s="0" t="n">
        <v>76.166</v>
      </c>
      <c r="AA4" s="0" t="s">
        <v>18</v>
      </c>
      <c r="AB4" s="0" t="s">
        <v>14</v>
      </c>
      <c r="AC4" s="0" t="n">
        <v>0.1175</v>
      </c>
      <c r="AD4" s="0" t="n">
        <v>2198.016</v>
      </c>
    </row>
    <row r="5" customFormat="false" ht="15" hidden="false" customHeight="false" outlineLevel="0" collapsed="false">
      <c r="A5" s="0" t="s">
        <v>69</v>
      </c>
      <c r="B5" s="0" t="n">
        <v>4139.7</v>
      </c>
      <c r="C5" s="0" t="n">
        <v>2027.54</v>
      </c>
      <c r="D5" s="0" t="n">
        <v>2112.16</v>
      </c>
      <c r="E5" s="0" t="n">
        <v>51</v>
      </c>
      <c r="F5" s="0" t="n">
        <v>629.9</v>
      </c>
      <c r="G5" s="0" t="n">
        <v>15.2</v>
      </c>
      <c r="H5" s="0" t="n">
        <v>1250.386</v>
      </c>
      <c r="I5" s="0" t="n">
        <v>302.166</v>
      </c>
      <c r="J5" s="0" t="n">
        <v>7.3</v>
      </c>
      <c r="K5" s="0" t="n">
        <v>0.1328</v>
      </c>
      <c r="L5" s="0" t="n">
        <v>977.853</v>
      </c>
      <c r="M5" s="0" t="n">
        <v>763.059</v>
      </c>
      <c r="N5" s="0" t="n">
        <v>214.794</v>
      </c>
      <c r="O5" s="0" t="n">
        <v>5738.73</v>
      </c>
      <c r="P5" s="0" t="n">
        <v>9635.723</v>
      </c>
      <c r="Q5" s="0" t="n">
        <v>3896.993</v>
      </c>
      <c r="R5" s="0" t="n">
        <v>0</v>
      </c>
      <c r="S5" s="0" t="n">
        <v>2212.294</v>
      </c>
      <c r="T5" s="0" t="n">
        <v>2275.61</v>
      </c>
      <c r="U5" s="0" t="n">
        <v>56.18</v>
      </c>
      <c r="AA5" s="0" t="s">
        <v>18</v>
      </c>
      <c r="AB5" s="0" t="s">
        <v>14</v>
      </c>
      <c r="AC5" s="0" t="n">
        <v>0.1379</v>
      </c>
      <c r="AD5" s="0" t="n">
        <v>2143.226</v>
      </c>
    </row>
    <row r="6" customFormat="false" ht="15" hidden="false" customHeight="false" outlineLevel="0" collapsed="false">
      <c r="A6" s="0" t="s">
        <v>70</v>
      </c>
      <c r="B6" s="0" t="n">
        <v>3819.022</v>
      </c>
      <c r="C6" s="0" t="n">
        <v>1927.958</v>
      </c>
      <c r="D6" s="0" t="n">
        <v>1891.064</v>
      </c>
      <c r="E6" s="0" t="n">
        <v>49.5</v>
      </c>
      <c r="F6" s="0" t="n">
        <v>654.193</v>
      </c>
      <c r="G6" s="0" t="n">
        <v>17.1</v>
      </c>
      <c r="H6" s="0" t="n">
        <v>1289.038</v>
      </c>
      <c r="I6" s="0" t="n">
        <v>367.527</v>
      </c>
      <c r="J6" s="0" t="n">
        <v>9.6</v>
      </c>
      <c r="K6" s="0" t="n">
        <v>0.1673</v>
      </c>
      <c r="L6" s="0" t="n">
        <v>621.72</v>
      </c>
      <c r="M6" s="0" t="n">
        <v>951.367</v>
      </c>
      <c r="N6" s="0" t="n">
        <v>-329.647</v>
      </c>
      <c r="O6" s="0" t="n">
        <v>5692.058</v>
      </c>
      <c r="P6" s="0" t="n">
        <v>9488.677</v>
      </c>
      <c r="Q6" s="0" t="n">
        <v>3796.619</v>
      </c>
      <c r="R6" s="0" t="n">
        <v>0</v>
      </c>
      <c r="S6" s="0" t="n">
        <v>1435.498</v>
      </c>
      <c r="T6" s="0" t="n">
        <v>2195.847</v>
      </c>
      <c r="U6" s="0" t="n">
        <v>42.906</v>
      </c>
      <c r="AA6" s="0" t="s">
        <v>18</v>
      </c>
      <c r="AB6" s="0" t="s">
        <v>14</v>
      </c>
      <c r="AC6" s="0" t="n">
        <v>0.1689</v>
      </c>
      <c r="AD6" s="0" t="n">
        <v>1755.477</v>
      </c>
    </row>
    <row r="7" customFormat="false" ht="15" hidden="false" customHeight="false" outlineLevel="0" collapsed="false">
      <c r="A7" s="0" t="s">
        <v>71</v>
      </c>
      <c r="B7" s="0" t="n">
        <v>3978.654</v>
      </c>
      <c r="C7" s="0" t="n">
        <v>2070.437</v>
      </c>
      <c r="D7" s="0" t="n">
        <v>1908.217</v>
      </c>
      <c r="E7" s="0" t="n">
        <v>48</v>
      </c>
      <c r="F7" s="0" t="n">
        <v>507.31</v>
      </c>
      <c r="G7" s="0" t="n">
        <v>12.8</v>
      </c>
      <c r="H7" s="0" t="n">
        <v>1127.674</v>
      </c>
      <c r="I7" s="0" t="n">
        <v>272.622</v>
      </c>
      <c r="J7" s="0" t="n">
        <v>6.9</v>
      </c>
      <c r="K7" s="0" t="n">
        <v>0.1237</v>
      </c>
      <c r="L7" s="0" t="n">
        <v>1024.791</v>
      </c>
      <c r="M7" s="0" t="n">
        <v>791.037</v>
      </c>
      <c r="N7" s="0" t="n">
        <v>233.754</v>
      </c>
      <c r="O7" s="0" t="n">
        <v>5607.563</v>
      </c>
      <c r="P7" s="0" t="n">
        <v>9291.133</v>
      </c>
      <c r="Q7" s="0" t="n">
        <v>3683.57</v>
      </c>
      <c r="R7" s="0" t="n">
        <v>0</v>
      </c>
      <c r="S7" s="0" t="n">
        <v>1515.313</v>
      </c>
      <c r="T7" s="0" t="n">
        <v>2204.237</v>
      </c>
      <c r="U7" s="0" t="n">
        <v>32.993</v>
      </c>
      <c r="AA7" s="0" t="s">
        <v>18</v>
      </c>
      <c r="AB7" s="0" t="s">
        <v>14</v>
      </c>
      <c r="AC7" s="0" t="n">
        <v>0.1251</v>
      </c>
      <c r="AD7" s="0" t="n">
        <v>1551.441</v>
      </c>
    </row>
    <row r="8" customFormat="false" ht="15" hidden="false" customHeight="false" outlineLevel="0" collapsed="false">
      <c r="A8" s="0" t="s">
        <v>72</v>
      </c>
      <c r="B8" s="0" t="n">
        <v>4116.185</v>
      </c>
      <c r="C8" s="0" t="n">
        <v>2001.65</v>
      </c>
      <c r="D8" s="0" t="n">
        <v>2114.535</v>
      </c>
      <c r="E8" s="0" t="n">
        <v>51.4</v>
      </c>
      <c r="F8" s="0" t="n">
        <v>772.458</v>
      </c>
      <c r="G8" s="0" t="n">
        <v>18.8</v>
      </c>
      <c r="H8" s="0" t="n">
        <v>1363.303</v>
      </c>
      <c r="I8" s="0" t="n">
        <v>512.596</v>
      </c>
      <c r="J8" s="0" t="n">
        <v>12.5</v>
      </c>
      <c r="K8" s="0" t="n">
        <v>0.2346</v>
      </c>
      <c r="L8" s="0" t="n">
        <v>1243.87</v>
      </c>
      <c r="M8" s="0" t="n">
        <v>539.597</v>
      </c>
      <c r="N8" s="0" t="n">
        <v>704.273</v>
      </c>
      <c r="O8" s="0" t="n">
        <v>5749.464</v>
      </c>
      <c r="P8" s="0" t="n">
        <v>9484.178</v>
      </c>
      <c r="Q8" s="0" t="n">
        <v>3734.714</v>
      </c>
      <c r="R8" s="0" t="n">
        <v>0</v>
      </c>
      <c r="S8" s="0" t="n">
        <v>1466.863</v>
      </c>
      <c r="T8" s="0" t="n">
        <v>2184.65</v>
      </c>
      <c r="U8" s="0" t="n">
        <v>25.1</v>
      </c>
      <c r="AA8" s="0" t="s">
        <v>18</v>
      </c>
      <c r="AB8" s="0" t="s">
        <v>14</v>
      </c>
      <c r="AC8" s="0" t="n">
        <v>0.2353</v>
      </c>
      <c r="AD8" s="0" t="n">
        <v>1536.862</v>
      </c>
    </row>
    <row r="9" customFormat="false" ht="15" hidden="false" customHeight="false" outlineLevel="0" collapsed="false">
      <c r="A9" s="0" t="s">
        <v>73</v>
      </c>
      <c r="B9" s="0" t="n">
        <v>4615.903</v>
      </c>
      <c r="C9" s="0" t="n">
        <v>2064.153</v>
      </c>
      <c r="D9" s="0" t="n">
        <v>2551.75</v>
      </c>
      <c r="E9" s="0" t="n">
        <v>55.3</v>
      </c>
      <c r="F9" s="0" t="n">
        <v>1094.511</v>
      </c>
      <c r="G9" s="0" t="n">
        <v>23.7</v>
      </c>
      <c r="H9" s="0" t="n">
        <v>1691.936</v>
      </c>
      <c r="I9" s="0" t="n">
        <v>756.091</v>
      </c>
      <c r="J9" s="0" t="n">
        <v>16.4</v>
      </c>
      <c r="K9" s="0" t="n">
        <v>0.3379</v>
      </c>
      <c r="L9" s="0" t="n">
        <v>1555.813</v>
      </c>
      <c r="M9" s="0" t="n">
        <v>583.588</v>
      </c>
      <c r="N9" s="0" t="n">
        <v>972.225</v>
      </c>
      <c r="O9" s="0" t="n">
        <v>6152.537</v>
      </c>
      <c r="P9" s="0" t="n">
        <v>10223.271</v>
      </c>
      <c r="Q9" s="0" t="n">
        <v>4070.734</v>
      </c>
      <c r="R9" s="0" t="n">
        <v>0</v>
      </c>
      <c r="S9" s="0" t="n">
        <v>1972.07</v>
      </c>
      <c r="T9" s="0" t="n">
        <v>2237.614</v>
      </c>
      <c r="U9" s="0" t="n">
        <v>18.556</v>
      </c>
      <c r="AA9" s="0" t="s">
        <v>18</v>
      </c>
      <c r="AB9" s="0" t="s">
        <v>14</v>
      </c>
      <c r="AC9" s="0" t="n">
        <v>0.3435</v>
      </c>
      <c r="AD9" s="0" t="n">
        <v>595.664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74</v>
      </c>
      <c r="B1" s="2" t="s">
        <v>75</v>
      </c>
    </row>
    <row r="2" customFormat="false" ht="15" hidden="false" customHeight="false" outlineLevel="0" collapsed="false">
      <c r="A2" s="0" t="s">
        <v>76</v>
      </c>
      <c r="B2" s="3" t="n">
        <v>3.62</v>
      </c>
    </row>
    <row r="3" customFormat="false" ht="15" hidden="false" customHeight="false" outlineLevel="0" collapsed="false">
      <c r="A3" s="0" t="s">
        <v>77</v>
      </c>
      <c r="B3" s="3" t="n">
        <v>2256.144</v>
      </c>
    </row>
    <row r="4" customFormat="false" ht="15" hidden="false" customHeight="false" outlineLevel="0" collapsed="false">
      <c r="A4" s="0" t="s">
        <v>78</v>
      </c>
      <c r="B4" s="3" t="n">
        <v>-3515.321</v>
      </c>
    </row>
    <row r="5" customFormat="false" ht="15" hidden="false" customHeight="false" outlineLevel="0" collapsed="false">
      <c r="A5" s="0" t="s">
        <v>79</v>
      </c>
      <c r="B5" s="3" t="n">
        <v>-658</v>
      </c>
    </row>
    <row r="6" customFormat="false" ht="15" hidden="false" customHeight="false" outlineLevel="0" collapsed="false">
      <c r="A6" s="0" t="s">
        <v>80</v>
      </c>
      <c r="B6" s="3" t="n">
        <v>15</v>
      </c>
    </row>
    <row r="7" customFormat="false" ht="15" hidden="false" customHeight="false" outlineLevel="0" collapsed="false">
      <c r="A7" s="0" t="s">
        <v>81</v>
      </c>
      <c r="B7" s="3" t="n">
        <v>4615.903</v>
      </c>
    </row>
    <row r="8" customFormat="false" ht="15" hidden="false" customHeight="false" outlineLevel="0" collapsed="false">
      <c r="A8" s="0" t="s">
        <v>82</v>
      </c>
      <c r="B8" s="3" t="s">
        <v>73</v>
      </c>
    </row>
    <row r="9" customFormat="false" ht="15" hidden="false" customHeight="false" outlineLevel="0" collapsed="false">
      <c r="A9" s="0" t="s">
        <v>83</v>
      </c>
      <c r="B9" s="3" t="s">
        <v>84</v>
      </c>
    </row>
    <row r="10" customFormat="false" ht="15" hidden="false" customHeight="false" outlineLevel="0" collapsed="false">
      <c r="A10" s="0" t="s">
        <v>85</v>
      </c>
      <c r="B10" s="3" t="n">
        <v>1.1747</v>
      </c>
    </row>
    <row r="12" customFormat="false" ht="15" hidden="false" customHeight="false" outlineLevel="0" collapsed="false">
      <c r="A12" s="2" t="s">
        <v>86</v>
      </c>
      <c r="C12" s="2" t="s">
        <v>87</v>
      </c>
      <c r="D12" s="2" t="s">
        <v>88</v>
      </c>
      <c r="E12" s="2" t="s">
        <v>89</v>
      </c>
      <c r="F12" s="2" t="s">
        <v>90</v>
      </c>
      <c r="G12" s="2" t="s">
        <v>91</v>
      </c>
      <c r="H12" s="2" t="s">
        <v>92</v>
      </c>
      <c r="I12" s="2" t="s">
        <v>93</v>
      </c>
      <c r="J12" s="2" t="s">
        <v>94</v>
      </c>
      <c r="K12" s="2" t="s">
        <v>95</v>
      </c>
      <c r="L12" s="2" t="s">
        <v>96</v>
      </c>
    </row>
    <row r="13" customFormat="false" ht="15" hidden="false" customHeight="false" outlineLevel="0" collapsed="false">
      <c r="A13" s="0" t="s">
        <v>97</v>
      </c>
      <c r="C13" s="3" t="n">
        <v>8</v>
      </c>
      <c r="D13" s="3" t="n">
        <v>2</v>
      </c>
      <c r="E13" s="3" t="n">
        <v>0</v>
      </c>
      <c r="F13" s="3" t="n">
        <v>-2</v>
      </c>
      <c r="G13" s="3" t="n">
        <v>-2</v>
      </c>
      <c r="H13" s="3" t="n">
        <v>-1</v>
      </c>
      <c r="I13" s="3" t="n">
        <v>0</v>
      </c>
      <c r="J13" s="3" t="n">
        <v>1</v>
      </c>
      <c r="K13" s="3" t="n">
        <v>1</v>
      </c>
      <c r="L13" s="3" t="n">
        <v>1</v>
      </c>
    </row>
    <row r="14" customFormat="false" ht="15" hidden="false" customHeight="false" outlineLevel="0" collapsed="false">
      <c r="A14" s="0" t="s">
        <v>98</v>
      </c>
      <c r="C14" s="3" t="n">
        <v>34</v>
      </c>
      <c r="D14" s="3" t="n">
        <v>32</v>
      </c>
      <c r="E14" s="3" t="n">
        <v>30.5</v>
      </c>
      <c r="F14" s="3" t="n">
        <v>29</v>
      </c>
      <c r="G14" s="3" t="n">
        <v>28</v>
      </c>
      <c r="H14" s="3" t="n">
        <v>28</v>
      </c>
      <c r="I14" s="3" t="n">
        <v>28</v>
      </c>
      <c r="J14" s="3" t="n">
        <v>28</v>
      </c>
      <c r="K14" s="3" t="n">
        <v>28</v>
      </c>
      <c r="L14" s="3" t="n">
        <v>28</v>
      </c>
    </row>
    <row r="15" customFormat="false" ht="15" hidden="false" customHeight="false" outlineLevel="0" collapsed="false">
      <c r="A15" s="0" t="s">
        <v>99</v>
      </c>
      <c r="C15" s="3" t="n">
        <v>0.35</v>
      </c>
      <c r="D15" s="3" t="n">
        <v>0.35</v>
      </c>
      <c r="E15" s="3" t="n">
        <v>0.3</v>
      </c>
      <c r="F15" s="3" t="n">
        <v>0.3</v>
      </c>
      <c r="G15" s="3" t="n">
        <v>0.3</v>
      </c>
      <c r="H15" s="3" t="n">
        <v>0.3</v>
      </c>
      <c r="I15" s="3" t="n">
        <v>0.3</v>
      </c>
      <c r="J15" s="3" t="n">
        <v>0.3</v>
      </c>
      <c r="K15" s="3" t="n">
        <v>0.3</v>
      </c>
      <c r="L15" s="3" t="n">
        <v>0.3</v>
      </c>
    </row>
    <row r="16" customFormat="false" ht="15" hidden="false" customHeight="false" outlineLevel="0" collapsed="false">
      <c r="A16" s="0" t="s">
        <v>100</v>
      </c>
      <c r="C16" s="3" t="n">
        <v>7.8</v>
      </c>
      <c r="D16" s="3" t="n">
        <v>8</v>
      </c>
      <c r="E16" s="3" t="n">
        <v>8.2</v>
      </c>
      <c r="F16" s="3" t="n">
        <v>8.4</v>
      </c>
      <c r="G16" s="3" t="n">
        <v>8.5</v>
      </c>
      <c r="H16" s="3" t="n">
        <v>8.5</v>
      </c>
      <c r="I16" s="3" t="n">
        <v>8.5</v>
      </c>
      <c r="J16" s="3" t="n">
        <v>8.5</v>
      </c>
      <c r="K16" s="3" t="n">
        <v>8.5</v>
      </c>
      <c r="L16" s="3" t="n">
        <v>8.5</v>
      </c>
    </row>
    <row r="17" customFormat="false" ht="15" hidden="false" customHeight="false" outlineLevel="0" collapsed="false">
      <c r="A17" s="0" t="s">
        <v>101</v>
      </c>
      <c r="C17" s="3" t="n">
        <v>7.2</v>
      </c>
      <c r="D17" s="3" t="n">
        <v>7.4</v>
      </c>
      <c r="E17" s="3" t="n">
        <v>7.6</v>
      </c>
      <c r="F17" s="3" t="n">
        <v>7.6</v>
      </c>
      <c r="G17" s="3" t="n">
        <v>7.6</v>
      </c>
      <c r="H17" s="3" t="n">
        <v>7.6</v>
      </c>
      <c r="I17" s="3" t="n">
        <v>7.6</v>
      </c>
      <c r="J17" s="3" t="n">
        <v>7.6</v>
      </c>
      <c r="K17" s="3" t="n">
        <v>7.6</v>
      </c>
      <c r="L17" s="3" t="n">
        <v>7.6</v>
      </c>
    </row>
    <row r="18" customFormat="false" ht="15" hidden="false" customHeight="false" outlineLevel="0" collapsed="false">
      <c r="A18" s="0" t="s">
        <v>102</v>
      </c>
      <c r="C18" s="3" t="n">
        <v>14</v>
      </c>
      <c r="D18" s="3" t="n">
        <v>11</v>
      </c>
      <c r="E18" s="3" t="n">
        <v>9</v>
      </c>
      <c r="F18" s="3" t="n">
        <v>8</v>
      </c>
      <c r="G18" s="3" t="n">
        <v>8</v>
      </c>
      <c r="H18" s="3" t="n">
        <v>8</v>
      </c>
      <c r="I18" s="3" t="n">
        <v>8</v>
      </c>
      <c r="J18" s="3" t="n">
        <v>8</v>
      </c>
      <c r="K18" s="3" t="n">
        <v>8</v>
      </c>
      <c r="L18" s="3" t="n">
        <v>8</v>
      </c>
    </row>
    <row r="19" customFormat="false" ht="15" hidden="false" customHeight="false" outlineLevel="0" collapsed="false">
      <c r="A19" s="0" t="s">
        <v>103</v>
      </c>
      <c r="C19" s="3" t="n">
        <v>23</v>
      </c>
      <c r="D19" s="3" t="n">
        <v>23</v>
      </c>
      <c r="E19" s="3" t="n">
        <v>23</v>
      </c>
      <c r="F19" s="3" t="n">
        <v>23</v>
      </c>
      <c r="G19" s="3" t="n">
        <v>23</v>
      </c>
      <c r="H19" s="3" t="n">
        <v>23</v>
      </c>
      <c r="I19" s="3" t="n">
        <v>23</v>
      </c>
      <c r="J19" s="3" t="n">
        <v>23</v>
      </c>
      <c r="K19" s="3" t="n">
        <v>23</v>
      </c>
      <c r="L19" s="3" t="n">
        <v>23</v>
      </c>
    </row>
    <row r="20" customFormat="false" ht="15" hidden="false" customHeight="false" outlineLevel="0" collapsed="false">
      <c r="A20" s="0" t="s">
        <v>104</v>
      </c>
      <c r="B20" s="3" t="n">
        <v>9.5</v>
      </c>
    </row>
    <row r="21" customFormat="false" ht="15" hidden="false" customHeight="false" outlineLevel="0" collapsed="false">
      <c r="A21" s="0" t="s">
        <v>105</v>
      </c>
      <c r="B21" s="3" t="n">
        <v>1</v>
      </c>
    </row>
    <row r="22" customFormat="false" ht="15" hidden="false" customHeight="false" outlineLevel="0" collapsed="false">
      <c r="A22" s="0" t="s">
        <v>106</v>
      </c>
      <c r="B22" s="3" t="n">
        <v>12</v>
      </c>
    </row>
    <row r="23" customFormat="false" ht="15" hidden="false" customHeight="false" outlineLevel="0" collapsed="false">
      <c r="A23" s="0" t="s">
        <v>107</v>
      </c>
      <c r="B23" s="3" t="n">
        <v>30</v>
      </c>
    </row>
    <row r="24" customFormat="false" ht="15" hidden="false" customHeight="false" outlineLevel="0" collapsed="false">
      <c r="A24" s="0" t="s">
        <v>108</v>
      </c>
      <c r="B24" s="3" t="n">
        <v>0.25</v>
      </c>
    </row>
    <row r="26" customFormat="false" ht="15" hidden="false" customHeight="false" outlineLevel="0" collapsed="false">
      <c r="A26" s="2" t="s">
        <v>109</v>
      </c>
      <c r="C26" s="2" t="s">
        <v>87</v>
      </c>
      <c r="D26" s="2" t="s">
        <v>88</v>
      </c>
      <c r="E26" s="2" t="s">
        <v>89</v>
      </c>
      <c r="F26" s="2" t="s">
        <v>90</v>
      </c>
      <c r="G26" s="2" t="s">
        <v>91</v>
      </c>
      <c r="H26" s="2" t="s">
        <v>92</v>
      </c>
      <c r="I26" s="2" t="s">
        <v>93</v>
      </c>
      <c r="J26" s="2" t="s">
        <v>94</v>
      </c>
      <c r="K26" s="2" t="s">
        <v>95</v>
      </c>
      <c r="L26" s="2" t="s">
        <v>96</v>
      </c>
    </row>
    <row r="27" customFormat="false" ht="15" hidden="false" customHeight="false" outlineLevel="0" collapsed="false">
      <c r="A27" s="0" t="s">
        <v>97</v>
      </c>
      <c r="C27" s="3" t="n">
        <v>10</v>
      </c>
      <c r="D27" s="3" t="n">
        <v>7</v>
      </c>
      <c r="E27" s="3" t="n">
        <v>6</v>
      </c>
      <c r="F27" s="3" t="n">
        <v>5</v>
      </c>
      <c r="G27" s="3" t="n">
        <v>4.5</v>
      </c>
      <c r="H27" s="3" t="n">
        <v>4</v>
      </c>
      <c r="I27" s="3" t="n">
        <v>3.5</v>
      </c>
      <c r="J27" s="3" t="n">
        <v>3</v>
      </c>
      <c r="K27" s="3" t="n">
        <v>2.5</v>
      </c>
      <c r="L27" s="3" t="n">
        <v>2</v>
      </c>
    </row>
    <row r="28" customFormat="false" ht="15" hidden="false" customHeight="false" outlineLevel="0" collapsed="false">
      <c r="A28" s="0" t="s">
        <v>98</v>
      </c>
      <c r="C28" s="3" t="n">
        <v>35</v>
      </c>
      <c r="D28" s="3" t="n">
        <v>35.3</v>
      </c>
      <c r="E28" s="3" t="n">
        <v>35.5</v>
      </c>
      <c r="F28" s="3" t="n">
        <v>35.5</v>
      </c>
      <c r="G28" s="3" t="n">
        <v>35.5</v>
      </c>
      <c r="H28" s="3" t="n">
        <v>35.5</v>
      </c>
      <c r="I28" s="3" t="n">
        <v>35.5</v>
      </c>
      <c r="J28" s="3" t="n">
        <v>35.5</v>
      </c>
      <c r="K28" s="3" t="n">
        <v>35.5</v>
      </c>
      <c r="L28" s="3" t="n">
        <v>35.5</v>
      </c>
    </row>
    <row r="29" customFormat="false" ht="15" hidden="false" customHeight="false" outlineLevel="0" collapsed="false">
      <c r="A29" s="0" t="s">
        <v>99</v>
      </c>
      <c r="C29" s="3" t="n">
        <v>0.35</v>
      </c>
      <c r="D29" s="3" t="n">
        <v>0.35</v>
      </c>
      <c r="E29" s="3" t="n">
        <v>0.3</v>
      </c>
      <c r="F29" s="3" t="n">
        <v>0.3</v>
      </c>
      <c r="G29" s="3" t="n">
        <v>0.3</v>
      </c>
      <c r="H29" s="3" t="n">
        <v>0.3</v>
      </c>
      <c r="I29" s="3" t="n">
        <v>0.3</v>
      </c>
      <c r="J29" s="3" t="n">
        <v>0.3</v>
      </c>
      <c r="K29" s="3" t="n">
        <v>0.3</v>
      </c>
      <c r="L29" s="3" t="n">
        <v>0.3</v>
      </c>
    </row>
    <row r="30" customFormat="false" ht="15" hidden="false" customHeight="false" outlineLevel="0" collapsed="false">
      <c r="A30" s="0" t="s">
        <v>100</v>
      </c>
      <c r="C30" s="3" t="n">
        <v>7.8</v>
      </c>
      <c r="D30" s="3" t="n">
        <v>7.8</v>
      </c>
      <c r="E30" s="3" t="n">
        <v>7.8</v>
      </c>
      <c r="F30" s="3" t="n">
        <v>7.8</v>
      </c>
      <c r="G30" s="3" t="n">
        <v>7.8</v>
      </c>
      <c r="H30" s="3" t="n">
        <v>7.8</v>
      </c>
      <c r="I30" s="3" t="n">
        <v>7.8</v>
      </c>
      <c r="J30" s="3" t="n">
        <v>7.8</v>
      </c>
      <c r="K30" s="3" t="n">
        <v>7.8</v>
      </c>
      <c r="L30" s="3" t="n">
        <v>7.8</v>
      </c>
    </row>
    <row r="31" customFormat="false" ht="15" hidden="false" customHeight="false" outlineLevel="0" collapsed="false">
      <c r="A31" s="0" t="s">
        <v>101</v>
      </c>
      <c r="C31" s="3" t="n">
        <v>7.2</v>
      </c>
      <c r="D31" s="3" t="n">
        <v>7.4</v>
      </c>
      <c r="E31" s="3" t="n">
        <v>7.6</v>
      </c>
      <c r="F31" s="3" t="n">
        <v>7.8</v>
      </c>
      <c r="G31" s="3" t="n">
        <v>8</v>
      </c>
      <c r="H31" s="3" t="n">
        <v>8</v>
      </c>
      <c r="I31" s="3" t="n">
        <v>8</v>
      </c>
      <c r="J31" s="3" t="n">
        <v>8</v>
      </c>
      <c r="K31" s="3" t="n">
        <v>8</v>
      </c>
      <c r="L31" s="3" t="n">
        <v>8</v>
      </c>
    </row>
    <row r="32" customFormat="false" ht="15" hidden="false" customHeight="false" outlineLevel="0" collapsed="false">
      <c r="A32" s="0" t="s">
        <v>102</v>
      </c>
      <c r="C32" s="3" t="n">
        <v>14</v>
      </c>
      <c r="D32" s="3" t="n">
        <v>13</v>
      </c>
      <c r="E32" s="3" t="n">
        <v>12</v>
      </c>
      <c r="F32" s="3" t="n">
        <v>11</v>
      </c>
      <c r="G32" s="3" t="n">
        <v>10</v>
      </c>
      <c r="H32" s="3" t="n">
        <v>9.5</v>
      </c>
      <c r="I32" s="3" t="n">
        <v>9</v>
      </c>
      <c r="J32" s="3" t="n">
        <v>9</v>
      </c>
      <c r="K32" s="3" t="n">
        <v>9</v>
      </c>
      <c r="L32" s="3" t="n">
        <v>9</v>
      </c>
    </row>
    <row r="33" customFormat="false" ht="15" hidden="false" customHeight="false" outlineLevel="0" collapsed="false">
      <c r="A33" s="0" t="s">
        <v>103</v>
      </c>
      <c r="C33" s="3" t="n">
        <v>23</v>
      </c>
      <c r="D33" s="3" t="n">
        <v>23</v>
      </c>
      <c r="E33" s="3" t="n">
        <v>23</v>
      </c>
      <c r="F33" s="3" t="n">
        <v>23</v>
      </c>
      <c r="G33" s="3" t="n">
        <v>23</v>
      </c>
      <c r="H33" s="3" t="n">
        <v>23</v>
      </c>
      <c r="I33" s="3" t="n">
        <v>23</v>
      </c>
      <c r="J33" s="3" t="n">
        <v>23</v>
      </c>
      <c r="K33" s="3" t="n">
        <v>23</v>
      </c>
      <c r="L33" s="3" t="n">
        <v>23</v>
      </c>
    </row>
    <row r="34" customFormat="false" ht="15" hidden="false" customHeight="false" outlineLevel="0" collapsed="false">
      <c r="A34" s="0" t="s">
        <v>104</v>
      </c>
      <c r="B34" s="3" t="n">
        <v>9.5</v>
      </c>
    </row>
    <row r="35" customFormat="false" ht="15" hidden="false" customHeight="false" outlineLevel="0" collapsed="false">
      <c r="A35" s="0" t="s">
        <v>105</v>
      </c>
      <c r="B35" s="3" t="n">
        <v>2</v>
      </c>
    </row>
    <row r="36" customFormat="false" ht="15" hidden="false" customHeight="false" outlineLevel="0" collapsed="false">
      <c r="A36" s="0" t="s">
        <v>106</v>
      </c>
      <c r="B36" s="3" t="n">
        <v>12</v>
      </c>
    </row>
    <row r="37" customFormat="false" ht="15" hidden="false" customHeight="false" outlineLevel="0" collapsed="false">
      <c r="A37" s="0" t="s">
        <v>107</v>
      </c>
      <c r="B37" s="3" t="n">
        <v>30</v>
      </c>
    </row>
    <row r="38" customFormat="false" ht="15" hidden="false" customHeight="false" outlineLevel="0" collapsed="false">
      <c r="A38" s="0" t="s">
        <v>108</v>
      </c>
      <c r="B38" s="3" t="n">
        <v>0.5</v>
      </c>
    </row>
    <row r="40" customFormat="false" ht="15" hidden="false" customHeight="false" outlineLevel="0" collapsed="false">
      <c r="A40" s="2" t="s">
        <v>110</v>
      </c>
      <c r="C40" s="2" t="s">
        <v>87</v>
      </c>
      <c r="D40" s="2" t="s">
        <v>88</v>
      </c>
      <c r="E40" s="2" t="s">
        <v>89</v>
      </c>
      <c r="F40" s="2" t="s">
        <v>90</v>
      </c>
      <c r="G40" s="2" t="s">
        <v>91</v>
      </c>
      <c r="H40" s="2" t="s">
        <v>92</v>
      </c>
      <c r="I40" s="2" t="s">
        <v>93</v>
      </c>
      <c r="J40" s="2" t="s">
        <v>94</v>
      </c>
      <c r="K40" s="2" t="s">
        <v>95</v>
      </c>
      <c r="L40" s="2" t="s">
        <v>96</v>
      </c>
    </row>
    <row r="41" customFormat="false" ht="15" hidden="false" customHeight="false" outlineLevel="0" collapsed="false">
      <c r="A41" s="0" t="s">
        <v>97</v>
      </c>
      <c r="C41" s="3" t="n">
        <v>11</v>
      </c>
      <c r="D41" s="3" t="n">
        <v>10</v>
      </c>
      <c r="E41" s="3" t="n">
        <v>9</v>
      </c>
      <c r="F41" s="3" t="n">
        <v>8</v>
      </c>
      <c r="G41" s="3" t="n">
        <v>7</v>
      </c>
      <c r="H41" s="3" t="n">
        <v>6</v>
      </c>
      <c r="I41" s="3" t="n">
        <v>5</v>
      </c>
      <c r="J41" s="3" t="n">
        <v>4</v>
      </c>
      <c r="K41" s="3" t="n">
        <v>3</v>
      </c>
      <c r="L41" s="3" t="n">
        <v>2.5</v>
      </c>
    </row>
    <row r="42" customFormat="false" ht="15" hidden="false" customHeight="false" outlineLevel="0" collapsed="false">
      <c r="A42" s="0" t="s">
        <v>98</v>
      </c>
      <c r="C42" s="3" t="n">
        <v>35.5</v>
      </c>
      <c r="D42" s="3" t="n">
        <v>36.5</v>
      </c>
      <c r="E42" s="3" t="n">
        <v>37</v>
      </c>
      <c r="F42" s="3" t="n">
        <v>37.5</v>
      </c>
      <c r="G42" s="3" t="n">
        <v>38</v>
      </c>
      <c r="H42" s="3" t="n">
        <v>38</v>
      </c>
      <c r="I42" s="3" t="n">
        <v>38</v>
      </c>
      <c r="J42" s="3" t="n">
        <v>38</v>
      </c>
      <c r="K42" s="3" t="n">
        <v>38</v>
      </c>
      <c r="L42" s="3" t="n">
        <v>38</v>
      </c>
    </row>
    <row r="43" customFormat="false" ht="15" hidden="false" customHeight="false" outlineLevel="0" collapsed="false">
      <c r="A43" s="0" t="s">
        <v>99</v>
      </c>
      <c r="C43" s="3" t="n">
        <v>0.35</v>
      </c>
      <c r="D43" s="3" t="n">
        <v>0.35</v>
      </c>
      <c r="E43" s="3" t="n">
        <v>0.3</v>
      </c>
      <c r="F43" s="3" t="n">
        <v>0.3</v>
      </c>
      <c r="G43" s="3" t="n">
        <v>0.3</v>
      </c>
      <c r="H43" s="3" t="n">
        <v>0.3</v>
      </c>
      <c r="I43" s="3" t="n">
        <v>0.3</v>
      </c>
      <c r="J43" s="3" t="n">
        <v>0.3</v>
      </c>
      <c r="K43" s="3" t="n">
        <v>0.3</v>
      </c>
      <c r="L43" s="3" t="n">
        <v>0.3</v>
      </c>
    </row>
    <row r="44" customFormat="false" ht="15" hidden="false" customHeight="false" outlineLevel="0" collapsed="false">
      <c r="A44" s="0" t="s">
        <v>100</v>
      </c>
      <c r="C44" s="3" t="n">
        <v>7.8</v>
      </c>
      <c r="D44" s="3" t="n">
        <v>7.7</v>
      </c>
      <c r="E44" s="3" t="n">
        <v>7.6</v>
      </c>
      <c r="F44" s="3" t="n">
        <v>7.5</v>
      </c>
      <c r="G44" s="3" t="n">
        <v>7.5</v>
      </c>
      <c r="H44" s="3" t="n">
        <v>7.5</v>
      </c>
      <c r="I44" s="3" t="n">
        <v>7.5</v>
      </c>
      <c r="J44" s="3" t="n">
        <v>7.5</v>
      </c>
      <c r="K44" s="3" t="n">
        <v>7.5</v>
      </c>
      <c r="L44" s="3" t="n">
        <v>7.5</v>
      </c>
    </row>
    <row r="45" customFormat="false" ht="15" hidden="false" customHeight="false" outlineLevel="0" collapsed="false">
      <c r="A45" s="0" t="s">
        <v>101</v>
      </c>
      <c r="C45" s="3" t="n">
        <v>7.2</v>
      </c>
      <c r="D45" s="3" t="n">
        <v>7.4</v>
      </c>
      <c r="E45" s="3" t="n">
        <v>7.6</v>
      </c>
      <c r="F45" s="3" t="n">
        <v>7.8</v>
      </c>
      <c r="G45" s="3" t="n">
        <v>8</v>
      </c>
      <c r="H45" s="3" t="n">
        <v>8</v>
      </c>
      <c r="I45" s="3" t="n">
        <v>8</v>
      </c>
      <c r="J45" s="3" t="n">
        <v>8</v>
      </c>
      <c r="K45" s="3" t="n">
        <v>8</v>
      </c>
      <c r="L45" s="3" t="n">
        <v>8</v>
      </c>
    </row>
    <row r="46" customFormat="false" ht="15" hidden="false" customHeight="false" outlineLevel="0" collapsed="false">
      <c r="A46" s="0" t="s">
        <v>102</v>
      </c>
      <c r="C46" s="3" t="n">
        <v>14</v>
      </c>
      <c r="D46" s="3" t="n">
        <v>13.5</v>
      </c>
      <c r="E46" s="3" t="n">
        <v>12.5</v>
      </c>
      <c r="F46" s="3" t="n">
        <v>11.5</v>
      </c>
      <c r="G46" s="3" t="n">
        <v>10.5</v>
      </c>
      <c r="H46" s="3" t="n">
        <v>10</v>
      </c>
      <c r="I46" s="3" t="n">
        <v>9.5</v>
      </c>
      <c r="J46" s="3" t="n">
        <v>9.5</v>
      </c>
      <c r="K46" s="3" t="n">
        <v>9.5</v>
      </c>
      <c r="L46" s="3" t="n">
        <v>9.5</v>
      </c>
    </row>
    <row r="47" customFormat="false" ht="15" hidden="false" customHeight="false" outlineLevel="0" collapsed="false">
      <c r="A47" s="0" t="s">
        <v>103</v>
      </c>
      <c r="C47" s="3" t="n">
        <v>23</v>
      </c>
      <c r="D47" s="3" t="n">
        <v>23</v>
      </c>
      <c r="E47" s="3" t="n">
        <v>23</v>
      </c>
      <c r="F47" s="3" t="n">
        <v>23</v>
      </c>
      <c r="G47" s="3" t="n">
        <v>23</v>
      </c>
      <c r="H47" s="3" t="n">
        <v>23</v>
      </c>
      <c r="I47" s="3" t="n">
        <v>23</v>
      </c>
      <c r="J47" s="3" t="n">
        <v>23</v>
      </c>
      <c r="K47" s="3" t="n">
        <v>23</v>
      </c>
      <c r="L47" s="3" t="n">
        <v>23</v>
      </c>
    </row>
    <row r="48" customFormat="false" ht="15" hidden="false" customHeight="false" outlineLevel="0" collapsed="false">
      <c r="A48" s="0" t="s">
        <v>104</v>
      </c>
      <c r="B48" s="3" t="n">
        <v>9.5</v>
      </c>
    </row>
    <row r="49" customFormat="false" ht="15" hidden="false" customHeight="false" outlineLevel="0" collapsed="false">
      <c r="A49" s="0" t="s">
        <v>105</v>
      </c>
      <c r="B49" s="3" t="n">
        <v>2.5</v>
      </c>
    </row>
    <row r="50" customFormat="false" ht="15" hidden="false" customHeight="false" outlineLevel="0" collapsed="false">
      <c r="A50" s="0" t="s">
        <v>106</v>
      </c>
      <c r="B50" s="3" t="n">
        <v>12</v>
      </c>
    </row>
    <row r="51" customFormat="false" ht="15" hidden="false" customHeight="false" outlineLevel="0" collapsed="false">
      <c r="A51" s="0" t="s">
        <v>107</v>
      </c>
      <c r="B51" s="3" t="n">
        <v>30</v>
      </c>
    </row>
    <row r="52" customFormat="false" ht="15" hidden="false" customHeight="false" outlineLevel="0" collapsed="false">
      <c r="A52" s="0" t="s">
        <v>108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111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Assumptions!C13</f>
        <v>8</v>
      </c>
      <c r="D5" s="4" t="n">
        <f aca="false">Assumptions!D13</f>
        <v>2</v>
      </c>
      <c r="E5" s="4" t="n">
        <f aca="false">Assumptions!E13</f>
        <v>0</v>
      </c>
      <c r="F5" s="4" t="n">
        <f aca="false">Assumptions!F13</f>
        <v>-2</v>
      </c>
      <c r="G5" s="4" t="n">
        <f aca="false">Assumptions!G13</f>
        <v>-2</v>
      </c>
      <c r="H5" s="4" t="n">
        <f aca="false">Assumptions!H13</f>
        <v>-1</v>
      </c>
      <c r="I5" s="4" t="n">
        <f aca="false">Assumptions!I13</f>
        <v>0</v>
      </c>
      <c r="J5" s="4" t="n">
        <f aca="false">Assumptions!J13</f>
        <v>1</v>
      </c>
      <c r="K5" s="4" t="n">
        <f aca="false">Assumptions!K13</f>
        <v>1</v>
      </c>
      <c r="L5" s="4" t="n">
        <f aca="false">Assumptions!L13</f>
        <v>1</v>
      </c>
    </row>
    <row r="6" customFormat="false" ht="15" hidden="false" customHeight="false" outlineLevel="0" collapsed="false">
      <c r="A6" s="0" t="s">
        <v>38</v>
      </c>
      <c r="B6" s="3" t="n">
        <v>4615.903</v>
      </c>
      <c r="C6" s="0" t="n">
        <f aca="false">B6*(1+C5/100)</f>
        <v>4985.17524</v>
      </c>
      <c r="D6" s="0" t="n">
        <f aca="false">C6*(1+D5/100)</f>
        <v>5084.8787448</v>
      </c>
      <c r="E6" s="0" t="n">
        <f aca="false">D6*(1+E5/100)</f>
        <v>5084.8787448</v>
      </c>
      <c r="F6" s="0" t="n">
        <f aca="false">E6*(1+F5/100)</f>
        <v>4983.181169904</v>
      </c>
      <c r="G6" s="0" t="n">
        <f aca="false">F6*(1+G5/100)</f>
        <v>4883.51754650592</v>
      </c>
      <c r="H6" s="0" t="n">
        <f aca="false">G6*(1+H5/100)</f>
        <v>4834.68237104086</v>
      </c>
      <c r="I6" s="0" t="n">
        <f aca="false">H6*(1+I5/100)</f>
        <v>4834.68237104086</v>
      </c>
      <c r="J6" s="0" t="n">
        <f aca="false">I6*(1+J5/100)</f>
        <v>4883.02919475127</v>
      </c>
      <c r="K6" s="0" t="n">
        <f aca="false">J6*(1+K5/100)</f>
        <v>4931.85948669878</v>
      </c>
      <c r="L6" s="0" t="n">
        <f aca="false">K6*(1+L5/100)</f>
        <v>4981.17808156577</v>
      </c>
    </row>
    <row r="7" customFormat="false" ht="15" hidden="false" customHeight="false" outlineLevel="0" collapsed="false">
      <c r="A7" s="0" t="s">
        <v>98</v>
      </c>
      <c r="C7" s="4" t="n">
        <f aca="false">Assumptions!C14</f>
        <v>34</v>
      </c>
      <c r="D7" s="4" t="n">
        <f aca="false">Assumptions!D14</f>
        <v>32</v>
      </c>
      <c r="E7" s="4" t="n">
        <f aca="false">Assumptions!E14</f>
        <v>30.5</v>
      </c>
      <c r="F7" s="4" t="n">
        <f aca="false">Assumptions!F14</f>
        <v>29</v>
      </c>
      <c r="G7" s="4" t="n">
        <f aca="false">Assumptions!G14</f>
        <v>28</v>
      </c>
      <c r="H7" s="4" t="n">
        <f aca="false">Assumptions!H14</f>
        <v>28</v>
      </c>
      <c r="I7" s="4" t="n">
        <f aca="false">Assumptions!I14</f>
        <v>28</v>
      </c>
      <c r="J7" s="4" t="n">
        <f aca="false">Assumptions!J14</f>
        <v>28</v>
      </c>
      <c r="K7" s="4" t="n">
        <f aca="false">Assumptions!K14</f>
        <v>28</v>
      </c>
      <c r="L7" s="4" t="n">
        <f aca="false">Assumptions!L14</f>
        <v>28</v>
      </c>
    </row>
    <row r="8" customFormat="false" ht="15" hidden="false" customHeight="false" outlineLevel="0" collapsed="false">
      <c r="A8" s="0" t="s">
        <v>44</v>
      </c>
      <c r="C8" s="0" t="n">
        <f aca="false">C6*C7/100</f>
        <v>1694.9595816</v>
      </c>
      <c r="D8" s="0" t="n">
        <f aca="false">D6*D7/100</f>
        <v>1627.161198336</v>
      </c>
      <c r="E8" s="0" t="n">
        <f aca="false">E6*E7/100</f>
        <v>1550.888017164</v>
      </c>
      <c r="F8" s="0" t="n">
        <f aca="false">F6*F7/100</f>
        <v>1445.12253927216</v>
      </c>
      <c r="G8" s="0" t="n">
        <f aca="false">G6*G7/100</f>
        <v>1367.38491302166</v>
      </c>
      <c r="H8" s="0" t="n">
        <f aca="false">H6*H7/100</f>
        <v>1353.71106389144</v>
      </c>
      <c r="I8" s="0" t="n">
        <f aca="false">I6*I7/100</f>
        <v>1353.71106389144</v>
      </c>
      <c r="J8" s="0" t="n">
        <f aca="false">J6*J7/100</f>
        <v>1367.24817453036</v>
      </c>
      <c r="K8" s="0" t="n">
        <f aca="false">K6*K7/100</f>
        <v>1380.92065627566</v>
      </c>
      <c r="L8" s="0" t="n">
        <f aca="false">L6*L7/100</f>
        <v>1394.72986283842</v>
      </c>
    </row>
    <row r="9" customFormat="false" ht="15" hidden="false" customHeight="false" outlineLevel="0" collapsed="false">
      <c r="A9" s="0" t="s">
        <v>99</v>
      </c>
      <c r="C9" s="4" t="n">
        <f aca="false">Assumptions!C15</f>
        <v>0.35</v>
      </c>
      <c r="D9" s="4" t="n">
        <f aca="false">Assumptions!D15</f>
        <v>0.35</v>
      </c>
      <c r="E9" s="4" t="n">
        <f aca="false">Assumptions!E15</f>
        <v>0.3</v>
      </c>
      <c r="F9" s="4" t="n">
        <f aca="false">Assumptions!F15</f>
        <v>0.3</v>
      </c>
      <c r="G9" s="4" t="n">
        <f aca="false">Assumptions!G15</f>
        <v>0.3</v>
      </c>
      <c r="H9" s="4" t="n">
        <f aca="false">Assumptions!H15</f>
        <v>0.3</v>
      </c>
      <c r="I9" s="4" t="n">
        <f aca="false">Assumptions!I15</f>
        <v>0.3</v>
      </c>
      <c r="J9" s="4" t="n">
        <f aca="false">Assumptions!J15</f>
        <v>0.3</v>
      </c>
      <c r="K9" s="4" t="n">
        <f aca="false">Assumptions!K15</f>
        <v>0.3</v>
      </c>
      <c r="L9" s="4" t="n">
        <f aca="false">Assumptions!L15</f>
        <v>0.3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-17.44811334</v>
      </c>
      <c r="D10" s="0" t="n">
        <f aca="false">-D6*D9/100</f>
        <v>-17.7970756068</v>
      </c>
      <c r="E10" s="0" t="n">
        <f aca="false">-E6*E9/100</f>
        <v>-15.2546362344</v>
      </c>
      <c r="F10" s="0" t="n">
        <f aca="false">-F6*F9/100</f>
        <v>-14.949543509712</v>
      </c>
      <c r="G10" s="0" t="n">
        <f aca="false">-G6*G9/100</f>
        <v>-14.6505526395178</v>
      </c>
      <c r="H10" s="0" t="n">
        <f aca="false">-H6*H9/100</f>
        <v>-14.5040471131226</v>
      </c>
      <c r="I10" s="0" t="n">
        <f aca="false">-I6*I9/100</f>
        <v>-14.5040471131226</v>
      </c>
      <c r="J10" s="0" t="n">
        <f aca="false">-J6*J9/100</f>
        <v>-14.6490875842538</v>
      </c>
      <c r="K10" s="0" t="n">
        <f aca="false">-K6*K9/100</f>
        <v>-14.7955784600963</v>
      </c>
      <c r="L10" s="0" t="n">
        <f aca="false">-L6*L9/100</f>
        <v>-14.9435342446973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1288.66779954</v>
      </c>
      <c r="D11" s="0" t="n">
        <f aca="false">D8+D10+D24</f>
        <v>1202.5738231452</v>
      </c>
      <c r="E11" s="0" t="n">
        <f aca="false">E8+E10+E24</f>
        <v>1118.673323856</v>
      </c>
      <c r="F11" s="0" t="n">
        <f aca="false">F8+F10+F24</f>
        <v>1011.58577749051</v>
      </c>
      <c r="G11" s="0" t="n">
        <f aca="false">G8+G10+G24</f>
        <v>937.635368929137</v>
      </c>
      <c r="H11" s="0" t="n">
        <f aca="false">H8+H10+H24</f>
        <v>928.259015239845</v>
      </c>
      <c r="I11" s="0" t="n">
        <f aca="false">I8+I10+I24</f>
        <v>928.259015239845</v>
      </c>
      <c r="J11" s="0" t="n">
        <f aca="false">J8+J10+J24</f>
        <v>937.541605392244</v>
      </c>
      <c r="K11" s="0" t="n">
        <f aca="false">K8+K10+K24</f>
        <v>946.917021446166</v>
      </c>
      <c r="L11" s="0" t="n">
        <f aca="false">L8+L10+L24</f>
        <v>956.386191660628</v>
      </c>
    </row>
    <row r="12" customFormat="false" ht="15" hidden="false" customHeight="false" outlineLevel="0" collapsed="false">
      <c r="A12" s="0" t="s">
        <v>116</v>
      </c>
      <c r="C12" s="4" t="n">
        <f aca="false">-C6*Assumptions!C17/100</f>
        <v>-358.93261728</v>
      </c>
      <c r="D12" s="4" t="n">
        <f aca="false">-D6*Assumptions!D17/100</f>
        <v>-376.2810271152</v>
      </c>
      <c r="E12" s="4" t="n">
        <f aca="false">-E6*Assumptions!E17/100</f>
        <v>-386.4507846048</v>
      </c>
      <c r="F12" s="4" t="n">
        <f aca="false">-F6*Assumptions!F17/100</f>
        <v>-378.721768912704</v>
      </c>
      <c r="G12" s="4" t="n">
        <f aca="false">-G6*Assumptions!G17/100</f>
        <v>-371.14733353445</v>
      </c>
      <c r="H12" s="4" t="n">
        <f aca="false">-H6*Assumptions!H17/100</f>
        <v>-367.435860199105</v>
      </c>
      <c r="I12" s="4" t="n">
        <f aca="false">-I6*Assumptions!I17/100</f>
        <v>-367.435860199105</v>
      </c>
      <c r="J12" s="4" t="n">
        <f aca="false">-J6*Assumptions!J17/100</f>
        <v>-371.110218801097</v>
      </c>
      <c r="K12" s="4" t="n">
        <f aca="false">-K6*Assumptions!K17/100</f>
        <v>-374.821320989107</v>
      </c>
      <c r="L12" s="4" t="n">
        <f aca="false">-L6*Assumptions!L17/100</f>
        <v>-378.569534198999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929.73518226</v>
      </c>
      <c r="D13" s="0" t="n">
        <f aca="false">D11+D12</f>
        <v>826.29279603</v>
      </c>
      <c r="E13" s="0" t="n">
        <f aca="false">E11+E12</f>
        <v>732.2225392512</v>
      </c>
      <c r="F13" s="0" t="n">
        <f aca="false">F11+F12</f>
        <v>632.864008577808</v>
      </c>
      <c r="G13" s="0" t="n">
        <f aca="false">G11+G12</f>
        <v>566.488035394687</v>
      </c>
      <c r="H13" s="0" t="n">
        <f aca="false">H11+H12</f>
        <v>560.82315504074</v>
      </c>
      <c r="I13" s="0" t="n">
        <f aca="false">I11+I12</f>
        <v>560.82315504074</v>
      </c>
      <c r="J13" s="0" t="n">
        <f aca="false">J11+J12</f>
        <v>566.431386591147</v>
      </c>
      <c r="K13" s="0" t="n">
        <f aca="false">K11+K12</f>
        <v>572.095700457059</v>
      </c>
      <c r="L13" s="0" t="n">
        <f aca="false">L11+L12</f>
        <v>577.81665746163</v>
      </c>
    </row>
    <row r="14" customFormat="false" ht="15" hidden="false" customHeight="false" outlineLevel="0" collapsed="false">
      <c r="A14" s="0" t="s">
        <v>103</v>
      </c>
      <c r="C14" s="4" t="n">
        <f aca="false">Assumptions!C19</f>
        <v>23</v>
      </c>
      <c r="D14" s="4" t="n">
        <f aca="false">Assumptions!D19</f>
        <v>23</v>
      </c>
      <c r="E14" s="4" t="n">
        <f aca="false">Assumptions!E19</f>
        <v>23</v>
      </c>
      <c r="F14" s="4" t="n">
        <f aca="false">Assumptions!F19</f>
        <v>23</v>
      </c>
      <c r="G14" s="4" t="n">
        <f aca="false">Assumptions!G19</f>
        <v>23</v>
      </c>
      <c r="H14" s="4" t="n">
        <f aca="false">Assumptions!H19</f>
        <v>23</v>
      </c>
      <c r="I14" s="4" t="n">
        <f aca="false">Assumptions!I19</f>
        <v>23</v>
      </c>
      <c r="J14" s="4" t="n">
        <f aca="false">Assumptions!J19</f>
        <v>23</v>
      </c>
      <c r="K14" s="4" t="n">
        <f aca="false">Assumptions!K19</f>
        <v>23</v>
      </c>
      <c r="L14" s="4" t="n">
        <f aca="false">Assumptions!L19</f>
        <v>23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715.8960903402</v>
      </c>
      <c r="D15" s="0" t="n">
        <f aca="false">D13-MAX(0,D13)*D14/100</f>
        <v>636.2454529431</v>
      </c>
      <c r="E15" s="0" t="n">
        <f aca="false">E13-MAX(0,E13)*E14/100</f>
        <v>563.811355223424</v>
      </c>
      <c r="F15" s="0" t="n">
        <f aca="false">F13-MAX(0,F13)*F14/100</f>
        <v>487.305286604912</v>
      </c>
      <c r="G15" s="0" t="n">
        <f aca="false">G13-MAX(0,G13)*G14/100</f>
        <v>436.195787253909</v>
      </c>
      <c r="H15" s="0" t="n">
        <f aca="false">H13-MAX(0,H13)*H14/100</f>
        <v>431.83382938137</v>
      </c>
      <c r="I15" s="0" t="n">
        <f aca="false">I13-MAX(0,I13)*I14/100</f>
        <v>431.83382938137</v>
      </c>
      <c r="J15" s="0" t="n">
        <f aca="false">J13-MAX(0,J13)*J14/100</f>
        <v>436.152167675183</v>
      </c>
      <c r="K15" s="0" t="n">
        <f aca="false">K13-MAX(0,K13)*K14/100</f>
        <v>440.513689351935</v>
      </c>
      <c r="L15" s="0" t="n">
        <f aca="false">L13-MAX(0,L13)*L14/100</f>
        <v>444.918826245455</v>
      </c>
    </row>
    <row r="16" customFormat="false" ht="15" hidden="false" customHeight="false" outlineLevel="0" collapsed="false">
      <c r="A16" s="0" t="s">
        <v>119</v>
      </c>
      <c r="C16" s="0" t="n">
        <f aca="false">-C12</f>
        <v>358.93261728</v>
      </c>
      <c r="D16" s="0" t="n">
        <f aca="false">-D12</f>
        <v>376.2810271152</v>
      </c>
      <c r="E16" s="0" t="n">
        <f aca="false">-E12</f>
        <v>386.4507846048</v>
      </c>
      <c r="F16" s="0" t="n">
        <f aca="false">-F12</f>
        <v>378.721768912704</v>
      </c>
      <c r="G16" s="0" t="n">
        <f aca="false">-G12</f>
        <v>371.14733353445</v>
      </c>
      <c r="H16" s="0" t="n">
        <f aca="false">-H12</f>
        <v>367.435860199105</v>
      </c>
      <c r="I16" s="0" t="n">
        <f aca="false">-I12</f>
        <v>367.435860199105</v>
      </c>
      <c r="J16" s="0" t="n">
        <f aca="false">-J12</f>
        <v>371.110218801097</v>
      </c>
      <c r="K16" s="0" t="n">
        <f aca="false">-K12</f>
        <v>374.821320989107</v>
      </c>
      <c r="L16" s="0" t="n">
        <f aca="false">-L12</f>
        <v>378.569534198999</v>
      </c>
    </row>
    <row r="17" customFormat="false" ht="15" hidden="false" customHeight="false" outlineLevel="0" collapsed="false">
      <c r="A17" s="0" t="s">
        <v>120</v>
      </c>
      <c r="C17" s="4" t="n">
        <f aca="false">-C6*Assumptions!C18/100</f>
        <v>-697.9245336</v>
      </c>
      <c r="D17" s="4" t="n">
        <f aca="false">-D6*Assumptions!D18/100</f>
        <v>-559.336661928</v>
      </c>
      <c r="E17" s="4" t="n">
        <f aca="false">-E6*Assumptions!E18/100</f>
        <v>-457.639087032</v>
      </c>
      <c r="F17" s="4" t="n">
        <f aca="false">-F6*Assumptions!F18/100</f>
        <v>-398.65449359232</v>
      </c>
      <c r="G17" s="4" t="n">
        <f aca="false">-G6*Assumptions!G18/100</f>
        <v>-390.681403720474</v>
      </c>
      <c r="H17" s="4" t="n">
        <f aca="false">-H6*Assumptions!H18/100</f>
        <v>-386.774589683269</v>
      </c>
      <c r="I17" s="4" t="n">
        <f aca="false">-I6*Assumptions!I18/100</f>
        <v>-386.774589683269</v>
      </c>
      <c r="J17" s="4" t="n">
        <f aca="false">-J6*Assumptions!J18/100</f>
        <v>-390.642335580102</v>
      </c>
      <c r="K17" s="4" t="n">
        <f aca="false">-K6*Assumptions!K18/100</f>
        <v>-394.548758935903</v>
      </c>
      <c r="L17" s="4" t="n">
        <f aca="false">-L6*Assumptions!L18/100</f>
        <v>-398.494246525262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(C6-B6)*Assumptions!$B$23/100</f>
        <v>110.781672</v>
      </c>
      <c r="D18" s="4" t="n">
        <f aca="false">(D6-C6)*Assumptions!$B$23/100</f>
        <v>29.9110514399999</v>
      </c>
      <c r="E18" s="4" t="n">
        <f aca="false">(E6-D6)*Assumptions!$B$23/100</f>
        <v>0</v>
      </c>
      <c r="F18" s="4" t="n">
        <f aca="false">(F6-E6)*Assumptions!$B$23/100</f>
        <v>-30.5092724688001</v>
      </c>
      <c r="G18" s="4" t="n">
        <f aca="false">(G6-F6)*Assumptions!$B$23/100</f>
        <v>-29.899087019424</v>
      </c>
      <c r="H18" s="4" t="n">
        <f aca="false">(H6-G6)*Assumptions!$B$23/100</f>
        <v>-14.6505526395178</v>
      </c>
      <c r="I18" s="4" t="n">
        <f aca="false">(I6-H6)*Assumptions!$B$23/100</f>
        <v>0</v>
      </c>
      <c r="J18" s="4" t="n">
        <f aca="false">(J6-I6)*Assumptions!$B$23/100</f>
        <v>14.5040471131227</v>
      </c>
      <c r="K18" s="4" t="n">
        <f aca="false">(K6-J6)*Assumptions!$B$23/100</f>
        <v>14.6490875842538</v>
      </c>
      <c r="L18" s="4" t="n">
        <f aca="false">(L6-K6)*Assumptions!$B$23/100</f>
        <v>14.7955784600964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487.6858460202</v>
      </c>
      <c r="D19" s="0" t="n">
        <f aca="false">D15+D16+D17+D18</f>
        <v>483.1008695703</v>
      </c>
      <c r="E19" s="0" t="n">
        <f aca="false">E15+E16+E17+E18</f>
        <v>492.623052796224</v>
      </c>
      <c r="F19" s="0" t="n">
        <f aca="false">F15+F16+F17+F18</f>
        <v>436.863289456496</v>
      </c>
      <c r="G19" s="0" t="n">
        <f aca="false">G15+G16+G17+G18</f>
        <v>386.762630048461</v>
      </c>
      <c r="H19" s="0" t="n">
        <f aca="false">H15+H16+H17+H18</f>
        <v>397.844547257688</v>
      </c>
      <c r="I19" s="0" t="n">
        <f aca="false">I15+I16+I17+I18</f>
        <v>412.495099897206</v>
      </c>
      <c r="J19" s="0" t="n">
        <f aca="false">J15+J16+J17+J18</f>
        <v>431.124098009301</v>
      </c>
      <c r="K19" s="0" t="n">
        <f aca="false">K15+K16+K17+K18</f>
        <v>435.435338989394</v>
      </c>
      <c r="L19" s="0" t="n">
        <f aca="false">L15+L16+L17+L18</f>
        <v>439.789692379288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445.375201844932</v>
      </c>
      <c r="D21" s="0" t="n">
        <f aca="false">D19*D20</f>
        <v>402.911423506849</v>
      </c>
      <c r="E21" s="0" t="n">
        <f aca="false">E19*E20</f>
        <v>375.208245433223</v>
      </c>
      <c r="F21" s="0" t="n">
        <f aca="false">F19*F20</f>
        <v>303.87087391264</v>
      </c>
      <c r="G21" s="0" t="n">
        <f aca="false">G19*G20</f>
        <v>245.682322503956</v>
      </c>
      <c r="H21" s="0" t="n">
        <f aca="false">H19*H20</f>
        <v>230.796221826138</v>
      </c>
      <c r="I21" s="0" t="n">
        <f aca="false">I19*I20</f>
        <v>218.534475301108</v>
      </c>
      <c r="J21" s="0" t="n">
        <f aca="false">J19*J20</f>
        <v>208.588012177852</v>
      </c>
      <c r="K21" s="0" t="n">
        <f aca="false">K19*K20</f>
        <v>192.396248675462</v>
      </c>
      <c r="L21" s="0" t="n">
        <f aca="false">L19*L20</f>
        <v>177.461380056819</v>
      </c>
    </row>
    <row r="23" customFormat="false" ht="15" hidden="false" customHeight="false" outlineLevel="0" collapsed="false">
      <c r="A23" s="0" t="s">
        <v>100</v>
      </c>
      <c r="C23" s="4" t="n">
        <f aca="false">Assumptions!C16</f>
        <v>7.8</v>
      </c>
      <c r="D23" s="4" t="n">
        <f aca="false">Assumptions!D16</f>
        <v>8</v>
      </c>
      <c r="E23" s="4" t="n">
        <f aca="false">Assumptions!E16</f>
        <v>8.2</v>
      </c>
      <c r="F23" s="4" t="n">
        <f aca="false">Assumptions!F16</f>
        <v>8.4</v>
      </c>
      <c r="G23" s="4" t="n">
        <f aca="false">Assumptions!G16</f>
        <v>8.5</v>
      </c>
      <c r="H23" s="4" t="n">
        <f aca="false">Assumptions!H16</f>
        <v>8.5</v>
      </c>
      <c r="I23" s="4" t="n">
        <f aca="false">Assumptions!I16</f>
        <v>8.5</v>
      </c>
      <c r="J23" s="4" t="n">
        <f aca="false">Assumptions!J16</f>
        <v>8.5</v>
      </c>
      <c r="K23" s="4" t="n">
        <f aca="false">Assumptions!K16</f>
        <v>8.5</v>
      </c>
      <c r="L23" s="4" t="n">
        <f aca="false">Assumptions!L16</f>
        <v>8.5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-388.84366872</v>
      </c>
      <c r="D24" s="0" t="n">
        <f aca="false">-D6*D23/100</f>
        <v>-406.790299584</v>
      </c>
      <c r="E24" s="0" t="n">
        <f aca="false">-E6*E23/100</f>
        <v>-416.9600570736</v>
      </c>
      <c r="F24" s="0" t="n">
        <f aca="false">-F6*F23/100</f>
        <v>-418.587218271936</v>
      </c>
      <c r="G24" s="0" t="n">
        <f aca="false">-G6*G23/100</f>
        <v>-415.098991453003</v>
      </c>
      <c r="H24" s="0" t="n">
        <f aca="false">-H6*H23/100</f>
        <v>-410.948001538473</v>
      </c>
      <c r="I24" s="0" t="n">
        <f aca="false">-I6*I23/100</f>
        <v>-410.948001538473</v>
      </c>
      <c r="J24" s="0" t="n">
        <f aca="false">-J6*J23/100</f>
        <v>-415.057481553858</v>
      </c>
      <c r="K24" s="0" t="n">
        <f aca="false">-K6*K23/100</f>
        <v>-419.208056369397</v>
      </c>
      <c r="L24" s="0" t="n">
        <f aca="false">-L6*L23/100</f>
        <v>-423.400136933091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Assumptions!$B$20</f>
        <v>9.5</v>
      </c>
    </row>
    <row r="28" customFormat="false" ht="15" hidden="false" customHeight="false" outlineLevel="0" collapsed="false">
      <c r="A28" s="0" t="s">
        <v>105</v>
      </c>
      <c r="B28" s="4" t="n">
        <f aca="false">Assumptions!$B$21</f>
        <v>1</v>
      </c>
    </row>
    <row r="29" customFormat="false" ht="15" hidden="false" customHeight="false" outlineLevel="0" collapsed="false">
      <c r="A29" s="0" t="s">
        <v>106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2800.82440523898</v>
      </c>
    </row>
    <row r="31" customFormat="false" ht="15" hidden="false" customHeight="false" outlineLevel="0" collapsed="false">
      <c r="A31" s="0" t="s">
        <v>128</v>
      </c>
      <c r="B31" s="0" t="n">
        <f aca="false">L19</f>
        <v>439.789692379288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5225.73634474213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5277.47630855146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5225.73634474213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2108.65875126338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4909.48315650236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7766.80415650236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4.0439195559518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0.117104849710442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97.8540044863052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71.6497335110552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4.13217457913538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3172.76849502201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3.07059163851595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Assumptions!C27</f>
        <v>10</v>
      </c>
      <c r="D5" s="4" t="n">
        <f aca="false">Assumptions!D27</f>
        <v>7</v>
      </c>
      <c r="E5" s="4" t="n">
        <f aca="false">Assumptions!E27</f>
        <v>6</v>
      </c>
      <c r="F5" s="4" t="n">
        <f aca="false">Assumptions!F27</f>
        <v>5</v>
      </c>
      <c r="G5" s="4" t="n">
        <f aca="false">Assumptions!G27</f>
        <v>4.5</v>
      </c>
      <c r="H5" s="4" t="n">
        <f aca="false">Assumptions!H27</f>
        <v>4</v>
      </c>
      <c r="I5" s="4" t="n">
        <f aca="false">Assumptions!I27</f>
        <v>3.5</v>
      </c>
      <c r="J5" s="4" t="n">
        <f aca="false">Assumptions!J27</f>
        <v>3</v>
      </c>
      <c r="K5" s="4" t="n">
        <f aca="false">Assumptions!K27</f>
        <v>2.5</v>
      </c>
      <c r="L5" s="4" t="n">
        <f aca="false">Assumptions!L27</f>
        <v>2</v>
      </c>
    </row>
    <row r="6" customFormat="false" ht="15" hidden="false" customHeight="false" outlineLevel="0" collapsed="false">
      <c r="A6" s="0" t="s">
        <v>38</v>
      </c>
      <c r="B6" s="3" t="n">
        <v>4615.903</v>
      </c>
      <c r="C6" s="0" t="n">
        <f aca="false">B6*(1+C5/100)</f>
        <v>5077.4933</v>
      </c>
      <c r="D6" s="0" t="n">
        <f aca="false">C6*(1+D5/100)</f>
        <v>5432.917831</v>
      </c>
      <c r="E6" s="0" t="n">
        <f aca="false">D6*(1+E5/100)</f>
        <v>5758.89290086</v>
      </c>
      <c r="F6" s="0" t="n">
        <f aca="false">E6*(1+F5/100)</f>
        <v>6046.837545903</v>
      </c>
      <c r="G6" s="0" t="n">
        <f aca="false">F6*(1+G5/100)</f>
        <v>6318.94523546864</v>
      </c>
      <c r="H6" s="0" t="n">
        <f aca="false">G6*(1+H5/100)</f>
        <v>6571.70304488738</v>
      </c>
      <c r="I6" s="0" t="n">
        <f aca="false">H6*(1+I5/100)</f>
        <v>6801.71265145844</v>
      </c>
      <c r="J6" s="0" t="n">
        <f aca="false">I6*(1+J5/100)</f>
        <v>7005.76403100219</v>
      </c>
      <c r="K6" s="0" t="n">
        <f aca="false">J6*(1+K5/100)</f>
        <v>7180.90813177725</v>
      </c>
      <c r="L6" s="0" t="n">
        <f aca="false">K6*(1+L5/100)</f>
        <v>7324.52629441279</v>
      </c>
    </row>
    <row r="7" customFormat="false" ht="15" hidden="false" customHeight="false" outlineLevel="0" collapsed="false">
      <c r="A7" s="0" t="s">
        <v>98</v>
      </c>
      <c r="C7" s="4" t="n">
        <f aca="false">Assumptions!C28</f>
        <v>35</v>
      </c>
      <c r="D7" s="4" t="n">
        <f aca="false">Assumptions!D28</f>
        <v>35.3</v>
      </c>
      <c r="E7" s="4" t="n">
        <f aca="false">Assumptions!E28</f>
        <v>35.5</v>
      </c>
      <c r="F7" s="4" t="n">
        <f aca="false">Assumptions!F28</f>
        <v>35.5</v>
      </c>
      <c r="G7" s="4" t="n">
        <f aca="false">Assumptions!G28</f>
        <v>35.5</v>
      </c>
      <c r="H7" s="4" t="n">
        <f aca="false">Assumptions!H28</f>
        <v>35.5</v>
      </c>
      <c r="I7" s="4" t="n">
        <f aca="false">Assumptions!I28</f>
        <v>35.5</v>
      </c>
      <c r="J7" s="4" t="n">
        <f aca="false">Assumptions!J28</f>
        <v>35.5</v>
      </c>
      <c r="K7" s="4" t="n">
        <f aca="false">Assumptions!K28</f>
        <v>35.5</v>
      </c>
      <c r="L7" s="4" t="n">
        <f aca="false">Assumptions!L28</f>
        <v>35.5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1777.122655</v>
      </c>
      <c r="D8" s="0" t="n">
        <f aca="false">D6*D7/100</f>
        <v>1917.819994343</v>
      </c>
      <c r="E8" s="0" t="n">
        <f aca="false">E6*E7/100</f>
        <v>2044.4069798053</v>
      </c>
      <c r="F8" s="0" t="n">
        <f aca="false">F6*F7/100</f>
        <v>2146.62732879557</v>
      </c>
      <c r="G8" s="0" t="n">
        <f aca="false">G6*G7/100</f>
        <v>2243.22555859137</v>
      </c>
      <c r="H8" s="0" t="n">
        <f aca="false">H6*H7/100</f>
        <v>2332.95458093502</v>
      </c>
      <c r="I8" s="0" t="n">
        <f aca="false">I6*I7/100</f>
        <v>2414.60799126775</v>
      </c>
      <c r="J8" s="0" t="n">
        <f aca="false">J6*J7/100</f>
        <v>2487.04623100578</v>
      </c>
      <c r="K8" s="0" t="n">
        <f aca="false">K6*K7/100</f>
        <v>2549.22238678092</v>
      </c>
      <c r="L8" s="0" t="n">
        <f aca="false">L6*L7/100</f>
        <v>2600.20683451654</v>
      </c>
    </row>
    <row r="9" customFormat="false" ht="15" hidden="false" customHeight="false" outlineLevel="0" collapsed="false">
      <c r="A9" s="0" t="s">
        <v>99</v>
      </c>
      <c r="C9" s="4" t="n">
        <f aca="false">Assumptions!C29</f>
        <v>0.35</v>
      </c>
      <c r="D9" s="4" t="n">
        <f aca="false">Assumptions!D29</f>
        <v>0.35</v>
      </c>
      <c r="E9" s="4" t="n">
        <f aca="false">Assumptions!E29</f>
        <v>0.3</v>
      </c>
      <c r="F9" s="4" t="n">
        <f aca="false">Assumptions!F29</f>
        <v>0.3</v>
      </c>
      <c r="G9" s="4" t="n">
        <f aca="false">Assumptions!G29</f>
        <v>0.3</v>
      </c>
      <c r="H9" s="4" t="n">
        <f aca="false">Assumptions!H29</f>
        <v>0.3</v>
      </c>
      <c r="I9" s="4" t="n">
        <f aca="false">Assumptions!I29</f>
        <v>0.3</v>
      </c>
      <c r="J9" s="4" t="n">
        <f aca="false">Assumptions!J29</f>
        <v>0.3</v>
      </c>
      <c r="K9" s="4" t="n">
        <f aca="false">Assumptions!K29</f>
        <v>0.3</v>
      </c>
      <c r="L9" s="4" t="n">
        <f aca="false">Assumptions!L29</f>
        <v>0.3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-17.77122655</v>
      </c>
      <c r="D10" s="0" t="n">
        <f aca="false">-D6*D9/100</f>
        <v>-19.0152124085</v>
      </c>
      <c r="E10" s="0" t="n">
        <f aca="false">-E6*E9/100</f>
        <v>-17.27667870258</v>
      </c>
      <c r="F10" s="0" t="n">
        <f aca="false">-F6*F9/100</f>
        <v>-18.140512637709</v>
      </c>
      <c r="G10" s="0" t="n">
        <f aca="false">-G6*G9/100</f>
        <v>-18.9568357064059</v>
      </c>
      <c r="H10" s="0" t="n">
        <f aca="false">-H6*H9/100</f>
        <v>-19.7151091346621</v>
      </c>
      <c r="I10" s="0" t="n">
        <f aca="false">-I6*I9/100</f>
        <v>-20.4051379543753</v>
      </c>
      <c r="J10" s="0" t="n">
        <f aca="false">-J6*J9/100</f>
        <v>-21.0172920930066</v>
      </c>
      <c r="K10" s="0" t="n">
        <f aca="false">-K6*K9/100</f>
        <v>-21.5427243953317</v>
      </c>
      <c r="L10" s="0" t="n">
        <f aca="false">-L6*L9/100</f>
        <v>-21.9735788832384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1363.30695105</v>
      </c>
      <c r="D11" s="0" t="n">
        <f aca="false">D8+D10+D24</f>
        <v>1475.0371911165</v>
      </c>
      <c r="E11" s="0" t="n">
        <f aca="false">E8+E10+E24</f>
        <v>1577.93665483564</v>
      </c>
      <c r="F11" s="0" t="n">
        <f aca="false">F8+F10+F24</f>
        <v>1656.83348757742</v>
      </c>
      <c r="G11" s="0" t="n">
        <f aca="false">G8+G10+G24</f>
        <v>1731.39099451841</v>
      </c>
      <c r="H11" s="0" t="n">
        <f aca="false">H8+H10+H24</f>
        <v>1800.64663429914</v>
      </c>
      <c r="I11" s="0" t="n">
        <f aca="false">I8+I10+I24</f>
        <v>1863.66926649961</v>
      </c>
      <c r="J11" s="0" t="n">
        <f aca="false">J8+J10+J24</f>
        <v>1919.5793444946</v>
      </c>
      <c r="K11" s="0" t="n">
        <f aca="false">K8+K10+K24</f>
        <v>1967.56882810697</v>
      </c>
      <c r="L11" s="0" t="n">
        <f aca="false">L8+L10+L24</f>
        <v>2006.9202046691</v>
      </c>
    </row>
    <row r="12" customFormat="false" ht="15" hidden="false" customHeight="false" outlineLevel="0" collapsed="false">
      <c r="A12" s="0" t="s">
        <v>116</v>
      </c>
      <c r="C12" s="4" t="n">
        <f aca="false">-C6*Assumptions!C31/100</f>
        <v>-365.5795176</v>
      </c>
      <c r="D12" s="4" t="n">
        <f aca="false">-D6*Assumptions!D31/100</f>
        <v>-402.035919494</v>
      </c>
      <c r="E12" s="4" t="n">
        <f aca="false">-E6*Assumptions!E31/100</f>
        <v>-437.67586046536</v>
      </c>
      <c r="F12" s="4" t="n">
        <f aca="false">-F6*Assumptions!F31/100</f>
        <v>-471.653328580434</v>
      </c>
      <c r="G12" s="4" t="n">
        <f aca="false">-G6*Assumptions!G31/100</f>
        <v>-505.515618837491</v>
      </c>
      <c r="H12" s="4" t="n">
        <f aca="false">-H6*Assumptions!H31/100</f>
        <v>-525.736243590991</v>
      </c>
      <c r="I12" s="4" t="n">
        <f aca="false">-I6*Assumptions!I31/100</f>
        <v>-544.137012116675</v>
      </c>
      <c r="J12" s="4" t="n">
        <f aca="false">-J6*Assumptions!J31/100</f>
        <v>-560.461122480176</v>
      </c>
      <c r="K12" s="4" t="n">
        <f aca="false">-K6*Assumptions!K31/100</f>
        <v>-574.47265054218</v>
      </c>
      <c r="L12" s="4" t="n">
        <f aca="false">-L6*Assumptions!L31/100</f>
        <v>-585.962103553023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997.72743345</v>
      </c>
      <c r="D13" s="0" t="n">
        <f aca="false">D11+D12</f>
        <v>1073.0012716225</v>
      </c>
      <c r="E13" s="0" t="n">
        <f aca="false">E11+E12</f>
        <v>1140.26079437028</v>
      </c>
      <c r="F13" s="0" t="n">
        <f aca="false">F11+F12</f>
        <v>1185.18015899699</v>
      </c>
      <c r="G13" s="0" t="n">
        <f aca="false">G11+G12</f>
        <v>1225.87537568092</v>
      </c>
      <c r="H13" s="0" t="n">
        <f aca="false">H11+H12</f>
        <v>1274.91039070815</v>
      </c>
      <c r="I13" s="0" t="n">
        <f aca="false">I11+I12</f>
        <v>1319.53225438294</v>
      </c>
      <c r="J13" s="0" t="n">
        <f aca="false">J11+J12</f>
        <v>1359.11822201443</v>
      </c>
      <c r="K13" s="0" t="n">
        <f aca="false">K11+K12</f>
        <v>1393.09617756479</v>
      </c>
      <c r="L13" s="0" t="n">
        <f aca="false">L11+L12</f>
        <v>1420.95810111608</v>
      </c>
    </row>
    <row r="14" customFormat="false" ht="15" hidden="false" customHeight="false" outlineLevel="0" collapsed="false">
      <c r="A14" s="0" t="s">
        <v>103</v>
      </c>
      <c r="C14" s="4" t="n">
        <f aca="false">Assumptions!C33</f>
        <v>23</v>
      </c>
      <c r="D14" s="4" t="n">
        <f aca="false">Assumptions!D33</f>
        <v>23</v>
      </c>
      <c r="E14" s="4" t="n">
        <f aca="false">Assumptions!E33</f>
        <v>23</v>
      </c>
      <c r="F14" s="4" t="n">
        <f aca="false">Assumptions!F33</f>
        <v>23</v>
      </c>
      <c r="G14" s="4" t="n">
        <f aca="false">Assumptions!G33</f>
        <v>23</v>
      </c>
      <c r="H14" s="4" t="n">
        <f aca="false">Assumptions!H33</f>
        <v>23</v>
      </c>
      <c r="I14" s="4" t="n">
        <f aca="false">Assumptions!I33</f>
        <v>23</v>
      </c>
      <c r="J14" s="4" t="n">
        <f aca="false">Assumptions!J33</f>
        <v>23</v>
      </c>
      <c r="K14" s="4" t="n">
        <f aca="false">Assumptions!K33</f>
        <v>23</v>
      </c>
      <c r="L14" s="4" t="n">
        <f aca="false">Assumptions!L33</f>
        <v>23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768.2501237565</v>
      </c>
      <c r="D15" s="0" t="n">
        <f aca="false">D13-MAX(0,D13)*D14/100</f>
        <v>826.210979149325</v>
      </c>
      <c r="E15" s="0" t="n">
        <f aca="false">E13-MAX(0,E13)*E14/100</f>
        <v>878.000811665116</v>
      </c>
      <c r="F15" s="0" t="n">
        <f aca="false">F13-MAX(0,F13)*F14/100</f>
        <v>912.588722427681</v>
      </c>
      <c r="G15" s="0" t="n">
        <f aca="false">G13-MAX(0,G13)*G14/100</f>
        <v>943.924039274305</v>
      </c>
      <c r="H15" s="0" t="n">
        <f aca="false">H13-MAX(0,H13)*H14/100</f>
        <v>981.681000845277</v>
      </c>
      <c r="I15" s="0" t="n">
        <f aca="false">I13-MAX(0,I13)*I14/100</f>
        <v>1016.03983587486</v>
      </c>
      <c r="J15" s="0" t="n">
        <f aca="false">J13-MAX(0,J13)*J14/100</f>
        <v>1046.52103095111</v>
      </c>
      <c r="K15" s="0" t="n">
        <f aca="false">K13-MAX(0,K13)*K14/100</f>
        <v>1072.68405672489</v>
      </c>
      <c r="L15" s="0" t="n">
        <f aca="false">L13-MAX(0,L13)*L14/100</f>
        <v>1094.13773785938</v>
      </c>
    </row>
    <row r="16" customFormat="false" ht="15" hidden="false" customHeight="false" outlineLevel="0" collapsed="false">
      <c r="A16" s="0" t="s">
        <v>119</v>
      </c>
      <c r="C16" s="0" t="n">
        <f aca="false">-C12</f>
        <v>365.5795176</v>
      </c>
      <c r="D16" s="0" t="n">
        <f aca="false">-D12</f>
        <v>402.035919494</v>
      </c>
      <c r="E16" s="0" t="n">
        <f aca="false">-E12</f>
        <v>437.67586046536</v>
      </c>
      <c r="F16" s="0" t="n">
        <f aca="false">-F12</f>
        <v>471.653328580434</v>
      </c>
      <c r="G16" s="0" t="n">
        <f aca="false">-G12</f>
        <v>505.515618837491</v>
      </c>
      <c r="H16" s="0" t="n">
        <f aca="false">-H12</f>
        <v>525.736243590991</v>
      </c>
      <c r="I16" s="0" t="n">
        <f aca="false">-I12</f>
        <v>544.137012116675</v>
      </c>
      <c r="J16" s="0" t="n">
        <f aca="false">-J12</f>
        <v>560.461122480176</v>
      </c>
      <c r="K16" s="0" t="n">
        <f aca="false">-K12</f>
        <v>574.47265054218</v>
      </c>
      <c r="L16" s="0" t="n">
        <f aca="false">-L12</f>
        <v>585.962103553023</v>
      </c>
    </row>
    <row r="17" customFormat="false" ht="15" hidden="false" customHeight="false" outlineLevel="0" collapsed="false">
      <c r="A17" s="0" t="s">
        <v>120</v>
      </c>
      <c r="C17" s="4" t="n">
        <f aca="false">-C6*Assumptions!C32/100</f>
        <v>-710.849062</v>
      </c>
      <c r="D17" s="4" t="n">
        <f aca="false">-D6*Assumptions!D32/100</f>
        <v>-706.27931803</v>
      </c>
      <c r="E17" s="4" t="n">
        <f aca="false">-E6*Assumptions!E32/100</f>
        <v>-691.0671481032</v>
      </c>
      <c r="F17" s="4" t="n">
        <f aca="false">-F6*Assumptions!F32/100</f>
        <v>-665.15213004933</v>
      </c>
      <c r="G17" s="4" t="n">
        <f aca="false">-G6*Assumptions!G32/100</f>
        <v>-631.894523546864</v>
      </c>
      <c r="H17" s="4" t="n">
        <f aca="false">-H6*Assumptions!H32/100</f>
        <v>-624.311789264301</v>
      </c>
      <c r="I17" s="4" t="n">
        <f aca="false">-I6*Assumptions!I32/100</f>
        <v>-612.15413863126</v>
      </c>
      <c r="J17" s="4" t="n">
        <f aca="false">-J6*Assumptions!J32/100</f>
        <v>-630.518762790198</v>
      </c>
      <c r="K17" s="4" t="n">
        <f aca="false">-K6*Assumptions!K32/100</f>
        <v>-646.281731859952</v>
      </c>
      <c r="L17" s="4" t="n">
        <f aca="false">-L6*Assumptions!L32/100</f>
        <v>-659.207366497151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(C6-B6)*Assumptions!$B$37/100</f>
        <v>138.47709</v>
      </c>
      <c r="D18" s="4" t="n">
        <f aca="false">(D6-C6)*Assumptions!$B$37/100</f>
        <v>106.6273593</v>
      </c>
      <c r="E18" s="4" t="n">
        <f aca="false">(E6-D6)*Assumptions!$B$37/100</f>
        <v>97.792520958</v>
      </c>
      <c r="F18" s="4" t="n">
        <f aca="false">(F6-E6)*Assumptions!$B$37/100</f>
        <v>86.3833935129001</v>
      </c>
      <c r="G18" s="4" t="n">
        <f aca="false">(G6-F6)*Assumptions!$B$37/100</f>
        <v>81.6323068696903</v>
      </c>
      <c r="H18" s="4" t="n">
        <f aca="false">(H6-G6)*Assumptions!$B$37/100</f>
        <v>75.8273428256237</v>
      </c>
      <c r="I18" s="4" t="n">
        <f aca="false">(I6-H6)*Assumptions!$B$37/100</f>
        <v>69.0028819713173</v>
      </c>
      <c r="J18" s="4" t="n">
        <f aca="false">(J6-I6)*Assumptions!$B$37/100</f>
        <v>61.2154138631261</v>
      </c>
      <c r="K18" s="4" t="n">
        <f aca="false">(K6-J6)*Assumptions!$B$37/100</f>
        <v>52.5432302325164</v>
      </c>
      <c r="L18" s="4" t="n">
        <f aca="false">(L6-K6)*Assumptions!$B$37/100</f>
        <v>43.0854487906634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561.4576693565</v>
      </c>
      <c r="D19" s="0" t="n">
        <f aca="false">D15+D16+D17+D18</f>
        <v>628.594939913325</v>
      </c>
      <c r="E19" s="0" t="n">
        <f aca="false">E15+E16+E17+E18</f>
        <v>722.402044985276</v>
      </c>
      <c r="F19" s="0" t="n">
        <f aca="false">F15+F16+F17+F18</f>
        <v>805.473314471685</v>
      </c>
      <c r="G19" s="0" t="n">
        <f aca="false">G15+G16+G17+G18</f>
        <v>899.177441434622</v>
      </c>
      <c r="H19" s="0" t="n">
        <f aca="false">H15+H16+H17+H18</f>
        <v>958.93279799759</v>
      </c>
      <c r="I19" s="0" t="n">
        <f aca="false">I15+I16+I17+I18</f>
        <v>1017.02559133159</v>
      </c>
      <c r="J19" s="0" t="n">
        <f aca="false">J15+J16+J17+J18</f>
        <v>1037.67880450421</v>
      </c>
      <c r="K19" s="0" t="n">
        <f aca="false">K15+K16+K17+K18</f>
        <v>1053.41820563963</v>
      </c>
      <c r="L19" s="0" t="n">
        <f aca="false">L15+L16+L17+L18</f>
        <v>1063.97792370592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512.746730005937</v>
      </c>
      <c r="D21" s="0" t="n">
        <f aca="false">D19*D20</f>
        <v>524.255073841934</v>
      </c>
      <c r="E21" s="0" t="n">
        <f aca="false">E19*E20</f>
        <v>550.220299796687</v>
      </c>
      <c r="F21" s="0" t="n">
        <f aca="false">F19*F20</f>
        <v>560.266531633567</v>
      </c>
      <c r="G21" s="0" t="n">
        <f aca="false">G19*G20</f>
        <v>571.182386796633</v>
      </c>
      <c r="H21" s="0" t="n">
        <f aca="false">H19*H20</f>
        <v>556.292824140833</v>
      </c>
      <c r="I21" s="0" t="n">
        <f aca="false">I19*I20</f>
        <v>538.806773764912</v>
      </c>
      <c r="J21" s="0" t="n">
        <f aca="false">J19*J20</f>
        <v>502.053492509607</v>
      </c>
      <c r="K21" s="0" t="n">
        <f aca="false">K19*K20</f>
        <v>465.450763646994</v>
      </c>
      <c r="L21" s="0" t="n">
        <f aca="false">L19*L20</f>
        <v>429.330186592916</v>
      </c>
    </row>
    <row r="23" customFormat="false" ht="15" hidden="false" customHeight="false" outlineLevel="0" collapsed="false">
      <c r="A23" s="0" t="s">
        <v>100</v>
      </c>
      <c r="C23" s="4" t="n">
        <f aca="false">Assumptions!C30</f>
        <v>7.8</v>
      </c>
      <c r="D23" s="4" t="n">
        <f aca="false">Assumptions!D30</f>
        <v>7.8</v>
      </c>
      <c r="E23" s="4" t="n">
        <f aca="false">Assumptions!E30</f>
        <v>7.8</v>
      </c>
      <c r="F23" s="4" t="n">
        <f aca="false">Assumptions!F30</f>
        <v>7.8</v>
      </c>
      <c r="G23" s="4" t="n">
        <f aca="false">Assumptions!G30</f>
        <v>7.8</v>
      </c>
      <c r="H23" s="4" t="n">
        <f aca="false">Assumptions!H30</f>
        <v>7.8</v>
      </c>
      <c r="I23" s="4" t="n">
        <f aca="false">Assumptions!I30</f>
        <v>7.8</v>
      </c>
      <c r="J23" s="4" t="n">
        <f aca="false">Assumptions!J30</f>
        <v>7.8</v>
      </c>
      <c r="K23" s="4" t="n">
        <f aca="false">Assumptions!K30</f>
        <v>7.8</v>
      </c>
      <c r="L23" s="4" t="n">
        <f aca="false">Assumptions!L30</f>
        <v>7.8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-396.0444774</v>
      </c>
      <c r="D24" s="0" t="n">
        <f aca="false">-D6*D23/100</f>
        <v>-423.767590818</v>
      </c>
      <c r="E24" s="0" t="n">
        <f aca="false">-E6*E23/100</f>
        <v>-449.19364626708</v>
      </c>
      <c r="F24" s="0" t="n">
        <f aca="false">-F6*F23/100</f>
        <v>-471.653328580434</v>
      </c>
      <c r="G24" s="0" t="n">
        <f aca="false">-G6*G23/100</f>
        <v>-492.877728366554</v>
      </c>
      <c r="H24" s="0" t="n">
        <f aca="false">-H6*H23/100</f>
        <v>-512.592837501216</v>
      </c>
      <c r="I24" s="0" t="n">
        <f aca="false">-I6*I23/100</f>
        <v>-530.533586813758</v>
      </c>
      <c r="J24" s="0" t="n">
        <f aca="false">-J6*J23/100</f>
        <v>-546.449594418171</v>
      </c>
      <c r="K24" s="0" t="n">
        <f aca="false">-K6*K23/100</f>
        <v>-560.110834278625</v>
      </c>
      <c r="L24" s="0" t="n">
        <f aca="false">-L6*L23/100</f>
        <v>-571.313050964198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Assumptions!$B$34</f>
        <v>9.5</v>
      </c>
    </row>
    <row r="28" customFormat="false" ht="15" hidden="false" customHeight="false" outlineLevel="0" collapsed="false">
      <c r="A28" s="0" t="s">
        <v>105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106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5210.60506273002</v>
      </c>
    </row>
    <row r="31" customFormat="false" ht="15" hidden="false" customHeight="false" outlineLevel="0" collapsed="false">
      <c r="A31" s="0" t="s">
        <v>128</v>
      </c>
      <c r="B31" s="0" t="n">
        <f aca="false">L19</f>
        <v>1063.97792370592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14470.0997624005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12767.735084471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12767.735084471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5151.962239115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10362.567301845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13219.888301845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6.88316117596099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0.901425739215744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120.70851448923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120.58645105442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7.00879553087102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8348.13447830797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4.66805850238198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Assumptions!C41</f>
        <v>11</v>
      </c>
      <c r="D5" s="4" t="n">
        <f aca="false">Assumptions!D41</f>
        <v>10</v>
      </c>
      <c r="E5" s="4" t="n">
        <f aca="false">Assumptions!E41</f>
        <v>9</v>
      </c>
      <c r="F5" s="4" t="n">
        <f aca="false">Assumptions!F41</f>
        <v>8</v>
      </c>
      <c r="G5" s="4" t="n">
        <f aca="false">Assumptions!G41</f>
        <v>7</v>
      </c>
      <c r="H5" s="4" t="n">
        <f aca="false">Assumptions!H41</f>
        <v>6</v>
      </c>
      <c r="I5" s="4" t="n">
        <f aca="false">Assumptions!I41</f>
        <v>5</v>
      </c>
      <c r="J5" s="4" t="n">
        <f aca="false">Assumptions!J41</f>
        <v>4</v>
      </c>
      <c r="K5" s="4" t="n">
        <f aca="false">Assumptions!K41</f>
        <v>3</v>
      </c>
      <c r="L5" s="4" t="n">
        <f aca="false">Assumptions!L41</f>
        <v>2.5</v>
      </c>
    </row>
    <row r="6" customFormat="false" ht="15" hidden="false" customHeight="false" outlineLevel="0" collapsed="false">
      <c r="A6" s="0" t="s">
        <v>38</v>
      </c>
      <c r="B6" s="3" t="n">
        <v>4615.903</v>
      </c>
      <c r="C6" s="0" t="n">
        <f aca="false">B6*(1+C5/100)</f>
        <v>5123.65233</v>
      </c>
      <c r="D6" s="0" t="n">
        <f aca="false">C6*(1+D5/100)</f>
        <v>5636.017563</v>
      </c>
      <c r="E6" s="0" t="n">
        <f aca="false">D6*(1+E5/100)</f>
        <v>6143.25914367</v>
      </c>
      <c r="F6" s="0" t="n">
        <f aca="false">E6*(1+F5/100)</f>
        <v>6634.7198751636</v>
      </c>
      <c r="G6" s="0" t="n">
        <f aca="false">F6*(1+G5/100)</f>
        <v>7099.15026642506</v>
      </c>
      <c r="H6" s="0" t="n">
        <f aca="false">G6*(1+H5/100)</f>
        <v>7525.09928241056</v>
      </c>
      <c r="I6" s="0" t="n">
        <f aca="false">H6*(1+I5/100)</f>
        <v>7901.35424653109</v>
      </c>
      <c r="J6" s="0" t="n">
        <f aca="false">I6*(1+J5/100)</f>
        <v>8217.40841639233</v>
      </c>
      <c r="K6" s="0" t="n">
        <f aca="false">J6*(1+K5/100)</f>
        <v>8463.9306688841</v>
      </c>
      <c r="L6" s="0" t="n">
        <f aca="false">K6*(1+L5/100)</f>
        <v>8675.5289356062</v>
      </c>
    </row>
    <row r="7" customFormat="false" ht="15" hidden="false" customHeight="false" outlineLevel="0" collapsed="false">
      <c r="A7" s="0" t="s">
        <v>98</v>
      </c>
      <c r="C7" s="4" t="n">
        <f aca="false">Assumptions!C42</f>
        <v>35.5</v>
      </c>
      <c r="D7" s="4" t="n">
        <f aca="false">Assumptions!D42</f>
        <v>36.5</v>
      </c>
      <c r="E7" s="4" t="n">
        <f aca="false">Assumptions!E42</f>
        <v>37</v>
      </c>
      <c r="F7" s="4" t="n">
        <f aca="false">Assumptions!F42</f>
        <v>37.5</v>
      </c>
      <c r="G7" s="4" t="n">
        <f aca="false">Assumptions!G42</f>
        <v>38</v>
      </c>
      <c r="H7" s="4" t="n">
        <f aca="false">Assumptions!H42</f>
        <v>38</v>
      </c>
      <c r="I7" s="4" t="n">
        <f aca="false">Assumptions!I42</f>
        <v>38</v>
      </c>
      <c r="J7" s="4" t="n">
        <f aca="false">Assumptions!J42</f>
        <v>38</v>
      </c>
      <c r="K7" s="4" t="n">
        <f aca="false">Assumptions!K42</f>
        <v>38</v>
      </c>
      <c r="L7" s="4" t="n">
        <f aca="false">Assumptions!L42</f>
        <v>38</v>
      </c>
    </row>
    <row r="8" customFormat="false" ht="15" hidden="false" customHeight="false" outlineLevel="0" collapsed="false">
      <c r="A8" s="0" t="s">
        <v>44</v>
      </c>
      <c r="C8" s="0" t="n">
        <f aca="false">C6*C7/100</f>
        <v>1818.89657715</v>
      </c>
      <c r="D8" s="0" t="n">
        <f aca="false">D6*D7/100</f>
        <v>2057.146410495</v>
      </c>
      <c r="E8" s="0" t="n">
        <f aca="false">E6*E7/100</f>
        <v>2273.0058831579</v>
      </c>
      <c r="F8" s="0" t="n">
        <f aca="false">F6*F7/100</f>
        <v>2488.01995318635</v>
      </c>
      <c r="G8" s="0" t="n">
        <f aca="false">G6*G7/100</f>
        <v>2697.67710124152</v>
      </c>
      <c r="H8" s="0" t="n">
        <f aca="false">H6*H7/100</f>
        <v>2859.53772731601</v>
      </c>
      <c r="I8" s="0" t="n">
        <f aca="false">I6*I7/100</f>
        <v>3002.51461368181</v>
      </c>
      <c r="J8" s="0" t="n">
        <f aca="false">J6*J7/100</f>
        <v>3122.61519822909</v>
      </c>
      <c r="K8" s="0" t="n">
        <f aca="false">K6*K7/100</f>
        <v>3216.29365417596</v>
      </c>
      <c r="L8" s="0" t="n">
        <f aca="false">L6*L7/100</f>
        <v>3296.70099553036</v>
      </c>
    </row>
    <row r="9" customFormat="false" ht="15" hidden="false" customHeight="false" outlineLevel="0" collapsed="false">
      <c r="A9" s="0" t="s">
        <v>99</v>
      </c>
      <c r="C9" s="4" t="n">
        <f aca="false">Assumptions!C43</f>
        <v>0.35</v>
      </c>
      <c r="D9" s="4" t="n">
        <f aca="false">Assumptions!D43</f>
        <v>0.35</v>
      </c>
      <c r="E9" s="4" t="n">
        <f aca="false">Assumptions!E43</f>
        <v>0.3</v>
      </c>
      <c r="F9" s="4" t="n">
        <f aca="false">Assumptions!F43</f>
        <v>0.3</v>
      </c>
      <c r="G9" s="4" t="n">
        <f aca="false">Assumptions!G43</f>
        <v>0.3</v>
      </c>
      <c r="H9" s="4" t="n">
        <f aca="false">Assumptions!H43</f>
        <v>0.3</v>
      </c>
      <c r="I9" s="4" t="n">
        <f aca="false">Assumptions!I43</f>
        <v>0.3</v>
      </c>
      <c r="J9" s="4" t="n">
        <f aca="false">Assumptions!J43</f>
        <v>0.3</v>
      </c>
      <c r="K9" s="4" t="n">
        <f aca="false">Assumptions!K43</f>
        <v>0.3</v>
      </c>
      <c r="L9" s="4" t="n">
        <f aca="false">Assumptions!L43</f>
        <v>0.3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-17.932783155</v>
      </c>
      <c r="D10" s="0" t="n">
        <f aca="false">-D6*D9/100</f>
        <v>-19.7260614705</v>
      </c>
      <c r="E10" s="0" t="n">
        <f aca="false">-E6*E9/100</f>
        <v>-18.42977743101</v>
      </c>
      <c r="F10" s="0" t="n">
        <f aca="false">-F6*F9/100</f>
        <v>-19.9041596254908</v>
      </c>
      <c r="G10" s="0" t="n">
        <f aca="false">-G6*G9/100</f>
        <v>-21.2974507992752</v>
      </c>
      <c r="H10" s="0" t="n">
        <f aca="false">-H6*H9/100</f>
        <v>-22.5752978472317</v>
      </c>
      <c r="I10" s="0" t="n">
        <f aca="false">-I6*I9/100</f>
        <v>-23.7040627395933</v>
      </c>
      <c r="J10" s="0" t="n">
        <f aca="false">-J6*J9/100</f>
        <v>-24.652225249177</v>
      </c>
      <c r="K10" s="0" t="n">
        <f aca="false">-K6*K9/100</f>
        <v>-25.3917920066523</v>
      </c>
      <c r="L10" s="0" t="n">
        <f aca="false">-L6*L9/100</f>
        <v>-26.0265868068186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1401.318912255</v>
      </c>
      <c r="D11" s="0" t="n">
        <f aca="false">D8+D10+D24</f>
        <v>1603.4469966735</v>
      </c>
      <c r="E11" s="0" t="n">
        <f aca="false">E8+E10+E24</f>
        <v>1787.68841080797</v>
      </c>
      <c r="F11" s="0" t="n">
        <f aca="false">F8+F10+F24</f>
        <v>1970.51180292359</v>
      </c>
      <c r="G11" s="0" t="n">
        <f aca="false">G8+G10+G24</f>
        <v>2143.94338046037</v>
      </c>
      <c r="H11" s="0" t="n">
        <f aca="false">H8+H10+H24</f>
        <v>2272.57998328799</v>
      </c>
      <c r="I11" s="0" t="n">
        <f aca="false">I8+I10+I24</f>
        <v>2386.20898245239</v>
      </c>
      <c r="J11" s="0" t="n">
        <f aca="false">J8+J10+J24</f>
        <v>2481.65734175048</v>
      </c>
      <c r="K11" s="0" t="n">
        <f aca="false">K8+K10+K24</f>
        <v>2556.107062003</v>
      </c>
      <c r="L11" s="0" t="n">
        <f aca="false">L8+L10+L24</f>
        <v>2620.00973855307</v>
      </c>
    </row>
    <row r="12" customFormat="false" ht="15" hidden="false" customHeight="false" outlineLevel="0" collapsed="false">
      <c r="A12" s="0" t="s">
        <v>116</v>
      </c>
      <c r="C12" s="4" t="n">
        <f aca="false">-C6*Assumptions!C45/100</f>
        <v>-368.90296776</v>
      </c>
      <c r="D12" s="4" t="n">
        <f aca="false">-D6*Assumptions!D45/100</f>
        <v>-417.065299662</v>
      </c>
      <c r="E12" s="4" t="n">
        <f aca="false">-E6*Assumptions!E45/100</f>
        <v>-466.88769491892</v>
      </c>
      <c r="F12" s="4" t="n">
        <f aca="false">-F6*Assumptions!F45/100</f>
        <v>-517.508150262761</v>
      </c>
      <c r="G12" s="4" t="n">
        <f aca="false">-G6*Assumptions!G45/100</f>
        <v>-567.932021314004</v>
      </c>
      <c r="H12" s="4" t="n">
        <f aca="false">-H6*Assumptions!H45/100</f>
        <v>-602.007942592845</v>
      </c>
      <c r="I12" s="4" t="n">
        <f aca="false">-I6*Assumptions!I45/100</f>
        <v>-632.108339722487</v>
      </c>
      <c r="J12" s="4" t="n">
        <f aca="false">-J6*Assumptions!J45/100</f>
        <v>-657.392673311387</v>
      </c>
      <c r="K12" s="4" t="n">
        <f aca="false">-K6*Assumptions!K45/100</f>
        <v>-677.114453510728</v>
      </c>
      <c r="L12" s="4" t="n">
        <f aca="false">-L6*Assumptions!L45/100</f>
        <v>-694.042314848496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1032.415944495</v>
      </c>
      <c r="D13" s="0" t="n">
        <f aca="false">D11+D12</f>
        <v>1186.3816970115</v>
      </c>
      <c r="E13" s="0" t="n">
        <f aca="false">E11+E12</f>
        <v>1320.80071588905</v>
      </c>
      <c r="F13" s="0" t="n">
        <f aca="false">F11+F12</f>
        <v>1453.00365266083</v>
      </c>
      <c r="G13" s="0" t="n">
        <f aca="false">G11+G12</f>
        <v>1576.01135914636</v>
      </c>
      <c r="H13" s="0" t="n">
        <f aca="false">H11+H12</f>
        <v>1670.57204069514</v>
      </c>
      <c r="I13" s="0" t="n">
        <f aca="false">I11+I12</f>
        <v>1754.1006427299</v>
      </c>
      <c r="J13" s="0" t="n">
        <f aca="false">J11+J12</f>
        <v>1824.2646684391</v>
      </c>
      <c r="K13" s="0" t="n">
        <f aca="false">K11+K12</f>
        <v>1878.99260849227</v>
      </c>
      <c r="L13" s="0" t="n">
        <f aca="false">L11+L12</f>
        <v>1925.96742370458</v>
      </c>
    </row>
    <row r="14" customFormat="false" ht="15" hidden="false" customHeight="false" outlineLevel="0" collapsed="false">
      <c r="A14" s="0" t="s">
        <v>103</v>
      </c>
      <c r="C14" s="4" t="n">
        <f aca="false">Assumptions!C47</f>
        <v>23</v>
      </c>
      <c r="D14" s="4" t="n">
        <f aca="false">Assumptions!D47</f>
        <v>23</v>
      </c>
      <c r="E14" s="4" t="n">
        <f aca="false">Assumptions!E47</f>
        <v>23</v>
      </c>
      <c r="F14" s="4" t="n">
        <f aca="false">Assumptions!F47</f>
        <v>23</v>
      </c>
      <c r="G14" s="4" t="n">
        <f aca="false">Assumptions!G47</f>
        <v>23</v>
      </c>
      <c r="H14" s="4" t="n">
        <f aca="false">Assumptions!H47</f>
        <v>23</v>
      </c>
      <c r="I14" s="4" t="n">
        <f aca="false">Assumptions!I47</f>
        <v>23</v>
      </c>
      <c r="J14" s="4" t="n">
        <f aca="false">Assumptions!J47</f>
        <v>23</v>
      </c>
      <c r="K14" s="4" t="n">
        <f aca="false">Assumptions!K47</f>
        <v>23</v>
      </c>
      <c r="L14" s="4" t="n">
        <f aca="false">Assumptions!L47</f>
        <v>23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794.96027726115</v>
      </c>
      <c r="D15" s="0" t="n">
        <f aca="false">D13-MAX(0,D13)*D14/100</f>
        <v>913.513906698855</v>
      </c>
      <c r="E15" s="0" t="n">
        <f aca="false">E13-MAX(0,E13)*E14/100</f>
        <v>1017.01655123457</v>
      </c>
      <c r="F15" s="0" t="n">
        <f aca="false">F13-MAX(0,F13)*F14/100</f>
        <v>1118.81281254884</v>
      </c>
      <c r="G15" s="0" t="n">
        <f aca="false">G13-MAX(0,G13)*G14/100</f>
        <v>1213.5287465427</v>
      </c>
      <c r="H15" s="0" t="n">
        <f aca="false">H13-MAX(0,H13)*H14/100</f>
        <v>1286.34047133526</v>
      </c>
      <c r="I15" s="0" t="n">
        <f aca="false">I13-MAX(0,I13)*I14/100</f>
        <v>1350.65749490202</v>
      </c>
      <c r="J15" s="0" t="n">
        <f aca="false">J13-MAX(0,J13)*J14/100</f>
        <v>1404.68379469811</v>
      </c>
      <c r="K15" s="0" t="n">
        <f aca="false">K13-MAX(0,K13)*K14/100</f>
        <v>1446.82430853905</v>
      </c>
      <c r="L15" s="0" t="n">
        <f aca="false">L13-MAX(0,L13)*L14/100</f>
        <v>1482.99491625252</v>
      </c>
    </row>
    <row r="16" customFormat="false" ht="15" hidden="false" customHeight="false" outlineLevel="0" collapsed="false">
      <c r="A16" s="0" t="s">
        <v>119</v>
      </c>
      <c r="C16" s="0" t="n">
        <f aca="false">-C12</f>
        <v>368.90296776</v>
      </c>
      <c r="D16" s="0" t="n">
        <f aca="false">-D12</f>
        <v>417.065299662</v>
      </c>
      <c r="E16" s="0" t="n">
        <f aca="false">-E12</f>
        <v>466.88769491892</v>
      </c>
      <c r="F16" s="0" t="n">
        <f aca="false">-F12</f>
        <v>517.508150262761</v>
      </c>
      <c r="G16" s="0" t="n">
        <f aca="false">-G12</f>
        <v>567.932021314004</v>
      </c>
      <c r="H16" s="0" t="n">
        <f aca="false">-H12</f>
        <v>602.007942592845</v>
      </c>
      <c r="I16" s="0" t="n">
        <f aca="false">-I12</f>
        <v>632.108339722487</v>
      </c>
      <c r="J16" s="0" t="n">
        <f aca="false">-J12</f>
        <v>657.392673311387</v>
      </c>
      <c r="K16" s="0" t="n">
        <f aca="false">-K12</f>
        <v>677.114453510728</v>
      </c>
      <c r="L16" s="0" t="n">
        <f aca="false">-L12</f>
        <v>694.042314848496</v>
      </c>
    </row>
    <row r="17" customFormat="false" ht="15" hidden="false" customHeight="false" outlineLevel="0" collapsed="false">
      <c r="A17" s="0" t="s">
        <v>120</v>
      </c>
      <c r="C17" s="4" t="n">
        <f aca="false">-C6*Assumptions!C46/100</f>
        <v>-717.3113262</v>
      </c>
      <c r="D17" s="4" t="n">
        <f aca="false">-D6*Assumptions!D46/100</f>
        <v>-760.862371005</v>
      </c>
      <c r="E17" s="4" t="n">
        <f aca="false">-E6*Assumptions!E46/100</f>
        <v>-767.90739295875</v>
      </c>
      <c r="F17" s="4" t="n">
        <f aca="false">-F6*Assumptions!F46/100</f>
        <v>-762.992785643814</v>
      </c>
      <c r="G17" s="4" t="n">
        <f aca="false">-G6*Assumptions!G46/100</f>
        <v>-745.410777974631</v>
      </c>
      <c r="H17" s="4" t="n">
        <f aca="false">-H6*Assumptions!H46/100</f>
        <v>-752.509928241056</v>
      </c>
      <c r="I17" s="4" t="n">
        <f aca="false">-I6*Assumptions!I46/100</f>
        <v>-750.628653420453</v>
      </c>
      <c r="J17" s="4" t="n">
        <f aca="false">-J6*Assumptions!J46/100</f>
        <v>-780.653799557271</v>
      </c>
      <c r="K17" s="4" t="n">
        <f aca="false">-K6*Assumptions!K46/100</f>
        <v>-804.07341354399</v>
      </c>
      <c r="L17" s="4" t="n">
        <f aca="false">-L6*Assumptions!L46/100</f>
        <v>-824.175248882589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(C6-B6)*Assumptions!$B$51/100</f>
        <v>152.324799</v>
      </c>
      <c r="D18" s="4" t="n">
        <f aca="false">(D6-C6)*Assumptions!$B$51/100</f>
        <v>153.7095699</v>
      </c>
      <c r="E18" s="4" t="n">
        <f aca="false">(E6-D6)*Assumptions!$B$51/100</f>
        <v>152.172474201</v>
      </c>
      <c r="F18" s="4" t="n">
        <f aca="false">(F6-E6)*Assumptions!$B$51/100</f>
        <v>147.43821944808</v>
      </c>
      <c r="G18" s="4" t="n">
        <f aca="false">(G6-F6)*Assumptions!$B$51/100</f>
        <v>139.329117378436</v>
      </c>
      <c r="H18" s="4" t="n">
        <f aca="false">(H6-G6)*Assumptions!$B$51/100</f>
        <v>127.784704795651</v>
      </c>
      <c r="I18" s="4" t="n">
        <f aca="false">(I6-H6)*Assumptions!$B$51/100</f>
        <v>112.876489236159</v>
      </c>
      <c r="J18" s="4" t="n">
        <f aca="false">(J6-I6)*Assumptions!$B$51/100</f>
        <v>94.816250958373</v>
      </c>
      <c r="K18" s="4" t="n">
        <f aca="false">(K6-J6)*Assumptions!$B$51/100</f>
        <v>73.956675747531</v>
      </c>
      <c r="L18" s="4" t="n">
        <f aca="false">(L6-K6)*Assumptions!$B$51/100</f>
        <v>63.4794800166304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598.87671782115</v>
      </c>
      <c r="D19" s="0" t="n">
        <f aca="false">D15+D16+D17+D18</f>
        <v>723.426405255855</v>
      </c>
      <c r="E19" s="0" t="n">
        <f aca="false">E15+E16+E17+E18</f>
        <v>868.169327395739</v>
      </c>
      <c r="F19" s="0" t="n">
        <f aca="false">F15+F16+F17+F18</f>
        <v>1020.76639661587</v>
      </c>
      <c r="G19" s="0" t="n">
        <f aca="false">G15+G16+G17+G18</f>
        <v>1175.37910726051</v>
      </c>
      <c r="H19" s="0" t="n">
        <f aca="false">H15+H16+H17+H18</f>
        <v>1263.6231904827</v>
      </c>
      <c r="I19" s="0" t="n">
        <f aca="false">I15+I16+I17+I18</f>
        <v>1345.01367044022</v>
      </c>
      <c r="J19" s="0" t="n">
        <f aca="false">J15+J16+J17+J18</f>
        <v>1376.23891941059</v>
      </c>
      <c r="K19" s="0" t="n">
        <f aca="false">K15+K16+K17+K18</f>
        <v>1393.82202425332</v>
      </c>
      <c r="L19" s="0" t="n">
        <f aca="false">L15+L16+L17+L18</f>
        <v>1416.34146223506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546.919377005617</v>
      </c>
      <c r="D21" s="0" t="n">
        <f aca="false">D19*D20</f>
        <v>603.345555977444</v>
      </c>
      <c r="E21" s="0" t="n">
        <f aca="false">E19*E20</f>
        <v>661.244511847565</v>
      </c>
      <c r="F21" s="0" t="n">
        <f aca="false">F19*F20</f>
        <v>710.01886513792</v>
      </c>
      <c r="G21" s="0" t="n">
        <f aca="false">G19*G20</f>
        <v>746.633326126171</v>
      </c>
      <c r="H21" s="0" t="n">
        <f aca="false">H19*H20</f>
        <v>733.048775421318</v>
      </c>
      <c r="I21" s="0" t="n">
        <f aca="false">I19*I20</f>
        <v>712.570541603324</v>
      </c>
      <c r="J21" s="0" t="n">
        <f aca="false">J19*J20</f>
        <v>665.856865360048</v>
      </c>
      <c r="K21" s="0" t="n">
        <f aca="false">K19*K20</f>
        <v>615.857521830834</v>
      </c>
      <c r="L21" s="0" t="n">
        <f aca="false">L19*L20</f>
        <v>571.513873279137</v>
      </c>
    </row>
    <row r="23" customFormat="false" ht="15" hidden="false" customHeight="false" outlineLevel="0" collapsed="false">
      <c r="A23" s="0" t="s">
        <v>100</v>
      </c>
      <c r="C23" s="4" t="n">
        <f aca="false">Assumptions!C44</f>
        <v>7.8</v>
      </c>
      <c r="D23" s="4" t="n">
        <f aca="false">Assumptions!D44</f>
        <v>7.7</v>
      </c>
      <c r="E23" s="4" t="n">
        <f aca="false">Assumptions!E44</f>
        <v>7.6</v>
      </c>
      <c r="F23" s="4" t="n">
        <f aca="false">Assumptions!F44</f>
        <v>7.5</v>
      </c>
      <c r="G23" s="4" t="n">
        <f aca="false">Assumptions!G44</f>
        <v>7.5</v>
      </c>
      <c r="H23" s="4" t="n">
        <f aca="false">Assumptions!H44</f>
        <v>7.5</v>
      </c>
      <c r="I23" s="4" t="n">
        <f aca="false">Assumptions!I44</f>
        <v>7.5</v>
      </c>
      <c r="J23" s="4" t="n">
        <f aca="false">Assumptions!J44</f>
        <v>7.5</v>
      </c>
      <c r="K23" s="4" t="n">
        <f aca="false">Assumptions!K44</f>
        <v>7.5</v>
      </c>
      <c r="L23" s="4" t="n">
        <f aca="false">Assumptions!L44</f>
        <v>7.5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-399.64488174</v>
      </c>
      <c r="D24" s="0" t="n">
        <f aca="false">-D6*D23/100</f>
        <v>-433.973352351</v>
      </c>
      <c r="E24" s="0" t="n">
        <f aca="false">-E6*E23/100</f>
        <v>-466.88769491892</v>
      </c>
      <c r="F24" s="0" t="n">
        <f aca="false">-F6*F23/100</f>
        <v>-497.60399063727</v>
      </c>
      <c r="G24" s="0" t="n">
        <f aca="false">-G6*G23/100</f>
        <v>-532.436269981879</v>
      </c>
      <c r="H24" s="0" t="n">
        <f aca="false">-H6*H23/100</f>
        <v>-564.382446180792</v>
      </c>
      <c r="I24" s="0" t="n">
        <f aca="false">-I6*I23/100</f>
        <v>-592.601568489832</v>
      </c>
      <c r="J24" s="0" t="n">
        <f aca="false">-J6*J23/100</f>
        <v>-616.305631229425</v>
      </c>
      <c r="K24" s="0" t="n">
        <f aca="false">-K6*K23/100</f>
        <v>-634.794800166308</v>
      </c>
      <c r="L24" s="0" t="n">
        <f aca="false">-L6*L23/100</f>
        <v>-650.664670170465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Assumptions!$B$48</f>
        <v>9.5</v>
      </c>
    </row>
    <row r="28" customFormat="false" ht="15" hidden="false" customHeight="false" outlineLevel="0" collapsed="false">
      <c r="A28" s="0" t="s">
        <v>105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106</v>
      </c>
      <c r="B29" s="4" t="n">
        <f aca="false">Assumptions!$B$50</f>
        <v>12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6567.00921358938</v>
      </c>
    </row>
    <row r="31" customFormat="false" ht="15" hidden="false" customHeight="false" outlineLevel="0" collapsed="false">
      <c r="A31" s="0" t="s">
        <v>128</v>
      </c>
      <c r="B31" s="0" t="n">
        <f aca="false">L19</f>
        <v>1416.34146223506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20739.2856970134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16996.0975468207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16996.0975468207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6858.16647934964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13425.175692939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16282.496692939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8.47776066828867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1.34192283654383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133.542529185817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153.780706202584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8.62736042992213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11613.9999903275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5.61428985318532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2" t="s">
        <v>145</v>
      </c>
      <c r="B3" s="2" t="s">
        <v>146</v>
      </c>
      <c r="C3" s="2" t="s">
        <v>136</v>
      </c>
      <c r="D3" s="2" t="s">
        <v>147</v>
      </c>
      <c r="E3" s="2" t="s">
        <v>139</v>
      </c>
      <c r="F3" s="2" t="s">
        <v>148</v>
      </c>
    </row>
    <row r="4" customFormat="false" ht="15" hidden="false" customHeight="false" outlineLevel="0" collapsed="false">
      <c r="A4" s="0" t="s">
        <v>149</v>
      </c>
      <c r="B4" s="4" t="n">
        <f aca="false">DCF_Bear!$B$38</f>
        <v>4.0439195559518</v>
      </c>
      <c r="C4" s="0" t="n">
        <f aca="false">B4/Assumptions!$B$2-1</f>
        <v>0.117104849710442</v>
      </c>
      <c r="D4" s="4" t="n">
        <f aca="false">Assumptions!$B$24</f>
        <v>0.25</v>
      </c>
      <c r="E4" s="4" t="n">
        <f aca="false">DCF_Bear!$B$43</f>
        <v>4.13217457913538</v>
      </c>
      <c r="F4" s="4" t="n">
        <f aca="false">DCF_Bear!$B$47</f>
        <v>3.07059163851595</v>
      </c>
    </row>
    <row r="5" customFormat="false" ht="15" hidden="false" customHeight="false" outlineLevel="0" collapsed="false">
      <c r="A5" s="0" t="s">
        <v>150</v>
      </c>
      <c r="B5" s="4" t="n">
        <f aca="false">DCF_Base!$B$38</f>
        <v>6.88316117596099</v>
      </c>
      <c r="C5" s="0" t="n">
        <f aca="false">B5/Assumptions!$B$2-1</f>
        <v>0.901425739215744</v>
      </c>
      <c r="D5" s="4" t="n">
        <f aca="false">Assumptions!$B$38</f>
        <v>0.5</v>
      </c>
      <c r="E5" s="4" t="n">
        <f aca="false">DCF_Base!$B$43</f>
        <v>7.00879553087102</v>
      </c>
      <c r="F5" s="4" t="n">
        <f aca="false">DCF_Base!$B$47</f>
        <v>4.66805850238198</v>
      </c>
    </row>
    <row r="6" customFormat="false" ht="15" hidden="false" customHeight="false" outlineLevel="0" collapsed="false">
      <c r="A6" s="0" t="s">
        <v>151</v>
      </c>
      <c r="B6" s="4" t="n">
        <f aca="false">DCF_Bull!$B$38</f>
        <v>8.47776066828867</v>
      </c>
      <c r="C6" s="0" t="n">
        <f aca="false">B6/Assumptions!$B$2-1</f>
        <v>1.34192283654383</v>
      </c>
      <c r="D6" s="4" t="n">
        <f aca="false">Assumptions!$B$52</f>
        <v>0.25</v>
      </c>
      <c r="E6" s="4" t="n">
        <f aca="false">DCF_Bull!$B$43</f>
        <v>8.62736042992213</v>
      </c>
      <c r="F6" s="4" t="n">
        <f aca="false">DCF_Bull!$B$47</f>
        <v>5.61428985318532</v>
      </c>
    </row>
    <row r="8" customFormat="false" ht="15" hidden="false" customHeight="false" outlineLevel="0" collapsed="false">
      <c r="A8" s="0" t="s">
        <v>152</v>
      </c>
      <c r="B8" s="0" t="n">
        <f aca="false">SUMPRODUCT(B4:B6,D4:D6)</f>
        <v>6.57200064404061</v>
      </c>
    </row>
    <row r="9" customFormat="false" ht="15" hidden="false" customHeight="false" outlineLevel="0" collapsed="false">
      <c r="A9" s="0" t="s">
        <v>153</v>
      </c>
      <c r="B9" s="0" t="n">
        <f aca="false">SUMPRODUCT(E4:E6,D4:D6)</f>
        <v>6.69428151769989</v>
      </c>
    </row>
    <row r="10" customFormat="false" ht="15" hidden="false" customHeight="false" outlineLevel="0" collapsed="false">
      <c r="A10" s="0" t="s">
        <v>154</v>
      </c>
      <c r="B10" s="0" t="n">
        <f aca="false">1-Assumptions!$B$2/B8</f>
        <v>0.449178386298157</v>
      </c>
    </row>
    <row r="11" customFormat="false" ht="15" hidden="false" customHeight="false" outlineLevel="0" collapsed="false">
      <c r="A11" s="0" t="s">
        <v>155</v>
      </c>
      <c r="B11" s="0" t="n">
        <f aca="false">IF(ABS(B9-B8)&gt;0.01*ABS(B8),(Assumptions!$B$2-B8)/(B9-B8)*100,"n/a")</f>
        <v>-2414.11477993373</v>
      </c>
    </row>
    <row r="12" customFormat="false" ht="15" hidden="false" customHeight="false" outlineLevel="0" collapsed="false">
      <c r="A12" s="0" t="s">
        <v>156</v>
      </c>
      <c r="B12" s="0" t="n">
        <f aca="false">SUMPRODUCT(F4:F6,D4:D6)</f>
        <v>4.50524962411631</v>
      </c>
    </row>
    <row r="14" customFormat="false" ht="15" hidden="false" customHeight="false" outlineLevel="0" collapsed="false">
      <c r="A14" s="2" t="s">
        <v>157</v>
      </c>
      <c r="C14" s="0" t="s">
        <v>158</v>
      </c>
    </row>
    <row r="15" customFormat="false" ht="15" hidden="false" customHeight="false" outlineLevel="0" collapsed="false">
      <c r="A15" s="0" t="s">
        <v>159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7.07635346797312</v>
      </c>
      <c r="C15" s="3" t="n">
        <v>9</v>
      </c>
    </row>
    <row r="16" customFormat="false" ht="15" hidden="false" customHeight="false" outlineLevel="0" collapsed="false">
      <c r="A16" s="0" t="s">
        <v>160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6.88316117596099</v>
      </c>
      <c r="C16" s="3" t="n">
        <v>9.5</v>
      </c>
    </row>
    <row r="17" customFormat="false" ht="15" hidden="false" customHeight="false" outlineLevel="0" collapsed="false">
      <c r="A17" s="0" t="s">
        <v>161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6.69848899697389</v>
      </c>
      <c r="C17" s="3" t="n">
        <v>10</v>
      </c>
    </row>
    <row r="18" customFormat="false" ht="15" hidden="false" customHeight="false" outlineLevel="0" collapsed="false">
      <c r="A18" s="0" t="s">
        <v>162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6.22294765575784</v>
      </c>
      <c r="C18" s="3" t="n">
        <v>11</v>
      </c>
    </row>
    <row r="19" customFormat="false" ht="15" hidden="false" customHeight="false" outlineLevel="0" collapsed="false">
      <c r="A19" s="0" t="s">
        <v>163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5.71572616303269</v>
      </c>
      <c r="C19" s="3" t="n">
        <v>12</v>
      </c>
    </row>
    <row r="20" customFormat="false" ht="15" hidden="false" customHeight="false" outlineLevel="0" collapsed="false">
      <c r="A20" s="0" t="s">
        <v>164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4.66805850238198</v>
      </c>
      <c r="C20" s="3" t="n">
        <v>15</v>
      </c>
    </row>
    <row r="22" customFormat="false" ht="15" hidden="false" customHeight="false" outlineLevel="0" collapsed="false">
      <c r="A22" s="2" t="s">
        <v>165</v>
      </c>
    </row>
    <row r="23" customFormat="false" ht="15" hidden="false" customHeight="false" outlineLevel="0" collapsed="false">
      <c r="B23" s="3" t="n">
        <v>1</v>
      </c>
      <c r="C23" s="3" t="n">
        <v>1.5</v>
      </c>
      <c r="D23" s="3" t="n">
        <v>2</v>
      </c>
      <c r="E23" s="3" t="n">
        <v>2.5</v>
      </c>
      <c r="F23" s="3" t="n">
        <v>3</v>
      </c>
    </row>
    <row r="24" customFormat="false" ht="15" hidden="false" customHeight="false" outlineLevel="0" collapsed="false">
      <c r="A24" s="3" t="n">
        <v>7.5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7.71172097077326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7.71172097077326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7.71172097077326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7.71172097077326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7.71172097077326</v>
      </c>
    </row>
    <row r="25" customFormat="false" ht="15" hidden="false" customHeight="false" outlineLevel="0" collapsed="false">
      <c r="A25" s="3" t="n">
        <v>8.5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7.27851926512445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7.27851926512445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7.27851926512445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7.27851926512445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7.27851926512445</v>
      </c>
    </row>
    <row r="26" customFormat="false" ht="15" hidden="false" customHeight="false" outlineLevel="0" collapsed="false">
      <c r="A26" s="3" t="n">
        <v>9.5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6.85686257454764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6.88316117596099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6.88316117596099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6.88316117596099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6.88316117596099</v>
      </c>
    </row>
    <row r="27" customFormat="false" ht="15" hidden="false" customHeight="false" outlineLevel="0" collapsed="false">
      <c r="A27" s="3" t="n">
        <v>10.5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6.2425966763604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6.37449405299917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6.52190876806602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6.52190876806602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6.52190876806602</v>
      </c>
    </row>
    <row r="28" customFormat="false" ht="15" hidden="false" customHeight="false" outlineLevel="0" collapsed="false">
      <c r="A28" s="3" t="n">
        <v>11.5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5.74731427105442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5.84635177110611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5.95581427116323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6.0774392712267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6.19142862106197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2026-10-11T03:30:31Z</dcterms:created>
  <dc:creator>openpyxl</dc:creator>
  <dc:description/>
  <dc:language>en-NZ</dc:language>
  <cp:lastModifiedBy/>
  <dcterms:modified xsi:type="dcterms:W3CDTF">2026-10-11T03:30:31Z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