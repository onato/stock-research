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<sst xmlns="http://schemas.openxmlformats.org/spreadsheetml/2006/main" count="356" uniqueCount="164">
  <si>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</si>
  <si>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0867.HK</t>
  </si>
  <si>
    <t xml:space="preserve">Company</t>
  </si>
  <si>
    <t xml:space="preserve">China Medical System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</si>
  <si>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</si>
  <si>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</si>
  <si>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</si>
  <si>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</si>
  <si>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 9 Oct 2026; 11 Oct is a Sunday)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</si>
  <si>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</si>
  <si>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</si>
  <si>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</si>
  <si>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</si>
  <si>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</si>
  <si>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</si>
  <si>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</si>
  <si>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</si>
  <si>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</si>
  <si>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</si>
  <si>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</si>
  <si>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</si>
  <si>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</si>
  <si>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2026-10-11T09:33:09Z</t>
  </si>
  <si>
    <t xml:space="preserve">Drivers file</t>
  </si>
  <si>
    <t xml:space="preserve">0867.HK_Drivers.json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</si>
  <si>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</si>
  <si>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</si>
  <si>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</si>
  <si>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Medical System is a specialty-pharma commercialisation platform whose economic capex is the stream of upfront/milestone payments for exclusive product rights, not property, plant and equipment. The valuation therefore charges licensing deposits as capex every year, strips all non-operating income (associates, FVTPL marks, interest) from the flows and adds the matching assets once in the bridge, discounts RMB flows at a CNY-built 9% cost of equity, and caps the terminal value at 15x owner FCF for a policy-exposed, licensing-dependent franchise. Roughly a third of the resulting value sits in the bridge (net cash plus the associate and investment portfolio); the operating franchise is valued on a ~15% terminal owner-FCF margin that equals today's normalized operating NOPAT margin -- i.e. no margin heroics, only the mix-driven recovery already visible in H1 FY2026.
key_risks_to_valuation: Bridge dependence: associates (RMB3.8bn at book) and FVTPL assets (RMB3.2bn, Level-3 management valuations, taken at 80%) are ~RMB2.8/share (~HK$3.3). A 50% haircut to the FVTPL book would cut every scenario by ~HK$0.6/share.; VBP/NRDL repricing of a key exclusive product -- the 2023 episode removed ~RMB1.7bn of revenue from three products in one year; the bear case models a repeat.; Licensing capex intensity: if the H1 FY2026 pace (10% of revenue) is the new normal rather than a deal-wave spike, owner FCF is ~RMB250-400m/yr lower than modelled through the mid-years.; Working-capital stretch: trade receivables rose RMB447m on RMB743m of revenue growth in FY2025; the model charges -35% capture, but continued DSO lengthening (or a collectability event on associate/Tibet Pharmaceutical receivables) would depress cash conversion further.; Tax: the FY2025 RMB278.8m clawback shows local incentives can be reversed retroactively; the 22% rate assumes no further surprises but no return of the concession either.; Currency: value is built in RMB and converted at 1.1721 CNY/HKD; a 5% RMB depreciation against the USD-pegged HKD lowers every HKD figure by ~5%.; Governance/complexity: HK+SGX listings, a pending Dermavon spin-off by distribution in specie, and a large discretionary investment portfolio dilute the link between operating cash flow and what reaches minority shareholders.</t>
  </si>
  <si>
    <t xml:space="preserve">Data sources</t>
  </si>
  <si>
    <t xml:space="preserve">price: Yahoo Finance chart API at inputs.price_as_of; 52-week range 9.51-15.52 HKD. FX from Yahoo CNYHKD=X, USDCNY=X and USDHKD=X at the same timestamp (see inputs.fx_note).
financials: 0867.HK_Metrics.csv / metrics_normalized (CNY millions, FY2017-FY2025 annuals, H1 FY2023-H1 FY2026 interims); kpis table (IntangibleAssetPurchases, Depreciation, InterestIncome, CashTaxesPaid, ProfitBeforeTax, ShareRepurchases, DividendsPaid); FY2025 annual report (income statement p.4360-4373, cash flow p.4556-4659, notes 6, 20, 23, 14 EPS) and H1 FY2026 interim report (P&amp;L 1769-1803, balance sheet 1821-1879, cash flow 1966-2002, note 14 share capital) in Extracted/.
qualitative: 0867.HK_Analysis.json (2026-10-11): business model, VBP history, pipeline, Dermavon spin-off, SGX listing, FY2025 tax one-off.</t>
  </si>
  <si>
    <t xml:space="preserve">Scenario narrative: bear</t>
  </si>
  <si>
    <t xml:space="preserve">Another VBP or NRDL round reprices one of the key exclusive products (VELPHORO, Metoject, ILUMETRI) the way three products lost ~RMB1.7bn in 2023, one or more in-licensing partners renegotiates or walks at renewal, and a lead launch (Lumirix) under-delivers, so growth stalls near 2% after FY2027. To defend the portfolio the company keeps buying rights at 6-7% of revenue while expensed R&amp;D stays elevated, so adjusted EBITDA margin slides to 20%. Receivables keep stretching (wc capture -45%), and a 24% cash tax rate reflects the loss of local concessions with no offset. A terminal growth of 1.5% and the 15x cap leave the company worth roughly its net cash plus investment portfolio plus a modest franchise -- below the current price. This case does not hit the zero-FCF floor; it is a value trap rather than a solvency event.</t>
  </si>
  <si>
    <t xml:space="preserve">Scenario narrative: base</t>
  </si>
  <si>
    <t xml:space="preserve">The VBP reset is digested and the growth engine is the ~60% of turnover in innovative/exclusive products, compounding ~20% on new launches (Lumirix for vitiligo, Desidustat, Silevimig, in-licensed Lucentis/Beovu) while the legacy book holds flat under residual NRDL price steps. Blended revenue growth fades from ~11% to 3% over ten years. The mix shift lifts adjusted EBITDA margin from ~25% to 27% even as expensed R&amp;D stays near 7% of revenue. In-licensing deposits stay a permanent reinvestment line, fading from ~7.5% to ~4.5% of revenue as the current deal wave is absorbed. Working capital remains a drag (receivable-heavy, payable-light). Dermavon spin-off and the Singapore/EM hub are treated as options, not modelled upside. The associate stakes and FVTPL portfolio are valued at book/haircut fair value in the bridge, not for any strategic premium.</t>
  </si>
  <si>
    <t xml:space="preserve">Scenario narrative: bull</t>
  </si>
  <si>
    <t xml:space="preserve">New launches ramp faster than the launch-year cadence suggests and the pipeline (6 NDAs under review, ~20 clinical programs) converts on schedule, keeping innovative-product growth above 25% for several years; VBP-exposed products stop declining; the out-of-hospital/DTP channels and the Singapore-hub emerging-market registrations add a second leg. Revenue compounds ~14% near term, fading to 4%. Operating leverage on the promotion platform plus a maturing R&amp;D ratio lifts adjusted EBITDA margin to 30% -- still far below the pre-VBP 40%+. Licensing reinvestment eases to 4.5% of revenue as in-house programs replace bought-in rights, and the cash tax rate settles at 20% with better use of R&amp;D incentives. Dermavon's separate listing and partial monetisation of the investment portfolio would be upside beyond this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</si>
  <si>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</si>
  <si>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</si>
  <si>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</si>
  <si>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</si>
  <si>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</si>
  <si>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</si>
  <si>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</si>
  <si>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</si>
  <si>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</si>
  <si>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</si>
  <si>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</si>
  <si>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</si>
  <si>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</si>
  <si>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</si>
  <si>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</si>
  <si>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</si>
  <si>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</si>
  <si>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</si>
  <si>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</si>
  <si>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</si>
  <si>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</si>
  <si>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</si>
  <si>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</si>
  <si>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</si>
  <si>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</si>
  <si>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</si>
  <si>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</si>
  <si>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</si>
  <si>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</si>
  <si>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</si>
  <si>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</si>
  <si>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</si>
  <si>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</si>
  <si>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</si>
  <si>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</si>
  <si>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</si>
  <si>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</si>
  <si>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</si>
  <si>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</si>
  <si>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</si>
  <si>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</si>
  <si>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</si>
  <si>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</si>
  <si>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</si>
  <si>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</si>
  <si>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</si>
  <si>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</si>
  <si>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</si>
  <si>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</si>
  <si>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</si>
  <si>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</si>
  <si>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</si>
  <si>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</si>
  <si>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</si>
  <si>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</si>
  <si>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</si>
  <si>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</si>
  <si>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</si>
  <si>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</si>
  <si>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</si>
  <si>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</si>
  <si>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</si>
  <si>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</si>
  <si>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</si>
  <si>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</si>
  <si>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</si>
  <si>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</si>
  <si>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</si>
  <si>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</si>
  <si>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</si>
  <si>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</si>
  <si>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</si>
  <si>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</si>
  <si>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0867.HK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</si>
  <si>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</si>
  <si>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</si>
  <si>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</si>
  <si>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</si>
  <si>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</si>
  <si>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</si>
  <si>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</si>
  <si>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</si>
  <si>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</si>
  <si>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</si>
  <si>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</si>
  <si>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</si>
  <si>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</si>
  <si>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</si>
  <si>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</si>
  <si>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</si>
  <si>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</si>
  <si>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</si>
  <si>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</si>
  <si>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</si>
  <si>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</si>
  <si>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</si>
  <si>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</si>
  <si>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</si>
  <si>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</si>
  <si>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</si>
  <si>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</si>
  <si>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</si>
  <si>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</si>
  <si>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</si>
  <si>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0867.HK owner-FCF component DCF: base case (millions, CNY)</t>
  </si>
  <si>
    <t xml:space="preserve">0867.HK owner-FCF component DCF: bull case (millions, CNY)</t>
  </si>
  <si>
    <t xml:space="preserve">0867.HK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</si>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</sst>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5348.84</v>
      </c>
      <c r="C2" s="0" t="n">
        <v>1870.54</v>
      </c>
      <c r="D2" s="0" t="n">
        <v>3478.3</v>
      </c>
      <c r="E2" s="0" t="n">
        <v>65</v>
      </c>
      <c r="I2" s="0" t="n">
        <v>1674.807</v>
      </c>
      <c r="J2" s="0" t="n">
        <v>31.3</v>
      </c>
      <c r="K2" s="0" t="n">
        <v>0.6734</v>
      </c>
      <c r="L2" s="0" t="n">
        <v>2071.798</v>
      </c>
      <c r="M2" s="0" t="n">
        <v>76.624</v>
      </c>
      <c r="N2" s="0" t="n">
        <v>1995.174</v>
      </c>
      <c r="O2" s="0" t="n">
        <v>7274.683</v>
      </c>
      <c r="P2" s="0" t="n">
        <v>10148.843</v>
      </c>
      <c r="Q2" s="0" t="n">
        <v>2820.586</v>
      </c>
      <c r="R2" s="0" t="n">
        <v>2105.048</v>
      </c>
      <c r="S2" s="0" t="n">
        <v>855.629</v>
      </c>
      <c r="T2" s="0" t="n">
        <v>2487.248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5433.449</v>
      </c>
      <c r="C3" s="0" t="n">
        <v>1516.579</v>
      </c>
      <c r="D3" s="0" t="n">
        <v>3916.87</v>
      </c>
      <c r="E3" s="0" t="n">
        <v>72.1</v>
      </c>
      <c r="I3" s="0" t="n">
        <v>1849.883</v>
      </c>
      <c r="J3" s="0" t="n">
        <v>34</v>
      </c>
      <c r="K3" s="0" t="n">
        <v>0.7441</v>
      </c>
      <c r="L3" s="0" t="n">
        <v>1754.565</v>
      </c>
      <c r="M3" s="0" t="n">
        <v>33.855</v>
      </c>
      <c r="N3" s="0" t="n">
        <v>1720.71</v>
      </c>
      <c r="O3" s="0" t="n">
        <v>8355.786</v>
      </c>
      <c r="P3" s="0" t="n">
        <v>10506.452</v>
      </c>
      <c r="Q3" s="0" t="n">
        <v>2102.377</v>
      </c>
      <c r="R3" s="0" t="n">
        <v>1465.195</v>
      </c>
      <c r="S3" s="0" t="n">
        <v>815.081</v>
      </c>
      <c r="T3" s="0" t="n">
        <v>2486.146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6073.624</v>
      </c>
      <c r="C4" s="0" t="n">
        <v>1527.304</v>
      </c>
      <c r="D4" s="0" t="n">
        <v>4546.32</v>
      </c>
      <c r="E4" s="0" t="n">
        <v>74.9</v>
      </c>
      <c r="I4" s="0" t="n">
        <v>1960.712</v>
      </c>
      <c r="J4" s="0" t="n">
        <v>32.3</v>
      </c>
      <c r="K4" s="0" t="n">
        <v>0.7905</v>
      </c>
      <c r="L4" s="0" t="n">
        <v>2555.119</v>
      </c>
      <c r="M4" s="0" t="n">
        <v>37.546</v>
      </c>
      <c r="N4" s="0" t="n">
        <v>2517.573</v>
      </c>
      <c r="O4" s="0" t="n">
        <v>9472.861</v>
      </c>
      <c r="P4" s="0" t="n">
        <v>11170.976</v>
      </c>
      <c r="Q4" s="0" t="n">
        <v>1654.844</v>
      </c>
      <c r="R4" s="0" t="n">
        <v>693.909</v>
      </c>
      <c r="S4" s="0" t="n">
        <v>1365.008</v>
      </c>
      <c r="T4" s="0" t="n">
        <v>2480.41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6945.964</v>
      </c>
      <c r="C5" s="0" t="n">
        <v>1811.744</v>
      </c>
      <c r="D5" s="0" t="n">
        <v>5134.22</v>
      </c>
      <c r="E5" s="0" t="n">
        <v>73.9</v>
      </c>
      <c r="I5" s="0" t="n">
        <v>2530.398</v>
      </c>
      <c r="J5" s="0" t="n">
        <v>36.4</v>
      </c>
      <c r="K5" s="0" t="n">
        <v>1.0237</v>
      </c>
      <c r="L5" s="0" t="n">
        <v>2692.027</v>
      </c>
      <c r="M5" s="0" t="n">
        <v>37.558</v>
      </c>
      <c r="N5" s="0" t="n">
        <v>2654.469</v>
      </c>
      <c r="O5" s="0" t="n">
        <v>11034.142</v>
      </c>
      <c r="P5" s="0" t="n">
        <v>12701.067</v>
      </c>
      <c r="Q5" s="0" t="n">
        <v>1598.352</v>
      </c>
      <c r="R5" s="0" t="n">
        <v>587.251</v>
      </c>
      <c r="S5" s="0" t="n">
        <v>2668.426</v>
      </c>
      <c r="T5" s="0" t="n">
        <v>2471.84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8337.221</v>
      </c>
      <c r="C6" s="0" t="n">
        <v>2090.281</v>
      </c>
      <c r="D6" s="0" t="n">
        <v>6246.94</v>
      </c>
      <c r="E6" s="0" t="n">
        <v>74.9</v>
      </c>
      <c r="I6" s="0" t="n">
        <v>3017.402</v>
      </c>
      <c r="J6" s="0" t="n">
        <v>36.2</v>
      </c>
      <c r="K6" s="0" t="n">
        <v>1.2228</v>
      </c>
      <c r="L6" s="0" t="n">
        <v>2493.852</v>
      </c>
      <c r="M6" s="0" t="n">
        <v>23.347</v>
      </c>
      <c r="N6" s="0" t="n">
        <v>2470.505</v>
      </c>
      <c r="O6" s="0" t="n">
        <v>12752.444</v>
      </c>
      <c r="P6" s="0" t="n">
        <v>15807.879</v>
      </c>
      <c r="Q6" s="0" t="n">
        <v>2960.892</v>
      </c>
      <c r="R6" s="0" t="n">
        <v>1677.573</v>
      </c>
      <c r="S6" s="0" t="n">
        <v>3385.739</v>
      </c>
      <c r="T6" s="0" t="n">
        <v>2467.7</v>
      </c>
      <c r="U6" s="0" t="n">
        <v>17.156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9150.347</v>
      </c>
      <c r="C7" s="0" t="n">
        <v>2114.497</v>
      </c>
      <c r="D7" s="0" t="n">
        <v>7035.85</v>
      </c>
      <c r="E7" s="0" t="n">
        <v>76.9</v>
      </c>
      <c r="I7" s="0" t="n">
        <v>3258.992</v>
      </c>
      <c r="J7" s="0" t="n">
        <v>35.6</v>
      </c>
      <c r="K7" s="0" t="n">
        <v>1.3281</v>
      </c>
      <c r="L7" s="0" t="n">
        <v>3553.243</v>
      </c>
      <c r="M7" s="0" t="n">
        <v>18.336</v>
      </c>
      <c r="N7" s="0" t="n">
        <v>3534.907</v>
      </c>
      <c r="O7" s="0" t="n">
        <v>14589.067</v>
      </c>
      <c r="P7" s="0" t="n">
        <v>17753.539</v>
      </c>
      <c r="Q7" s="0" t="n">
        <v>3016.462</v>
      </c>
      <c r="R7" s="0" t="n">
        <v>1783.337</v>
      </c>
      <c r="S7" s="0" t="n">
        <v>4376.376</v>
      </c>
      <c r="T7" s="0" t="n">
        <v>2453.94</v>
      </c>
      <c r="U7" s="0" t="n">
        <v>18.716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8013.285</v>
      </c>
      <c r="C8" s="0" t="n">
        <v>1904.115</v>
      </c>
      <c r="D8" s="0" t="n">
        <v>6109.17</v>
      </c>
      <c r="E8" s="0" t="n">
        <v>76.2</v>
      </c>
      <c r="I8" s="0" t="n">
        <v>2400.94</v>
      </c>
      <c r="J8" s="0" t="n">
        <v>30</v>
      </c>
      <c r="K8" s="0" t="n">
        <v>0.9792</v>
      </c>
      <c r="L8" s="0" t="n">
        <v>2502.853</v>
      </c>
      <c r="M8" s="0" t="n">
        <v>27.49</v>
      </c>
      <c r="N8" s="0" t="n">
        <v>2475.363</v>
      </c>
      <c r="O8" s="0" t="n">
        <v>15520.208</v>
      </c>
      <c r="P8" s="0" t="n">
        <v>17730.837</v>
      </c>
      <c r="Q8" s="0" t="n">
        <v>2174.43</v>
      </c>
      <c r="R8" s="0" t="n">
        <v>1269.65</v>
      </c>
      <c r="S8" s="0" t="n">
        <v>4311.058</v>
      </c>
      <c r="T8" s="0" t="n">
        <v>2451.99</v>
      </c>
      <c r="U8" s="0" t="n">
        <v>-35.872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7468.99</v>
      </c>
      <c r="C9" s="0" t="n">
        <v>2046.796</v>
      </c>
      <c r="D9" s="0" t="n">
        <v>5422.194</v>
      </c>
      <c r="E9" s="0" t="n">
        <v>72.6</v>
      </c>
      <c r="I9" s="0" t="n">
        <v>1619.788</v>
      </c>
      <c r="J9" s="0" t="n">
        <v>21.7</v>
      </c>
      <c r="K9" s="0" t="n">
        <v>0.6673</v>
      </c>
      <c r="L9" s="0" t="n">
        <v>1268.547</v>
      </c>
      <c r="M9" s="0" t="n">
        <v>32.619</v>
      </c>
      <c r="N9" s="0" t="n">
        <v>1235.928</v>
      </c>
      <c r="O9" s="0" t="n">
        <v>16311.469</v>
      </c>
      <c r="P9" s="0" t="n">
        <v>18047.79</v>
      </c>
      <c r="Q9" s="0" t="n">
        <v>1644.682</v>
      </c>
      <c r="R9" s="0" t="n">
        <v>831.3</v>
      </c>
      <c r="S9" s="0" t="n">
        <v>3706.501</v>
      </c>
      <c r="T9" s="0" t="n">
        <v>2427.382</v>
      </c>
      <c r="U9" s="0" t="n">
        <v>0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8212.058</v>
      </c>
      <c r="C10" s="0" t="n">
        <v>2340.522</v>
      </c>
      <c r="D10" s="0" t="n">
        <v>5871.536</v>
      </c>
      <c r="E10" s="0" t="n">
        <v>71.5</v>
      </c>
      <c r="I10" s="0" t="n">
        <v>1488.892</v>
      </c>
      <c r="J10" s="0" t="n">
        <v>18.1</v>
      </c>
      <c r="K10" s="0" t="n">
        <v>0.6154</v>
      </c>
      <c r="L10" s="0" t="n">
        <v>758.421</v>
      </c>
      <c r="M10" s="0" t="n">
        <v>41.037</v>
      </c>
      <c r="N10" s="0" t="n">
        <v>717.384</v>
      </c>
      <c r="O10" s="0" t="n">
        <v>17395.738</v>
      </c>
      <c r="P10" s="0" t="n">
        <v>19198.855</v>
      </c>
      <c r="Q10" s="0" t="n">
        <v>1656.092</v>
      </c>
      <c r="R10" s="0" t="n">
        <v>651.815</v>
      </c>
      <c r="S10" s="0" t="n">
        <v>2701.38</v>
      </c>
      <c r="T10" s="0" t="n">
        <v>2419.522</v>
      </c>
      <c r="U10" s="0" t="n">
        <v>27.31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10.54</v>
      </c>
    </row>
    <row r="3" customFormat="false" ht="15" hidden="false" customHeight="false" outlineLevel="0" collapsed="false">
      <c r="A3" s="0" t="s">
        <v>76</v>
      </c>
      <c r="B3" s="3" t="n">
        <v>2419.6</v>
      </c>
    </row>
    <row r="4" customFormat="false" ht="15" hidden="false" customHeight="false" outlineLevel="0" collapsed="false">
      <c r="A4" s="0" t="s">
        <v>77</v>
      </c>
      <c r="B4" s="3" t="n">
        <v>-1737.227</v>
      </c>
    </row>
    <row r="5" customFormat="false" ht="15" hidden="false" customHeight="false" outlineLevel="0" collapsed="false">
      <c r="A5" s="0" t="s">
        <v>78</v>
      </c>
      <c r="B5" s="3" t="n">
        <v>6747.087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8212.058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7</v>
      </c>
      <c r="D13" s="3" t="n">
        <v>4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23.5</v>
      </c>
      <c r="D14" s="3" t="n">
        <v>22.5</v>
      </c>
      <c r="E14" s="3" t="n">
        <v>21.5</v>
      </c>
      <c r="F14" s="3" t="n">
        <v>20.5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98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99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100</v>
      </c>
      <c r="C17" s="3" t="n">
        <v>3</v>
      </c>
      <c r="D17" s="3" t="n">
        <v>3.2</v>
      </c>
      <c r="E17" s="3" t="n">
        <v>3.4</v>
      </c>
      <c r="F17" s="3" t="n">
        <v>3.6</v>
      </c>
      <c r="G17" s="3" t="n">
        <v>3.8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101</v>
      </c>
      <c r="C18" s="3" t="n">
        <v>8</v>
      </c>
      <c r="D18" s="3" t="n">
        <v>7.5</v>
      </c>
      <c r="E18" s="3" t="n">
        <v>7</v>
      </c>
      <c r="F18" s="3" t="n">
        <v>7</v>
      </c>
      <c r="G18" s="3" t="n">
        <v>7</v>
      </c>
      <c r="H18" s="3" t="n">
        <v>6.5</v>
      </c>
      <c r="I18" s="3" t="n">
        <v>6.5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-45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11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25</v>
      </c>
      <c r="D28" s="3" t="n">
        <v>25.5</v>
      </c>
      <c r="E28" s="3" t="n">
        <v>26</v>
      </c>
      <c r="F28" s="3" t="n">
        <v>26.5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98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99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100</v>
      </c>
      <c r="C31" s="3" t="n">
        <v>3</v>
      </c>
      <c r="D31" s="3" t="n">
        <v>3.1</v>
      </c>
      <c r="E31" s="3" t="n">
        <v>3.2</v>
      </c>
      <c r="F31" s="3" t="n">
        <v>3.3</v>
      </c>
      <c r="G31" s="3" t="n">
        <v>3.4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101</v>
      </c>
      <c r="C32" s="3" t="n">
        <v>8</v>
      </c>
      <c r="D32" s="3" t="n">
        <v>7</v>
      </c>
      <c r="E32" s="3" t="n">
        <v>6.5</v>
      </c>
      <c r="F32" s="3" t="n">
        <v>6</v>
      </c>
      <c r="G32" s="3" t="n">
        <v>6</v>
      </c>
      <c r="H32" s="3" t="n">
        <v>5.5</v>
      </c>
      <c r="I32" s="3" t="n">
        <v>5.5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-35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14</v>
      </c>
      <c r="D41" s="3" t="n">
        <v>14</v>
      </c>
      <c r="E41" s="3" t="n">
        <v>12</v>
      </c>
      <c r="F41" s="3" t="n">
        <v>11</v>
      </c>
      <c r="G41" s="3" t="n">
        <v>10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25.5</v>
      </c>
      <c r="D42" s="3" t="n">
        <v>26.5</v>
      </c>
      <c r="E42" s="3" t="n">
        <v>27.5</v>
      </c>
      <c r="F42" s="3" t="n">
        <v>28.5</v>
      </c>
      <c r="G42" s="3" t="n">
        <v>29.5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98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99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100</v>
      </c>
      <c r="C45" s="3" t="n">
        <v>3</v>
      </c>
      <c r="D45" s="3" t="n">
        <v>3</v>
      </c>
      <c r="E45" s="3" t="n">
        <v>3.1</v>
      </c>
      <c r="F45" s="3" t="n">
        <v>3.2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101</v>
      </c>
      <c r="C46" s="3" t="n">
        <v>8</v>
      </c>
      <c r="D46" s="3" t="n">
        <v>7</v>
      </c>
      <c r="E46" s="3" t="n">
        <v>6</v>
      </c>
      <c r="F46" s="3" t="n">
        <v>5.5</v>
      </c>
      <c r="G46" s="3" t="n">
        <v>5</v>
      </c>
      <c r="H46" s="3" t="n">
        <v>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102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-25</v>
      </c>
    </row>
    <row r="52" customFormat="false" ht="15" hidden="false" customHeight="false" outlineLevel="0" collapsed="false">
      <c r="A52" s="0" t="s">
        <v>107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7</v>
      </c>
      <c r="D5" s="4" t="n">
        <f aca="false">Assumptions!D13</f>
        <v>4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8212.058</v>
      </c>
      <c r="C6" s="0" t="n">
        <f aca="false">B6*(1+C5/100)</f>
        <v>8786.90206</v>
      </c>
      <c r="D6" s="0" t="n">
        <f aca="false">C6*(1+D5/100)</f>
        <v>9138.3781424</v>
      </c>
      <c r="E6" s="0" t="n">
        <f aca="false">D6*(1+E5/100)</f>
        <v>9321.145705248</v>
      </c>
      <c r="F6" s="0" t="n">
        <f aca="false">E6*(1+F5/100)</f>
        <v>9507.56861935296</v>
      </c>
      <c r="G6" s="0" t="n">
        <f aca="false">F6*(1+G5/100)</f>
        <v>9697.71999174002</v>
      </c>
      <c r="H6" s="0" t="n">
        <f aca="false">G6*(1+H5/100)</f>
        <v>9891.67439157482</v>
      </c>
      <c r="I6" s="0" t="n">
        <f aca="false">H6*(1+I5/100)</f>
        <v>10089.5078794063</v>
      </c>
      <c r="J6" s="0" t="n">
        <f aca="false">I6*(1+J5/100)</f>
        <v>10291.2980369944</v>
      </c>
      <c r="K6" s="0" t="n">
        <f aca="false">J6*(1+K5/100)</f>
        <v>10497.1239977343</v>
      </c>
      <c r="L6" s="0" t="n">
        <f aca="false">K6*(1+L5/100)</f>
        <v>10707.066477689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23.5</v>
      </c>
      <c r="D7" s="4" t="n">
        <f aca="false">Assumptions!D14</f>
        <v>22.5</v>
      </c>
      <c r="E7" s="4" t="n">
        <f aca="false">Assumptions!E14</f>
        <v>21.5</v>
      </c>
      <c r="F7" s="4" t="n">
        <f aca="false">Assumptions!F14</f>
        <v>20.5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2064.9219841</v>
      </c>
      <c r="D8" s="0" t="n">
        <f aca="false">D6*D7/100</f>
        <v>2056.13508204</v>
      </c>
      <c r="E8" s="0" t="n">
        <f aca="false">E6*E7/100</f>
        <v>2004.04632662832</v>
      </c>
      <c r="F8" s="0" t="n">
        <f aca="false">F6*F7/100</f>
        <v>1949.05156696736</v>
      </c>
      <c r="G8" s="0" t="n">
        <f aca="false">G6*G7/100</f>
        <v>1939.543998348</v>
      </c>
      <c r="H8" s="0" t="n">
        <f aca="false">H6*H7/100</f>
        <v>1978.33487831496</v>
      </c>
      <c r="I8" s="0" t="n">
        <f aca="false">I6*I7/100</f>
        <v>2017.90157588126</v>
      </c>
      <c r="J8" s="0" t="n">
        <f aca="false">J6*J7/100</f>
        <v>2058.25960739889</v>
      </c>
      <c r="K8" s="0" t="n">
        <f aca="false">K6*K7/100</f>
        <v>2099.42479954687</v>
      </c>
      <c r="L8" s="0" t="n">
        <f aca="false">L6*L7/100</f>
        <v>2141.4132955378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-30.75415721</v>
      </c>
      <c r="D10" s="0" t="n">
        <f aca="false">-D6*D9/100</f>
        <v>-31.9843234984</v>
      </c>
      <c r="E10" s="0" t="n">
        <f aca="false">-E6*E9/100</f>
        <v>-32.624009968368</v>
      </c>
      <c r="F10" s="0" t="n">
        <f aca="false">-F6*F9/100</f>
        <v>-33.2764901677354</v>
      </c>
      <c r="G10" s="0" t="n">
        <f aca="false">-G6*G9/100</f>
        <v>-33.9420199710901</v>
      </c>
      <c r="H10" s="0" t="n">
        <f aca="false">-H6*H9/100</f>
        <v>-34.6208603705119</v>
      </c>
      <c r="I10" s="0" t="n">
        <f aca="false">-I6*I9/100</f>
        <v>-35.3132775779221</v>
      </c>
      <c r="J10" s="0" t="n">
        <f aca="false">-J6*J9/100</f>
        <v>-36.0195431294806</v>
      </c>
      <c r="K10" s="0" t="n">
        <f aca="false">-K6*K9/100</f>
        <v>-36.7399339920702</v>
      </c>
      <c r="L10" s="0" t="n">
        <f aca="false">-L6*L9/100</f>
        <v>-37.4747326719116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2012.20057174</v>
      </c>
      <c r="D11" s="0" t="n">
        <f aca="false">D8+D10+D24</f>
        <v>2001.3048131856</v>
      </c>
      <c r="E11" s="0" t="n">
        <f aca="false">E8+E10+E24</f>
        <v>1948.11945239683</v>
      </c>
      <c r="F11" s="0" t="n">
        <f aca="false">F8+F10+F24</f>
        <v>1892.00615525124</v>
      </c>
      <c r="G11" s="0" t="n">
        <f aca="false">G8+G10+G24</f>
        <v>1881.35767839756</v>
      </c>
      <c r="H11" s="0" t="n">
        <f aca="false">H8+H10+H24</f>
        <v>1918.98483196552</v>
      </c>
      <c r="I11" s="0" t="n">
        <f aca="false">I8+I10+I24</f>
        <v>1957.36452860483</v>
      </c>
      <c r="J11" s="0" t="n">
        <f aca="false">J8+J10+J24</f>
        <v>1996.51181917692</v>
      </c>
      <c r="K11" s="0" t="n">
        <f aca="false">K8+K10+K24</f>
        <v>2036.44205556046</v>
      </c>
      <c r="L11" s="0" t="n">
        <f aca="false">L8+L10+L24</f>
        <v>2077.17089667167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-263.6070618</v>
      </c>
      <c r="D12" s="4" t="n">
        <f aca="false">-D6*Assumptions!D17/100</f>
        <v>-292.4281005568</v>
      </c>
      <c r="E12" s="4" t="n">
        <f aca="false">-E6*Assumptions!E17/100</f>
        <v>-316.918953978432</v>
      </c>
      <c r="F12" s="4" t="n">
        <f aca="false">-F6*Assumptions!F17/100</f>
        <v>-342.272470296707</v>
      </c>
      <c r="G12" s="4" t="n">
        <f aca="false">-G6*Assumptions!G17/100</f>
        <v>-368.513359686121</v>
      </c>
      <c r="H12" s="4" t="n">
        <f aca="false">-H6*Assumptions!H17/100</f>
        <v>-395.666975662993</v>
      </c>
      <c r="I12" s="4" t="n">
        <f aca="false">-I6*Assumptions!I17/100</f>
        <v>-403.580315176253</v>
      </c>
      <c r="J12" s="4" t="n">
        <f aca="false">-J6*Assumptions!J17/100</f>
        <v>-411.651921479778</v>
      </c>
      <c r="K12" s="4" t="n">
        <f aca="false">-K6*Assumptions!K17/100</f>
        <v>-419.884959909373</v>
      </c>
      <c r="L12" s="4" t="n">
        <f aca="false">-L6*Assumptions!L17/100</f>
        <v>-428.282659107561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1748.59350994</v>
      </c>
      <c r="D13" s="0" t="n">
        <f aca="false">D11+D12</f>
        <v>1708.8767126288</v>
      </c>
      <c r="E13" s="0" t="n">
        <f aca="false">E11+E12</f>
        <v>1631.2004984184</v>
      </c>
      <c r="F13" s="0" t="n">
        <f aca="false">F11+F12</f>
        <v>1549.73368495453</v>
      </c>
      <c r="G13" s="0" t="n">
        <f aca="false">G11+G12</f>
        <v>1512.84431871144</v>
      </c>
      <c r="H13" s="0" t="n">
        <f aca="false">H11+H12</f>
        <v>1523.31785630252</v>
      </c>
      <c r="I13" s="0" t="n">
        <f aca="false">I11+I12</f>
        <v>1553.78421342857</v>
      </c>
      <c r="J13" s="0" t="n">
        <f aca="false">J11+J12</f>
        <v>1584.85989769714</v>
      </c>
      <c r="K13" s="0" t="n">
        <f aca="false">K11+K12</f>
        <v>1616.55709565109</v>
      </c>
      <c r="L13" s="0" t="n">
        <f aca="false">L11+L12</f>
        <v>1648.88823756411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1328.9310675544</v>
      </c>
      <c r="D15" s="0" t="n">
        <f aca="false">D13-MAX(0,D13)*D14/100</f>
        <v>1298.74630159789</v>
      </c>
      <c r="E15" s="0" t="n">
        <f aca="false">E13-MAX(0,E13)*E14/100</f>
        <v>1239.71237879798</v>
      </c>
      <c r="F15" s="0" t="n">
        <f aca="false">F13-MAX(0,F13)*F14/100</f>
        <v>1177.79760056545</v>
      </c>
      <c r="G15" s="0" t="n">
        <f aca="false">G13-MAX(0,G13)*G14/100</f>
        <v>1149.7616822207</v>
      </c>
      <c r="H15" s="0" t="n">
        <f aca="false">H13-MAX(0,H13)*H14/100</f>
        <v>1157.72157078992</v>
      </c>
      <c r="I15" s="0" t="n">
        <f aca="false">I13-MAX(0,I13)*I14/100</f>
        <v>1180.87600220572</v>
      </c>
      <c r="J15" s="0" t="n">
        <f aca="false">J13-MAX(0,J13)*J14/100</f>
        <v>1204.49352224983</v>
      </c>
      <c r="K15" s="0" t="n">
        <f aca="false">K13-MAX(0,K13)*K14/100</f>
        <v>1228.58339269483</v>
      </c>
      <c r="L15" s="0" t="n">
        <f aca="false">L13-MAX(0,L13)*L14/100</f>
        <v>1253.15506054872</v>
      </c>
    </row>
    <row r="16" customFormat="false" ht="15" hidden="false" customHeight="false" outlineLevel="0" collapsed="false">
      <c r="A16" s="0" t="s">
        <v>118</v>
      </c>
      <c r="C16" s="0" t="n">
        <f aca="false">-C12</f>
        <v>263.6070618</v>
      </c>
      <c r="D16" s="0" t="n">
        <f aca="false">-D12</f>
        <v>292.4281005568</v>
      </c>
      <c r="E16" s="0" t="n">
        <f aca="false">-E12</f>
        <v>316.918953978432</v>
      </c>
      <c r="F16" s="0" t="n">
        <f aca="false">-F12</f>
        <v>342.272470296707</v>
      </c>
      <c r="G16" s="0" t="n">
        <f aca="false">-G12</f>
        <v>368.513359686121</v>
      </c>
      <c r="H16" s="0" t="n">
        <f aca="false">-H12</f>
        <v>395.666975662993</v>
      </c>
      <c r="I16" s="0" t="n">
        <f aca="false">-I12</f>
        <v>403.580315176253</v>
      </c>
      <c r="J16" s="0" t="n">
        <f aca="false">-J12</f>
        <v>411.651921479778</v>
      </c>
      <c r="K16" s="0" t="n">
        <f aca="false">-K12</f>
        <v>419.884959909373</v>
      </c>
      <c r="L16" s="0" t="n">
        <f aca="false">-L12</f>
        <v>428.282659107561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-702.9521648</v>
      </c>
      <c r="D17" s="4" t="n">
        <f aca="false">-D6*Assumptions!D18/100</f>
        <v>-685.37836068</v>
      </c>
      <c r="E17" s="4" t="n">
        <f aca="false">-E6*Assumptions!E18/100</f>
        <v>-652.48019936736</v>
      </c>
      <c r="F17" s="4" t="n">
        <f aca="false">-F6*Assumptions!F18/100</f>
        <v>-665.529803354707</v>
      </c>
      <c r="G17" s="4" t="n">
        <f aca="false">-G6*Assumptions!G18/100</f>
        <v>-678.840399421802</v>
      </c>
      <c r="H17" s="4" t="n">
        <f aca="false">-H6*Assumptions!H18/100</f>
        <v>-642.958835452364</v>
      </c>
      <c r="I17" s="4" t="n">
        <f aca="false">-I6*Assumptions!I18/100</f>
        <v>-655.818012161411</v>
      </c>
      <c r="J17" s="4" t="n">
        <f aca="false">-J6*Assumptions!J18/100</f>
        <v>-617.477882219667</v>
      </c>
      <c r="K17" s="4" t="n">
        <f aca="false">-K6*Assumptions!K18/100</f>
        <v>-629.82743986406</v>
      </c>
      <c r="L17" s="4" t="n">
        <f aca="false">-L6*Assumptions!L18/100</f>
        <v>-642.423988661341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-258.679827000001</v>
      </c>
      <c r="D18" s="4" t="n">
        <f aca="false">(D6-C6)*Assumptions!$B$23/100</f>
        <v>-158.16423708</v>
      </c>
      <c r="E18" s="4" t="n">
        <f aca="false">(E6-D6)*Assumptions!$B$23/100</f>
        <v>-82.2454032816005</v>
      </c>
      <c r="F18" s="4" t="n">
        <f aca="false">(F6-E6)*Assumptions!$B$23/100</f>
        <v>-83.890311347232</v>
      </c>
      <c r="G18" s="4" t="n">
        <f aca="false">(G6-F6)*Assumptions!$B$23/100</f>
        <v>-85.5681175741767</v>
      </c>
      <c r="H18" s="4" t="n">
        <f aca="false">(H6-G6)*Assumptions!$B$23/100</f>
        <v>-87.27947992566</v>
      </c>
      <c r="I18" s="4" t="n">
        <f aca="false">(I6-H6)*Assumptions!$B$23/100</f>
        <v>-89.0250695241734</v>
      </c>
      <c r="J18" s="4" t="n">
        <f aca="false">(J6-I6)*Assumptions!$B$23/100</f>
        <v>-90.8055709146567</v>
      </c>
      <c r="K18" s="4" t="n">
        <f aca="false">(K6-J6)*Assumptions!$B$23/100</f>
        <v>-92.6216823329499</v>
      </c>
      <c r="L18" s="4" t="n">
        <f aca="false">(L6-K6)*Assumptions!$B$23/100</f>
        <v>-94.4741159796091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630.9061375544</v>
      </c>
      <c r="D19" s="0" t="n">
        <f aca="false">D15+D16+D17+D18</f>
        <v>747.631804394688</v>
      </c>
      <c r="E19" s="0" t="n">
        <f aca="false">E15+E16+E17+E18</f>
        <v>821.905730127456</v>
      </c>
      <c r="F19" s="0" t="n">
        <f aca="false">F15+F16+F17+F18</f>
        <v>770.649956160213</v>
      </c>
      <c r="G19" s="0" t="n">
        <f aca="false">G15+G16+G17+G18</f>
        <v>753.86652491084</v>
      </c>
      <c r="H19" s="0" t="n">
        <f aca="false">H15+H16+H17+H18</f>
        <v>823.150231074887</v>
      </c>
      <c r="I19" s="0" t="n">
        <f aca="false">I15+I16+I17+I18</f>
        <v>839.613235696384</v>
      </c>
      <c r="J19" s="0" t="n">
        <f aca="false">J15+J16+J17+J18</f>
        <v>907.861990595284</v>
      </c>
      <c r="K19" s="0" t="n">
        <f aca="false">K15+K16+K17+K18</f>
        <v>926.01923040719</v>
      </c>
      <c r="L19" s="0" t="n">
        <f aca="false">L15+L16+L17+L18</f>
        <v>944.539615015334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578.812970233394</v>
      </c>
      <c r="D21" s="0" t="n">
        <f aca="false">D19*D20</f>
        <v>629.266732088787</v>
      </c>
      <c r="E21" s="0" t="n">
        <f aca="false">E19*E20</f>
        <v>634.662026971949</v>
      </c>
      <c r="F21" s="0" t="n">
        <f aca="false">F19*F20</f>
        <v>545.947857850183</v>
      </c>
      <c r="G21" s="0" t="n">
        <f aca="false">G19*G20</f>
        <v>489.961515619218</v>
      </c>
      <c r="H21" s="0" t="n">
        <f aca="false">H19*H20</f>
        <v>490.817587903032</v>
      </c>
      <c r="I21" s="0" t="n">
        <f aca="false">I19*I20</f>
        <v>459.297192349626</v>
      </c>
      <c r="J21" s="0" t="n">
        <f aca="false">J19*J20</f>
        <v>455.625319676369</v>
      </c>
      <c r="K21" s="0" t="n">
        <f aca="false">K19*K20</f>
        <v>426.364978045776</v>
      </c>
      <c r="L21" s="0" t="n">
        <f aca="false">L19*L20</f>
        <v>398.98374092357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-21.96725515</v>
      </c>
      <c r="D24" s="0" t="n">
        <f aca="false">-D6*D23/100</f>
        <v>-22.845945356</v>
      </c>
      <c r="E24" s="0" t="n">
        <f aca="false">-E6*E23/100</f>
        <v>-23.30286426312</v>
      </c>
      <c r="F24" s="0" t="n">
        <f aca="false">-F6*F23/100</f>
        <v>-23.7689215483824</v>
      </c>
      <c r="G24" s="0" t="n">
        <f aca="false">-G6*G23/100</f>
        <v>-24.2442999793501</v>
      </c>
      <c r="H24" s="0" t="n">
        <f aca="false">-H6*H23/100</f>
        <v>-24.7291859789371</v>
      </c>
      <c r="I24" s="0" t="n">
        <f aca="false">-I6*I23/100</f>
        <v>-25.2237696985158</v>
      </c>
      <c r="J24" s="0" t="n">
        <f aca="false">-J6*J23/100</f>
        <v>-25.7282450924861</v>
      </c>
      <c r="K24" s="0" t="n">
        <f aca="false">-K6*K23/100</f>
        <v>-26.2428099943358</v>
      </c>
      <c r="L24" s="0" t="n">
        <f aca="false">-L6*L23/100</f>
        <v>-26.7676661942226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5109.7399216619</v>
      </c>
    </row>
    <row r="31" customFormat="false" ht="15" hidden="false" customHeight="false" outlineLevel="0" collapsed="false">
      <c r="A31" s="0" t="s">
        <v>127</v>
      </c>
      <c r="B31" s="0" t="n">
        <f aca="false">L19</f>
        <v>944.539615015334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12782.7694565408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14168.09422523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12782.7694565408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5399.57996049899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10509.3198821609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18993.6338821609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9.20087546424234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-0.127051663734123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216.744670930051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214.22904062846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9.4096472807896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7101.53858696714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6.86638708550651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11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8212.058</v>
      </c>
      <c r="C6" s="0" t="n">
        <f aca="false">B6*(1+C5/100)</f>
        <v>9115.38438</v>
      </c>
      <c r="D6" s="0" t="n">
        <f aca="false">C6*(1+D5/100)</f>
        <v>10026.922818</v>
      </c>
      <c r="E6" s="0" t="n">
        <f aca="false">D6*(1+E5/100)</f>
        <v>10929.34587162</v>
      </c>
      <c r="F6" s="0" t="n">
        <f aca="false">E6*(1+F5/100)</f>
        <v>11803.6935413496</v>
      </c>
      <c r="G6" s="0" t="n">
        <f aca="false">F6*(1+G5/100)</f>
        <v>12629.9520892441</v>
      </c>
      <c r="H6" s="0" t="n">
        <f aca="false">G6*(1+H5/100)</f>
        <v>13387.7492145987</v>
      </c>
      <c r="I6" s="0" t="n">
        <f aca="false">H6*(1+I5/100)</f>
        <v>14057.1366753287</v>
      </c>
      <c r="J6" s="0" t="n">
        <f aca="false">I6*(1+J5/100)</f>
        <v>14619.4221423418</v>
      </c>
      <c r="K6" s="0" t="n">
        <f aca="false">J6*(1+K5/100)</f>
        <v>15131.1019173238</v>
      </c>
      <c r="L6" s="0" t="n">
        <f aca="false">K6*(1+L5/100)</f>
        <v>15585.0349748435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25</v>
      </c>
      <c r="D7" s="4" t="n">
        <f aca="false">Assumptions!D28</f>
        <v>25.5</v>
      </c>
      <c r="E7" s="4" t="n">
        <f aca="false">Assumptions!E28</f>
        <v>26</v>
      </c>
      <c r="F7" s="4" t="n">
        <f aca="false">Assumptions!F28</f>
        <v>26.5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2278.846095</v>
      </c>
      <c r="D8" s="0" t="n">
        <f aca="false">D6*D7/100</f>
        <v>2556.86531859</v>
      </c>
      <c r="E8" s="0" t="n">
        <f aca="false">E6*E7/100</f>
        <v>2841.6299266212</v>
      </c>
      <c r="F8" s="0" t="n">
        <f aca="false">F6*F7/100</f>
        <v>3127.97878845765</v>
      </c>
      <c r="G8" s="0" t="n">
        <f aca="false">G6*G7/100</f>
        <v>3410.0870640959</v>
      </c>
      <c r="H8" s="0" t="n">
        <f aca="false">H6*H7/100</f>
        <v>3614.69228794166</v>
      </c>
      <c r="I8" s="0" t="n">
        <f aca="false">I6*I7/100</f>
        <v>3795.42690233874</v>
      </c>
      <c r="J8" s="0" t="n">
        <f aca="false">J6*J7/100</f>
        <v>3947.24397843229</v>
      </c>
      <c r="K8" s="0" t="n">
        <f aca="false">K6*K7/100</f>
        <v>4085.39751767742</v>
      </c>
      <c r="L8" s="0" t="n">
        <f aca="false">L6*L7/100</f>
        <v>4207.95944320774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-31.90384533</v>
      </c>
      <c r="D10" s="0" t="n">
        <f aca="false">-D6*D9/100</f>
        <v>-35.094229863</v>
      </c>
      <c r="E10" s="0" t="n">
        <f aca="false">-E6*E9/100</f>
        <v>-38.25271055067</v>
      </c>
      <c r="F10" s="0" t="n">
        <f aca="false">-F6*F9/100</f>
        <v>-41.3129273947236</v>
      </c>
      <c r="G10" s="0" t="n">
        <f aca="false">-G6*G9/100</f>
        <v>-44.2048323123543</v>
      </c>
      <c r="H10" s="0" t="n">
        <f aca="false">-H6*H9/100</f>
        <v>-46.8571222510955</v>
      </c>
      <c r="I10" s="0" t="n">
        <f aca="false">-I6*I9/100</f>
        <v>-49.1999783636503</v>
      </c>
      <c r="J10" s="0" t="n">
        <f aca="false">-J6*J9/100</f>
        <v>-51.1679774981963</v>
      </c>
      <c r="K10" s="0" t="n">
        <f aca="false">-K6*K9/100</f>
        <v>-52.9588567106332</v>
      </c>
      <c r="L10" s="0" t="n">
        <f aca="false">-L6*L9/100</f>
        <v>-54.5476224119522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2224.15378872</v>
      </c>
      <c r="D11" s="0" t="n">
        <f aca="false">D8+D10+D24</f>
        <v>2496.703781682</v>
      </c>
      <c r="E11" s="0" t="n">
        <f aca="false">E8+E10+E24</f>
        <v>2776.05385139148</v>
      </c>
      <c r="F11" s="0" t="n">
        <f aca="false">F8+F10+F24</f>
        <v>3057.15662720955</v>
      </c>
      <c r="G11" s="0" t="n">
        <f aca="false">G8+G10+G24</f>
        <v>3334.30735156044</v>
      </c>
      <c r="H11" s="0" t="n">
        <f aca="false">H8+H10+H24</f>
        <v>3534.36579265406</v>
      </c>
      <c r="I11" s="0" t="n">
        <f aca="false">I8+I10+I24</f>
        <v>3711.08408228677</v>
      </c>
      <c r="J11" s="0" t="n">
        <f aca="false">J8+J10+J24</f>
        <v>3859.52744557824</v>
      </c>
      <c r="K11" s="0" t="n">
        <f aca="false">K8+K10+K24</f>
        <v>3994.61090617348</v>
      </c>
      <c r="L11" s="0" t="n">
        <f aca="false">L8+L10+L24</f>
        <v>4114.44923335868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-273.4615314</v>
      </c>
      <c r="D12" s="4" t="n">
        <f aca="false">-D6*Assumptions!D31/100</f>
        <v>-310.834607358</v>
      </c>
      <c r="E12" s="4" t="n">
        <f aca="false">-E6*Assumptions!E31/100</f>
        <v>-349.73906789184</v>
      </c>
      <c r="F12" s="4" t="n">
        <f aca="false">-F6*Assumptions!F31/100</f>
        <v>-389.521886864537</v>
      </c>
      <c r="G12" s="4" t="n">
        <f aca="false">-G6*Assumptions!G31/100</f>
        <v>-429.418371034299</v>
      </c>
      <c r="H12" s="4" t="n">
        <f aca="false">-H6*Assumptions!H31/100</f>
        <v>-468.571222510955</v>
      </c>
      <c r="I12" s="4" t="n">
        <f aca="false">-I6*Assumptions!I31/100</f>
        <v>-491.999783636503</v>
      </c>
      <c r="J12" s="4" t="n">
        <f aca="false">-J6*Assumptions!J31/100</f>
        <v>-511.679774981963</v>
      </c>
      <c r="K12" s="4" t="n">
        <f aca="false">-K6*Assumptions!K31/100</f>
        <v>-529.588567106332</v>
      </c>
      <c r="L12" s="4" t="n">
        <f aca="false">-L6*Assumptions!L31/100</f>
        <v>-545.476224119522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1950.69225732</v>
      </c>
      <c r="D13" s="0" t="n">
        <f aca="false">D11+D12</f>
        <v>2185.869174324</v>
      </c>
      <c r="E13" s="0" t="n">
        <f aca="false">E11+E12</f>
        <v>2426.31478349964</v>
      </c>
      <c r="F13" s="0" t="n">
        <f aca="false">F11+F12</f>
        <v>2667.63474034501</v>
      </c>
      <c r="G13" s="0" t="n">
        <f aca="false">G11+G12</f>
        <v>2904.88898052614</v>
      </c>
      <c r="H13" s="0" t="n">
        <f aca="false">H11+H12</f>
        <v>3065.79457014311</v>
      </c>
      <c r="I13" s="0" t="n">
        <f aca="false">I11+I12</f>
        <v>3219.08429865026</v>
      </c>
      <c r="J13" s="0" t="n">
        <f aca="false">J11+J12</f>
        <v>3347.84767059627</v>
      </c>
      <c r="K13" s="0" t="n">
        <f aca="false">K11+K12</f>
        <v>3465.02233906714</v>
      </c>
      <c r="L13" s="0" t="n">
        <f aca="false">L11+L12</f>
        <v>3568.97300923916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1521.5399607096</v>
      </c>
      <c r="D15" s="0" t="n">
        <f aca="false">D13-MAX(0,D13)*D14/100</f>
        <v>1704.97795597272</v>
      </c>
      <c r="E15" s="0" t="n">
        <f aca="false">E13-MAX(0,E13)*E14/100</f>
        <v>1892.52553112972</v>
      </c>
      <c r="F15" s="0" t="n">
        <f aca="false">F13-MAX(0,F13)*F14/100</f>
        <v>2080.75509746911</v>
      </c>
      <c r="G15" s="0" t="n">
        <f aca="false">G13-MAX(0,G13)*G14/100</f>
        <v>2265.81340481039</v>
      </c>
      <c r="H15" s="0" t="n">
        <f aca="false">H13-MAX(0,H13)*H14/100</f>
        <v>2391.31976471162</v>
      </c>
      <c r="I15" s="0" t="n">
        <f aca="false">I13-MAX(0,I13)*I14/100</f>
        <v>2510.88575294721</v>
      </c>
      <c r="J15" s="0" t="n">
        <f aca="false">J13-MAX(0,J13)*J14/100</f>
        <v>2611.32118306509</v>
      </c>
      <c r="K15" s="0" t="n">
        <f aca="false">K13-MAX(0,K13)*K14/100</f>
        <v>2702.71742447237</v>
      </c>
      <c r="L15" s="0" t="n">
        <f aca="false">L13-MAX(0,L13)*L14/100</f>
        <v>2783.79894720654</v>
      </c>
    </row>
    <row r="16" customFormat="false" ht="15" hidden="false" customHeight="false" outlineLevel="0" collapsed="false">
      <c r="A16" s="0" t="s">
        <v>118</v>
      </c>
      <c r="C16" s="0" t="n">
        <f aca="false">-C12</f>
        <v>273.4615314</v>
      </c>
      <c r="D16" s="0" t="n">
        <f aca="false">-D12</f>
        <v>310.834607358</v>
      </c>
      <c r="E16" s="0" t="n">
        <f aca="false">-E12</f>
        <v>349.73906789184</v>
      </c>
      <c r="F16" s="0" t="n">
        <f aca="false">-F12</f>
        <v>389.521886864537</v>
      </c>
      <c r="G16" s="0" t="n">
        <f aca="false">-G12</f>
        <v>429.418371034299</v>
      </c>
      <c r="H16" s="0" t="n">
        <f aca="false">-H12</f>
        <v>468.571222510955</v>
      </c>
      <c r="I16" s="0" t="n">
        <f aca="false">-I12</f>
        <v>491.999783636503</v>
      </c>
      <c r="J16" s="0" t="n">
        <f aca="false">-J12</f>
        <v>511.679774981963</v>
      </c>
      <c r="K16" s="0" t="n">
        <f aca="false">-K12</f>
        <v>529.588567106332</v>
      </c>
      <c r="L16" s="0" t="n">
        <f aca="false">-L12</f>
        <v>545.476224119522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-729.2307504</v>
      </c>
      <c r="D17" s="4" t="n">
        <f aca="false">-D6*Assumptions!D32/100</f>
        <v>-701.88459726</v>
      </c>
      <c r="E17" s="4" t="n">
        <f aca="false">-E6*Assumptions!E32/100</f>
        <v>-710.4074816553</v>
      </c>
      <c r="F17" s="4" t="n">
        <f aca="false">-F6*Assumptions!F32/100</f>
        <v>-708.221612480976</v>
      </c>
      <c r="G17" s="4" t="n">
        <f aca="false">-G6*Assumptions!G32/100</f>
        <v>-757.797125354645</v>
      </c>
      <c r="H17" s="4" t="n">
        <f aca="false">-H6*Assumptions!H32/100</f>
        <v>-736.32620680293</v>
      </c>
      <c r="I17" s="4" t="n">
        <f aca="false">-I6*Assumptions!I32/100</f>
        <v>-773.142517143076</v>
      </c>
      <c r="J17" s="4" t="n">
        <f aca="false">-J6*Assumptions!J32/100</f>
        <v>-730.971107117091</v>
      </c>
      <c r="K17" s="4" t="n">
        <f aca="false">-K6*Assumptions!K32/100</f>
        <v>-756.555095866189</v>
      </c>
      <c r="L17" s="4" t="n">
        <f aca="false">-L6*Assumptions!L32/100</f>
        <v>-779.251748742174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-316.164233</v>
      </c>
      <c r="D18" s="4" t="n">
        <f aca="false">(D6-C6)*Assumptions!$B$37/100</f>
        <v>-319.0384533</v>
      </c>
      <c r="E18" s="4" t="n">
        <f aca="false">(E6-D6)*Assumptions!$B$37/100</f>
        <v>-315.848068767</v>
      </c>
      <c r="F18" s="4" t="n">
        <f aca="false">(F6-E6)*Assumptions!$B$37/100</f>
        <v>-306.02168440536</v>
      </c>
      <c r="G18" s="4" t="n">
        <f aca="false">(G6-F6)*Assumptions!$B$37/100</f>
        <v>-289.190491763066</v>
      </c>
      <c r="H18" s="4" t="n">
        <f aca="false">(H6-G6)*Assumptions!$B$37/100</f>
        <v>-265.228993874126</v>
      </c>
      <c r="I18" s="4" t="n">
        <f aca="false">(I6-H6)*Assumptions!$B$37/100</f>
        <v>-234.285611255478</v>
      </c>
      <c r="J18" s="4" t="n">
        <f aca="false">(J6-I6)*Assumptions!$B$37/100</f>
        <v>-196.799913454602</v>
      </c>
      <c r="K18" s="4" t="n">
        <f aca="false">(K6-J6)*Assumptions!$B$37/100</f>
        <v>-179.087921243687</v>
      </c>
      <c r="L18" s="4" t="n">
        <f aca="false">(L6-K6)*Assumptions!$B$37/100</f>
        <v>-158.876570131899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749.6065087096</v>
      </c>
      <c r="D19" s="0" t="n">
        <f aca="false">D15+D16+D17+D18</f>
        <v>994.88951277072</v>
      </c>
      <c r="E19" s="0" t="n">
        <f aca="false">E15+E16+E17+E18</f>
        <v>1216.00904859926</v>
      </c>
      <c r="F19" s="0" t="n">
        <f aca="false">F15+F16+F17+F18</f>
        <v>1456.03368744731</v>
      </c>
      <c r="G19" s="0" t="n">
        <f aca="false">G15+G16+G17+G18</f>
        <v>1648.24415872698</v>
      </c>
      <c r="H19" s="0" t="n">
        <f aca="false">H15+H16+H17+H18</f>
        <v>1858.33578654552</v>
      </c>
      <c r="I19" s="0" t="n">
        <f aca="false">I15+I16+I17+I18</f>
        <v>1995.45740818515</v>
      </c>
      <c r="J19" s="0" t="n">
        <f aca="false">J15+J16+J17+J18</f>
        <v>2195.22993747536</v>
      </c>
      <c r="K19" s="0" t="n">
        <f aca="false">K15+K16+K17+K18</f>
        <v>2296.66297446883</v>
      </c>
      <c r="L19" s="0" t="n">
        <f aca="false">L15+L16+L17+L18</f>
        <v>2391.14685245199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687.712393311559</v>
      </c>
      <c r="D21" s="0" t="n">
        <f aca="false">D19*D20</f>
        <v>837.37859840983</v>
      </c>
      <c r="E21" s="0" t="n">
        <f aca="false">E19*E20</f>
        <v>938.98209893312</v>
      </c>
      <c r="F21" s="0" t="n">
        <f aca="false">F19*F20</f>
        <v>1031.4909723479</v>
      </c>
      <c r="G21" s="0" t="n">
        <f aca="false">G19*G20</f>
        <v>1071.24561103957</v>
      </c>
      <c r="H21" s="0" t="n">
        <f aca="false">H19*H20</f>
        <v>1108.06491188748</v>
      </c>
      <c r="I21" s="0" t="n">
        <f aca="false">I19*I20</f>
        <v>1091.58353640357</v>
      </c>
      <c r="J21" s="0" t="n">
        <f aca="false">J19*J20</f>
        <v>1101.71188174704</v>
      </c>
      <c r="K21" s="0" t="n">
        <f aca="false">K19*K20</f>
        <v>1057.44743363199</v>
      </c>
      <c r="L21" s="0" t="n">
        <f aca="false">L19*L20</f>
        <v>1010.04627135033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-22.78846095</v>
      </c>
      <c r="D24" s="0" t="n">
        <f aca="false">-D6*D23/100</f>
        <v>-25.067307045</v>
      </c>
      <c r="E24" s="0" t="n">
        <f aca="false">-E6*E23/100</f>
        <v>-27.32336467905</v>
      </c>
      <c r="F24" s="0" t="n">
        <f aca="false">-F6*F23/100</f>
        <v>-29.509233853374</v>
      </c>
      <c r="G24" s="0" t="n">
        <f aca="false">-G6*G23/100</f>
        <v>-31.5748802231102</v>
      </c>
      <c r="H24" s="0" t="n">
        <f aca="false">-H6*H23/100</f>
        <v>-33.4693730364968</v>
      </c>
      <c r="I24" s="0" t="n">
        <f aca="false">-I6*I23/100</f>
        <v>-35.1428416883217</v>
      </c>
      <c r="J24" s="0" t="n">
        <f aca="false">-J6*J23/100</f>
        <v>-36.5485553558545</v>
      </c>
      <c r="K24" s="0" t="n">
        <f aca="false">-K6*K23/100</f>
        <v>-37.8277547933094</v>
      </c>
      <c r="L24" s="0" t="n">
        <f aca="false">-L6*L23/100</f>
        <v>-38.9625874371087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9935.66370906239</v>
      </c>
    </row>
    <row r="31" customFormat="false" ht="15" hidden="false" customHeight="false" outlineLevel="0" collapsed="false">
      <c r="A31" s="0" t="s">
        <v>127</v>
      </c>
      <c r="B31" s="0" t="n">
        <f aca="false">L19</f>
        <v>2391.14685245199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37706.5465194352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35867.2027867799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35867.2027867799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15150.694070255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25086.3577793174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33570.6717793174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16.2622683057274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0.542909706425745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274.301192980365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363.346812726245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16.571157059029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19607.4041901063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10.0282913920259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14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8212.058</v>
      </c>
      <c r="C6" s="0" t="n">
        <f aca="false">B6*(1+C5/100)</f>
        <v>9361.74612</v>
      </c>
      <c r="D6" s="0" t="n">
        <f aca="false">C6*(1+D5/100)</f>
        <v>10672.3905768</v>
      </c>
      <c r="E6" s="0" t="n">
        <f aca="false">D6*(1+E5/100)</f>
        <v>11953.077446016</v>
      </c>
      <c r="F6" s="0" t="n">
        <f aca="false">E6*(1+F5/100)</f>
        <v>13267.9159650778</v>
      </c>
      <c r="G6" s="0" t="n">
        <f aca="false">F6*(1+G5/100)</f>
        <v>14594.7075615855</v>
      </c>
      <c r="H6" s="0" t="n">
        <f aca="false">G6*(1+H5/100)</f>
        <v>15762.2841665124</v>
      </c>
      <c r="I6" s="0" t="n">
        <f aca="false">H6*(1+I5/100)</f>
        <v>16865.6440581683</v>
      </c>
      <c r="J6" s="0" t="n">
        <f aca="false">I6*(1+J5/100)</f>
        <v>17877.5827016584</v>
      </c>
      <c r="K6" s="0" t="n">
        <f aca="false">J6*(1+K5/100)</f>
        <v>18771.4618367413</v>
      </c>
      <c r="L6" s="0" t="n">
        <f aca="false">K6*(1+L5/100)</f>
        <v>19522.3203102109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25.5</v>
      </c>
      <c r="D7" s="4" t="n">
        <f aca="false">Assumptions!D42</f>
        <v>26.5</v>
      </c>
      <c r="E7" s="4" t="n">
        <f aca="false">Assumptions!E42</f>
        <v>27.5</v>
      </c>
      <c r="F7" s="4" t="n">
        <f aca="false">Assumptions!F42</f>
        <v>28.5</v>
      </c>
      <c r="G7" s="4" t="n">
        <f aca="false">Assumptions!G42</f>
        <v>29.5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2387.2452606</v>
      </c>
      <c r="D8" s="0" t="n">
        <f aca="false">D6*D7/100</f>
        <v>2828.183502852</v>
      </c>
      <c r="E8" s="0" t="n">
        <f aca="false">E6*E7/100</f>
        <v>3287.0962976544</v>
      </c>
      <c r="F8" s="0" t="n">
        <f aca="false">F6*F7/100</f>
        <v>3781.35605004716</v>
      </c>
      <c r="G8" s="0" t="n">
        <f aca="false">G6*G7/100</f>
        <v>4305.43873066773</v>
      </c>
      <c r="H8" s="0" t="n">
        <f aca="false">H6*H7/100</f>
        <v>4728.68524995372</v>
      </c>
      <c r="I8" s="0" t="n">
        <f aca="false">I6*I7/100</f>
        <v>5059.69321745048</v>
      </c>
      <c r="J8" s="0" t="n">
        <f aca="false">J6*J7/100</f>
        <v>5363.2748104975</v>
      </c>
      <c r="K8" s="0" t="n">
        <f aca="false">K6*K7/100</f>
        <v>5631.43855102238</v>
      </c>
      <c r="L8" s="0" t="n">
        <f aca="false">L6*L7/100</f>
        <v>5856.69609306328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-32.76611142</v>
      </c>
      <c r="D10" s="0" t="n">
        <f aca="false">-D6*D9/100</f>
        <v>-37.3533670188</v>
      </c>
      <c r="E10" s="0" t="n">
        <f aca="false">-E6*E9/100</f>
        <v>-41.835771061056</v>
      </c>
      <c r="F10" s="0" t="n">
        <f aca="false">-F6*F9/100</f>
        <v>-46.4377058777722</v>
      </c>
      <c r="G10" s="0" t="n">
        <f aca="false">-G6*G9/100</f>
        <v>-51.0814764655494</v>
      </c>
      <c r="H10" s="0" t="n">
        <f aca="false">-H6*H9/100</f>
        <v>-55.1679945827933</v>
      </c>
      <c r="I10" s="0" t="n">
        <f aca="false">-I6*I9/100</f>
        <v>-59.0297542035889</v>
      </c>
      <c r="J10" s="0" t="n">
        <f aca="false">-J6*J9/100</f>
        <v>-62.5715394558042</v>
      </c>
      <c r="K10" s="0" t="n">
        <f aca="false">-K6*K9/100</f>
        <v>-65.7001164285944</v>
      </c>
      <c r="L10" s="0" t="n">
        <f aca="false">-L6*L9/100</f>
        <v>-68.3281210857382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2331.07478388</v>
      </c>
      <c r="D11" s="0" t="n">
        <f aca="false">D8+D10+D24</f>
        <v>2764.1491593912</v>
      </c>
      <c r="E11" s="0" t="n">
        <f aca="false">E8+E10+E24</f>
        <v>3215.3778329783</v>
      </c>
      <c r="F11" s="0" t="n">
        <f aca="false">F8+F10+F24</f>
        <v>3701.7485542567</v>
      </c>
      <c r="G11" s="0" t="n">
        <f aca="false">G8+G10+G24</f>
        <v>4217.87048529822</v>
      </c>
      <c r="H11" s="0" t="n">
        <f aca="false">H8+H10+H24</f>
        <v>4634.11154495464</v>
      </c>
      <c r="I11" s="0" t="n">
        <f aca="false">I8+I10+I24</f>
        <v>4958.49935310147</v>
      </c>
      <c r="J11" s="0" t="n">
        <f aca="false">J8+J10+J24</f>
        <v>5256.00931428755</v>
      </c>
      <c r="K11" s="0" t="n">
        <f aca="false">K8+K10+K24</f>
        <v>5518.80978000193</v>
      </c>
      <c r="L11" s="0" t="n">
        <f aca="false">L8+L10+L24</f>
        <v>5739.56217120201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-280.8523836</v>
      </c>
      <c r="D12" s="4" t="n">
        <f aca="false">-D6*Assumptions!D45/100</f>
        <v>-320.171717304</v>
      </c>
      <c r="E12" s="4" t="n">
        <f aca="false">-E6*Assumptions!E45/100</f>
        <v>-370.545400826496</v>
      </c>
      <c r="F12" s="4" t="n">
        <f aca="false">-F6*Assumptions!F45/100</f>
        <v>-424.573310882488</v>
      </c>
      <c r="G12" s="4" t="n">
        <f aca="false">-G6*Assumptions!G45/100</f>
        <v>-481.625349532323</v>
      </c>
      <c r="H12" s="4" t="n">
        <f aca="false">-H6*Assumptions!H45/100</f>
        <v>-520.155377494909</v>
      </c>
      <c r="I12" s="4" t="n">
        <f aca="false">-I6*Assumptions!I45/100</f>
        <v>-556.566253919552</v>
      </c>
      <c r="J12" s="4" t="n">
        <f aca="false">-J6*Assumptions!J45/100</f>
        <v>-589.960229154726</v>
      </c>
      <c r="K12" s="4" t="n">
        <f aca="false">-K6*Assumptions!K45/100</f>
        <v>-619.458240612462</v>
      </c>
      <c r="L12" s="4" t="n">
        <f aca="false">-L6*Assumptions!L45/100</f>
        <v>-644.23657023696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2050.22240028</v>
      </c>
      <c r="D13" s="0" t="n">
        <f aca="false">D11+D12</f>
        <v>2443.9774420872</v>
      </c>
      <c r="E13" s="0" t="n">
        <f aca="false">E11+E12</f>
        <v>2844.83243215181</v>
      </c>
      <c r="F13" s="0" t="n">
        <f aca="false">F11+F12</f>
        <v>3277.17524337421</v>
      </c>
      <c r="G13" s="0" t="n">
        <f aca="false">G11+G12</f>
        <v>3736.2451357659</v>
      </c>
      <c r="H13" s="0" t="n">
        <f aca="false">H11+H12</f>
        <v>4113.95616745973</v>
      </c>
      <c r="I13" s="0" t="n">
        <f aca="false">I11+I12</f>
        <v>4401.93309918191</v>
      </c>
      <c r="J13" s="0" t="n">
        <f aca="false">J11+J12</f>
        <v>4666.04908513283</v>
      </c>
      <c r="K13" s="0" t="n">
        <f aca="false">K11+K12</f>
        <v>4899.35153938947</v>
      </c>
      <c r="L13" s="0" t="n">
        <f aca="false">L11+L12</f>
        <v>5095.32560096505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1640.177920224</v>
      </c>
      <c r="D15" s="0" t="n">
        <f aca="false">D13-MAX(0,D13)*D14/100</f>
        <v>1955.18195366976</v>
      </c>
      <c r="E15" s="0" t="n">
        <f aca="false">E13-MAX(0,E13)*E14/100</f>
        <v>2275.86594572145</v>
      </c>
      <c r="F15" s="0" t="n">
        <f aca="false">F13-MAX(0,F13)*F14/100</f>
        <v>2621.74019469937</v>
      </c>
      <c r="G15" s="0" t="n">
        <f aca="false">G13-MAX(0,G13)*G14/100</f>
        <v>2988.99610861272</v>
      </c>
      <c r="H15" s="0" t="n">
        <f aca="false">H13-MAX(0,H13)*H14/100</f>
        <v>3291.16493396779</v>
      </c>
      <c r="I15" s="0" t="n">
        <f aca="false">I13-MAX(0,I13)*I14/100</f>
        <v>3521.54647934553</v>
      </c>
      <c r="J15" s="0" t="n">
        <f aca="false">J13-MAX(0,J13)*J14/100</f>
        <v>3732.83926810626</v>
      </c>
      <c r="K15" s="0" t="n">
        <f aca="false">K13-MAX(0,K13)*K14/100</f>
        <v>3919.48123151158</v>
      </c>
      <c r="L15" s="0" t="n">
        <f aca="false">L13-MAX(0,L13)*L14/100</f>
        <v>4076.26048077204</v>
      </c>
    </row>
    <row r="16" customFormat="false" ht="15" hidden="false" customHeight="false" outlineLevel="0" collapsed="false">
      <c r="A16" s="0" t="s">
        <v>118</v>
      </c>
      <c r="C16" s="0" t="n">
        <f aca="false">-C12</f>
        <v>280.8523836</v>
      </c>
      <c r="D16" s="0" t="n">
        <f aca="false">-D12</f>
        <v>320.171717304</v>
      </c>
      <c r="E16" s="0" t="n">
        <f aca="false">-E12</f>
        <v>370.545400826496</v>
      </c>
      <c r="F16" s="0" t="n">
        <f aca="false">-F12</f>
        <v>424.573310882488</v>
      </c>
      <c r="G16" s="0" t="n">
        <f aca="false">-G12</f>
        <v>481.625349532323</v>
      </c>
      <c r="H16" s="0" t="n">
        <f aca="false">-H12</f>
        <v>520.155377494909</v>
      </c>
      <c r="I16" s="0" t="n">
        <f aca="false">-I12</f>
        <v>556.566253919552</v>
      </c>
      <c r="J16" s="0" t="n">
        <f aca="false">-J12</f>
        <v>589.960229154726</v>
      </c>
      <c r="K16" s="0" t="n">
        <f aca="false">-K12</f>
        <v>619.458240612462</v>
      </c>
      <c r="L16" s="0" t="n">
        <f aca="false">-L12</f>
        <v>644.23657023696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-748.9396896</v>
      </c>
      <c r="D17" s="4" t="n">
        <f aca="false">-D6*Assumptions!D46/100</f>
        <v>-747.067340376</v>
      </c>
      <c r="E17" s="4" t="n">
        <f aca="false">-E6*Assumptions!E46/100</f>
        <v>-717.18464676096</v>
      </c>
      <c r="F17" s="4" t="n">
        <f aca="false">-F6*Assumptions!F46/100</f>
        <v>-729.735378079277</v>
      </c>
      <c r="G17" s="4" t="n">
        <f aca="false">-G6*Assumptions!G46/100</f>
        <v>-729.735378079277</v>
      </c>
      <c r="H17" s="4" t="n">
        <f aca="false">-H6*Assumptions!H46/100</f>
        <v>-788.114208325619</v>
      </c>
      <c r="I17" s="4" t="n">
        <f aca="false">-I6*Assumptions!I46/100</f>
        <v>-758.953982617572</v>
      </c>
      <c r="J17" s="4" t="n">
        <f aca="false">-J6*Assumptions!J46/100</f>
        <v>-804.491221574626</v>
      </c>
      <c r="K17" s="4" t="n">
        <f aca="false">-K6*Assumptions!K46/100</f>
        <v>-844.715782653357</v>
      </c>
      <c r="L17" s="4" t="n">
        <f aca="false">-L6*Assumptions!L46/100</f>
        <v>-878.504413959492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-287.42203</v>
      </c>
      <c r="D18" s="4" t="n">
        <f aca="false">(D6-C6)*Assumptions!$B$51/100</f>
        <v>-327.6611142</v>
      </c>
      <c r="E18" s="4" t="n">
        <f aca="false">(E6-D6)*Assumptions!$B$51/100</f>
        <v>-320.171717304</v>
      </c>
      <c r="F18" s="4" t="n">
        <f aca="false">(F6-E6)*Assumptions!$B$51/100</f>
        <v>-328.70962976544</v>
      </c>
      <c r="G18" s="4" t="n">
        <f aca="false">(G6-F6)*Assumptions!$B$51/100</f>
        <v>-331.697899126944</v>
      </c>
      <c r="H18" s="4" t="n">
        <f aca="false">(H6-G6)*Assumptions!$B$51/100</f>
        <v>-291.894151231711</v>
      </c>
      <c r="I18" s="4" t="n">
        <f aca="false">(I6-H6)*Assumptions!$B$51/100</f>
        <v>-275.839972913967</v>
      </c>
      <c r="J18" s="4" t="n">
        <f aca="false">(J6-I6)*Assumptions!$B$51/100</f>
        <v>-252.984660872524</v>
      </c>
      <c r="K18" s="4" t="n">
        <f aca="false">(K6-J6)*Assumptions!$B$51/100</f>
        <v>-223.46978377073</v>
      </c>
      <c r="L18" s="4" t="n">
        <f aca="false">(L6-K6)*Assumptions!$B$51/100</f>
        <v>-187.714618367413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884.668584224</v>
      </c>
      <c r="D19" s="0" t="n">
        <f aca="false">D15+D16+D17+D18</f>
        <v>1200.62521639776</v>
      </c>
      <c r="E19" s="0" t="n">
        <f aca="false">E15+E16+E17+E18</f>
        <v>1609.05498248298</v>
      </c>
      <c r="F19" s="0" t="n">
        <f aca="false">F15+F16+F17+F18</f>
        <v>1987.86849773714</v>
      </c>
      <c r="G19" s="0" t="n">
        <f aca="false">G15+G16+G17+G18</f>
        <v>2409.18818093882</v>
      </c>
      <c r="H19" s="0" t="n">
        <f aca="false">H15+H16+H17+H18</f>
        <v>2731.31195190537</v>
      </c>
      <c r="I19" s="0" t="n">
        <f aca="false">I15+I16+I17+I18</f>
        <v>3043.31877773354</v>
      </c>
      <c r="J19" s="0" t="n">
        <f aca="false">J15+J16+J17+J18</f>
        <v>3265.32361481384</v>
      </c>
      <c r="K19" s="0" t="n">
        <f aca="false">K15+K16+K17+K18</f>
        <v>3470.75390569995</v>
      </c>
      <c r="L19" s="0" t="n">
        <f aca="false">L15+L16+L17+L18</f>
        <v>3654.2780186821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811.622554333945</v>
      </c>
      <c r="D21" s="0" t="n">
        <f aca="false">D19*D20</f>
        <v>1010.54222405333</v>
      </c>
      <c r="E21" s="0" t="n">
        <f aca="false">E19*E20</f>
        <v>1242.4856759833</v>
      </c>
      <c r="F21" s="0" t="n">
        <f aca="false">F19*F20</f>
        <v>1408.25616007929</v>
      </c>
      <c r="G21" s="0" t="n">
        <f aca="false">G19*G20</f>
        <v>1565.80701429116</v>
      </c>
      <c r="H21" s="0" t="n">
        <f aca="false">H19*H20</f>
        <v>1628.59207643587</v>
      </c>
      <c r="I21" s="0" t="n">
        <f aca="false">I19*I20</f>
        <v>1664.79958939496</v>
      </c>
      <c r="J21" s="0" t="n">
        <f aca="false">J19*J20</f>
        <v>1638.75581449426</v>
      </c>
      <c r="K21" s="0" t="n">
        <f aca="false">K19*K20</f>
        <v>1598.03151404896</v>
      </c>
      <c r="L21" s="0" t="n">
        <f aca="false">L19*L20</f>
        <v>1543.60652649268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-23.4043653</v>
      </c>
      <c r="D24" s="0" t="n">
        <f aca="false">-D6*D23/100</f>
        <v>-26.680976442</v>
      </c>
      <c r="E24" s="0" t="n">
        <f aca="false">-E6*E23/100</f>
        <v>-29.88269361504</v>
      </c>
      <c r="F24" s="0" t="n">
        <f aca="false">-F6*F23/100</f>
        <v>-33.1697899126944</v>
      </c>
      <c r="G24" s="0" t="n">
        <f aca="false">-G6*G23/100</f>
        <v>-36.4867689039639</v>
      </c>
      <c r="H24" s="0" t="n">
        <f aca="false">-H6*H23/100</f>
        <v>-39.405710416281</v>
      </c>
      <c r="I24" s="0" t="n">
        <f aca="false">-I6*I23/100</f>
        <v>-42.1641101454206</v>
      </c>
      <c r="J24" s="0" t="n">
        <f aca="false">-J6*J23/100</f>
        <v>-44.6939567541459</v>
      </c>
      <c r="K24" s="0" t="n">
        <f aca="false">-K6*K23/100</f>
        <v>-46.9286545918532</v>
      </c>
      <c r="L24" s="0" t="n">
        <f aca="false">-L6*L23/100</f>
        <v>-48.8058007755273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14112.4991496077</v>
      </c>
    </row>
    <row r="31" customFormat="false" ht="15" hidden="false" customHeight="false" outlineLevel="0" collapsed="false">
      <c r="A31" s="0" t="s">
        <v>127</v>
      </c>
      <c r="B31" s="0" t="n">
        <f aca="false">L19</f>
        <v>3654.2780186821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62731.7726540427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54814.1702802314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54814.1702802314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23154.0978973903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37266.597046998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45750.911046998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22.1626065623187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1.10271409509665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315.603632945967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495.473547738963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22.55550768791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31365.8863270213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12.8803066453562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9.20087546424234</v>
      </c>
      <c r="C4" s="0" t="n">
        <f aca="false">B4/Assumptions!$B$2-1</f>
        <v>-0.127051663734123</v>
      </c>
      <c r="D4" s="4" t="n">
        <f aca="false">Assumptions!$B$24</f>
        <v>0.2</v>
      </c>
      <c r="E4" s="4" t="n">
        <f aca="false">DCF_Bear!$B$43</f>
        <v>9.4096472807896</v>
      </c>
      <c r="F4" s="4" t="n">
        <f aca="false">DCF_Bear!$B$47</f>
        <v>6.86638708550651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16.2622683057274</v>
      </c>
      <c r="C5" s="0" t="n">
        <f aca="false">B5/Assumptions!$B$2-1</f>
        <v>0.542909706425745</v>
      </c>
      <c r="D5" s="4" t="n">
        <f aca="false">Assumptions!$B$38</f>
        <v>0.5</v>
      </c>
      <c r="E5" s="4" t="n">
        <f aca="false">DCF_Base!$B$43</f>
        <v>16.571157059029</v>
      </c>
      <c r="F5" s="4" t="n">
        <f aca="false">DCF_Base!$B$47</f>
        <v>10.0282913920259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22.1626065623187</v>
      </c>
      <c r="C6" s="0" t="n">
        <f aca="false">B6/Assumptions!$B$2-1</f>
        <v>1.10271409509665</v>
      </c>
      <c r="D6" s="4" t="n">
        <f aca="false">Assumptions!$B$52</f>
        <v>0.3</v>
      </c>
      <c r="E6" s="4" t="n">
        <f aca="false">DCF_Bull!$B$43</f>
        <v>22.55550768791</v>
      </c>
      <c r="F6" s="4" t="n">
        <f aca="false">DCF_Bull!$B$47</f>
        <v>12.8803066453562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16.6200912144078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16.9341602920454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0.365827788546491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-1935.90889626575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10.2515151067211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16.2622683057274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14.7804219253359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13.3679049015404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12.259840117064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10.0282913920259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18.3056565440792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18.3056565440792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18.3056565440792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18.3056565440792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18.3056565440792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17.2356187567641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17.2356187567641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17.2356187567641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17.2356187567641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17.2356187567641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15.5446495488448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16.0525745131318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16.2622683057274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16.2622683057274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16.2622683057274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14.0098503519145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14.3710557769558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14.7804219253359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15.2482689520559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15.3758635957069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12.8071436463462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13.0719475724101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13.3679049015404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13.7008568968119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14.0782024914529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2026-10-11T09:33:09Z</dcterms:created>
  <dc:creator>openpyxl</dc:creator>
  <dc:description/>
  <dc:language>en-NZ</dc:language>
  <cp:lastModifiedBy/>
  <dcterms:modified xsi:type="dcterms:W3CDTF">2026-10-11T09:33:09Z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