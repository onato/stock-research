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<sst xmlns="http://schemas.openxmlformats.org/spreadsheetml/2006/main" count="390" uniqueCount="175">
  <si>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</si>
  <si>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MET</t>
  </si>
  <si>
    <t xml:space="preserve">Company</t>
  </si>
  <si>
    <t xml:space="preserve">MetLife,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</si>
  <si>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</si>
  <si>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</si>
  <si>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</si>
  <si>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</si>
  <si>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2026-10-01T20:00:02Z regular close (Yahoo Finance chart API)</t>
  </si>
  <si>
    <t xml:space="preserve">Balance sheet date</t>
  </si>
  <si>
    <t xml:space="preserve">2026-06-30</t>
  </si>
  <si>
    <t xml:space="preserve">Model</t>
  </si>
  <si>
    <t xml:space="preserve">Life insurer FCFE at cost of equity, net debt held at zero (engine route)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</si>
  <si>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</si>
  <si>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</si>
  <si>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</si>
  <si>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</si>
  <si>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</si>
  <si>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</si>
  <si>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</si>
  <si>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</si>
  <si>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2026-10-02T00:58:12Z</t>
  </si>
  <si>
    <t xml:space="preserve">Drivers file</t>
  </si>
  <si>
    <t xml:space="preserve">MET_Drivers.json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</si>
  <si>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</si>
  <si>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</si>
  <si>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</si>
  <si>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MetLife is valued as the present value of the free cash flow its holding companies can actually extract -- dividends and returns of capital from the insurance and asset-management subsidiaries after statutory capital retention, holding-company interest and expenses -- discounted at a 9.5% cost of equity over a ten-year explicit horizon, with the perpetual preferred stock deducted at its $2.9bn liquidation preference and no separate net-debt deduction because the ~$20bn of holdco debt is serviced inside the flows. The flow is calibrated to MetLife's own disclosed free cash flow ($4.9bn FY2025, $4.6bn FY2024; 65-75% two-year-average target; ~$25bn planned for 2025-2029), not to GAAP operating cash flow or GAAP book value, both of which are meaningless for a life insurer under LDTI. The terminal value is capped at 14x FCFE in base (11x bear, 16x bull). Buybacks are not credited as growth: the share count is held flat at 640M and the double-digit adjusted EPS growth management targets is, in this model, mostly the FCFE being returned rather than value created.
key_risks_to_valuation: Capital-retention assumption (capex_pct 2.2% of revenue in base, i.e. FCFE ~72-73% of adjusted earnings to common) is the single most important driver: every 10pp of FCF ratio is worth roughly $12-15/share; it is calibrated to management's 65-75% target and the ~$25bn 2025-29 plan, below the 79-82% delivered in FY2024-25; Interest rates: the base assumes the 10-year holds near 4.4% as in management's outlook; a sustained move toward 3% compresses RIS/PRT spreads and variable investment income (the bear case) and the $18.7bn AOCI unrealised-loss position would reverse, but AOCI does not affect the FCFE stream unless bonds are sold; Legacy long-term care and variable annuity blocks in Corporate &amp; Other: a reserve strengthening or hedge-cost spike lands directly in adjusted earnings and is modelled only in the bear case beyond the ~$290M/yr Corporate &amp; Other drag inside the base margin; Adjusted earnings include ~$1.6bn (pre-tax) of assumed variable investment income in 2026; private equity returns below the 9% assumption push the after-tax margin below the 8.2% base year-1 level; Group benefits (28% of adjusted earnings) is a commoditised renewal market; a pricing cycle or adverse mortality/morbidity moves the margin by tens of basis points, which is material on a ~8% after-tax margin; FX translation of Japan, Mexico and Chile earnings (Asia + LatAm = 41% of FY2025 adjusted earnings) and emerging-market regulatory risk; Revenue is lumpy (jumbo pension risk transfers book as premiums: FY2025 +8.6%); the margin-on-revenue construction means a PRT-heavy year inflates revenue and dilutes the margin without changing FCFE, so year-to-year comparisons of the driver paths should be made on adjusted earnings, not revenue</t>
  </si>
  <si>
    <t xml:space="preserve">Data sources</t>
  </si>
  <si>
    <t xml:space="preserve">price: Yahoo Finance chart API at inputs.price_as_of; 52-week range 67.33-100.93
financials: MET_Metrics.csv (SEC XBRL, FY2006-Q2 2026) for revenue, GAAP net income, equity, SBC and share counts; SEC XBRL companyfacts for dividends, repurchases, preferred dividends and liquidation preference, debt, AOCI, NCI and weighted diluted shares; FY2025 10-K (met-20251231.htm, filed 2026-02-19) for adjusted earnings by segment ($6,137M; to common $5,943M), the holding-company sources-and-uses / free-cash-flow table ($4,890M all holding companies), holdco cash ($3.6bn vs $3-4bn target), the 2026 outlook (10-year 4.40%, VII $1.6bn, FCF ratio 65-75%, adjusted ROE 15-17%, expense ratio 12.1%/11.3%) and the EPS dilution note; Q2 2026 10-Q (met-20260630.htm, filed 2026-08-06) for the cover share count, Q2/H1-2026 adjusted earnings ($1,604M / ~$3.3bn before preferred), dilutive shares and balance-sheet anchors
qualitative: MET_Analysis.json (2026-10-02): New Frontier running ahead of plan, FY2026 adjusted EPS consensus ~$9.75, revenue ~$79.7bn, adjusted ROE 15-17%, additional $3bn repurchase authorisation, PineBridge and Chariot Re, legacy LTC/VA and rate sensitivity as the principal risks</t>
  </si>
  <si>
    <t xml:space="preserve">Scenario narrative: bear</t>
  </si>
  <si>
    <t xml:space="preserve">The structural sensitivity the Analysis flags as high severity -- long rates and the legacy LTC/VA blocks -- turns against the company. A rate downcycle compresses spread income and variable investment income, PRT pricing is competed away, a recession slows group-benefits sales and lifts disability claims, LTC reserve strengthening and hedge costs recur, FX and private-credit losses add up, and regulators keep more capital in the subsidiaries. Earnings stall, the FCF ratio sits at the bottom of the 65-75% range, and the stock de-rates to a low-double-digit FCFE multiple.</t>
  </si>
  <si>
    <t xml:space="preserve">Scenario narrative: base</t>
  </si>
  <si>
    <t xml:space="preserve">MetLife does roughly what its five-year plan says: low-to-mid single-digit revenue growth, an after-tax adjusted margin that edges from ~8.2% to ~8.5% on expense discipline and asset-management scale, and about 72-73% of adjusted earnings to common converted into holding-company free cash flow and returned through dividends and repurchases. Value is the FCFE stream at a 9.5% cost of equity, less the preferred stock at liquidation; GAAP book value, which swings with rates, is a cross-check only. The axes that matter are the level of long rates (spread income, variable investment income), group-benefits underwriting and pricing, PRT and Chariot Re flow, MIM scaling and the expense-ratio glide path, and the legacy long-term care and variable annuity blocks.</t>
  </si>
  <si>
    <t xml:space="preserve">Scenario narrative: bull</t>
  </si>
  <si>
    <t xml:space="preserve">New Frontier delivers on every pillar at once: group benefits leadership and adjacencies, retirement-platform growth with third-party capital, MIM past $1 trillion AUM, and faster Asia/LatAm growth, in a rate environment that keeps spread and variable investment income full. The after-tax margin reaches ~9% and the FCF ratio stays at the 75-78% delivered in FY2024-25. Even then the exit is capped at 16x FCFE: MetLife is a mature, leveraged life insurer, not a growth compounder.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</si>
  <si>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</si>
  <si>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</si>
  <si>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</si>
  <si>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</si>
  <si>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</si>
  <si>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</si>
  <si>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</si>
  <si>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</si>
  <si>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</si>
  <si>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</si>
  <si>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</si>
  <si>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</si>
  <si>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</si>
  <si>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</si>
  <si>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</si>
  <si>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</si>
  <si>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</si>
  <si>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</si>
  <si>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</si>
  <si>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</si>
  <si>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</si>
  <si>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</si>
  <si>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</si>
  <si>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</si>
  <si>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</si>
  <si>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</si>
  <si>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</si>
  <si>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</si>
  <si>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</si>
  <si>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</si>
  <si>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</si>
  <si>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</si>
  <si>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</si>
  <si>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</si>
  <si>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</si>
  <si>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</si>
  <si>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</si>
  <si>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</si>
  <si>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</si>
  <si>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</si>
  <si>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</si>
  <si>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</si>
  <si>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</si>
  <si>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</si>
  <si>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</si>
  <si>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</si>
  <si>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</si>
  <si>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</si>
  <si>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</si>
  <si>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</si>
  <si>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</si>
  <si>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</si>
  <si>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</si>
  <si>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</si>
  <si>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</si>
  <si>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</si>
  <si>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</si>
  <si>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</si>
  <si>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</si>
  <si>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</si>
  <si>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</si>
  <si>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</si>
  <si>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</si>
  <si>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</si>
  <si>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</si>
  <si>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</si>
  <si>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</si>
  <si>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</si>
  <si>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</si>
  <si>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</si>
  <si>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</si>
  <si>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</si>
  <si>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</si>
  <si>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</si>
  <si>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</si>
  <si>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</si>
  <si>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</si>
  <si>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</si>
  <si>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</si>
  <si>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</si>
  <si>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</si>
  <si>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</si>
  <si>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</si>
  <si>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</si>
  <si>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MET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</si>
  <si>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</si>
  <si>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</si>
  <si>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</si>
  <si>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</si>
  <si>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</si>
  <si>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</si>
  <si>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</si>
  <si>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</si>
  <si>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</si>
  <si>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</si>
  <si>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</si>
  <si>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</si>
  <si>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</si>
  <si>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</si>
  <si>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</si>
  <si>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</si>
  <si>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</si>
  <si>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</si>
  <si>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</si>
  <si>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</si>
  <si>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</si>
  <si>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</si>
  <si>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</si>
  <si>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</si>
  <si>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</si>
  <si>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</si>
  <si>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</si>
  <si>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</si>
  <si>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</si>
  <si>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</si>
  <si>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MET owner-FCF component DCF: base case (millions, USD)</t>
  </si>
  <si>
    <t xml:space="preserve">MET owner-FCF component DCF: bull case (millions, USD)</t>
  </si>
  <si>
    <t xml:space="preserve">MET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</si>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</sst>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94.35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34906</v>
      </c>
      <c r="S2" s="0" t="n">
        <v>6937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47152</v>
      </c>
      <c r="I3" s="0" t="n">
        <v>4465</v>
      </c>
      <c r="J3" s="0" t="n">
        <v>9.46937563624024</v>
      </c>
      <c r="K3" s="0" t="n">
        <v>5.62</v>
      </c>
      <c r="L3" s="0" t="n">
        <v>9902</v>
      </c>
      <c r="O3" s="0" t="n">
        <v>37002</v>
      </c>
      <c r="S3" s="0" t="n">
        <v>9961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50982</v>
      </c>
      <c r="I4" s="0" t="n">
        <v>3278</v>
      </c>
      <c r="J4" s="0" t="n">
        <v>6.4297202934369</v>
      </c>
      <c r="K4" s="0" t="n">
        <v>4.19</v>
      </c>
      <c r="L4" s="0" t="n">
        <v>10702</v>
      </c>
      <c r="O4" s="0" t="n">
        <v>23985</v>
      </c>
      <c r="P4" s="0" t="n">
        <v>501678</v>
      </c>
      <c r="Q4" s="0" t="n">
        <v>477693</v>
      </c>
      <c r="R4" s="0" t="n">
        <v>9667</v>
      </c>
      <c r="S4" s="0" t="n">
        <v>24131</v>
      </c>
      <c r="T4" s="0" t="n">
        <v>744.78543</v>
      </c>
      <c r="U4" s="0" t="n">
        <v>123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40657</v>
      </c>
      <c r="I5" s="0" t="n">
        <v>-2278</v>
      </c>
      <c r="J5" s="0" t="n">
        <v>-5.60297119807167</v>
      </c>
      <c r="K5" s="0" t="n">
        <v>-2.89</v>
      </c>
      <c r="L5" s="0" t="n">
        <v>3803</v>
      </c>
      <c r="O5" s="0" t="n">
        <v>31737</v>
      </c>
      <c r="P5" s="0" t="n">
        <v>539314</v>
      </c>
      <c r="Q5" s="0" t="n">
        <v>505816</v>
      </c>
      <c r="R5" s="0" t="n">
        <v>13220</v>
      </c>
      <c r="S5" s="0" t="n">
        <v>10024</v>
      </c>
      <c r="T5" s="0" t="n">
        <v>818.83381</v>
      </c>
      <c r="U5" s="0" t="n">
        <v>69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52247</v>
      </c>
      <c r="I6" s="0" t="n">
        <v>2667</v>
      </c>
      <c r="J6" s="0" t="n">
        <v>5.10459930713725</v>
      </c>
      <c r="K6" s="0" t="n">
        <v>2.88</v>
      </c>
      <c r="L6" s="0" t="n">
        <v>7985</v>
      </c>
      <c r="O6" s="0" t="n">
        <v>47218</v>
      </c>
      <c r="P6" s="0" t="n">
        <v>730906</v>
      </c>
      <c r="Q6" s="0" t="n">
        <v>681793</v>
      </c>
      <c r="R6" s="0" t="n">
        <v>27586</v>
      </c>
      <c r="S6" s="0" t="n">
        <v>12957</v>
      </c>
      <c r="T6" s="0" t="n">
        <v>985.837817</v>
      </c>
      <c r="U6" s="0" t="n">
        <v>84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70241</v>
      </c>
      <c r="I7" s="0" t="n">
        <v>6423</v>
      </c>
      <c r="J7" s="0" t="n">
        <v>9.14423200125283</v>
      </c>
      <c r="K7" s="0" t="n">
        <v>5.81</v>
      </c>
      <c r="L7" s="0" t="n">
        <v>10273</v>
      </c>
      <c r="O7" s="0" t="n">
        <v>57889</v>
      </c>
      <c r="P7" s="0" t="n">
        <v>796226</v>
      </c>
      <c r="Q7" s="0" t="n">
        <v>738232</v>
      </c>
      <c r="R7" s="0" t="n">
        <v>23692</v>
      </c>
      <c r="S7" s="0" t="n">
        <v>10461</v>
      </c>
      <c r="T7" s="0" t="n">
        <v>1068.09436</v>
      </c>
      <c r="U7" s="0" t="n">
        <v>144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68150</v>
      </c>
      <c r="I8" s="0" t="n">
        <v>1362</v>
      </c>
      <c r="J8" s="0" t="n">
        <v>1.99853264856933</v>
      </c>
      <c r="K8" s="0" t="n">
        <v>1.12</v>
      </c>
      <c r="L8" s="0" t="n">
        <v>17160</v>
      </c>
      <c r="O8" s="0" t="n">
        <v>64837</v>
      </c>
      <c r="P8" s="0" t="n">
        <v>836781</v>
      </c>
      <c r="Q8" s="0" t="n">
        <v>771823</v>
      </c>
      <c r="S8" s="0" t="n">
        <v>15738</v>
      </c>
      <c r="T8" s="0" t="n">
        <v>1091.686736</v>
      </c>
      <c r="U8" s="0" t="n">
        <v>168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68199</v>
      </c>
      <c r="I9" s="0" t="n">
        <v>3393</v>
      </c>
      <c r="J9" s="0" t="n">
        <v>4.97514626314169</v>
      </c>
      <c r="K9" s="0" t="n">
        <v>2.94</v>
      </c>
      <c r="L9" s="0" t="n">
        <v>16131</v>
      </c>
      <c r="O9" s="0" t="n">
        <v>62096</v>
      </c>
      <c r="P9" s="0" t="n">
        <v>885296</v>
      </c>
      <c r="Q9" s="0" t="n">
        <v>822313</v>
      </c>
      <c r="S9" s="0" t="n">
        <v>7585</v>
      </c>
      <c r="T9" s="0" t="n">
        <v>1122.030137</v>
      </c>
      <c r="U9" s="0" t="n">
        <v>175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73316</v>
      </c>
      <c r="I10" s="0" t="n">
        <v>6336</v>
      </c>
      <c r="J10" s="0" t="n">
        <v>8.64204266462982</v>
      </c>
      <c r="K10" s="0" t="n">
        <v>5.48</v>
      </c>
      <c r="L10" s="0" t="n">
        <v>16376</v>
      </c>
      <c r="O10" s="0" t="n">
        <v>72715</v>
      </c>
      <c r="P10" s="0" t="n">
        <v>902337</v>
      </c>
      <c r="Q10" s="0" t="n">
        <v>829678</v>
      </c>
      <c r="S10" s="0" t="n">
        <v>9205</v>
      </c>
      <c r="T10" s="0" t="n">
        <v>1142.5</v>
      </c>
      <c r="U10" s="0" t="n">
        <v>192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61343</v>
      </c>
      <c r="I11" s="0" t="n">
        <v>5385</v>
      </c>
      <c r="J11" s="0" t="n">
        <v>8.77850773519391</v>
      </c>
      <c r="K11" s="0" t="n">
        <v>4.67</v>
      </c>
      <c r="L11" s="0" t="n">
        <v>14052</v>
      </c>
      <c r="O11" s="0" t="n">
        <v>68568</v>
      </c>
      <c r="P11" s="0" t="n">
        <v>877933</v>
      </c>
      <c r="Q11" s="0" t="n">
        <v>809437</v>
      </c>
      <c r="S11" s="0" t="n">
        <v>11182</v>
      </c>
      <c r="T11" s="0" t="n">
        <v>1128.3</v>
      </c>
      <c r="U11" s="0" t="n">
        <v>137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60787</v>
      </c>
      <c r="I12" s="0" t="n">
        <v>854</v>
      </c>
      <c r="J12" s="0" t="n">
        <v>1.40490565416948</v>
      </c>
      <c r="K12" s="0" t="n">
        <v>0.68</v>
      </c>
      <c r="L12" s="0" t="n">
        <v>14774</v>
      </c>
      <c r="O12" s="0" t="n">
        <v>67702</v>
      </c>
      <c r="P12" s="0" t="n">
        <v>898764</v>
      </c>
      <c r="Q12" s="0" t="n">
        <v>831062</v>
      </c>
      <c r="S12" s="0" t="n">
        <v>12651</v>
      </c>
      <c r="T12" s="0" t="n">
        <v>1108.5</v>
      </c>
      <c r="U12" s="0" t="n">
        <v>147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62308</v>
      </c>
      <c r="I13" s="0" t="n">
        <v>4020</v>
      </c>
      <c r="J13" s="0" t="n">
        <v>6.45181999101239</v>
      </c>
      <c r="K13" s="0" t="n">
        <v>3.65</v>
      </c>
      <c r="L13" s="0" t="n">
        <v>12283</v>
      </c>
      <c r="O13" s="0" t="n">
        <v>58870</v>
      </c>
      <c r="P13" s="0" t="n">
        <v>719892</v>
      </c>
      <c r="Q13" s="0" t="n">
        <v>661022</v>
      </c>
      <c r="S13" s="0" t="n">
        <v>12701</v>
      </c>
      <c r="T13" s="0" t="n">
        <v>1078.5</v>
      </c>
      <c r="U13" s="0" t="n">
        <v>128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67941</v>
      </c>
      <c r="I14" s="0" t="n">
        <v>5128</v>
      </c>
      <c r="J14" s="0" t="n">
        <v>7.54772523218675</v>
      </c>
      <c r="K14" s="0" t="n">
        <v>4.95</v>
      </c>
      <c r="L14" s="0" t="n">
        <v>11738</v>
      </c>
      <c r="O14" s="0" t="n">
        <v>52958</v>
      </c>
      <c r="P14" s="0" t="n">
        <v>687538</v>
      </c>
      <c r="Q14" s="0" t="n">
        <v>634580</v>
      </c>
      <c r="S14" s="0" t="n">
        <v>15821</v>
      </c>
      <c r="T14" s="0" t="n">
        <v>1013.9</v>
      </c>
      <c r="U14" s="0" t="n">
        <v>86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69620</v>
      </c>
      <c r="I15" s="0" t="n">
        <v>5909</v>
      </c>
      <c r="J15" s="0" t="n">
        <v>8.48750359092215</v>
      </c>
      <c r="K15" s="0" t="n">
        <v>6.1</v>
      </c>
      <c r="L15" s="0" t="n">
        <v>13786</v>
      </c>
      <c r="O15" s="0" t="n">
        <v>66382</v>
      </c>
      <c r="P15" s="0" t="n">
        <v>740463</v>
      </c>
      <c r="Q15" s="0" t="n">
        <v>674081</v>
      </c>
      <c r="S15" s="0" t="n">
        <v>16598</v>
      </c>
      <c r="T15" s="0" t="n">
        <v>944.4</v>
      </c>
      <c r="U15" s="0" t="n">
        <v>150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67842</v>
      </c>
      <c r="I16" s="0" t="n">
        <v>5418</v>
      </c>
      <c r="J16" s="0" t="n">
        <v>7.98620323693287</v>
      </c>
      <c r="K16" s="0" t="n">
        <v>5.72</v>
      </c>
      <c r="L16" s="0" t="n">
        <v>11639</v>
      </c>
      <c r="O16" s="0" t="n">
        <v>74817</v>
      </c>
      <c r="P16" s="0" t="n">
        <v>795146</v>
      </c>
      <c r="Q16" s="0" t="n">
        <v>720329</v>
      </c>
      <c r="S16" s="0" t="n">
        <v>19795</v>
      </c>
      <c r="T16" s="0" t="n">
        <v>913.2</v>
      </c>
      <c r="U16" s="0" t="n">
        <v>127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68696</v>
      </c>
      <c r="I17" s="0" t="n">
        <v>6876</v>
      </c>
      <c r="J17" s="0" t="n">
        <v>10.0093164085245</v>
      </c>
      <c r="K17" s="0" t="n">
        <v>7.71</v>
      </c>
      <c r="L17" s="0" t="n">
        <v>12347</v>
      </c>
      <c r="O17" s="0" t="n">
        <v>50013</v>
      </c>
      <c r="P17" s="0" t="n">
        <v>759708</v>
      </c>
      <c r="Q17" s="0" t="n">
        <v>691959</v>
      </c>
      <c r="S17" s="0" t="n">
        <v>20047</v>
      </c>
      <c r="T17" s="0" t="n">
        <v>869.4</v>
      </c>
      <c r="U17" s="0" t="n">
        <v>173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68770</v>
      </c>
      <c r="F18" s="0" t="n">
        <v>5978</v>
      </c>
      <c r="G18" s="0" t="n">
        <v>8.69274392903883</v>
      </c>
      <c r="I18" s="0" t="n">
        <v>5302</v>
      </c>
      <c r="J18" s="0" t="n">
        <v>7.709757161553</v>
      </c>
      <c r="K18" s="0" t="n">
        <v>6.35</v>
      </c>
      <c r="L18" s="0" t="n">
        <v>13044</v>
      </c>
      <c r="O18" s="0" t="n">
        <v>30125</v>
      </c>
      <c r="P18" s="0" t="n">
        <v>663072</v>
      </c>
      <c r="Q18" s="0" t="n">
        <v>632947</v>
      </c>
      <c r="S18" s="0" t="n">
        <v>20195</v>
      </c>
      <c r="T18" s="0" t="n">
        <v>808.9</v>
      </c>
      <c r="U18" s="0" t="n">
        <v>184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66905</v>
      </c>
      <c r="F19" s="0" t="n">
        <v>5723</v>
      </c>
      <c r="G19" s="0" t="n">
        <v>8.55391973694044</v>
      </c>
      <c r="I19" s="0" t="n">
        <v>1602</v>
      </c>
      <c r="J19" s="0" t="n">
        <v>2.39443987743816</v>
      </c>
      <c r="K19" s="0" t="n">
        <v>1.82</v>
      </c>
      <c r="L19" s="0" t="n">
        <v>13721</v>
      </c>
      <c r="O19" s="0" t="n">
        <v>30253</v>
      </c>
      <c r="P19" s="0" t="n">
        <v>687584</v>
      </c>
      <c r="Q19" s="0" t="n">
        <v>657331</v>
      </c>
      <c r="S19" s="0" t="n">
        <v>20639</v>
      </c>
      <c r="T19" s="0" t="n">
        <v>762.3</v>
      </c>
      <c r="U19" s="0" t="n">
        <v>171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70986</v>
      </c>
      <c r="F20" s="0" t="n">
        <v>5996</v>
      </c>
      <c r="G20" s="0" t="n">
        <v>8.44673597610797</v>
      </c>
      <c r="I20" s="0" t="n">
        <v>4444</v>
      </c>
      <c r="J20" s="0" t="n">
        <v>6.26038937255234</v>
      </c>
      <c r="K20" s="0" t="n">
        <v>5.98</v>
      </c>
      <c r="L20" s="0" t="n">
        <v>14598</v>
      </c>
      <c r="O20" s="0" t="n">
        <v>27703</v>
      </c>
      <c r="P20" s="0" t="n">
        <v>677457</v>
      </c>
      <c r="Q20" s="0" t="n">
        <v>649754</v>
      </c>
      <c r="S20" s="0" t="n">
        <v>20068</v>
      </c>
      <c r="T20" s="0" t="n">
        <v>711.1</v>
      </c>
      <c r="U20" s="0" t="n">
        <v>168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77084</v>
      </c>
      <c r="F21" s="0" t="n">
        <v>6137</v>
      </c>
      <c r="G21" s="0" t="n">
        <v>7.96144465777593</v>
      </c>
      <c r="I21" s="0" t="n">
        <v>3403</v>
      </c>
      <c r="J21" s="0" t="n">
        <v>4.41466452182035</v>
      </c>
      <c r="K21" s="0" t="n">
        <v>4.74</v>
      </c>
      <c r="L21" s="0" t="n">
        <v>17092</v>
      </c>
      <c r="O21" s="0" t="n">
        <v>28680</v>
      </c>
      <c r="P21" s="0" t="n">
        <v>745166</v>
      </c>
      <c r="Q21" s="0" t="n">
        <v>716245</v>
      </c>
      <c r="S21" s="0" t="n">
        <v>22032</v>
      </c>
      <c r="T21" s="0" t="n">
        <v>673.3</v>
      </c>
      <c r="U21" s="0" t="n">
        <v>131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94.35</v>
      </c>
    </row>
    <row r="3" customFormat="false" ht="15" hidden="false" customHeight="false" outlineLevel="0" collapsed="false">
      <c r="A3" s="0" t="s">
        <v>86</v>
      </c>
      <c r="B3" s="3" t="n">
        <v>640</v>
      </c>
    </row>
    <row r="4" customFormat="false" ht="15" hidden="false" customHeight="false" outlineLevel="0" collapsed="false">
      <c r="A4" s="0" t="s">
        <v>87</v>
      </c>
      <c r="B4" s="3" t="n">
        <v>0</v>
      </c>
    </row>
    <row r="5" customFormat="false" ht="15" hidden="false" customHeight="false" outlineLevel="0" collapsed="false">
      <c r="A5" s="0" t="s">
        <v>88</v>
      </c>
      <c r="B5" s="3" t="n">
        <v>-3205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77084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2</v>
      </c>
      <c r="D13" s="3" t="n">
        <v>1.5</v>
      </c>
      <c r="E13" s="3" t="n">
        <v>1.5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107</v>
      </c>
      <c r="C14" s="3" t="n">
        <v>9.9</v>
      </c>
      <c r="D14" s="3" t="n">
        <v>9.7</v>
      </c>
      <c r="E14" s="3" t="n">
        <v>9.5</v>
      </c>
      <c r="F14" s="3" t="n">
        <v>9.4</v>
      </c>
      <c r="G14" s="3" t="n">
        <v>9.3</v>
      </c>
      <c r="H14" s="3" t="n">
        <v>9.25</v>
      </c>
      <c r="I14" s="3" t="n">
        <v>9.2</v>
      </c>
      <c r="J14" s="3" t="n">
        <v>9.2</v>
      </c>
      <c r="K14" s="3" t="n">
        <v>9.2</v>
      </c>
      <c r="L14" s="3" t="n">
        <v>9.2</v>
      </c>
    </row>
    <row r="15" customFormat="false" ht="15" hidden="false" customHeight="false" outlineLevel="0" collapsed="false">
      <c r="A15" s="0" t="s">
        <v>108</v>
      </c>
      <c r="C15" s="3" t="n">
        <v>0.17</v>
      </c>
      <c r="D15" s="3" t="n">
        <v>0.17</v>
      </c>
      <c r="E15" s="3" t="n">
        <v>0.17</v>
      </c>
      <c r="F15" s="3" t="n">
        <v>0.17</v>
      </c>
      <c r="G15" s="3" t="n">
        <v>0.17</v>
      </c>
      <c r="H15" s="3" t="n">
        <v>0.17</v>
      </c>
      <c r="I15" s="3" t="n">
        <v>0.17</v>
      </c>
      <c r="J15" s="3" t="n">
        <v>0.17</v>
      </c>
      <c r="K15" s="3" t="n">
        <v>0.17</v>
      </c>
      <c r="L15" s="3" t="n">
        <v>0.17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111</v>
      </c>
      <c r="C18" s="3" t="n">
        <v>2.6</v>
      </c>
      <c r="D18" s="3" t="n">
        <v>2.6</v>
      </c>
      <c r="E18" s="3" t="n">
        <v>2.65</v>
      </c>
      <c r="F18" s="3" t="n">
        <v>2.65</v>
      </c>
      <c r="G18" s="3" t="n">
        <v>2.7</v>
      </c>
      <c r="H18" s="3" t="n">
        <v>2.7</v>
      </c>
      <c r="I18" s="3" t="n">
        <v>2.7</v>
      </c>
      <c r="J18" s="3" t="n">
        <v>2.7</v>
      </c>
      <c r="K18" s="3" t="n">
        <v>2.7</v>
      </c>
      <c r="L18" s="3" t="n">
        <v>2.7</v>
      </c>
    </row>
    <row r="19" customFormat="false" ht="15" hidden="false" customHeight="false" outlineLevel="0" collapsed="false">
      <c r="A19" s="0" t="s">
        <v>112</v>
      </c>
      <c r="C19" s="3" t="n">
        <v>21</v>
      </c>
      <c r="D19" s="3" t="n">
        <v>21</v>
      </c>
      <c r="E19" s="3" t="n">
        <v>21</v>
      </c>
      <c r="F19" s="3" t="n">
        <v>21</v>
      </c>
      <c r="G19" s="3" t="n">
        <v>21</v>
      </c>
      <c r="H19" s="3" t="n">
        <v>21</v>
      </c>
      <c r="I19" s="3" t="n">
        <v>21</v>
      </c>
      <c r="J19" s="3" t="n">
        <v>21</v>
      </c>
      <c r="K19" s="3" t="n">
        <v>21</v>
      </c>
      <c r="L19" s="3" t="n">
        <v>21</v>
      </c>
    </row>
    <row r="20" customFormat="false" ht="15" hidden="false" customHeight="false" outlineLevel="0" collapsed="false">
      <c r="A20" s="0" t="s">
        <v>113</v>
      </c>
      <c r="B20" s="3" t="n">
        <v>9.5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11</v>
      </c>
    </row>
    <row r="23" customFormat="false" ht="15" hidden="false" customHeight="false" outlineLevel="0" collapsed="false">
      <c r="A23" s="0" t="s">
        <v>116</v>
      </c>
      <c r="B23" s="3" t="n">
        <v>0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3.4</v>
      </c>
      <c r="D27" s="3" t="n">
        <v>4</v>
      </c>
      <c r="E27" s="3" t="n">
        <v>4</v>
      </c>
      <c r="F27" s="3" t="n">
        <v>3.75</v>
      </c>
      <c r="G27" s="3" t="n">
        <v>3.5</v>
      </c>
      <c r="H27" s="3" t="n">
        <v>3.25</v>
      </c>
      <c r="I27" s="3" t="n">
        <v>3</v>
      </c>
      <c r="J27" s="3" t="n">
        <v>2.75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107</v>
      </c>
      <c r="C28" s="3" t="n">
        <v>10.55</v>
      </c>
      <c r="D28" s="3" t="n">
        <v>10.62</v>
      </c>
      <c r="E28" s="3" t="n">
        <v>10.7</v>
      </c>
      <c r="F28" s="3" t="n">
        <v>10.78</v>
      </c>
      <c r="G28" s="3" t="n">
        <v>10.85</v>
      </c>
      <c r="H28" s="3" t="n">
        <v>10.9</v>
      </c>
      <c r="I28" s="3" t="n">
        <v>10.95</v>
      </c>
      <c r="J28" s="3" t="n">
        <v>10.95</v>
      </c>
      <c r="K28" s="3" t="n">
        <v>10.95</v>
      </c>
      <c r="L28" s="3" t="n">
        <v>10.95</v>
      </c>
    </row>
    <row r="29" customFormat="false" ht="15" hidden="false" customHeight="false" outlineLevel="0" collapsed="false">
      <c r="A29" s="0" t="s">
        <v>108</v>
      </c>
      <c r="C29" s="3" t="n">
        <v>0.17</v>
      </c>
      <c r="D29" s="3" t="n">
        <v>0.17</v>
      </c>
      <c r="E29" s="3" t="n">
        <v>0.16</v>
      </c>
      <c r="F29" s="3" t="n">
        <v>0.16</v>
      </c>
      <c r="G29" s="3" t="n">
        <v>0.16</v>
      </c>
      <c r="H29" s="3" t="n">
        <v>0.15</v>
      </c>
      <c r="I29" s="3" t="n">
        <v>0.15</v>
      </c>
      <c r="J29" s="3" t="n">
        <v>0.15</v>
      </c>
      <c r="K29" s="3" t="n">
        <v>0.15</v>
      </c>
      <c r="L29" s="3" t="n">
        <v>0.15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111</v>
      </c>
      <c r="C32" s="3" t="n">
        <v>2.2</v>
      </c>
      <c r="D32" s="3" t="n">
        <v>2.2</v>
      </c>
      <c r="E32" s="3" t="n">
        <v>2.2</v>
      </c>
      <c r="F32" s="3" t="n">
        <v>2.2</v>
      </c>
      <c r="G32" s="3" t="n">
        <v>2.2</v>
      </c>
      <c r="H32" s="3" t="n">
        <v>2.2</v>
      </c>
      <c r="I32" s="3" t="n">
        <v>2.2</v>
      </c>
      <c r="J32" s="3" t="n">
        <v>2.2</v>
      </c>
      <c r="K32" s="3" t="n">
        <v>2.2</v>
      </c>
      <c r="L32" s="3" t="n">
        <v>2.2</v>
      </c>
    </row>
    <row r="33" customFormat="false" ht="15" hidden="false" customHeight="false" outlineLevel="0" collapsed="false">
      <c r="A33" s="0" t="s">
        <v>112</v>
      </c>
      <c r="C33" s="3" t="n">
        <v>21</v>
      </c>
      <c r="D33" s="3" t="n">
        <v>21</v>
      </c>
      <c r="E33" s="3" t="n">
        <v>21</v>
      </c>
      <c r="F33" s="3" t="n">
        <v>21</v>
      </c>
      <c r="G33" s="3" t="n">
        <v>21</v>
      </c>
      <c r="H33" s="3" t="n">
        <v>21</v>
      </c>
      <c r="I33" s="3" t="n">
        <v>21</v>
      </c>
      <c r="J33" s="3" t="n">
        <v>21</v>
      </c>
      <c r="K33" s="3" t="n">
        <v>21</v>
      </c>
      <c r="L33" s="3" t="n">
        <v>21</v>
      </c>
    </row>
    <row r="34" customFormat="false" ht="15" hidden="false" customHeight="false" outlineLevel="0" collapsed="false">
      <c r="A34" s="0" t="s">
        <v>113</v>
      </c>
      <c r="B34" s="3" t="n">
        <v>9.5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14</v>
      </c>
    </row>
    <row r="37" customFormat="false" ht="15" hidden="false" customHeight="false" outlineLevel="0" collapsed="false">
      <c r="A37" s="0" t="s">
        <v>116</v>
      </c>
      <c r="B37" s="3" t="n">
        <v>0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4.5</v>
      </c>
      <c r="D41" s="3" t="n">
        <v>5.5</v>
      </c>
      <c r="E41" s="3" t="n">
        <v>5.5</v>
      </c>
      <c r="F41" s="3" t="n">
        <v>5</v>
      </c>
      <c r="G41" s="3" t="n">
        <v>4.5</v>
      </c>
      <c r="H41" s="3" t="n">
        <v>4</v>
      </c>
      <c r="I41" s="3" t="n">
        <v>3.5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10.7</v>
      </c>
      <c r="D42" s="3" t="n">
        <v>10.85</v>
      </c>
      <c r="E42" s="3" t="n">
        <v>11</v>
      </c>
      <c r="F42" s="3" t="n">
        <v>11.15</v>
      </c>
      <c r="G42" s="3" t="n">
        <v>11.3</v>
      </c>
      <c r="H42" s="3" t="n">
        <v>11.4</v>
      </c>
      <c r="I42" s="3" t="n">
        <v>11.5</v>
      </c>
      <c r="J42" s="3" t="n">
        <v>11.55</v>
      </c>
      <c r="K42" s="3" t="n">
        <v>11.6</v>
      </c>
      <c r="L42" s="3" t="n">
        <v>11.6</v>
      </c>
    </row>
    <row r="43" customFormat="false" ht="15" hidden="false" customHeight="false" outlineLevel="0" collapsed="false">
      <c r="A43" s="0" t="s">
        <v>108</v>
      </c>
      <c r="C43" s="3" t="n">
        <v>0.17</v>
      </c>
      <c r="D43" s="3" t="n">
        <v>0.17</v>
      </c>
      <c r="E43" s="3" t="n">
        <v>0.16</v>
      </c>
      <c r="F43" s="3" t="n">
        <v>0.16</v>
      </c>
      <c r="G43" s="3" t="n">
        <v>0.16</v>
      </c>
      <c r="H43" s="3" t="n">
        <v>0.15</v>
      </c>
      <c r="I43" s="3" t="n">
        <v>0.15</v>
      </c>
      <c r="J43" s="3" t="n">
        <v>0.15</v>
      </c>
      <c r="K43" s="3" t="n">
        <v>0.15</v>
      </c>
      <c r="L43" s="3" t="n">
        <v>0.15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111</v>
      </c>
      <c r="C46" s="3" t="n">
        <v>2</v>
      </c>
      <c r="D46" s="3" t="n">
        <v>1.95</v>
      </c>
      <c r="E46" s="3" t="n">
        <v>1.9</v>
      </c>
      <c r="F46" s="3" t="n">
        <v>1.9</v>
      </c>
      <c r="G46" s="3" t="n">
        <v>1.85</v>
      </c>
      <c r="H46" s="3" t="n">
        <v>1.85</v>
      </c>
      <c r="I46" s="3" t="n">
        <v>1.8</v>
      </c>
      <c r="J46" s="3" t="n">
        <v>1.8</v>
      </c>
      <c r="K46" s="3" t="n">
        <v>1.8</v>
      </c>
      <c r="L46" s="3" t="n">
        <v>1.8</v>
      </c>
    </row>
    <row r="47" customFormat="false" ht="15" hidden="false" customHeight="false" outlineLevel="0" collapsed="false">
      <c r="A47" s="0" t="s">
        <v>112</v>
      </c>
      <c r="C47" s="3" t="n">
        <v>21</v>
      </c>
      <c r="D47" s="3" t="n">
        <v>21</v>
      </c>
      <c r="E47" s="3" t="n">
        <v>21</v>
      </c>
      <c r="F47" s="3" t="n">
        <v>21</v>
      </c>
      <c r="G47" s="3" t="n">
        <v>21</v>
      </c>
      <c r="H47" s="3" t="n">
        <v>21</v>
      </c>
      <c r="I47" s="3" t="n">
        <v>21</v>
      </c>
      <c r="J47" s="3" t="n">
        <v>21</v>
      </c>
      <c r="K47" s="3" t="n">
        <v>21</v>
      </c>
      <c r="L47" s="3" t="n">
        <v>21</v>
      </c>
    </row>
    <row r="48" customFormat="false" ht="15" hidden="false" customHeight="false" outlineLevel="0" collapsed="false">
      <c r="A48" s="0" t="s">
        <v>113</v>
      </c>
      <c r="B48" s="3" t="n">
        <v>9.5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16</v>
      </c>
    </row>
    <row r="51" customFormat="false" ht="15" hidden="false" customHeight="false" outlineLevel="0" collapsed="false">
      <c r="A51" s="0" t="s">
        <v>116</v>
      </c>
      <c r="B51" s="3" t="n">
        <v>0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2</v>
      </c>
      <c r="D5" s="4" t="n">
        <f aca="false">Assumptions!D13</f>
        <v>1.5</v>
      </c>
      <c r="E5" s="4" t="n">
        <f aca="false">Assumptions!E13</f>
        <v>1.5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77084</v>
      </c>
      <c r="C6" s="0" t="n">
        <f aca="false">B6*(1+C5/100)</f>
        <v>78625.68</v>
      </c>
      <c r="D6" s="0" t="n">
        <f aca="false">C6*(1+D5/100)</f>
        <v>79805.0652</v>
      </c>
      <c r="E6" s="0" t="n">
        <f aca="false">D6*(1+E5/100)</f>
        <v>81002.141178</v>
      </c>
      <c r="F6" s="0" t="n">
        <f aca="false">E6*(1+F5/100)</f>
        <v>82622.18400156</v>
      </c>
      <c r="G6" s="0" t="n">
        <f aca="false">F6*(1+G5/100)</f>
        <v>84274.6276815912</v>
      </c>
      <c r="H6" s="0" t="n">
        <f aca="false">G6*(1+H5/100)</f>
        <v>85960.120235223</v>
      </c>
      <c r="I6" s="0" t="n">
        <f aca="false">H6*(1+I5/100)</f>
        <v>87679.3226399275</v>
      </c>
      <c r="J6" s="0" t="n">
        <f aca="false">I6*(1+J5/100)</f>
        <v>89432.909092726</v>
      </c>
      <c r="K6" s="0" t="n">
        <f aca="false">J6*(1+K5/100)</f>
        <v>91221.5672745806</v>
      </c>
      <c r="L6" s="0" t="n">
        <f aca="false">K6*(1+L5/100)</f>
        <v>93045.9986200722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9.9</v>
      </c>
      <c r="D7" s="4" t="n">
        <f aca="false">Assumptions!D14</f>
        <v>9.7</v>
      </c>
      <c r="E7" s="4" t="n">
        <f aca="false">Assumptions!E14</f>
        <v>9.5</v>
      </c>
      <c r="F7" s="4" t="n">
        <f aca="false">Assumptions!F14</f>
        <v>9.4</v>
      </c>
      <c r="G7" s="4" t="n">
        <f aca="false">Assumptions!G14</f>
        <v>9.3</v>
      </c>
      <c r="H7" s="4" t="n">
        <f aca="false">Assumptions!H14</f>
        <v>9.25</v>
      </c>
      <c r="I7" s="4" t="n">
        <f aca="false">Assumptions!I14</f>
        <v>9.2</v>
      </c>
      <c r="J7" s="4" t="n">
        <f aca="false">Assumptions!J14</f>
        <v>9.2</v>
      </c>
      <c r="K7" s="4" t="n">
        <f aca="false">Assumptions!K14</f>
        <v>9.2</v>
      </c>
      <c r="L7" s="4" t="n">
        <f aca="false">Assumptions!L14</f>
        <v>9.2</v>
      </c>
    </row>
    <row r="8" customFormat="false" ht="15" hidden="false" customHeight="false" outlineLevel="0" collapsed="false">
      <c r="A8" s="0" t="s">
        <v>43</v>
      </c>
      <c r="C8" s="0" t="n">
        <f aca="false">C6*C7/100</f>
        <v>7783.94232</v>
      </c>
      <c r="D8" s="0" t="n">
        <f aca="false">D6*D7/100</f>
        <v>7741.0913244</v>
      </c>
      <c r="E8" s="0" t="n">
        <f aca="false">E6*E7/100</f>
        <v>7695.20341191</v>
      </c>
      <c r="F8" s="0" t="n">
        <f aca="false">F6*F7/100</f>
        <v>7766.48529614664</v>
      </c>
      <c r="G8" s="0" t="n">
        <f aca="false">G6*G7/100</f>
        <v>7837.54037438798</v>
      </c>
      <c r="H8" s="0" t="n">
        <f aca="false">H6*H7/100</f>
        <v>7951.31112175813</v>
      </c>
      <c r="I8" s="0" t="n">
        <f aca="false">I6*I7/100</f>
        <v>8066.49768287333</v>
      </c>
      <c r="J8" s="0" t="n">
        <f aca="false">J6*J7/100</f>
        <v>8227.82763653079</v>
      </c>
      <c r="K8" s="0" t="n">
        <f aca="false">K6*K7/100</f>
        <v>8392.38418926141</v>
      </c>
      <c r="L8" s="0" t="n">
        <f aca="false">L6*L7/100</f>
        <v>8560.23187304664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0.17</v>
      </c>
      <c r="D9" s="4" t="n">
        <f aca="false">Assumptions!D15</f>
        <v>0.17</v>
      </c>
      <c r="E9" s="4" t="n">
        <f aca="false">Assumptions!E15</f>
        <v>0.17</v>
      </c>
      <c r="F9" s="4" t="n">
        <f aca="false">Assumptions!F15</f>
        <v>0.17</v>
      </c>
      <c r="G9" s="4" t="n">
        <f aca="false">Assumptions!G15</f>
        <v>0.17</v>
      </c>
      <c r="H9" s="4" t="n">
        <f aca="false">Assumptions!H15</f>
        <v>0.17</v>
      </c>
      <c r="I9" s="4" t="n">
        <f aca="false">Assumptions!I15</f>
        <v>0.17</v>
      </c>
      <c r="J9" s="4" t="n">
        <f aca="false">Assumptions!J15</f>
        <v>0.17</v>
      </c>
      <c r="K9" s="4" t="n">
        <f aca="false">Assumptions!K15</f>
        <v>0.17</v>
      </c>
      <c r="L9" s="4" t="n">
        <f aca="false">Assumptions!L15</f>
        <v>0.17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-133.663656</v>
      </c>
      <c r="D10" s="0" t="n">
        <f aca="false">-D6*D9/100</f>
        <v>-135.66861084</v>
      </c>
      <c r="E10" s="0" t="n">
        <f aca="false">-E6*E9/100</f>
        <v>-137.7036400026</v>
      </c>
      <c r="F10" s="0" t="n">
        <f aca="false">-F6*F9/100</f>
        <v>-140.457712802652</v>
      </c>
      <c r="G10" s="0" t="n">
        <f aca="false">-G6*G9/100</f>
        <v>-143.266867058705</v>
      </c>
      <c r="H10" s="0" t="n">
        <f aca="false">-H6*H9/100</f>
        <v>-146.132204399879</v>
      </c>
      <c r="I10" s="0" t="n">
        <f aca="false">-I6*I9/100</f>
        <v>-149.054848487877</v>
      </c>
      <c r="J10" s="0" t="n">
        <f aca="false">-J6*J9/100</f>
        <v>-152.035945457634</v>
      </c>
      <c r="K10" s="0" t="n">
        <f aca="false">-K6*K9/100</f>
        <v>-155.076664366787</v>
      </c>
      <c r="L10" s="0" t="n">
        <f aca="false">-L6*L9/100</f>
        <v>-158.178197654123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7650.278664</v>
      </c>
      <c r="D11" s="0" t="n">
        <f aca="false">D8+D10+D24</f>
        <v>7605.42271356</v>
      </c>
      <c r="E11" s="0" t="n">
        <f aca="false">E8+E10+E24</f>
        <v>7557.4997719074</v>
      </c>
      <c r="F11" s="0" t="n">
        <f aca="false">F8+F10+F24</f>
        <v>7626.02758334399</v>
      </c>
      <c r="G11" s="0" t="n">
        <f aca="false">G8+G10+G24</f>
        <v>7694.27350732928</v>
      </c>
      <c r="H11" s="0" t="n">
        <f aca="false">H8+H10+H24</f>
        <v>7805.17891735825</v>
      </c>
      <c r="I11" s="0" t="n">
        <f aca="false">I8+I10+I24</f>
        <v>7917.44283438545</v>
      </c>
      <c r="J11" s="0" t="n">
        <f aca="false">J8+J10+J24</f>
        <v>8075.79169107316</v>
      </c>
      <c r="K11" s="0" t="n">
        <f aca="false">K8+K10+K24</f>
        <v>8237.30752489462</v>
      </c>
      <c r="L11" s="0" t="n">
        <f aca="false">L8+L10+L24</f>
        <v>8402.05367539252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7650.278664</v>
      </c>
      <c r="D13" s="0" t="n">
        <f aca="false">D11+D12</f>
        <v>7605.42271356</v>
      </c>
      <c r="E13" s="0" t="n">
        <f aca="false">E11+E12</f>
        <v>7557.4997719074</v>
      </c>
      <c r="F13" s="0" t="n">
        <f aca="false">F11+F12</f>
        <v>7626.02758334399</v>
      </c>
      <c r="G13" s="0" t="n">
        <f aca="false">G11+G12</f>
        <v>7694.27350732928</v>
      </c>
      <c r="H13" s="0" t="n">
        <f aca="false">H11+H12</f>
        <v>7805.17891735825</v>
      </c>
      <c r="I13" s="0" t="n">
        <f aca="false">I11+I12</f>
        <v>7917.44283438545</v>
      </c>
      <c r="J13" s="0" t="n">
        <f aca="false">J11+J12</f>
        <v>8075.79169107316</v>
      </c>
      <c r="K13" s="0" t="n">
        <f aca="false">K11+K12</f>
        <v>8237.30752489462</v>
      </c>
      <c r="L13" s="0" t="n">
        <f aca="false">L11+L12</f>
        <v>8402.05367539252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21</v>
      </c>
      <c r="D14" s="4" t="n">
        <f aca="false">Assumptions!D19</f>
        <v>21</v>
      </c>
      <c r="E14" s="4" t="n">
        <f aca="false">Assumptions!E19</f>
        <v>21</v>
      </c>
      <c r="F14" s="4" t="n">
        <f aca="false">Assumptions!F19</f>
        <v>21</v>
      </c>
      <c r="G14" s="4" t="n">
        <f aca="false">Assumptions!G19</f>
        <v>21</v>
      </c>
      <c r="H14" s="4" t="n">
        <f aca="false">Assumptions!H19</f>
        <v>21</v>
      </c>
      <c r="I14" s="4" t="n">
        <f aca="false">Assumptions!I19</f>
        <v>21</v>
      </c>
      <c r="J14" s="4" t="n">
        <f aca="false">Assumptions!J19</f>
        <v>21</v>
      </c>
      <c r="K14" s="4" t="n">
        <f aca="false">Assumptions!K19</f>
        <v>21</v>
      </c>
      <c r="L14" s="4" t="n">
        <f aca="false">Assumptions!L19</f>
        <v>21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6043.72014456</v>
      </c>
      <c r="D15" s="0" t="n">
        <f aca="false">D13-MAX(0,D13)*D14/100</f>
        <v>6008.2839437124</v>
      </c>
      <c r="E15" s="0" t="n">
        <f aca="false">E13-MAX(0,E13)*E14/100</f>
        <v>5970.42481980685</v>
      </c>
      <c r="F15" s="0" t="n">
        <f aca="false">F13-MAX(0,F13)*F14/100</f>
        <v>6024.56179084175</v>
      </c>
      <c r="G15" s="0" t="n">
        <f aca="false">G13-MAX(0,G13)*G14/100</f>
        <v>6078.47607079013</v>
      </c>
      <c r="H15" s="0" t="n">
        <f aca="false">H13-MAX(0,H13)*H14/100</f>
        <v>6166.09134471302</v>
      </c>
      <c r="I15" s="0" t="n">
        <f aca="false">I13-MAX(0,I13)*I14/100</f>
        <v>6254.77983916451</v>
      </c>
      <c r="J15" s="0" t="n">
        <f aca="false">J13-MAX(0,J13)*J14/100</f>
        <v>6379.8754359478</v>
      </c>
      <c r="K15" s="0" t="n">
        <f aca="false">K13-MAX(0,K13)*K14/100</f>
        <v>6507.47294466675</v>
      </c>
      <c r="L15" s="0" t="n">
        <f aca="false">L13-MAX(0,L13)*L14/100</f>
        <v>6637.62240356009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-2044.26768</v>
      </c>
      <c r="D17" s="4" t="n">
        <f aca="false">-D6*Assumptions!D18/100</f>
        <v>-2074.9316952</v>
      </c>
      <c r="E17" s="4" t="n">
        <f aca="false">-E6*Assumptions!E18/100</f>
        <v>-2146.556741217</v>
      </c>
      <c r="F17" s="4" t="n">
        <f aca="false">-F6*Assumptions!F18/100</f>
        <v>-2189.48787604134</v>
      </c>
      <c r="G17" s="4" t="n">
        <f aca="false">-G6*Assumptions!G18/100</f>
        <v>-2275.41494740296</v>
      </c>
      <c r="H17" s="4" t="n">
        <f aca="false">-H6*Assumptions!H18/100</f>
        <v>-2320.92324635102</v>
      </c>
      <c r="I17" s="4" t="n">
        <f aca="false">-I6*Assumptions!I18/100</f>
        <v>-2367.34171127804</v>
      </c>
      <c r="J17" s="4" t="n">
        <f aca="false">-J6*Assumptions!J18/100</f>
        <v>-2414.6885455036</v>
      </c>
      <c r="K17" s="4" t="n">
        <f aca="false">-K6*Assumptions!K18/100</f>
        <v>-2462.98231641368</v>
      </c>
      <c r="L17" s="4" t="n">
        <f aca="false">-L6*Assumptions!L18/100</f>
        <v>-2512.24196274195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3999.45246456</v>
      </c>
      <c r="D19" s="0" t="n">
        <f aca="false">D15+D16+D17+D18</f>
        <v>3933.3522485124</v>
      </c>
      <c r="E19" s="0" t="n">
        <f aca="false">E15+E16+E17+E18</f>
        <v>3823.86807858985</v>
      </c>
      <c r="F19" s="0" t="n">
        <f aca="false">F15+F16+F17+F18</f>
        <v>3835.07391480041</v>
      </c>
      <c r="G19" s="0" t="n">
        <f aca="false">G15+G16+G17+G18</f>
        <v>3803.06112338717</v>
      </c>
      <c r="H19" s="0" t="n">
        <f aca="false">H15+H16+H17+H18</f>
        <v>3845.168098362</v>
      </c>
      <c r="I19" s="0" t="n">
        <f aca="false">I15+I16+I17+I18</f>
        <v>3887.43812788647</v>
      </c>
      <c r="J19" s="0" t="n">
        <f aca="false">J15+J16+J17+J18</f>
        <v>3965.18689044419</v>
      </c>
      <c r="K19" s="0" t="n">
        <f aca="false">K15+K16+K17+K18</f>
        <v>4044.49062825308</v>
      </c>
      <c r="L19" s="0" t="n">
        <f aca="false">L15+L16+L17+L18</f>
        <v>4125.38044081814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3652.46800416438</v>
      </c>
      <c r="D21" s="0" t="n">
        <f aca="false">D19*D20</f>
        <v>3280.45891329405</v>
      </c>
      <c r="E21" s="0" t="n">
        <f aca="false">E19*E20</f>
        <v>2912.46384916805</v>
      </c>
      <c r="F21" s="0" t="n">
        <f aca="false">F19*F20</f>
        <v>2667.57882874483</v>
      </c>
      <c r="G21" s="0" t="n">
        <f aca="false">G19*G20</f>
        <v>2415.80963833344</v>
      </c>
      <c r="H21" s="0" t="n">
        <f aca="false">H19*H20</f>
        <v>2230.64580250117</v>
      </c>
      <c r="I21" s="0" t="n">
        <f aca="false">I19*I20</f>
        <v>2059.51355968809</v>
      </c>
      <c r="J21" s="0" t="n">
        <f aca="false">J19*J20</f>
        <v>1918.45098710671</v>
      </c>
      <c r="K21" s="0" t="n">
        <f aca="false">K19*K20</f>
        <v>1787.05023456516</v>
      </c>
      <c r="L21" s="0" t="n">
        <f aca="false">L19*L20</f>
        <v>1664.64953356754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11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24589.0893511334</v>
      </c>
    </row>
    <row r="31" customFormat="false" ht="15" hidden="false" customHeight="false" outlineLevel="0" collapsed="false">
      <c r="A31" s="0" t="s">
        <v>137</v>
      </c>
      <c r="B31" s="0" t="n">
        <f aca="false">L19</f>
        <v>4125.38044081814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56105.1739951267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45379.1848489995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45379.1848489995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18311.144869243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42900.2342203764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39695.2342203764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62.0238034693381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-0.342619995025563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898.451792032473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868.049196293876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64.783961263598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32368.3696125731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38.1799271621535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3.4</v>
      </c>
      <c r="D5" s="4" t="n">
        <f aca="false">Assumptions!D27</f>
        <v>4</v>
      </c>
      <c r="E5" s="4" t="n">
        <f aca="false">Assumptions!E27</f>
        <v>4</v>
      </c>
      <c r="F5" s="4" t="n">
        <f aca="false">Assumptions!F27</f>
        <v>3.75</v>
      </c>
      <c r="G5" s="4" t="n">
        <f aca="false">Assumptions!G27</f>
        <v>3.5</v>
      </c>
      <c r="H5" s="4" t="n">
        <f aca="false">Assumptions!H27</f>
        <v>3.25</v>
      </c>
      <c r="I5" s="4" t="n">
        <f aca="false">Assumptions!I27</f>
        <v>3</v>
      </c>
      <c r="J5" s="4" t="n">
        <f aca="false">Assumptions!J27</f>
        <v>2.75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77084</v>
      </c>
      <c r="C6" s="0" t="n">
        <f aca="false">B6*(1+C5/100)</f>
        <v>79704.856</v>
      </c>
      <c r="D6" s="0" t="n">
        <f aca="false">C6*(1+D5/100)</f>
        <v>82893.05024</v>
      </c>
      <c r="E6" s="0" t="n">
        <f aca="false">D6*(1+E5/100)</f>
        <v>86208.7722496</v>
      </c>
      <c r="F6" s="0" t="n">
        <f aca="false">E6*(1+F5/100)</f>
        <v>89441.60120896</v>
      </c>
      <c r="G6" s="0" t="n">
        <f aca="false">F6*(1+G5/100)</f>
        <v>92572.0572512736</v>
      </c>
      <c r="H6" s="0" t="n">
        <f aca="false">G6*(1+H5/100)</f>
        <v>95580.64911194</v>
      </c>
      <c r="I6" s="0" t="n">
        <f aca="false">H6*(1+I5/100)</f>
        <v>98448.0685852982</v>
      </c>
      <c r="J6" s="0" t="n">
        <f aca="false">I6*(1+J5/100)</f>
        <v>101155.390471394</v>
      </c>
      <c r="K6" s="0" t="n">
        <f aca="false">J6*(1+K5/100)</f>
        <v>103684.275233179</v>
      </c>
      <c r="L6" s="0" t="n">
        <f aca="false">K6*(1+L5/100)</f>
        <v>106276.382114008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10.55</v>
      </c>
      <c r="D7" s="4" t="n">
        <f aca="false">Assumptions!D28</f>
        <v>10.62</v>
      </c>
      <c r="E7" s="4" t="n">
        <f aca="false">Assumptions!E28</f>
        <v>10.7</v>
      </c>
      <c r="F7" s="4" t="n">
        <f aca="false">Assumptions!F28</f>
        <v>10.78</v>
      </c>
      <c r="G7" s="4" t="n">
        <f aca="false">Assumptions!G28</f>
        <v>10.85</v>
      </c>
      <c r="H7" s="4" t="n">
        <f aca="false">Assumptions!H28</f>
        <v>10.9</v>
      </c>
      <c r="I7" s="4" t="n">
        <f aca="false">Assumptions!I28</f>
        <v>10.95</v>
      </c>
      <c r="J7" s="4" t="n">
        <f aca="false">Assumptions!J28</f>
        <v>10.95</v>
      </c>
      <c r="K7" s="4" t="n">
        <f aca="false">Assumptions!K28</f>
        <v>10.95</v>
      </c>
      <c r="L7" s="4" t="n">
        <f aca="false">Assumptions!L28</f>
        <v>10.95</v>
      </c>
    </row>
    <row r="8" customFormat="false" ht="15" hidden="false" customHeight="false" outlineLevel="0" collapsed="false">
      <c r="A8" s="0" t="s">
        <v>43</v>
      </c>
      <c r="C8" s="0" t="n">
        <f aca="false">C6*C7/100</f>
        <v>8408.862308</v>
      </c>
      <c r="D8" s="0" t="n">
        <f aca="false">D6*D7/100</f>
        <v>8803.241935488</v>
      </c>
      <c r="E8" s="0" t="n">
        <f aca="false">E6*E7/100</f>
        <v>9224.3386307072</v>
      </c>
      <c r="F8" s="0" t="n">
        <f aca="false">F6*F7/100</f>
        <v>9641.80461032589</v>
      </c>
      <c r="G8" s="0" t="n">
        <f aca="false">G6*G7/100</f>
        <v>10044.0682117632</v>
      </c>
      <c r="H8" s="0" t="n">
        <f aca="false">H6*H7/100</f>
        <v>10418.2907532015</v>
      </c>
      <c r="I8" s="0" t="n">
        <f aca="false">I6*I7/100</f>
        <v>10780.0635100902</v>
      </c>
      <c r="J8" s="0" t="n">
        <f aca="false">J6*J7/100</f>
        <v>11076.5152566176</v>
      </c>
      <c r="K8" s="0" t="n">
        <f aca="false">K6*K7/100</f>
        <v>11353.4281380331</v>
      </c>
      <c r="L8" s="0" t="n">
        <f aca="false">L6*L7/100</f>
        <v>11637.2638414839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0.17</v>
      </c>
      <c r="D9" s="4" t="n">
        <f aca="false">Assumptions!D29</f>
        <v>0.17</v>
      </c>
      <c r="E9" s="4" t="n">
        <f aca="false">Assumptions!E29</f>
        <v>0.16</v>
      </c>
      <c r="F9" s="4" t="n">
        <f aca="false">Assumptions!F29</f>
        <v>0.16</v>
      </c>
      <c r="G9" s="4" t="n">
        <f aca="false">Assumptions!G29</f>
        <v>0.16</v>
      </c>
      <c r="H9" s="4" t="n">
        <f aca="false">Assumptions!H29</f>
        <v>0.15</v>
      </c>
      <c r="I9" s="4" t="n">
        <f aca="false">Assumptions!I29</f>
        <v>0.15</v>
      </c>
      <c r="J9" s="4" t="n">
        <f aca="false">Assumptions!J29</f>
        <v>0.15</v>
      </c>
      <c r="K9" s="4" t="n">
        <f aca="false">Assumptions!K29</f>
        <v>0.15</v>
      </c>
      <c r="L9" s="4" t="n">
        <f aca="false">Assumptions!L29</f>
        <v>0.15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-135.4982552</v>
      </c>
      <c r="D10" s="0" t="n">
        <f aca="false">-D6*D9/100</f>
        <v>-140.918185408</v>
      </c>
      <c r="E10" s="0" t="n">
        <f aca="false">-E6*E9/100</f>
        <v>-137.93403559936</v>
      </c>
      <c r="F10" s="0" t="n">
        <f aca="false">-F6*F9/100</f>
        <v>-143.106561934336</v>
      </c>
      <c r="G10" s="0" t="n">
        <f aca="false">-G6*G9/100</f>
        <v>-148.115291602038</v>
      </c>
      <c r="H10" s="0" t="n">
        <f aca="false">-H6*H9/100</f>
        <v>-143.37097366791</v>
      </c>
      <c r="I10" s="0" t="n">
        <f aca="false">-I6*I9/100</f>
        <v>-147.672102877947</v>
      </c>
      <c r="J10" s="0" t="n">
        <f aca="false">-J6*J9/100</f>
        <v>-151.733085707091</v>
      </c>
      <c r="K10" s="0" t="n">
        <f aca="false">-K6*K9/100</f>
        <v>-155.526412849768</v>
      </c>
      <c r="L10" s="0" t="n">
        <f aca="false">-L6*L9/100</f>
        <v>-159.414573171012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8273.3640528</v>
      </c>
      <c r="D11" s="0" t="n">
        <f aca="false">D8+D10+D24</f>
        <v>8662.32375008</v>
      </c>
      <c r="E11" s="0" t="n">
        <f aca="false">E8+E10+E24</f>
        <v>9086.40459510784</v>
      </c>
      <c r="F11" s="0" t="n">
        <f aca="false">F8+F10+F24</f>
        <v>9498.69804839155</v>
      </c>
      <c r="G11" s="0" t="n">
        <f aca="false">G8+G10+G24</f>
        <v>9895.95292016115</v>
      </c>
      <c r="H11" s="0" t="n">
        <f aca="false">H8+H10+H24</f>
        <v>10274.9197795336</v>
      </c>
      <c r="I11" s="0" t="n">
        <f aca="false">I8+I10+I24</f>
        <v>10632.3914072122</v>
      </c>
      <c r="J11" s="0" t="n">
        <f aca="false">J8+J10+J24</f>
        <v>10924.7821709105</v>
      </c>
      <c r="K11" s="0" t="n">
        <f aca="false">K8+K10+K24</f>
        <v>11197.9017251833</v>
      </c>
      <c r="L11" s="0" t="n">
        <f aca="false">L8+L10+L24</f>
        <v>11477.8492683129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8273.3640528</v>
      </c>
      <c r="D13" s="0" t="n">
        <f aca="false">D11+D12</f>
        <v>8662.32375008</v>
      </c>
      <c r="E13" s="0" t="n">
        <f aca="false">E11+E12</f>
        <v>9086.40459510784</v>
      </c>
      <c r="F13" s="0" t="n">
        <f aca="false">F11+F12</f>
        <v>9498.69804839155</v>
      </c>
      <c r="G13" s="0" t="n">
        <f aca="false">G11+G12</f>
        <v>9895.95292016115</v>
      </c>
      <c r="H13" s="0" t="n">
        <f aca="false">H11+H12</f>
        <v>10274.9197795336</v>
      </c>
      <c r="I13" s="0" t="n">
        <f aca="false">I11+I12</f>
        <v>10632.3914072122</v>
      </c>
      <c r="J13" s="0" t="n">
        <f aca="false">J11+J12</f>
        <v>10924.7821709105</v>
      </c>
      <c r="K13" s="0" t="n">
        <f aca="false">K11+K12</f>
        <v>11197.9017251833</v>
      </c>
      <c r="L13" s="0" t="n">
        <f aca="false">L11+L12</f>
        <v>11477.8492683129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21</v>
      </c>
      <c r="D14" s="4" t="n">
        <f aca="false">Assumptions!D33</f>
        <v>21</v>
      </c>
      <c r="E14" s="4" t="n">
        <f aca="false">Assumptions!E33</f>
        <v>21</v>
      </c>
      <c r="F14" s="4" t="n">
        <f aca="false">Assumptions!F33</f>
        <v>21</v>
      </c>
      <c r="G14" s="4" t="n">
        <f aca="false">Assumptions!G33</f>
        <v>21</v>
      </c>
      <c r="H14" s="4" t="n">
        <f aca="false">Assumptions!H33</f>
        <v>21</v>
      </c>
      <c r="I14" s="4" t="n">
        <f aca="false">Assumptions!I33</f>
        <v>21</v>
      </c>
      <c r="J14" s="4" t="n">
        <f aca="false">Assumptions!J33</f>
        <v>21</v>
      </c>
      <c r="K14" s="4" t="n">
        <f aca="false">Assumptions!K33</f>
        <v>21</v>
      </c>
      <c r="L14" s="4" t="n">
        <f aca="false">Assumptions!L33</f>
        <v>21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6535.957601712</v>
      </c>
      <c r="D15" s="0" t="n">
        <f aca="false">D13-MAX(0,D13)*D14/100</f>
        <v>6843.2357625632</v>
      </c>
      <c r="E15" s="0" t="n">
        <f aca="false">E13-MAX(0,E13)*E14/100</f>
        <v>7178.25963013519</v>
      </c>
      <c r="F15" s="0" t="n">
        <f aca="false">F13-MAX(0,F13)*F14/100</f>
        <v>7503.97145822933</v>
      </c>
      <c r="G15" s="0" t="n">
        <f aca="false">G13-MAX(0,G13)*G14/100</f>
        <v>7817.80280692731</v>
      </c>
      <c r="H15" s="0" t="n">
        <f aca="false">H13-MAX(0,H13)*H14/100</f>
        <v>8117.1866258315</v>
      </c>
      <c r="I15" s="0" t="n">
        <f aca="false">I13-MAX(0,I13)*I14/100</f>
        <v>8399.58921169764</v>
      </c>
      <c r="J15" s="0" t="n">
        <f aca="false">J13-MAX(0,J13)*J14/100</f>
        <v>8630.57791501933</v>
      </c>
      <c r="K15" s="0" t="n">
        <f aca="false">K13-MAX(0,K13)*K14/100</f>
        <v>8846.34236289481</v>
      </c>
      <c r="L15" s="0" t="n">
        <f aca="false">L13-MAX(0,L13)*L14/100</f>
        <v>9067.50092196718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-1753.506832</v>
      </c>
      <c r="D17" s="4" t="n">
        <f aca="false">-D6*Assumptions!D32/100</f>
        <v>-1823.64710528</v>
      </c>
      <c r="E17" s="4" t="n">
        <f aca="false">-E6*Assumptions!E32/100</f>
        <v>-1896.5929894912</v>
      </c>
      <c r="F17" s="4" t="n">
        <f aca="false">-F6*Assumptions!F32/100</f>
        <v>-1967.71522659712</v>
      </c>
      <c r="G17" s="4" t="n">
        <f aca="false">-G6*Assumptions!G32/100</f>
        <v>-2036.58525952802</v>
      </c>
      <c r="H17" s="4" t="n">
        <f aca="false">-H6*Assumptions!H32/100</f>
        <v>-2102.77428046268</v>
      </c>
      <c r="I17" s="4" t="n">
        <f aca="false">-I6*Assumptions!I32/100</f>
        <v>-2165.85750887656</v>
      </c>
      <c r="J17" s="4" t="n">
        <f aca="false">-J6*Assumptions!J32/100</f>
        <v>-2225.41859037067</v>
      </c>
      <c r="K17" s="4" t="n">
        <f aca="false">-K6*Assumptions!K32/100</f>
        <v>-2281.05405512993</v>
      </c>
      <c r="L17" s="4" t="n">
        <f aca="false">-L6*Assumptions!L32/100</f>
        <v>-2338.08040650818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4782.450769712</v>
      </c>
      <c r="D19" s="0" t="n">
        <f aca="false">D15+D16+D17+D18</f>
        <v>5019.5886572832</v>
      </c>
      <c r="E19" s="0" t="n">
        <f aca="false">E15+E16+E17+E18</f>
        <v>5281.66664064399</v>
      </c>
      <c r="F19" s="0" t="n">
        <f aca="false">F15+F16+F17+F18</f>
        <v>5536.25623163221</v>
      </c>
      <c r="G19" s="0" t="n">
        <f aca="false">G15+G16+G17+G18</f>
        <v>5781.21754739929</v>
      </c>
      <c r="H19" s="0" t="n">
        <f aca="false">H15+H16+H17+H18</f>
        <v>6014.41234536882</v>
      </c>
      <c r="I19" s="0" t="n">
        <f aca="false">I15+I16+I17+I18</f>
        <v>6233.73170282108</v>
      </c>
      <c r="J19" s="0" t="n">
        <f aca="false">J15+J16+J17+J18</f>
        <v>6405.15932464866</v>
      </c>
      <c r="K19" s="0" t="n">
        <f aca="false">K15+K16+K17+K18</f>
        <v>6565.28830776488</v>
      </c>
      <c r="L19" s="0" t="n">
        <f aca="false">L15+L16+L17+L18</f>
        <v>6729.420515459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4367.53494950868</v>
      </c>
      <c r="D21" s="0" t="n">
        <f aca="false">D19*D20</f>
        <v>4186.39199122887</v>
      </c>
      <c r="E21" s="0" t="n">
        <f aca="false">E19*E20</f>
        <v>4022.80173847034</v>
      </c>
      <c r="F21" s="0" t="n">
        <f aca="false">F19*F20</f>
        <v>3850.87751686196</v>
      </c>
      <c r="G21" s="0" t="n">
        <f aca="false">G19*G20</f>
        <v>3672.38932512098</v>
      </c>
      <c r="H21" s="0" t="n">
        <f aca="false">H19*H20</f>
        <v>3489.06037643018</v>
      </c>
      <c r="I21" s="0" t="n">
        <f aca="false">I19*I20</f>
        <v>3302.54901739043</v>
      </c>
      <c r="J21" s="0" t="n">
        <f aca="false">J19*J20</f>
        <v>3098.96722864718</v>
      </c>
      <c r="K21" s="0" t="n">
        <f aca="false">K19*K20</f>
        <v>2900.85973457841</v>
      </c>
      <c r="L21" s="0" t="n">
        <f aca="false">L19*L20</f>
        <v>2715.41664652317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35606.8485247602</v>
      </c>
    </row>
    <row r="31" customFormat="false" ht="15" hidden="false" customHeight="false" outlineLevel="0" collapsed="false">
      <c r="A31" s="0" t="s">
        <v>137</v>
      </c>
      <c r="B31" s="0" t="n">
        <f aca="false">L19</f>
        <v>6729.420515459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98537.9432620782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94211.887216426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94211.887216426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38015.8330513244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73622.6815760846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70417.6815760846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110.027627462632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0.166164573000871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907.819922984017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941.917041338637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112.917841469386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55181.2482267638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60.1075063634404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4.5</v>
      </c>
      <c r="D5" s="4" t="n">
        <f aca="false">Assumptions!D41</f>
        <v>5.5</v>
      </c>
      <c r="E5" s="4" t="n">
        <f aca="false">Assumptions!E41</f>
        <v>5.5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77084</v>
      </c>
      <c r="C6" s="0" t="n">
        <f aca="false">B6*(1+C5/100)</f>
        <v>80552.78</v>
      </c>
      <c r="D6" s="0" t="n">
        <f aca="false">C6*(1+D5/100)</f>
        <v>84983.1829</v>
      </c>
      <c r="E6" s="0" t="n">
        <f aca="false">D6*(1+E5/100)</f>
        <v>89657.2579595</v>
      </c>
      <c r="F6" s="0" t="n">
        <f aca="false">E6*(1+F5/100)</f>
        <v>94140.120857475</v>
      </c>
      <c r="G6" s="0" t="n">
        <f aca="false">F6*(1+G5/100)</f>
        <v>98376.4262960614</v>
      </c>
      <c r="H6" s="0" t="n">
        <f aca="false">G6*(1+H5/100)</f>
        <v>102311.483347904</v>
      </c>
      <c r="I6" s="0" t="n">
        <f aca="false">H6*(1+I5/100)</f>
        <v>105892.38526508</v>
      </c>
      <c r="J6" s="0" t="n">
        <f aca="false">I6*(1+J5/100)</f>
        <v>109598.618749358</v>
      </c>
      <c r="K6" s="0" t="n">
        <f aca="false">J6*(1+K5/100)</f>
        <v>112886.577311839</v>
      </c>
      <c r="L6" s="0" t="n">
        <f aca="false">K6*(1+L5/100)</f>
        <v>116273.174631194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10.7</v>
      </c>
      <c r="D7" s="4" t="n">
        <f aca="false">Assumptions!D42</f>
        <v>10.85</v>
      </c>
      <c r="E7" s="4" t="n">
        <f aca="false">Assumptions!E42</f>
        <v>11</v>
      </c>
      <c r="F7" s="4" t="n">
        <f aca="false">Assumptions!F42</f>
        <v>11.15</v>
      </c>
      <c r="G7" s="4" t="n">
        <f aca="false">Assumptions!G42</f>
        <v>11.3</v>
      </c>
      <c r="H7" s="4" t="n">
        <f aca="false">Assumptions!H42</f>
        <v>11.4</v>
      </c>
      <c r="I7" s="4" t="n">
        <f aca="false">Assumptions!I42</f>
        <v>11.5</v>
      </c>
      <c r="J7" s="4" t="n">
        <f aca="false">Assumptions!J42</f>
        <v>11.55</v>
      </c>
      <c r="K7" s="4" t="n">
        <f aca="false">Assumptions!K42</f>
        <v>11.6</v>
      </c>
      <c r="L7" s="4" t="n">
        <f aca="false">Assumptions!L42</f>
        <v>11.6</v>
      </c>
    </row>
    <row r="8" customFormat="false" ht="15" hidden="false" customHeight="false" outlineLevel="0" collapsed="false">
      <c r="A8" s="0" t="s">
        <v>43</v>
      </c>
      <c r="C8" s="0" t="n">
        <f aca="false">C6*C7/100</f>
        <v>8619.14746</v>
      </c>
      <c r="D8" s="0" t="n">
        <f aca="false">D6*D7/100</f>
        <v>9220.67534465</v>
      </c>
      <c r="E8" s="0" t="n">
        <f aca="false">E6*E7/100</f>
        <v>9862.298375545</v>
      </c>
      <c r="F8" s="0" t="n">
        <f aca="false">F6*F7/100</f>
        <v>10496.6234756085</v>
      </c>
      <c r="G8" s="0" t="n">
        <f aca="false">G6*G7/100</f>
        <v>11116.5361714549</v>
      </c>
      <c r="H8" s="0" t="n">
        <f aca="false">H6*H7/100</f>
        <v>11663.509101661</v>
      </c>
      <c r="I8" s="0" t="n">
        <f aca="false">I6*I7/100</f>
        <v>12177.6243054843</v>
      </c>
      <c r="J8" s="0" t="n">
        <f aca="false">J6*J7/100</f>
        <v>12658.6404655509</v>
      </c>
      <c r="K8" s="0" t="n">
        <f aca="false">K6*K7/100</f>
        <v>13094.8429681733</v>
      </c>
      <c r="L8" s="0" t="n">
        <f aca="false">L6*L7/100</f>
        <v>13487.6882572185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0.17</v>
      </c>
      <c r="D9" s="4" t="n">
        <f aca="false">Assumptions!D43</f>
        <v>0.17</v>
      </c>
      <c r="E9" s="4" t="n">
        <f aca="false">Assumptions!E43</f>
        <v>0.16</v>
      </c>
      <c r="F9" s="4" t="n">
        <f aca="false">Assumptions!F43</f>
        <v>0.16</v>
      </c>
      <c r="G9" s="4" t="n">
        <f aca="false">Assumptions!G43</f>
        <v>0.16</v>
      </c>
      <c r="H9" s="4" t="n">
        <f aca="false">Assumptions!H43</f>
        <v>0.15</v>
      </c>
      <c r="I9" s="4" t="n">
        <f aca="false">Assumptions!I43</f>
        <v>0.15</v>
      </c>
      <c r="J9" s="4" t="n">
        <f aca="false">Assumptions!J43</f>
        <v>0.15</v>
      </c>
      <c r="K9" s="4" t="n">
        <f aca="false">Assumptions!K43</f>
        <v>0.15</v>
      </c>
      <c r="L9" s="4" t="n">
        <f aca="false">Assumptions!L43</f>
        <v>0.15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-136.939726</v>
      </c>
      <c r="D10" s="0" t="n">
        <f aca="false">-D6*D9/100</f>
        <v>-144.47141093</v>
      </c>
      <c r="E10" s="0" t="n">
        <f aca="false">-E6*E9/100</f>
        <v>-143.4516127352</v>
      </c>
      <c r="F10" s="0" t="n">
        <f aca="false">-F6*F9/100</f>
        <v>-150.62419337196</v>
      </c>
      <c r="G10" s="0" t="n">
        <f aca="false">-G6*G9/100</f>
        <v>-157.402282073698</v>
      </c>
      <c r="H10" s="0" t="n">
        <f aca="false">-H6*H9/100</f>
        <v>-153.467225021856</v>
      </c>
      <c r="I10" s="0" t="n">
        <f aca="false">-I6*I9/100</f>
        <v>-158.838577897621</v>
      </c>
      <c r="J10" s="0" t="n">
        <f aca="false">-J6*J9/100</f>
        <v>-164.397928124037</v>
      </c>
      <c r="K10" s="0" t="n">
        <f aca="false">-K6*K9/100</f>
        <v>-169.329865967759</v>
      </c>
      <c r="L10" s="0" t="n">
        <f aca="false">-L6*L9/100</f>
        <v>-174.409761946791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8482.207734</v>
      </c>
      <c r="D11" s="0" t="n">
        <f aca="false">D8+D10+D24</f>
        <v>9076.20393372</v>
      </c>
      <c r="E11" s="0" t="n">
        <f aca="false">E8+E10+E24</f>
        <v>9718.8467628098</v>
      </c>
      <c r="F11" s="0" t="n">
        <f aca="false">F8+F10+F24</f>
        <v>10345.9992822365</v>
      </c>
      <c r="G11" s="0" t="n">
        <f aca="false">G8+G10+G24</f>
        <v>10959.1338893812</v>
      </c>
      <c r="H11" s="0" t="n">
        <f aca="false">H8+H10+H24</f>
        <v>11510.0418766392</v>
      </c>
      <c r="I11" s="0" t="n">
        <f aca="false">I8+I10+I24</f>
        <v>12018.7857275866</v>
      </c>
      <c r="J11" s="0" t="n">
        <f aca="false">J8+J10+J24</f>
        <v>12494.2425374268</v>
      </c>
      <c r="K11" s="0" t="n">
        <f aca="false">K8+K10+K24</f>
        <v>12925.5131022056</v>
      </c>
      <c r="L11" s="0" t="n">
        <f aca="false">L8+L10+L24</f>
        <v>13313.2784952717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8482.207734</v>
      </c>
      <c r="D13" s="0" t="n">
        <f aca="false">D11+D12</f>
        <v>9076.20393372</v>
      </c>
      <c r="E13" s="0" t="n">
        <f aca="false">E11+E12</f>
        <v>9718.8467628098</v>
      </c>
      <c r="F13" s="0" t="n">
        <f aca="false">F11+F12</f>
        <v>10345.9992822365</v>
      </c>
      <c r="G13" s="0" t="n">
        <f aca="false">G11+G12</f>
        <v>10959.1338893812</v>
      </c>
      <c r="H13" s="0" t="n">
        <f aca="false">H11+H12</f>
        <v>11510.0418766392</v>
      </c>
      <c r="I13" s="0" t="n">
        <f aca="false">I11+I12</f>
        <v>12018.7857275866</v>
      </c>
      <c r="J13" s="0" t="n">
        <f aca="false">J11+J12</f>
        <v>12494.2425374268</v>
      </c>
      <c r="K13" s="0" t="n">
        <f aca="false">K11+K12</f>
        <v>12925.5131022056</v>
      </c>
      <c r="L13" s="0" t="n">
        <f aca="false">L11+L12</f>
        <v>13313.2784952717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21</v>
      </c>
      <c r="D14" s="4" t="n">
        <f aca="false">Assumptions!D47</f>
        <v>21</v>
      </c>
      <c r="E14" s="4" t="n">
        <f aca="false">Assumptions!E47</f>
        <v>21</v>
      </c>
      <c r="F14" s="4" t="n">
        <f aca="false">Assumptions!F47</f>
        <v>21</v>
      </c>
      <c r="G14" s="4" t="n">
        <f aca="false">Assumptions!G47</f>
        <v>21</v>
      </c>
      <c r="H14" s="4" t="n">
        <f aca="false">Assumptions!H47</f>
        <v>21</v>
      </c>
      <c r="I14" s="4" t="n">
        <f aca="false">Assumptions!I47</f>
        <v>21</v>
      </c>
      <c r="J14" s="4" t="n">
        <f aca="false">Assumptions!J47</f>
        <v>21</v>
      </c>
      <c r="K14" s="4" t="n">
        <f aca="false">Assumptions!K47</f>
        <v>21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6700.94410986</v>
      </c>
      <c r="D15" s="0" t="n">
        <f aca="false">D13-MAX(0,D13)*D14/100</f>
        <v>7170.2011076388</v>
      </c>
      <c r="E15" s="0" t="n">
        <f aca="false">E13-MAX(0,E13)*E14/100</f>
        <v>7677.88894261974</v>
      </c>
      <c r="F15" s="0" t="n">
        <f aca="false">F13-MAX(0,F13)*F14/100</f>
        <v>8173.33943296684</v>
      </c>
      <c r="G15" s="0" t="n">
        <f aca="false">G13-MAX(0,G13)*G14/100</f>
        <v>8657.71577261118</v>
      </c>
      <c r="H15" s="0" t="n">
        <f aca="false">H13-MAX(0,H13)*H14/100</f>
        <v>9092.93308254495</v>
      </c>
      <c r="I15" s="0" t="n">
        <f aca="false">I13-MAX(0,I13)*I14/100</f>
        <v>9494.84072479344</v>
      </c>
      <c r="J15" s="0" t="n">
        <f aca="false">J13-MAX(0,J13)*J14/100</f>
        <v>9870.45160456721</v>
      </c>
      <c r="K15" s="0" t="n">
        <f aca="false">K13-MAX(0,K13)*K14/100</f>
        <v>10211.1553507424</v>
      </c>
      <c r="L15" s="0" t="n">
        <f aca="false">L13-MAX(0,L13)*L14/100</f>
        <v>10517.4900112647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-1611.0556</v>
      </c>
      <c r="D17" s="4" t="n">
        <f aca="false">-D6*Assumptions!D46/100</f>
        <v>-1657.17206655</v>
      </c>
      <c r="E17" s="4" t="n">
        <f aca="false">-E6*Assumptions!E46/100</f>
        <v>-1703.4879012305</v>
      </c>
      <c r="F17" s="4" t="n">
        <f aca="false">-F6*Assumptions!F46/100</f>
        <v>-1788.66229629203</v>
      </c>
      <c r="G17" s="4" t="n">
        <f aca="false">-G6*Assumptions!G46/100</f>
        <v>-1819.96388647714</v>
      </c>
      <c r="H17" s="4" t="n">
        <f aca="false">-H6*Assumptions!H46/100</f>
        <v>-1892.76244193622</v>
      </c>
      <c r="I17" s="4" t="n">
        <f aca="false">-I6*Assumptions!I46/100</f>
        <v>-1906.06293477145</v>
      </c>
      <c r="J17" s="4" t="n">
        <f aca="false">-J6*Assumptions!J46/100</f>
        <v>-1972.77513748845</v>
      </c>
      <c r="K17" s="4" t="n">
        <f aca="false">-K6*Assumptions!K46/100</f>
        <v>-2031.9583916131</v>
      </c>
      <c r="L17" s="4" t="n">
        <f aca="false">-L6*Assumptions!L46/100</f>
        <v>-2092.9171433615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5089.88850986</v>
      </c>
      <c r="D19" s="0" t="n">
        <f aca="false">D15+D16+D17+D18</f>
        <v>5513.0290410888</v>
      </c>
      <c r="E19" s="0" t="n">
        <f aca="false">E15+E16+E17+E18</f>
        <v>5974.40104138924</v>
      </c>
      <c r="F19" s="0" t="n">
        <f aca="false">F15+F16+F17+F18</f>
        <v>6384.67713667481</v>
      </c>
      <c r="G19" s="0" t="n">
        <f aca="false">G15+G16+G17+G18</f>
        <v>6837.75188613404</v>
      </c>
      <c r="H19" s="0" t="n">
        <f aca="false">H15+H16+H17+H18</f>
        <v>7200.17064060873</v>
      </c>
      <c r="I19" s="0" t="n">
        <f aca="false">I15+I16+I17+I18</f>
        <v>7588.77779002199</v>
      </c>
      <c r="J19" s="0" t="n">
        <f aca="false">J15+J16+J17+J18</f>
        <v>7897.67646707876</v>
      </c>
      <c r="K19" s="0" t="n">
        <f aca="false">K15+K16+K17+K18</f>
        <v>8179.1969591293</v>
      </c>
      <c r="L19" s="0" t="n">
        <f aca="false">L15+L16+L17+L18</f>
        <v>8424.57286790318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4648.30000900457</v>
      </c>
      <c r="D21" s="0" t="n">
        <f aca="false">D19*D20</f>
        <v>4597.92668300394</v>
      </c>
      <c r="E21" s="0" t="n">
        <f aca="false">E19*E20</f>
        <v>4550.4255627707</v>
      </c>
      <c r="F21" s="0" t="n">
        <f aca="false">F19*F20</f>
        <v>4441.01728846372</v>
      </c>
      <c r="G21" s="0" t="n">
        <f aca="false">G19*G20</f>
        <v>4343.52916640557</v>
      </c>
      <c r="H21" s="0" t="n">
        <f aca="false">H19*H20</f>
        <v>4176.93843439716</v>
      </c>
      <c r="I21" s="0" t="n">
        <f aca="false">I19*I20</f>
        <v>4020.43460136237</v>
      </c>
      <c r="J21" s="0" t="n">
        <f aca="false">J19*J20</f>
        <v>3821.08224220912</v>
      </c>
      <c r="K21" s="0" t="n">
        <f aca="false">K19*K20</f>
        <v>3613.96210001355</v>
      </c>
      <c r="L21" s="0" t="n">
        <f aca="false">L19*L20</f>
        <v>3399.43466941914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41613.0507570498</v>
      </c>
    </row>
    <row r="31" customFormat="false" ht="15" hidden="false" customHeight="false" outlineLevel="0" collapsed="false">
      <c r="A31" s="0" t="s">
        <v>137</v>
      </c>
      <c r="B31" s="0" t="n">
        <f aca="false">L19</f>
        <v>8424.57286790318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133497.077752927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134793.165886451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133497.077752927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53867.9647615648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95481.0155186147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92276.0155186147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144.181274247835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0.528153410151939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957.480876120271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1115.2018099834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147.419840944872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72310.9171161689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73.7453826467477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62.0238034693381</v>
      </c>
      <c r="C4" s="0" t="n">
        <f aca="false">B4/Assumptions!$B$2-1</f>
        <v>-0.342619995025563</v>
      </c>
      <c r="D4" s="4" t="n">
        <f aca="false">Assumptions!$B$24</f>
        <v>0.25</v>
      </c>
      <c r="E4" s="4" t="n">
        <f aca="false">DCF_Bear!$B$43</f>
        <v>64.783961263598</v>
      </c>
      <c r="F4" s="4" t="n">
        <f aca="false">DCF_Bear!$B$47</f>
        <v>38.1799271621535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110.027627462632</v>
      </c>
      <c r="C5" s="0" t="n">
        <f aca="false">B5/Assumptions!$B$2-1</f>
        <v>0.166164573000871</v>
      </c>
      <c r="D5" s="4" t="n">
        <f aca="false">Assumptions!$B$38</f>
        <v>0.5</v>
      </c>
      <c r="E5" s="4" t="n">
        <f aca="false">DCF_Base!$B$43</f>
        <v>112.917841469386</v>
      </c>
      <c r="F5" s="4" t="n">
        <f aca="false">DCF_Base!$B$47</f>
        <v>60.1075063634404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144.181274247835</v>
      </c>
      <c r="C6" s="0" t="n">
        <f aca="false">B6/Assumptions!$B$2-1</f>
        <v>0.528153410151939</v>
      </c>
      <c r="D6" s="4" t="n">
        <f aca="false">Assumptions!$B$52</f>
        <v>0.25</v>
      </c>
      <c r="E6" s="4" t="n">
        <f aca="false">DCF_Bull!$B$43</f>
        <v>147.419840944872</v>
      </c>
      <c r="F6" s="4" t="n">
        <f aca="false">DCF_Bull!$B$47</f>
        <v>73.7453826467477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106.565083160609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109.509871286811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0.114625567759372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-414.803464192403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58.0350806339455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114.121292102184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110.027627462632</v>
      </c>
      <c r="C16" s="3" t="n">
        <v>9.5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104.764028719507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91.6102644739031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81.2349323245212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60.1075063634404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127.590327945453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127.590327945453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127.590327945453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127.590327945453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127.590327945453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118.406012549807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118.406012549807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118.406012549807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118.406012549807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118.406012549807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104.458901918005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108.330492058555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110.027627462632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110.027627462632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110.027627462632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91.8289598538298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94.6269472950802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97.7746831664868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101.342117154081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102.375220209312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81.7470844817505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83.8247244263706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86.1332132537262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88.7132890019473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91.6158742186959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2026-10-02T00:58:12Z</dcterms:created>
  <dc:creator>openpyxl</dc:creator>
  <dc:description/>
  <dc:language>en-NZ</dc:language>
  <cp:lastModifiedBy/>
  <dcterms:modified xsi:type="dcterms:W3CDTF">2026-10-02T00:58:12Z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