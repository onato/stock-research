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<sst xmlns="http://schemas.openxmlformats.org/spreadsheetml/2006/main" count="386" uniqueCount="173">
  <si>
    <t xml:space="preserve">Ticker</t>
  </si>
  <si>
    <t xml:space="preserve">MAA</t>
  </si>
  <si>
    <t xml:space="preserve">Company</t>
  </si>
  <si>
    <t xml:space="preserve">Mid-America Apartment Communities, Inc.</t>
  </si>
  <si>
    <t xml:space="preserve">Valuation date</t>
  </si>
  <si>
    <t xml:space="preserve">2026-10-02</t>
  </si>
  <si>
    <t xml:space="preserve">Current price</t>
  </si>
  <si>
    <t xml:space="preserve">Price as of</t>
  </si>
  <si>
    <t xml:space="preserve">2026-10-01T20:03:54Z regular close</t>
  </si>
  <si>
    <t xml:space="preserve">Balance sheet date</t>
  </si>
  <si>
    <t xml:space="preserve">2026-06-30</t>
  </si>
  <si>
    <t xml:space="preserve">Model</t>
  </si>
  <si>
    <t xml:space="preserve">REIT Core AFFO capitalisation at cost of equity (engine route)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</si>
  <si>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</si>
  <si>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</si>
  <si>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</si>
  <si>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</si>
  <si>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</si>
  <si>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</si>
  <si>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</si>
  <si>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</si>
  <si>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2026-10-02T00:39:23Z</t>
  </si>
  <si>
    <t xml:space="preserve">Drivers file</t>
  </si>
  <si>
    <t xml:space="preserve">MAA_Drivers.json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</si>
  <si>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</si>
  <si>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</si>
  <si>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</si>
  <si>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MAA is valued on the cash it can actually distribute - Core AFFO (Core FFO less recurring capex), after interest and preferred dividends - capitalised at a 9.0% USD cost of equity built off a 5.2% 10-year Treasury, with net debt NOT deducted a second time. Three explicit ten-year AFFO paths bracket the Sunbelt supply recovery and the refinancing headwind; the market price is read against where it sits between them. GAAP net income, EPS, P/E, EV/EBITDA and book equity are not used: depreciation of $620M+/yr and &gt;100% payout of GAAP earnings make them structurally uninformative for an apartment REIT.
key_risks_to_valuation: Cost of equity: every 50bp on the 9.0% discount rate moves base value roughly 8-9%; the 5.24% 10-year Treasury reading used is high by post-2009 standards and the valuation is cheaper if rates mean-revert (and dearer if they do not); Refinancing: $5.7B of debt at a 3.9% average coupon with 6.0 years average maturity re-prices toward 5-6% over the horizon; each 100bp on the full stack is ~$57M (~6%) of Core AFFO; Sunbelt supply timing: management has trimmed same-store revenue guidance twice in 2026; a slower-than-expected clearing of the 2023-2025 delivery overhang pushes the base path toward the bear path; Development execution: the $800M-$1B pipeline and $624M lease-up book carry lease-up, concession and cost risk; the model assumes stated yields are achieved; Share count: 2.93M OP units are treated as shares (redeemable 1:1); the Series I preferred and the $12.5M real-estate-entity NCI are immaterial but excluded from the bridge</t>
  </si>
  <si>
    <t xml:space="preserve">Data sources</t>
  </si>
  <si>
    <t xml:space="preserve">price: Yahoo Finance chart API at inputs.price_as_of (regular close, not after-hours); 52-week range 116.17-144.41, so the price sits at the bottom of its range
financials: SEC EDGAR: Form 10-Q for the quarter ended 2026-06-30 (accession 0001193125-26-326153) for the balance sheet, OP units and share repurchases; 8-K ex99.1 earnings releases for Q2-2026 (0001193125-26-323756), FY2025 (0001193125-26-037610), FY2023 (0000950170-24-012216) and FY2021 (0000950170-22-000683) for Core FFO, Core AFFO, recurring capex, net debt and guidance; SEC XBRL companyfacts (CIK 912595) for revenue, SBC, dividends and D&amp;A as carried in MAA_Metrics.csv
qualitative: research/MAA/Reports/MAA_Analysis.json (2026-10-02)</t>
  </si>
  <si>
    <t xml:space="preserve">Scenario narrative: bear</t>
  </si>
  <si>
    <t xml:space="preserve">Rates stay above 5% on the 10-year, debt rolls at 150-200bp above the in-place coupon, construction starts recover before the supply overhang clears, and new-lease pricing stays negative through 2027. Core AFFO/share troughs ~$7.05 and the stock is valued as a 2% grower at a 15x cap; the balance sheet (4.5x net debt/EBITDAre, 87% fixed, 6-year maturities) keeps this an earnings problem, not a solvency one.</t>
  </si>
  <si>
    <t xml:space="preserve">Scenario narrative: base</t>
  </si>
  <si>
    <t xml:space="preserve">A transitional 2026 (Core AFFO $7.50) followed by a measured Sunbelt recovery: deliveries fall below long-run averages for 2027-2029, same-store NOI returns to +3-4%, the lease-up pipeline adds ~$0.11/share, and refinancing at ~5% absorbs roughly half of that operating upside. Core AFFO/share compounds ~3.2%/yr over ten years and the dividend stays covered at ~75-80% of AFFO.</t>
  </si>
  <si>
    <t xml:space="preserve">Scenario narrative: bull</t>
  </si>
  <si>
    <t xml:space="preserve">The supply cliff and continued Sunbelt in-migration produce three years of mid-single-digit same-store NOI growth, development yields hold a 100bp+ spread to cap rates, and operating leverage takes the Core AFFO margin to 43%. Core AFFO/share reaches ~$9.55 by FY2030 and the market re-rates toward 18x.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</si>
  <si>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</si>
  <si>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</si>
  <si>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</si>
  <si>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</si>
  <si>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</si>
  <si>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</si>
  <si>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</si>
  <si>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</si>
  <si>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</si>
  <si>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</si>
  <si>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</si>
  <si>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</si>
  <si>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</si>
  <si>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</si>
  <si>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</si>
  <si>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</si>
  <si>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</si>
  <si>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</si>
  <si>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</si>
  <si>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</si>
  <si>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</si>
  <si>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</si>
  <si>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</si>
  <si>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</si>
  <si>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</si>
  <si>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</si>
  <si>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</si>
  <si>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</si>
  <si>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</si>
  <si>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</si>
  <si>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</si>
  <si>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</si>
  <si>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</si>
  <si>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</si>
  <si>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</si>
  <si>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</si>
  <si>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</si>
  <si>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</si>
  <si>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</si>
  <si>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</si>
  <si>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</si>
  <si>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</si>
  <si>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</si>
  <si>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</si>
  <si>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</si>
  <si>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</si>
  <si>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</si>
  <si>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</si>
  <si>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</si>
  <si>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</si>
  <si>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</si>
  <si>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</si>
  <si>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</si>
  <si>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</si>
  <si>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</si>
  <si>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</si>
  <si>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</si>
  <si>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</si>
  <si>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</si>
  <si>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</si>
  <si>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</si>
  <si>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</si>
  <si>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</si>
  <si>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</si>
  <si>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</si>
  <si>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</si>
  <si>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</si>
  <si>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</si>
  <si>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</si>
  <si>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</si>
  <si>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</si>
  <si>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</si>
  <si>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</si>
  <si>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</si>
  <si>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</si>
  <si>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</si>
  <si>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</si>
  <si>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</si>
  <si>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</si>
  <si>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</si>
  <si>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</si>
  <si>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</si>
  <si>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</si>
  <si>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MAA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</si>
  <si>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</si>
  <si>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</si>
  <si>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</si>
  <si>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</si>
  <si>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</si>
  <si>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</si>
  <si>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</si>
  <si>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</si>
  <si>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</si>
  <si>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</si>
  <si>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</si>
  <si>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</si>
  <si>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</si>
  <si>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</si>
  <si>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</si>
  <si>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</si>
  <si>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</si>
  <si>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</si>
  <si>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</si>
  <si>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</si>
  <si>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</si>
  <si>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</si>
  <si>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</si>
  <si>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</si>
  <si>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</si>
  <si>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</si>
  <si>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</si>
  <si>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</si>
  <si>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</si>
  <si>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</si>
  <si>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MAA owner-FCF component DCF: base case (millions, USD)</t>
  </si>
  <si>
    <t xml:space="preserve">MAA owner-FCF component DCF: bull case (millions, USD)</t>
  </si>
  <si>
    <t xml:space="preserve">MAA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</si>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</sst>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116.38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429.824</v>
      </c>
      <c r="S2" s="0" t="n">
        <v>17.192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370.011</v>
      </c>
      <c r="F3" s="0" t="n">
        <v>95.897</v>
      </c>
      <c r="G3" s="0" t="n">
        <v>25.9173375926662</v>
      </c>
      <c r="H3" s="0" t="n">
        <v>189.078</v>
      </c>
      <c r="I3" s="0" t="n">
        <v>32.071</v>
      </c>
      <c r="J3" s="0" t="n">
        <v>8.66758015302248</v>
      </c>
      <c r="K3" s="0" t="n">
        <v>0.64</v>
      </c>
      <c r="L3" s="0" t="n">
        <v>139.794</v>
      </c>
      <c r="O3" s="0" t="n">
        <v>442.617</v>
      </c>
      <c r="S3" s="0" t="n">
        <v>9.426</v>
      </c>
      <c r="T3" s="0" t="n">
        <v>27.084</v>
      </c>
      <c r="V3" s="0" t="n">
        <v>2.46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374.365</v>
      </c>
      <c r="F4" s="0" t="n">
        <v>92.235</v>
      </c>
      <c r="G4" s="0" t="n">
        <v>24.6377198723171</v>
      </c>
      <c r="H4" s="0" t="n">
        <v>190.628</v>
      </c>
      <c r="I4" s="0" t="n">
        <v>39.221</v>
      </c>
      <c r="J4" s="0" t="n">
        <v>10.4766738343595</v>
      </c>
      <c r="K4" s="0" t="n">
        <v>0.85</v>
      </c>
      <c r="L4" s="0" t="n">
        <v>140.285</v>
      </c>
      <c r="O4" s="0" t="n">
        <v>453.226</v>
      </c>
      <c r="P4" s="0" t="n">
        <v>1986.826</v>
      </c>
      <c r="Q4" s="0" t="n">
        <v>1530.798</v>
      </c>
      <c r="S4" s="0" t="n">
        <v>13.819</v>
      </c>
      <c r="T4" s="0" t="n">
        <v>28.417</v>
      </c>
      <c r="U4" s="0" t="n">
        <v>1.328</v>
      </c>
      <c r="V4" s="0" t="n">
        <v>2.46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380.138</v>
      </c>
      <c r="F5" s="0" t="n">
        <v>85.265</v>
      </c>
      <c r="G5" s="0" t="n">
        <v>22.4300122587061</v>
      </c>
      <c r="H5" s="0" t="n">
        <v>191.957</v>
      </c>
      <c r="I5" s="0" t="n">
        <v>30.875</v>
      </c>
      <c r="J5" s="0" t="n">
        <v>8.12205041327097</v>
      </c>
      <c r="K5" s="0" t="n">
        <v>0.57</v>
      </c>
      <c r="L5" s="0" t="n">
        <v>133.794</v>
      </c>
      <c r="O5" s="0" t="n">
        <v>540.628</v>
      </c>
      <c r="P5" s="0" t="n">
        <v>2176.048</v>
      </c>
      <c r="Q5" s="0" t="n">
        <v>1631.656</v>
      </c>
      <c r="S5" s="0" t="n">
        <v>45.942</v>
      </c>
      <c r="T5" s="0" t="n">
        <v>34.871399</v>
      </c>
      <c r="U5" s="0" t="n">
        <v>3.013</v>
      </c>
      <c r="V5" s="0" t="n">
        <v>2.4725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430.806</v>
      </c>
      <c r="F6" s="0" t="n">
        <v>95.217</v>
      </c>
      <c r="G6" s="0" t="n">
        <v>22.1020598598905</v>
      </c>
      <c r="H6" s="0" t="n">
        <v>214.546</v>
      </c>
      <c r="I6" s="0" t="n">
        <v>51.231</v>
      </c>
      <c r="J6" s="0" t="n">
        <v>11.8918956560494</v>
      </c>
      <c r="K6" s="0" t="n">
        <v>1.32</v>
      </c>
      <c r="L6" s="0" t="n">
        <v>172.288</v>
      </c>
      <c r="O6" s="0" t="n">
        <v>743.462</v>
      </c>
      <c r="P6" s="0" t="n">
        <v>2530.468</v>
      </c>
      <c r="Q6" s="0" t="n">
        <v>1782.969</v>
      </c>
      <c r="S6" s="0" t="n">
        <v>57.317</v>
      </c>
      <c r="T6" s="0" t="n">
        <v>39.087</v>
      </c>
      <c r="U6" s="0" t="n">
        <v>5.519</v>
      </c>
      <c r="V6" s="0" t="n">
        <v>2.5425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497.165</v>
      </c>
      <c r="F7" s="0" t="n">
        <v>130.276</v>
      </c>
      <c r="G7" s="0" t="n">
        <v>26.2037754065552</v>
      </c>
      <c r="H7" s="0" t="n">
        <v>262.471</v>
      </c>
      <c r="I7" s="0" t="n">
        <v>109.825</v>
      </c>
      <c r="J7" s="0" t="n">
        <v>22.0902517272938</v>
      </c>
      <c r="K7" s="0" t="n">
        <v>2.56</v>
      </c>
      <c r="L7" s="0" t="n">
        <v>210.967</v>
      </c>
      <c r="O7" s="0" t="n">
        <v>945.11</v>
      </c>
      <c r="P7" s="0" t="n">
        <v>2751.068</v>
      </c>
      <c r="Q7" s="0" t="n">
        <v>1801.245</v>
      </c>
      <c r="S7" s="0" t="n">
        <v>9.075</v>
      </c>
      <c r="T7" s="0" t="n">
        <v>42.316398</v>
      </c>
      <c r="U7" s="0" t="n">
        <v>2.214</v>
      </c>
      <c r="V7" s="0" t="n">
        <v>2.675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P8" s="0" t="n">
        <v>6841.925</v>
      </c>
      <c r="T8" s="0" t="n">
        <v>74.830726</v>
      </c>
      <c r="U8" s="0" t="n">
        <v>2.7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T9" s="0" t="n">
        <v>75.267675</v>
      </c>
      <c r="U9" s="0" t="n">
        <v>5.2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T10" s="0" t="n">
        <v>75.408571</v>
      </c>
      <c r="U10" s="0" t="n">
        <v>6.9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O11" s="0" t="n">
        <v>6642.101</v>
      </c>
      <c r="T11" s="0" t="n">
        <v>113.518212</v>
      </c>
      <c r="U11" s="0" t="n">
        <v>12.2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1528.987</v>
      </c>
      <c r="I12" s="0" t="n">
        <v>340.536</v>
      </c>
      <c r="J12" s="0" t="n">
        <v>22.2720010045867</v>
      </c>
      <c r="K12" s="0" t="n">
        <v>2.86</v>
      </c>
      <c r="L12" s="0" t="n">
        <v>660.8</v>
      </c>
      <c r="O12" s="0" t="n">
        <v>6573.894</v>
      </c>
      <c r="S12" s="0" t="n">
        <v>10.75</v>
      </c>
      <c r="T12" s="0" t="n">
        <v>113.687</v>
      </c>
      <c r="U12" s="0" t="n">
        <v>10.8</v>
      </c>
      <c r="V12" s="0" t="n">
        <v>3.5325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1571.346</v>
      </c>
      <c r="I13" s="0" t="n">
        <v>231.022</v>
      </c>
      <c r="J13" s="0" t="n">
        <v>14.7021725323385</v>
      </c>
      <c r="K13" s="0" t="n">
        <v>1.93</v>
      </c>
      <c r="L13" s="0" t="n">
        <v>734.292</v>
      </c>
      <c r="O13" s="0" t="n">
        <v>6372.189</v>
      </c>
      <c r="P13" s="0" t="n">
        <v>11323.781</v>
      </c>
      <c r="Q13" s="0" t="n">
        <v>4942.178</v>
      </c>
      <c r="S13" s="0" t="n">
        <v>34.259</v>
      </c>
      <c r="T13" s="0" t="n">
        <v>113.844267</v>
      </c>
      <c r="U13" s="0" t="n">
        <v>12.9</v>
      </c>
      <c r="V13" s="0" t="n">
        <v>3.7275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1641.017</v>
      </c>
      <c r="I14" s="0" t="n">
        <v>366.618</v>
      </c>
      <c r="J14" s="0" t="n">
        <v>22.3409020138122</v>
      </c>
      <c r="K14" s="0" t="n">
        <v>3.07</v>
      </c>
      <c r="L14" s="0" t="n">
        <v>781.42</v>
      </c>
      <c r="O14" s="0" t="n">
        <v>6289.459</v>
      </c>
      <c r="P14" s="0" t="n">
        <v>11230.45</v>
      </c>
      <c r="Q14" s="0" t="n">
        <v>4926.86</v>
      </c>
      <c r="S14" s="0" t="n">
        <v>20.476</v>
      </c>
      <c r="T14" s="0" t="n">
        <v>114.246393</v>
      </c>
      <c r="U14" s="0" t="n">
        <v>14.7</v>
      </c>
      <c r="V14" s="0" t="n">
        <v>3.88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1677.984</v>
      </c>
      <c r="I15" s="0" t="n">
        <v>264.015</v>
      </c>
      <c r="J15" s="0" t="n">
        <v>15.7340594427599</v>
      </c>
      <c r="K15" s="0" t="n">
        <v>2.2</v>
      </c>
      <c r="L15" s="0" t="n">
        <v>823.949</v>
      </c>
      <c r="O15" s="0" t="n">
        <v>6088.408</v>
      </c>
      <c r="P15" s="0" t="n">
        <v>11194.791</v>
      </c>
      <c r="Q15" s="0" t="n">
        <v>5090.986</v>
      </c>
      <c r="S15" s="0" t="n">
        <v>25.198</v>
      </c>
      <c r="T15" s="0" t="n">
        <v>114.5</v>
      </c>
      <c r="U15" s="0" t="n">
        <v>16</v>
      </c>
      <c r="V15" s="0" t="n">
        <v>4.025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1778.082</v>
      </c>
      <c r="I16" s="0" t="n">
        <v>550.702</v>
      </c>
      <c r="J16" s="0" t="n">
        <v>30.9716874699817</v>
      </c>
      <c r="K16" s="0" t="n">
        <v>4.62</v>
      </c>
      <c r="L16" s="0" t="n">
        <v>894.967</v>
      </c>
      <c r="O16" s="0" t="n">
        <v>6153.907</v>
      </c>
      <c r="P16" s="0" t="n">
        <v>11285.182</v>
      </c>
      <c r="Q16" s="0" t="n">
        <v>5101.09</v>
      </c>
      <c r="S16" s="0" t="n">
        <v>54.302</v>
      </c>
      <c r="T16" s="0" t="n">
        <v>115.336876</v>
      </c>
      <c r="U16" s="0" t="n">
        <v>18.2</v>
      </c>
      <c r="V16" s="0" t="n">
        <v>4.1625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2019.866</v>
      </c>
      <c r="I17" s="0" t="n">
        <v>654.776</v>
      </c>
      <c r="J17" s="0" t="n">
        <v>32.4168038869905</v>
      </c>
      <c r="K17" s="0" t="n">
        <v>5.49</v>
      </c>
      <c r="L17" s="0" t="n">
        <v>1058.479</v>
      </c>
      <c r="O17" s="0" t="n">
        <v>6189.748</v>
      </c>
      <c r="P17" s="0" t="n">
        <v>11241.165</v>
      </c>
      <c r="Q17" s="0" t="n">
        <v>5030.746</v>
      </c>
      <c r="S17" s="0" t="n">
        <v>38.659</v>
      </c>
      <c r="T17" s="0" t="n">
        <v>115.583</v>
      </c>
      <c r="U17" s="0" t="n">
        <v>20.1</v>
      </c>
      <c r="V17" s="0" t="n">
        <v>4.9875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2148.468</v>
      </c>
      <c r="I18" s="0" t="n">
        <v>567.831</v>
      </c>
      <c r="J18" s="0" t="n">
        <v>26.4295767961171</v>
      </c>
      <c r="K18" s="0" t="n">
        <v>4.71</v>
      </c>
      <c r="L18" s="0" t="n">
        <v>1137.187</v>
      </c>
      <c r="O18" s="0" t="n">
        <v>6279.955</v>
      </c>
      <c r="P18" s="0" t="n">
        <v>11484.503</v>
      </c>
      <c r="Q18" s="0" t="n">
        <v>5185.381</v>
      </c>
      <c r="S18" s="0" t="n">
        <v>41.314</v>
      </c>
      <c r="T18" s="0" t="n">
        <v>116.694124</v>
      </c>
      <c r="U18" s="0" t="n">
        <v>18.3</v>
      </c>
      <c r="V18" s="0" t="n">
        <v>5.67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2191.015</v>
      </c>
      <c r="I19" s="0" t="n">
        <v>541.576</v>
      </c>
      <c r="J19" s="0" t="n">
        <v>24.7180416382362</v>
      </c>
      <c r="K19" s="0" t="n">
        <v>4.49</v>
      </c>
      <c r="L19" s="0" t="n">
        <v>1098.292</v>
      </c>
      <c r="O19" s="0" t="n">
        <v>6125.434</v>
      </c>
      <c r="P19" s="0" t="n">
        <v>11812.369</v>
      </c>
      <c r="Q19" s="0" t="n">
        <v>5664.705</v>
      </c>
      <c r="S19" s="0" t="n">
        <v>43.018</v>
      </c>
      <c r="T19" s="0" t="n">
        <v>116.883421</v>
      </c>
      <c r="U19" s="0" t="n">
        <v>17.7</v>
      </c>
      <c r="V19" s="0" t="n">
        <v>5.925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2209.126</v>
      </c>
      <c r="I20" s="0" t="n">
        <v>456.566</v>
      </c>
      <c r="J20" s="0" t="n">
        <v>20.667268412938</v>
      </c>
      <c r="K20" s="0" t="n">
        <v>3.79</v>
      </c>
      <c r="L20" s="0" t="n">
        <v>1078.175</v>
      </c>
      <c r="O20" s="0" t="n">
        <v>5819.243</v>
      </c>
      <c r="P20" s="0" t="n">
        <v>11975.383</v>
      </c>
      <c r="Q20" s="0" t="n">
        <v>6135.738</v>
      </c>
      <c r="S20" s="0" t="n">
        <v>60.258</v>
      </c>
      <c r="T20" s="0" t="n">
        <v>117.149</v>
      </c>
      <c r="U20" s="0" t="n">
        <v>18.3</v>
      </c>
      <c r="V20" s="0" t="n">
        <v>6.075</v>
      </c>
      <c r="AA20" s="0" t="s">
        <v>17</v>
      </c>
      <c r="AB20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82</v>
      </c>
      <c r="B1" s="2" t="s">
        <v>83</v>
      </c>
    </row>
    <row r="2" customFormat="false" ht="15" hidden="false" customHeight="false" outlineLevel="0" collapsed="false">
      <c r="A2" s="0" t="s">
        <v>84</v>
      </c>
      <c r="B2" s="3" t="n">
        <v>116.38</v>
      </c>
    </row>
    <row r="3" customFormat="false" ht="15" hidden="false" customHeight="false" outlineLevel="0" collapsed="false">
      <c r="A3" s="0" t="s">
        <v>85</v>
      </c>
      <c r="B3" s="3" t="n">
        <v>118.945</v>
      </c>
    </row>
    <row r="4" customFormat="false" ht="15" hidden="false" customHeight="false" outlineLevel="0" collapsed="false">
      <c r="A4" s="0" t="s">
        <v>86</v>
      </c>
      <c r="B4" s="3" t="n">
        <v>0</v>
      </c>
    </row>
    <row r="5" customFormat="false" ht="15" hidden="false" customHeight="false" outlineLevel="0" collapsed="false">
      <c r="A5" s="0" t="s">
        <v>87</v>
      </c>
      <c r="B5" s="3" t="n">
        <v>0</v>
      </c>
    </row>
    <row r="6" customFormat="false" ht="15" hidden="false" customHeight="false" outlineLevel="0" collapsed="false">
      <c r="A6" s="0" t="s">
        <v>88</v>
      </c>
      <c r="B6" s="3" t="n">
        <v>15</v>
      </c>
    </row>
    <row r="7" customFormat="false" ht="15" hidden="false" customHeight="false" outlineLevel="0" collapsed="false">
      <c r="A7" s="0" t="s">
        <v>89</v>
      </c>
      <c r="B7" s="3" t="n">
        <v>2209.126</v>
      </c>
    </row>
    <row r="8" customFormat="false" ht="15" hidden="false" customHeight="false" outlineLevel="0" collapsed="false">
      <c r="A8" s="0" t="s">
        <v>90</v>
      </c>
      <c r="B8" s="3" t="s">
        <v>81</v>
      </c>
    </row>
    <row r="9" customFormat="false" ht="15" hidden="false" customHeight="false" outlineLevel="0" collapsed="false">
      <c r="A9" s="0" t="s">
        <v>91</v>
      </c>
      <c r="B9" s="3" t="s">
        <v>92</v>
      </c>
    </row>
    <row r="10" customFormat="false" ht="15" hidden="false" customHeight="false" outlineLevel="0" collapsed="false">
      <c r="A10" s="0" t="s">
        <v>93</v>
      </c>
      <c r="B10" s="3" t="n">
        <v>1</v>
      </c>
    </row>
    <row r="12" customFormat="false" ht="15" hidden="false" customHeight="false" outlineLevel="0" collapsed="false">
      <c r="A12" s="2" t="s">
        <v>94</v>
      </c>
      <c r="C12" s="2" t="s">
        <v>95</v>
      </c>
      <c r="D12" s="2" t="s">
        <v>96</v>
      </c>
      <c r="E12" s="2" t="s">
        <v>97</v>
      </c>
      <c r="F12" s="2" t="s">
        <v>98</v>
      </c>
      <c r="G12" s="2" t="s">
        <v>99</v>
      </c>
      <c r="H12" s="2" t="s">
        <v>100</v>
      </c>
      <c r="I12" s="2" t="s">
        <v>101</v>
      </c>
      <c r="J12" s="2" t="s">
        <v>102</v>
      </c>
      <c r="K12" s="2" t="s">
        <v>103</v>
      </c>
      <c r="L12" s="2" t="s">
        <v>104</v>
      </c>
    </row>
    <row r="13" customFormat="false" ht="15" hidden="false" customHeight="false" outlineLevel="0" collapsed="false">
      <c r="A13" s="0" t="s">
        <v>105</v>
      </c>
      <c r="C13" s="3" t="n">
        <v>0.3</v>
      </c>
      <c r="D13" s="3" t="n">
        <v>0.5</v>
      </c>
      <c r="E13" s="3" t="n">
        <v>1.5</v>
      </c>
      <c r="F13" s="3" t="n">
        <v>2</v>
      </c>
      <c r="G13" s="3" t="n">
        <v>2.5</v>
      </c>
      <c r="H13" s="3" t="n">
        <v>2.5</v>
      </c>
      <c r="I13" s="3" t="n">
        <v>2.5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106</v>
      </c>
      <c r="C14" s="3" t="n">
        <v>40</v>
      </c>
      <c r="D14" s="3" t="n">
        <v>39.2</v>
      </c>
      <c r="E14" s="3" t="n">
        <v>38.5</v>
      </c>
      <c r="F14" s="3" t="n">
        <v>38.2</v>
      </c>
      <c r="G14" s="3" t="n">
        <v>38</v>
      </c>
      <c r="H14" s="3" t="n">
        <v>38</v>
      </c>
      <c r="I14" s="3" t="n">
        <v>38</v>
      </c>
      <c r="J14" s="3" t="n">
        <v>38</v>
      </c>
      <c r="K14" s="3" t="n">
        <v>38</v>
      </c>
      <c r="L14" s="3" t="n">
        <v>38</v>
      </c>
    </row>
    <row r="15" customFormat="false" ht="15" hidden="false" customHeight="false" outlineLevel="0" collapsed="false">
      <c r="A15" s="0" t="s">
        <v>107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108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109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</row>
    <row r="18" customFormat="false" ht="15" hidden="false" customHeight="false" outlineLevel="0" collapsed="false">
      <c r="A18" s="0" t="s">
        <v>110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</row>
    <row r="19" customFormat="false" ht="15" hidden="false" customHeight="false" outlineLevel="0" collapsed="false">
      <c r="A19" s="0" t="s">
        <v>111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</row>
    <row r="20" customFormat="false" ht="15" hidden="false" customHeight="false" outlineLevel="0" collapsed="false">
      <c r="A20" s="0" t="s">
        <v>112</v>
      </c>
      <c r="B20" s="3" t="n">
        <v>9</v>
      </c>
    </row>
    <row r="21" customFormat="false" ht="15" hidden="false" customHeight="false" outlineLevel="0" collapsed="false">
      <c r="A21" s="0" t="s">
        <v>113</v>
      </c>
      <c r="B21" s="3" t="n">
        <v>2</v>
      </c>
    </row>
    <row r="22" customFormat="false" ht="15" hidden="false" customHeight="false" outlineLevel="0" collapsed="false">
      <c r="A22" s="0" t="s">
        <v>114</v>
      </c>
      <c r="B22" s="3" t="n">
        <v>15</v>
      </c>
    </row>
    <row r="23" customFormat="false" ht="15" hidden="false" customHeight="false" outlineLevel="0" collapsed="false">
      <c r="A23" s="0" t="s">
        <v>115</v>
      </c>
      <c r="B23" s="3" t="n">
        <v>0</v>
      </c>
    </row>
    <row r="24" customFormat="false" ht="15" hidden="false" customHeight="false" outlineLevel="0" collapsed="false">
      <c r="A24" s="0" t="s">
        <v>116</v>
      </c>
      <c r="B24" s="3" t="n">
        <v>0.25</v>
      </c>
    </row>
    <row r="26" customFormat="false" ht="15" hidden="false" customHeight="false" outlineLevel="0" collapsed="false">
      <c r="A26" s="2" t="s">
        <v>117</v>
      </c>
      <c r="C26" s="2" t="s">
        <v>95</v>
      </c>
      <c r="D26" s="2" t="s">
        <v>96</v>
      </c>
      <c r="E26" s="2" t="s">
        <v>97</v>
      </c>
      <c r="F26" s="2" t="s">
        <v>98</v>
      </c>
      <c r="G26" s="2" t="s">
        <v>99</v>
      </c>
      <c r="H26" s="2" t="s">
        <v>100</v>
      </c>
      <c r="I26" s="2" t="s">
        <v>101</v>
      </c>
      <c r="J26" s="2" t="s">
        <v>102</v>
      </c>
      <c r="K26" s="2" t="s">
        <v>103</v>
      </c>
      <c r="L26" s="2" t="s">
        <v>104</v>
      </c>
    </row>
    <row r="27" customFormat="false" ht="15" hidden="false" customHeight="false" outlineLevel="0" collapsed="false">
      <c r="A27" s="0" t="s">
        <v>105</v>
      </c>
      <c r="C27" s="3" t="n">
        <v>0.7</v>
      </c>
      <c r="D27" s="3" t="n">
        <v>2.5</v>
      </c>
      <c r="E27" s="3" t="n">
        <v>3.5</v>
      </c>
      <c r="F27" s="3" t="n">
        <v>4</v>
      </c>
      <c r="G27" s="3" t="n">
        <v>3.5</v>
      </c>
      <c r="H27" s="3" t="n">
        <v>3</v>
      </c>
      <c r="I27" s="3" t="n">
        <v>3</v>
      </c>
      <c r="J27" s="3" t="n">
        <v>2.75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106</v>
      </c>
      <c r="C28" s="3" t="n">
        <v>40.2</v>
      </c>
      <c r="D28" s="3" t="n">
        <v>40.4</v>
      </c>
      <c r="E28" s="3" t="n">
        <v>40.8</v>
      </c>
      <c r="F28" s="3" t="n">
        <v>41</v>
      </c>
      <c r="G28" s="3" t="n">
        <v>41</v>
      </c>
      <c r="H28" s="3" t="n">
        <v>41</v>
      </c>
      <c r="I28" s="3" t="n">
        <v>41</v>
      </c>
      <c r="J28" s="3" t="n">
        <v>41</v>
      </c>
      <c r="K28" s="3" t="n">
        <v>41</v>
      </c>
      <c r="L28" s="3" t="n">
        <v>41</v>
      </c>
    </row>
    <row r="29" customFormat="false" ht="15" hidden="false" customHeight="false" outlineLevel="0" collapsed="false">
      <c r="A29" s="0" t="s">
        <v>107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108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109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</row>
    <row r="32" customFormat="false" ht="15" hidden="false" customHeight="false" outlineLevel="0" collapsed="false">
      <c r="A32" s="0" t="s">
        <v>110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</row>
    <row r="33" customFormat="false" ht="15" hidden="false" customHeight="false" outlineLevel="0" collapsed="false">
      <c r="A33" s="0" t="s">
        <v>111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</row>
    <row r="34" customFormat="false" ht="15" hidden="false" customHeight="false" outlineLevel="0" collapsed="false">
      <c r="A34" s="0" t="s">
        <v>112</v>
      </c>
      <c r="B34" s="3" t="n">
        <v>9</v>
      </c>
    </row>
    <row r="35" customFormat="false" ht="15" hidden="false" customHeight="false" outlineLevel="0" collapsed="false">
      <c r="A35" s="0" t="s">
        <v>113</v>
      </c>
      <c r="B35" s="3" t="n">
        <v>2.5</v>
      </c>
    </row>
    <row r="36" customFormat="false" ht="15" hidden="false" customHeight="false" outlineLevel="0" collapsed="false">
      <c r="A36" s="0" t="s">
        <v>114</v>
      </c>
      <c r="B36" s="3" t="n">
        <v>18</v>
      </c>
    </row>
    <row r="37" customFormat="false" ht="15" hidden="false" customHeight="false" outlineLevel="0" collapsed="false">
      <c r="A37" s="0" t="s">
        <v>115</v>
      </c>
      <c r="B37" s="3" t="n">
        <v>0</v>
      </c>
    </row>
    <row r="38" customFormat="false" ht="15" hidden="false" customHeight="false" outlineLevel="0" collapsed="false">
      <c r="A38" s="0" t="s">
        <v>116</v>
      </c>
      <c r="B38" s="3" t="n">
        <v>0.5</v>
      </c>
    </row>
    <row r="40" customFormat="false" ht="15" hidden="false" customHeight="false" outlineLevel="0" collapsed="false">
      <c r="A40" s="2" t="s">
        <v>118</v>
      </c>
      <c r="C40" s="2" t="s">
        <v>95</v>
      </c>
      <c r="D40" s="2" t="s">
        <v>96</v>
      </c>
      <c r="E40" s="2" t="s">
        <v>97</v>
      </c>
      <c r="F40" s="2" t="s">
        <v>98</v>
      </c>
      <c r="G40" s="2" t="s">
        <v>99</v>
      </c>
      <c r="H40" s="2" t="s">
        <v>100</v>
      </c>
      <c r="I40" s="2" t="s">
        <v>101</v>
      </c>
      <c r="J40" s="2" t="s">
        <v>102</v>
      </c>
      <c r="K40" s="2" t="s">
        <v>103</v>
      </c>
      <c r="L40" s="2" t="s">
        <v>104</v>
      </c>
    </row>
    <row r="41" customFormat="false" ht="15" hidden="false" customHeight="false" outlineLevel="0" collapsed="false">
      <c r="A41" s="0" t="s">
        <v>105</v>
      </c>
      <c r="C41" s="3" t="n">
        <v>1</v>
      </c>
      <c r="D41" s="3" t="n">
        <v>4</v>
      </c>
      <c r="E41" s="3" t="n">
        <v>5.5</v>
      </c>
      <c r="F41" s="3" t="n">
        <v>5</v>
      </c>
      <c r="G41" s="3" t="n">
        <v>4.5</v>
      </c>
      <c r="H41" s="3" t="n">
        <v>4</v>
      </c>
      <c r="I41" s="3" t="n">
        <v>3.5</v>
      </c>
      <c r="J41" s="3" t="n">
        <v>3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106</v>
      </c>
      <c r="C42" s="3" t="n">
        <v>40.4</v>
      </c>
      <c r="D42" s="3" t="n">
        <v>41</v>
      </c>
      <c r="E42" s="3" t="n">
        <v>41.8</v>
      </c>
      <c r="F42" s="3" t="n">
        <v>42.3</v>
      </c>
      <c r="G42" s="3" t="n">
        <v>42.6</v>
      </c>
      <c r="H42" s="3" t="n">
        <v>42.8</v>
      </c>
      <c r="I42" s="3" t="n">
        <v>43</v>
      </c>
      <c r="J42" s="3" t="n">
        <v>43</v>
      </c>
      <c r="K42" s="3" t="n">
        <v>43</v>
      </c>
      <c r="L42" s="3" t="n">
        <v>43</v>
      </c>
    </row>
    <row r="43" customFormat="false" ht="15" hidden="false" customHeight="false" outlineLevel="0" collapsed="false">
      <c r="A43" s="0" t="s">
        <v>107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108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109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 customFormat="false" ht="15" hidden="false" customHeight="false" outlineLevel="0" collapsed="false">
      <c r="A46" s="0" t="s">
        <v>110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</row>
    <row r="47" customFormat="false" ht="15" hidden="false" customHeight="false" outlineLevel="0" collapsed="false">
      <c r="A47" s="0" t="s">
        <v>111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</row>
    <row r="48" customFormat="false" ht="15" hidden="false" customHeight="false" outlineLevel="0" collapsed="false">
      <c r="A48" s="0" t="s">
        <v>112</v>
      </c>
      <c r="B48" s="3" t="n">
        <v>9</v>
      </c>
    </row>
    <row r="49" customFormat="false" ht="15" hidden="false" customHeight="false" outlineLevel="0" collapsed="false">
      <c r="A49" s="0" t="s">
        <v>113</v>
      </c>
      <c r="B49" s="3" t="n">
        <v>3</v>
      </c>
    </row>
    <row r="50" customFormat="false" ht="15" hidden="false" customHeight="false" outlineLevel="0" collapsed="false">
      <c r="A50" s="0" t="s">
        <v>114</v>
      </c>
      <c r="B50" s="3" t="n">
        <v>20</v>
      </c>
    </row>
    <row r="51" customFormat="false" ht="15" hidden="false" customHeight="false" outlineLevel="0" collapsed="false">
      <c r="A51" s="0" t="s">
        <v>115</v>
      </c>
      <c r="B51" s="3" t="n">
        <v>0</v>
      </c>
    </row>
    <row r="52" customFormat="false" ht="15" hidden="false" customHeight="false" outlineLevel="0" collapsed="false">
      <c r="A52" s="0" t="s">
        <v>116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119</v>
      </c>
    </row>
    <row r="3" customFormat="false" ht="15" hidden="false" customHeight="false" outlineLevel="0" collapsed="false">
      <c r="A3" s="0" t="s">
        <v>120</v>
      </c>
      <c r="B3" s="0" t="s">
        <v>81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Assumptions!C13</f>
        <v>0.3</v>
      </c>
      <c r="D5" s="4" t="n">
        <f aca="false">Assumptions!D13</f>
        <v>0.5</v>
      </c>
      <c r="E5" s="4" t="n">
        <f aca="false">Assumptions!E13</f>
        <v>1.5</v>
      </c>
      <c r="F5" s="4" t="n">
        <f aca="false">Assumptions!F13</f>
        <v>2</v>
      </c>
      <c r="G5" s="4" t="n">
        <f aca="false">Assumptions!G13</f>
        <v>2.5</v>
      </c>
      <c r="H5" s="4" t="n">
        <f aca="false">Assumptions!H13</f>
        <v>2.5</v>
      </c>
      <c r="I5" s="4" t="n">
        <f aca="false">Assumptions!I13</f>
        <v>2.5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2209.126</v>
      </c>
      <c r="C6" s="0" t="n">
        <f aca="false">B6*(1+C5/100)</f>
        <v>2215.753378</v>
      </c>
      <c r="D6" s="0" t="n">
        <f aca="false">C6*(1+D5/100)</f>
        <v>2226.83214489</v>
      </c>
      <c r="E6" s="0" t="n">
        <f aca="false">D6*(1+E5/100)</f>
        <v>2260.23462706335</v>
      </c>
      <c r="F6" s="0" t="n">
        <f aca="false">E6*(1+F5/100)</f>
        <v>2305.43931960462</v>
      </c>
      <c r="G6" s="0" t="n">
        <f aca="false">F6*(1+G5/100)</f>
        <v>2363.07530259473</v>
      </c>
      <c r="H6" s="0" t="n">
        <f aca="false">G6*(1+H5/100)</f>
        <v>2422.1521851596</v>
      </c>
      <c r="I6" s="0" t="n">
        <f aca="false">H6*(1+I5/100)</f>
        <v>2482.70598978859</v>
      </c>
      <c r="J6" s="0" t="n">
        <f aca="false">I6*(1+J5/100)</f>
        <v>2532.36010958436</v>
      </c>
      <c r="K6" s="0" t="n">
        <f aca="false">J6*(1+K5/100)</f>
        <v>2583.00731177605</v>
      </c>
      <c r="L6" s="0" t="n">
        <f aca="false">K6*(1+L5/100)</f>
        <v>2634.66745801157</v>
      </c>
    </row>
    <row r="7" customFormat="false" ht="15" hidden="false" customHeight="false" outlineLevel="0" collapsed="false">
      <c r="A7" s="0" t="s">
        <v>106</v>
      </c>
      <c r="C7" s="4" t="n">
        <f aca="false">Assumptions!C14</f>
        <v>40</v>
      </c>
      <c r="D7" s="4" t="n">
        <f aca="false">Assumptions!D14</f>
        <v>39.2</v>
      </c>
      <c r="E7" s="4" t="n">
        <f aca="false">Assumptions!E14</f>
        <v>38.5</v>
      </c>
      <c r="F7" s="4" t="n">
        <f aca="false">Assumptions!F14</f>
        <v>38.2</v>
      </c>
      <c r="G7" s="4" t="n">
        <f aca="false">Assumptions!G14</f>
        <v>38</v>
      </c>
      <c r="H7" s="4" t="n">
        <f aca="false">Assumptions!H14</f>
        <v>38</v>
      </c>
      <c r="I7" s="4" t="n">
        <f aca="false">Assumptions!I14</f>
        <v>38</v>
      </c>
      <c r="J7" s="4" t="n">
        <f aca="false">Assumptions!J14</f>
        <v>38</v>
      </c>
      <c r="K7" s="4" t="n">
        <f aca="false">Assumptions!K14</f>
        <v>38</v>
      </c>
      <c r="L7" s="4" t="n">
        <f aca="false">Assumptions!L14</f>
        <v>38</v>
      </c>
    </row>
    <row r="8" customFormat="false" ht="15" hidden="false" customHeight="false" outlineLevel="0" collapsed="false">
      <c r="A8" s="0" t="s">
        <v>43</v>
      </c>
      <c r="C8" s="0" t="n">
        <f aca="false">C6*C7/100</f>
        <v>886.3013512</v>
      </c>
      <c r="D8" s="0" t="n">
        <f aca="false">D6*D7/100</f>
        <v>872.91820079688</v>
      </c>
      <c r="E8" s="0" t="n">
        <f aca="false">E6*E7/100</f>
        <v>870.19033141939</v>
      </c>
      <c r="F8" s="0" t="n">
        <f aca="false">F6*F7/100</f>
        <v>880.677820088964</v>
      </c>
      <c r="G8" s="0" t="n">
        <f aca="false">G6*G7/100</f>
        <v>897.968614985998</v>
      </c>
      <c r="H8" s="0" t="n">
        <f aca="false">H6*H7/100</f>
        <v>920.417830360648</v>
      </c>
      <c r="I8" s="0" t="n">
        <f aca="false">I6*I7/100</f>
        <v>943.428276119664</v>
      </c>
      <c r="J8" s="0" t="n">
        <f aca="false">J6*J7/100</f>
        <v>962.296841642057</v>
      </c>
      <c r="K8" s="0" t="n">
        <f aca="false">K6*K7/100</f>
        <v>981.542778474898</v>
      </c>
      <c r="L8" s="0" t="n">
        <f aca="false">L6*L7/100</f>
        <v>1001.1736340444</v>
      </c>
    </row>
    <row r="9" customFormat="false" ht="15" hidden="false" customHeight="false" outlineLevel="0" collapsed="false">
      <c r="A9" s="0" t="s">
        <v>107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886.3013512</v>
      </c>
      <c r="D11" s="0" t="n">
        <f aca="false">D8+D10+D24</f>
        <v>872.91820079688</v>
      </c>
      <c r="E11" s="0" t="n">
        <f aca="false">E8+E10+E24</f>
        <v>870.19033141939</v>
      </c>
      <c r="F11" s="0" t="n">
        <f aca="false">F8+F10+F24</f>
        <v>880.677820088964</v>
      </c>
      <c r="G11" s="0" t="n">
        <f aca="false">G8+G10+G24</f>
        <v>897.968614985998</v>
      </c>
      <c r="H11" s="0" t="n">
        <f aca="false">H8+H10+H24</f>
        <v>920.417830360648</v>
      </c>
      <c r="I11" s="0" t="n">
        <f aca="false">I8+I10+I24</f>
        <v>943.428276119664</v>
      </c>
      <c r="J11" s="0" t="n">
        <f aca="false">J8+J10+J24</f>
        <v>962.296841642057</v>
      </c>
      <c r="K11" s="0" t="n">
        <f aca="false">K8+K10+K24</f>
        <v>981.542778474898</v>
      </c>
      <c r="L11" s="0" t="n">
        <f aca="false">L8+L10+L24</f>
        <v>1001.1736340444</v>
      </c>
    </row>
    <row r="12" customFormat="false" ht="15" hidden="false" customHeight="false" outlineLevel="0" collapsed="false">
      <c r="A12" s="0" t="s">
        <v>124</v>
      </c>
      <c r="C12" s="4" t="n">
        <f aca="false">-C6*Assumptions!C17/100</f>
        <v>-0</v>
      </c>
      <c r="D12" s="4" t="n">
        <f aca="false">-D6*Assumptions!D17/100</f>
        <v>-0</v>
      </c>
      <c r="E12" s="4" t="n">
        <f aca="false">-E6*Assumptions!E17/100</f>
        <v>-0</v>
      </c>
      <c r="F12" s="4" t="n">
        <f aca="false">-F6*Assumptions!F17/100</f>
        <v>-0</v>
      </c>
      <c r="G12" s="4" t="n">
        <f aca="false">-G6*Assumptions!G17/100</f>
        <v>-0</v>
      </c>
      <c r="H12" s="4" t="n">
        <f aca="false">-H6*Assumptions!H17/100</f>
        <v>-0</v>
      </c>
      <c r="I12" s="4" t="n">
        <f aca="false">-I6*Assumptions!I17/100</f>
        <v>-0</v>
      </c>
      <c r="J12" s="4" t="n">
        <f aca="false">-J6*Assumptions!J17/100</f>
        <v>-0</v>
      </c>
      <c r="K12" s="4" t="n">
        <f aca="false">-K6*Assumptions!K17/100</f>
        <v>-0</v>
      </c>
      <c r="L12" s="4" t="n">
        <f aca="false">-L6*Assumptions!L17/100</f>
        <v>-0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886.3013512</v>
      </c>
      <c r="D13" s="0" t="n">
        <f aca="false">D11+D12</f>
        <v>872.91820079688</v>
      </c>
      <c r="E13" s="0" t="n">
        <f aca="false">E11+E12</f>
        <v>870.19033141939</v>
      </c>
      <c r="F13" s="0" t="n">
        <f aca="false">F11+F12</f>
        <v>880.677820088964</v>
      </c>
      <c r="G13" s="0" t="n">
        <f aca="false">G11+G12</f>
        <v>897.968614985998</v>
      </c>
      <c r="H13" s="0" t="n">
        <f aca="false">H11+H12</f>
        <v>920.417830360648</v>
      </c>
      <c r="I13" s="0" t="n">
        <f aca="false">I11+I12</f>
        <v>943.428276119664</v>
      </c>
      <c r="J13" s="0" t="n">
        <f aca="false">J11+J12</f>
        <v>962.296841642057</v>
      </c>
      <c r="K13" s="0" t="n">
        <f aca="false">K11+K12</f>
        <v>981.542778474898</v>
      </c>
      <c r="L13" s="0" t="n">
        <f aca="false">L11+L12</f>
        <v>1001.1736340444</v>
      </c>
    </row>
    <row r="14" customFormat="false" ht="15" hidden="false" customHeight="false" outlineLevel="0" collapsed="false">
      <c r="A14" s="0" t="s">
        <v>111</v>
      </c>
      <c r="C14" s="4" t="n">
        <f aca="false">Assumptions!C19</f>
        <v>0</v>
      </c>
      <c r="D14" s="4" t="n">
        <f aca="false">Assumptions!D19</f>
        <v>0</v>
      </c>
      <c r="E14" s="4" t="n">
        <f aca="false">Assumptions!E19</f>
        <v>0</v>
      </c>
      <c r="F14" s="4" t="n">
        <f aca="false">Assumptions!F19</f>
        <v>0</v>
      </c>
      <c r="G14" s="4" t="n">
        <f aca="false">Assumptions!G19</f>
        <v>0</v>
      </c>
      <c r="H14" s="4" t="n">
        <f aca="false">Assumptions!H19</f>
        <v>0</v>
      </c>
      <c r="I14" s="4" t="n">
        <f aca="false">Assumptions!I19</f>
        <v>0</v>
      </c>
      <c r="J14" s="4" t="n">
        <f aca="false">Assumptions!J19</f>
        <v>0</v>
      </c>
      <c r="K14" s="4" t="n">
        <f aca="false">Assumptions!K19</f>
        <v>0</v>
      </c>
      <c r="L14" s="4" t="n">
        <f aca="false">Assumptions!L19</f>
        <v>0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886.3013512</v>
      </c>
      <c r="D15" s="0" t="n">
        <f aca="false">D13-MAX(0,D13)*D14/100</f>
        <v>872.91820079688</v>
      </c>
      <c r="E15" s="0" t="n">
        <f aca="false">E13-MAX(0,E13)*E14/100</f>
        <v>870.19033141939</v>
      </c>
      <c r="F15" s="0" t="n">
        <f aca="false">F13-MAX(0,F13)*F14/100</f>
        <v>880.677820088964</v>
      </c>
      <c r="G15" s="0" t="n">
        <f aca="false">G13-MAX(0,G13)*G14/100</f>
        <v>897.968614985998</v>
      </c>
      <c r="H15" s="0" t="n">
        <f aca="false">H13-MAX(0,H13)*H14/100</f>
        <v>920.417830360648</v>
      </c>
      <c r="I15" s="0" t="n">
        <f aca="false">I13-MAX(0,I13)*I14/100</f>
        <v>943.428276119664</v>
      </c>
      <c r="J15" s="0" t="n">
        <f aca="false">J13-MAX(0,J13)*J14/100</f>
        <v>962.296841642057</v>
      </c>
      <c r="K15" s="0" t="n">
        <f aca="false">K13-MAX(0,K13)*K14/100</f>
        <v>981.542778474898</v>
      </c>
      <c r="L15" s="0" t="n">
        <f aca="false">L13-MAX(0,L13)*L14/100</f>
        <v>1001.1736340444</v>
      </c>
    </row>
    <row r="16" customFormat="false" ht="15" hidden="false" customHeight="false" outlineLevel="0" collapsed="false">
      <c r="A16" s="0" t="s">
        <v>127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128</v>
      </c>
      <c r="C17" s="4" t="n">
        <f aca="false">-C6*Assumptions!C18/100</f>
        <v>-0</v>
      </c>
      <c r="D17" s="4" t="n">
        <f aca="false">-D6*Assumptions!D18/100</f>
        <v>-0</v>
      </c>
      <c r="E17" s="4" t="n">
        <f aca="false">-E6*Assumptions!E18/100</f>
        <v>-0</v>
      </c>
      <c r="F17" s="4" t="n">
        <f aca="false">-F6*Assumptions!F18/100</f>
        <v>-0</v>
      </c>
      <c r="G17" s="4" t="n">
        <f aca="false">-G6*Assumptions!G18/100</f>
        <v>-0</v>
      </c>
      <c r="H17" s="4" t="n">
        <f aca="false">-H6*Assumptions!H18/100</f>
        <v>-0</v>
      </c>
      <c r="I17" s="4" t="n">
        <f aca="false">-I6*Assumptions!I18/100</f>
        <v>-0</v>
      </c>
      <c r="J17" s="4" t="n">
        <f aca="false">-J6*Assumptions!J18/100</f>
        <v>-0</v>
      </c>
      <c r="K17" s="4" t="n">
        <f aca="false">-K6*Assumptions!K18/100</f>
        <v>-0</v>
      </c>
      <c r="L17" s="4" t="n">
        <f aca="false">-L6*Assumptions!L18/100</f>
        <v>-0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(C6-B6)*Assumptions!$B$23/100</f>
        <v>0</v>
      </c>
      <c r="D18" s="4" t="n">
        <f aca="false">(D6-C6)*Assumptions!$B$23/100</f>
        <v>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886.3013512</v>
      </c>
      <c r="D19" s="0" t="n">
        <f aca="false">D15+D16+D17+D18</f>
        <v>872.91820079688</v>
      </c>
      <c r="E19" s="0" t="n">
        <f aca="false">E15+E16+E17+E18</f>
        <v>870.19033141939</v>
      </c>
      <c r="F19" s="0" t="n">
        <f aca="false">F15+F16+F17+F18</f>
        <v>880.677820088964</v>
      </c>
      <c r="G19" s="0" t="n">
        <f aca="false">G15+G16+G17+G18</f>
        <v>897.968614985998</v>
      </c>
      <c r="H19" s="0" t="n">
        <f aca="false">H15+H16+H17+H18</f>
        <v>920.417830360648</v>
      </c>
      <c r="I19" s="0" t="n">
        <f aca="false">I15+I16+I17+I18</f>
        <v>943.428276119664</v>
      </c>
      <c r="J19" s="0" t="n">
        <f aca="false">J15+J16+J17+J18</f>
        <v>962.296841642057</v>
      </c>
      <c r="K19" s="0" t="n">
        <f aca="false">K15+K16+K17+K18</f>
        <v>981.542778474898</v>
      </c>
      <c r="L19" s="0" t="n">
        <f aca="false">L15+L16+L17+L18</f>
        <v>1001.1736340444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813.120505688073</v>
      </c>
      <c r="D21" s="0" t="n">
        <f aca="false">D19*D20</f>
        <v>734.717785368976</v>
      </c>
      <c r="E21" s="0" t="n">
        <f aca="false">E19*E20</f>
        <v>671.946598430915</v>
      </c>
      <c r="F21" s="0" t="n">
        <f aca="false">F19*F20</f>
        <v>623.894370576961</v>
      </c>
      <c r="G21" s="0" t="n">
        <f aca="false">G19*G20</f>
        <v>583.617986790255</v>
      </c>
      <c r="H21" s="0" t="n">
        <f aca="false">H19*H20</f>
        <v>548.815079321111</v>
      </c>
      <c r="I21" s="0" t="n">
        <f aca="false">I19*I20</f>
        <v>516.087574590953</v>
      </c>
      <c r="J21" s="0" t="n">
        <f aca="false">J19*J20</f>
        <v>482.944335855754</v>
      </c>
      <c r="K21" s="0" t="n">
        <f aca="false">K19*K20</f>
        <v>451.929561993458</v>
      </c>
      <c r="L21" s="0" t="n">
        <f aca="false">L19*L20</f>
        <v>422.906562599383</v>
      </c>
    </row>
    <row r="23" customFormat="false" ht="15" hidden="false" customHeight="false" outlineLevel="0" collapsed="false">
      <c r="A23" s="0" t="s">
        <v>108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Assumptions!$B$20</f>
        <v>9</v>
      </c>
    </row>
    <row r="28" customFormat="false" ht="15" hidden="false" customHeight="false" outlineLevel="0" collapsed="false">
      <c r="A28" s="0" t="s">
        <v>113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114</v>
      </c>
      <c r="B29" s="4" t="n">
        <f aca="false">Assumptions!$B$22</f>
        <v>15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5849.98036121584</v>
      </c>
    </row>
    <row r="31" customFormat="false" ht="15" hidden="false" customHeight="false" outlineLevel="0" collapsed="false">
      <c r="A31" s="0" t="s">
        <v>136</v>
      </c>
      <c r="B31" s="0" t="n">
        <f aca="false">L19</f>
        <v>1001.1736340444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14588.5300960755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15017.6045106659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14588.5300960755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6162.35276930529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12012.3331305211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12012.3331305211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100.990652238607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-0.132233611972786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100.990652238607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7855.36235942526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54.5485421133491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150</v>
      </c>
    </row>
    <row r="3" customFormat="false" ht="15" hidden="false" customHeight="false" outlineLevel="0" collapsed="false">
      <c r="A3" s="0" t="s">
        <v>120</v>
      </c>
      <c r="B3" s="0" t="s">
        <v>81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Assumptions!C27</f>
        <v>0.7</v>
      </c>
      <c r="D5" s="4" t="n">
        <f aca="false">Assumptions!D27</f>
        <v>2.5</v>
      </c>
      <c r="E5" s="4" t="n">
        <f aca="false">Assumptions!E27</f>
        <v>3.5</v>
      </c>
      <c r="F5" s="4" t="n">
        <f aca="false">Assumptions!F27</f>
        <v>4</v>
      </c>
      <c r="G5" s="4" t="n">
        <f aca="false">Assumptions!G27</f>
        <v>3.5</v>
      </c>
      <c r="H5" s="4" t="n">
        <f aca="false">Assumptions!H27</f>
        <v>3</v>
      </c>
      <c r="I5" s="4" t="n">
        <f aca="false">Assumptions!I27</f>
        <v>3</v>
      </c>
      <c r="J5" s="4" t="n">
        <f aca="false">Assumptions!J27</f>
        <v>2.75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37</v>
      </c>
      <c r="B6" s="3" t="n">
        <v>2209.126</v>
      </c>
      <c r="C6" s="0" t="n">
        <f aca="false">B6*(1+C5/100)</f>
        <v>2224.589882</v>
      </c>
      <c r="D6" s="0" t="n">
        <f aca="false">C6*(1+D5/100)</f>
        <v>2280.20462905</v>
      </c>
      <c r="E6" s="0" t="n">
        <f aca="false">D6*(1+E5/100)</f>
        <v>2360.01179106675</v>
      </c>
      <c r="F6" s="0" t="n">
        <f aca="false">E6*(1+F5/100)</f>
        <v>2454.41226270942</v>
      </c>
      <c r="G6" s="0" t="n">
        <f aca="false">F6*(1+G5/100)</f>
        <v>2540.31669190425</v>
      </c>
      <c r="H6" s="0" t="n">
        <f aca="false">G6*(1+H5/100)</f>
        <v>2616.52619266138</v>
      </c>
      <c r="I6" s="0" t="n">
        <f aca="false">H6*(1+I5/100)</f>
        <v>2695.02197844122</v>
      </c>
      <c r="J6" s="0" t="n">
        <f aca="false">I6*(1+J5/100)</f>
        <v>2769.13508284835</v>
      </c>
      <c r="K6" s="0" t="n">
        <f aca="false">J6*(1+K5/100)</f>
        <v>2838.36345991956</v>
      </c>
      <c r="L6" s="0" t="n">
        <f aca="false">K6*(1+L5/100)</f>
        <v>2909.32254641755</v>
      </c>
    </row>
    <row r="7" customFormat="false" ht="15" hidden="false" customHeight="false" outlineLevel="0" collapsed="false">
      <c r="A7" s="0" t="s">
        <v>106</v>
      </c>
      <c r="C7" s="4" t="n">
        <f aca="false">Assumptions!C28</f>
        <v>40.2</v>
      </c>
      <c r="D7" s="4" t="n">
        <f aca="false">Assumptions!D28</f>
        <v>40.4</v>
      </c>
      <c r="E7" s="4" t="n">
        <f aca="false">Assumptions!E28</f>
        <v>40.8</v>
      </c>
      <c r="F7" s="4" t="n">
        <f aca="false">Assumptions!F28</f>
        <v>41</v>
      </c>
      <c r="G7" s="4" t="n">
        <f aca="false">Assumptions!G28</f>
        <v>41</v>
      </c>
      <c r="H7" s="4" t="n">
        <f aca="false">Assumptions!H28</f>
        <v>41</v>
      </c>
      <c r="I7" s="4" t="n">
        <f aca="false">Assumptions!I28</f>
        <v>41</v>
      </c>
      <c r="J7" s="4" t="n">
        <f aca="false">Assumptions!J28</f>
        <v>41</v>
      </c>
      <c r="K7" s="4" t="n">
        <f aca="false">Assumptions!K28</f>
        <v>41</v>
      </c>
      <c r="L7" s="4" t="n">
        <f aca="false">Assumptions!L28</f>
        <v>41</v>
      </c>
    </row>
    <row r="8" customFormat="false" ht="15" hidden="false" customHeight="false" outlineLevel="0" collapsed="false">
      <c r="A8" s="0" t="s">
        <v>43</v>
      </c>
      <c r="C8" s="0" t="n">
        <f aca="false">C6*C7/100</f>
        <v>894.285132564</v>
      </c>
      <c r="D8" s="0" t="n">
        <f aca="false">D6*D7/100</f>
        <v>921.2026701362</v>
      </c>
      <c r="E8" s="0" t="n">
        <f aca="false">E6*E7/100</f>
        <v>962.884810755234</v>
      </c>
      <c r="F8" s="0" t="n">
        <f aca="false">F6*F7/100</f>
        <v>1006.30902771086</v>
      </c>
      <c r="G8" s="0" t="n">
        <f aca="false">G6*G7/100</f>
        <v>1041.52984368074</v>
      </c>
      <c r="H8" s="0" t="n">
        <f aca="false">H6*H7/100</f>
        <v>1072.77573899116</v>
      </c>
      <c r="I8" s="0" t="n">
        <f aca="false">I6*I7/100</f>
        <v>1104.9590111609</v>
      </c>
      <c r="J8" s="0" t="n">
        <f aca="false">J6*J7/100</f>
        <v>1135.34538396782</v>
      </c>
      <c r="K8" s="0" t="n">
        <f aca="false">K6*K7/100</f>
        <v>1163.72901856702</v>
      </c>
      <c r="L8" s="0" t="n">
        <f aca="false">L6*L7/100</f>
        <v>1192.8222440312</v>
      </c>
    </row>
    <row r="9" customFormat="false" ht="15" hidden="false" customHeight="false" outlineLevel="0" collapsed="false">
      <c r="A9" s="0" t="s">
        <v>107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894.285132564</v>
      </c>
      <c r="D11" s="0" t="n">
        <f aca="false">D8+D10+D24</f>
        <v>921.2026701362</v>
      </c>
      <c r="E11" s="0" t="n">
        <f aca="false">E8+E10+E24</f>
        <v>962.884810755234</v>
      </c>
      <c r="F11" s="0" t="n">
        <f aca="false">F8+F10+F24</f>
        <v>1006.30902771086</v>
      </c>
      <c r="G11" s="0" t="n">
        <f aca="false">G8+G10+G24</f>
        <v>1041.52984368074</v>
      </c>
      <c r="H11" s="0" t="n">
        <f aca="false">H8+H10+H24</f>
        <v>1072.77573899116</v>
      </c>
      <c r="I11" s="0" t="n">
        <f aca="false">I8+I10+I24</f>
        <v>1104.9590111609</v>
      </c>
      <c r="J11" s="0" t="n">
        <f aca="false">J8+J10+J24</f>
        <v>1135.34538396782</v>
      </c>
      <c r="K11" s="0" t="n">
        <f aca="false">K8+K10+K24</f>
        <v>1163.72901856702</v>
      </c>
      <c r="L11" s="0" t="n">
        <f aca="false">L8+L10+L24</f>
        <v>1192.8222440312</v>
      </c>
    </row>
    <row r="12" customFormat="false" ht="15" hidden="false" customHeight="false" outlineLevel="0" collapsed="false">
      <c r="A12" s="0" t="s">
        <v>124</v>
      </c>
      <c r="C12" s="4" t="n">
        <f aca="false">-C6*Assumptions!C31/100</f>
        <v>-0</v>
      </c>
      <c r="D12" s="4" t="n">
        <f aca="false">-D6*Assumptions!D31/100</f>
        <v>-0</v>
      </c>
      <c r="E12" s="4" t="n">
        <f aca="false">-E6*Assumptions!E31/100</f>
        <v>-0</v>
      </c>
      <c r="F12" s="4" t="n">
        <f aca="false">-F6*Assumptions!F31/100</f>
        <v>-0</v>
      </c>
      <c r="G12" s="4" t="n">
        <f aca="false">-G6*Assumptions!G31/100</f>
        <v>-0</v>
      </c>
      <c r="H12" s="4" t="n">
        <f aca="false">-H6*Assumptions!H31/100</f>
        <v>-0</v>
      </c>
      <c r="I12" s="4" t="n">
        <f aca="false">-I6*Assumptions!I31/100</f>
        <v>-0</v>
      </c>
      <c r="J12" s="4" t="n">
        <f aca="false">-J6*Assumptions!J31/100</f>
        <v>-0</v>
      </c>
      <c r="K12" s="4" t="n">
        <f aca="false">-K6*Assumptions!K31/100</f>
        <v>-0</v>
      </c>
      <c r="L12" s="4" t="n">
        <f aca="false">-L6*Assumptions!L31/100</f>
        <v>-0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894.285132564</v>
      </c>
      <c r="D13" s="0" t="n">
        <f aca="false">D11+D12</f>
        <v>921.2026701362</v>
      </c>
      <c r="E13" s="0" t="n">
        <f aca="false">E11+E12</f>
        <v>962.884810755234</v>
      </c>
      <c r="F13" s="0" t="n">
        <f aca="false">F11+F12</f>
        <v>1006.30902771086</v>
      </c>
      <c r="G13" s="0" t="n">
        <f aca="false">G11+G12</f>
        <v>1041.52984368074</v>
      </c>
      <c r="H13" s="0" t="n">
        <f aca="false">H11+H12</f>
        <v>1072.77573899116</v>
      </c>
      <c r="I13" s="0" t="n">
        <f aca="false">I11+I12</f>
        <v>1104.9590111609</v>
      </c>
      <c r="J13" s="0" t="n">
        <f aca="false">J11+J12</f>
        <v>1135.34538396782</v>
      </c>
      <c r="K13" s="0" t="n">
        <f aca="false">K11+K12</f>
        <v>1163.72901856702</v>
      </c>
      <c r="L13" s="0" t="n">
        <f aca="false">L11+L12</f>
        <v>1192.8222440312</v>
      </c>
    </row>
    <row r="14" customFormat="false" ht="15" hidden="false" customHeight="false" outlineLevel="0" collapsed="false">
      <c r="A14" s="0" t="s">
        <v>111</v>
      </c>
      <c r="C14" s="4" t="n">
        <f aca="false">Assumptions!C33</f>
        <v>0</v>
      </c>
      <c r="D14" s="4" t="n">
        <f aca="false">Assumptions!D33</f>
        <v>0</v>
      </c>
      <c r="E14" s="4" t="n">
        <f aca="false">Assumptions!E33</f>
        <v>0</v>
      </c>
      <c r="F14" s="4" t="n">
        <f aca="false">Assumptions!F33</f>
        <v>0</v>
      </c>
      <c r="G14" s="4" t="n">
        <f aca="false">Assumptions!G33</f>
        <v>0</v>
      </c>
      <c r="H14" s="4" t="n">
        <f aca="false">Assumptions!H33</f>
        <v>0</v>
      </c>
      <c r="I14" s="4" t="n">
        <f aca="false">Assumptions!I33</f>
        <v>0</v>
      </c>
      <c r="J14" s="4" t="n">
        <f aca="false">Assumptions!J33</f>
        <v>0</v>
      </c>
      <c r="K14" s="4" t="n">
        <f aca="false">Assumptions!K33</f>
        <v>0</v>
      </c>
      <c r="L14" s="4" t="n">
        <f aca="false">Assumptions!L33</f>
        <v>0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894.285132564</v>
      </c>
      <c r="D15" s="0" t="n">
        <f aca="false">D13-MAX(0,D13)*D14/100</f>
        <v>921.2026701362</v>
      </c>
      <c r="E15" s="0" t="n">
        <f aca="false">E13-MAX(0,E13)*E14/100</f>
        <v>962.884810755234</v>
      </c>
      <c r="F15" s="0" t="n">
        <f aca="false">F13-MAX(0,F13)*F14/100</f>
        <v>1006.30902771086</v>
      </c>
      <c r="G15" s="0" t="n">
        <f aca="false">G13-MAX(0,G13)*G14/100</f>
        <v>1041.52984368074</v>
      </c>
      <c r="H15" s="0" t="n">
        <f aca="false">H13-MAX(0,H13)*H14/100</f>
        <v>1072.77573899116</v>
      </c>
      <c r="I15" s="0" t="n">
        <f aca="false">I13-MAX(0,I13)*I14/100</f>
        <v>1104.9590111609</v>
      </c>
      <c r="J15" s="0" t="n">
        <f aca="false">J13-MAX(0,J13)*J14/100</f>
        <v>1135.34538396782</v>
      </c>
      <c r="K15" s="0" t="n">
        <f aca="false">K13-MAX(0,K13)*K14/100</f>
        <v>1163.72901856702</v>
      </c>
      <c r="L15" s="0" t="n">
        <f aca="false">L13-MAX(0,L13)*L14/100</f>
        <v>1192.8222440312</v>
      </c>
    </row>
    <row r="16" customFormat="false" ht="15" hidden="false" customHeight="false" outlineLevel="0" collapsed="false">
      <c r="A16" s="0" t="s">
        <v>127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128</v>
      </c>
      <c r="C17" s="4" t="n">
        <f aca="false">-C6*Assumptions!C32/100</f>
        <v>-0</v>
      </c>
      <c r="D17" s="4" t="n">
        <f aca="false">-D6*Assumptions!D32/100</f>
        <v>-0</v>
      </c>
      <c r="E17" s="4" t="n">
        <f aca="false">-E6*Assumptions!E32/100</f>
        <v>-0</v>
      </c>
      <c r="F17" s="4" t="n">
        <f aca="false">-F6*Assumptions!F32/100</f>
        <v>-0</v>
      </c>
      <c r="G17" s="4" t="n">
        <f aca="false">-G6*Assumptions!G32/100</f>
        <v>-0</v>
      </c>
      <c r="H17" s="4" t="n">
        <f aca="false">-H6*Assumptions!H32/100</f>
        <v>-0</v>
      </c>
      <c r="I17" s="4" t="n">
        <f aca="false">-I6*Assumptions!I32/100</f>
        <v>-0</v>
      </c>
      <c r="J17" s="4" t="n">
        <f aca="false">-J6*Assumptions!J32/100</f>
        <v>-0</v>
      </c>
      <c r="K17" s="4" t="n">
        <f aca="false">-K6*Assumptions!K32/100</f>
        <v>-0</v>
      </c>
      <c r="L17" s="4" t="n">
        <f aca="false">-L6*Assumptions!L32/100</f>
        <v>-0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894.285132564</v>
      </c>
      <c r="D19" s="0" t="n">
        <f aca="false">D15+D16+D17+D18</f>
        <v>921.2026701362</v>
      </c>
      <c r="E19" s="0" t="n">
        <f aca="false">E15+E16+E17+E18</f>
        <v>962.884810755234</v>
      </c>
      <c r="F19" s="0" t="n">
        <f aca="false">F15+F16+F17+F18</f>
        <v>1006.30902771086</v>
      </c>
      <c r="G19" s="0" t="n">
        <f aca="false">G15+G16+G17+G18</f>
        <v>1041.52984368074</v>
      </c>
      <c r="H19" s="0" t="n">
        <f aca="false">H15+H16+H17+H18</f>
        <v>1072.77573899116</v>
      </c>
      <c r="I19" s="0" t="n">
        <f aca="false">I15+I16+I17+I18</f>
        <v>1104.9590111609</v>
      </c>
      <c r="J19" s="0" t="n">
        <f aca="false">J15+J16+J17+J18</f>
        <v>1135.34538396782</v>
      </c>
      <c r="K19" s="0" t="n">
        <f aca="false">K15+K16+K17+K18</f>
        <v>1163.72901856702</v>
      </c>
      <c r="L19" s="0" t="n">
        <f aca="false">L15+L16+L17+L18</f>
        <v>1192.8222440312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820.445075746789</v>
      </c>
      <c r="D21" s="0" t="n">
        <f aca="false">D19*D20</f>
        <v>775.357857197374</v>
      </c>
      <c r="E21" s="0" t="n">
        <f aca="false">E19*E20</f>
        <v>743.523744066916</v>
      </c>
      <c r="F21" s="0" t="n">
        <f aca="false">F19*F20</f>
        <v>712.89468535288</v>
      </c>
      <c r="G21" s="0" t="n">
        <f aca="false">G19*G20</f>
        <v>676.922935174524</v>
      </c>
      <c r="H21" s="0" t="n">
        <f aca="false">H19*H20</f>
        <v>639.661122229137</v>
      </c>
      <c r="I21" s="0" t="n">
        <f aca="false">I19*I20</f>
        <v>604.450418253221</v>
      </c>
      <c r="J21" s="0" t="n">
        <f aca="false">J19*J20</f>
        <v>569.791563995582</v>
      </c>
      <c r="K21" s="0" t="n">
        <f aca="false">K19*K20</f>
        <v>535.813167977497</v>
      </c>
      <c r="L21" s="0" t="n">
        <f aca="false">L19*L20</f>
        <v>503.861006584343</v>
      </c>
    </row>
    <row r="23" customFormat="false" ht="15" hidden="false" customHeight="false" outlineLevel="0" collapsed="false">
      <c r="A23" s="0" t="s">
        <v>108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Assumptions!$B$34</f>
        <v>9</v>
      </c>
    </row>
    <row r="28" customFormat="false" ht="15" hidden="false" customHeight="false" outlineLevel="0" collapsed="false">
      <c r="A28" s="0" t="s">
        <v>113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114</v>
      </c>
      <c r="B29" s="4" t="n">
        <f aca="false">Assumptions!$B$36</f>
        <v>18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6582.72157657826</v>
      </c>
    </row>
    <row r="31" customFormat="false" ht="15" hidden="false" customHeight="false" outlineLevel="0" collapsed="false">
      <c r="A31" s="0" t="s">
        <v>136</v>
      </c>
      <c r="B31" s="0" t="n">
        <f aca="false">L19</f>
        <v>1192.8222440312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18809.8892327996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21470.8003925615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18809.8892327996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7945.50048844541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14528.2220650237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14528.2220650237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122.142352053669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0.0495132501604154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122.142352053669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9781.1424010558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63.0058489530314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0" t="s">
        <v>120</v>
      </c>
      <c r="B3" s="0" t="s">
        <v>81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Assumptions!C41</f>
        <v>1</v>
      </c>
      <c r="D5" s="4" t="n">
        <f aca="false">Assumptions!D41</f>
        <v>4</v>
      </c>
      <c r="E5" s="4" t="n">
        <f aca="false">Assumptions!E41</f>
        <v>5.5</v>
      </c>
      <c r="F5" s="4" t="n">
        <f aca="false">Assumptions!F41</f>
        <v>5</v>
      </c>
      <c r="G5" s="4" t="n">
        <f aca="false">Assumptions!G41</f>
        <v>4.5</v>
      </c>
      <c r="H5" s="4" t="n">
        <f aca="false">Assumptions!H41</f>
        <v>4</v>
      </c>
      <c r="I5" s="4" t="n">
        <f aca="false">Assumptions!I41</f>
        <v>3.5</v>
      </c>
      <c r="J5" s="4" t="n">
        <f aca="false">Assumptions!J41</f>
        <v>3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2209.126</v>
      </c>
      <c r="C6" s="0" t="n">
        <f aca="false">B6*(1+C5/100)</f>
        <v>2231.21726</v>
      </c>
      <c r="D6" s="0" t="n">
        <f aca="false">C6*(1+D5/100)</f>
        <v>2320.4659504</v>
      </c>
      <c r="E6" s="0" t="n">
        <f aca="false">D6*(1+E5/100)</f>
        <v>2448.091577672</v>
      </c>
      <c r="F6" s="0" t="n">
        <f aca="false">E6*(1+F5/100)</f>
        <v>2570.4961565556</v>
      </c>
      <c r="G6" s="0" t="n">
        <f aca="false">F6*(1+G5/100)</f>
        <v>2686.1684836006</v>
      </c>
      <c r="H6" s="0" t="n">
        <f aca="false">G6*(1+H5/100)</f>
        <v>2793.61522294463</v>
      </c>
      <c r="I6" s="0" t="n">
        <f aca="false">H6*(1+I5/100)</f>
        <v>2891.39175574769</v>
      </c>
      <c r="J6" s="0" t="n">
        <f aca="false">I6*(1+J5/100)</f>
        <v>2978.13350842012</v>
      </c>
      <c r="K6" s="0" t="n">
        <f aca="false">J6*(1+K5/100)</f>
        <v>3067.47751367272</v>
      </c>
      <c r="L6" s="0" t="n">
        <f aca="false">K6*(1+L5/100)</f>
        <v>3159.5018390829</v>
      </c>
    </row>
    <row r="7" customFormat="false" ht="15" hidden="false" customHeight="false" outlineLevel="0" collapsed="false">
      <c r="A7" s="0" t="s">
        <v>106</v>
      </c>
      <c r="C7" s="4" t="n">
        <f aca="false">Assumptions!C42</f>
        <v>40.4</v>
      </c>
      <c r="D7" s="4" t="n">
        <f aca="false">Assumptions!D42</f>
        <v>41</v>
      </c>
      <c r="E7" s="4" t="n">
        <f aca="false">Assumptions!E42</f>
        <v>41.8</v>
      </c>
      <c r="F7" s="4" t="n">
        <f aca="false">Assumptions!F42</f>
        <v>42.3</v>
      </c>
      <c r="G7" s="4" t="n">
        <f aca="false">Assumptions!G42</f>
        <v>42.6</v>
      </c>
      <c r="H7" s="4" t="n">
        <f aca="false">Assumptions!H42</f>
        <v>42.8</v>
      </c>
      <c r="I7" s="4" t="n">
        <f aca="false">Assumptions!I42</f>
        <v>43</v>
      </c>
      <c r="J7" s="4" t="n">
        <f aca="false">Assumptions!J42</f>
        <v>43</v>
      </c>
      <c r="K7" s="4" t="n">
        <f aca="false">Assumptions!K42</f>
        <v>43</v>
      </c>
      <c r="L7" s="4" t="n">
        <f aca="false">Assumptions!L42</f>
        <v>43</v>
      </c>
    </row>
    <row r="8" customFormat="false" ht="15" hidden="false" customHeight="false" outlineLevel="0" collapsed="false">
      <c r="A8" s="0" t="s">
        <v>43</v>
      </c>
      <c r="C8" s="0" t="n">
        <f aca="false">C6*C7/100</f>
        <v>901.41177304</v>
      </c>
      <c r="D8" s="0" t="n">
        <f aca="false">D6*D7/100</f>
        <v>951.391039664</v>
      </c>
      <c r="E8" s="0" t="n">
        <f aca="false">E6*E7/100</f>
        <v>1023.3022794669</v>
      </c>
      <c r="F8" s="0" t="n">
        <f aca="false">F6*F7/100</f>
        <v>1087.31987422302</v>
      </c>
      <c r="G8" s="0" t="n">
        <f aca="false">G6*G7/100</f>
        <v>1144.30777401386</v>
      </c>
      <c r="H8" s="0" t="n">
        <f aca="false">H6*H7/100</f>
        <v>1195.6673154203</v>
      </c>
      <c r="I8" s="0" t="n">
        <f aca="false">I6*I7/100</f>
        <v>1243.29845497151</v>
      </c>
      <c r="J8" s="0" t="n">
        <f aca="false">J6*J7/100</f>
        <v>1280.59740862065</v>
      </c>
      <c r="K8" s="0" t="n">
        <f aca="false">K6*K7/100</f>
        <v>1319.01533087927</v>
      </c>
      <c r="L8" s="0" t="n">
        <f aca="false">L6*L7/100</f>
        <v>1358.58579080565</v>
      </c>
    </row>
    <row r="9" customFormat="false" ht="15" hidden="false" customHeight="false" outlineLevel="0" collapsed="false">
      <c r="A9" s="0" t="s">
        <v>107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901.41177304</v>
      </c>
      <c r="D11" s="0" t="n">
        <f aca="false">D8+D10+D24</f>
        <v>951.391039664</v>
      </c>
      <c r="E11" s="0" t="n">
        <f aca="false">E8+E10+E24</f>
        <v>1023.3022794669</v>
      </c>
      <c r="F11" s="0" t="n">
        <f aca="false">F8+F10+F24</f>
        <v>1087.31987422302</v>
      </c>
      <c r="G11" s="0" t="n">
        <f aca="false">G8+G10+G24</f>
        <v>1144.30777401386</v>
      </c>
      <c r="H11" s="0" t="n">
        <f aca="false">H8+H10+H24</f>
        <v>1195.6673154203</v>
      </c>
      <c r="I11" s="0" t="n">
        <f aca="false">I8+I10+I24</f>
        <v>1243.29845497151</v>
      </c>
      <c r="J11" s="0" t="n">
        <f aca="false">J8+J10+J24</f>
        <v>1280.59740862065</v>
      </c>
      <c r="K11" s="0" t="n">
        <f aca="false">K8+K10+K24</f>
        <v>1319.01533087927</v>
      </c>
      <c r="L11" s="0" t="n">
        <f aca="false">L8+L10+L24</f>
        <v>1358.58579080565</v>
      </c>
    </row>
    <row r="12" customFormat="false" ht="15" hidden="false" customHeight="false" outlineLevel="0" collapsed="false">
      <c r="A12" s="0" t="s">
        <v>124</v>
      </c>
      <c r="C12" s="4" t="n">
        <f aca="false">-C6*Assumptions!C45/100</f>
        <v>-0</v>
      </c>
      <c r="D12" s="4" t="n">
        <f aca="false">-D6*Assumptions!D45/100</f>
        <v>-0</v>
      </c>
      <c r="E12" s="4" t="n">
        <f aca="false">-E6*Assumptions!E45/100</f>
        <v>-0</v>
      </c>
      <c r="F12" s="4" t="n">
        <f aca="false">-F6*Assumptions!F45/100</f>
        <v>-0</v>
      </c>
      <c r="G12" s="4" t="n">
        <f aca="false">-G6*Assumptions!G45/100</f>
        <v>-0</v>
      </c>
      <c r="H12" s="4" t="n">
        <f aca="false">-H6*Assumptions!H45/100</f>
        <v>-0</v>
      </c>
      <c r="I12" s="4" t="n">
        <f aca="false">-I6*Assumptions!I45/100</f>
        <v>-0</v>
      </c>
      <c r="J12" s="4" t="n">
        <f aca="false">-J6*Assumptions!J45/100</f>
        <v>-0</v>
      </c>
      <c r="K12" s="4" t="n">
        <f aca="false">-K6*Assumptions!K45/100</f>
        <v>-0</v>
      </c>
      <c r="L12" s="4" t="n">
        <f aca="false">-L6*Assumptions!L45/100</f>
        <v>-0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901.41177304</v>
      </c>
      <c r="D13" s="0" t="n">
        <f aca="false">D11+D12</f>
        <v>951.391039664</v>
      </c>
      <c r="E13" s="0" t="n">
        <f aca="false">E11+E12</f>
        <v>1023.3022794669</v>
      </c>
      <c r="F13" s="0" t="n">
        <f aca="false">F11+F12</f>
        <v>1087.31987422302</v>
      </c>
      <c r="G13" s="0" t="n">
        <f aca="false">G11+G12</f>
        <v>1144.30777401386</v>
      </c>
      <c r="H13" s="0" t="n">
        <f aca="false">H11+H12</f>
        <v>1195.6673154203</v>
      </c>
      <c r="I13" s="0" t="n">
        <f aca="false">I11+I12</f>
        <v>1243.29845497151</v>
      </c>
      <c r="J13" s="0" t="n">
        <f aca="false">J11+J12</f>
        <v>1280.59740862065</v>
      </c>
      <c r="K13" s="0" t="n">
        <f aca="false">K11+K12</f>
        <v>1319.01533087927</v>
      </c>
      <c r="L13" s="0" t="n">
        <f aca="false">L11+L12</f>
        <v>1358.58579080565</v>
      </c>
    </row>
    <row r="14" customFormat="false" ht="15" hidden="false" customHeight="false" outlineLevel="0" collapsed="false">
      <c r="A14" s="0" t="s">
        <v>111</v>
      </c>
      <c r="C14" s="4" t="n">
        <f aca="false">Assumptions!C47</f>
        <v>0</v>
      </c>
      <c r="D14" s="4" t="n">
        <f aca="false">Assumptions!D47</f>
        <v>0</v>
      </c>
      <c r="E14" s="4" t="n">
        <f aca="false">Assumptions!E47</f>
        <v>0</v>
      </c>
      <c r="F14" s="4" t="n">
        <f aca="false">Assumptions!F47</f>
        <v>0</v>
      </c>
      <c r="G14" s="4" t="n">
        <f aca="false">Assumptions!G47</f>
        <v>0</v>
      </c>
      <c r="H14" s="4" t="n">
        <f aca="false">Assumptions!H47</f>
        <v>0</v>
      </c>
      <c r="I14" s="4" t="n">
        <f aca="false">Assumptions!I47</f>
        <v>0</v>
      </c>
      <c r="J14" s="4" t="n">
        <f aca="false">Assumptions!J47</f>
        <v>0</v>
      </c>
      <c r="K14" s="4" t="n">
        <f aca="false">Assumptions!K47</f>
        <v>0</v>
      </c>
      <c r="L14" s="4" t="n">
        <f aca="false">Assumptions!L47</f>
        <v>0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901.41177304</v>
      </c>
      <c r="D15" s="0" t="n">
        <f aca="false">D13-MAX(0,D13)*D14/100</f>
        <v>951.391039664</v>
      </c>
      <c r="E15" s="0" t="n">
        <f aca="false">E13-MAX(0,E13)*E14/100</f>
        <v>1023.3022794669</v>
      </c>
      <c r="F15" s="0" t="n">
        <f aca="false">F13-MAX(0,F13)*F14/100</f>
        <v>1087.31987422302</v>
      </c>
      <c r="G15" s="0" t="n">
        <f aca="false">G13-MAX(0,G13)*G14/100</f>
        <v>1144.30777401386</v>
      </c>
      <c r="H15" s="0" t="n">
        <f aca="false">H13-MAX(0,H13)*H14/100</f>
        <v>1195.6673154203</v>
      </c>
      <c r="I15" s="0" t="n">
        <f aca="false">I13-MAX(0,I13)*I14/100</f>
        <v>1243.29845497151</v>
      </c>
      <c r="J15" s="0" t="n">
        <f aca="false">J13-MAX(0,J13)*J14/100</f>
        <v>1280.59740862065</v>
      </c>
      <c r="K15" s="0" t="n">
        <f aca="false">K13-MAX(0,K13)*K14/100</f>
        <v>1319.01533087927</v>
      </c>
      <c r="L15" s="0" t="n">
        <f aca="false">L13-MAX(0,L13)*L14/100</f>
        <v>1358.58579080565</v>
      </c>
    </row>
    <row r="16" customFormat="false" ht="15" hidden="false" customHeight="false" outlineLevel="0" collapsed="false">
      <c r="A16" s="0" t="s">
        <v>127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128</v>
      </c>
      <c r="C17" s="4" t="n">
        <f aca="false">-C6*Assumptions!C46/100</f>
        <v>-0</v>
      </c>
      <c r="D17" s="4" t="n">
        <f aca="false">-D6*Assumptions!D46/100</f>
        <v>-0</v>
      </c>
      <c r="E17" s="4" t="n">
        <f aca="false">-E6*Assumptions!E46/100</f>
        <v>-0</v>
      </c>
      <c r="F17" s="4" t="n">
        <f aca="false">-F6*Assumptions!F46/100</f>
        <v>-0</v>
      </c>
      <c r="G17" s="4" t="n">
        <f aca="false">-G6*Assumptions!G46/100</f>
        <v>-0</v>
      </c>
      <c r="H17" s="4" t="n">
        <f aca="false">-H6*Assumptions!H46/100</f>
        <v>-0</v>
      </c>
      <c r="I17" s="4" t="n">
        <f aca="false">-I6*Assumptions!I46/100</f>
        <v>-0</v>
      </c>
      <c r="J17" s="4" t="n">
        <f aca="false">-J6*Assumptions!J46/100</f>
        <v>-0</v>
      </c>
      <c r="K17" s="4" t="n">
        <f aca="false">-K6*Assumptions!K46/100</f>
        <v>-0</v>
      </c>
      <c r="L17" s="4" t="n">
        <f aca="false">-L6*Assumptions!L46/100</f>
        <v>-0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901.41177304</v>
      </c>
      <c r="D19" s="0" t="n">
        <f aca="false">D15+D16+D17+D18</f>
        <v>951.391039664</v>
      </c>
      <c r="E19" s="0" t="n">
        <f aca="false">E15+E16+E17+E18</f>
        <v>1023.3022794669</v>
      </c>
      <c r="F19" s="0" t="n">
        <f aca="false">F15+F16+F17+F18</f>
        <v>1087.31987422302</v>
      </c>
      <c r="G19" s="0" t="n">
        <f aca="false">G15+G16+G17+G18</f>
        <v>1144.30777401386</v>
      </c>
      <c r="H19" s="0" t="n">
        <f aca="false">H15+H16+H17+H18</f>
        <v>1195.6673154203</v>
      </c>
      <c r="I19" s="0" t="n">
        <f aca="false">I15+I16+I17+I18</f>
        <v>1243.29845497151</v>
      </c>
      <c r="J19" s="0" t="n">
        <f aca="false">J15+J16+J17+J18</f>
        <v>1280.59740862065</v>
      </c>
      <c r="K19" s="0" t="n">
        <f aca="false">K15+K16+K17+K18</f>
        <v>1319.01533087927</v>
      </c>
      <c r="L19" s="0" t="n">
        <f aca="false">L15+L16+L17+L18</f>
        <v>1358.58579080565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826.983278018349</v>
      </c>
      <c r="D21" s="0" t="n">
        <f aca="false">D19*D20</f>
        <v>800.766803858261</v>
      </c>
      <c r="E21" s="0" t="n">
        <f aca="false">E19*E20</f>
        <v>790.177115313167</v>
      </c>
      <c r="F21" s="0" t="n">
        <f aca="false">F19*F20</f>
        <v>770.284811391825</v>
      </c>
      <c r="G21" s="0" t="n">
        <f aca="false">G19*G20</f>
        <v>743.721537916799</v>
      </c>
      <c r="H21" s="0" t="n">
        <f aca="false">H19*H20</f>
        <v>712.937354002511</v>
      </c>
      <c r="I21" s="0" t="n">
        <f aca="false">I19*I20</f>
        <v>680.126831430201</v>
      </c>
      <c r="J21" s="0" t="n">
        <f aca="false">J19*J20</f>
        <v>642.688657223034</v>
      </c>
      <c r="K21" s="0" t="n">
        <f aca="false">K19*K20</f>
        <v>607.311299944701</v>
      </c>
      <c r="L21" s="0" t="n">
        <f aca="false">L19*L20</f>
        <v>573.881320131232</v>
      </c>
    </row>
    <row r="23" customFormat="false" ht="15" hidden="false" customHeight="false" outlineLevel="0" collapsed="false">
      <c r="A23" s="0" t="s">
        <v>108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Assumptions!$B$48</f>
        <v>9</v>
      </c>
    </row>
    <row r="28" customFormat="false" ht="15" hidden="false" customHeight="false" outlineLevel="0" collapsed="false">
      <c r="A28" s="0" t="s">
        <v>113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114</v>
      </c>
      <c r="B29" s="4" t="n">
        <f aca="false">Assumptions!$B$50</f>
        <v>20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7148.87900923008</v>
      </c>
    </row>
    <row r="31" customFormat="false" ht="15" hidden="false" customHeight="false" outlineLevel="0" collapsed="false">
      <c r="A31" s="0" t="s">
        <v>136</v>
      </c>
      <c r="B31" s="0" t="n">
        <f aca="false">L19</f>
        <v>1358.58579080565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23322.3894088303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27171.715816113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23322.3894088303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9851.62932891948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17000.5083381496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17000.5083381496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142.927473522633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0.228110272578044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142.927473522633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11661.1947044152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70.3085706858852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2" t="s">
        <v>153</v>
      </c>
      <c r="B3" s="2" t="s">
        <v>154</v>
      </c>
      <c r="C3" s="2" t="s">
        <v>144</v>
      </c>
      <c r="D3" s="2" t="s">
        <v>155</v>
      </c>
      <c r="E3" s="2" t="s">
        <v>147</v>
      </c>
      <c r="F3" s="2" t="s">
        <v>156</v>
      </c>
    </row>
    <row r="4" customFormat="false" ht="15" hidden="false" customHeight="false" outlineLevel="0" collapsed="false">
      <c r="A4" s="0" t="s">
        <v>157</v>
      </c>
      <c r="B4" s="4" t="n">
        <f aca="false">DCF_Bear!$B$38</f>
        <v>100.990652238607</v>
      </c>
      <c r="C4" s="0" t="n">
        <f aca="false">B4/Assumptions!$B$2-1</f>
        <v>-0.132233611972786</v>
      </c>
      <c r="D4" s="4" t="n">
        <f aca="false">Assumptions!$B$24</f>
        <v>0.25</v>
      </c>
      <c r="E4" s="4" t="n">
        <f aca="false">DCF_Bear!$B$43</f>
        <v>100.990652238607</v>
      </c>
      <c r="F4" s="4" t="n">
        <f aca="false">DCF_Bear!$B$47</f>
        <v>54.5485421133491</v>
      </c>
    </row>
    <row r="5" customFormat="false" ht="15" hidden="false" customHeight="false" outlineLevel="0" collapsed="false">
      <c r="A5" s="0" t="s">
        <v>158</v>
      </c>
      <c r="B5" s="4" t="n">
        <f aca="false">DCF_Base!$B$38</f>
        <v>122.142352053669</v>
      </c>
      <c r="C5" s="0" t="n">
        <f aca="false">B5/Assumptions!$B$2-1</f>
        <v>0.0495132501604154</v>
      </c>
      <c r="D5" s="4" t="n">
        <f aca="false">Assumptions!$B$38</f>
        <v>0.5</v>
      </c>
      <c r="E5" s="4" t="n">
        <f aca="false">DCF_Base!$B$43</f>
        <v>122.142352053669</v>
      </c>
      <c r="F5" s="4" t="n">
        <f aca="false">DCF_Base!$B$47</f>
        <v>63.0058489530314</v>
      </c>
    </row>
    <row r="6" customFormat="false" ht="15" hidden="false" customHeight="false" outlineLevel="0" collapsed="false">
      <c r="A6" s="0" t="s">
        <v>159</v>
      </c>
      <c r="B6" s="4" t="n">
        <f aca="false">DCF_Bull!$B$38</f>
        <v>142.927473522633</v>
      </c>
      <c r="C6" s="0" t="n">
        <f aca="false">B6/Assumptions!$B$2-1</f>
        <v>0.228110272578044</v>
      </c>
      <c r="D6" s="4" t="n">
        <f aca="false">Assumptions!$B$52</f>
        <v>0.25</v>
      </c>
      <c r="E6" s="4" t="n">
        <f aca="false">DCF_Bull!$B$43</f>
        <v>142.927473522633</v>
      </c>
      <c r="F6" s="4" t="n">
        <f aca="false">DCF_Bull!$B$47</f>
        <v>70.3085706858852</v>
      </c>
    </row>
    <row r="8" customFormat="false" ht="15" hidden="false" customHeight="false" outlineLevel="0" collapsed="false">
      <c r="A8" s="0" t="s">
        <v>160</v>
      </c>
      <c r="B8" s="0" t="n">
        <f aca="false">SUMPRODUCT(B4:B6,D4:D6)</f>
        <v>122.050707467145</v>
      </c>
    </row>
    <row r="9" customFormat="false" ht="15" hidden="false" customHeight="false" outlineLevel="0" collapsed="false">
      <c r="A9" s="0" t="s">
        <v>161</v>
      </c>
      <c r="B9" s="0" t="n">
        <f aca="false">SUMPRODUCT(E4:E6,D4:D6)</f>
        <v>122.050707467145</v>
      </c>
    </row>
    <row r="10" customFormat="false" ht="15" hidden="false" customHeight="false" outlineLevel="0" collapsed="false">
      <c r="A10" s="0" t="s">
        <v>162</v>
      </c>
      <c r="B10" s="0" t="n">
        <f aca="false">1-Assumptions!$B$2/B8</f>
        <v>0.0464618975573827</v>
      </c>
    </row>
    <row r="11" customFormat="false" ht="15" hidden="false" customHeight="false" outlineLevel="0" collapsed="false">
      <c r="A11" s="0" t="s">
        <v>163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164</v>
      </c>
      <c r="B12" s="0" t="n">
        <f aca="false">SUMPRODUCT(F4:F6,D4:D6)</f>
        <v>62.7172026763243</v>
      </c>
    </row>
    <row r="14" customFormat="false" ht="15" hidden="false" customHeight="false" outlineLevel="0" collapsed="false">
      <c r="A14" s="2" t="s">
        <v>165</v>
      </c>
      <c r="C14" s="0" t="s">
        <v>166</v>
      </c>
    </row>
    <row r="15" customFormat="false" ht="15" hidden="false" customHeight="false" outlineLevel="0" collapsed="false">
      <c r="A15" s="0" t="s">
        <v>167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122.142352053669</v>
      </c>
      <c r="C15" s="3" t="n">
        <v>9</v>
      </c>
    </row>
    <row r="16" customFormat="false" ht="15" hidden="false" customHeight="false" outlineLevel="0" collapsed="false">
      <c r="A16" s="0" t="s">
        <v>168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105.700113029223</v>
      </c>
      <c r="C16" s="3" t="n">
        <v>10</v>
      </c>
    </row>
    <row r="17" customFormat="false" ht="15" hidden="false" customHeight="false" outlineLevel="0" collapsed="false">
      <c r="A17" s="0" t="s">
        <v>169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93.1324931153036</v>
      </c>
      <c r="C17" s="3" t="n">
        <v>11</v>
      </c>
    </row>
    <row r="18" customFormat="false" ht="15" hidden="false" customHeight="false" outlineLevel="0" collapsed="false">
      <c r="A18" s="0" t="s">
        <v>170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83.2156390598789</v>
      </c>
      <c r="C18" s="3" t="n">
        <v>12</v>
      </c>
    </row>
    <row r="19" customFormat="false" ht="15" hidden="false" customHeight="false" outlineLevel="0" collapsed="false">
      <c r="A19" s="0" t="s">
        <v>171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63.0058489530314</v>
      </c>
      <c r="C19" s="3" t="n">
        <v>15</v>
      </c>
    </row>
    <row r="21" customFormat="false" ht="15" hidden="false" customHeight="false" outlineLevel="0" collapsed="false">
      <c r="A21" s="2" t="s">
        <v>172</v>
      </c>
    </row>
    <row r="22" customFormat="false" ht="15" hidden="false" customHeight="false" outlineLevel="0" collapsed="false">
      <c r="B22" s="3" t="n">
        <v>1.5</v>
      </c>
      <c r="C22" s="3" t="n">
        <v>2</v>
      </c>
      <c r="D22" s="3" t="n">
        <v>2.5</v>
      </c>
      <c r="E22" s="3" t="n">
        <v>3</v>
      </c>
      <c r="F22" s="3" t="n">
        <v>3.5</v>
      </c>
    </row>
    <row r="23" customFormat="false" ht="15" hidden="false" customHeight="false" outlineLevel="0" collapsed="false">
      <c r="A23" s="3" t="n">
        <v>7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152.629015108425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152.629015108425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152.629015108425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152.629015108425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152.629015108425</v>
      </c>
    </row>
    <row r="24" customFormat="false" ht="15" hidden="false" customHeight="false" outlineLevel="0" collapsed="false">
      <c r="A24" s="3" t="n">
        <v>8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130.540524799594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136.972156048556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141.617223061694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141.617223061694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141.617223061694</v>
      </c>
    </row>
    <row r="25" customFormat="false" ht="15" hidden="false" customHeight="false" outlineLevel="0" collapsed="false">
      <c r="A25" s="3" t="n">
        <v>9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112.670902789971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117.068361376688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122.142352053669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128.062007843481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131.592077809882</v>
      </c>
    </row>
    <row r="26" customFormat="false" ht="15" hidden="false" customHeight="false" outlineLevel="0" collapsed="false">
      <c r="A26" s="3" t="n">
        <v>10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99.0287406406289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102.155946447782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105.700113029223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109.750589122298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114.424215383539</v>
      </c>
    </row>
    <row r="27" customFormat="false" ht="15" hidden="false" customHeight="false" outlineLevel="0" collapsed="false">
      <c r="A27" s="3" t="n">
        <v>11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88.2775941240454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90.5701853143618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93.1324931153036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96.0150893913632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99.2820318375641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2026-10-02T00:39:23Z</dcterms:created>
  <dc:creator>openpyxl</dc:creator>
  <dc:description/>
  <dc:language>en-NZ</dc:language>
  <cp:lastModifiedBy/>
  <dcterms:modified xsi:type="dcterms:W3CDTF">2026-10-02T00:39:23Z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