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<sst xmlns="http://schemas.openxmlformats.org/spreadsheetml/2006/main" count="380" uniqueCount="174">
  <si>
    <t xml:space="preserve">Ticker</t>
  </si>
  <si>
    <t xml:space="preserve">BN2.SI</t>
  </si>
  <si>
    <t xml:space="preserve">Company</t>
  </si>
  <si>
    <t xml:space="preserve">Valuetronics Holdings Limited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</si>
  <si>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</si>
  <si>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</si>
  <si>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</si>
  <si>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</si>
  <si>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2026-10-30T09:04:23Z regular SGX close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</si>
  <si>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</si>
  <si>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</si>
  <si>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</si>
  <si>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</si>
  <si>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</si>
  <si>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</si>
  <si>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</si>
  <si>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SGD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</si>
  <si>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</si>
  <si>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</si>
  <si>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</si>
  <si>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</si>
  <si>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</si>
  <si>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2026-10-30T21:39:32Z</t>
  </si>
  <si>
    <t xml:space="preserve">Drivers file</t>
  </si>
  <si>
    <t xml:space="preserve">BN2.SI_Drivers.json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</si>
  <si>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</si>
  <si>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</si>
  <si>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</si>
  <si>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Valuetronics is a net-cash EMS contract manufacturer whose value splits roughly 45/55 between a HK$1.1bn cash pile (after the August 2026 dividend) and a core EMS business earning ~HK$120-140m of owner FCF a year on a mature 11% EBITDA margin. The model values the EMS flows at a 10% HKD WACC with interest income stripped and the cash added once, holds the share count flat with SBC expensed, normalises capex at 3% after the one-off FY2025 GPU purchase, excludes the FY2026 Trio AI charges as non-recurring, ramps cash tax to 16% as the Vietnam holiday unwinds, and caps the terminal at 10x owner FCF because the stock traded at 1.2-5.1x EV/EBITDA for nine years before re-rating in FY2026. Results are computed in HKD and converted to SGD at 0.16297 (6.136 HKD per SGD). The first pass at the house 13x cap gave a base value ~6% higher; the difference is the price of assuming the FY2026 re-rating is permanent.
key_risks_to_valuation: Customer concentration: a single Canada-based network-access customer drove FY2025-FY2026 ICE growth; top-5 trade receivables ~65% of the book; US tariff/trade policy (Section 122 measures after the IEEPA ruling) on ~62% of shipments to North America, from China and Vietnam plants; Capital allocation outside core EMS: the Trio AI GPU venture cost ~HK$48m in FY2026 and lease payments remain in default; residual GPUs in PP&amp;E may need further write-downs; Cash tax normalisation: Vietnam tax holiday stepping down and tax losses exhausted; a faster ramp than modelled lowers value; Input-cost inflation (resin, connectors, memory, PCBs, crude-linked logistics) and AI-driven component allocation constraints squeezing the 18.8% gross margin; Multiple: the market has paid 1.2-5.1x EV/EBITDA for this business in nine of the last ten years; the model's terminal (~5.7x) and today's price (~7x) both sit at or above that range; FX: HKD/SGD rate moves translate directly into the SGD value; refresh_price.py does not move fx_rate (see memory), so re-derive the rate on each update</t>
  </si>
  <si>
    <t xml:space="preserve">Data sources</t>
  </si>
  <si>
    <t xml:space="preserve">price: Yahoo Finance chart API at inputs.price_as_of; 52-week range S$0.81-1.21
fx: Yahoo Finance SGDHKD=X at 2026-10-30T21:26Z, cross-checked against the HKD/USD peg
financials: BN2.SI_Metrics.csv (FY2011-FY2026 annual, H1 FY2016-H1 FY2026 interim, HKD millions) derived from the SGX annual reports; FY2026 Annual Report (year ended 31 March 2026) for the Trio AI reconciliation (p.457-575), balance sheet (p.3422), EPS/dilution (note 11), leases (note 14(a)), shareholdings statistics (p.6635); BN2.SI_Prices.csv for the sanity hand bridge
qualitative: BN2.SI_Analysis.json (2026-10-31); FY2026 chairman's statement and business outlook (capital-return programme, revised 50-70% payout policy, FY2027 outlook)</t>
  </si>
  <si>
    <t xml:space="preserve">Scenario narrative: bear</t>
  </si>
  <si>
    <t xml:space="preserve">Loss or de-stocking at the single largest ICE customer plus tariff-driven re-shoring: revenue -10% over two years, EBITDA ex-interest back to 9%, no recovery beyond inflation, and the multiple goes back to its 10-year range (9x owner FCF). The cash pile puts a floor under the shares, which is why even the bear case does not fall far below the cash-adjusted book value.</t>
  </si>
  <si>
    <t xml:space="preserve">Scenario narrative: base</t>
  </si>
  <si>
    <t xml:space="preserve">A cleaner FY2027 base after the CE phase-out: ICE compounds at mid-single digits on the Canada network-access and HPC-cooling customers plus early automotive wins, CE bottoms around HK$150m, revenue grows ~3% a year on average over the decade. EBITDA ex-interest holds at 11% (FY2026 adjusted 11.2%) with cost headwinds offsetting further mix gains; cash tax normalises to 16% as the Vietnam holiday steps down. Capex ~3% of revenue funds the Vietnam floor and tooling. Interest on the HK$1.2bn cash is stripped from the flows and the cash is added in the bridge net of the HK$122.8m dividend paid in August 2026. The terminal is capped at 10x owner FCF, the top of the stock's own pre-FY2026 multiple range.</t>
  </si>
  <si>
    <t xml:space="preserve">Scenario narrative: bull</t>
  </si>
  <si>
    <t xml:space="preserve">New automotive programmes (super-duty trucks, hybrids) and China+1 wins fill the enlarged Vietnam campus; ICE grows 7% for three years and EBITDA ex-interest reaches 12.5% on operating leverage. The HK$300m capital-return programme executed at today's price retires ~6% of the count below intrinsic value (not modelled, upside). Terminal 11x owner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</si>
  <si>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</si>
  <si>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</si>
  <si>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</si>
  <si>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</si>
  <si>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</si>
  <si>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</si>
  <si>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</si>
  <si>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</si>
  <si>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</si>
  <si>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</si>
  <si>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</si>
  <si>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</si>
  <si>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</si>
  <si>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</si>
  <si>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</si>
  <si>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</si>
  <si>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</si>
  <si>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</si>
  <si>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</si>
  <si>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</si>
  <si>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</si>
  <si>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</si>
  <si>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</si>
  <si>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</si>
  <si>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</si>
  <si>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</si>
  <si>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</si>
  <si>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CashTaxRate</t>
  </si>
  <si>
    <t xml:space="preserve">IndustrialRevenue</t>
  </si>
  <si>
    <t xml:space="preserve">SegmentRevenueConsumer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</si>
  <si>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</si>
  <si>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</si>
  <si>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</si>
  <si>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</si>
  <si>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</si>
  <si>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</si>
  <si>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</si>
  <si>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</si>
  <si>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</si>
  <si>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</si>
  <si>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</si>
  <si>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</si>
  <si>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</si>
  <si>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</si>
  <si>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</si>
  <si>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</si>
  <si>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</si>
  <si>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</si>
  <si>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</si>
  <si>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</si>
  <si>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</si>
  <si>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</si>
  <si>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</si>
  <si>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</si>
  <si>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</si>
  <si>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</si>
  <si>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</si>
  <si>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</si>
  <si>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</si>
  <si>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</si>
  <si>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</si>
  <si>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</si>
  <si>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</si>
  <si>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</si>
  <si>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</si>
  <si>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</si>
  <si>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</si>
  <si>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</si>
  <si>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</si>
  <si>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</si>
  <si>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</si>
  <si>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</si>
  <si>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</si>
  <si>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</si>
  <si>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</si>
  <si>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</si>
  <si>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</si>
  <si>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</si>
  <si>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</si>
  <si>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</si>
  <si>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</si>
  <si>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</si>
  <si>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</si>
  <si>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BN2.SI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</si>
  <si>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</si>
  <si>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</si>
  <si>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</si>
  <si>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</si>
  <si>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</si>
  <si>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</si>
  <si>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</si>
  <si>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</si>
  <si>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</si>
  <si>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</si>
  <si>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</si>
  <si>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</si>
  <si>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</si>
  <si>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</si>
  <si>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</si>
  <si>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</si>
  <si>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</si>
  <si>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</si>
  <si>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</si>
  <si>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</si>
  <si>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</si>
  <si>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</si>
  <si>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</si>
  <si>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</si>
  <si>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</si>
  <si>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</si>
  <si>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</si>
  <si>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</si>
  <si>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</si>
  <si>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</si>
  <si>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BN2.SI owner-FCF component DCF: base case (millions, HKD)</t>
  </si>
  <si>
    <t xml:space="preserve">BN2.SI owner-FCF component DCF: bull case (millions, HKD)</t>
  </si>
  <si>
    <t xml:space="preserve">BN2.SI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</si>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</sst>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0.945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1970.434</v>
      </c>
      <c r="C2" s="0" t="n">
        <v>1660.742</v>
      </c>
      <c r="D2" s="0" t="n">
        <v>309.692</v>
      </c>
      <c r="E2" s="0" t="n">
        <v>15.7</v>
      </c>
      <c r="F2" s="0" t="n">
        <v>138.26</v>
      </c>
      <c r="G2" s="0" t="n">
        <v>7</v>
      </c>
      <c r="H2" s="0" t="n">
        <v>171.47</v>
      </c>
      <c r="I2" s="0" t="n">
        <v>121.239</v>
      </c>
      <c r="J2" s="0" t="n">
        <v>6.2</v>
      </c>
      <c r="K2" s="0" t="n">
        <v>0.34</v>
      </c>
      <c r="L2" s="0" t="n">
        <v>37.338</v>
      </c>
      <c r="M2" s="0" t="n">
        <v>72.859</v>
      </c>
      <c r="N2" s="0" t="n">
        <v>-35.521</v>
      </c>
      <c r="O2" s="0" t="n">
        <v>476.21</v>
      </c>
      <c r="P2" s="0" t="n">
        <v>1031.387</v>
      </c>
      <c r="Q2" s="0" t="n">
        <v>555.177</v>
      </c>
      <c r="R2" s="0" t="n">
        <v>38.015</v>
      </c>
      <c r="S2" s="0" t="n">
        <v>136.185</v>
      </c>
      <c r="T2" s="0" t="n">
        <v>356.6</v>
      </c>
      <c r="U2" s="0" t="n">
        <v>3.39</v>
      </c>
      <c r="AA2" s="0" t="s">
        <v>18</v>
      </c>
      <c r="AB2" s="0" t="s">
        <v>14</v>
      </c>
      <c r="AD2" s="0" t="n">
        <v>673.3</v>
      </c>
      <c r="AE2" s="0" t="n">
        <v>1263.7</v>
      </c>
    </row>
    <row r="3" customFormat="false" ht="15" hidden="false" customHeight="false" outlineLevel="0" collapsed="false">
      <c r="A3" s="0" t="s">
        <v>68</v>
      </c>
      <c r="B3" s="0" t="n">
        <v>2378.625</v>
      </c>
      <c r="C3" s="0" t="n">
        <v>2037.503</v>
      </c>
      <c r="D3" s="0" t="n">
        <v>341.122</v>
      </c>
      <c r="E3" s="0" t="n">
        <v>14.3</v>
      </c>
      <c r="F3" s="0" t="n">
        <v>150.313</v>
      </c>
      <c r="G3" s="0" t="n">
        <v>6.3</v>
      </c>
      <c r="H3" s="0" t="n">
        <v>193.8</v>
      </c>
      <c r="I3" s="0" t="n">
        <v>130.326</v>
      </c>
      <c r="J3" s="0" t="n">
        <v>5.5</v>
      </c>
      <c r="K3" s="0" t="n">
        <v>0.361</v>
      </c>
      <c r="L3" s="0" t="n">
        <v>239.823</v>
      </c>
      <c r="M3" s="0" t="n">
        <v>48.809</v>
      </c>
      <c r="N3" s="0" t="n">
        <v>191.014</v>
      </c>
      <c r="O3" s="0" t="n">
        <v>568.375</v>
      </c>
      <c r="P3" s="0" t="n">
        <v>1233.386</v>
      </c>
      <c r="Q3" s="0" t="n">
        <v>665.011</v>
      </c>
      <c r="R3" s="0" t="n">
        <v>20</v>
      </c>
      <c r="S3" s="0" t="n">
        <v>263.73</v>
      </c>
      <c r="T3" s="0" t="n">
        <v>361</v>
      </c>
      <c r="U3" s="0" t="n">
        <v>4.294</v>
      </c>
      <c r="AA3" s="0" t="s">
        <v>18</v>
      </c>
      <c r="AB3" s="0" t="s">
        <v>14</v>
      </c>
      <c r="AD3" s="0" t="n">
        <v>604.7</v>
      </c>
      <c r="AE3" s="0" t="n">
        <v>1683.6</v>
      </c>
    </row>
    <row r="4" customFormat="false" ht="15" hidden="false" customHeight="false" outlineLevel="0" collapsed="false">
      <c r="A4" s="0" t="s">
        <v>69</v>
      </c>
      <c r="B4" s="0" t="n">
        <v>2210.166</v>
      </c>
      <c r="C4" s="0" t="n">
        <v>1939.936</v>
      </c>
      <c r="D4" s="0" t="n">
        <v>270.23</v>
      </c>
      <c r="E4" s="0" t="n">
        <v>12.2</v>
      </c>
      <c r="F4" s="0" t="n">
        <v>132.715</v>
      </c>
      <c r="G4" s="0" t="n">
        <v>6</v>
      </c>
      <c r="H4" s="0" t="n">
        <v>176.483</v>
      </c>
      <c r="I4" s="0" t="n">
        <v>78.683</v>
      </c>
      <c r="J4" s="0" t="n">
        <v>3.6</v>
      </c>
      <c r="K4" s="0" t="n">
        <v>0.218</v>
      </c>
      <c r="L4" s="0" t="n">
        <v>59.185</v>
      </c>
      <c r="M4" s="0" t="n">
        <v>17.937</v>
      </c>
      <c r="N4" s="0" t="n">
        <v>41.248</v>
      </c>
      <c r="O4" s="0" t="n">
        <v>592.227</v>
      </c>
      <c r="P4" s="0" t="n">
        <v>1112.443</v>
      </c>
      <c r="Q4" s="0" t="n">
        <v>520.216</v>
      </c>
      <c r="R4" s="0" t="n">
        <v>0</v>
      </c>
      <c r="S4" s="0" t="n">
        <v>221.579</v>
      </c>
      <c r="T4" s="0" t="n">
        <v>360.9</v>
      </c>
      <c r="U4" s="0" t="n">
        <v>4.372</v>
      </c>
      <c r="AA4" s="0" t="s">
        <v>18</v>
      </c>
      <c r="AB4" s="0" t="s">
        <v>14</v>
      </c>
      <c r="AD4" s="0" t="n">
        <v>628.8</v>
      </c>
      <c r="AE4" s="0" t="n">
        <v>1581.4</v>
      </c>
    </row>
    <row r="5" customFormat="false" ht="15" hidden="false" customHeight="false" outlineLevel="0" collapsed="false">
      <c r="A5" s="0" t="s">
        <v>70</v>
      </c>
      <c r="B5" s="0" t="n">
        <v>2433.272</v>
      </c>
      <c r="C5" s="0" t="n">
        <v>2106.49</v>
      </c>
      <c r="D5" s="0" t="n">
        <v>326.782</v>
      </c>
      <c r="E5" s="0" t="n">
        <v>13.4</v>
      </c>
      <c r="F5" s="0" t="n">
        <v>167.639</v>
      </c>
      <c r="G5" s="0" t="n">
        <v>6.9</v>
      </c>
      <c r="H5" s="0" t="n">
        <v>207.313</v>
      </c>
      <c r="I5" s="0" t="n">
        <v>147.905</v>
      </c>
      <c r="J5" s="0" t="n">
        <v>6.1</v>
      </c>
      <c r="K5" s="0" t="n">
        <v>0.404</v>
      </c>
      <c r="L5" s="0" t="n">
        <v>302.957</v>
      </c>
      <c r="M5" s="0" t="n">
        <v>20.847</v>
      </c>
      <c r="N5" s="0" t="n">
        <v>282.11</v>
      </c>
      <c r="O5" s="0" t="n">
        <v>726.567</v>
      </c>
      <c r="P5" s="0" t="n">
        <v>1421.531</v>
      </c>
      <c r="Q5" s="0" t="n">
        <v>694.964</v>
      </c>
      <c r="R5" s="0" t="n">
        <v>0</v>
      </c>
      <c r="S5" s="0" t="n">
        <v>477.934</v>
      </c>
      <c r="T5" s="0" t="n">
        <v>366.1</v>
      </c>
      <c r="U5" s="0" t="n">
        <v>3.937</v>
      </c>
      <c r="AA5" s="0" t="s">
        <v>18</v>
      </c>
      <c r="AB5" s="0" t="s">
        <v>14</v>
      </c>
      <c r="AD5" s="0" t="n">
        <v>779.9</v>
      </c>
      <c r="AE5" s="0" t="n">
        <v>1653.4</v>
      </c>
    </row>
    <row r="6" customFormat="false" ht="15" hidden="false" customHeight="false" outlineLevel="0" collapsed="false">
      <c r="A6" s="0" t="s">
        <v>71</v>
      </c>
      <c r="B6" s="0" t="n">
        <v>2429.251</v>
      </c>
      <c r="C6" s="0" t="n">
        <v>2097.85</v>
      </c>
      <c r="D6" s="0" t="n">
        <v>331.401</v>
      </c>
      <c r="E6" s="0" t="n">
        <v>13.6</v>
      </c>
      <c r="F6" s="0" t="n">
        <v>168.637</v>
      </c>
      <c r="G6" s="0" t="n">
        <v>6.9</v>
      </c>
      <c r="H6" s="0" t="n">
        <v>206.612</v>
      </c>
      <c r="I6" s="0" t="n">
        <v>149.182</v>
      </c>
      <c r="J6" s="0" t="n">
        <v>6.1</v>
      </c>
      <c r="K6" s="0" t="n">
        <v>0.399</v>
      </c>
      <c r="L6" s="0" t="n">
        <v>176.576</v>
      </c>
      <c r="M6" s="0" t="n">
        <v>29.945</v>
      </c>
      <c r="N6" s="0" t="n">
        <v>146.631</v>
      </c>
      <c r="O6" s="0" t="n">
        <v>808.543</v>
      </c>
      <c r="P6" s="0" t="n">
        <v>1522.686</v>
      </c>
      <c r="Q6" s="0" t="n">
        <v>714.143</v>
      </c>
      <c r="R6" s="0" t="n">
        <v>0</v>
      </c>
      <c r="S6" s="0" t="n">
        <v>505.847</v>
      </c>
      <c r="T6" s="0" t="n">
        <v>373.9</v>
      </c>
      <c r="U6" s="0" t="n">
        <v>4.749</v>
      </c>
      <c r="AA6" s="0" t="s">
        <v>18</v>
      </c>
      <c r="AB6" s="0" t="s">
        <v>14</v>
      </c>
      <c r="AD6" s="0" t="n">
        <v>956.3</v>
      </c>
      <c r="AE6" s="0" t="n">
        <v>1473</v>
      </c>
    </row>
    <row r="7" customFormat="false" ht="15" hidden="false" customHeight="false" outlineLevel="0" collapsed="false">
      <c r="A7" s="0" t="s">
        <v>72</v>
      </c>
      <c r="B7" s="0" t="n">
        <v>1952.896</v>
      </c>
      <c r="C7" s="0" t="n">
        <v>1655.432</v>
      </c>
      <c r="D7" s="0" t="n">
        <v>297.464</v>
      </c>
      <c r="E7" s="0" t="n">
        <v>15.2</v>
      </c>
      <c r="F7" s="0" t="n">
        <v>136.516</v>
      </c>
      <c r="G7" s="0" t="n">
        <v>7</v>
      </c>
      <c r="H7" s="0" t="n">
        <v>173.292</v>
      </c>
      <c r="I7" s="0" t="n">
        <v>120.438</v>
      </c>
      <c r="J7" s="0" t="n">
        <v>6.2</v>
      </c>
      <c r="K7" s="0" t="n">
        <v>0.317</v>
      </c>
      <c r="L7" s="0" t="n">
        <v>289.273</v>
      </c>
      <c r="M7" s="0" t="n">
        <v>26.887</v>
      </c>
      <c r="N7" s="0" t="n">
        <v>262.386</v>
      </c>
      <c r="O7" s="0" t="n">
        <v>857.299</v>
      </c>
      <c r="P7" s="0" t="n">
        <v>1505.951</v>
      </c>
      <c r="Q7" s="0" t="n">
        <v>648.652</v>
      </c>
      <c r="R7" s="0" t="n">
        <v>0</v>
      </c>
      <c r="S7" s="0" t="n">
        <v>689.26</v>
      </c>
      <c r="T7" s="0" t="n">
        <v>379.9</v>
      </c>
      <c r="U7" s="0" t="n">
        <v>5.336</v>
      </c>
      <c r="AA7" s="0" t="s">
        <v>18</v>
      </c>
      <c r="AB7" s="0" t="s">
        <v>14</v>
      </c>
      <c r="AC7" s="0" t="n">
        <v>15</v>
      </c>
      <c r="AD7" s="0" t="n">
        <v>1128.3</v>
      </c>
      <c r="AE7" s="0" t="n">
        <v>824.6</v>
      </c>
    </row>
    <row r="8" customFormat="false" ht="15" hidden="false" customHeight="false" outlineLevel="0" collapsed="false">
      <c r="A8" s="0" t="s">
        <v>73</v>
      </c>
      <c r="B8" s="0" t="n">
        <v>2274.911</v>
      </c>
      <c r="C8" s="0" t="n">
        <v>1933.191</v>
      </c>
      <c r="D8" s="0" t="n">
        <v>341.72</v>
      </c>
      <c r="E8" s="0" t="n">
        <v>15</v>
      </c>
      <c r="F8" s="0" t="n">
        <v>173.609</v>
      </c>
      <c r="G8" s="0" t="n">
        <v>7.6</v>
      </c>
      <c r="H8" s="0" t="n">
        <v>204.179</v>
      </c>
      <c r="I8" s="0" t="n">
        <v>154.067</v>
      </c>
      <c r="J8" s="0" t="n">
        <v>6.8</v>
      </c>
      <c r="K8" s="0" t="n">
        <v>0.365</v>
      </c>
      <c r="L8" s="0" t="n">
        <v>160.536</v>
      </c>
      <c r="M8" s="0" t="n">
        <v>43.786</v>
      </c>
      <c r="N8" s="0" t="n">
        <v>116.75</v>
      </c>
      <c r="O8" s="0" t="n">
        <v>938.574</v>
      </c>
      <c r="P8" s="0" t="n">
        <v>1823.017</v>
      </c>
      <c r="Q8" s="0" t="n">
        <v>884.443</v>
      </c>
      <c r="R8" s="0" t="n">
        <v>0</v>
      </c>
      <c r="S8" s="0" t="n">
        <v>752.941</v>
      </c>
      <c r="T8" s="0" t="n">
        <v>422.1</v>
      </c>
      <c r="U8" s="0" t="n">
        <v>6.66</v>
      </c>
      <c r="AA8" s="0" t="s">
        <v>18</v>
      </c>
      <c r="AB8" s="0" t="s">
        <v>14</v>
      </c>
      <c r="AC8" s="0" t="n">
        <v>5.2</v>
      </c>
      <c r="AD8" s="0" t="n">
        <v>1287.8</v>
      </c>
      <c r="AE8" s="0" t="n">
        <v>987.1</v>
      </c>
    </row>
    <row r="9" customFormat="false" ht="15" hidden="false" customHeight="false" outlineLevel="0" collapsed="false">
      <c r="A9" s="0" t="s">
        <v>74</v>
      </c>
      <c r="B9" s="0" t="n">
        <v>2853.667</v>
      </c>
      <c r="C9" s="0" t="n">
        <v>2439.067</v>
      </c>
      <c r="D9" s="0" t="n">
        <v>414.6</v>
      </c>
      <c r="E9" s="0" t="n">
        <v>14.5</v>
      </c>
      <c r="F9" s="0" t="n">
        <v>230.405</v>
      </c>
      <c r="G9" s="0" t="n">
        <v>8.1</v>
      </c>
      <c r="H9" s="0" t="n">
        <v>267.933</v>
      </c>
      <c r="I9" s="0" t="n">
        <v>204.731</v>
      </c>
      <c r="J9" s="0" t="n">
        <v>7.2</v>
      </c>
      <c r="K9" s="0" t="n">
        <v>0.476</v>
      </c>
      <c r="L9" s="0" t="n">
        <v>63.529</v>
      </c>
      <c r="M9" s="0" t="n">
        <v>82.387</v>
      </c>
      <c r="N9" s="0" t="n">
        <v>-18.858</v>
      </c>
      <c r="O9" s="0" t="n">
        <v>1061.96</v>
      </c>
      <c r="P9" s="0" t="n">
        <v>1968.764</v>
      </c>
      <c r="Q9" s="0" t="n">
        <v>906.804</v>
      </c>
      <c r="R9" s="0" t="n">
        <v>0</v>
      </c>
      <c r="S9" s="0" t="n">
        <v>671.087</v>
      </c>
      <c r="T9" s="0" t="n">
        <v>430.1</v>
      </c>
      <c r="U9" s="0" t="n">
        <v>5.526</v>
      </c>
      <c r="AA9" s="0" t="s">
        <v>18</v>
      </c>
      <c r="AB9" s="0" t="s">
        <v>14</v>
      </c>
      <c r="AC9" s="0" t="n">
        <v>8.3</v>
      </c>
      <c r="AD9" s="0" t="n">
        <v>1455.6</v>
      </c>
      <c r="AE9" s="0" t="n">
        <v>1398.1</v>
      </c>
    </row>
    <row r="10" customFormat="false" ht="15" hidden="false" customHeight="false" outlineLevel="0" collapsed="false">
      <c r="A10" s="0" t="s">
        <v>75</v>
      </c>
      <c r="B10" s="0" t="n">
        <v>2828.786</v>
      </c>
      <c r="C10" s="0" t="n">
        <v>2398.527</v>
      </c>
      <c r="D10" s="0" t="n">
        <v>430.259</v>
      </c>
      <c r="E10" s="0" t="n">
        <v>15.2</v>
      </c>
      <c r="F10" s="0" t="n">
        <v>224.652</v>
      </c>
      <c r="G10" s="0" t="n">
        <v>7.9</v>
      </c>
      <c r="H10" s="0" t="n">
        <v>270.009</v>
      </c>
      <c r="I10" s="0" t="n">
        <v>199.48</v>
      </c>
      <c r="J10" s="0" t="n">
        <v>7.1</v>
      </c>
      <c r="K10" s="0" t="n">
        <v>0.461</v>
      </c>
      <c r="L10" s="0" t="n">
        <v>404.065</v>
      </c>
      <c r="M10" s="0" t="n">
        <v>47.059</v>
      </c>
      <c r="N10" s="0" t="n">
        <v>357.006</v>
      </c>
      <c r="O10" s="0" t="n">
        <v>1159.282</v>
      </c>
      <c r="P10" s="0" t="n">
        <v>2013.367</v>
      </c>
      <c r="Q10" s="0" t="n">
        <v>854.085</v>
      </c>
      <c r="R10" s="0" t="n">
        <v>0</v>
      </c>
      <c r="S10" s="0" t="n">
        <v>930.445</v>
      </c>
      <c r="T10" s="0" t="n">
        <v>432.7</v>
      </c>
      <c r="U10" s="0" t="n">
        <v>4.603</v>
      </c>
      <c r="AA10" s="0" t="s">
        <v>18</v>
      </c>
      <c r="AB10" s="0" t="s">
        <v>14</v>
      </c>
      <c r="AC10" s="0" t="n">
        <v>5.8</v>
      </c>
      <c r="AD10" s="0" t="n">
        <v>1667.6</v>
      </c>
      <c r="AE10" s="0" t="n">
        <v>1161.2</v>
      </c>
    </row>
    <row r="11" customFormat="false" ht="15" hidden="false" customHeight="false" outlineLevel="0" collapsed="false">
      <c r="A11" s="0" t="s">
        <v>76</v>
      </c>
      <c r="B11" s="0" t="n">
        <v>2354.442</v>
      </c>
      <c r="C11" s="0" t="n">
        <v>1991.66</v>
      </c>
      <c r="D11" s="0" t="n">
        <v>362.782</v>
      </c>
      <c r="E11" s="0" t="n">
        <v>15.4</v>
      </c>
      <c r="F11" s="0" t="n">
        <v>197</v>
      </c>
      <c r="G11" s="0" t="n">
        <v>8.4</v>
      </c>
      <c r="H11" s="0" t="n">
        <v>250.871</v>
      </c>
      <c r="I11" s="0" t="n">
        <v>178.942</v>
      </c>
      <c r="J11" s="0" t="n">
        <v>7.6</v>
      </c>
      <c r="K11" s="0" t="n">
        <v>0.412</v>
      </c>
      <c r="L11" s="0" t="n">
        <v>327.822</v>
      </c>
      <c r="M11" s="0" t="n">
        <v>84.6</v>
      </c>
      <c r="N11" s="0" t="n">
        <v>243.222</v>
      </c>
      <c r="O11" s="0" t="n">
        <v>1231.602</v>
      </c>
      <c r="P11" s="0" t="n">
        <v>2013.462</v>
      </c>
      <c r="Q11" s="0" t="n">
        <v>781.86</v>
      </c>
      <c r="R11" s="0" t="n">
        <v>2.302</v>
      </c>
      <c r="S11" s="0" t="n">
        <v>1053.096</v>
      </c>
      <c r="T11" s="0" t="n">
        <v>434.3</v>
      </c>
      <c r="U11" s="0" t="n">
        <v>4.371</v>
      </c>
      <c r="AA11" s="0" t="s">
        <v>18</v>
      </c>
      <c r="AB11" s="0" t="s">
        <v>14</v>
      </c>
      <c r="AC11" s="0" t="n">
        <v>9.3</v>
      </c>
      <c r="AD11" s="0" t="n">
        <v>1438.4</v>
      </c>
      <c r="AE11" s="0" t="n">
        <v>916</v>
      </c>
    </row>
    <row r="12" customFormat="false" ht="15" hidden="false" customHeight="false" outlineLevel="0" collapsed="false">
      <c r="A12" s="0" t="s">
        <v>77</v>
      </c>
      <c r="B12" s="0" t="n">
        <v>2281.523</v>
      </c>
      <c r="C12" s="0" t="n">
        <v>1895.298</v>
      </c>
      <c r="D12" s="0" t="n">
        <v>386.225</v>
      </c>
      <c r="E12" s="0" t="n">
        <v>16.9</v>
      </c>
      <c r="F12" s="0" t="n">
        <v>209.366</v>
      </c>
      <c r="G12" s="0" t="n">
        <v>9.2</v>
      </c>
      <c r="H12" s="0" t="n">
        <v>267.036</v>
      </c>
      <c r="I12" s="0" t="n">
        <v>187.113</v>
      </c>
      <c r="J12" s="0" t="n">
        <v>8.2</v>
      </c>
      <c r="K12" s="0" t="n">
        <v>0.43</v>
      </c>
      <c r="L12" s="0" t="n">
        <v>213.071</v>
      </c>
      <c r="M12" s="0" t="n">
        <v>94.637</v>
      </c>
      <c r="N12" s="0" t="n">
        <v>118.434</v>
      </c>
      <c r="O12" s="0" t="n">
        <v>1347.093</v>
      </c>
      <c r="P12" s="0" t="n">
        <v>2241.597</v>
      </c>
      <c r="Q12" s="0" t="n">
        <v>894.504</v>
      </c>
      <c r="R12" s="0" t="n">
        <v>0</v>
      </c>
      <c r="S12" s="0" t="n">
        <v>1129.446</v>
      </c>
      <c r="T12" s="0" t="n">
        <v>435.1</v>
      </c>
      <c r="U12" s="0" t="n">
        <v>4.149</v>
      </c>
      <c r="AA12" s="0" t="s">
        <v>18</v>
      </c>
      <c r="AB12" s="0" t="s">
        <v>14</v>
      </c>
      <c r="AC12" s="0" t="n">
        <v>7</v>
      </c>
      <c r="AD12" s="0" t="n">
        <v>1600.8</v>
      </c>
      <c r="AE12" s="0" t="n">
        <v>680.7</v>
      </c>
    </row>
    <row r="13" customFormat="false" ht="15" hidden="false" customHeight="false" outlineLevel="0" collapsed="false">
      <c r="A13" s="0" t="s">
        <v>78</v>
      </c>
      <c r="B13" s="0" t="n">
        <v>2027.426</v>
      </c>
      <c r="C13" s="0" t="n">
        <v>1752.611</v>
      </c>
      <c r="D13" s="0" t="n">
        <v>274.815</v>
      </c>
      <c r="E13" s="0" t="n">
        <v>13.6</v>
      </c>
      <c r="F13" s="0" t="n">
        <v>126.328</v>
      </c>
      <c r="G13" s="0" t="n">
        <v>6.2</v>
      </c>
      <c r="H13" s="0" t="n">
        <v>188</v>
      </c>
      <c r="I13" s="0" t="n">
        <v>113.546</v>
      </c>
      <c r="J13" s="0" t="n">
        <v>5.6</v>
      </c>
      <c r="K13" s="0" t="n">
        <v>0.26</v>
      </c>
      <c r="L13" s="0" t="n">
        <v>-10.919</v>
      </c>
      <c r="M13" s="0" t="n">
        <v>92.284</v>
      </c>
      <c r="N13" s="0" t="n">
        <v>-103.203</v>
      </c>
      <c r="O13" s="0" t="n">
        <v>1368.603</v>
      </c>
      <c r="P13" s="0" t="n">
        <v>2095.655</v>
      </c>
      <c r="Q13" s="0" t="n">
        <v>727.052</v>
      </c>
      <c r="R13" s="0" t="n">
        <v>0</v>
      </c>
      <c r="S13" s="0" t="n">
        <v>936.665</v>
      </c>
      <c r="T13" s="0" t="n">
        <v>436.7</v>
      </c>
      <c r="U13" s="0" t="n">
        <v>3.286</v>
      </c>
      <c r="AA13" s="0" t="s">
        <v>18</v>
      </c>
      <c r="AB13" s="0" t="s">
        <v>14</v>
      </c>
      <c r="AC13" s="0" t="n">
        <v>17.5</v>
      </c>
      <c r="AD13" s="0" t="n">
        <v>1320.5</v>
      </c>
      <c r="AE13" s="0" t="n">
        <v>706.9</v>
      </c>
    </row>
    <row r="14" customFormat="false" ht="15" hidden="false" customHeight="false" outlineLevel="0" collapsed="false">
      <c r="A14" s="0" t="s">
        <v>79</v>
      </c>
      <c r="B14" s="0" t="n">
        <v>2013.688</v>
      </c>
      <c r="C14" s="0" t="n">
        <v>1751.993</v>
      </c>
      <c r="D14" s="0" t="n">
        <v>261.695</v>
      </c>
      <c r="E14" s="0" t="n">
        <v>13</v>
      </c>
      <c r="F14" s="0" t="n">
        <v>132.919</v>
      </c>
      <c r="G14" s="0" t="n">
        <v>6.6</v>
      </c>
      <c r="H14" s="0" t="n">
        <v>187.937</v>
      </c>
      <c r="I14" s="0" t="n">
        <v>122.99</v>
      </c>
      <c r="J14" s="0" t="n">
        <v>6.1</v>
      </c>
      <c r="K14" s="0" t="n">
        <v>0.291</v>
      </c>
      <c r="L14" s="0" t="n">
        <v>198.173</v>
      </c>
      <c r="M14" s="0" t="n">
        <v>34.627</v>
      </c>
      <c r="N14" s="0" t="n">
        <v>163.546</v>
      </c>
      <c r="O14" s="0" t="n">
        <v>1361.995</v>
      </c>
      <c r="P14" s="0" t="n">
        <v>2075.903</v>
      </c>
      <c r="Q14" s="0" t="n">
        <v>713.908</v>
      </c>
      <c r="R14" s="0" t="n">
        <v>0</v>
      </c>
      <c r="S14" s="0" t="n">
        <v>1009.93</v>
      </c>
      <c r="T14" s="0" t="n">
        <v>422.6</v>
      </c>
      <c r="U14" s="0" t="n">
        <v>2.376</v>
      </c>
      <c r="AA14" s="0" t="s">
        <v>18</v>
      </c>
      <c r="AB14" s="0" t="s">
        <v>14</v>
      </c>
      <c r="AC14" s="0" t="n">
        <v>3.6</v>
      </c>
      <c r="AD14" s="0" t="n">
        <v>1580.3</v>
      </c>
      <c r="AE14" s="0" t="n">
        <v>433.4</v>
      </c>
    </row>
    <row r="15" customFormat="false" ht="15" hidden="false" customHeight="false" outlineLevel="0" collapsed="false">
      <c r="A15" s="0" t="s">
        <v>80</v>
      </c>
      <c r="B15" s="0" t="n">
        <v>1669.892</v>
      </c>
      <c r="C15" s="0" t="n">
        <v>1404.738</v>
      </c>
      <c r="D15" s="0" t="n">
        <v>265.154</v>
      </c>
      <c r="E15" s="0" t="n">
        <v>15.9</v>
      </c>
      <c r="F15" s="0" t="n">
        <v>168.458</v>
      </c>
      <c r="G15" s="0" t="n">
        <v>10.1</v>
      </c>
      <c r="H15" s="0" t="n">
        <v>213.293</v>
      </c>
      <c r="I15" s="0" t="n">
        <v>159.584</v>
      </c>
      <c r="J15" s="0" t="n">
        <v>9.6</v>
      </c>
      <c r="K15" s="0" t="n">
        <v>0.386</v>
      </c>
      <c r="L15" s="0" t="n">
        <v>233.7</v>
      </c>
      <c r="M15" s="0" t="n">
        <v>21.083</v>
      </c>
      <c r="N15" s="0" t="n">
        <v>212.617</v>
      </c>
      <c r="O15" s="0" t="n">
        <v>1399.583</v>
      </c>
      <c r="P15" s="0" t="n">
        <v>2088.898</v>
      </c>
      <c r="Q15" s="0" t="n">
        <v>689.315</v>
      </c>
      <c r="R15" s="0" t="n">
        <v>0</v>
      </c>
      <c r="S15" s="0" t="n">
        <v>1164.48</v>
      </c>
      <c r="T15" s="0" t="n">
        <v>413.4</v>
      </c>
      <c r="U15" s="0" t="n">
        <v>1.726</v>
      </c>
      <c r="AA15" s="0" t="s">
        <v>18</v>
      </c>
      <c r="AB15" s="0" t="s">
        <v>14</v>
      </c>
      <c r="AC15" s="0" t="n">
        <v>6</v>
      </c>
      <c r="AD15" s="0" t="n">
        <v>1252</v>
      </c>
      <c r="AE15" s="0" t="n">
        <v>417.9</v>
      </c>
    </row>
    <row r="16" customFormat="false" ht="15" hidden="false" customHeight="false" outlineLevel="0" collapsed="false">
      <c r="A16" s="0" t="s">
        <v>81</v>
      </c>
      <c r="B16" s="0" t="n">
        <v>1729.07</v>
      </c>
      <c r="C16" s="0" t="n">
        <v>1435.348</v>
      </c>
      <c r="D16" s="0" t="n">
        <v>293.722</v>
      </c>
      <c r="E16" s="0" t="n">
        <v>17</v>
      </c>
      <c r="F16" s="0" t="n">
        <v>175.351</v>
      </c>
      <c r="G16" s="0" t="n">
        <v>10.1</v>
      </c>
      <c r="H16" s="0" t="n">
        <v>219.488</v>
      </c>
      <c r="I16" s="0" t="n">
        <v>170.387</v>
      </c>
      <c r="J16" s="0" t="n">
        <v>9.9</v>
      </c>
      <c r="K16" s="0" t="n">
        <v>0.415</v>
      </c>
      <c r="L16" s="0" t="n">
        <v>207.93</v>
      </c>
      <c r="M16" s="0" t="n">
        <v>228.012</v>
      </c>
      <c r="N16" s="0" t="n">
        <v>-20.082</v>
      </c>
      <c r="O16" s="0" t="n">
        <v>1453.707</v>
      </c>
      <c r="P16" s="0" t="n">
        <v>2183.766</v>
      </c>
      <c r="Q16" s="0" t="n">
        <v>727.659</v>
      </c>
      <c r="R16" s="0" t="n">
        <v>0</v>
      </c>
      <c r="S16" s="0" t="n">
        <v>1093.812</v>
      </c>
      <c r="T16" s="0" t="n">
        <v>410.6</v>
      </c>
      <c r="U16" s="0" t="n">
        <v>1.507</v>
      </c>
      <c r="AA16" s="0" t="s">
        <v>18</v>
      </c>
      <c r="AB16" s="0" t="s">
        <v>14</v>
      </c>
      <c r="AC16" s="0" t="n">
        <v>5.3</v>
      </c>
      <c r="AD16" s="0" t="n">
        <v>1362.1</v>
      </c>
      <c r="AE16" s="0" t="n">
        <v>367</v>
      </c>
    </row>
    <row r="17" customFormat="false" ht="15" hidden="false" customHeight="false" outlineLevel="0" collapsed="false">
      <c r="A17" s="0" t="s">
        <v>82</v>
      </c>
      <c r="B17" s="0" t="n">
        <v>1660.246</v>
      </c>
      <c r="C17" s="0" t="n">
        <v>1348.121</v>
      </c>
      <c r="D17" s="0" t="n">
        <v>312.125</v>
      </c>
      <c r="E17" s="0" t="n">
        <v>18.8</v>
      </c>
      <c r="F17" s="0" t="n">
        <v>136.79</v>
      </c>
      <c r="G17" s="0" t="n">
        <v>8.2</v>
      </c>
      <c r="H17" s="0" t="n">
        <v>184.111</v>
      </c>
      <c r="I17" s="0" t="n">
        <v>117.123</v>
      </c>
      <c r="J17" s="0" t="n">
        <v>7.1</v>
      </c>
      <c r="K17" s="0" t="n">
        <v>0.286</v>
      </c>
      <c r="L17" s="0" t="n">
        <v>225.41</v>
      </c>
      <c r="M17" s="0" t="n">
        <v>46.994</v>
      </c>
      <c r="N17" s="0" t="n">
        <v>178.416</v>
      </c>
      <c r="O17" s="0" t="n">
        <v>1469.284</v>
      </c>
      <c r="P17" s="0" t="n">
        <v>2184.053</v>
      </c>
      <c r="Q17" s="0" t="n">
        <v>714.769</v>
      </c>
      <c r="R17" s="0" t="n">
        <v>0</v>
      </c>
      <c r="S17" s="0" t="n">
        <v>1213.779</v>
      </c>
      <c r="T17" s="0" t="n">
        <v>409.5</v>
      </c>
      <c r="U17" s="0" t="n">
        <v>1.765</v>
      </c>
      <c r="AA17" s="0" t="s">
        <v>18</v>
      </c>
      <c r="AB17" s="0" t="s">
        <v>14</v>
      </c>
      <c r="AC17" s="0" t="n">
        <v>2.1</v>
      </c>
      <c r="AD17" s="0" t="n">
        <v>1446.1</v>
      </c>
      <c r="AE17" s="0" t="n">
        <v>214.1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0.945</v>
      </c>
    </row>
    <row r="3" customFormat="false" ht="15" hidden="false" customHeight="false" outlineLevel="0" collapsed="false">
      <c r="A3" s="0" t="s">
        <v>86</v>
      </c>
      <c r="B3" s="3" t="n">
        <v>411.2</v>
      </c>
    </row>
    <row r="4" customFormat="false" ht="15" hidden="false" customHeight="false" outlineLevel="0" collapsed="false">
      <c r="A4" s="0" t="s">
        <v>87</v>
      </c>
      <c r="B4" s="3" t="n">
        <v>-1213.779</v>
      </c>
    </row>
    <row r="5" customFormat="false" ht="15" hidden="false" customHeight="false" outlineLevel="0" collapsed="false">
      <c r="A5" s="0" t="s">
        <v>88</v>
      </c>
      <c r="B5" s="3" t="n">
        <v>-122.8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1660.246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0.16297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-6</v>
      </c>
      <c r="D13" s="3" t="n">
        <v>-4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9.8</v>
      </c>
      <c r="D14" s="3" t="n">
        <v>9</v>
      </c>
      <c r="E14" s="3" t="n">
        <v>9</v>
      </c>
      <c r="F14" s="3" t="n">
        <v>9</v>
      </c>
      <c r="G14" s="3" t="n">
        <v>9</v>
      </c>
      <c r="H14" s="3" t="n">
        <v>9</v>
      </c>
      <c r="I14" s="3" t="n">
        <v>9</v>
      </c>
      <c r="J14" s="3" t="n">
        <v>9</v>
      </c>
      <c r="K14" s="3" t="n">
        <v>9</v>
      </c>
      <c r="L14" s="3" t="n">
        <v>9</v>
      </c>
    </row>
    <row r="15" customFormat="false" ht="15" hidden="false" customHeight="false" outlineLevel="0" collapsed="false">
      <c r="A15" s="0" t="s">
        <v>108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</v>
      </c>
      <c r="D17" s="3" t="n">
        <v>3</v>
      </c>
      <c r="E17" s="3" t="n">
        <v>3</v>
      </c>
      <c r="F17" s="3" t="n">
        <v>3</v>
      </c>
      <c r="G17" s="3" t="n">
        <v>3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111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112</v>
      </c>
      <c r="C19" s="3" t="n">
        <v>11</v>
      </c>
      <c r="D19" s="3" t="n">
        <v>12</v>
      </c>
      <c r="E19" s="3" t="n">
        <v>13</v>
      </c>
      <c r="F19" s="3" t="n">
        <v>14</v>
      </c>
      <c r="G19" s="3" t="n">
        <v>15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9</v>
      </c>
    </row>
    <row r="23" customFormat="false" ht="15" hidden="false" customHeight="false" outlineLevel="0" collapsed="false">
      <c r="A23" s="0" t="s">
        <v>116</v>
      </c>
      <c r="B23" s="3" t="n">
        <v>-16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</v>
      </c>
      <c r="D27" s="3" t="n">
        <v>4</v>
      </c>
      <c r="E27" s="3" t="n">
        <v>4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10.8</v>
      </c>
      <c r="D28" s="3" t="n">
        <v>11</v>
      </c>
      <c r="E28" s="3" t="n">
        <v>11</v>
      </c>
      <c r="F28" s="3" t="n">
        <v>11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108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</v>
      </c>
      <c r="D31" s="3" t="n">
        <v>3</v>
      </c>
      <c r="E31" s="3" t="n">
        <v>3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111</v>
      </c>
      <c r="C32" s="3" t="n">
        <v>3</v>
      </c>
      <c r="D32" s="3" t="n">
        <v>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112</v>
      </c>
      <c r="C33" s="3" t="n">
        <v>11</v>
      </c>
      <c r="D33" s="3" t="n">
        <v>12</v>
      </c>
      <c r="E33" s="3" t="n">
        <v>13</v>
      </c>
      <c r="F33" s="3" t="n">
        <v>14</v>
      </c>
      <c r="G33" s="3" t="n">
        <v>15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10</v>
      </c>
    </row>
    <row r="37" customFormat="false" ht="15" hidden="false" customHeight="false" outlineLevel="0" collapsed="false">
      <c r="A37" s="0" t="s">
        <v>116</v>
      </c>
      <c r="B37" s="3" t="n">
        <v>-16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7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11.3</v>
      </c>
      <c r="D42" s="3" t="n">
        <v>11.8</v>
      </c>
      <c r="E42" s="3" t="n">
        <v>12.2</v>
      </c>
      <c r="F42" s="3" t="n">
        <v>12.5</v>
      </c>
      <c r="G42" s="3" t="n">
        <v>12.5</v>
      </c>
      <c r="H42" s="3" t="n">
        <v>12.5</v>
      </c>
      <c r="I42" s="3" t="n">
        <v>12.5</v>
      </c>
      <c r="J42" s="3" t="n">
        <v>12.5</v>
      </c>
      <c r="K42" s="3" t="n">
        <v>12.5</v>
      </c>
      <c r="L42" s="3" t="n">
        <v>12.5</v>
      </c>
    </row>
    <row r="43" customFormat="false" ht="15" hidden="false" customHeight="false" outlineLevel="0" collapsed="false">
      <c r="A43" s="0" t="s">
        <v>108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</v>
      </c>
      <c r="D45" s="3" t="n">
        <v>3</v>
      </c>
      <c r="E45" s="3" t="n">
        <v>3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111</v>
      </c>
      <c r="C46" s="3" t="n">
        <v>3.2</v>
      </c>
      <c r="D46" s="3" t="n">
        <v>3.2</v>
      </c>
      <c r="E46" s="3" t="n">
        <v>3.2</v>
      </c>
      <c r="F46" s="3" t="n">
        <v>3.2</v>
      </c>
      <c r="G46" s="3" t="n">
        <v>3.2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112</v>
      </c>
      <c r="C47" s="3" t="n">
        <v>11</v>
      </c>
      <c r="D47" s="3" t="n">
        <v>12</v>
      </c>
      <c r="E47" s="3" t="n">
        <v>13</v>
      </c>
      <c r="F47" s="3" t="n">
        <v>14</v>
      </c>
      <c r="G47" s="3" t="n">
        <v>15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11</v>
      </c>
    </row>
    <row r="51" customFormat="false" ht="15" hidden="false" customHeight="false" outlineLevel="0" collapsed="false">
      <c r="A51" s="0" t="s">
        <v>116</v>
      </c>
      <c r="B51" s="3" t="n">
        <v>-16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-6</v>
      </c>
      <c r="D5" s="4" t="n">
        <f aca="false">Assumptions!D13</f>
        <v>-4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1660.246</v>
      </c>
      <c r="C6" s="0" t="n">
        <f aca="false">B6*(1+C5/100)</f>
        <v>1560.63124</v>
      </c>
      <c r="D6" s="0" t="n">
        <f aca="false">C6*(1+D5/100)</f>
        <v>1498.2059904</v>
      </c>
      <c r="E6" s="0" t="n">
        <f aca="false">D6*(1+E5/100)</f>
        <v>1498.2059904</v>
      </c>
      <c r="F6" s="0" t="n">
        <f aca="false">E6*(1+F5/100)</f>
        <v>1513.188050304</v>
      </c>
      <c r="G6" s="0" t="n">
        <f aca="false">F6*(1+G5/100)</f>
        <v>1535.88587105856</v>
      </c>
      <c r="H6" s="0" t="n">
        <f aca="false">G6*(1+H5/100)</f>
        <v>1566.60358847973</v>
      </c>
      <c r="I6" s="0" t="n">
        <f aca="false">H6*(1+I5/100)</f>
        <v>1597.93566024933</v>
      </c>
      <c r="J6" s="0" t="n">
        <f aca="false">I6*(1+J5/100)</f>
        <v>1629.89437345431</v>
      </c>
      <c r="K6" s="0" t="n">
        <f aca="false">J6*(1+K5/100)</f>
        <v>1662.4922609234</v>
      </c>
      <c r="L6" s="0" t="n">
        <f aca="false">K6*(1+L5/100)</f>
        <v>1695.74210614187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9.8</v>
      </c>
      <c r="D7" s="4" t="n">
        <f aca="false">Assumptions!D14</f>
        <v>9</v>
      </c>
      <c r="E7" s="4" t="n">
        <f aca="false">Assumptions!E14</f>
        <v>9</v>
      </c>
      <c r="F7" s="4" t="n">
        <f aca="false">Assumptions!F14</f>
        <v>9</v>
      </c>
      <c r="G7" s="4" t="n">
        <f aca="false">Assumptions!G14</f>
        <v>9</v>
      </c>
      <c r="H7" s="4" t="n">
        <f aca="false">Assumptions!H14</f>
        <v>9</v>
      </c>
      <c r="I7" s="4" t="n">
        <f aca="false">Assumptions!I14</f>
        <v>9</v>
      </c>
      <c r="J7" s="4" t="n">
        <f aca="false">Assumptions!J14</f>
        <v>9</v>
      </c>
      <c r="K7" s="4" t="n">
        <f aca="false">Assumptions!K14</f>
        <v>9</v>
      </c>
      <c r="L7" s="4" t="n">
        <f aca="false">Assumptions!L14</f>
        <v>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152.94186152</v>
      </c>
      <c r="D8" s="0" t="n">
        <f aca="false">D6*D7/100</f>
        <v>134.838539136</v>
      </c>
      <c r="E8" s="0" t="n">
        <f aca="false">E6*E7/100</f>
        <v>134.838539136</v>
      </c>
      <c r="F8" s="0" t="n">
        <f aca="false">F6*F7/100</f>
        <v>136.18692452736</v>
      </c>
      <c r="G8" s="0" t="n">
        <f aca="false">G6*G7/100</f>
        <v>138.22972839527</v>
      </c>
      <c r="H8" s="0" t="n">
        <f aca="false">H6*H7/100</f>
        <v>140.994322963176</v>
      </c>
      <c r="I8" s="0" t="n">
        <f aca="false">I6*I7/100</f>
        <v>143.814209422439</v>
      </c>
      <c r="J8" s="0" t="n">
        <f aca="false">J6*J7/100</f>
        <v>146.690493610888</v>
      </c>
      <c r="K8" s="0" t="n">
        <f aca="false">K6*K7/100</f>
        <v>149.624303483106</v>
      </c>
      <c r="L8" s="0" t="n">
        <f aca="false">L6*L7/100</f>
        <v>152.616789552768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-1.56063124</v>
      </c>
      <c r="D10" s="0" t="n">
        <f aca="false">-D6*D9/100</f>
        <v>-1.4982059904</v>
      </c>
      <c r="E10" s="0" t="n">
        <f aca="false">-E6*E9/100</f>
        <v>-1.4982059904</v>
      </c>
      <c r="F10" s="0" t="n">
        <f aca="false">-F6*F9/100</f>
        <v>-1.513188050304</v>
      </c>
      <c r="G10" s="0" t="n">
        <f aca="false">-G6*G9/100</f>
        <v>-1.53588587105856</v>
      </c>
      <c r="H10" s="0" t="n">
        <f aca="false">-H6*H9/100</f>
        <v>-1.56660358847973</v>
      </c>
      <c r="I10" s="0" t="n">
        <f aca="false">-I6*I9/100</f>
        <v>-1.59793566024933</v>
      </c>
      <c r="J10" s="0" t="n">
        <f aca="false">-J6*J9/100</f>
        <v>-1.62989437345431</v>
      </c>
      <c r="K10" s="0" t="n">
        <f aca="false">-K6*K9/100</f>
        <v>-1.6624922609234</v>
      </c>
      <c r="L10" s="0" t="n">
        <f aca="false">-L6*L9/100</f>
        <v>-1.69574210614187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151.38123028</v>
      </c>
      <c r="D11" s="0" t="n">
        <f aca="false">D8+D10+D24</f>
        <v>133.3403331456</v>
      </c>
      <c r="E11" s="0" t="n">
        <f aca="false">E8+E10+E24</f>
        <v>133.3403331456</v>
      </c>
      <c r="F11" s="0" t="n">
        <f aca="false">F8+F10+F24</f>
        <v>134.673736477056</v>
      </c>
      <c r="G11" s="0" t="n">
        <f aca="false">G8+G10+G24</f>
        <v>136.693842524212</v>
      </c>
      <c r="H11" s="0" t="n">
        <f aca="false">H8+H10+H24</f>
        <v>139.427719374696</v>
      </c>
      <c r="I11" s="0" t="n">
        <f aca="false">I8+I10+I24</f>
        <v>142.21627376219</v>
      </c>
      <c r="J11" s="0" t="n">
        <f aca="false">J8+J10+J24</f>
        <v>145.060599237434</v>
      </c>
      <c r="K11" s="0" t="n">
        <f aca="false">K8+K10+K24</f>
        <v>147.961811222182</v>
      </c>
      <c r="L11" s="0" t="n">
        <f aca="false">L8+L10+L24</f>
        <v>150.921047446626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-46.8189372</v>
      </c>
      <c r="D12" s="4" t="n">
        <f aca="false">-D6*Assumptions!D17/100</f>
        <v>-44.946179712</v>
      </c>
      <c r="E12" s="4" t="n">
        <f aca="false">-E6*Assumptions!E17/100</f>
        <v>-44.946179712</v>
      </c>
      <c r="F12" s="4" t="n">
        <f aca="false">-F6*Assumptions!F17/100</f>
        <v>-45.39564150912</v>
      </c>
      <c r="G12" s="4" t="n">
        <f aca="false">-G6*Assumptions!G17/100</f>
        <v>-46.0765761317568</v>
      </c>
      <c r="H12" s="4" t="n">
        <f aca="false">-H6*Assumptions!H17/100</f>
        <v>-46.9981076543919</v>
      </c>
      <c r="I12" s="4" t="n">
        <f aca="false">-I6*Assumptions!I17/100</f>
        <v>-47.9380698074798</v>
      </c>
      <c r="J12" s="4" t="n">
        <f aca="false">-J6*Assumptions!J17/100</f>
        <v>-48.8968312036294</v>
      </c>
      <c r="K12" s="4" t="n">
        <f aca="false">-K6*Assumptions!K17/100</f>
        <v>-49.874767827702</v>
      </c>
      <c r="L12" s="4" t="n">
        <f aca="false">-L6*Assumptions!L17/100</f>
        <v>-50.872263184256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104.56229308</v>
      </c>
      <c r="D13" s="0" t="n">
        <f aca="false">D11+D12</f>
        <v>88.3941534336</v>
      </c>
      <c r="E13" s="0" t="n">
        <f aca="false">E11+E12</f>
        <v>88.3941534336</v>
      </c>
      <c r="F13" s="0" t="n">
        <f aca="false">F11+F12</f>
        <v>89.278094967936</v>
      </c>
      <c r="G13" s="0" t="n">
        <f aca="false">G11+G12</f>
        <v>90.617266392455</v>
      </c>
      <c r="H13" s="0" t="n">
        <f aca="false">H11+H12</f>
        <v>92.4296117203041</v>
      </c>
      <c r="I13" s="0" t="n">
        <f aca="false">I11+I12</f>
        <v>94.2782039547102</v>
      </c>
      <c r="J13" s="0" t="n">
        <f aca="false">J11+J12</f>
        <v>96.1637680338044</v>
      </c>
      <c r="K13" s="0" t="n">
        <f aca="false">K11+K12</f>
        <v>98.0870433944805</v>
      </c>
      <c r="L13" s="0" t="n">
        <f aca="false">L11+L12</f>
        <v>100.04878426237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11</v>
      </c>
      <c r="D14" s="4" t="n">
        <f aca="false">Assumptions!D19</f>
        <v>12</v>
      </c>
      <c r="E14" s="4" t="n">
        <f aca="false">Assumptions!E19</f>
        <v>13</v>
      </c>
      <c r="F14" s="4" t="n">
        <f aca="false">Assumptions!F19</f>
        <v>14</v>
      </c>
      <c r="G14" s="4" t="n">
        <f aca="false">Assumptions!G19</f>
        <v>15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93.0604408412</v>
      </c>
      <c r="D15" s="0" t="n">
        <f aca="false">D13-MAX(0,D13)*D14/100</f>
        <v>77.786855021568</v>
      </c>
      <c r="E15" s="0" t="n">
        <f aca="false">E13-MAX(0,E13)*E14/100</f>
        <v>76.902913487232</v>
      </c>
      <c r="F15" s="0" t="n">
        <f aca="false">F13-MAX(0,F13)*F14/100</f>
        <v>76.7791616724249</v>
      </c>
      <c r="G15" s="0" t="n">
        <f aca="false">G13-MAX(0,G13)*G14/100</f>
        <v>77.0246764335868</v>
      </c>
      <c r="H15" s="0" t="n">
        <f aca="false">H13-MAX(0,H13)*H14/100</f>
        <v>77.6408738450555</v>
      </c>
      <c r="I15" s="0" t="n">
        <f aca="false">I13-MAX(0,I13)*I14/100</f>
        <v>79.1936913219566</v>
      </c>
      <c r="J15" s="0" t="n">
        <f aca="false">J13-MAX(0,J13)*J14/100</f>
        <v>80.7775651483957</v>
      </c>
      <c r="K15" s="0" t="n">
        <f aca="false">K13-MAX(0,K13)*K14/100</f>
        <v>82.3931164513636</v>
      </c>
      <c r="L15" s="0" t="n">
        <f aca="false">L13-MAX(0,L13)*L14/100</f>
        <v>84.0409787803909</v>
      </c>
    </row>
    <row r="16" customFormat="false" ht="15" hidden="false" customHeight="false" outlineLevel="0" collapsed="false">
      <c r="A16" s="0" t="s">
        <v>128</v>
      </c>
      <c r="C16" s="0" t="n">
        <f aca="false">-C12</f>
        <v>46.8189372</v>
      </c>
      <c r="D16" s="0" t="n">
        <f aca="false">-D12</f>
        <v>44.946179712</v>
      </c>
      <c r="E16" s="0" t="n">
        <f aca="false">-E12</f>
        <v>44.946179712</v>
      </c>
      <c r="F16" s="0" t="n">
        <f aca="false">-F12</f>
        <v>45.39564150912</v>
      </c>
      <c r="G16" s="0" t="n">
        <f aca="false">-G12</f>
        <v>46.0765761317568</v>
      </c>
      <c r="H16" s="0" t="n">
        <f aca="false">-H12</f>
        <v>46.9981076543919</v>
      </c>
      <c r="I16" s="0" t="n">
        <f aca="false">-I12</f>
        <v>47.9380698074798</v>
      </c>
      <c r="J16" s="0" t="n">
        <f aca="false">-J12</f>
        <v>48.8968312036294</v>
      </c>
      <c r="K16" s="0" t="n">
        <f aca="false">-K12</f>
        <v>49.874767827702</v>
      </c>
      <c r="L16" s="0" t="n">
        <f aca="false">-L12</f>
        <v>50.872263184256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-43.69767472</v>
      </c>
      <c r="D17" s="4" t="n">
        <f aca="false">-D6*Assumptions!D18/100</f>
        <v>-41.9497677312</v>
      </c>
      <c r="E17" s="4" t="n">
        <f aca="false">-E6*Assumptions!E18/100</f>
        <v>-41.9497677312</v>
      </c>
      <c r="F17" s="4" t="n">
        <f aca="false">-F6*Assumptions!F18/100</f>
        <v>-42.369265408512</v>
      </c>
      <c r="G17" s="4" t="n">
        <f aca="false">-G6*Assumptions!G18/100</f>
        <v>-43.0048043896397</v>
      </c>
      <c r="H17" s="4" t="n">
        <f aca="false">-H6*Assumptions!H18/100</f>
        <v>-43.8649004774325</v>
      </c>
      <c r="I17" s="4" t="n">
        <f aca="false">-I6*Assumptions!I18/100</f>
        <v>-44.7421984869811</v>
      </c>
      <c r="J17" s="4" t="n">
        <f aca="false">-J6*Assumptions!J18/100</f>
        <v>-45.6370424567207</v>
      </c>
      <c r="K17" s="4" t="n">
        <f aca="false">-K6*Assumptions!K18/100</f>
        <v>-46.5497833058552</v>
      </c>
      <c r="L17" s="4" t="n">
        <f aca="false">-L6*Assumptions!L18/100</f>
        <v>-47.4807789719723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15.9383616</v>
      </c>
      <c r="D18" s="4" t="n">
        <f aca="false">(D6-C6)*Assumptions!$B$23/100</f>
        <v>9.98803993600002</v>
      </c>
      <c r="E18" s="4" t="n">
        <f aca="false">(E6-D6)*Assumptions!$B$23/100</f>
        <v>-0</v>
      </c>
      <c r="F18" s="4" t="n">
        <f aca="false">(F6-E6)*Assumptions!$B$23/100</f>
        <v>-2.39712958463999</v>
      </c>
      <c r="G18" s="4" t="n">
        <f aca="false">(G6-F6)*Assumptions!$B$23/100</f>
        <v>-3.63165132072958</v>
      </c>
      <c r="H18" s="4" t="n">
        <f aca="false">(H6-G6)*Assumptions!$B$23/100</f>
        <v>-4.91483478738741</v>
      </c>
      <c r="I18" s="4" t="n">
        <f aca="false">(I6-H6)*Assumptions!$B$23/100</f>
        <v>-5.01313148313515</v>
      </c>
      <c r="J18" s="4" t="n">
        <f aca="false">(J6-I6)*Assumptions!$B$23/100</f>
        <v>-5.11339411279783</v>
      </c>
      <c r="K18" s="4" t="n">
        <f aca="false">(K6-J6)*Assumptions!$B$23/100</f>
        <v>-5.21566199505382</v>
      </c>
      <c r="L18" s="4" t="n">
        <f aca="false">(L6-K6)*Assumptions!$B$23/100</f>
        <v>-5.31997523495487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112.1200649212</v>
      </c>
      <c r="D19" s="0" t="n">
        <f aca="false">D15+D16+D17+D18</f>
        <v>90.771306938368</v>
      </c>
      <c r="E19" s="0" t="n">
        <f aca="false">E15+E16+E17+E18</f>
        <v>79.899325468032</v>
      </c>
      <c r="F19" s="0" t="n">
        <f aca="false">F15+F16+F17+F18</f>
        <v>77.408408188393</v>
      </c>
      <c r="G19" s="0" t="n">
        <f aca="false">G15+G16+G17+G18</f>
        <v>76.4647968549743</v>
      </c>
      <c r="H19" s="0" t="n">
        <f aca="false">H15+H16+H17+H18</f>
        <v>75.8592462346275</v>
      </c>
      <c r="I19" s="0" t="n">
        <f aca="false">I15+I16+I17+I18</f>
        <v>77.3764311593201</v>
      </c>
      <c r="J19" s="0" t="n">
        <f aca="false">J15+J16+J17+J18</f>
        <v>78.9239597825065</v>
      </c>
      <c r="K19" s="0" t="n">
        <f aca="false">K15+K16+K17+K18</f>
        <v>80.5024389781566</v>
      </c>
      <c r="L19" s="0" t="n">
        <f aca="false">L15+L16+L17+L18</f>
        <v>82.1124877577198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101.927331746546</v>
      </c>
      <c r="D21" s="0" t="n">
        <f aca="false">D19*D20</f>
        <v>75.0176090399736</v>
      </c>
      <c r="E21" s="0" t="n">
        <f aca="false">E19*E20</f>
        <v>60.0295458061848</v>
      </c>
      <c r="F21" s="0" t="n">
        <f aca="false">F19*F20</f>
        <v>52.8709843510641</v>
      </c>
      <c r="G21" s="0" t="n">
        <f aca="false">G19*G20</f>
        <v>47.4786228306402</v>
      </c>
      <c r="H21" s="0" t="n">
        <f aca="false">H19*H20</f>
        <v>42.8205668529774</v>
      </c>
      <c r="I21" s="0" t="n">
        <f aca="false">I19*I20</f>
        <v>39.7063438091245</v>
      </c>
      <c r="J21" s="0" t="n">
        <f aca="false">J19*J20</f>
        <v>36.8186097139154</v>
      </c>
      <c r="K21" s="0" t="n">
        <f aca="false">K19*K20</f>
        <v>34.1408926438125</v>
      </c>
      <c r="L21" s="0" t="n">
        <f aca="false">L19*L20</f>
        <v>31.6579186333534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522.468425427591</v>
      </c>
    </row>
    <row r="31" customFormat="false" ht="15" hidden="false" customHeight="false" outlineLevel="0" collapsed="false">
      <c r="A31" s="0" t="s">
        <v>137</v>
      </c>
      <c r="B31" s="0" t="n">
        <f aca="false">L19</f>
        <v>82.1124877577198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980.519706753948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739.012389819478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739.012389819478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284.921267700181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807.389693127772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1898.36869312777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0.752376327624108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-0.203834573942743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9.59325815613857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7.80692611141751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0.75927250474007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617.364259808041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0.664003610156746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1660.246</v>
      </c>
      <c r="C6" s="0" t="n">
        <f aca="false">B6*(1+C5/100)</f>
        <v>1676.84846</v>
      </c>
      <c r="D6" s="0" t="n">
        <f aca="false">C6*(1+D5/100)</f>
        <v>1743.9223984</v>
      </c>
      <c r="E6" s="0" t="n">
        <f aca="false">D6*(1+E5/100)</f>
        <v>1813.679294336</v>
      </c>
      <c r="F6" s="0" t="n">
        <f aca="false">E6*(1+F5/100)</f>
        <v>1877.15806963776</v>
      </c>
      <c r="G6" s="0" t="n">
        <f aca="false">F6*(1+G5/100)</f>
        <v>1933.47281172689</v>
      </c>
      <c r="H6" s="0" t="n">
        <f aca="false">G6*(1+H5/100)</f>
        <v>1991.4769960787</v>
      </c>
      <c r="I6" s="0" t="n">
        <f aca="false">H6*(1+I5/100)</f>
        <v>2041.26392098067</v>
      </c>
      <c r="J6" s="0" t="n">
        <f aca="false">I6*(1+J5/100)</f>
        <v>2092.29551900518</v>
      </c>
      <c r="K6" s="0" t="n">
        <f aca="false">J6*(1+K5/100)</f>
        <v>2134.14142938529</v>
      </c>
      <c r="L6" s="0" t="n">
        <f aca="false">K6*(1+L5/100)</f>
        <v>2176.82425797299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10.8</v>
      </c>
      <c r="D7" s="4" t="n">
        <f aca="false">Assumptions!D28</f>
        <v>11</v>
      </c>
      <c r="E7" s="4" t="n">
        <f aca="false">Assumptions!E28</f>
        <v>11</v>
      </c>
      <c r="F7" s="4" t="n">
        <f aca="false">Assumptions!F28</f>
        <v>11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181.09963368</v>
      </c>
      <c r="D8" s="0" t="n">
        <f aca="false">D6*D7/100</f>
        <v>191.831463824</v>
      </c>
      <c r="E8" s="0" t="n">
        <f aca="false">E6*E7/100</f>
        <v>199.50472237696</v>
      </c>
      <c r="F8" s="0" t="n">
        <f aca="false">F6*F7/100</f>
        <v>206.487387660154</v>
      </c>
      <c r="G8" s="0" t="n">
        <f aca="false">G6*G7/100</f>
        <v>212.682009289958</v>
      </c>
      <c r="H8" s="0" t="n">
        <f aca="false">H6*H7/100</f>
        <v>219.062469568657</v>
      </c>
      <c r="I8" s="0" t="n">
        <f aca="false">I6*I7/100</f>
        <v>224.539031307873</v>
      </c>
      <c r="J8" s="0" t="n">
        <f aca="false">J6*J7/100</f>
        <v>230.15250709057</v>
      </c>
      <c r="K8" s="0" t="n">
        <f aca="false">K6*K7/100</f>
        <v>234.755557232382</v>
      </c>
      <c r="L8" s="0" t="n">
        <f aca="false">L6*L7/100</f>
        <v>239.450668377029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-1.67684846</v>
      </c>
      <c r="D10" s="0" t="n">
        <f aca="false">-D6*D9/100</f>
        <v>-1.7439223984</v>
      </c>
      <c r="E10" s="0" t="n">
        <f aca="false">-E6*E9/100</f>
        <v>-1.813679294336</v>
      </c>
      <c r="F10" s="0" t="n">
        <f aca="false">-F6*F9/100</f>
        <v>-1.87715806963776</v>
      </c>
      <c r="G10" s="0" t="n">
        <f aca="false">-G6*G9/100</f>
        <v>-1.93347281172689</v>
      </c>
      <c r="H10" s="0" t="n">
        <f aca="false">-H6*H9/100</f>
        <v>-1.9914769960787</v>
      </c>
      <c r="I10" s="0" t="n">
        <f aca="false">-I6*I9/100</f>
        <v>-2.04126392098067</v>
      </c>
      <c r="J10" s="0" t="n">
        <f aca="false">-J6*J9/100</f>
        <v>-2.09229551900518</v>
      </c>
      <c r="K10" s="0" t="n">
        <f aca="false">-K6*K9/100</f>
        <v>-2.13414142938529</v>
      </c>
      <c r="L10" s="0" t="n">
        <f aca="false">-L6*L9/100</f>
        <v>-2.17682425797299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179.42278522</v>
      </c>
      <c r="D11" s="0" t="n">
        <f aca="false">D8+D10+D24</f>
        <v>190.0875414256</v>
      </c>
      <c r="E11" s="0" t="n">
        <f aca="false">E8+E10+E24</f>
        <v>197.691043082624</v>
      </c>
      <c r="F11" s="0" t="n">
        <f aca="false">F8+F10+F24</f>
        <v>204.610229590516</v>
      </c>
      <c r="G11" s="0" t="n">
        <f aca="false">G8+G10+G24</f>
        <v>210.748536478231</v>
      </c>
      <c r="H11" s="0" t="n">
        <f aca="false">H8+H10+H24</f>
        <v>217.070992572578</v>
      </c>
      <c r="I11" s="0" t="n">
        <f aca="false">I8+I10+I24</f>
        <v>222.497767386893</v>
      </c>
      <c r="J11" s="0" t="n">
        <f aca="false">J8+J10+J24</f>
        <v>228.060211571565</v>
      </c>
      <c r="K11" s="0" t="n">
        <f aca="false">K8+K10+K24</f>
        <v>232.621415802996</v>
      </c>
      <c r="L11" s="0" t="n">
        <f aca="false">L8+L10+L24</f>
        <v>237.273844119056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-50.3054538</v>
      </c>
      <c r="D12" s="4" t="n">
        <f aca="false">-D6*Assumptions!D31/100</f>
        <v>-52.317671952</v>
      </c>
      <c r="E12" s="4" t="n">
        <f aca="false">-E6*Assumptions!E31/100</f>
        <v>-54.41037883008</v>
      </c>
      <c r="F12" s="4" t="n">
        <f aca="false">-F6*Assumptions!F31/100</f>
        <v>-56.3147420891328</v>
      </c>
      <c r="G12" s="4" t="n">
        <f aca="false">-G6*Assumptions!G31/100</f>
        <v>-58.0041843518068</v>
      </c>
      <c r="H12" s="4" t="n">
        <f aca="false">-H6*Assumptions!H31/100</f>
        <v>-59.744309882361</v>
      </c>
      <c r="I12" s="4" t="n">
        <f aca="false">-I6*Assumptions!I31/100</f>
        <v>-61.23791762942</v>
      </c>
      <c r="J12" s="4" t="n">
        <f aca="false">-J6*Assumptions!J31/100</f>
        <v>-62.7688655701555</v>
      </c>
      <c r="K12" s="4" t="n">
        <f aca="false">-K6*Assumptions!K31/100</f>
        <v>-64.0242428815586</v>
      </c>
      <c r="L12" s="4" t="n">
        <f aca="false">-L6*Assumptions!L31/100</f>
        <v>-65.3047277391898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129.11733142</v>
      </c>
      <c r="D13" s="0" t="n">
        <f aca="false">D11+D12</f>
        <v>137.7698694736</v>
      </c>
      <c r="E13" s="0" t="n">
        <f aca="false">E11+E12</f>
        <v>143.280664252544</v>
      </c>
      <c r="F13" s="0" t="n">
        <f aca="false">F11+F12</f>
        <v>148.295487501383</v>
      </c>
      <c r="G13" s="0" t="n">
        <f aca="false">G11+G12</f>
        <v>152.744352126425</v>
      </c>
      <c r="H13" s="0" t="n">
        <f aca="false">H11+H12</f>
        <v>157.326682690217</v>
      </c>
      <c r="I13" s="0" t="n">
        <f aca="false">I11+I12</f>
        <v>161.259849757473</v>
      </c>
      <c r="J13" s="0" t="n">
        <f aca="false">J11+J12</f>
        <v>165.29134600141</v>
      </c>
      <c r="K13" s="0" t="n">
        <f aca="false">K11+K12</f>
        <v>168.597172921438</v>
      </c>
      <c r="L13" s="0" t="n">
        <f aca="false">L11+L12</f>
        <v>171.969116379866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11</v>
      </c>
      <c r="D14" s="4" t="n">
        <f aca="false">Assumptions!D33</f>
        <v>12</v>
      </c>
      <c r="E14" s="4" t="n">
        <f aca="false">Assumptions!E33</f>
        <v>13</v>
      </c>
      <c r="F14" s="4" t="n">
        <f aca="false">Assumptions!F33</f>
        <v>14</v>
      </c>
      <c r="G14" s="4" t="n">
        <f aca="false">Assumptions!G33</f>
        <v>15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114.9144249638</v>
      </c>
      <c r="D15" s="0" t="n">
        <f aca="false">D13-MAX(0,D13)*D14/100</f>
        <v>121.237485136768</v>
      </c>
      <c r="E15" s="0" t="n">
        <f aca="false">E13-MAX(0,E13)*E14/100</f>
        <v>124.654177899713</v>
      </c>
      <c r="F15" s="0" t="n">
        <f aca="false">F13-MAX(0,F13)*F14/100</f>
        <v>127.534119251189</v>
      </c>
      <c r="G15" s="0" t="n">
        <f aca="false">G13-MAX(0,G13)*G14/100</f>
        <v>129.832699307461</v>
      </c>
      <c r="H15" s="0" t="n">
        <f aca="false">H13-MAX(0,H13)*H14/100</f>
        <v>132.154413459783</v>
      </c>
      <c r="I15" s="0" t="n">
        <f aca="false">I13-MAX(0,I13)*I14/100</f>
        <v>135.458273796277</v>
      </c>
      <c r="J15" s="0" t="n">
        <f aca="false">J13-MAX(0,J13)*J14/100</f>
        <v>138.844730641184</v>
      </c>
      <c r="K15" s="0" t="n">
        <f aca="false">K13-MAX(0,K13)*K14/100</f>
        <v>141.621625254008</v>
      </c>
      <c r="L15" s="0" t="n">
        <f aca="false">L13-MAX(0,L13)*L14/100</f>
        <v>144.454057759088</v>
      </c>
    </row>
    <row r="16" customFormat="false" ht="15" hidden="false" customHeight="false" outlineLevel="0" collapsed="false">
      <c r="A16" s="0" t="s">
        <v>128</v>
      </c>
      <c r="C16" s="0" t="n">
        <f aca="false">-C12</f>
        <v>50.3054538</v>
      </c>
      <c r="D16" s="0" t="n">
        <f aca="false">-D12</f>
        <v>52.317671952</v>
      </c>
      <c r="E16" s="0" t="n">
        <f aca="false">-E12</f>
        <v>54.41037883008</v>
      </c>
      <c r="F16" s="0" t="n">
        <f aca="false">-F12</f>
        <v>56.3147420891328</v>
      </c>
      <c r="G16" s="0" t="n">
        <f aca="false">-G12</f>
        <v>58.0041843518068</v>
      </c>
      <c r="H16" s="0" t="n">
        <f aca="false">-H12</f>
        <v>59.744309882361</v>
      </c>
      <c r="I16" s="0" t="n">
        <f aca="false">-I12</f>
        <v>61.23791762942</v>
      </c>
      <c r="J16" s="0" t="n">
        <f aca="false">-J12</f>
        <v>62.7688655701555</v>
      </c>
      <c r="K16" s="0" t="n">
        <f aca="false">-K12</f>
        <v>64.0242428815586</v>
      </c>
      <c r="L16" s="0" t="n">
        <f aca="false">-L12</f>
        <v>65.3047277391898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-50.3054538</v>
      </c>
      <c r="D17" s="4" t="n">
        <f aca="false">-D6*Assumptions!D32/100</f>
        <v>-52.317671952</v>
      </c>
      <c r="E17" s="4" t="n">
        <f aca="false">-E6*Assumptions!E32/100</f>
        <v>-54.41037883008</v>
      </c>
      <c r="F17" s="4" t="n">
        <f aca="false">-F6*Assumptions!F32/100</f>
        <v>-56.3147420891328</v>
      </c>
      <c r="G17" s="4" t="n">
        <f aca="false">-G6*Assumptions!G32/100</f>
        <v>-58.0041843518068</v>
      </c>
      <c r="H17" s="4" t="n">
        <f aca="false">-H6*Assumptions!H32/100</f>
        <v>-59.744309882361</v>
      </c>
      <c r="I17" s="4" t="n">
        <f aca="false">-I6*Assumptions!I32/100</f>
        <v>-61.23791762942</v>
      </c>
      <c r="J17" s="4" t="n">
        <f aca="false">-J6*Assumptions!J32/100</f>
        <v>-62.7688655701555</v>
      </c>
      <c r="K17" s="4" t="n">
        <f aca="false">-K6*Assumptions!K32/100</f>
        <v>-64.0242428815586</v>
      </c>
      <c r="L17" s="4" t="n">
        <f aca="false">-L6*Assumptions!L32/100</f>
        <v>-65.3047277391898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-2.65639360000001</v>
      </c>
      <c r="D18" s="4" t="n">
        <f aca="false">(D6-C6)*Assumptions!$B$37/100</f>
        <v>-10.731830144</v>
      </c>
      <c r="E18" s="4" t="n">
        <f aca="false">(E6-D6)*Assumptions!$B$37/100</f>
        <v>-11.16110334976</v>
      </c>
      <c r="F18" s="4" t="n">
        <f aca="false">(F6-E6)*Assumptions!$B$37/100</f>
        <v>-10.1566040482816</v>
      </c>
      <c r="G18" s="4" t="n">
        <f aca="false">(G6-F6)*Assumptions!$B$37/100</f>
        <v>-9.01035873426124</v>
      </c>
      <c r="H18" s="4" t="n">
        <f aca="false">(H6-G6)*Assumptions!$B$37/100</f>
        <v>-9.28066949628908</v>
      </c>
      <c r="I18" s="4" t="n">
        <f aca="false">(I6-H6)*Assumptions!$B$37/100</f>
        <v>-7.96590798431476</v>
      </c>
      <c r="J18" s="4" t="n">
        <f aca="false">(J6-I6)*Assumptions!$B$37/100</f>
        <v>-8.16505568392262</v>
      </c>
      <c r="K18" s="4" t="n">
        <f aca="false">(K6-J6)*Assumptions!$B$37/100</f>
        <v>-6.6953456608166</v>
      </c>
      <c r="L18" s="4" t="n">
        <f aca="false">(L6-K6)*Assumptions!$B$37/100</f>
        <v>-6.82925257403294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112.2580313638</v>
      </c>
      <c r="D19" s="0" t="n">
        <f aca="false">D15+D16+D17+D18</f>
        <v>110.505654992768</v>
      </c>
      <c r="E19" s="0" t="n">
        <f aca="false">E15+E16+E17+E18</f>
        <v>113.493074549953</v>
      </c>
      <c r="F19" s="0" t="n">
        <f aca="false">F15+F16+F17+F18</f>
        <v>117.377515202908</v>
      </c>
      <c r="G19" s="0" t="n">
        <f aca="false">G15+G16+G17+G18</f>
        <v>120.8223405732</v>
      </c>
      <c r="H19" s="0" t="n">
        <f aca="false">H15+H16+H17+H18</f>
        <v>122.873743963493</v>
      </c>
      <c r="I19" s="0" t="n">
        <f aca="false">I15+I16+I17+I18</f>
        <v>127.492365811962</v>
      </c>
      <c r="J19" s="0" t="n">
        <f aca="false">J15+J16+J17+J18</f>
        <v>130.679674957261</v>
      </c>
      <c r="K19" s="0" t="n">
        <f aca="false">K15+K16+K17+K18</f>
        <v>134.926279593191</v>
      </c>
      <c r="L19" s="0" t="n">
        <f aca="false">L15+L16+L17+L18</f>
        <v>137.624805185055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102.052755785273</v>
      </c>
      <c r="D21" s="0" t="n">
        <f aca="false">D19*D20</f>
        <v>91.3269875973289</v>
      </c>
      <c r="E21" s="0" t="n">
        <f aca="false">E19*E20</f>
        <v>85.2690267092061</v>
      </c>
      <c r="F21" s="0" t="n">
        <f aca="false">F19*F20</f>
        <v>80.1704222409042</v>
      </c>
      <c r="G21" s="0" t="n">
        <f aca="false">G19*G20</f>
        <v>75.0211675638149</v>
      </c>
      <c r="H21" s="0" t="n">
        <f aca="false">H19*H20</f>
        <v>69.3590251554947</v>
      </c>
      <c r="I21" s="0" t="n">
        <f aca="false">I19*I20</f>
        <v>65.4237425288474</v>
      </c>
      <c r="J21" s="0" t="n">
        <f aca="false">J19*J20</f>
        <v>60.9630328109715</v>
      </c>
      <c r="K21" s="0" t="n">
        <f aca="false">K19*K20</f>
        <v>57.2219138313323</v>
      </c>
      <c r="L21" s="0" t="n">
        <f aca="false">L19*L20</f>
        <v>53.0603200981445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739.868394321317</v>
      </c>
    </row>
    <row r="31" customFormat="false" ht="15" hidden="false" customHeight="false" outlineLevel="0" collapsed="false">
      <c r="A31" s="0" t="s">
        <v>137</v>
      </c>
      <c r="B31" s="0" t="n">
        <f aca="false">L19</f>
        <v>137.624805185055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1754.71626610945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1376.24805185055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1376.24805185055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530.603200981445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1270.47159530276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2361.45059530276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0.935908568863062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-0.00962056204966977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11.7030122677822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10.7005648078436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0.944787729748312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1079.82539452889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0.775620351295604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1660.246</v>
      </c>
      <c r="C6" s="0" t="n">
        <f aca="false">B6*(1+C5/100)</f>
        <v>1710.05338</v>
      </c>
      <c r="D6" s="0" t="n">
        <f aca="false">C6*(1+D5/100)</f>
        <v>1829.7571166</v>
      </c>
      <c r="E6" s="0" t="n">
        <f aca="false">D6*(1+E5/100)</f>
        <v>1957.840114762</v>
      </c>
      <c r="F6" s="0" t="n">
        <f aca="false">E6*(1+F5/100)</f>
        <v>2075.31052164772</v>
      </c>
      <c r="G6" s="0" t="n">
        <f aca="false">F6*(1+G5/100)</f>
        <v>2179.07604773011</v>
      </c>
      <c r="H6" s="0" t="n">
        <f aca="false">G6*(1+H5/100)</f>
        <v>2266.23908963931</v>
      </c>
      <c r="I6" s="0" t="n">
        <f aca="false">H6*(1+I5/100)</f>
        <v>2345.55745777669</v>
      </c>
      <c r="J6" s="0" t="n">
        <f aca="false">I6*(1+J5/100)</f>
        <v>2415.92418150999</v>
      </c>
      <c r="K6" s="0" t="n">
        <f aca="false">J6*(1+K5/100)</f>
        <v>2476.32228604774</v>
      </c>
      <c r="L6" s="0" t="n">
        <f aca="false">K6*(1+L5/100)</f>
        <v>2538.23034319893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11.3</v>
      </c>
      <c r="D7" s="4" t="n">
        <f aca="false">Assumptions!D42</f>
        <v>11.8</v>
      </c>
      <c r="E7" s="4" t="n">
        <f aca="false">Assumptions!E42</f>
        <v>12.2</v>
      </c>
      <c r="F7" s="4" t="n">
        <f aca="false">Assumptions!F42</f>
        <v>12.5</v>
      </c>
      <c r="G7" s="4" t="n">
        <f aca="false">Assumptions!G42</f>
        <v>12.5</v>
      </c>
      <c r="H7" s="4" t="n">
        <f aca="false">Assumptions!H42</f>
        <v>12.5</v>
      </c>
      <c r="I7" s="4" t="n">
        <f aca="false">Assumptions!I42</f>
        <v>12.5</v>
      </c>
      <c r="J7" s="4" t="n">
        <f aca="false">Assumptions!J42</f>
        <v>12.5</v>
      </c>
      <c r="K7" s="4" t="n">
        <f aca="false">Assumptions!K42</f>
        <v>12.5</v>
      </c>
      <c r="L7" s="4" t="n">
        <f aca="false">Assumptions!L42</f>
        <v>12.5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193.23603194</v>
      </c>
      <c r="D8" s="0" t="n">
        <f aca="false">D6*D7/100</f>
        <v>215.9113397588</v>
      </c>
      <c r="E8" s="0" t="n">
        <f aca="false">E6*E7/100</f>
        <v>238.856494000964</v>
      </c>
      <c r="F8" s="0" t="n">
        <f aca="false">F6*F7/100</f>
        <v>259.413815205965</v>
      </c>
      <c r="G8" s="0" t="n">
        <f aca="false">G6*G7/100</f>
        <v>272.384505966263</v>
      </c>
      <c r="H8" s="0" t="n">
        <f aca="false">H6*H7/100</f>
        <v>283.279886204914</v>
      </c>
      <c r="I8" s="0" t="n">
        <f aca="false">I6*I7/100</f>
        <v>293.194682222086</v>
      </c>
      <c r="J8" s="0" t="n">
        <f aca="false">J6*J7/100</f>
        <v>301.990522688748</v>
      </c>
      <c r="K8" s="0" t="n">
        <f aca="false">K6*K7/100</f>
        <v>309.540285755967</v>
      </c>
      <c r="L8" s="0" t="n">
        <f aca="false">L6*L7/100</f>
        <v>317.278792899866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-1.71005338</v>
      </c>
      <c r="D10" s="0" t="n">
        <f aca="false">-D6*D9/100</f>
        <v>-1.8297571166</v>
      </c>
      <c r="E10" s="0" t="n">
        <f aca="false">-E6*E9/100</f>
        <v>-1.957840114762</v>
      </c>
      <c r="F10" s="0" t="n">
        <f aca="false">-F6*F9/100</f>
        <v>-2.07531052164772</v>
      </c>
      <c r="G10" s="0" t="n">
        <f aca="false">-G6*G9/100</f>
        <v>-2.17907604773011</v>
      </c>
      <c r="H10" s="0" t="n">
        <f aca="false">-H6*H9/100</f>
        <v>-2.26623908963931</v>
      </c>
      <c r="I10" s="0" t="n">
        <f aca="false">-I6*I9/100</f>
        <v>-2.34555745777669</v>
      </c>
      <c r="J10" s="0" t="n">
        <f aca="false">-J6*J9/100</f>
        <v>-2.41592418150999</v>
      </c>
      <c r="K10" s="0" t="n">
        <f aca="false">-K6*K9/100</f>
        <v>-2.47632228604774</v>
      </c>
      <c r="L10" s="0" t="n">
        <f aca="false">-L6*L9/100</f>
        <v>-2.53823034319893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191.52597856</v>
      </c>
      <c r="D11" s="0" t="n">
        <f aca="false">D8+D10+D24</f>
        <v>214.0815826422</v>
      </c>
      <c r="E11" s="0" t="n">
        <f aca="false">E8+E10+E24</f>
        <v>236.898653886202</v>
      </c>
      <c r="F11" s="0" t="n">
        <f aca="false">F8+F10+F24</f>
        <v>257.338504684317</v>
      </c>
      <c r="G11" s="0" t="n">
        <f aca="false">G8+G10+G24</f>
        <v>270.205429918533</v>
      </c>
      <c r="H11" s="0" t="n">
        <f aca="false">H8+H10+H24</f>
        <v>281.013647115275</v>
      </c>
      <c r="I11" s="0" t="n">
        <f aca="false">I8+I10+I24</f>
        <v>290.849124764309</v>
      </c>
      <c r="J11" s="0" t="n">
        <f aca="false">J8+J10+J24</f>
        <v>299.574598507239</v>
      </c>
      <c r="K11" s="0" t="n">
        <f aca="false">K8+K10+K24</f>
        <v>307.063963469919</v>
      </c>
      <c r="L11" s="0" t="n">
        <f aca="false">L8+L10+L24</f>
        <v>314.740562556667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-51.3016014</v>
      </c>
      <c r="D12" s="4" t="n">
        <f aca="false">-D6*Assumptions!D45/100</f>
        <v>-54.892713498</v>
      </c>
      <c r="E12" s="4" t="n">
        <f aca="false">-E6*Assumptions!E45/100</f>
        <v>-58.73520344286</v>
      </c>
      <c r="F12" s="4" t="n">
        <f aca="false">-F6*Assumptions!F45/100</f>
        <v>-62.2593156494316</v>
      </c>
      <c r="G12" s="4" t="n">
        <f aca="false">-G6*Assumptions!G45/100</f>
        <v>-65.3722814319032</v>
      </c>
      <c r="H12" s="4" t="n">
        <f aca="false">-H6*Assumptions!H45/100</f>
        <v>-67.9871726891793</v>
      </c>
      <c r="I12" s="4" t="n">
        <f aca="false">-I6*Assumptions!I45/100</f>
        <v>-70.3667237333006</v>
      </c>
      <c r="J12" s="4" t="n">
        <f aca="false">-J6*Assumptions!J45/100</f>
        <v>-72.4777254452996</v>
      </c>
      <c r="K12" s="4" t="n">
        <f aca="false">-K6*Assumptions!K45/100</f>
        <v>-74.2896685814321</v>
      </c>
      <c r="L12" s="4" t="n">
        <f aca="false">-L6*Assumptions!L45/100</f>
        <v>-76.1469102959679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140.22437716</v>
      </c>
      <c r="D13" s="0" t="n">
        <f aca="false">D11+D12</f>
        <v>159.1888691442</v>
      </c>
      <c r="E13" s="0" t="n">
        <f aca="false">E11+E12</f>
        <v>178.163450443342</v>
      </c>
      <c r="F13" s="0" t="n">
        <f aca="false">F11+F12</f>
        <v>195.079189034886</v>
      </c>
      <c r="G13" s="0" t="n">
        <f aca="false">G11+G12</f>
        <v>204.83314848663</v>
      </c>
      <c r="H13" s="0" t="n">
        <f aca="false">H11+H12</f>
        <v>213.026474426095</v>
      </c>
      <c r="I13" s="0" t="n">
        <f aca="false">I11+I12</f>
        <v>220.482401031009</v>
      </c>
      <c r="J13" s="0" t="n">
        <f aca="false">J11+J12</f>
        <v>227.096873061939</v>
      </c>
      <c r="K13" s="0" t="n">
        <f aca="false">K11+K12</f>
        <v>232.774294888487</v>
      </c>
      <c r="L13" s="0" t="n">
        <f aca="false">L11+L12</f>
        <v>238.593652260699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11</v>
      </c>
      <c r="D14" s="4" t="n">
        <f aca="false">Assumptions!D47</f>
        <v>12</v>
      </c>
      <c r="E14" s="4" t="n">
        <f aca="false">Assumptions!E47</f>
        <v>13</v>
      </c>
      <c r="F14" s="4" t="n">
        <f aca="false">Assumptions!F47</f>
        <v>14</v>
      </c>
      <c r="G14" s="4" t="n">
        <f aca="false">Assumptions!G47</f>
        <v>15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124.7996956724</v>
      </c>
      <c r="D15" s="0" t="n">
        <f aca="false">D13-MAX(0,D13)*D14/100</f>
        <v>140.086204846896</v>
      </c>
      <c r="E15" s="0" t="n">
        <f aca="false">E13-MAX(0,E13)*E14/100</f>
        <v>155.002201885708</v>
      </c>
      <c r="F15" s="0" t="n">
        <f aca="false">F13-MAX(0,F13)*F14/100</f>
        <v>167.768102570002</v>
      </c>
      <c r="G15" s="0" t="n">
        <f aca="false">G13-MAX(0,G13)*G14/100</f>
        <v>174.108176213636</v>
      </c>
      <c r="H15" s="0" t="n">
        <f aca="false">H13-MAX(0,H13)*H14/100</f>
        <v>178.94223851792</v>
      </c>
      <c r="I15" s="0" t="n">
        <f aca="false">I13-MAX(0,I13)*I14/100</f>
        <v>185.205216866047</v>
      </c>
      <c r="J15" s="0" t="n">
        <f aca="false">J13-MAX(0,J13)*J14/100</f>
        <v>190.761373372029</v>
      </c>
      <c r="K15" s="0" t="n">
        <f aca="false">K13-MAX(0,K13)*K14/100</f>
        <v>195.530407706329</v>
      </c>
      <c r="L15" s="0" t="n">
        <f aca="false">L13-MAX(0,L13)*L14/100</f>
        <v>200.418667898988</v>
      </c>
    </row>
    <row r="16" customFormat="false" ht="15" hidden="false" customHeight="false" outlineLevel="0" collapsed="false">
      <c r="A16" s="0" t="s">
        <v>128</v>
      </c>
      <c r="C16" s="0" t="n">
        <f aca="false">-C12</f>
        <v>51.3016014</v>
      </c>
      <c r="D16" s="0" t="n">
        <f aca="false">-D12</f>
        <v>54.892713498</v>
      </c>
      <c r="E16" s="0" t="n">
        <f aca="false">-E12</f>
        <v>58.73520344286</v>
      </c>
      <c r="F16" s="0" t="n">
        <f aca="false">-F12</f>
        <v>62.2593156494316</v>
      </c>
      <c r="G16" s="0" t="n">
        <f aca="false">-G12</f>
        <v>65.3722814319032</v>
      </c>
      <c r="H16" s="0" t="n">
        <f aca="false">-H12</f>
        <v>67.9871726891793</v>
      </c>
      <c r="I16" s="0" t="n">
        <f aca="false">-I12</f>
        <v>70.3667237333006</v>
      </c>
      <c r="J16" s="0" t="n">
        <f aca="false">-J12</f>
        <v>72.4777254452996</v>
      </c>
      <c r="K16" s="0" t="n">
        <f aca="false">-K12</f>
        <v>74.2896685814321</v>
      </c>
      <c r="L16" s="0" t="n">
        <f aca="false">-L12</f>
        <v>76.1469102959679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-54.72170816</v>
      </c>
      <c r="D17" s="4" t="n">
        <f aca="false">-D6*Assumptions!D46/100</f>
        <v>-58.5522277312</v>
      </c>
      <c r="E17" s="4" t="n">
        <f aca="false">-E6*Assumptions!E46/100</f>
        <v>-62.650883672384</v>
      </c>
      <c r="F17" s="4" t="n">
        <f aca="false">-F6*Assumptions!F46/100</f>
        <v>-66.4099366927271</v>
      </c>
      <c r="G17" s="4" t="n">
        <f aca="false">-G6*Assumptions!G46/100</f>
        <v>-69.7304335273634</v>
      </c>
      <c r="H17" s="4" t="n">
        <f aca="false">-H6*Assumptions!H46/100</f>
        <v>-67.9871726891793</v>
      </c>
      <c r="I17" s="4" t="n">
        <f aca="false">-I6*Assumptions!I46/100</f>
        <v>-70.3667237333006</v>
      </c>
      <c r="J17" s="4" t="n">
        <f aca="false">-J6*Assumptions!J46/100</f>
        <v>-72.4777254452996</v>
      </c>
      <c r="K17" s="4" t="n">
        <f aca="false">-K6*Assumptions!K46/100</f>
        <v>-74.2896685814321</v>
      </c>
      <c r="L17" s="4" t="n">
        <f aca="false">-L6*Assumptions!L46/100</f>
        <v>-76.1469102959679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-7.9691808</v>
      </c>
      <c r="D18" s="4" t="n">
        <f aca="false">(D6-C6)*Assumptions!$B$51/100</f>
        <v>-19.152597856</v>
      </c>
      <c r="E18" s="4" t="n">
        <f aca="false">(E6-D6)*Assumptions!$B$51/100</f>
        <v>-20.49327970592</v>
      </c>
      <c r="F18" s="4" t="n">
        <f aca="false">(F6-E6)*Assumptions!$B$51/100</f>
        <v>-18.7952651017152</v>
      </c>
      <c r="G18" s="4" t="n">
        <f aca="false">(G6-F6)*Assumptions!$B$51/100</f>
        <v>-16.6024841731818</v>
      </c>
      <c r="H18" s="4" t="n">
        <f aca="false">(H6-G6)*Assumptions!$B$51/100</f>
        <v>-13.9460867054727</v>
      </c>
      <c r="I18" s="4" t="n">
        <f aca="false">(I6-H6)*Assumptions!$B$51/100</f>
        <v>-12.6909389019801</v>
      </c>
      <c r="J18" s="4" t="n">
        <f aca="false">(J6-I6)*Assumptions!$B$51/100</f>
        <v>-11.2586757973281</v>
      </c>
      <c r="K18" s="4" t="n">
        <f aca="false">(K6-J6)*Assumptions!$B$51/100</f>
        <v>-9.66369672603993</v>
      </c>
      <c r="L18" s="4" t="n">
        <f aca="false">(L6-K6)*Assumptions!$B$51/100</f>
        <v>-9.9052891441909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113.4104081124</v>
      </c>
      <c r="D19" s="0" t="n">
        <f aca="false">D15+D16+D17+D18</f>
        <v>117.274092757696</v>
      </c>
      <c r="E19" s="0" t="n">
        <f aca="false">E15+E16+E17+E18</f>
        <v>130.593241950264</v>
      </c>
      <c r="F19" s="0" t="n">
        <f aca="false">F15+F16+F17+F18</f>
        <v>144.822216424991</v>
      </c>
      <c r="G19" s="0" t="n">
        <f aca="false">G15+G16+G17+G18</f>
        <v>153.147539944994</v>
      </c>
      <c r="H19" s="0" t="n">
        <f aca="false">H15+H16+H17+H18</f>
        <v>164.996151812447</v>
      </c>
      <c r="I19" s="0" t="n">
        <f aca="false">I15+I16+I17+I18</f>
        <v>172.514277964067</v>
      </c>
      <c r="J19" s="0" t="n">
        <f aca="false">J15+J16+J17+J18</f>
        <v>179.502697574701</v>
      </c>
      <c r="K19" s="0" t="n">
        <f aca="false">K15+K16+K17+K18</f>
        <v>185.866710980289</v>
      </c>
      <c r="L19" s="0" t="n">
        <f aca="false">L15+L16+L17+L18</f>
        <v>190.513378754797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103.100371011273</v>
      </c>
      <c r="D21" s="0" t="n">
        <f aca="false">D19*D20</f>
        <v>96.9207378162777</v>
      </c>
      <c r="E21" s="0" t="n">
        <f aca="false">E19*E20</f>
        <v>98.1166355749538</v>
      </c>
      <c r="F21" s="0" t="n">
        <f aca="false">F19*F20</f>
        <v>98.9155224540612</v>
      </c>
      <c r="G21" s="0" t="n">
        <f aca="false">G19*G20</f>
        <v>95.0925731259002</v>
      </c>
      <c r="H21" s="0" t="n">
        <f aca="false">H19*H20</f>
        <v>93.1360262573218</v>
      </c>
      <c r="I21" s="0" t="n">
        <f aca="false">I19*I20</f>
        <v>88.5271022479697</v>
      </c>
      <c r="J21" s="0" t="n">
        <f aca="false">J19*J20</f>
        <v>83.7393331861535</v>
      </c>
      <c r="K21" s="0" t="n">
        <f aca="false">K19*K20</f>
        <v>78.8256294614677</v>
      </c>
      <c r="L21" s="0" t="n">
        <f aca="false">L19*L20</f>
        <v>73.4511547254585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909.825085860837</v>
      </c>
    </row>
    <row r="31" customFormat="false" ht="15" hidden="false" customHeight="false" outlineLevel="0" collapsed="false">
      <c r="A31" s="0" t="s">
        <v>137</v>
      </c>
      <c r="B31" s="0" t="n">
        <f aca="false">L19</f>
        <v>190.513378754797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2603.68284298222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2095.64716630276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2095.64716630276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807.962701980043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1717.78778784088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2808.76678784088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1.11319242075493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0.177981397624267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12.9469652519079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13.3741682365724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1.12362421823698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1562.20970578933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0.873519143895055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0.752376327624108</v>
      </c>
      <c r="C4" s="0" t="n">
        <f aca="false">B4/Assumptions!$B$2-1</f>
        <v>-0.203834573942743</v>
      </c>
      <c r="D4" s="4" t="n">
        <f aca="false">Assumptions!$B$24</f>
        <v>0.25</v>
      </c>
      <c r="E4" s="4" t="n">
        <f aca="false">DCF_Bear!$B$43</f>
        <v>0.75927250474007</v>
      </c>
      <c r="F4" s="4" t="n">
        <f aca="false">DCF_Bear!$B$47</f>
        <v>0.664003610156746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0.935908568863062</v>
      </c>
      <c r="C5" s="0" t="n">
        <f aca="false">B5/Assumptions!$B$2-1</f>
        <v>-0.00962056204966977</v>
      </c>
      <c r="D5" s="4" t="n">
        <f aca="false">Assumptions!$B$38</f>
        <v>0.5</v>
      </c>
      <c r="E5" s="4" t="n">
        <f aca="false">DCF_Base!$B$43</f>
        <v>0.944787729748312</v>
      </c>
      <c r="F5" s="4" t="n">
        <f aca="false">DCF_Base!$B$47</f>
        <v>0.775620351295604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1.11319242075493</v>
      </c>
      <c r="C6" s="0" t="n">
        <f aca="false">B6/Assumptions!$B$2-1</f>
        <v>0.177981397624267</v>
      </c>
      <c r="D6" s="4" t="n">
        <f aca="false">Assumptions!$B$52</f>
        <v>0.25</v>
      </c>
      <c r="E6" s="4" t="n">
        <f aca="false">DCF_Bull!$B$43</f>
        <v>1.12362421823698</v>
      </c>
      <c r="F6" s="4" t="n">
        <f aca="false">DCF_Bull!$B$47</f>
        <v>0.873519143895055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0.934346471526291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0.943118045618418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-0.0114021177350903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0.772190864160752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0.969611017087511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0.935908568863062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0.905024005797363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0.876686531093104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0.775620351295604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1.00643459896391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1.00643459896391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1.00643459896391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1.00643459896391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1.00643459896391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0.969611017087511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0.969611017087511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0.969611017087511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0.969611017087511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0.969611017087511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0.935908568863062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0.935908568863062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0.935908568863062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0.935908568863062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0.935908568863062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0.905024005797363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0.905024005797363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0.905024005797363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0.905024005797363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0.905024005797363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0.862317718702733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0.870832570489619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0.876686531093104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0.876686531093104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0.876686531093104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2026-10-30T21:39:32Z</dcterms:created>
  <dc:creator>openpyxl</dc:creator>
  <dc:description/>
  <dc:language>en-NZ</dc:language>
  <cp:lastModifiedBy/>
  <dcterms:modified xsi:type="dcterms:W3CDTF">2026-10-30T21:39:32Z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