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<sst xmlns="http://schemas.openxmlformats.org/spreadsheetml/2006/main" count="387" uniqueCount="174">
  <si>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</si>
  <si>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ROL</t>
  </si>
  <si>
    <t xml:space="preserve">Company</t>
  </si>
  <si>
    <t xml:space="preserve">Rollins, Inc.</t>
  </si>
  <si>
    <t xml:space="preserve">Valuation date</t>
  </si>
  <si>
    <t xml:space="preserve">2026-10-02</t>
  </si>
  <si>
    <t xml:space="preserve">Current price</t>
  </si>
  <si>
    <t xml:space="preserve">Price as of</t>
  </si>
  <si>
    <t xml:space="preserve">2026-10-01T20:00:02Z regular close (Yahoo chart API)</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</si>
  <si>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</si>
  <si>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</si>
  <si>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</si>
  <si>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</si>
  <si>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</si>
  <si>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</si>
  <si>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</si>
  <si>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</si>
  <si>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</si>
  <si>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</si>
  <si>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</si>
  <si>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</si>
  <si>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2026-10-02T08:04:19Z</t>
  </si>
  <si>
    <t xml:space="preserve">Drivers file</t>
  </si>
  <si>
    <t xml:space="preserve">ROL_Drivers.json</t>
  </si>
  <si>
    <t xml:space="preserve">Convention</t>
  </si>
  <si>
    <t xml:space="preserve">Percents stored as percents; formulas divide by 100. Blue = input, green = link, black = formula.</t>
  </si>
  <si>
    <t xml:space="preserve">Methodology</t>
  </si>
  <si>
    <t xml:space="preserve">summary: Rollins is a high-quality, low-capital-intensity recurring-service compounder whose share price has roughly halved from its 52-week high on a residential demand miss. The valuation strips the acquisition engine out (organic growth only, no deal spend) so that the price is tested against what the existing route base earns, charges SBC plus equity-award withholding as a real cost, and caps the terminal value at 20x owner FCF.
key_risks_to_valuation: Residential organic growth: the Q2-26 miss was a lead-generation (digital/search) problem; if it persists, base-case 6-6.5% organic is too high; Margin: medical, fleet, fuel and wage inflation compressed Q2-26 operating margin 110bp; base assumes recovery to 24.5% adj. EBITDA; Terminal value is ~60%+ of EV and the 20x cap binds in the base and bull cases; a lower market multiple for slower-growth pest control would cut value directly; M&amp;A treated as NPV-neutral: overpaying in a bid-up market for tuck-ins would destroy value the model does not charge; disciplined buying above WACC is unmodelled upside; Equity-award withholding is an estimate (~$15M) because ROL reports it inside its share-purchase line</t>
  </si>
  <si>
    <t xml:space="preserve">Data sources</t>
  </si>
  <si>
    <t xml:space="preserve">price: Yahoo Finance chart API at inputs.price_as_of; 52-week range 29.70-66.14
financials: ROL_Metrics.csv (SEC XBRL, FY2007-Q2 2026); SEC companyfacts API (CIK 84839) for acquisitions, interest, dividends, diluted shares, SBC, cash taxes, operating lease payments, intangible amortisation; Q2-2026 10-Q balance sheet for debt, cash and diluted shares
qualitative: ROL_Analysis.json (2026-10-02): Q2-26 results and FY2026 guidance (&gt;=6% organic, 2-3% inorganic, medium-term 7-8% organic and 30-35% incremental EBITDA margin)</t>
  </si>
  <si>
    <t xml:space="preserve">Scenario narrative: bear</t>
  </si>
  <si>
    <t xml:space="preserve">Residential softness is structural: changes in search and AI answer engines plus rising ad costs keep the Orkin top-of-funnel weak, PE-backed roll-ups and Rentokil compete on price and for targets, and organic growth settles at 3-4% (mostly price). Labour, medical, fleet and fuel inflation are only partly passed through, so the margin drifts to 22% and stays there. No balance-sheet stress: net debt is &lt;0.5x EBITDA.</t>
  </si>
  <si>
    <t xml:space="preserve">Scenario narrative: base</t>
  </si>
  <si>
    <t xml:space="preserve">Guidance-anchored: FY2026 ~8.5% total growth (&gt;=6% organic plus 2-3% from deals already paid for), then 6-6.5% organic fading to 3.5% - below the 7-8% medium-term target because the residential digital-lead funnel that caused the Q2-26 miss has not been shown to recover. Commercial and termite/ancillary keep compounding. Margin recovers from the 2026 medical/fleet/fuel squeeze (22.8% adj. EBITDA) to 24.5% on route density, with the 30-35% incremental-margin target only partly delivered.</t>
  </si>
  <si>
    <t xml:space="preserve">Scenario narrative: bull</t>
  </si>
  <si>
    <t xml:space="preserve">Management's medium-term frame is delivered: Orkin's residential lead generation recovers, organic growth returns to 7-8% with commercial and termite/ancillary still leading, and 30-35% incremental margins lift adjusted EBITDA margin to 26% as cost inflation normalises and integration of 90+ deals over three years yields density and procurement gains.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</si>
  <si>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</si>
  <si>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</si>
  <si>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</si>
  <si>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</si>
  <si>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</si>
  <si>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</si>
  <si>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</si>
  <si>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</si>
  <si>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</si>
  <si>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</si>
  <si>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</si>
  <si>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</si>
  <si>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</si>
  <si>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</si>
  <si>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</si>
  <si>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</si>
  <si>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</si>
  <si>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</si>
  <si>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</si>
  <si>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</si>
  <si>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</si>
  <si>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</si>
  <si>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</si>
  <si>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</si>
  <si>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</si>
  <si>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</si>
  <si>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</si>
  <si>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</si>
  <si>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</si>
  <si>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</si>
  <si>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</si>
  <si>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</si>
  <si>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</si>
  <si>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</si>
  <si>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</si>
  <si>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</si>
  <si>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</si>
  <si>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</si>
  <si>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</si>
  <si>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</si>
  <si>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</si>
  <si>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</si>
  <si>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</si>
  <si>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</si>
  <si>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</si>
  <si>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</si>
  <si>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</si>
  <si>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</si>
  <si>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</si>
  <si>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</si>
  <si>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</si>
  <si>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</si>
  <si>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</si>
  <si>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</si>
  <si>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</si>
  <si>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</si>
  <si>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</si>
  <si>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</si>
  <si>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</si>
  <si>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</si>
  <si>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</si>
  <si>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</si>
  <si>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</si>
  <si>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</si>
  <si>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</si>
  <si>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</si>
  <si>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</si>
  <si>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</si>
  <si>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</si>
  <si>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</si>
  <si>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</si>
  <si>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</si>
  <si>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</si>
  <si>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</si>
  <si>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</si>
  <si>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</si>
  <si>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</si>
  <si>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</si>
  <si>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</si>
  <si>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</si>
  <si>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</si>
  <si>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</si>
  <si>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</si>
  <si>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ROL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</si>
  <si>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</si>
  <si>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</si>
  <si>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</si>
  <si>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</si>
  <si>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</si>
  <si>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</si>
  <si>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</si>
  <si>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</si>
  <si>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</si>
  <si>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</si>
  <si>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</si>
  <si>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</si>
  <si>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</si>
  <si>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</si>
  <si>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</si>
  <si>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</si>
  <si>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</si>
  <si>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</si>
  <si>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</si>
  <si>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</si>
  <si>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</si>
  <si>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</si>
  <si>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</si>
  <si>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</si>
  <si>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</si>
  <si>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</si>
  <si>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</si>
  <si>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</si>
  <si>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</si>
  <si>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</si>
  <si>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ROL owner-FCF component DCF: base case (millions, USD)</t>
  </si>
  <si>
    <t xml:space="preserve">ROL owner-FCF component DCF: bull case (millions, USD)</t>
  </si>
  <si>
    <t xml:space="preserve">ROL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</si>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</sst>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30.57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233.553</v>
      </c>
      <c r="S2" s="0" t="n">
        <v>71.28</v>
      </c>
      <c r="AA2" s="0" t="s">
        <v>17</v>
      </c>
      <c r="AB2" s="0" t="s">
        <v>14</v>
      </c>
    </row>
    <row r="3" customFormat="false" ht="15" hidden="false" customHeight="false" outlineLevel="0" collapsed="false">
      <c r="A3" s="0" t="s">
        <v>64</v>
      </c>
      <c r="I3" s="0" t="n">
        <v>68.934</v>
      </c>
      <c r="K3" s="0" t="n">
        <v>0.46</v>
      </c>
      <c r="L3" s="0" t="n">
        <v>90.744</v>
      </c>
      <c r="M3" s="0" t="n">
        <v>14.815</v>
      </c>
      <c r="N3" s="0" t="n">
        <v>75.929</v>
      </c>
      <c r="O3" s="0" t="n">
        <v>228.433</v>
      </c>
      <c r="S3" s="0" t="n">
        <v>13.716</v>
      </c>
      <c r="T3" s="0" t="n">
        <v>151.83</v>
      </c>
      <c r="U3" s="0" t="n">
        <v>4.392</v>
      </c>
      <c r="AA3" s="0" t="s">
        <v>17</v>
      </c>
      <c r="AB3" s="0" t="s">
        <v>14</v>
      </c>
    </row>
    <row r="4" customFormat="false" ht="15" hidden="false" customHeight="false" outlineLevel="0" collapsed="false">
      <c r="A4" s="0" t="s">
        <v>65</v>
      </c>
      <c r="I4" s="0" t="n">
        <v>83.984</v>
      </c>
      <c r="K4" s="0" t="n">
        <v>0.56</v>
      </c>
      <c r="L4" s="0" t="n">
        <v>110.846</v>
      </c>
      <c r="M4" s="0" t="n">
        <v>15.74</v>
      </c>
      <c r="N4" s="0" t="n">
        <v>95.106</v>
      </c>
      <c r="O4" s="0" t="n">
        <v>264.566</v>
      </c>
      <c r="P4" s="0" t="n">
        <v>566.496</v>
      </c>
      <c r="Q4" s="0" t="n">
        <v>301.93</v>
      </c>
      <c r="S4" s="0" t="n">
        <v>9.504</v>
      </c>
      <c r="T4" s="0" t="n">
        <v>149.624</v>
      </c>
      <c r="U4" s="0" t="n">
        <v>5.8</v>
      </c>
      <c r="AA4" s="0" t="s">
        <v>17</v>
      </c>
      <c r="AB4" s="0" t="s">
        <v>14</v>
      </c>
    </row>
    <row r="5" customFormat="false" ht="15" hidden="false" customHeight="false" outlineLevel="0" collapsed="false">
      <c r="A5" s="0" t="s">
        <v>66</v>
      </c>
      <c r="I5" s="0" t="n">
        <v>90.002</v>
      </c>
      <c r="K5" s="0" t="n">
        <v>0.61</v>
      </c>
      <c r="L5" s="0" t="n">
        <v>124.053</v>
      </c>
      <c r="M5" s="0" t="n">
        <v>13.036</v>
      </c>
      <c r="N5" s="0" t="n">
        <v>111.017</v>
      </c>
      <c r="O5" s="0" t="n">
        <v>297.97</v>
      </c>
      <c r="P5" s="0" t="n">
        <v>619.014</v>
      </c>
      <c r="Q5" s="0" t="n">
        <v>321.044</v>
      </c>
      <c r="S5" s="0" t="n">
        <v>20.913</v>
      </c>
      <c r="T5" s="0" t="n">
        <v>148.231</v>
      </c>
      <c r="U5" s="0" t="n">
        <v>7.538</v>
      </c>
      <c r="AA5" s="0" t="s">
        <v>17</v>
      </c>
      <c r="AB5" s="0" t="s">
        <v>14</v>
      </c>
    </row>
    <row r="6" customFormat="false" ht="15" hidden="false" customHeight="false" outlineLevel="0" collapsed="false">
      <c r="A6" s="0" t="s">
        <v>67</v>
      </c>
      <c r="K6" s="0" t="n">
        <v>0.69</v>
      </c>
      <c r="M6" s="0" t="n">
        <v>18.652</v>
      </c>
      <c r="O6" s="0" t="n">
        <v>323.997</v>
      </c>
      <c r="P6" s="0" t="n">
        <v>645.65</v>
      </c>
      <c r="Q6" s="0" t="n">
        <v>321.653</v>
      </c>
      <c r="S6" s="0" t="n">
        <v>46.275</v>
      </c>
      <c r="T6" s="0" t="n">
        <v>146.946</v>
      </c>
      <c r="U6" s="0" t="n">
        <v>7.555</v>
      </c>
      <c r="AA6" s="0" t="s">
        <v>17</v>
      </c>
      <c r="AB6" s="0" t="s">
        <v>14</v>
      </c>
    </row>
    <row r="7" customFormat="false" ht="15" hidden="false" customHeight="false" outlineLevel="0" collapsed="false">
      <c r="A7" s="0" t="s">
        <v>68</v>
      </c>
      <c r="K7" s="0" t="n">
        <v>0.76</v>
      </c>
      <c r="M7" s="0" t="n">
        <v>19.04</v>
      </c>
      <c r="O7" s="0" t="n">
        <v>354.956</v>
      </c>
      <c r="P7" s="0" t="n">
        <v>692.506</v>
      </c>
      <c r="Q7" s="0" t="n">
        <v>337.55</v>
      </c>
      <c r="S7" s="0" t="n">
        <v>65.082</v>
      </c>
      <c r="T7" s="0" t="n">
        <v>146.306</v>
      </c>
      <c r="U7" s="0" t="n">
        <v>9.494</v>
      </c>
      <c r="AA7" s="0" t="s">
        <v>17</v>
      </c>
      <c r="AB7" s="0" t="s">
        <v>14</v>
      </c>
    </row>
    <row r="8" customFormat="false" ht="15" hidden="false" customHeight="false" outlineLevel="0" collapsed="false">
      <c r="A8" s="0" t="s">
        <v>69</v>
      </c>
      <c r="K8" s="0" t="n">
        <v>0.56</v>
      </c>
      <c r="M8" s="0" t="n">
        <v>18.632</v>
      </c>
      <c r="O8" s="0" t="n">
        <v>438.255</v>
      </c>
      <c r="P8" s="0" t="n">
        <v>739.217</v>
      </c>
      <c r="Q8" s="0" t="n">
        <v>300.962</v>
      </c>
      <c r="S8" s="0" t="n">
        <v>118.216</v>
      </c>
      <c r="T8" s="0" t="n">
        <v>219.121</v>
      </c>
      <c r="U8" s="0" t="n">
        <v>10.427</v>
      </c>
      <c r="AA8" s="0" t="s">
        <v>17</v>
      </c>
      <c r="AB8" s="0" t="s">
        <v>14</v>
      </c>
    </row>
    <row r="9" customFormat="false" ht="15" hidden="false" customHeight="false" outlineLevel="0" collapsed="false">
      <c r="A9" s="0" t="s">
        <v>70</v>
      </c>
      <c r="K9" s="0" t="n">
        <v>0.63</v>
      </c>
      <c r="M9" s="0" t="n">
        <v>28.739</v>
      </c>
      <c r="O9" s="0" t="n">
        <v>462.676</v>
      </c>
      <c r="P9" s="0" t="n">
        <v>808.162</v>
      </c>
      <c r="Q9" s="0" t="n">
        <v>345.486</v>
      </c>
      <c r="S9" s="0" t="n">
        <v>108.372</v>
      </c>
      <c r="T9" s="0" t="n">
        <v>218.695</v>
      </c>
      <c r="U9" s="0" t="n">
        <v>10.579</v>
      </c>
      <c r="AA9" s="0" t="s">
        <v>17</v>
      </c>
      <c r="AB9" s="0" t="s">
        <v>14</v>
      </c>
    </row>
    <row r="10" customFormat="false" ht="15" hidden="false" customHeight="false" outlineLevel="0" collapsed="false">
      <c r="A10" s="0" t="s">
        <v>71</v>
      </c>
      <c r="K10" s="0" t="n">
        <v>0.7</v>
      </c>
      <c r="M10" s="0" t="n">
        <v>39.495</v>
      </c>
      <c r="O10" s="0" t="n">
        <v>524.029</v>
      </c>
      <c r="P10" s="0" t="n">
        <v>848.651</v>
      </c>
      <c r="Q10" s="0" t="n">
        <v>324.622</v>
      </c>
      <c r="S10" s="0" t="n">
        <v>134.574</v>
      </c>
      <c r="T10" s="0" t="n">
        <v>218.583</v>
      </c>
      <c r="U10" s="0" t="n">
        <v>12.11</v>
      </c>
      <c r="AA10" s="0" t="s">
        <v>17</v>
      </c>
      <c r="AB10" s="0" t="s">
        <v>14</v>
      </c>
    </row>
    <row r="11" customFormat="false" ht="15" hidden="false" customHeight="false" outlineLevel="0" collapsed="false">
      <c r="A11" s="0" t="s">
        <v>72</v>
      </c>
      <c r="B11" s="0" t="n">
        <v>1573.477</v>
      </c>
      <c r="C11" s="0" t="n">
        <v>772.348</v>
      </c>
      <c r="K11" s="0" t="n">
        <v>0.51</v>
      </c>
      <c r="L11" s="0" t="n">
        <v>226.525</v>
      </c>
      <c r="M11" s="0" t="n">
        <v>33.081</v>
      </c>
      <c r="N11" s="0" t="n">
        <v>193.444</v>
      </c>
      <c r="O11" s="0" t="n">
        <v>568.545</v>
      </c>
      <c r="P11" s="0" t="n">
        <v>916.538</v>
      </c>
      <c r="Q11" s="0" t="n">
        <v>347.993</v>
      </c>
      <c r="S11" s="0" t="n">
        <v>142.785</v>
      </c>
      <c r="T11" s="0" t="n">
        <v>327.366</v>
      </c>
      <c r="U11" s="0" t="n">
        <v>12.415</v>
      </c>
      <c r="AA11" s="0" t="s">
        <v>17</v>
      </c>
      <c r="AB11" s="0" t="s">
        <v>14</v>
      </c>
    </row>
    <row r="12" customFormat="false" ht="15" hidden="false" customHeight="false" outlineLevel="0" collapsed="false">
      <c r="A12" s="0" t="s">
        <v>73</v>
      </c>
      <c r="B12" s="0" t="n">
        <v>1673.957</v>
      </c>
      <c r="C12" s="0" t="n">
        <v>819.943</v>
      </c>
      <c r="K12" s="0" t="n">
        <v>0.55</v>
      </c>
      <c r="L12" s="0" t="n">
        <v>235.37</v>
      </c>
      <c r="M12" s="0" t="n">
        <v>24.68</v>
      </c>
      <c r="N12" s="0" t="n">
        <v>210.69</v>
      </c>
      <c r="O12" s="0" t="n">
        <v>653.924</v>
      </c>
      <c r="P12" s="0" t="n">
        <v>1033.663</v>
      </c>
      <c r="Q12" s="0" t="n">
        <v>379.739</v>
      </c>
      <c r="S12" s="0" t="n">
        <v>107.05</v>
      </c>
      <c r="T12" s="0" t="n">
        <v>326.982</v>
      </c>
      <c r="U12" s="0" t="n">
        <v>12.399</v>
      </c>
      <c r="AA12" s="0" t="s">
        <v>17</v>
      </c>
      <c r="AB12" s="0" t="s">
        <v>14</v>
      </c>
    </row>
    <row r="13" customFormat="false" ht="15" hidden="false" customHeight="false" outlineLevel="0" collapsed="false">
      <c r="A13" s="0" t="s">
        <v>74</v>
      </c>
      <c r="B13" s="0" t="n">
        <v>1821.565</v>
      </c>
      <c r="C13" s="0" t="n">
        <v>894.437</v>
      </c>
      <c r="K13" s="0" t="n">
        <v>0.47</v>
      </c>
      <c r="L13" s="0" t="n">
        <v>299.401</v>
      </c>
      <c r="M13" s="0" t="n">
        <v>27.179</v>
      </c>
      <c r="N13" s="0" t="n">
        <v>272.222</v>
      </c>
      <c r="O13" s="0" t="n">
        <v>711.908</v>
      </c>
      <c r="P13" s="0" t="n">
        <v>1094.124</v>
      </c>
      <c r="Q13" s="0" t="n">
        <v>382.216</v>
      </c>
      <c r="S13" s="0" t="n">
        <v>115.485</v>
      </c>
      <c r="T13" s="0" t="n">
        <v>327.308079</v>
      </c>
      <c r="U13" s="0" t="n">
        <v>13.726</v>
      </c>
      <c r="AA13" s="0" t="s">
        <v>17</v>
      </c>
      <c r="AB13" s="0" t="s">
        <v>14</v>
      </c>
    </row>
    <row r="14" customFormat="false" ht="15" hidden="false" customHeight="false" outlineLevel="0" collapsed="false">
      <c r="A14" s="0" t="s">
        <v>75</v>
      </c>
      <c r="B14" s="0" t="n">
        <v>2015.477</v>
      </c>
      <c r="C14" s="0" t="n">
        <v>993.593</v>
      </c>
      <c r="F14" s="0" t="n">
        <v>317.394</v>
      </c>
      <c r="G14" s="0" t="n">
        <v>15.7478353759433</v>
      </c>
      <c r="H14" s="0" t="n">
        <v>398.505</v>
      </c>
      <c r="I14" s="0" t="n">
        <v>203.347</v>
      </c>
      <c r="J14" s="0" t="n">
        <v>10.0892741519749</v>
      </c>
      <c r="K14" s="0" t="n">
        <v>0.41</v>
      </c>
      <c r="L14" s="0" t="n">
        <v>319.573</v>
      </c>
      <c r="M14" s="0" t="n">
        <v>27.146</v>
      </c>
      <c r="N14" s="0" t="n">
        <v>292.427</v>
      </c>
      <c r="O14" s="0" t="n">
        <v>833.109</v>
      </c>
      <c r="P14" s="0" t="n">
        <v>1744.376</v>
      </c>
      <c r="Q14" s="0" t="n">
        <v>928.626</v>
      </c>
      <c r="R14" s="0" t="n">
        <v>203</v>
      </c>
      <c r="S14" s="0" t="n">
        <v>94.276</v>
      </c>
      <c r="T14" s="0" t="n">
        <v>491.216</v>
      </c>
      <c r="U14" s="0" t="n">
        <v>14.158</v>
      </c>
      <c r="AA14" s="0" t="s">
        <v>17</v>
      </c>
      <c r="AB14" s="0" t="s">
        <v>14</v>
      </c>
    </row>
    <row r="15" customFormat="false" ht="15" hidden="false" customHeight="false" outlineLevel="0" collapsed="false">
      <c r="A15" s="0" t="s">
        <v>76</v>
      </c>
      <c r="B15" s="0" t="n">
        <v>2161.22</v>
      </c>
      <c r="C15" s="0" t="n">
        <v>1048.592</v>
      </c>
      <c r="F15" s="0" t="n">
        <v>376.088</v>
      </c>
      <c r="G15" s="0" t="n">
        <v>17.4016527701946</v>
      </c>
      <c r="H15" s="0" t="n">
        <v>455.419</v>
      </c>
      <c r="I15" s="0" t="n">
        <v>266.756</v>
      </c>
      <c r="J15" s="0" t="n">
        <v>12.3428433940089</v>
      </c>
      <c r="K15" s="0" t="n">
        <v>0.54</v>
      </c>
      <c r="L15" s="0" t="n">
        <v>435.785</v>
      </c>
      <c r="M15" s="0" t="n">
        <v>23.229</v>
      </c>
      <c r="N15" s="0" t="n">
        <v>412.556</v>
      </c>
      <c r="O15" s="0" t="n">
        <v>964.651</v>
      </c>
      <c r="P15" s="0" t="n">
        <v>1845.9</v>
      </c>
      <c r="Q15" s="0" t="n">
        <v>904.54</v>
      </c>
      <c r="S15" s="0" t="n">
        <v>98.477</v>
      </c>
      <c r="T15" s="0" t="n">
        <v>491.612059</v>
      </c>
      <c r="U15" s="0" t="n">
        <v>20.85</v>
      </c>
      <c r="AA15" s="0" t="s">
        <v>17</v>
      </c>
      <c r="AB15" s="0" t="s">
        <v>14</v>
      </c>
    </row>
    <row r="16" customFormat="false" ht="15" hidden="false" customHeight="false" outlineLevel="0" collapsed="false">
      <c r="A16" s="0" t="s">
        <v>77</v>
      </c>
      <c r="B16" s="0" t="n">
        <v>2424.3</v>
      </c>
      <c r="F16" s="0" t="n">
        <v>447.636</v>
      </c>
      <c r="G16" s="0" t="n">
        <v>18.4645464670214</v>
      </c>
      <c r="H16" s="0" t="n">
        <v>534.194</v>
      </c>
      <c r="I16" s="0" t="n">
        <v>356.565</v>
      </c>
      <c r="J16" s="0" t="n">
        <v>14.7079569360228</v>
      </c>
      <c r="K16" s="0" t="n">
        <v>0.72</v>
      </c>
      <c r="L16" s="0" t="n">
        <v>401.805</v>
      </c>
      <c r="M16" s="0" t="n">
        <v>27.194</v>
      </c>
      <c r="N16" s="0" t="n">
        <v>374.611</v>
      </c>
      <c r="O16" s="0" t="n">
        <v>1111.217</v>
      </c>
      <c r="P16" s="0" t="n">
        <v>2021.54</v>
      </c>
      <c r="Q16" s="0" t="n">
        <v>910.323</v>
      </c>
      <c r="S16" s="0" t="n">
        <v>105.301</v>
      </c>
      <c r="T16" s="0" t="n">
        <v>492.054</v>
      </c>
      <c r="U16" s="0" t="n">
        <v>14.865</v>
      </c>
      <c r="AA16" s="0" t="s">
        <v>17</v>
      </c>
      <c r="AB16" s="0" t="s">
        <v>14</v>
      </c>
    </row>
    <row r="17" customFormat="false" ht="15" hidden="false" customHeight="false" outlineLevel="0" collapsed="false">
      <c r="A17" s="0" t="s">
        <v>78</v>
      </c>
      <c r="B17" s="0" t="n">
        <v>2695.823</v>
      </c>
      <c r="F17" s="0" t="n">
        <v>493.388</v>
      </c>
      <c r="G17" s="0" t="n">
        <v>18.3019434139408</v>
      </c>
      <c r="H17" s="0" t="n">
        <v>584.714</v>
      </c>
      <c r="I17" s="0" t="n">
        <v>368.599</v>
      </c>
      <c r="J17" s="0" t="n">
        <v>13.6729674017916</v>
      </c>
      <c r="K17" s="0" t="n">
        <v>0.75</v>
      </c>
      <c r="L17" s="0" t="n">
        <v>465.93</v>
      </c>
      <c r="M17" s="0" t="n">
        <v>30.628</v>
      </c>
      <c r="N17" s="0" t="n">
        <v>435.302</v>
      </c>
      <c r="O17" s="0" t="n">
        <v>1267.197</v>
      </c>
      <c r="P17" s="0" t="n">
        <v>2122.028</v>
      </c>
      <c r="Q17" s="0" t="n">
        <v>854.831</v>
      </c>
      <c r="S17" s="0" t="n">
        <v>95.346</v>
      </c>
      <c r="T17" s="0" t="n">
        <v>492.447997</v>
      </c>
      <c r="U17" s="0" t="n">
        <v>21.215</v>
      </c>
      <c r="AA17" s="0" t="s">
        <v>17</v>
      </c>
      <c r="AB17" s="0" t="s">
        <v>14</v>
      </c>
    </row>
    <row r="18" customFormat="false" ht="15" hidden="false" customHeight="false" outlineLevel="0" collapsed="false">
      <c r="A18" s="0" t="s">
        <v>79</v>
      </c>
      <c r="B18" s="0" t="n">
        <v>3073.278</v>
      </c>
      <c r="F18" s="0" t="n">
        <v>583.226</v>
      </c>
      <c r="G18" s="0" t="n">
        <v>18.9773264898262</v>
      </c>
      <c r="H18" s="0" t="n">
        <v>682.978</v>
      </c>
      <c r="I18" s="0" t="n">
        <v>434.957</v>
      </c>
      <c r="J18" s="0" t="n">
        <v>14.1528686959006</v>
      </c>
      <c r="K18" s="0" t="n">
        <v>0.89</v>
      </c>
      <c r="L18" s="0" t="n">
        <v>528.366</v>
      </c>
      <c r="M18" s="0" t="n">
        <v>32.465</v>
      </c>
      <c r="N18" s="0" t="n">
        <v>495.901</v>
      </c>
      <c r="O18" s="0" t="n">
        <v>1155.567</v>
      </c>
      <c r="P18" s="0" t="n">
        <v>2595.46</v>
      </c>
      <c r="Q18" s="0" t="n">
        <v>1439.893</v>
      </c>
      <c r="S18" s="0" t="n">
        <v>103.825</v>
      </c>
      <c r="T18" s="0" t="n">
        <v>490.13</v>
      </c>
      <c r="U18" s="0" t="n">
        <v>24.605</v>
      </c>
      <c r="AA18" s="0" t="s">
        <v>17</v>
      </c>
      <c r="AB18" s="0" t="s">
        <v>14</v>
      </c>
    </row>
    <row r="19" customFormat="false" ht="15" hidden="false" customHeight="false" outlineLevel="0" collapsed="false">
      <c r="A19" s="0" t="s">
        <v>80</v>
      </c>
      <c r="B19" s="0" t="n">
        <v>3388.708</v>
      </c>
      <c r="F19" s="0" t="n">
        <v>657.224</v>
      </c>
      <c r="G19" s="0" t="n">
        <v>19.3945303047651</v>
      </c>
      <c r="H19" s="0" t="n">
        <v>770.444</v>
      </c>
      <c r="I19" s="0" t="n">
        <v>466.379</v>
      </c>
      <c r="J19" s="0" t="n">
        <v>13.7627378930259</v>
      </c>
      <c r="K19" s="0" t="n">
        <v>0.96</v>
      </c>
      <c r="L19" s="0" t="n">
        <v>607.653</v>
      </c>
      <c r="M19" s="0" t="n">
        <v>27.572</v>
      </c>
      <c r="N19" s="0" t="n">
        <v>580.081</v>
      </c>
      <c r="O19" s="0" t="n">
        <v>1330.593</v>
      </c>
      <c r="P19" s="0" t="n">
        <v>2819.695</v>
      </c>
      <c r="Q19" s="0" t="n">
        <v>1489.102</v>
      </c>
      <c r="R19" s="0" t="n">
        <v>395.31</v>
      </c>
      <c r="S19" s="0" t="n">
        <v>89.63</v>
      </c>
      <c r="T19" s="0" t="n">
        <v>484.372303</v>
      </c>
      <c r="U19" s="0" t="n">
        <v>29.984</v>
      </c>
      <c r="AA19" s="0" t="s">
        <v>17</v>
      </c>
      <c r="AB19" s="0" t="s">
        <v>14</v>
      </c>
    </row>
    <row r="20" customFormat="false" ht="15" hidden="false" customHeight="false" outlineLevel="0" collapsed="false">
      <c r="A20" s="0" t="s">
        <v>81</v>
      </c>
      <c r="B20" s="0" t="n">
        <v>3761.05</v>
      </c>
      <c r="F20" s="0" t="n">
        <v>726.068</v>
      </c>
      <c r="G20" s="0" t="n">
        <v>19.3049281450659</v>
      </c>
      <c r="H20" s="0" t="n">
        <v>850.812</v>
      </c>
      <c r="I20" s="0" t="n">
        <v>526.705</v>
      </c>
      <c r="J20" s="0" t="n">
        <v>14.0042009545207</v>
      </c>
      <c r="K20" s="0" t="n">
        <v>1.09</v>
      </c>
      <c r="L20" s="0" t="n">
        <v>678.107</v>
      </c>
      <c r="M20" s="0" t="n">
        <v>28.086</v>
      </c>
      <c r="N20" s="0" t="n">
        <v>650.021</v>
      </c>
      <c r="O20" s="0" t="n">
        <v>1374.321</v>
      </c>
      <c r="P20" s="0" t="n">
        <v>3140.523</v>
      </c>
      <c r="Q20" s="0" t="n">
        <v>1766.202</v>
      </c>
      <c r="R20" s="0" t="n">
        <v>486.147</v>
      </c>
      <c r="S20" s="0" t="n">
        <v>100.004</v>
      </c>
      <c r="T20" s="0" t="n">
        <v>484.147</v>
      </c>
      <c r="U20" s="0" t="n">
        <v>39.707</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30.57</v>
      </c>
    </row>
    <row r="3" customFormat="false" ht="15" hidden="false" customHeight="false" outlineLevel="0" collapsed="false">
      <c r="A3" s="0" t="s">
        <v>85</v>
      </c>
      <c r="B3" s="3" t="n">
        <v>481.4</v>
      </c>
    </row>
    <row r="4" customFormat="false" ht="15" hidden="false" customHeight="false" outlineLevel="0" collapsed="false">
      <c r="A4" s="0" t="s">
        <v>86</v>
      </c>
      <c r="B4" s="3" t="n">
        <v>378</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3761.05</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7.5</v>
      </c>
      <c r="D13" s="3" t="n">
        <v>4</v>
      </c>
      <c r="E13" s="3" t="n">
        <v>4</v>
      </c>
      <c r="F13" s="3" t="n">
        <v>4</v>
      </c>
      <c r="G13" s="3" t="n">
        <v>3.5</v>
      </c>
      <c r="H13" s="3" t="n">
        <v>3.5</v>
      </c>
      <c r="I13" s="3" t="n">
        <v>3</v>
      </c>
      <c r="J13" s="3" t="n">
        <v>3</v>
      </c>
      <c r="K13" s="3" t="n">
        <v>3</v>
      </c>
      <c r="L13" s="3" t="n">
        <v>3</v>
      </c>
    </row>
    <row r="14" customFormat="false" ht="15" hidden="false" customHeight="false" outlineLevel="0" collapsed="false">
      <c r="A14" s="0" t="s">
        <v>106</v>
      </c>
      <c r="C14" s="3" t="n">
        <v>22.5</v>
      </c>
      <c r="D14" s="3" t="n">
        <v>22.2</v>
      </c>
      <c r="E14" s="3" t="n">
        <v>22</v>
      </c>
      <c r="F14" s="3" t="n">
        <v>22</v>
      </c>
      <c r="G14" s="3" t="n">
        <v>22</v>
      </c>
      <c r="H14" s="3" t="n">
        <v>22</v>
      </c>
      <c r="I14" s="3" t="n">
        <v>22</v>
      </c>
      <c r="J14" s="3" t="n">
        <v>22</v>
      </c>
      <c r="K14" s="3" t="n">
        <v>22</v>
      </c>
      <c r="L14" s="3" t="n">
        <v>22</v>
      </c>
    </row>
    <row r="15" customFormat="false" ht="15" hidden="false" customHeight="false" outlineLevel="0" collapsed="false">
      <c r="A15" s="0" t="s">
        <v>107</v>
      </c>
      <c r="C15" s="3" t="n">
        <v>1.45</v>
      </c>
      <c r="D15" s="3" t="n">
        <v>1.45</v>
      </c>
      <c r="E15" s="3" t="n">
        <v>1.45</v>
      </c>
      <c r="F15" s="3" t="n">
        <v>1.45</v>
      </c>
      <c r="G15" s="3" t="n">
        <v>1.45</v>
      </c>
      <c r="H15" s="3" t="n">
        <v>1.45</v>
      </c>
      <c r="I15" s="3" t="n">
        <v>1.45</v>
      </c>
      <c r="J15" s="3" t="n">
        <v>1.45</v>
      </c>
      <c r="K15" s="3" t="n">
        <v>1.45</v>
      </c>
      <c r="L15" s="3" t="n">
        <v>1.45</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3.3</v>
      </c>
      <c r="D17" s="3" t="n">
        <v>3.1</v>
      </c>
      <c r="E17" s="3" t="n">
        <v>2.9</v>
      </c>
      <c r="F17" s="3" t="n">
        <v>2.7</v>
      </c>
      <c r="G17" s="3" t="n">
        <v>2.5</v>
      </c>
      <c r="H17" s="3" t="n">
        <v>2.3</v>
      </c>
      <c r="I17" s="3" t="n">
        <v>2.2</v>
      </c>
      <c r="J17" s="3" t="n">
        <v>2.1</v>
      </c>
      <c r="K17" s="3" t="n">
        <v>2</v>
      </c>
      <c r="L17" s="3" t="n">
        <v>2</v>
      </c>
    </row>
    <row r="18" customFormat="false" ht="15" hidden="false" customHeight="false" outlineLevel="0" collapsed="false">
      <c r="A18" s="0" t="s">
        <v>110</v>
      </c>
      <c r="C18" s="3" t="n">
        <v>0.8</v>
      </c>
      <c r="D18" s="3" t="n">
        <v>0.8</v>
      </c>
      <c r="E18" s="3" t="n">
        <v>0.8</v>
      </c>
      <c r="F18" s="3" t="n">
        <v>0.8</v>
      </c>
      <c r="G18" s="3" t="n">
        <v>0.8</v>
      </c>
      <c r="H18" s="3" t="n">
        <v>0.8</v>
      </c>
      <c r="I18" s="3" t="n">
        <v>0.8</v>
      </c>
      <c r="J18" s="3" t="n">
        <v>0.8</v>
      </c>
      <c r="K18" s="3" t="n">
        <v>0.8</v>
      </c>
      <c r="L18" s="3" t="n">
        <v>0.8</v>
      </c>
    </row>
    <row r="19" customFormat="false" ht="15" hidden="false" customHeight="false" outlineLevel="0" collapsed="false">
      <c r="A19" s="0" t="s">
        <v>111</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112</v>
      </c>
      <c r="B20" s="3" t="n">
        <v>8</v>
      </c>
    </row>
    <row r="21" customFormat="false" ht="15" hidden="false" customHeight="false" outlineLevel="0" collapsed="false">
      <c r="A21" s="0" t="s">
        <v>113</v>
      </c>
      <c r="B21" s="3" t="n">
        <v>2.5</v>
      </c>
    </row>
    <row r="22" customFormat="false" ht="15" hidden="false" customHeight="false" outlineLevel="0" collapsed="false">
      <c r="A22" s="0" t="s">
        <v>114</v>
      </c>
      <c r="B22" s="3" t="n">
        <v>20</v>
      </c>
    </row>
    <row r="23" customFormat="false" ht="15" hidden="false" customHeight="false" outlineLevel="0" collapsed="false">
      <c r="A23" s="0" t="s">
        <v>115</v>
      </c>
      <c r="B23" s="3" t="n">
        <v>0</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8.5</v>
      </c>
      <c r="D27" s="3" t="n">
        <v>6.5</v>
      </c>
      <c r="E27" s="3" t="n">
        <v>6.5</v>
      </c>
      <c r="F27" s="3" t="n">
        <v>6</v>
      </c>
      <c r="G27" s="3" t="n">
        <v>6</v>
      </c>
      <c r="H27" s="3" t="n">
        <v>5.5</v>
      </c>
      <c r="I27" s="3" t="n">
        <v>5</v>
      </c>
      <c r="J27" s="3" t="n">
        <v>4.5</v>
      </c>
      <c r="K27" s="3" t="n">
        <v>4</v>
      </c>
      <c r="L27" s="3" t="n">
        <v>3.5</v>
      </c>
    </row>
    <row r="28" customFormat="false" ht="15" hidden="false" customHeight="false" outlineLevel="0" collapsed="false">
      <c r="A28" s="0" t="s">
        <v>106</v>
      </c>
      <c r="C28" s="3" t="n">
        <v>22.8</v>
      </c>
      <c r="D28" s="3" t="n">
        <v>23.1</v>
      </c>
      <c r="E28" s="3" t="n">
        <v>23.4</v>
      </c>
      <c r="F28" s="3" t="n">
        <v>23.7</v>
      </c>
      <c r="G28" s="3" t="n">
        <v>24</v>
      </c>
      <c r="H28" s="3" t="n">
        <v>24.2</v>
      </c>
      <c r="I28" s="3" t="n">
        <v>24.4</v>
      </c>
      <c r="J28" s="3" t="n">
        <v>24.5</v>
      </c>
      <c r="K28" s="3" t="n">
        <v>24.5</v>
      </c>
      <c r="L28" s="3" t="n">
        <v>24.5</v>
      </c>
    </row>
    <row r="29" customFormat="false" ht="15" hidden="false" customHeight="false" outlineLevel="0" collapsed="false">
      <c r="A29" s="0" t="s">
        <v>107</v>
      </c>
      <c r="C29" s="3" t="n">
        <v>1.45</v>
      </c>
      <c r="D29" s="3" t="n">
        <v>1.45</v>
      </c>
      <c r="E29" s="3" t="n">
        <v>1.4</v>
      </c>
      <c r="F29" s="3" t="n">
        <v>1.4</v>
      </c>
      <c r="G29" s="3" t="n">
        <v>1.35</v>
      </c>
      <c r="H29" s="3" t="n">
        <v>1.35</v>
      </c>
      <c r="I29" s="3" t="n">
        <v>1.3</v>
      </c>
      <c r="J29" s="3" t="n">
        <v>1.3</v>
      </c>
      <c r="K29" s="3" t="n">
        <v>1.3</v>
      </c>
      <c r="L29" s="3" t="n">
        <v>1.3</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3.3</v>
      </c>
      <c r="D31" s="3" t="n">
        <v>3.1</v>
      </c>
      <c r="E31" s="3" t="n">
        <v>2.9</v>
      </c>
      <c r="F31" s="3" t="n">
        <v>2.7</v>
      </c>
      <c r="G31" s="3" t="n">
        <v>2.5</v>
      </c>
      <c r="H31" s="3" t="n">
        <v>2.3</v>
      </c>
      <c r="I31" s="3" t="n">
        <v>2.2</v>
      </c>
      <c r="J31" s="3" t="n">
        <v>2.1</v>
      </c>
      <c r="K31" s="3" t="n">
        <v>2</v>
      </c>
      <c r="L31" s="3" t="n">
        <v>2</v>
      </c>
    </row>
    <row r="32" customFormat="false" ht="15" hidden="false" customHeight="false" outlineLevel="0" collapsed="false">
      <c r="A32" s="0" t="s">
        <v>110</v>
      </c>
      <c r="C32" s="3" t="n">
        <v>0.8</v>
      </c>
      <c r="D32" s="3" t="n">
        <v>0.8</v>
      </c>
      <c r="E32" s="3" t="n">
        <v>0.8</v>
      </c>
      <c r="F32" s="3" t="n">
        <v>0.8</v>
      </c>
      <c r="G32" s="3" t="n">
        <v>0.8</v>
      </c>
      <c r="H32" s="3" t="n">
        <v>0.8</v>
      </c>
      <c r="I32" s="3" t="n">
        <v>0.8</v>
      </c>
      <c r="J32" s="3" t="n">
        <v>0.8</v>
      </c>
      <c r="K32" s="3" t="n">
        <v>0.8</v>
      </c>
      <c r="L32" s="3" t="n">
        <v>0.8</v>
      </c>
    </row>
    <row r="33" customFormat="false" ht="15" hidden="false" customHeight="false" outlineLevel="0" collapsed="false">
      <c r="A33" s="0" t="s">
        <v>111</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112</v>
      </c>
      <c r="B34" s="3" t="n">
        <v>8</v>
      </c>
    </row>
    <row r="35" customFormat="false" ht="15" hidden="false" customHeight="false" outlineLevel="0" collapsed="false">
      <c r="A35" s="0" t="s">
        <v>113</v>
      </c>
      <c r="B35" s="3" t="n">
        <v>3</v>
      </c>
    </row>
    <row r="36" customFormat="false" ht="15" hidden="false" customHeight="false" outlineLevel="0" collapsed="false">
      <c r="A36" s="0" t="s">
        <v>114</v>
      </c>
      <c r="B36" s="3" t="n">
        <v>20</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9</v>
      </c>
      <c r="D41" s="3" t="n">
        <v>8</v>
      </c>
      <c r="E41" s="3" t="n">
        <v>8</v>
      </c>
      <c r="F41" s="3" t="n">
        <v>7.5</v>
      </c>
      <c r="G41" s="3" t="n">
        <v>7</v>
      </c>
      <c r="H41" s="3" t="n">
        <v>6.5</v>
      </c>
      <c r="I41" s="3" t="n">
        <v>6</v>
      </c>
      <c r="J41" s="3" t="n">
        <v>5</v>
      </c>
      <c r="K41" s="3" t="n">
        <v>4.5</v>
      </c>
      <c r="L41" s="3" t="n">
        <v>4</v>
      </c>
    </row>
    <row r="42" customFormat="false" ht="15" hidden="false" customHeight="false" outlineLevel="0" collapsed="false">
      <c r="A42" s="0" t="s">
        <v>106</v>
      </c>
      <c r="C42" s="3" t="n">
        <v>23</v>
      </c>
      <c r="D42" s="3" t="n">
        <v>23.6</v>
      </c>
      <c r="E42" s="3" t="n">
        <v>24.2</v>
      </c>
      <c r="F42" s="3" t="n">
        <v>24.8</v>
      </c>
      <c r="G42" s="3" t="n">
        <v>25.3</v>
      </c>
      <c r="H42" s="3" t="n">
        <v>25.7</v>
      </c>
      <c r="I42" s="3" t="n">
        <v>26</v>
      </c>
      <c r="J42" s="3" t="n">
        <v>26</v>
      </c>
      <c r="K42" s="3" t="n">
        <v>26</v>
      </c>
      <c r="L42" s="3" t="n">
        <v>26</v>
      </c>
    </row>
    <row r="43" customFormat="false" ht="15" hidden="false" customHeight="false" outlineLevel="0" collapsed="false">
      <c r="A43" s="0" t="s">
        <v>107</v>
      </c>
      <c r="C43" s="3" t="n">
        <v>1.45</v>
      </c>
      <c r="D43" s="3" t="n">
        <v>1.45</v>
      </c>
      <c r="E43" s="3" t="n">
        <v>1.4</v>
      </c>
      <c r="F43" s="3" t="n">
        <v>1.4</v>
      </c>
      <c r="G43" s="3" t="n">
        <v>1.35</v>
      </c>
      <c r="H43" s="3" t="n">
        <v>1.35</v>
      </c>
      <c r="I43" s="3" t="n">
        <v>1.3</v>
      </c>
      <c r="J43" s="3" t="n">
        <v>1.3</v>
      </c>
      <c r="K43" s="3" t="n">
        <v>1.3</v>
      </c>
      <c r="L43" s="3" t="n">
        <v>1.3</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3.3</v>
      </c>
      <c r="D45" s="3" t="n">
        <v>3.1</v>
      </c>
      <c r="E45" s="3" t="n">
        <v>2.9</v>
      </c>
      <c r="F45" s="3" t="n">
        <v>2.7</v>
      </c>
      <c r="G45" s="3" t="n">
        <v>2.5</v>
      </c>
      <c r="H45" s="3" t="n">
        <v>2.3</v>
      </c>
      <c r="I45" s="3" t="n">
        <v>2.2</v>
      </c>
      <c r="J45" s="3" t="n">
        <v>2.1</v>
      </c>
      <c r="K45" s="3" t="n">
        <v>2</v>
      </c>
      <c r="L45" s="3" t="n">
        <v>2</v>
      </c>
    </row>
    <row r="46" customFormat="false" ht="15" hidden="false" customHeight="false" outlineLevel="0" collapsed="false">
      <c r="A46" s="0" t="s">
        <v>110</v>
      </c>
      <c r="C46" s="3" t="n">
        <v>0.8</v>
      </c>
      <c r="D46" s="3" t="n">
        <v>0.8</v>
      </c>
      <c r="E46" s="3" t="n">
        <v>0.8</v>
      </c>
      <c r="F46" s="3" t="n">
        <v>0.8</v>
      </c>
      <c r="G46" s="3" t="n">
        <v>0.8</v>
      </c>
      <c r="H46" s="3" t="n">
        <v>0.8</v>
      </c>
      <c r="I46" s="3" t="n">
        <v>0.8</v>
      </c>
      <c r="J46" s="3" t="n">
        <v>0.8</v>
      </c>
      <c r="K46" s="3" t="n">
        <v>0.8</v>
      </c>
      <c r="L46" s="3" t="n">
        <v>0.8</v>
      </c>
    </row>
    <row r="47" customFormat="false" ht="15" hidden="false" customHeight="false" outlineLevel="0" collapsed="false">
      <c r="A47" s="0" t="s">
        <v>111</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112</v>
      </c>
      <c r="B48" s="3" t="n">
        <v>8</v>
      </c>
    </row>
    <row r="49" customFormat="false" ht="15" hidden="false" customHeight="false" outlineLevel="0" collapsed="false">
      <c r="A49" s="0" t="s">
        <v>113</v>
      </c>
      <c r="B49" s="3" t="n">
        <v>3.5</v>
      </c>
    </row>
    <row r="50" customFormat="false" ht="15" hidden="false" customHeight="false" outlineLevel="0" collapsed="false">
      <c r="A50" s="0" t="s">
        <v>114</v>
      </c>
      <c r="B50" s="3" t="n">
        <v>20</v>
      </c>
    </row>
    <row r="51" customFormat="false" ht="15" hidden="false" customHeight="false" outlineLevel="0" collapsed="false">
      <c r="A51" s="0" t="s">
        <v>115</v>
      </c>
      <c r="B51" s="3" t="n">
        <v>0</v>
      </c>
    </row>
    <row r="52" customFormat="false" ht="15" hidden="false" customHeight="false" outlineLevel="0" collapsed="false">
      <c r="A52" s="0" t="s">
        <v>116</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7.5</v>
      </c>
      <c r="D5" s="4" t="n">
        <f aca="false">Assumptions!D13</f>
        <v>4</v>
      </c>
      <c r="E5" s="4" t="n">
        <f aca="false">Assumptions!E13</f>
        <v>4</v>
      </c>
      <c r="F5" s="4" t="n">
        <f aca="false">Assumptions!F13</f>
        <v>4</v>
      </c>
      <c r="G5" s="4" t="n">
        <f aca="false">Assumptions!G13</f>
        <v>3.5</v>
      </c>
      <c r="H5" s="4" t="n">
        <f aca="false">Assumptions!H13</f>
        <v>3.5</v>
      </c>
      <c r="I5" s="4" t="n">
        <f aca="false">Assumptions!I13</f>
        <v>3</v>
      </c>
      <c r="J5" s="4" t="n">
        <f aca="false">Assumptions!J13</f>
        <v>3</v>
      </c>
      <c r="K5" s="4" t="n">
        <f aca="false">Assumptions!K13</f>
        <v>3</v>
      </c>
      <c r="L5" s="4" t="n">
        <f aca="false">Assumptions!L13</f>
        <v>3</v>
      </c>
    </row>
    <row r="6" customFormat="false" ht="15" hidden="false" customHeight="false" outlineLevel="0" collapsed="false">
      <c r="A6" s="0" t="s">
        <v>37</v>
      </c>
      <c r="B6" s="3" t="n">
        <v>3761.05</v>
      </c>
      <c r="C6" s="0" t="n">
        <f aca="false">B6*(1+C5/100)</f>
        <v>4043.12875</v>
      </c>
      <c r="D6" s="0" t="n">
        <f aca="false">C6*(1+D5/100)</f>
        <v>4204.8539</v>
      </c>
      <c r="E6" s="0" t="n">
        <f aca="false">D6*(1+E5/100)</f>
        <v>4373.048056</v>
      </c>
      <c r="F6" s="0" t="n">
        <f aca="false">E6*(1+F5/100)</f>
        <v>4547.96997824</v>
      </c>
      <c r="G6" s="0" t="n">
        <f aca="false">F6*(1+G5/100)</f>
        <v>4707.1489274784</v>
      </c>
      <c r="H6" s="0" t="n">
        <f aca="false">G6*(1+H5/100)</f>
        <v>4871.89913994014</v>
      </c>
      <c r="I6" s="0" t="n">
        <f aca="false">H6*(1+I5/100)</f>
        <v>5018.05611413835</v>
      </c>
      <c r="J6" s="0" t="n">
        <f aca="false">I6*(1+J5/100)</f>
        <v>5168.5977975625</v>
      </c>
      <c r="K6" s="0" t="n">
        <f aca="false">J6*(1+K5/100)</f>
        <v>5323.65573148937</v>
      </c>
      <c r="L6" s="0" t="n">
        <f aca="false">K6*(1+L5/100)</f>
        <v>5483.36540343406</v>
      </c>
    </row>
    <row r="7" customFormat="false" ht="15" hidden="false" customHeight="false" outlineLevel="0" collapsed="false">
      <c r="A7" s="0" t="s">
        <v>106</v>
      </c>
      <c r="C7" s="4" t="n">
        <f aca="false">Assumptions!C14</f>
        <v>22.5</v>
      </c>
      <c r="D7" s="4" t="n">
        <f aca="false">Assumptions!D14</f>
        <v>22.2</v>
      </c>
      <c r="E7" s="4" t="n">
        <f aca="false">Assumptions!E14</f>
        <v>22</v>
      </c>
      <c r="F7" s="4" t="n">
        <f aca="false">Assumptions!F14</f>
        <v>22</v>
      </c>
      <c r="G7" s="4" t="n">
        <f aca="false">Assumptions!G14</f>
        <v>22</v>
      </c>
      <c r="H7" s="4" t="n">
        <f aca="false">Assumptions!H14</f>
        <v>22</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43</v>
      </c>
      <c r="C8" s="0" t="n">
        <f aca="false">C6*C7/100</f>
        <v>909.70396875</v>
      </c>
      <c r="D8" s="0" t="n">
        <f aca="false">D6*D7/100</f>
        <v>933.4775658</v>
      </c>
      <c r="E8" s="0" t="n">
        <f aca="false">E6*E7/100</f>
        <v>962.07057232</v>
      </c>
      <c r="F8" s="0" t="n">
        <f aca="false">F6*F7/100</f>
        <v>1000.5533952128</v>
      </c>
      <c r="G8" s="0" t="n">
        <f aca="false">G6*G7/100</f>
        <v>1035.57276404525</v>
      </c>
      <c r="H8" s="0" t="n">
        <f aca="false">H6*H7/100</f>
        <v>1071.81781078683</v>
      </c>
      <c r="I8" s="0" t="n">
        <f aca="false">I6*I7/100</f>
        <v>1103.97234511044</v>
      </c>
      <c r="J8" s="0" t="n">
        <f aca="false">J6*J7/100</f>
        <v>1137.09151546375</v>
      </c>
      <c r="K8" s="0" t="n">
        <f aca="false">K6*K7/100</f>
        <v>1171.20426092766</v>
      </c>
      <c r="L8" s="0" t="n">
        <f aca="false">L6*L7/100</f>
        <v>1206.34038875549</v>
      </c>
    </row>
    <row r="9" customFormat="false" ht="15" hidden="false" customHeight="false" outlineLevel="0" collapsed="false">
      <c r="A9" s="0" t="s">
        <v>107</v>
      </c>
      <c r="C9" s="4" t="n">
        <f aca="false">Assumptions!C15</f>
        <v>1.45</v>
      </c>
      <c r="D9" s="4" t="n">
        <f aca="false">Assumptions!D15</f>
        <v>1.45</v>
      </c>
      <c r="E9" s="4" t="n">
        <f aca="false">Assumptions!E15</f>
        <v>1.45</v>
      </c>
      <c r="F9" s="4" t="n">
        <f aca="false">Assumptions!F15</f>
        <v>1.45</v>
      </c>
      <c r="G9" s="4" t="n">
        <f aca="false">Assumptions!G15</f>
        <v>1.45</v>
      </c>
      <c r="H9" s="4" t="n">
        <f aca="false">Assumptions!H15</f>
        <v>1.45</v>
      </c>
      <c r="I9" s="4" t="n">
        <f aca="false">Assumptions!I15</f>
        <v>1.45</v>
      </c>
      <c r="J9" s="4" t="n">
        <f aca="false">Assumptions!J15</f>
        <v>1.45</v>
      </c>
      <c r="K9" s="4" t="n">
        <f aca="false">Assumptions!K15</f>
        <v>1.45</v>
      </c>
      <c r="L9" s="4" t="n">
        <f aca="false">Assumptions!L15</f>
        <v>1.45</v>
      </c>
    </row>
    <row r="10" customFormat="false" ht="15" hidden="false" customHeight="false" outlineLevel="0" collapsed="false">
      <c r="A10" s="0" t="s">
        <v>122</v>
      </c>
      <c r="C10" s="0" t="n">
        <f aca="false">-C6*C9/100</f>
        <v>-58.625366875</v>
      </c>
      <c r="D10" s="0" t="n">
        <f aca="false">-D6*D9/100</f>
        <v>-60.97038155</v>
      </c>
      <c r="E10" s="0" t="n">
        <f aca="false">-E6*E9/100</f>
        <v>-63.409196812</v>
      </c>
      <c r="F10" s="0" t="n">
        <f aca="false">-F6*F9/100</f>
        <v>-65.94556468448</v>
      </c>
      <c r="G10" s="0" t="n">
        <f aca="false">-G6*G9/100</f>
        <v>-68.2536594484368</v>
      </c>
      <c r="H10" s="0" t="n">
        <f aca="false">-H6*H9/100</f>
        <v>-70.6425375291321</v>
      </c>
      <c r="I10" s="0" t="n">
        <f aca="false">-I6*I9/100</f>
        <v>-72.7618136550061</v>
      </c>
      <c r="J10" s="0" t="n">
        <f aca="false">-J6*J9/100</f>
        <v>-74.9446680646562</v>
      </c>
      <c r="K10" s="0" t="n">
        <f aca="false">-K6*K9/100</f>
        <v>-77.1930081065959</v>
      </c>
      <c r="L10" s="0" t="n">
        <f aca="false">-L6*L9/100</f>
        <v>-79.5087983497938</v>
      </c>
    </row>
    <row r="11" customFormat="false" ht="15" hidden="false" customHeight="false" outlineLevel="0" collapsed="false">
      <c r="A11" s="0" t="s">
        <v>123</v>
      </c>
      <c r="C11" s="0" t="n">
        <f aca="false">C8+C10+C24</f>
        <v>851.078601875</v>
      </c>
      <c r="D11" s="0" t="n">
        <f aca="false">D8+D10+D24</f>
        <v>872.50718425</v>
      </c>
      <c r="E11" s="0" t="n">
        <f aca="false">E8+E10+E24</f>
        <v>898.661375508</v>
      </c>
      <c r="F11" s="0" t="n">
        <f aca="false">F8+F10+F24</f>
        <v>934.60783052832</v>
      </c>
      <c r="G11" s="0" t="n">
        <f aca="false">G8+G10+G24</f>
        <v>967.319104596811</v>
      </c>
      <c r="H11" s="0" t="n">
        <f aca="false">H8+H10+H24</f>
        <v>1001.1752732577</v>
      </c>
      <c r="I11" s="0" t="n">
        <f aca="false">I8+I10+I24</f>
        <v>1031.21053145543</v>
      </c>
      <c r="J11" s="0" t="n">
        <f aca="false">J8+J10+J24</f>
        <v>1062.14684739909</v>
      </c>
      <c r="K11" s="0" t="n">
        <f aca="false">K8+K10+K24</f>
        <v>1094.01125282107</v>
      </c>
      <c r="L11" s="0" t="n">
        <f aca="false">L8+L10+L24</f>
        <v>1126.8315904057</v>
      </c>
    </row>
    <row r="12" customFormat="false" ht="15" hidden="false" customHeight="false" outlineLevel="0" collapsed="false">
      <c r="A12" s="0" t="s">
        <v>124</v>
      </c>
      <c r="C12" s="4" t="n">
        <f aca="false">-C6*Assumptions!C17/100</f>
        <v>-133.42324875</v>
      </c>
      <c r="D12" s="4" t="n">
        <f aca="false">-D6*Assumptions!D17/100</f>
        <v>-130.3504709</v>
      </c>
      <c r="E12" s="4" t="n">
        <f aca="false">-E6*Assumptions!E17/100</f>
        <v>-126.818393624</v>
      </c>
      <c r="F12" s="4" t="n">
        <f aca="false">-F6*Assumptions!F17/100</f>
        <v>-122.79518941248</v>
      </c>
      <c r="G12" s="4" t="n">
        <f aca="false">-G6*Assumptions!G17/100</f>
        <v>-117.67872318696</v>
      </c>
      <c r="H12" s="4" t="n">
        <f aca="false">-H6*Assumptions!H17/100</f>
        <v>-112.053680218623</v>
      </c>
      <c r="I12" s="4" t="n">
        <f aca="false">-I6*Assumptions!I17/100</f>
        <v>-110.397234511044</v>
      </c>
      <c r="J12" s="4" t="n">
        <f aca="false">-J6*Assumptions!J17/100</f>
        <v>-108.540553748812</v>
      </c>
      <c r="K12" s="4" t="n">
        <f aca="false">-K6*Assumptions!K17/100</f>
        <v>-106.473114629787</v>
      </c>
      <c r="L12" s="4" t="n">
        <f aca="false">-L6*Assumptions!L17/100</f>
        <v>-109.667308068681</v>
      </c>
    </row>
    <row r="13" customFormat="false" ht="15" hidden="false" customHeight="false" outlineLevel="0" collapsed="false">
      <c r="A13" s="0" t="s">
        <v>125</v>
      </c>
      <c r="C13" s="0" t="n">
        <f aca="false">C11+C12</f>
        <v>717.655353125</v>
      </c>
      <c r="D13" s="0" t="n">
        <f aca="false">D11+D12</f>
        <v>742.15671335</v>
      </c>
      <c r="E13" s="0" t="n">
        <f aca="false">E11+E12</f>
        <v>771.842981884</v>
      </c>
      <c r="F13" s="0" t="n">
        <f aca="false">F11+F12</f>
        <v>811.81264111584</v>
      </c>
      <c r="G13" s="0" t="n">
        <f aca="false">G11+G12</f>
        <v>849.640381409851</v>
      </c>
      <c r="H13" s="0" t="n">
        <f aca="false">H11+H12</f>
        <v>889.121593039076</v>
      </c>
      <c r="I13" s="0" t="n">
        <f aca="false">I11+I12</f>
        <v>920.813296944387</v>
      </c>
      <c r="J13" s="0" t="n">
        <f aca="false">J11+J12</f>
        <v>953.606293650281</v>
      </c>
      <c r="K13" s="0" t="n">
        <f aca="false">K11+K12</f>
        <v>987.538138191279</v>
      </c>
      <c r="L13" s="0" t="n">
        <f aca="false">L11+L12</f>
        <v>1017.16428233702</v>
      </c>
    </row>
    <row r="14" customFormat="false" ht="15" hidden="false" customHeight="false" outlineLevel="0" collapsed="false">
      <c r="A14" s="0" t="s">
        <v>111</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126</v>
      </c>
      <c r="C15" s="0" t="n">
        <f aca="false">C13-MAX(0,C13)*C14/100</f>
        <v>538.24151484375</v>
      </c>
      <c r="D15" s="0" t="n">
        <f aca="false">D13-MAX(0,D13)*D14/100</f>
        <v>556.6175350125</v>
      </c>
      <c r="E15" s="0" t="n">
        <f aca="false">E13-MAX(0,E13)*E14/100</f>
        <v>578.882236413</v>
      </c>
      <c r="F15" s="0" t="n">
        <f aca="false">F13-MAX(0,F13)*F14/100</f>
        <v>608.85948083688</v>
      </c>
      <c r="G15" s="0" t="n">
        <f aca="false">G13-MAX(0,G13)*G14/100</f>
        <v>637.230286057388</v>
      </c>
      <c r="H15" s="0" t="n">
        <f aca="false">H13-MAX(0,H13)*H14/100</f>
        <v>666.841194779307</v>
      </c>
      <c r="I15" s="0" t="n">
        <f aca="false">I13-MAX(0,I13)*I14/100</f>
        <v>690.60997270829</v>
      </c>
      <c r="J15" s="0" t="n">
        <f aca="false">J13-MAX(0,J13)*J14/100</f>
        <v>715.204720237711</v>
      </c>
      <c r="K15" s="0" t="n">
        <f aca="false">K13-MAX(0,K13)*K14/100</f>
        <v>740.653603643459</v>
      </c>
      <c r="L15" s="0" t="n">
        <f aca="false">L13-MAX(0,L13)*L14/100</f>
        <v>762.873211752763</v>
      </c>
    </row>
    <row r="16" customFormat="false" ht="15" hidden="false" customHeight="false" outlineLevel="0" collapsed="false">
      <c r="A16" s="0" t="s">
        <v>127</v>
      </c>
      <c r="C16" s="0" t="n">
        <f aca="false">-C12</f>
        <v>133.42324875</v>
      </c>
      <c r="D16" s="0" t="n">
        <f aca="false">-D12</f>
        <v>130.3504709</v>
      </c>
      <c r="E16" s="0" t="n">
        <f aca="false">-E12</f>
        <v>126.818393624</v>
      </c>
      <c r="F16" s="0" t="n">
        <f aca="false">-F12</f>
        <v>122.79518941248</v>
      </c>
      <c r="G16" s="0" t="n">
        <f aca="false">-G12</f>
        <v>117.67872318696</v>
      </c>
      <c r="H16" s="0" t="n">
        <f aca="false">-H12</f>
        <v>112.053680218623</v>
      </c>
      <c r="I16" s="0" t="n">
        <f aca="false">-I12</f>
        <v>110.397234511044</v>
      </c>
      <c r="J16" s="0" t="n">
        <f aca="false">-J12</f>
        <v>108.540553748812</v>
      </c>
      <c r="K16" s="0" t="n">
        <f aca="false">-K12</f>
        <v>106.473114629787</v>
      </c>
      <c r="L16" s="0" t="n">
        <f aca="false">-L12</f>
        <v>109.667308068681</v>
      </c>
    </row>
    <row r="17" customFormat="false" ht="15" hidden="false" customHeight="false" outlineLevel="0" collapsed="false">
      <c r="A17" s="0" t="s">
        <v>128</v>
      </c>
      <c r="C17" s="4" t="n">
        <f aca="false">-C6*Assumptions!C18/100</f>
        <v>-32.34503</v>
      </c>
      <c r="D17" s="4" t="n">
        <f aca="false">-D6*Assumptions!D18/100</f>
        <v>-33.6388312</v>
      </c>
      <c r="E17" s="4" t="n">
        <f aca="false">-E6*Assumptions!E18/100</f>
        <v>-34.984384448</v>
      </c>
      <c r="F17" s="4" t="n">
        <f aca="false">-F6*Assumptions!F18/100</f>
        <v>-36.38375982592</v>
      </c>
      <c r="G17" s="4" t="n">
        <f aca="false">-G6*Assumptions!G18/100</f>
        <v>-37.6571914198272</v>
      </c>
      <c r="H17" s="4" t="n">
        <f aca="false">-H6*Assumptions!H18/100</f>
        <v>-38.9751931195212</v>
      </c>
      <c r="I17" s="4" t="n">
        <f aca="false">-I6*Assumptions!I18/100</f>
        <v>-40.1444489131068</v>
      </c>
      <c r="J17" s="4" t="n">
        <f aca="false">-J6*Assumptions!J18/100</f>
        <v>-41.3487823805</v>
      </c>
      <c r="K17" s="4" t="n">
        <f aca="false">-K6*Assumptions!K18/100</f>
        <v>-42.589245851915</v>
      </c>
      <c r="L17" s="4" t="n">
        <f aca="false">-L6*Assumptions!L18/100</f>
        <v>-43.8669232274725</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639.31973359375</v>
      </c>
      <c r="D19" s="0" t="n">
        <f aca="false">D15+D16+D17+D18</f>
        <v>653.3291747125</v>
      </c>
      <c r="E19" s="0" t="n">
        <f aca="false">E15+E16+E17+E18</f>
        <v>670.716245589</v>
      </c>
      <c r="F19" s="0" t="n">
        <f aca="false">F15+F16+F17+F18</f>
        <v>695.27091042344</v>
      </c>
      <c r="G19" s="0" t="n">
        <f aca="false">G15+G16+G17+G18</f>
        <v>717.251817824521</v>
      </c>
      <c r="H19" s="0" t="n">
        <f aca="false">H15+H16+H17+H18</f>
        <v>739.919681878409</v>
      </c>
      <c r="I19" s="0" t="n">
        <f aca="false">I15+I16+I17+I18</f>
        <v>760.862758306227</v>
      </c>
      <c r="J19" s="0" t="n">
        <f aca="false">J15+J16+J17+J18</f>
        <v>782.396491606023</v>
      </c>
      <c r="K19" s="0" t="n">
        <f aca="false">K15+K16+K17+K18</f>
        <v>804.537472421332</v>
      </c>
      <c r="L19" s="0" t="n">
        <f aca="false">L15+L16+L17+L18</f>
        <v>828.673596593972</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591.962716290509</v>
      </c>
      <c r="D21" s="0" t="n">
        <f aca="false">D19*D20</f>
        <v>560.124463916752</v>
      </c>
      <c r="E21" s="0" t="n">
        <f aca="false">E19*E20</f>
        <v>532.43618032455</v>
      </c>
      <c r="F21" s="0" t="n">
        <f aca="false">F19*F20</f>
        <v>511.044874942197</v>
      </c>
      <c r="G21" s="0" t="n">
        <f aca="false">G19*G20</f>
        <v>488.149535253284</v>
      </c>
      <c r="H21" s="0" t="n">
        <f aca="false">H19*H20</f>
        <v>466.274909852783</v>
      </c>
      <c r="I21" s="0" t="n">
        <f aca="false">I19*I20</f>
        <v>443.956111584338</v>
      </c>
      <c r="J21" s="0" t="n">
        <f aca="false">J19*J20</f>
        <v>422.704479758246</v>
      </c>
      <c r="K21" s="0" t="n">
        <f aca="false">K19*K20</f>
        <v>402.469039597326</v>
      </c>
      <c r="L21" s="0" t="n">
        <f aca="false">L19*L20</f>
        <v>383.836213690042</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8</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20</v>
      </c>
    </row>
    <row r="30" customFormat="false" ht="15" hidden="false" customHeight="false" outlineLevel="0" collapsed="false">
      <c r="A30" s="0" t="s">
        <v>135</v>
      </c>
      <c r="B30" s="0" t="n">
        <f aca="false">SUM(C21:L21)</f>
        <v>4802.95852521003</v>
      </c>
    </row>
    <row r="31" customFormat="false" ht="15" hidden="false" customHeight="false" outlineLevel="0" collapsed="false">
      <c r="A31" s="0" t="s">
        <v>136</v>
      </c>
      <c r="B31" s="0" t="n">
        <f aca="false">L19</f>
        <v>828.673596593972</v>
      </c>
    </row>
    <row r="32" customFormat="false" ht="15" hidden="false" customHeight="false" outlineLevel="0" collapsed="false">
      <c r="A32" s="0" t="s">
        <v>137</v>
      </c>
      <c r="B32" s="0" t="n">
        <f aca="false">IF(B27&gt;B28,B31*(1+B28/100)/((B27-B28)/100),B31*B29)</f>
        <v>15443.4624819786</v>
      </c>
    </row>
    <row r="33" customFormat="false" ht="15" hidden="false" customHeight="false" outlineLevel="0" collapsed="false">
      <c r="A33" s="0" t="s">
        <v>138</v>
      </c>
      <c r="B33" s="0" t="n">
        <f aca="false">B31*B29</f>
        <v>16573.4719318794</v>
      </c>
    </row>
    <row r="34" customFormat="false" ht="15" hidden="false" customHeight="false" outlineLevel="0" collapsed="false">
      <c r="A34" s="0" t="s">
        <v>139</v>
      </c>
      <c r="B34" s="0" t="n">
        <f aca="false">MAX(0,MIN(B32,B33))</f>
        <v>15443.4624819786</v>
      </c>
    </row>
    <row r="35" customFormat="false" ht="15" hidden="false" customHeight="false" outlineLevel="0" collapsed="false">
      <c r="A35" s="0" t="s">
        <v>140</v>
      </c>
      <c r="B35" s="0" t="n">
        <f aca="false">B34/(1+B27/100)^L4</f>
        <v>7153.3112551326</v>
      </c>
    </row>
    <row r="36" customFormat="false" ht="15" hidden="false" customHeight="false" outlineLevel="0" collapsed="false">
      <c r="A36" s="0" t="s">
        <v>141</v>
      </c>
      <c r="B36" s="0" t="n">
        <f aca="false">B30+B35</f>
        <v>11956.2697803426</v>
      </c>
    </row>
    <row r="37" customFormat="false" ht="15" hidden="false" customHeight="false" outlineLevel="0" collapsed="false">
      <c r="A37" s="0" t="s">
        <v>142</v>
      </c>
      <c r="B37" s="0" t="n">
        <f aca="false">B36+Assumptions!$B$5-Assumptions!$B$4</f>
        <v>11578.2697803426</v>
      </c>
    </row>
    <row r="38" customFormat="false" ht="15" hidden="false" customHeight="false" outlineLevel="0" collapsed="false">
      <c r="A38" s="0" t="s">
        <v>143</v>
      </c>
      <c r="B38" s="0" t="n">
        <f aca="false">B37/Assumptions!$B$3*Assumptions!$B$10</f>
        <v>24.0512459084807</v>
      </c>
    </row>
    <row r="39" customFormat="false" ht="15" hidden="false" customHeight="false" outlineLevel="0" collapsed="false">
      <c r="A39" s="0" t="s">
        <v>144</v>
      </c>
      <c r="B39" s="4" t="n">
        <f aca="false">B38/Assumptions!$B$2-1</f>
        <v>-0.213240238518785</v>
      </c>
    </row>
    <row r="41" customFormat="false" ht="15" hidden="false" customHeight="false" outlineLevel="0" collapsed="false">
      <c r="A41" s="0" t="s">
        <v>145</v>
      </c>
      <c r="B41" s="0" t="n">
        <f aca="false">SUMPRODUCT(-C10:L10/(1+$B$27/100)^C4:L4)</f>
        <v>454.722092720928</v>
      </c>
    </row>
    <row r="42" customFormat="false" ht="15" hidden="false" customHeight="false" outlineLevel="0" collapsed="false">
      <c r="A42" s="0" t="s">
        <v>146</v>
      </c>
      <c r="B42" s="0" t="n">
        <f aca="false">IF(B27&gt;B28,-L10*(1+B28/100)/((B27-B28)/100),-L10*20)/(1+B27/100)^L4</f>
        <v>686.339210583443</v>
      </c>
    </row>
    <row r="43" customFormat="false" ht="15" hidden="false" customHeight="false" outlineLevel="0" collapsed="false">
      <c r="A43" s="0" t="s">
        <v>147</v>
      </c>
      <c r="B43" s="0" t="n">
        <f aca="false">(B37+B41+B42)/Assumptions!$B$3*Assumptions!$B$10</f>
        <v>26.4215435887973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6795.12349207057</v>
      </c>
    </row>
    <row r="47" customFormat="false" ht="15" hidden="false" customHeight="false" outlineLevel="0" collapsed="false">
      <c r="A47" s="0" t="s">
        <v>149</v>
      </c>
      <c r="B47" s="0" t="n">
        <f aca="false">(SUMPRODUCT(C19:L19/(1+B45/100)^C4:L4)+B46/(1+B45/100)^L4+Assumptions!$B$5-Assumptions!$B$4)/Assumptions!$B$3*Assumptions!$B$10</f>
        <v>10.0580574440516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8.5</v>
      </c>
      <c r="D5" s="4" t="n">
        <f aca="false">Assumptions!D27</f>
        <v>6.5</v>
      </c>
      <c r="E5" s="4" t="n">
        <f aca="false">Assumptions!E27</f>
        <v>6.5</v>
      </c>
      <c r="F5" s="4" t="n">
        <f aca="false">Assumptions!F27</f>
        <v>6</v>
      </c>
      <c r="G5" s="4" t="n">
        <f aca="false">Assumptions!G27</f>
        <v>6</v>
      </c>
      <c r="H5" s="4" t="n">
        <f aca="false">Assumptions!H27</f>
        <v>5.5</v>
      </c>
      <c r="I5" s="4" t="n">
        <f aca="false">Assumptions!I27</f>
        <v>5</v>
      </c>
      <c r="J5" s="4" t="n">
        <f aca="false">Assumptions!J27</f>
        <v>4.5</v>
      </c>
      <c r="K5" s="4" t="n">
        <f aca="false">Assumptions!K27</f>
        <v>4</v>
      </c>
      <c r="L5" s="4" t="n">
        <f aca="false">Assumptions!L27</f>
        <v>3.5</v>
      </c>
    </row>
    <row r="6" customFormat="false" ht="15" hidden="false" customHeight="false" outlineLevel="0" collapsed="false">
      <c r="A6" s="0" t="s">
        <v>37</v>
      </c>
      <c r="B6" s="3" t="n">
        <v>3761.05</v>
      </c>
      <c r="C6" s="0" t="n">
        <f aca="false">B6*(1+C5/100)</f>
        <v>4080.73925</v>
      </c>
      <c r="D6" s="0" t="n">
        <f aca="false">C6*(1+D5/100)</f>
        <v>4345.98730125</v>
      </c>
      <c r="E6" s="0" t="n">
        <f aca="false">D6*(1+E5/100)</f>
        <v>4628.47647583125</v>
      </c>
      <c r="F6" s="0" t="n">
        <f aca="false">E6*(1+F5/100)</f>
        <v>4906.18506438113</v>
      </c>
      <c r="G6" s="0" t="n">
        <f aca="false">F6*(1+G5/100)</f>
        <v>5200.55616824399</v>
      </c>
      <c r="H6" s="0" t="n">
        <f aca="false">G6*(1+H5/100)</f>
        <v>5486.58675749741</v>
      </c>
      <c r="I6" s="0" t="n">
        <f aca="false">H6*(1+I5/100)</f>
        <v>5760.91609537229</v>
      </c>
      <c r="J6" s="0" t="n">
        <f aca="false">I6*(1+J5/100)</f>
        <v>6020.15731966404</v>
      </c>
      <c r="K6" s="0" t="n">
        <f aca="false">J6*(1+K5/100)</f>
        <v>6260.9636124506</v>
      </c>
      <c r="L6" s="0" t="n">
        <f aca="false">K6*(1+L5/100)</f>
        <v>6480.09733888637</v>
      </c>
    </row>
    <row r="7" customFormat="false" ht="15" hidden="false" customHeight="false" outlineLevel="0" collapsed="false">
      <c r="A7" s="0" t="s">
        <v>106</v>
      </c>
      <c r="C7" s="4" t="n">
        <f aca="false">Assumptions!C28</f>
        <v>22.8</v>
      </c>
      <c r="D7" s="4" t="n">
        <f aca="false">Assumptions!D28</f>
        <v>23.1</v>
      </c>
      <c r="E7" s="4" t="n">
        <f aca="false">Assumptions!E28</f>
        <v>23.4</v>
      </c>
      <c r="F7" s="4" t="n">
        <f aca="false">Assumptions!F28</f>
        <v>23.7</v>
      </c>
      <c r="G7" s="4" t="n">
        <f aca="false">Assumptions!G28</f>
        <v>24</v>
      </c>
      <c r="H7" s="4" t="n">
        <f aca="false">Assumptions!H28</f>
        <v>24.2</v>
      </c>
      <c r="I7" s="4" t="n">
        <f aca="false">Assumptions!I28</f>
        <v>24.4</v>
      </c>
      <c r="J7" s="4" t="n">
        <f aca="false">Assumptions!J28</f>
        <v>24.5</v>
      </c>
      <c r="K7" s="4" t="n">
        <f aca="false">Assumptions!K28</f>
        <v>24.5</v>
      </c>
      <c r="L7" s="4" t="n">
        <f aca="false">Assumptions!L28</f>
        <v>24.5</v>
      </c>
    </row>
    <row r="8" customFormat="false" ht="15" hidden="false" customHeight="false" outlineLevel="0" collapsed="false">
      <c r="A8" s="0" t="s">
        <v>43</v>
      </c>
      <c r="C8" s="0" t="n">
        <f aca="false">C6*C7/100</f>
        <v>930.408549</v>
      </c>
      <c r="D8" s="0" t="n">
        <f aca="false">D6*D7/100</f>
        <v>1003.92306658875</v>
      </c>
      <c r="E8" s="0" t="n">
        <f aca="false">E6*E7/100</f>
        <v>1083.06349534451</v>
      </c>
      <c r="F8" s="0" t="n">
        <f aca="false">F6*F7/100</f>
        <v>1162.76586025833</v>
      </c>
      <c r="G8" s="0" t="n">
        <f aca="false">G6*G7/100</f>
        <v>1248.13348037856</v>
      </c>
      <c r="H8" s="0" t="n">
        <f aca="false">H6*H7/100</f>
        <v>1327.75399531437</v>
      </c>
      <c r="I8" s="0" t="n">
        <f aca="false">I6*I7/100</f>
        <v>1405.66352727084</v>
      </c>
      <c r="J8" s="0" t="n">
        <f aca="false">J6*J7/100</f>
        <v>1474.93854331769</v>
      </c>
      <c r="K8" s="0" t="n">
        <f aca="false">K6*K7/100</f>
        <v>1533.9360850504</v>
      </c>
      <c r="L8" s="0" t="n">
        <f aca="false">L6*L7/100</f>
        <v>1587.62384802716</v>
      </c>
    </row>
    <row r="9" customFormat="false" ht="15" hidden="false" customHeight="false" outlineLevel="0" collapsed="false">
      <c r="A9" s="0" t="s">
        <v>107</v>
      </c>
      <c r="C9" s="4" t="n">
        <f aca="false">Assumptions!C29</f>
        <v>1.45</v>
      </c>
      <c r="D9" s="4" t="n">
        <f aca="false">Assumptions!D29</f>
        <v>1.45</v>
      </c>
      <c r="E9" s="4" t="n">
        <f aca="false">Assumptions!E29</f>
        <v>1.4</v>
      </c>
      <c r="F9" s="4" t="n">
        <f aca="false">Assumptions!F29</f>
        <v>1.4</v>
      </c>
      <c r="G9" s="4" t="n">
        <f aca="false">Assumptions!G29</f>
        <v>1.35</v>
      </c>
      <c r="H9" s="4" t="n">
        <f aca="false">Assumptions!H29</f>
        <v>1.35</v>
      </c>
      <c r="I9" s="4" t="n">
        <f aca="false">Assumptions!I29</f>
        <v>1.3</v>
      </c>
      <c r="J9" s="4" t="n">
        <f aca="false">Assumptions!J29</f>
        <v>1.3</v>
      </c>
      <c r="K9" s="4" t="n">
        <f aca="false">Assumptions!K29</f>
        <v>1.3</v>
      </c>
      <c r="L9" s="4" t="n">
        <f aca="false">Assumptions!L29</f>
        <v>1.3</v>
      </c>
    </row>
    <row r="10" customFormat="false" ht="15" hidden="false" customHeight="false" outlineLevel="0" collapsed="false">
      <c r="A10" s="0" t="s">
        <v>122</v>
      </c>
      <c r="C10" s="0" t="n">
        <f aca="false">-C6*C9/100</f>
        <v>-59.170719125</v>
      </c>
      <c r="D10" s="0" t="n">
        <f aca="false">-D6*D9/100</f>
        <v>-63.016815868125</v>
      </c>
      <c r="E10" s="0" t="n">
        <f aca="false">-E6*E9/100</f>
        <v>-64.7986706616375</v>
      </c>
      <c r="F10" s="0" t="n">
        <f aca="false">-F6*F9/100</f>
        <v>-68.6865909013358</v>
      </c>
      <c r="G10" s="0" t="n">
        <f aca="false">-G6*G9/100</f>
        <v>-70.2075082712939</v>
      </c>
      <c r="H10" s="0" t="n">
        <f aca="false">-H6*H9/100</f>
        <v>-74.0689212262151</v>
      </c>
      <c r="I10" s="0" t="n">
        <f aca="false">-I6*I9/100</f>
        <v>-74.8919092398397</v>
      </c>
      <c r="J10" s="0" t="n">
        <f aca="false">-J6*J9/100</f>
        <v>-78.2620451556325</v>
      </c>
      <c r="K10" s="0" t="n">
        <f aca="false">-K6*K9/100</f>
        <v>-81.3925269618578</v>
      </c>
      <c r="L10" s="0" t="n">
        <f aca="false">-L6*L9/100</f>
        <v>-84.2412654055228</v>
      </c>
    </row>
    <row r="11" customFormat="false" ht="15" hidden="false" customHeight="false" outlineLevel="0" collapsed="false">
      <c r="A11" s="0" t="s">
        <v>123</v>
      </c>
      <c r="C11" s="0" t="n">
        <f aca="false">C8+C10+C24</f>
        <v>871.237829875</v>
      </c>
      <c r="D11" s="0" t="n">
        <f aca="false">D8+D10+D24</f>
        <v>940.906250720625</v>
      </c>
      <c r="E11" s="0" t="n">
        <f aca="false">E8+E10+E24</f>
        <v>1018.26482468287</v>
      </c>
      <c r="F11" s="0" t="n">
        <f aca="false">F8+F10+F24</f>
        <v>1094.07926935699</v>
      </c>
      <c r="G11" s="0" t="n">
        <f aca="false">G8+G10+G24</f>
        <v>1177.92597210726</v>
      </c>
      <c r="H11" s="0" t="n">
        <f aca="false">H8+H10+H24</f>
        <v>1253.68507408816</v>
      </c>
      <c r="I11" s="0" t="n">
        <f aca="false">I8+I10+I24</f>
        <v>1330.771618031</v>
      </c>
      <c r="J11" s="0" t="n">
        <f aca="false">J8+J10+J24</f>
        <v>1396.67649816206</v>
      </c>
      <c r="K11" s="0" t="n">
        <f aca="false">K8+K10+K24</f>
        <v>1452.54355808854</v>
      </c>
      <c r="L11" s="0" t="n">
        <f aca="false">L8+L10+L24</f>
        <v>1503.38258262164</v>
      </c>
    </row>
    <row r="12" customFormat="false" ht="15" hidden="false" customHeight="false" outlineLevel="0" collapsed="false">
      <c r="A12" s="0" t="s">
        <v>124</v>
      </c>
      <c r="C12" s="4" t="n">
        <f aca="false">-C6*Assumptions!C31/100</f>
        <v>-134.66439525</v>
      </c>
      <c r="D12" s="4" t="n">
        <f aca="false">-D6*Assumptions!D31/100</f>
        <v>-134.72560633875</v>
      </c>
      <c r="E12" s="4" t="n">
        <f aca="false">-E6*Assumptions!E31/100</f>
        <v>-134.225817799106</v>
      </c>
      <c r="F12" s="4" t="n">
        <f aca="false">-F6*Assumptions!F31/100</f>
        <v>-132.46699673829</v>
      </c>
      <c r="G12" s="4" t="n">
        <f aca="false">-G6*Assumptions!G31/100</f>
        <v>-130.0139042061</v>
      </c>
      <c r="H12" s="4" t="n">
        <f aca="false">-H6*Assumptions!H31/100</f>
        <v>-126.191495422441</v>
      </c>
      <c r="I12" s="4" t="n">
        <f aca="false">-I6*Assumptions!I31/100</f>
        <v>-126.74015409819</v>
      </c>
      <c r="J12" s="4" t="n">
        <f aca="false">-J6*Assumptions!J31/100</f>
        <v>-126.423303712945</v>
      </c>
      <c r="K12" s="4" t="n">
        <f aca="false">-K6*Assumptions!K31/100</f>
        <v>-125.219272249012</v>
      </c>
      <c r="L12" s="4" t="n">
        <f aca="false">-L6*Assumptions!L31/100</f>
        <v>-129.601946777727</v>
      </c>
    </row>
    <row r="13" customFormat="false" ht="15" hidden="false" customHeight="false" outlineLevel="0" collapsed="false">
      <c r="A13" s="0" t="s">
        <v>125</v>
      </c>
      <c r="C13" s="0" t="n">
        <f aca="false">C11+C12</f>
        <v>736.573434625</v>
      </c>
      <c r="D13" s="0" t="n">
        <f aca="false">D11+D12</f>
        <v>806.180644381875</v>
      </c>
      <c r="E13" s="0" t="n">
        <f aca="false">E11+E12</f>
        <v>884.039006883769</v>
      </c>
      <c r="F13" s="0" t="n">
        <f aca="false">F11+F12</f>
        <v>961.612272618701</v>
      </c>
      <c r="G13" s="0" t="n">
        <f aca="false">G11+G12</f>
        <v>1047.91206790116</v>
      </c>
      <c r="H13" s="0" t="n">
        <f aca="false">H11+H12</f>
        <v>1127.49357866572</v>
      </c>
      <c r="I13" s="0" t="n">
        <f aca="false">I11+I12</f>
        <v>1204.03146393281</v>
      </c>
      <c r="J13" s="0" t="n">
        <f aca="false">J11+J12</f>
        <v>1270.25319444911</v>
      </c>
      <c r="K13" s="0" t="n">
        <f aca="false">K11+K12</f>
        <v>1327.32428583953</v>
      </c>
      <c r="L13" s="0" t="n">
        <f aca="false">L11+L12</f>
        <v>1373.78063584391</v>
      </c>
    </row>
    <row r="14" customFormat="false" ht="15" hidden="false" customHeight="false" outlineLevel="0" collapsed="false">
      <c r="A14" s="0" t="s">
        <v>111</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126</v>
      </c>
      <c r="C15" s="0" t="n">
        <f aca="false">C13-MAX(0,C13)*C14/100</f>
        <v>552.43007596875</v>
      </c>
      <c r="D15" s="0" t="n">
        <f aca="false">D13-MAX(0,D13)*D14/100</f>
        <v>604.635483286406</v>
      </c>
      <c r="E15" s="0" t="n">
        <f aca="false">E13-MAX(0,E13)*E14/100</f>
        <v>663.029255162826</v>
      </c>
      <c r="F15" s="0" t="n">
        <f aca="false">F13-MAX(0,F13)*F14/100</f>
        <v>721.209204464026</v>
      </c>
      <c r="G15" s="0" t="n">
        <f aca="false">G13-MAX(0,G13)*G14/100</f>
        <v>785.934050925874</v>
      </c>
      <c r="H15" s="0" t="n">
        <f aca="false">H13-MAX(0,H13)*H14/100</f>
        <v>845.620183999289</v>
      </c>
      <c r="I15" s="0" t="n">
        <f aca="false">I13-MAX(0,I13)*I14/100</f>
        <v>903.023597949606</v>
      </c>
      <c r="J15" s="0" t="n">
        <f aca="false">J13-MAX(0,J13)*J14/100</f>
        <v>952.689895836834</v>
      </c>
      <c r="K15" s="0" t="n">
        <f aca="false">K13-MAX(0,K13)*K14/100</f>
        <v>995.493214379645</v>
      </c>
      <c r="L15" s="0" t="n">
        <f aca="false">L13-MAX(0,L13)*L14/100</f>
        <v>1030.33547688293</v>
      </c>
    </row>
    <row r="16" customFormat="false" ht="15" hidden="false" customHeight="false" outlineLevel="0" collapsed="false">
      <c r="A16" s="0" t="s">
        <v>127</v>
      </c>
      <c r="C16" s="0" t="n">
        <f aca="false">-C12</f>
        <v>134.66439525</v>
      </c>
      <c r="D16" s="0" t="n">
        <f aca="false">-D12</f>
        <v>134.72560633875</v>
      </c>
      <c r="E16" s="0" t="n">
        <f aca="false">-E12</f>
        <v>134.225817799106</v>
      </c>
      <c r="F16" s="0" t="n">
        <f aca="false">-F12</f>
        <v>132.46699673829</v>
      </c>
      <c r="G16" s="0" t="n">
        <f aca="false">-G12</f>
        <v>130.0139042061</v>
      </c>
      <c r="H16" s="0" t="n">
        <f aca="false">-H12</f>
        <v>126.191495422441</v>
      </c>
      <c r="I16" s="0" t="n">
        <f aca="false">-I12</f>
        <v>126.74015409819</v>
      </c>
      <c r="J16" s="0" t="n">
        <f aca="false">-J12</f>
        <v>126.423303712945</v>
      </c>
      <c r="K16" s="0" t="n">
        <f aca="false">-K12</f>
        <v>125.219272249012</v>
      </c>
      <c r="L16" s="0" t="n">
        <f aca="false">-L12</f>
        <v>129.601946777727</v>
      </c>
    </row>
    <row r="17" customFormat="false" ht="15" hidden="false" customHeight="false" outlineLevel="0" collapsed="false">
      <c r="A17" s="0" t="s">
        <v>128</v>
      </c>
      <c r="C17" s="4" t="n">
        <f aca="false">-C6*Assumptions!C32/100</f>
        <v>-32.645914</v>
      </c>
      <c r="D17" s="4" t="n">
        <f aca="false">-D6*Assumptions!D32/100</f>
        <v>-34.76789841</v>
      </c>
      <c r="E17" s="4" t="n">
        <f aca="false">-E6*Assumptions!E32/100</f>
        <v>-37.02781180665</v>
      </c>
      <c r="F17" s="4" t="n">
        <f aca="false">-F6*Assumptions!F32/100</f>
        <v>-39.249480515049</v>
      </c>
      <c r="G17" s="4" t="n">
        <f aca="false">-G6*Assumptions!G32/100</f>
        <v>-41.604449345952</v>
      </c>
      <c r="H17" s="4" t="n">
        <f aca="false">-H6*Assumptions!H32/100</f>
        <v>-43.8926940599793</v>
      </c>
      <c r="I17" s="4" t="n">
        <f aca="false">-I6*Assumptions!I32/100</f>
        <v>-46.0873287629783</v>
      </c>
      <c r="J17" s="4" t="n">
        <f aca="false">-J6*Assumptions!J32/100</f>
        <v>-48.1612585573123</v>
      </c>
      <c r="K17" s="4" t="n">
        <f aca="false">-K6*Assumptions!K32/100</f>
        <v>-50.0877088996048</v>
      </c>
      <c r="L17" s="4" t="n">
        <f aca="false">-L6*Assumptions!L32/100</f>
        <v>-51.840778711091</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654.44855721875</v>
      </c>
      <c r="D19" s="0" t="n">
        <f aca="false">D15+D16+D17+D18</f>
        <v>704.593191215156</v>
      </c>
      <c r="E19" s="0" t="n">
        <f aca="false">E15+E16+E17+E18</f>
        <v>760.227261155283</v>
      </c>
      <c r="F19" s="0" t="n">
        <f aca="false">F15+F16+F17+F18</f>
        <v>814.426720687267</v>
      </c>
      <c r="G19" s="0" t="n">
        <f aca="false">G15+G16+G17+G18</f>
        <v>874.343505786022</v>
      </c>
      <c r="H19" s="0" t="n">
        <f aca="false">H15+H16+H17+H18</f>
        <v>927.91898536175</v>
      </c>
      <c r="I19" s="0" t="n">
        <f aca="false">I15+I16+I17+I18</f>
        <v>983.676423284818</v>
      </c>
      <c r="J19" s="0" t="n">
        <f aca="false">J15+J16+J17+J18</f>
        <v>1030.95194099247</v>
      </c>
      <c r="K19" s="0" t="n">
        <f aca="false">K15+K16+K17+K18</f>
        <v>1070.62477772905</v>
      </c>
      <c r="L19" s="0" t="n">
        <f aca="false">L15+L16+L17+L18</f>
        <v>1108.09664494957</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605.970886313657</v>
      </c>
      <c r="D21" s="0" t="n">
        <f aca="false">D19*D20</f>
        <v>604.075095349071</v>
      </c>
      <c r="E21" s="0" t="n">
        <f aca="false">E19*E20</f>
        <v>603.492910407524</v>
      </c>
      <c r="F21" s="0" t="n">
        <f aca="false">F19*F20</f>
        <v>598.62795262026</v>
      </c>
      <c r="G21" s="0" t="n">
        <f aca="false">G19*G20</f>
        <v>595.06349847355</v>
      </c>
      <c r="H21" s="0" t="n">
        <f aca="false">H19*H20</f>
        <v>584.746360783163</v>
      </c>
      <c r="I21" s="0" t="n">
        <f aca="false">I19*I20</f>
        <v>573.9657450325</v>
      </c>
      <c r="J21" s="0" t="n">
        <f aca="false">J19*J20</f>
        <v>556.991255135147</v>
      </c>
      <c r="K21" s="0" t="n">
        <f aca="false">K19*K20</f>
        <v>535.578939244306</v>
      </c>
      <c r="L21" s="0" t="n">
        <f aca="false">L19*L20</f>
        <v>513.263150109127</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8</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20</v>
      </c>
    </row>
    <row r="30" customFormat="false" ht="15" hidden="false" customHeight="false" outlineLevel="0" collapsed="false">
      <c r="A30" s="0" t="s">
        <v>135</v>
      </c>
      <c r="B30" s="0" t="n">
        <f aca="false">SUM(C21:L21)</f>
        <v>5771.77579346831</v>
      </c>
    </row>
    <row r="31" customFormat="false" ht="15" hidden="false" customHeight="false" outlineLevel="0" collapsed="false">
      <c r="A31" s="0" t="s">
        <v>136</v>
      </c>
      <c r="B31" s="0" t="n">
        <f aca="false">L19</f>
        <v>1108.09664494957</v>
      </c>
    </row>
    <row r="32" customFormat="false" ht="15" hidden="false" customHeight="false" outlineLevel="0" collapsed="false">
      <c r="A32" s="0" t="s">
        <v>137</v>
      </c>
      <c r="B32" s="0" t="n">
        <f aca="false">IF(B27&gt;B28,B31*(1+B28/100)/((B27-B28)/100),B31*B29)</f>
        <v>22826.7908859611</v>
      </c>
    </row>
    <row r="33" customFormat="false" ht="15" hidden="false" customHeight="false" outlineLevel="0" collapsed="false">
      <c r="A33" s="0" t="s">
        <v>138</v>
      </c>
      <c r="B33" s="0" t="n">
        <f aca="false">B31*B29</f>
        <v>22161.9328989914</v>
      </c>
    </row>
    <row r="34" customFormat="false" ht="15" hidden="false" customHeight="false" outlineLevel="0" collapsed="false">
      <c r="A34" s="0" t="s">
        <v>139</v>
      </c>
      <c r="B34" s="0" t="n">
        <f aca="false">MAX(0,MIN(B32,B33))</f>
        <v>22161.9328989914</v>
      </c>
    </row>
    <row r="35" customFormat="false" ht="15" hidden="false" customHeight="false" outlineLevel="0" collapsed="false">
      <c r="A35" s="0" t="s">
        <v>140</v>
      </c>
      <c r="B35" s="0" t="n">
        <f aca="false">B34/(1+B27/100)^L4</f>
        <v>10265.2630021825</v>
      </c>
    </row>
    <row r="36" customFormat="false" ht="15" hidden="false" customHeight="false" outlineLevel="0" collapsed="false">
      <c r="A36" s="0" t="s">
        <v>141</v>
      </c>
      <c r="B36" s="0" t="n">
        <f aca="false">B30+B35</f>
        <v>16037.0387956508</v>
      </c>
    </row>
    <row r="37" customFormat="false" ht="15" hidden="false" customHeight="false" outlineLevel="0" collapsed="false">
      <c r="A37" s="0" t="s">
        <v>142</v>
      </c>
      <c r="B37" s="0" t="n">
        <f aca="false">B36+Assumptions!$B$5-Assumptions!$B$4</f>
        <v>15659.0387956508</v>
      </c>
    </row>
    <row r="38" customFormat="false" ht="15" hidden="false" customHeight="false" outlineLevel="0" collapsed="false">
      <c r="A38" s="0" t="s">
        <v>143</v>
      </c>
      <c r="B38" s="0" t="n">
        <f aca="false">B37/Assumptions!$B$3*Assumptions!$B$10</f>
        <v>32.5281237965327</v>
      </c>
    </row>
    <row r="39" customFormat="false" ht="15" hidden="false" customHeight="false" outlineLevel="0" collapsed="false">
      <c r="A39" s="0" t="s">
        <v>144</v>
      </c>
      <c r="B39" s="4" t="n">
        <f aca="false">B38/Assumptions!$B$2-1</f>
        <v>0.064053771558152</v>
      </c>
    </row>
    <row r="41" customFormat="false" ht="15" hidden="false" customHeight="false" outlineLevel="0" collapsed="false">
      <c r="A41" s="0" t="s">
        <v>145</v>
      </c>
      <c r="B41" s="0" t="n">
        <f aca="false">SUMPRODUCT(-C10:L10/(1+$B$27/100)^C4:L4)</f>
        <v>470.916259770742</v>
      </c>
    </row>
    <row r="42" customFormat="false" ht="15" hidden="false" customHeight="false" outlineLevel="0" collapsed="false">
      <c r="A42" s="0" t="s">
        <v>146</v>
      </c>
      <c r="B42" s="0" t="n">
        <f aca="false">IF(B27&gt;B28,-L10*(1+B28/100)/((B27-B28)/100),-L10*20)/(1+B27/100)^L4</f>
        <v>803.812114615346</v>
      </c>
    </row>
    <row r="43" customFormat="false" ht="15" hidden="false" customHeight="false" outlineLevel="0" collapsed="false">
      <c r="A43" s="0" t="s">
        <v>147</v>
      </c>
      <c r="B43" s="0" t="n">
        <f aca="false">(B37+B41+B42)/Assumptions!$B$3*Assumptions!$B$10</f>
        <v>35.1760846905628</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9511.16286915047</v>
      </c>
    </row>
    <row r="47" customFormat="false" ht="15" hidden="false" customHeight="false" outlineLevel="0" collapsed="false">
      <c r="A47" s="0" t="s">
        <v>149</v>
      </c>
      <c r="B47" s="0" t="n">
        <f aca="false">(SUMPRODUCT(C19:L19/(1+B45/100)^C4:L4)+B46/(1+B45/100)^L4+Assumptions!$B$5-Assumptions!$B$4)/Assumptions!$B$3*Assumptions!$B$10</f>
        <v>12.7987491602971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9</v>
      </c>
      <c r="D5" s="4" t="n">
        <f aca="false">Assumptions!D41</f>
        <v>8</v>
      </c>
      <c r="E5" s="4" t="n">
        <f aca="false">Assumptions!E41</f>
        <v>8</v>
      </c>
      <c r="F5" s="4" t="n">
        <f aca="false">Assumptions!F41</f>
        <v>7.5</v>
      </c>
      <c r="G5" s="4" t="n">
        <f aca="false">Assumptions!G41</f>
        <v>7</v>
      </c>
      <c r="H5" s="4" t="n">
        <f aca="false">Assumptions!H41</f>
        <v>6.5</v>
      </c>
      <c r="I5" s="4" t="n">
        <f aca="false">Assumptions!I41</f>
        <v>6</v>
      </c>
      <c r="J5" s="4" t="n">
        <f aca="false">Assumptions!J41</f>
        <v>5</v>
      </c>
      <c r="K5" s="4" t="n">
        <f aca="false">Assumptions!K41</f>
        <v>4.5</v>
      </c>
      <c r="L5" s="4" t="n">
        <f aca="false">Assumptions!L41</f>
        <v>4</v>
      </c>
    </row>
    <row r="6" customFormat="false" ht="15" hidden="false" customHeight="false" outlineLevel="0" collapsed="false">
      <c r="A6" s="0" t="s">
        <v>37</v>
      </c>
      <c r="B6" s="3" t="n">
        <v>3761.05</v>
      </c>
      <c r="C6" s="0" t="n">
        <f aca="false">B6*(1+C5/100)</f>
        <v>4099.5445</v>
      </c>
      <c r="D6" s="0" t="n">
        <f aca="false">C6*(1+D5/100)</f>
        <v>4427.50806</v>
      </c>
      <c r="E6" s="0" t="n">
        <f aca="false">D6*(1+E5/100)</f>
        <v>4781.7087048</v>
      </c>
      <c r="F6" s="0" t="n">
        <f aca="false">E6*(1+F5/100)</f>
        <v>5140.33685766</v>
      </c>
      <c r="G6" s="0" t="n">
        <f aca="false">F6*(1+G5/100)</f>
        <v>5500.1604376962</v>
      </c>
      <c r="H6" s="0" t="n">
        <f aca="false">G6*(1+H5/100)</f>
        <v>5857.67086614646</v>
      </c>
      <c r="I6" s="0" t="n">
        <f aca="false">H6*(1+I5/100)</f>
        <v>6209.13111811524</v>
      </c>
      <c r="J6" s="0" t="n">
        <f aca="false">I6*(1+J5/100)</f>
        <v>6519.58767402101</v>
      </c>
      <c r="K6" s="0" t="n">
        <f aca="false">J6*(1+K5/100)</f>
        <v>6812.96911935195</v>
      </c>
      <c r="L6" s="0" t="n">
        <f aca="false">K6*(1+L5/100)</f>
        <v>7085.48788412603</v>
      </c>
    </row>
    <row r="7" customFormat="false" ht="15" hidden="false" customHeight="false" outlineLevel="0" collapsed="false">
      <c r="A7" s="0" t="s">
        <v>106</v>
      </c>
      <c r="C7" s="4" t="n">
        <f aca="false">Assumptions!C42</f>
        <v>23</v>
      </c>
      <c r="D7" s="4" t="n">
        <f aca="false">Assumptions!D42</f>
        <v>23.6</v>
      </c>
      <c r="E7" s="4" t="n">
        <f aca="false">Assumptions!E42</f>
        <v>24.2</v>
      </c>
      <c r="F7" s="4" t="n">
        <f aca="false">Assumptions!F42</f>
        <v>24.8</v>
      </c>
      <c r="G7" s="4" t="n">
        <f aca="false">Assumptions!G42</f>
        <v>25.3</v>
      </c>
      <c r="H7" s="4" t="n">
        <f aca="false">Assumptions!H42</f>
        <v>25.7</v>
      </c>
      <c r="I7" s="4" t="n">
        <f aca="false">Assumptions!I42</f>
        <v>26</v>
      </c>
      <c r="J7" s="4" t="n">
        <f aca="false">Assumptions!J42</f>
        <v>26</v>
      </c>
      <c r="K7" s="4" t="n">
        <f aca="false">Assumptions!K42</f>
        <v>26</v>
      </c>
      <c r="L7" s="4" t="n">
        <f aca="false">Assumptions!L42</f>
        <v>26</v>
      </c>
    </row>
    <row r="8" customFormat="false" ht="15" hidden="false" customHeight="false" outlineLevel="0" collapsed="false">
      <c r="A8" s="0" t="s">
        <v>43</v>
      </c>
      <c r="C8" s="0" t="n">
        <f aca="false">C6*C7/100</f>
        <v>942.895235</v>
      </c>
      <c r="D8" s="0" t="n">
        <f aca="false">D6*D7/100</f>
        <v>1044.89190216</v>
      </c>
      <c r="E8" s="0" t="n">
        <f aca="false">E6*E7/100</f>
        <v>1157.1735065616</v>
      </c>
      <c r="F8" s="0" t="n">
        <f aca="false">F6*F7/100</f>
        <v>1274.80354069968</v>
      </c>
      <c r="G8" s="0" t="n">
        <f aca="false">G6*G7/100</f>
        <v>1391.54059073714</v>
      </c>
      <c r="H8" s="0" t="n">
        <f aca="false">H6*H7/100</f>
        <v>1505.42141259964</v>
      </c>
      <c r="I8" s="0" t="n">
        <f aca="false">I6*I7/100</f>
        <v>1614.37409070996</v>
      </c>
      <c r="J8" s="0" t="n">
        <f aca="false">J6*J7/100</f>
        <v>1695.09279524546</v>
      </c>
      <c r="K8" s="0" t="n">
        <f aca="false">K6*K7/100</f>
        <v>1771.37197103151</v>
      </c>
      <c r="L8" s="0" t="n">
        <f aca="false">L6*L7/100</f>
        <v>1842.22684987277</v>
      </c>
    </row>
    <row r="9" customFormat="false" ht="15" hidden="false" customHeight="false" outlineLevel="0" collapsed="false">
      <c r="A9" s="0" t="s">
        <v>107</v>
      </c>
      <c r="C9" s="4" t="n">
        <f aca="false">Assumptions!C43</f>
        <v>1.45</v>
      </c>
      <c r="D9" s="4" t="n">
        <f aca="false">Assumptions!D43</f>
        <v>1.45</v>
      </c>
      <c r="E9" s="4" t="n">
        <f aca="false">Assumptions!E43</f>
        <v>1.4</v>
      </c>
      <c r="F9" s="4" t="n">
        <f aca="false">Assumptions!F43</f>
        <v>1.4</v>
      </c>
      <c r="G9" s="4" t="n">
        <f aca="false">Assumptions!G43</f>
        <v>1.35</v>
      </c>
      <c r="H9" s="4" t="n">
        <f aca="false">Assumptions!H43</f>
        <v>1.35</v>
      </c>
      <c r="I9" s="4" t="n">
        <f aca="false">Assumptions!I43</f>
        <v>1.3</v>
      </c>
      <c r="J9" s="4" t="n">
        <f aca="false">Assumptions!J43</f>
        <v>1.3</v>
      </c>
      <c r="K9" s="4" t="n">
        <f aca="false">Assumptions!K43</f>
        <v>1.3</v>
      </c>
      <c r="L9" s="4" t="n">
        <f aca="false">Assumptions!L43</f>
        <v>1.3</v>
      </c>
    </row>
    <row r="10" customFormat="false" ht="15" hidden="false" customHeight="false" outlineLevel="0" collapsed="false">
      <c r="A10" s="0" t="s">
        <v>122</v>
      </c>
      <c r="C10" s="0" t="n">
        <f aca="false">-C6*C9/100</f>
        <v>-59.44339525</v>
      </c>
      <c r="D10" s="0" t="n">
        <f aca="false">-D6*D9/100</f>
        <v>-64.19886687</v>
      </c>
      <c r="E10" s="0" t="n">
        <f aca="false">-E6*E9/100</f>
        <v>-66.9439218672</v>
      </c>
      <c r="F10" s="0" t="n">
        <f aca="false">-F6*F9/100</f>
        <v>-71.96471600724</v>
      </c>
      <c r="G10" s="0" t="n">
        <f aca="false">-G6*G9/100</f>
        <v>-74.2521659088987</v>
      </c>
      <c r="H10" s="0" t="n">
        <f aca="false">-H6*H9/100</f>
        <v>-79.0785566929772</v>
      </c>
      <c r="I10" s="0" t="n">
        <f aca="false">-I6*I9/100</f>
        <v>-80.7187045354982</v>
      </c>
      <c r="J10" s="0" t="n">
        <f aca="false">-J6*J9/100</f>
        <v>-84.7546397622731</v>
      </c>
      <c r="K10" s="0" t="n">
        <f aca="false">-K6*K9/100</f>
        <v>-88.5685985515754</v>
      </c>
      <c r="L10" s="0" t="n">
        <f aca="false">-L6*L9/100</f>
        <v>-92.1113424936384</v>
      </c>
    </row>
    <row r="11" customFormat="false" ht="15" hidden="false" customHeight="false" outlineLevel="0" collapsed="false">
      <c r="A11" s="0" t="s">
        <v>123</v>
      </c>
      <c r="C11" s="0" t="n">
        <f aca="false">C8+C10+C24</f>
        <v>883.45183975</v>
      </c>
      <c r="D11" s="0" t="n">
        <f aca="false">D8+D10+D24</f>
        <v>980.69303529</v>
      </c>
      <c r="E11" s="0" t="n">
        <f aca="false">E8+E10+E24</f>
        <v>1090.2295846944</v>
      </c>
      <c r="F11" s="0" t="n">
        <f aca="false">F8+F10+F24</f>
        <v>1202.83882469244</v>
      </c>
      <c r="G11" s="0" t="n">
        <f aca="false">G8+G10+G24</f>
        <v>1317.28842482824</v>
      </c>
      <c r="H11" s="0" t="n">
        <f aca="false">H8+H10+H24</f>
        <v>1426.34285590666</v>
      </c>
      <c r="I11" s="0" t="n">
        <f aca="false">I8+I10+I24</f>
        <v>1533.65538617447</v>
      </c>
      <c r="J11" s="0" t="n">
        <f aca="false">J8+J10+J24</f>
        <v>1610.33815548319</v>
      </c>
      <c r="K11" s="0" t="n">
        <f aca="false">K8+K10+K24</f>
        <v>1682.80337247993</v>
      </c>
      <c r="L11" s="0" t="n">
        <f aca="false">L8+L10+L24</f>
        <v>1750.11550737913</v>
      </c>
    </row>
    <row r="12" customFormat="false" ht="15" hidden="false" customHeight="false" outlineLevel="0" collapsed="false">
      <c r="A12" s="0" t="s">
        <v>124</v>
      </c>
      <c r="C12" s="4" t="n">
        <f aca="false">-C6*Assumptions!C45/100</f>
        <v>-135.2849685</v>
      </c>
      <c r="D12" s="4" t="n">
        <f aca="false">-D6*Assumptions!D45/100</f>
        <v>-137.25274986</v>
      </c>
      <c r="E12" s="4" t="n">
        <f aca="false">-E6*Assumptions!E45/100</f>
        <v>-138.6695524392</v>
      </c>
      <c r="F12" s="4" t="n">
        <f aca="false">-F6*Assumptions!F45/100</f>
        <v>-138.78909515682</v>
      </c>
      <c r="G12" s="4" t="n">
        <f aca="false">-G6*Assumptions!G45/100</f>
        <v>-137.504010942405</v>
      </c>
      <c r="H12" s="4" t="n">
        <f aca="false">-H6*Assumptions!H45/100</f>
        <v>-134.726429921368</v>
      </c>
      <c r="I12" s="4" t="n">
        <f aca="false">-I6*Assumptions!I45/100</f>
        <v>-136.600884598535</v>
      </c>
      <c r="J12" s="4" t="n">
        <f aca="false">-J6*Assumptions!J45/100</f>
        <v>-136.911341154441</v>
      </c>
      <c r="K12" s="4" t="n">
        <f aca="false">-K6*Assumptions!K45/100</f>
        <v>-136.259382387039</v>
      </c>
      <c r="L12" s="4" t="n">
        <f aca="false">-L6*Assumptions!L45/100</f>
        <v>-141.709757682521</v>
      </c>
    </row>
    <row r="13" customFormat="false" ht="15" hidden="false" customHeight="false" outlineLevel="0" collapsed="false">
      <c r="A13" s="0" t="s">
        <v>125</v>
      </c>
      <c r="C13" s="0" t="n">
        <f aca="false">C11+C12</f>
        <v>748.16687125</v>
      </c>
      <c r="D13" s="0" t="n">
        <f aca="false">D11+D12</f>
        <v>843.44028543</v>
      </c>
      <c r="E13" s="0" t="n">
        <f aca="false">E11+E12</f>
        <v>951.5600322552</v>
      </c>
      <c r="F13" s="0" t="n">
        <f aca="false">F11+F12</f>
        <v>1064.04972953562</v>
      </c>
      <c r="G13" s="0" t="n">
        <f aca="false">G11+G12</f>
        <v>1179.78441388584</v>
      </c>
      <c r="H13" s="0" t="n">
        <f aca="false">H11+H12</f>
        <v>1291.61642598529</v>
      </c>
      <c r="I13" s="0" t="n">
        <f aca="false">I11+I12</f>
        <v>1397.05450157593</v>
      </c>
      <c r="J13" s="0" t="n">
        <f aca="false">J11+J12</f>
        <v>1473.42681432875</v>
      </c>
      <c r="K13" s="0" t="n">
        <f aca="false">K11+K12</f>
        <v>1546.54399009289</v>
      </c>
      <c r="L13" s="0" t="n">
        <f aca="false">L11+L12</f>
        <v>1608.40574969661</v>
      </c>
    </row>
    <row r="14" customFormat="false" ht="15" hidden="false" customHeight="false" outlineLevel="0" collapsed="false">
      <c r="A14" s="0" t="s">
        <v>111</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126</v>
      </c>
      <c r="C15" s="0" t="n">
        <f aca="false">C13-MAX(0,C13)*C14/100</f>
        <v>561.1251534375</v>
      </c>
      <c r="D15" s="0" t="n">
        <f aca="false">D13-MAX(0,D13)*D14/100</f>
        <v>632.5802140725</v>
      </c>
      <c r="E15" s="0" t="n">
        <f aca="false">E13-MAX(0,E13)*E14/100</f>
        <v>713.6700241914</v>
      </c>
      <c r="F15" s="0" t="n">
        <f aca="false">F13-MAX(0,F13)*F14/100</f>
        <v>798.037297151715</v>
      </c>
      <c r="G15" s="0" t="n">
        <f aca="false">G13-MAX(0,G13)*G14/100</f>
        <v>884.838310414377</v>
      </c>
      <c r="H15" s="0" t="n">
        <f aca="false">H13-MAX(0,H13)*H14/100</f>
        <v>968.71231948897</v>
      </c>
      <c r="I15" s="0" t="n">
        <f aca="false">I13-MAX(0,I13)*I14/100</f>
        <v>1047.79087618195</v>
      </c>
      <c r="J15" s="0" t="n">
        <f aca="false">J13-MAX(0,J13)*J14/100</f>
        <v>1105.07011074656</v>
      </c>
      <c r="K15" s="0" t="n">
        <f aca="false">K13-MAX(0,K13)*K14/100</f>
        <v>1159.90799256967</v>
      </c>
      <c r="L15" s="0" t="n">
        <f aca="false">L13-MAX(0,L13)*L14/100</f>
        <v>1206.30431227246</v>
      </c>
    </row>
    <row r="16" customFormat="false" ht="15" hidden="false" customHeight="false" outlineLevel="0" collapsed="false">
      <c r="A16" s="0" t="s">
        <v>127</v>
      </c>
      <c r="C16" s="0" t="n">
        <f aca="false">-C12</f>
        <v>135.2849685</v>
      </c>
      <c r="D16" s="0" t="n">
        <f aca="false">-D12</f>
        <v>137.25274986</v>
      </c>
      <c r="E16" s="0" t="n">
        <f aca="false">-E12</f>
        <v>138.6695524392</v>
      </c>
      <c r="F16" s="0" t="n">
        <f aca="false">-F12</f>
        <v>138.78909515682</v>
      </c>
      <c r="G16" s="0" t="n">
        <f aca="false">-G12</f>
        <v>137.504010942405</v>
      </c>
      <c r="H16" s="0" t="n">
        <f aca="false">-H12</f>
        <v>134.726429921368</v>
      </c>
      <c r="I16" s="0" t="n">
        <f aca="false">-I12</f>
        <v>136.600884598535</v>
      </c>
      <c r="J16" s="0" t="n">
        <f aca="false">-J12</f>
        <v>136.911341154441</v>
      </c>
      <c r="K16" s="0" t="n">
        <f aca="false">-K12</f>
        <v>136.259382387039</v>
      </c>
      <c r="L16" s="0" t="n">
        <f aca="false">-L12</f>
        <v>141.709757682521</v>
      </c>
    </row>
    <row r="17" customFormat="false" ht="15" hidden="false" customHeight="false" outlineLevel="0" collapsed="false">
      <c r="A17" s="0" t="s">
        <v>128</v>
      </c>
      <c r="C17" s="4" t="n">
        <f aca="false">-C6*Assumptions!C46/100</f>
        <v>-32.796356</v>
      </c>
      <c r="D17" s="4" t="n">
        <f aca="false">-D6*Assumptions!D46/100</f>
        <v>-35.42006448</v>
      </c>
      <c r="E17" s="4" t="n">
        <f aca="false">-E6*Assumptions!E46/100</f>
        <v>-38.2536696384</v>
      </c>
      <c r="F17" s="4" t="n">
        <f aca="false">-F6*Assumptions!F46/100</f>
        <v>-41.12269486128</v>
      </c>
      <c r="G17" s="4" t="n">
        <f aca="false">-G6*Assumptions!G46/100</f>
        <v>-44.0012835015696</v>
      </c>
      <c r="H17" s="4" t="n">
        <f aca="false">-H6*Assumptions!H46/100</f>
        <v>-46.8613669291716</v>
      </c>
      <c r="I17" s="4" t="n">
        <f aca="false">-I6*Assumptions!I46/100</f>
        <v>-49.6730489449219</v>
      </c>
      <c r="J17" s="4" t="n">
        <f aca="false">-J6*Assumptions!J46/100</f>
        <v>-52.1567013921681</v>
      </c>
      <c r="K17" s="4" t="n">
        <f aca="false">-K6*Assumptions!K46/100</f>
        <v>-54.5037529548156</v>
      </c>
      <c r="L17" s="4" t="n">
        <f aca="false">-L6*Assumptions!L46/100</f>
        <v>-56.6839030730082</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663.6137659375</v>
      </c>
      <c r="D19" s="0" t="n">
        <f aca="false">D15+D16+D17+D18</f>
        <v>734.4128994525</v>
      </c>
      <c r="E19" s="0" t="n">
        <f aca="false">E15+E16+E17+E18</f>
        <v>814.0859069922</v>
      </c>
      <c r="F19" s="0" t="n">
        <f aca="false">F15+F16+F17+F18</f>
        <v>895.703697447255</v>
      </c>
      <c r="G19" s="0" t="n">
        <f aca="false">G15+G16+G17+G18</f>
        <v>978.341037855212</v>
      </c>
      <c r="H19" s="0" t="n">
        <f aca="false">H15+H16+H17+H18</f>
        <v>1056.57738248117</v>
      </c>
      <c r="I19" s="0" t="n">
        <f aca="false">I15+I16+I17+I18</f>
        <v>1134.71871183556</v>
      </c>
      <c r="J19" s="0" t="n">
        <f aca="false">J15+J16+J17+J18</f>
        <v>1189.82475050883</v>
      </c>
      <c r="K19" s="0" t="n">
        <f aca="false">K15+K16+K17+K18</f>
        <v>1241.66362200189</v>
      </c>
      <c r="L19" s="0" t="n">
        <f aca="false">L15+L16+L17+L18</f>
        <v>1291.33016688197</v>
      </c>
    </row>
    <row r="20" customFormat="false" ht="15" hidden="false" customHeight="false" outlineLevel="0" collapsed="false">
      <c r="A20" s="0" t="s">
        <v>131</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132</v>
      </c>
      <c r="C21" s="0" t="n">
        <f aca="false">C19*C20</f>
        <v>614.457190682871</v>
      </c>
      <c r="D21" s="0" t="n">
        <f aca="false">D19*D20</f>
        <v>629.640688831019</v>
      </c>
      <c r="E21" s="0" t="n">
        <f aca="false">E19*E20</f>
        <v>646.247639930556</v>
      </c>
      <c r="F21" s="0" t="n">
        <f aca="false">F19*F20</f>
        <v>658.368956883895</v>
      </c>
      <c r="G21" s="0" t="n">
        <f aca="false">G19*G20</f>
        <v>665.84247133282</v>
      </c>
      <c r="H21" s="0" t="n">
        <f aca="false">H19*H20</f>
        <v>665.822974891284</v>
      </c>
      <c r="I21" s="0" t="n">
        <f aca="false">I19*I20</f>
        <v>662.097469680271</v>
      </c>
      <c r="J21" s="0" t="n">
        <f aca="false">J19*J20</f>
        <v>642.825290710249</v>
      </c>
      <c r="K21" s="0" t="n">
        <f aca="false">K19*K20</f>
        <v>621.140944431153</v>
      </c>
      <c r="L21" s="0" t="n">
        <f aca="false">L19*L20</f>
        <v>598.135724267036</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8</v>
      </c>
    </row>
    <row r="28" customFormat="false" ht="15" hidden="false" customHeight="false" outlineLevel="0" collapsed="false">
      <c r="A28" s="0" t="s">
        <v>113</v>
      </c>
      <c r="B28" s="4" t="n">
        <f aca="false">Assumptions!$B$49</f>
        <v>3.5</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6404.57935164115</v>
      </c>
    </row>
    <row r="31" customFormat="false" ht="15" hidden="false" customHeight="false" outlineLevel="0" collapsed="false">
      <c r="A31" s="0" t="s">
        <v>136</v>
      </c>
      <c r="B31" s="0" t="n">
        <f aca="false">L19</f>
        <v>1291.33016688197</v>
      </c>
    </row>
    <row r="32" customFormat="false" ht="15" hidden="false" customHeight="false" outlineLevel="0" collapsed="false">
      <c r="A32" s="0" t="s">
        <v>137</v>
      </c>
      <c r="B32" s="0" t="n">
        <f aca="false">IF(B27&gt;B28,B31*(1+B28/100)/((B27-B28)/100),B31*B29)</f>
        <v>29700.5938382853</v>
      </c>
    </row>
    <row r="33" customFormat="false" ht="15" hidden="false" customHeight="false" outlineLevel="0" collapsed="false">
      <c r="A33" s="0" t="s">
        <v>138</v>
      </c>
      <c r="B33" s="0" t="n">
        <f aca="false">B31*B29</f>
        <v>25826.6033376394</v>
      </c>
    </row>
    <row r="34" customFormat="false" ht="15" hidden="false" customHeight="false" outlineLevel="0" collapsed="false">
      <c r="A34" s="0" t="s">
        <v>139</v>
      </c>
      <c r="B34" s="0" t="n">
        <f aca="false">MAX(0,MIN(B32,B33))</f>
        <v>25826.6033376394</v>
      </c>
    </row>
    <row r="35" customFormat="false" ht="15" hidden="false" customHeight="false" outlineLevel="0" collapsed="false">
      <c r="A35" s="0" t="s">
        <v>140</v>
      </c>
      <c r="B35" s="0" t="n">
        <f aca="false">B34/(1+B27/100)^L4</f>
        <v>11962.7144853407</v>
      </c>
    </row>
    <row r="36" customFormat="false" ht="15" hidden="false" customHeight="false" outlineLevel="0" collapsed="false">
      <c r="A36" s="0" t="s">
        <v>141</v>
      </c>
      <c r="B36" s="0" t="n">
        <f aca="false">B30+B35</f>
        <v>18367.2938369819</v>
      </c>
    </row>
    <row r="37" customFormat="false" ht="15" hidden="false" customHeight="false" outlineLevel="0" collapsed="false">
      <c r="A37" s="0" t="s">
        <v>142</v>
      </c>
      <c r="B37" s="0" t="n">
        <f aca="false">B36+Assumptions!$B$5-Assumptions!$B$4</f>
        <v>17989.2938369819</v>
      </c>
    </row>
    <row r="38" customFormat="false" ht="15" hidden="false" customHeight="false" outlineLevel="0" collapsed="false">
      <c r="A38" s="0" t="s">
        <v>143</v>
      </c>
      <c r="B38" s="0" t="n">
        <f aca="false">B37/Assumptions!$B$3*Assumptions!$B$10</f>
        <v>37.3687034420064</v>
      </c>
    </row>
    <row r="39" customFormat="false" ht="15" hidden="false" customHeight="false" outlineLevel="0" collapsed="false">
      <c r="A39" s="0" t="s">
        <v>144</v>
      </c>
      <c r="B39" s="4" t="n">
        <f aca="false">B38/Assumptions!$B$2-1</f>
        <v>0.222397888191246</v>
      </c>
    </row>
    <row r="41" customFormat="false" ht="15" hidden="false" customHeight="false" outlineLevel="0" collapsed="false">
      <c r="A41" s="0" t="s">
        <v>145</v>
      </c>
      <c r="B41" s="0" t="n">
        <f aca="false">SUMPRODUCT(-C10:L10/(1+$B$27/100)^C4:L4)</f>
        <v>496.347108195253</v>
      </c>
    </row>
    <row r="42" customFormat="false" ht="15" hidden="false" customHeight="false" outlineLevel="0" collapsed="false">
      <c r="A42" s="0" t="s">
        <v>146</v>
      </c>
      <c r="B42" s="0" t="n">
        <f aca="false">IF(B27&gt;B28,-L10*(1+B28/100)/((B27-B28)/100),-L10*20)/(1+B27/100)^L4</f>
        <v>981.303602501201</v>
      </c>
    </row>
    <row r="43" customFormat="false" ht="15" hidden="false" customHeight="false" outlineLevel="0" collapsed="false">
      <c r="A43" s="0" t="s">
        <v>147</v>
      </c>
      <c r="B43" s="0" t="n">
        <f aca="false">(B37+B41+B42)/Assumptions!$B$3*Assumptions!$B$10</f>
        <v>40.4381897542134</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11621.9715019377</v>
      </c>
    </row>
    <row r="47" customFormat="false" ht="15" hidden="false" customHeight="false" outlineLevel="0" collapsed="false">
      <c r="A47" s="0" t="s">
        <v>149</v>
      </c>
      <c r="B47" s="0" t="n">
        <f aca="false">(SUMPRODUCT(C19:L19/(1+B45/100)^C4:L4)+B46/(1+B45/100)^L4+Assumptions!$B$5-Assumptions!$B$4)/Assumptions!$B$3*Assumptions!$B$10</f>
        <v>14.7599436197445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24.0512459084807</v>
      </c>
      <c r="C4" s="0" t="n">
        <f aca="false">B4/Assumptions!$B$2-1</f>
        <v>-0.213240238518785</v>
      </c>
      <c r="D4" s="4" t="n">
        <f aca="false">Assumptions!$B$24</f>
        <v>0.2</v>
      </c>
      <c r="E4" s="4" t="n">
        <f aca="false">DCF_Bear!$B$43</f>
        <v>26.4215435887973</v>
      </c>
      <c r="F4" s="4" t="n">
        <f aca="false">DCF_Bear!$B$47</f>
        <v>10.0580574440516</v>
      </c>
    </row>
    <row r="5" customFormat="false" ht="15" hidden="false" customHeight="false" outlineLevel="0" collapsed="false">
      <c r="A5" s="0" t="s">
        <v>158</v>
      </c>
      <c r="B5" s="4" t="n">
        <f aca="false">DCF_Base!$B$38</f>
        <v>32.5281237965327</v>
      </c>
      <c r="C5" s="0" t="n">
        <f aca="false">B5/Assumptions!$B$2-1</f>
        <v>0.064053771558152</v>
      </c>
      <c r="D5" s="4" t="n">
        <f aca="false">Assumptions!$B$38</f>
        <v>0.5</v>
      </c>
      <c r="E5" s="4" t="n">
        <f aca="false">DCF_Base!$B$43</f>
        <v>35.1760846905628</v>
      </c>
      <c r="F5" s="4" t="n">
        <f aca="false">DCF_Base!$B$47</f>
        <v>12.7987491602971</v>
      </c>
    </row>
    <row r="6" customFormat="false" ht="15" hidden="false" customHeight="false" outlineLevel="0" collapsed="false">
      <c r="A6" s="0" t="s">
        <v>159</v>
      </c>
      <c r="B6" s="4" t="n">
        <f aca="false">DCF_Bull!$B$38</f>
        <v>37.3687034420064</v>
      </c>
      <c r="C6" s="0" t="n">
        <f aca="false">B6/Assumptions!$B$2-1</f>
        <v>0.222397888191246</v>
      </c>
      <c r="D6" s="4" t="n">
        <f aca="false">Assumptions!$B$52</f>
        <v>0.3</v>
      </c>
      <c r="E6" s="4" t="n">
        <f aca="false">DCF_Bull!$B$43</f>
        <v>40.4381897542134</v>
      </c>
      <c r="F6" s="4" t="n">
        <f aca="false">DCF_Bull!$B$47</f>
        <v>14.7599436197445</v>
      </c>
    </row>
    <row r="8" customFormat="false" ht="15" hidden="false" customHeight="false" outlineLevel="0" collapsed="false">
      <c r="A8" s="0" t="s">
        <v>160</v>
      </c>
      <c r="B8" s="0" t="n">
        <f aca="false">SUMPRODUCT(B4:B6,D4:D6)</f>
        <v>32.2849221125644</v>
      </c>
    </row>
    <row r="9" customFormat="false" ht="15" hidden="false" customHeight="false" outlineLevel="0" collapsed="false">
      <c r="A9" s="0" t="s">
        <v>161</v>
      </c>
      <c r="B9" s="0" t="n">
        <f aca="false">SUMPRODUCT(E4:E6,D4:D6)</f>
        <v>35.0038079893049</v>
      </c>
    </row>
    <row r="10" customFormat="false" ht="15" hidden="false" customHeight="false" outlineLevel="0" collapsed="false">
      <c r="A10" s="0" t="s">
        <v>162</v>
      </c>
      <c r="B10" s="0" t="n">
        <f aca="false">1-Assumptions!$B$2/B8</f>
        <v>0.053118359913807</v>
      </c>
    </row>
    <row r="11" customFormat="false" ht="15" hidden="false" customHeight="false" outlineLevel="0" collapsed="false">
      <c r="A11" s="0" t="s">
        <v>163</v>
      </c>
      <c r="B11" s="0" t="n">
        <f aca="false">IF(ABS(B9-B8)&gt;0.01*ABS(B8),(Assumptions!$B$2-B8)/(B9-B8)*100,"n/a")</f>
        <v>-63.0744426323758</v>
      </c>
    </row>
    <row r="12" customFormat="false" ht="15" hidden="false" customHeight="false" outlineLevel="0" collapsed="false">
      <c r="A12" s="0" t="s">
        <v>164</v>
      </c>
      <c r="B12" s="0" t="n">
        <f aca="false">SUMPRODUCT(F4:F6,D4:D6)</f>
        <v>12.8389691548822</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32.5281237965327</v>
      </c>
      <c r="C15" s="3" t="n">
        <v>8</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27.3218902824065</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23.1545560514298</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20.03587004356</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17.6158860122824</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12.7987491602971</v>
      </c>
      <c r="C20" s="3" t="n">
        <v>15</v>
      </c>
    </row>
    <row r="22" customFormat="false" ht="15" hidden="false" customHeight="false" outlineLevel="0" collapsed="false">
      <c r="A22" s="2" t="s">
        <v>173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38.1927651962552</v>
      </c>
      <c r="C24" s="0" t="n">
        <f aca="false">(SUMPRODUCT(DCF_Base!$C$19:$L$19/(1+$A$24/100)^DCF_Base!$C$4:$L$4)+MAX(0,MIN(IF($A$24&gt;$C$23,DCF_Base!$L$19*(1+$C$23/100)/(($A$24-$C$23)/100),DCF_Base!$L$19*DCF_Base!$B$29),DCF_Base!$L$19*DCF_Base!$B$29))/(1+$A$24/100)^DCF_Base!$L$4+Assumptions!$B$5-Assumptions!$B$4)/Assumptions!$B$3*Assumptions!$B$10</f>
        <v>38.1927651962552</v>
      </c>
      <c r="D24" s="0" t="n">
        <f aca="false">(SUMPRODUCT(DCF_Base!$C$19:$L$19/(1+$A$24/100)^DCF_Base!$C$4:$L$4)+MAX(0,MIN(IF($A$24&gt;$D$23,DCF_Base!$L$19*(1+$D$23/100)/(($A$24-$D$23)/100),DCF_Base!$L$19*DCF_Base!$B$29),DCF_Base!$L$19*DCF_Base!$B$29))/(1+$A$24/100)^DCF_Base!$L$4+Assumptions!$B$5-Assumptions!$B$4)/Assumptions!$B$3*Assumptions!$B$10</f>
        <v>38.1927651962552</v>
      </c>
      <c r="E24" s="0" t="n">
        <f aca="false">(SUMPRODUCT(DCF_Base!$C$19:$L$19/(1+$A$24/100)^DCF_Base!$C$4:$L$4)+MAX(0,MIN(IF($A$24&gt;$E$23,DCF_Base!$L$19*(1+$E$23/100)/(($A$24-$E$23)/100),DCF_Base!$L$19*DCF_Base!$B$29),DCF_Base!$L$19*DCF_Base!$B$29))/(1+$A$24/100)^DCF_Base!$L$4+Assumptions!$B$5-Assumptions!$B$4)/Assumptions!$B$3*Assumptions!$B$10</f>
        <v>38.1927651962552</v>
      </c>
      <c r="F24" s="0" t="n">
        <f aca="false">(SUMPRODUCT(DCF_Base!$C$19:$L$19/(1+$A$24/100)^DCF_Base!$C$4:$L$4)+MAX(0,MIN(IF($A$24&gt;$F$23,DCF_Base!$L$19*(1+$F$23/100)/(($A$24-$F$23)/100),DCF_Base!$L$19*DCF_Base!$B$29),DCF_Base!$L$19*DCF_Base!$B$29))/(1+$A$24/100)^DCF_Base!$L$4+Assumptions!$B$5-Assumptions!$B$4)/Assumptions!$B$3*Assumptions!$B$10</f>
        <v>38.1927651962552</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35.2241657064618</v>
      </c>
      <c r="C25" s="0" t="n">
        <f aca="false">(SUMPRODUCT(DCF_Base!$C$19:$L$19/(1+$A$25/100)^DCF_Base!$C$4:$L$4)+MAX(0,MIN(IF($A$25&gt;$C$23,DCF_Base!$L$19*(1+$C$23/100)/(($A$25-$C$23)/100),DCF_Base!$L$19*DCF_Base!$B$29),DCF_Base!$L$19*DCF_Base!$B$29))/(1+$A$25/100)^DCF_Base!$L$4+Assumptions!$B$5-Assumptions!$B$4)/Assumptions!$B$3*Assumptions!$B$10</f>
        <v>35.2241657064618</v>
      </c>
      <c r="D25" s="0" t="n">
        <f aca="false">(SUMPRODUCT(DCF_Base!$C$19:$L$19/(1+$A$25/100)^DCF_Base!$C$4:$L$4)+MAX(0,MIN(IF($A$25&gt;$D$23,DCF_Base!$L$19*(1+$D$23/100)/(($A$25-$D$23)/100),DCF_Base!$L$19*DCF_Base!$B$29),DCF_Base!$L$19*DCF_Base!$B$29))/(1+$A$25/100)^DCF_Base!$L$4+Assumptions!$B$5-Assumptions!$B$4)/Assumptions!$B$3*Assumptions!$B$10</f>
        <v>35.2241657064618</v>
      </c>
      <c r="E25" s="0" t="n">
        <f aca="false">(SUMPRODUCT(DCF_Base!$C$19:$L$19/(1+$A$25/100)^DCF_Base!$C$4:$L$4)+MAX(0,MIN(IF($A$25&gt;$E$23,DCF_Base!$L$19*(1+$E$23/100)/(($A$25-$E$23)/100),DCF_Base!$L$19*DCF_Base!$B$29),DCF_Base!$L$19*DCF_Base!$B$29))/(1+$A$25/100)^DCF_Base!$L$4+Assumptions!$B$5-Assumptions!$B$4)/Assumptions!$B$3*Assumptions!$B$10</f>
        <v>35.2241657064618</v>
      </c>
      <c r="F25" s="0" t="n">
        <f aca="false">(SUMPRODUCT(DCF_Base!$C$19:$L$19/(1+$A$25/100)^DCF_Base!$C$4:$L$4)+MAX(0,MIN(IF($A$25&gt;$F$23,DCF_Base!$L$19*(1+$F$23/100)/(($A$25-$F$23)/100),DCF_Base!$L$19*DCF_Base!$B$29),DCF_Base!$L$19*DCF_Base!$B$29))/(1+$A$25/100)^DCF_Base!$L$4+Assumptions!$B$5-Assumptions!$B$4)/Assumptions!$B$3*Assumptions!$B$10</f>
        <v>35.2241657064618</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29.3295582578385</v>
      </c>
      <c r="C26" s="0" t="n">
        <f aca="false">(SUMPRODUCT(DCF_Base!$C$19:$L$19/(1+$A$26/100)^DCF_Base!$C$4:$L$4)+MAX(0,MIN(IF($A$26&gt;$C$23,DCF_Base!$L$19*(1+$C$23/100)/(($A$26-$C$23)/100),DCF_Base!$L$19*DCF_Base!$B$29),DCF_Base!$L$19*DCF_Base!$B$29))/(1+$A$26/100)^DCF_Base!$L$4+Assumptions!$B$5-Assumptions!$B$4)/Assumptions!$B$3*Assumptions!$B$10</f>
        <v>31.0742303698535</v>
      </c>
      <c r="D26" s="0" t="n">
        <f aca="false">(SUMPRODUCT(DCF_Base!$C$19:$L$19/(1+$A$26/100)^DCF_Base!$C$4:$L$4)+MAX(0,MIN(IF($A$26&gt;$D$23,DCF_Base!$L$19*(1+$D$23/100)/(($A$26-$D$23)/100),DCF_Base!$L$19*DCF_Base!$B$29),DCF_Base!$L$19*DCF_Base!$B$29))/(1+$A$26/100)^DCF_Base!$L$4+Assumptions!$B$5-Assumptions!$B$4)/Assumptions!$B$3*Assumptions!$B$10</f>
        <v>32.5281237965327</v>
      </c>
      <c r="E26" s="0" t="n">
        <f aca="false">(SUMPRODUCT(DCF_Base!$C$19:$L$19/(1+$A$26/100)^DCF_Base!$C$4:$L$4)+MAX(0,MIN(IF($A$26&gt;$E$23,DCF_Base!$L$19*(1+$E$23/100)/(($A$26-$E$23)/100),DCF_Base!$L$19*DCF_Base!$B$29),DCF_Base!$L$19*DCF_Base!$B$29))/(1+$A$26/100)^DCF_Base!$L$4+Assumptions!$B$5-Assumptions!$B$4)/Assumptions!$B$3*Assumptions!$B$10</f>
        <v>32.5281237965327</v>
      </c>
      <c r="F26" s="0" t="n">
        <f aca="false">(SUMPRODUCT(DCF_Base!$C$19:$L$19/(1+$A$26/100)^DCF_Base!$C$4:$L$4)+MAX(0,MIN(IF($A$26&gt;$F$23,DCF_Base!$L$19*(1+$F$23/100)/(($A$26-$F$23)/100),DCF_Base!$L$19*DCF_Base!$B$29),DCF_Base!$L$19*DCF_Base!$B$29))/(1+$A$26/100)^DCF_Base!$L$4+Assumptions!$B$5-Assumptions!$B$4)/Assumptions!$B$3*Assumptions!$B$10</f>
        <v>32.5281237965327</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24.7985037425347</v>
      </c>
      <c r="C27" s="0" t="n">
        <f aca="false">(SUMPRODUCT(DCF_Base!$C$19:$L$19/(1+$A$27/100)^DCF_Base!$C$4:$L$4)+MAX(0,MIN(IF($A$27&gt;$C$23,DCF_Base!$L$19*(1+$C$23/100)/(($A$27-$C$23)/100),DCF_Base!$L$19*DCF_Base!$B$29),DCF_Base!$L$19*DCF_Base!$B$29))/(1+$A$27/100)^DCF_Base!$L$4+Assumptions!$B$5-Assumptions!$B$4)/Assumptions!$B$3*Assumptions!$B$10</f>
        <v>25.963143684014</v>
      </c>
      <c r="D27" s="0" t="n">
        <f aca="false">(SUMPRODUCT(DCF_Base!$C$19:$L$19/(1+$A$27/100)^DCF_Base!$C$4:$L$4)+MAX(0,MIN(IF($A$27&gt;$D$23,DCF_Base!$L$19*(1+$D$23/100)/(($A$27-$D$23)/100),DCF_Base!$L$19*DCF_Base!$B$29),DCF_Base!$L$19*DCF_Base!$B$29))/(1+$A$27/100)^DCF_Base!$L$4+Assumptions!$B$5-Assumptions!$B$4)/Assumptions!$B$3*Assumptions!$B$10</f>
        <v>27.3218902824065</v>
      </c>
      <c r="E27" s="0" t="n">
        <f aca="false">(SUMPRODUCT(DCF_Base!$C$19:$L$19/(1+$A$27/100)^DCF_Base!$C$4:$L$4)+MAX(0,MIN(IF($A$27&gt;$E$23,DCF_Base!$L$19*(1+$E$23/100)/(($A$27-$E$23)/100),DCF_Base!$L$19*DCF_Base!$B$29),DCF_Base!$L$19*DCF_Base!$B$29))/(1+$A$27/100)^DCF_Base!$L$4+Assumptions!$B$5-Assumptions!$B$4)/Assumptions!$B$3*Assumptions!$B$10</f>
        <v>28.9276817168704</v>
      </c>
      <c r="F27" s="0" t="n">
        <f aca="false">(SUMPRODUCT(DCF_Base!$C$19:$L$19/(1+$A$27/100)^DCF_Base!$C$4:$L$4)+MAX(0,MIN(IF($A$27&gt;$F$23,DCF_Base!$L$19*(1+$F$23/100)/(($A$27-$F$23)/100),DCF_Base!$L$19*DCF_Base!$B$29),DCF_Base!$L$19*DCF_Base!$B$29))/(1+$A$27/100)^DCF_Base!$L$4+Assumptions!$B$5-Assumptions!$B$4)/Assumptions!$B$3*Assumptions!$B$10</f>
        <v>30.0767801745601</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21.4113474483612</v>
      </c>
      <c r="C28" s="0" t="n">
        <f aca="false">(SUMPRODUCT(DCF_Base!$C$19:$L$19/(1+$A$28/100)^DCF_Base!$C$4:$L$4)+MAX(0,MIN(IF($A$28&gt;$C$23,DCF_Base!$L$19*(1+$C$23/100)/(($A$28-$C$23)/100),DCF_Base!$L$19*DCF_Base!$B$29),DCF_Base!$L$19*DCF_Base!$B$29))/(1+$A$28/100)^DCF_Base!$L$4+Assumptions!$B$5-Assumptions!$B$4)/Assumptions!$B$3*Assumptions!$B$10</f>
        <v>22.2248447964599</v>
      </c>
      <c r="D28" s="0" t="n">
        <f aca="false">(SUMPRODUCT(DCF_Base!$C$19:$L$19/(1+$A$28/100)^DCF_Base!$C$4:$L$4)+MAX(0,MIN(IF($A$28&gt;$D$23,DCF_Base!$L$19*(1+$D$23/100)/(($A$28-$D$23)/100),DCF_Base!$L$19*DCF_Base!$B$29),DCF_Base!$L$19*DCF_Base!$B$29))/(1+$A$28/100)^DCF_Base!$L$4+Assumptions!$B$5-Assumptions!$B$4)/Assumptions!$B$3*Assumptions!$B$10</f>
        <v>23.1545560514298</v>
      </c>
      <c r="E28" s="0" t="n">
        <f aca="false">(SUMPRODUCT(DCF_Base!$C$19:$L$19/(1+$A$28/100)^DCF_Base!$C$4:$L$4)+MAX(0,MIN(IF($A$28&gt;$E$23,DCF_Base!$L$19*(1+$E$23/100)/(($A$28-$E$23)/100),DCF_Base!$L$19*DCF_Base!$B$29),DCF_Base!$L$19*DCF_Base!$B$29))/(1+$A$28/100)^DCF_Base!$L$4+Assumptions!$B$5-Assumptions!$B$4)/Assumptions!$B$3*Assumptions!$B$10</f>
        <v>24.2272998071644</v>
      </c>
      <c r="F28" s="0" t="n">
        <f aca="false">(SUMPRODUCT(DCF_Base!$C$19:$L$19/(1+$A$28/100)^DCF_Base!$C$4:$L$4)+MAX(0,MIN(IF($A$28&gt;$F$23,DCF_Base!$L$19*(1+$F$23/100)/(($A$28-$F$23)/100),DCF_Base!$L$19*DCF_Base!$B$29),DCF_Base!$L$19*DCF_Base!$B$29))/(1+$A$28/100)^DCF_Base!$L$4+Assumptions!$B$5-Assumptions!$B$4)/Assumptions!$B$3*Assumptions!$B$10</f>
        <v>25.4788341888547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2026-10-02T08:04:19Z</dcterms:created>
  <dc:creator>openpyxl</dc:creator>
  <dc:description/>
  <dc:language>en-NZ</dc:language>
  <cp:lastModifiedBy/>
  <dcterms:modified xsi:type="dcterms:W3CDTF">2026-10-02T08:04:19Z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