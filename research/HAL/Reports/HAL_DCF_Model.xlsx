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<sst xmlns="http://schemas.openxmlformats.org/spreadsheetml/2006/main" count="389" uniqueCount="174">
  <si>
    <t xml:space="preserve">Ticker</t>
  </si>
  <si>
    <t xml:space="preserve">HAL</t>
  </si>
  <si>
    <t xml:space="preserve">Company</t>
  </si>
  <si>
    <t xml:space="preserve">Halliburton Company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</si>
  <si>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</si>
  <si>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</si>
  <si>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</si>
  <si>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</si>
  <si>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2026-09-28T20:00:03Z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</si>
  <si>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</si>
  <si>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</si>
  <si>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</si>
  <si>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</si>
  <si>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</si>
  <si>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</si>
  <si>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</si>
  <si>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</si>
  <si>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</si>
  <si>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</si>
  <si>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</si>
  <si>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</si>
  <si>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2026-09-28T21:09:11Z</t>
  </si>
  <si>
    <t xml:space="preserve">Drivers file</t>
  </si>
  <si>
    <t xml:space="preserve">HAL_Drivers.json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</si>
  <si>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</si>
  <si>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</si>
  <si>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</si>
  <si>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 owner-FCF DCF for a commodity-exposed oilfield-services cyclical. Value is anchored on a through-cycle 19.5% EBITDA margin and 3% revenue growth rather than on the FY2023-24 peak or the FY2025-26 trough; SBC is expensed and the diluted count held flat; leases are treated as operating cost; NCI deducted once; terminal value capped at 12-14x owner FCF because no buyer pays a compounder multiple for an oil-service franchise. The valuation is sensitive above all to the mid-cycle margin assumption (each 1pp of EBITDA margin is roughly $2-3/share) and to the terminal cap.
key_risks_to_valuation: Mid-cycle margin: if 17% (bear) rather than 19.5% is the true through-cycle level, base value falls by roughly a quarter; Oil-price path: a 2019-20-style downcycle produces a bear case where FCF barely covers the dividend for two years and net debt/EBITDA rises above 2x; North America land is ~40% of revenue and structurally shrinking on E&amp;P consolidation and efficiency gains; the base assumes international growth more than offsets it; Terminal value is 45-55% of EV under the 13x cap; the cap, not Gordon growth, binds, so the value depends on the exit multiple judgement; Balance-sheet vintage: net debt and shares are from the 2026-06-30 10-Q; Q3 2026 results (late October) will refresh both and the FY2026 guidance year; Unlevered cash tax at 22% of EBIT is above the 14-15% cash-taxes-paid/EBIT ratio of FY2023-25; if that gap persists the model is conservative by ~$0.5/share per point</t>
  </si>
  <si>
    <t xml:space="preserve">Data sources</t>
  </si>
  <si>
    <t xml:space="preserve">price: Yahoo Finance chart API regularMarketPrice at inputs.price_as_of; 52-week range 21.46-43.59
financials: HAL_Metrics.csv (SEC XBRL companyfacts, FY2006-Q2 2026); SEC companyfacts API for diluted shares, lease liabilities, NCI, debt split, interest and taxes paid; FY2025 10-K (hal-20251231.htm) Note 14 for SBC and the income statement; FY2022 10-K for FY2020-22 SBC; Q2 2026 10-Q (hal-20260630.htm) for the balance sheet, share reconciliation, tax rate and the $1.1B FY2026 capex guide
qualitative: HAL_Analysis.json (2026-09-29): business model, Q2 2026 guidance, bull/bear axes, recent developments</t>
  </si>
  <si>
    <t xml:space="preserve">Scenario narrative: bear</t>
  </si>
  <si>
    <t xml:space="preserve">The bear axes are (1) a sustained oil-price downcycle (OPEC+ supply additions, demand uncertainty) that cuts E&amp;P budgets 10-15% and takes revenue down 8% and 4% in FY2027-28, (2) North America pressure-pumping overcapacity pushing pricing below cost recovery, (3) the Middle East disruption that is already dragging D&amp;E becoming prolonged, and (4) negative operating leverage against a $7.2B debt stack, so margins trough at 14.5% (FY2019 underlying ~15%) and recover only to 17% as workforce cuts of 20-40% in affected divisions become permanent capacity loss. D&amp;A and SBC are sticky in dollars over a smaller base; capex is cut to 4.5% then rebuilt. Cap 12x.</t>
  </si>
  <si>
    <t xml:space="preserve">Scenario narrative: base</t>
  </si>
  <si>
    <t xml:space="preserve">Halliburton's revenue is a function of E&amp;P capital budgets, which follow oil and gas prices with a lag; the company controls its cost base, technology mix (Halliburton 4.0 digital/AI, Sikal closed-loop drilling) and capital intensity, not its demand. The base case takes management at its word that the market is softer than expected over the short-to-medium term: FY2026 revenue flat (H1 +1.7% YoY, Q3 guided down 2-5% sequentially), FY2027 +2%, then 3-4% as international/offshore (decade-high $3.4B in Q2 2026 despite Middle East disruption) outgrows a structurally eroding North America land business. EBITDA margin starts at 18.0% (H1-2026 ~17.6% underlying, sequential improvement guided) and settles at a 19.5% mid-cycle, deliberately below the FY2023-24 peak of ~22% and the five-year adjusted average of ~20%. Capex follows the $1.1B FY2026 guide then 5.5% of revenue; working capital consumes cash on growth; SBC is small and flat. Terminal value capped at 13x owner FCF.</t>
  </si>
  <si>
    <t xml:space="preserve">Scenario narrative: bull</t>
  </si>
  <si>
    <t xml:space="preserve">The bull axes are (1) an international and deepwater capex upcycle in the Middle East, Latin America (Argentina, Brazil) and West Africa that runs several years, (2) a North America land recovery once oil stabilises above $70-75 and E&amp;P consolidation runs its course, and (3) technology-led pricing on Halliburton 4.0 and integrated drilling that lifts EBITDA margins back to the 22% achieved in FY2023-24. Revenue compounds 6-7% for three years then decelerates; capex rises to 6% of revenue to fund the growth, so the FCF conversion improvement is mostly margin. Cap 14x.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</si>
  <si>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</si>
  <si>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</si>
  <si>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</si>
  <si>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</si>
  <si>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</si>
  <si>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</si>
  <si>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</si>
  <si>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</si>
  <si>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</si>
  <si>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</si>
  <si>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</si>
  <si>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</si>
  <si>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</si>
  <si>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</si>
  <si>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</si>
  <si>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</si>
  <si>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</si>
  <si>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</si>
  <si>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</si>
  <si>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</si>
  <si>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</si>
  <si>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</si>
  <si>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</si>
  <si>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</si>
  <si>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</si>
  <si>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</si>
  <si>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</si>
  <si>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</si>
  <si>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</si>
  <si>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</si>
  <si>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</si>
  <si>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</si>
  <si>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</si>
  <si>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</si>
  <si>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</si>
  <si>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</si>
  <si>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</si>
  <si>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</si>
  <si>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</si>
  <si>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</si>
  <si>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</si>
  <si>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</si>
  <si>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</si>
  <si>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</si>
  <si>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</si>
  <si>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</si>
  <si>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</si>
  <si>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</si>
  <si>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</si>
  <si>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</si>
  <si>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</si>
  <si>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</si>
  <si>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</si>
  <si>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</si>
  <si>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</si>
  <si>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</si>
  <si>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</si>
  <si>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</si>
  <si>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</si>
  <si>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</si>
  <si>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</si>
  <si>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</si>
  <si>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</si>
  <si>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</si>
  <si>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</si>
  <si>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</si>
  <si>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</si>
  <si>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</si>
  <si>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</si>
  <si>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</si>
  <si>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</si>
  <si>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</si>
  <si>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</si>
  <si>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</si>
  <si>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</si>
  <si>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</si>
  <si>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</si>
  <si>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</si>
  <si>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</si>
  <si>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</si>
  <si>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</si>
  <si>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</si>
  <si>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</si>
  <si>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</si>
  <si>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HAL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</si>
  <si>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</si>
  <si>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</si>
  <si>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</si>
  <si>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</si>
  <si>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</si>
  <si>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</si>
  <si>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</si>
  <si>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</si>
  <si>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</si>
  <si>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</si>
  <si>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</si>
  <si>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</si>
  <si>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</si>
  <si>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</si>
  <si>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</si>
  <si>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</si>
  <si>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</si>
  <si>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</si>
  <si>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</si>
  <si>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</si>
  <si>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</si>
  <si>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</si>
  <si>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</si>
  <si>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</si>
  <si>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</si>
  <si>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</si>
  <si>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</si>
  <si>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</si>
  <si>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</si>
  <si>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</si>
  <si>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HAL owner-FCF component DCF: base case (millions, USD)</t>
  </si>
  <si>
    <t xml:space="preserve">HAL owner-FCF component DCF: bull case (millions, USD)</t>
  </si>
  <si>
    <t xml:space="preserve">HAL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</si>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</sst>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32.43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7465</v>
      </c>
      <c r="S2" s="0" t="n">
        <v>4379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15264</v>
      </c>
      <c r="F3" s="0" t="n">
        <v>3498</v>
      </c>
      <c r="G3" s="0" t="n">
        <v>22.9166666666667</v>
      </c>
      <c r="H3" s="0" t="n">
        <v>4081</v>
      </c>
      <c r="I3" s="0" t="n">
        <v>3536</v>
      </c>
      <c r="J3" s="0" t="n">
        <v>23.1656184486373</v>
      </c>
      <c r="K3" s="0" t="n">
        <v>3.79</v>
      </c>
      <c r="L3" s="0" t="n">
        <v>2726</v>
      </c>
      <c r="M3" s="0" t="n">
        <v>1583</v>
      </c>
      <c r="N3" s="0" t="n">
        <v>1143</v>
      </c>
      <c r="O3" s="0" t="n">
        <v>6966</v>
      </c>
      <c r="S3" s="0" t="n">
        <v>1847</v>
      </c>
      <c r="T3" s="0" t="n">
        <v>955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18279</v>
      </c>
      <c r="F4" s="0" t="n">
        <v>4010</v>
      </c>
      <c r="G4" s="0" t="n">
        <v>21.9377427649215</v>
      </c>
      <c r="H4" s="0" t="n">
        <v>4748</v>
      </c>
      <c r="I4" s="0" t="n">
        <v>2224</v>
      </c>
      <c r="J4" s="0" t="n">
        <v>12.1669675584004</v>
      </c>
      <c r="K4" s="0" t="n">
        <v>2.52</v>
      </c>
      <c r="L4" s="0" t="n">
        <v>2674</v>
      </c>
      <c r="M4" s="0" t="n">
        <v>1824</v>
      </c>
      <c r="N4" s="0" t="n">
        <v>850</v>
      </c>
      <c r="O4" s="0" t="n">
        <v>7744</v>
      </c>
      <c r="P4" s="0" t="n">
        <v>14385</v>
      </c>
      <c r="Q4" s="0" t="n">
        <v>6641</v>
      </c>
      <c r="R4" s="0" t="n">
        <v>26</v>
      </c>
      <c r="S4" s="0" t="n">
        <v>1124</v>
      </c>
      <c r="T4" s="0" t="n">
        <v>909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14675</v>
      </c>
      <c r="F5" s="0" t="n">
        <v>1994</v>
      </c>
      <c r="G5" s="0" t="n">
        <v>13.587734241908</v>
      </c>
      <c r="H5" s="0" t="n">
        <v>2925</v>
      </c>
      <c r="I5" s="0" t="n">
        <v>1155</v>
      </c>
      <c r="J5" s="0" t="n">
        <v>7.87052810902896</v>
      </c>
      <c r="K5" s="0" t="n">
        <v>1.27</v>
      </c>
      <c r="L5" s="0" t="n">
        <v>2406</v>
      </c>
      <c r="M5" s="0" t="n">
        <v>1864</v>
      </c>
      <c r="N5" s="0" t="n">
        <v>542</v>
      </c>
      <c r="O5" s="0" t="n">
        <v>8757</v>
      </c>
      <c r="P5" s="0" t="n">
        <v>16538</v>
      </c>
      <c r="Q5" s="0" t="n">
        <v>7781</v>
      </c>
      <c r="R5" s="0" t="n">
        <v>5324</v>
      </c>
      <c r="S5" s="0" t="n">
        <v>2082</v>
      </c>
      <c r="T5" s="0" t="n">
        <v>902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17973</v>
      </c>
      <c r="F6" s="0" t="n">
        <v>3009</v>
      </c>
      <c r="G6" s="0" t="n">
        <v>16.7417793356702</v>
      </c>
      <c r="H6" s="0" t="n">
        <v>4128</v>
      </c>
      <c r="I6" s="0" t="n">
        <v>1842</v>
      </c>
      <c r="J6" s="0" t="n">
        <v>10.2487063929227</v>
      </c>
      <c r="K6" s="0" t="n">
        <v>2.02</v>
      </c>
      <c r="L6" s="0" t="n">
        <v>2212</v>
      </c>
      <c r="M6" s="0" t="n">
        <v>2069</v>
      </c>
      <c r="N6" s="0" t="n">
        <v>143</v>
      </c>
      <c r="O6" s="0" t="n">
        <v>10387</v>
      </c>
      <c r="P6" s="0" t="n">
        <v>18297</v>
      </c>
      <c r="Q6" s="0" t="n">
        <v>7910</v>
      </c>
      <c r="R6" s="0" t="n">
        <v>3824</v>
      </c>
      <c r="S6" s="0" t="n">
        <v>1398</v>
      </c>
      <c r="T6" s="0" t="n">
        <v>911</v>
      </c>
      <c r="V6" s="0" t="n">
        <v>0.36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24829</v>
      </c>
      <c r="F7" s="0" t="n">
        <v>4737</v>
      </c>
      <c r="G7" s="0" t="n">
        <v>19.0784969189255</v>
      </c>
      <c r="H7" s="0" t="n">
        <v>6096</v>
      </c>
      <c r="I7" s="0" t="n">
        <v>2844</v>
      </c>
      <c r="J7" s="0" t="n">
        <v>11.4543477385316</v>
      </c>
      <c r="K7" s="0" t="n">
        <v>3.09</v>
      </c>
      <c r="L7" s="0" t="n">
        <v>3684</v>
      </c>
      <c r="M7" s="0" t="n">
        <v>2953</v>
      </c>
      <c r="N7" s="0" t="n">
        <v>731</v>
      </c>
      <c r="O7" s="0" t="n">
        <v>13216</v>
      </c>
      <c r="P7" s="0" t="n">
        <v>23677</v>
      </c>
      <c r="Q7" s="0" t="n">
        <v>10461</v>
      </c>
      <c r="R7" s="0" t="n">
        <v>4820</v>
      </c>
      <c r="S7" s="0" t="n">
        <v>2698</v>
      </c>
      <c r="T7" s="0" t="n">
        <v>922</v>
      </c>
      <c r="V7" s="0" t="n">
        <v>0.36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28503</v>
      </c>
      <c r="F8" s="0" t="n">
        <v>4159</v>
      </c>
      <c r="G8" s="0" t="n">
        <v>14.591446514402</v>
      </c>
      <c r="H8" s="0" t="n">
        <v>5787</v>
      </c>
      <c r="I8" s="0" t="n">
        <v>2645</v>
      </c>
      <c r="J8" s="0" t="n">
        <v>9.27972494123426</v>
      </c>
      <c r="K8" s="0" t="n">
        <v>2.85</v>
      </c>
      <c r="L8" s="0" t="n">
        <v>3654</v>
      </c>
      <c r="M8" s="0" t="n">
        <v>3566</v>
      </c>
      <c r="N8" s="0" t="n">
        <v>88</v>
      </c>
      <c r="O8" s="0" t="n">
        <v>15790</v>
      </c>
      <c r="P8" s="0" t="n">
        <v>27410</v>
      </c>
      <c r="Q8" s="0" t="n">
        <v>11620</v>
      </c>
      <c r="R8" s="0" t="n">
        <v>4820</v>
      </c>
      <c r="S8" s="0" t="n">
        <v>2484</v>
      </c>
      <c r="T8" s="0" t="n">
        <v>929</v>
      </c>
      <c r="U8" s="0" t="n">
        <v>217</v>
      </c>
      <c r="V8" s="0" t="n">
        <v>0.36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29402</v>
      </c>
      <c r="F9" s="0" t="n">
        <v>3138</v>
      </c>
      <c r="G9" s="0" t="n">
        <v>10.6727433507925</v>
      </c>
      <c r="H9" s="0" t="n">
        <v>5038</v>
      </c>
      <c r="I9" s="0" t="n">
        <v>2135</v>
      </c>
      <c r="J9" s="0" t="n">
        <v>7.26141078838174</v>
      </c>
      <c r="K9" s="0" t="n">
        <v>2.37</v>
      </c>
      <c r="L9" s="0" t="n">
        <v>4447</v>
      </c>
      <c r="M9" s="0" t="n">
        <v>2934</v>
      </c>
      <c r="N9" s="0" t="n">
        <v>1513</v>
      </c>
      <c r="O9" s="0" t="n">
        <v>13615</v>
      </c>
      <c r="P9" s="0" t="n">
        <v>29223</v>
      </c>
      <c r="Q9" s="0" t="n">
        <v>15608</v>
      </c>
      <c r="R9" s="0" t="n">
        <v>7816</v>
      </c>
      <c r="S9" s="0" t="n">
        <v>2356</v>
      </c>
      <c r="T9" s="0" t="n">
        <v>902</v>
      </c>
      <c r="U9" s="0" t="n">
        <v>264</v>
      </c>
      <c r="V9" s="0" t="n">
        <v>0.36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32870</v>
      </c>
      <c r="F10" s="0" t="n">
        <v>5097</v>
      </c>
      <c r="G10" s="0" t="n">
        <v>15.5065409187709</v>
      </c>
      <c r="H10" s="0" t="n">
        <v>7223</v>
      </c>
      <c r="I10" s="0" t="n">
        <v>3501</v>
      </c>
      <c r="J10" s="0" t="n">
        <v>10.6510495892912</v>
      </c>
      <c r="K10" s="0" t="n">
        <v>4.13</v>
      </c>
      <c r="L10" s="0" t="n">
        <v>4062</v>
      </c>
      <c r="M10" s="0" t="n">
        <v>3283</v>
      </c>
      <c r="N10" s="0" t="n">
        <v>779</v>
      </c>
      <c r="O10" s="0" t="n">
        <v>16298</v>
      </c>
      <c r="P10" s="0" t="n">
        <v>32165</v>
      </c>
      <c r="Q10" s="0" t="n">
        <v>15867</v>
      </c>
      <c r="R10" s="0" t="n">
        <v>7793</v>
      </c>
      <c r="S10" s="0" t="n">
        <v>2291</v>
      </c>
      <c r="T10" s="0" t="n">
        <v>852</v>
      </c>
      <c r="U10" s="0" t="n">
        <v>298</v>
      </c>
      <c r="V10" s="0" t="n">
        <v>0.63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23633</v>
      </c>
      <c r="F11" s="0" t="n">
        <v>-165</v>
      </c>
      <c r="G11" s="0" t="n">
        <v>-0.698176278932002</v>
      </c>
      <c r="H11" s="0" t="n">
        <v>1670</v>
      </c>
      <c r="I11" s="0" t="n">
        <v>-671</v>
      </c>
      <c r="J11" s="0" t="n">
        <v>-2.83925020099014</v>
      </c>
      <c r="K11" s="0" t="n">
        <v>-0.79</v>
      </c>
      <c r="L11" s="0" t="n">
        <v>2906</v>
      </c>
      <c r="M11" s="0" t="n">
        <v>2184</v>
      </c>
      <c r="N11" s="0" t="n">
        <v>722</v>
      </c>
      <c r="O11" s="0" t="n">
        <v>15495</v>
      </c>
      <c r="P11" s="0" t="n">
        <v>36942</v>
      </c>
      <c r="Q11" s="0" t="n">
        <v>21447</v>
      </c>
      <c r="R11" s="0" t="n">
        <v>16005</v>
      </c>
      <c r="S11" s="0" t="n">
        <v>10077</v>
      </c>
      <c r="T11" s="0" t="n">
        <v>856</v>
      </c>
      <c r="V11" s="0" t="n">
        <v>0.72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15887</v>
      </c>
      <c r="F12" s="0" t="n">
        <v>-6770</v>
      </c>
      <c r="G12" s="0" t="n">
        <v>-42.6134575439038</v>
      </c>
      <c r="H12" s="0" t="n">
        <v>-5267</v>
      </c>
      <c r="I12" s="0" t="n">
        <v>-5769</v>
      </c>
      <c r="J12" s="0" t="n">
        <v>-36.3127085038082</v>
      </c>
      <c r="K12" s="0" t="n">
        <v>-6.69</v>
      </c>
      <c r="L12" s="0" t="n">
        <v>-1703</v>
      </c>
      <c r="M12" s="0" t="n">
        <v>798</v>
      </c>
      <c r="N12" s="0" t="n">
        <v>-2501</v>
      </c>
      <c r="O12" s="0" t="n">
        <v>9448</v>
      </c>
      <c r="P12" s="0" t="n">
        <v>27000</v>
      </c>
      <c r="Q12" s="0" t="n">
        <v>17552</v>
      </c>
      <c r="R12" s="0" t="n">
        <v>12384</v>
      </c>
      <c r="S12" s="0" t="n">
        <v>4009</v>
      </c>
      <c r="T12" s="0" t="n">
        <v>866</v>
      </c>
      <c r="V12" s="0" t="n">
        <v>0.72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20620</v>
      </c>
      <c r="F13" s="0" t="n">
        <v>1374</v>
      </c>
      <c r="G13" s="0" t="n">
        <v>6.66343355965083</v>
      </c>
      <c r="H13" s="0" t="n">
        <v>2930</v>
      </c>
      <c r="I13" s="0" t="n">
        <v>-468</v>
      </c>
      <c r="J13" s="0" t="n">
        <v>-2.26964112512124</v>
      </c>
      <c r="K13" s="0" t="n">
        <v>-0.53</v>
      </c>
      <c r="L13" s="0" t="n">
        <v>2468</v>
      </c>
      <c r="M13" s="0" t="n">
        <v>1373</v>
      </c>
      <c r="N13" s="0" t="n">
        <v>1095</v>
      </c>
      <c r="O13" s="0" t="n">
        <v>8349</v>
      </c>
      <c r="P13" s="0" t="n">
        <v>25085</v>
      </c>
      <c r="Q13" s="0" t="n">
        <v>16736</v>
      </c>
      <c r="R13" s="0" t="n">
        <v>10942</v>
      </c>
      <c r="S13" s="0" t="n">
        <v>2337</v>
      </c>
      <c r="T13" s="0" t="n">
        <v>873</v>
      </c>
      <c r="V13" s="0" t="n">
        <v>0.72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23995</v>
      </c>
      <c r="F14" s="0" t="n">
        <v>2467</v>
      </c>
      <c r="G14" s="0" t="n">
        <v>10.2813086059596</v>
      </c>
      <c r="H14" s="0" t="n">
        <v>4073</v>
      </c>
      <c r="I14" s="0" t="n">
        <v>1657</v>
      </c>
      <c r="J14" s="0" t="n">
        <v>6.90560533444468</v>
      </c>
      <c r="K14" s="0" t="n">
        <v>1.89</v>
      </c>
      <c r="L14" s="0" t="n">
        <v>3157</v>
      </c>
      <c r="M14" s="0" t="n">
        <v>2026</v>
      </c>
      <c r="N14" s="0" t="n">
        <v>1131</v>
      </c>
      <c r="O14" s="0" t="n">
        <v>9544</v>
      </c>
      <c r="P14" s="0" t="n">
        <v>25982</v>
      </c>
      <c r="Q14" s="0" t="n">
        <v>16438</v>
      </c>
      <c r="R14" s="0" t="n">
        <v>10344</v>
      </c>
      <c r="S14" s="0" t="n">
        <v>2008</v>
      </c>
      <c r="T14" s="0" t="n">
        <v>877</v>
      </c>
      <c r="V14" s="0" t="n">
        <v>0.72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22408</v>
      </c>
      <c r="F15" s="0" t="n">
        <v>-448</v>
      </c>
      <c r="G15" s="0" t="n">
        <v>-1.99928596929668</v>
      </c>
      <c r="H15" s="0" t="n">
        <v>1177</v>
      </c>
      <c r="I15" s="0" t="n">
        <v>-1131</v>
      </c>
      <c r="J15" s="0" t="n">
        <v>-5.04730453409497</v>
      </c>
      <c r="K15" s="0" t="n">
        <v>-1.29</v>
      </c>
      <c r="L15" s="0" t="n">
        <v>2445</v>
      </c>
      <c r="M15" s="0" t="n">
        <v>1530</v>
      </c>
      <c r="N15" s="0" t="n">
        <v>915</v>
      </c>
      <c r="O15" s="0" t="n">
        <v>8025</v>
      </c>
      <c r="P15" s="0" t="n">
        <v>25377</v>
      </c>
      <c r="Q15" s="0" t="n">
        <v>17352</v>
      </c>
      <c r="R15" s="0" t="n">
        <v>10327</v>
      </c>
      <c r="S15" s="0" t="n">
        <v>2268</v>
      </c>
      <c r="T15" s="0" t="n">
        <v>878</v>
      </c>
      <c r="V15" s="0" t="n">
        <v>0.72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14445</v>
      </c>
      <c r="F16" s="0" t="n">
        <v>-2436</v>
      </c>
      <c r="G16" s="0" t="n">
        <v>-16.8639667705088</v>
      </c>
      <c r="H16" s="0" t="n">
        <v>-1378</v>
      </c>
      <c r="I16" s="0" t="n">
        <v>-2945</v>
      </c>
      <c r="J16" s="0" t="n">
        <v>-20.3876773970232</v>
      </c>
      <c r="L16" s="0" t="n">
        <v>1881</v>
      </c>
      <c r="M16" s="0" t="n">
        <v>728</v>
      </c>
      <c r="N16" s="0" t="n">
        <v>1153</v>
      </c>
      <c r="O16" s="0" t="n">
        <v>4983</v>
      </c>
      <c r="P16" s="0" t="n">
        <v>20680</v>
      </c>
      <c r="Q16" s="0" t="n">
        <v>15697</v>
      </c>
      <c r="R16" s="0" t="n">
        <v>9827</v>
      </c>
      <c r="S16" s="0" t="n">
        <v>2563</v>
      </c>
      <c r="T16" s="0" t="n">
        <v>885</v>
      </c>
      <c r="V16" s="0" t="n">
        <v>0.315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15295</v>
      </c>
      <c r="F17" s="0" t="n">
        <v>1800</v>
      </c>
      <c r="G17" s="0" t="n">
        <v>11.7685518143184</v>
      </c>
      <c r="H17" s="0" t="n">
        <v>2704</v>
      </c>
      <c r="I17" s="0" t="n">
        <v>1468</v>
      </c>
      <c r="J17" s="0" t="n">
        <v>9.59790781301079</v>
      </c>
      <c r="L17" s="0" t="n">
        <v>1911</v>
      </c>
      <c r="M17" s="0" t="n">
        <v>799</v>
      </c>
      <c r="N17" s="0" t="n">
        <v>1112</v>
      </c>
      <c r="O17" s="0" t="n">
        <v>6728</v>
      </c>
      <c r="P17" s="0" t="n">
        <v>22321</v>
      </c>
      <c r="Q17" s="0" t="n">
        <v>15593</v>
      </c>
      <c r="R17" s="0" t="n">
        <v>9138</v>
      </c>
      <c r="S17" s="0" t="n">
        <v>3044</v>
      </c>
      <c r="T17" s="0" t="n">
        <v>896</v>
      </c>
      <c r="V17" s="0" t="n">
        <v>0.18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20297</v>
      </c>
      <c r="F18" s="0" t="n">
        <v>2707</v>
      </c>
      <c r="G18" s="0" t="n">
        <v>13.3369463467508</v>
      </c>
      <c r="H18" s="0" t="n">
        <v>3647</v>
      </c>
      <c r="I18" s="0" t="n">
        <v>1595</v>
      </c>
      <c r="J18" s="0" t="n">
        <v>7.85830418288417</v>
      </c>
      <c r="L18" s="0" t="n">
        <v>2242</v>
      </c>
      <c r="M18" s="0" t="n">
        <v>1011</v>
      </c>
      <c r="N18" s="0" t="n">
        <v>1231</v>
      </c>
      <c r="O18" s="0" t="n">
        <v>7977</v>
      </c>
      <c r="P18" s="0" t="n">
        <v>23255</v>
      </c>
      <c r="Q18" s="0" t="n">
        <v>15278</v>
      </c>
      <c r="R18" s="0" t="n">
        <v>7928</v>
      </c>
      <c r="S18" s="0" t="n">
        <v>2346</v>
      </c>
      <c r="T18" s="0" t="n">
        <v>908</v>
      </c>
      <c r="V18" s="0" t="n">
        <v>0.48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23018</v>
      </c>
      <c r="F19" s="0" t="n">
        <v>4083</v>
      </c>
      <c r="G19" s="0" t="n">
        <v>17.738291771657</v>
      </c>
      <c r="H19" s="0" t="n">
        <v>5081</v>
      </c>
      <c r="I19" s="0" t="n">
        <v>2662</v>
      </c>
      <c r="J19" s="0" t="n">
        <v>11.5648622816926</v>
      </c>
      <c r="L19" s="0" t="n">
        <v>3458</v>
      </c>
      <c r="M19" s="0" t="n">
        <v>1379</v>
      </c>
      <c r="N19" s="0" t="n">
        <v>2079</v>
      </c>
      <c r="O19" s="0" t="n">
        <v>9433</v>
      </c>
      <c r="P19" s="0" t="n">
        <v>24683</v>
      </c>
      <c r="Q19" s="0" t="n">
        <v>15250</v>
      </c>
      <c r="R19" s="0" t="n">
        <v>7636</v>
      </c>
      <c r="S19" s="0" t="n">
        <v>2264</v>
      </c>
      <c r="T19" s="0" t="n">
        <v>902</v>
      </c>
      <c r="V19" s="0" t="n">
        <v>0.64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22944</v>
      </c>
      <c r="F20" s="0" t="n">
        <v>3822</v>
      </c>
      <c r="G20" s="0" t="n">
        <v>16.657949790795</v>
      </c>
      <c r="H20" s="0" t="n">
        <v>4901</v>
      </c>
      <c r="I20" s="0" t="n">
        <v>2516</v>
      </c>
      <c r="J20" s="0" t="n">
        <v>10.965829846583</v>
      </c>
      <c r="L20" s="0" t="n">
        <v>3865</v>
      </c>
      <c r="M20" s="0" t="n">
        <v>1442</v>
      </c>
      <c r="N20" s="0" t="n">
        <v>2423</v>
      </c>
      <c r="O20" s="0" t="n">
        <v>10548</v>
      </c>
      <c r="P20" s="0" t="n">
        <v>25587</v>
      </c>
      <c r="Q20" s="0" t="n">
        <v>15039</v>
      </c>
      <c r="R20" s="0" t="n">
        <v>7541</v>
      </c>
      <c r="S20" s="0" t="n">
        <v>2618</v>
      </c>
      <c r="T20" s="0" t="n">
        <v>883</v>
      </c>
      <c r="V20" s="0" t="n">
        <v>0.68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22184</v>
      </c>
      <c r="F21" s="0" t="n">
        <v>2260</v>
      </c>
      <c r="G21" s="0" t="n">
        <v>10.1875225387667</v>
      </c>
      <c r="H21" s="0" t="n">
        <v>3396</v>
      </c>
      <c r="I21" s="0" t="n">
        <v>1292</v>
      </c>
      <c r="J21" s="0" t="n">
        <v>5.82401730977281</v>
      </c>
      <c r="L21" s="0" t="n">
        <v>2926</v>
      </c>
      <c r="M21" s="0" t="n">
        <v>1254</v>
      </c>
      <c r="N21" s="0" t="n">
        <v>1672</v>
      </c>
      <c r="O21" s="0" t="n">
        <v>10505</v>
      </c>
      <c r="P21" s="0" t="n">
        <v>25010</v>
      </c>
      <c r="Q21" s="0" t="n">
        <v>14505</v>
      </c>
      <c r="R21" s="0" t="n">
        <v>7158</v>
      </c>
      <c r="S21" s="0" t="n">
        <v>2206</v>
      </c>
      <c r="T21" s="0" t="n">
        <v>853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32.43</v>
      </c>
    </row>
    <row r="3" customFormat="false" ht="15" hidden="false" customHeight="false" outlineLevel="0" collapsed="false">
      <c r="A3" s="0" t="s">
        <v>86</v>
      </c>
      <c r="B3" s="3" t="n">
        <v>838</v>
      </c>
    </row>
    <row r="4" customFormat="false" ht="15" hidden="false" customHeight="false" outlineLevel="0" collapsed="false">
      <c r="A4" s="0" t="s">
        <v>87</v>
      </c>
      <c r="B4" s="3" t="n">
        <v>5113</v>
      </c>
    </row>
    <row r="5" customFormat="false" ht="15" hidden="false" customHeight="false" outlineLevel="0" collapsed="false">
      <c r="A5" s="0" t="s">
        <v>88</v>
      </c>
      <c r="B5" s="3" t="n">
        <v>-42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22184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-1</v>
      </c>
      <c r="D13" s="3" t="n">
        <v>-8</v>
      </c>
      <c r="E13" s="3" t="n">
        <v>-4</v>
      </c>
      <c r="F13" s="3" t="n">
        <v>2</v>
      </c>
      <c r="G13" s="3" t="n">
        <v>4</v>
      </c>
      <c r="H13" s="3" t="n">
        <v>3.5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17.5</v>
      </c>
      <c r="D14" s="3" t="n">
        <v>15</v>
      </c>
      <c r="E14" s="3" t="n">
        <v>14.5</v>
      </c>
      <c r="F14" s="3" t="n">
        <v>15.5</v>
      </c>
      <c r="G14" s="3" t="n">
        <v>16.5</v>
      </c>
      <c r="H14" s="3" t="n">
        <v>17</v>
      </c>
      <c r="I14" s="3" t="n">
        <v>17</v>
      </c>
      <c r="J14" s="3" t="n">
        <v>17</v>
      </c>
      <c r="K14" s="3" t="n">
        <v>17</v>
      </c>
      <c r="L14" s="3" t="n">
        <v>17</v>
      </c>
    </row>
    <row r="15" customFormat="false" ht="15" hidden="false" customHeight="false" outlineLevel="0" collapsed="false">
      <c r="A15" s="0" t="s">
        <v>108</v>
      </c>
      <c r="C15" s="3" t="n">
        <v>1</v>
      </c>
      <c r="D15" s="3" t="n">
        <v>1.1</v>
      </c>
      <c r="E15" s="3" t="n">
        <v>1.1</v>
      </c>
      <c r="F15" s="3" t="n">
        <v>1.05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5.2</v>
      </c>
      <c r="D17" s="3" t="n">
        <v>5.6</v>
      </c>
      <c r="E17" s="3" t="n">
        <v>5.8</v>
      </c>
      <c r="F17" s="3" t="n">
        <v>5.7</v>
      </c>
      <c r="G17" s="3" t="n">
        <v>5.6</v>
      </c>
      <c r="H17" s="3" t="n">
        <v>5.5</v>
      </c>
      <c r="I17" s="3" t="n">
        <v>5.5</v>
      </c>
      <c r="J17" s="3" t="n">
        <v>5.5</v>
      </c>
      <c r="K17" s="3" t="n">
        <v>5.5</v>
      </c>
      <c r="L17" s="3" t="n">
        <v>5.5</v>
      </c>
    </row>
    <row r="18" customFormat="false" ht="15" hidden="false" customHeight="false" outlineLevel="0" collapsed="false">
      <c r="A18" s="0" t="s">
        <v>111</v>
      </c>
      <c r="C18" s="3" t="n">
        <v>5</v>
      </c>
      <c r="D18" s="3" t="n">
        <v>4.5</v>
      </c>
      <c r="E18" s="3" t="n">
        <v>4.5</v>
      </c>
      <c r="F18" s="3" t="n">
        <v>5</v>
      </c>
      <c r="G18" s="3" t="n">
        <v>5.5</v>
      </c>
      <c r="H18" s="3" t="n">
        <v>5.5</v>
      </c>
      <c r="I18" s="3" t="n">
        <v>5.5</v>
      </c>
      <c r="J18" s="3" t="n">
        <v>5.5</v>
      </c>
      <c r="K18" s="3" t="n">
        <v>5.5</v>
      </c>
      <c r="L18" s="3" t="n">
        <v>5.5</v>
      </c>
    </row>
    <row r="19" customFormat="false" ht="15" hidden="false" customHeight="false" outlineLevel="0" collapsed="false">
      <c r="A19" s="0" t="s">
        <v>112</v>
      </c>
      <c r="C19" s="3" t="n">
        <v>22</v>
      </c>
      <c r="D19" s="3" t="n">
        <v>22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-15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0</v>
      </c>
      <c r="D27" s="3" t="n">
        <v>2</v>
      </c>
      <c r="E27" s="3" t="n">
        <v>4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18</v>
      </c>
      <c r="D28" s="3" t="n">
        <v>18.5</v>
      </c>
      <c r="E28" s="3" t="n">
        <v>19</v>
      </c>
      <c r="F28" s="3" t="n">
        <v>19.5</v>
      </c>
      <c r="G28" s="3" t="n">
        <v>19.5</v>
      </c>
      <c r="H28" s="3" t="n">
        <v>19.5</v>
      </c>
      <c r="I28" s="3" t="n">
        <v>19.5</v>
      </c>
      <c r="J28" s="3" t="n">
        <v>19.5</v>
      </c>
      <c r="K28" s="3" t="n">
        <v>19.5</v>
      </c>
      <c r="L28" s="3" t="n">
        <v>19.5</v>
      </c>
    </row>
    <row r="29" customFormat="false" ht="15" hidden="false" customHeight="false" outlineLevel="0" collapsed="false">
      <c r="A29" s="0" t="s">
        <v>108</v>
      </c>
      <c r="C29" s="3" t="n">
        <v>0.95</v>
      </c>
      <c r="D29" s="3" t="n">
        <v>0.95</v>
      </c>
      <c r="E29" s="3" t="n">
        <v>0.95</v>
      </c>
      <c r="F29" s="3" t="n">
        <v>0.95</v>
      </c>
      <c r="G29" s="3" t="n">
        <v>0.95</v>
      </c>
      <c r="H29" s="3" t="n">
        <v>0.95</v>
      </c>
      <c r="I29" s="3" t="n">
        <v>0.95</v>
      </c>
      <c r="J29" s="3" t="n">
        <v>0.95</v>
      </c>
      <c r="K29" s="3" t="n">
        <v>0.95</v>
      </c>
      <c r="L29" s="3" t="n">
        <v>0.95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5.2</v>
      </c>
      <c r="D31" s="3" t="n">
        <v>5.3</v>
      </c>
      <c r="E31" s="3" t="n">
        <v>5.3</v>
      </c>
      <c r="F31" s="3" t="n">
        <v>5.3</v>
      </c>
      <c r="G31" s="3" t="n">
        <v>5.3</v>
      </c>
      <c r="H31" s="3" t="n">
        <v>5.3</v>
      </c>
      <c r="I31" s="3" t="n">
        <v>5.3</v>
      </c>
      <c r="J31" s="3" t="n">
        <v>5.3</v>
      </c>
      <c r="K31" s="3" t="n">
        <v>5.3</v>
      </c>
      <c r="L31" s="3" t="n">
        <v>5.3</v>
      </c>
    </row>
    <row r="32" customFormat="false" ht="15" hidden="false" customHeight="false" outlineLevel="0" collapsed="false">
      <c r="A32" s="0" t="s">
        <v>111</v>
      </c>
      <c r="C32" s="3" t="n">
        <v>5</v>
      </c>
      <c r="D32" s="3" t="n">
        <v>5.3</v>
      </c>
      <c r="E32" s="3" t="n">
        <v>5.5</v>
      </c>
      <c r="F32" s="3" t="n">
        <v>5.5</v>
      </c>
      <c r="G32" s="3" t="n">
        <v>5.5</v>
      </c>
      <c r="H32" s="3" t="n">
        <v>5.5</v>
      </c>
      <c r="I32" s="3" t="n">
        <v>5.5</v>
      </c>
      <c r="J32" s="3" t="n">
        <v>5.5</v>
      </c>
      <c r="K32" s="3" t="n">
        <v>5.5</v>
      </c>
      <c r="L32" s="3" t="n">
        <v>5.5</v>
      </c>
    </row>
    <row r="33" customFormat="false" ht="15" hidden="false" customHeight="false" outlineLevel="0" collapsed="false">
      <c r="A33" s="0" t="s">
        <v>112</v>
      </c>
      <c r="C33" s="3" t="n">
        <v>22</v>
      </c>
      <c r="D33" s="3" t="n">
        <v>22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13</v>
      </c>
    </row>
    <row r="37" customFormat="false" ht="15" hidden="false" customHeight="false" outlineLevel="0" collapsed="false">
      <c r="A37" s="0" t="s">
        <v>116</v>
      </c>
      <c r="B37" s="3" t="n">
        <v>-15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</v>
      </c>
      <c r="D41" s="3" t="n">
        <v>6</v>
      </c>
      <c r="E41" s="3" t="n">
        <v>7</v>
      </c>
      <c r="F41" s="3" t="n">
        <v>6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18.5</v>
      </c>
      <c r="D42" s="3" t="n">
        <v>19.5</v>
      </c>
      <c r="E42" s="3" t="n">
        <v>20.5</v>
      </c>
      <c r="F42" s="3" t="n">
        <v>21.5</v>
      </c>
      <c r="G42" s="3" t="n">
        <v>22</v>
      </c>
      <c r="H42" s="3" t="n">
        <v>22</v>
      </c>
      <c r="I42" s="3" t="n">
        <v>22</v>
      </c>
      <c r="J42" s="3" t="n">
        <v>22</v>
      </c>
      <c r="K42" s="3" t="n">
        <v>22</v>
      </c>
      <c r="L42" s="3" t="n">
        <v>22</v>
      </c>
    </row>
    <row r="43" customFormat="false" ht="15" hidden="false" customHeight="false" outlineLevel="0" collapsed="false">
      <c r="A43" s="0" t="s">
        <v>108</v>
      </c>
      <c r="C43" s="3" t="n">
        <v>0.95</v>
      </c>
      <c r="D43" s="3" t="n">
        <v>0.95</v>
      </c>
      <c r="E43" s="3" t="n">
        <v>0.95</v>
      </c>
      <c r="F43" s="3" t="n">
        <v>0.95</v>
      </c>
      <c r="G43" s="3" t="n">
        <v>0.95</v>
      </c>
      <c r="H43" s="3" t="n">
        <v>0.95</v>
      </c>
      <c r="I43" s="3" t="n">
        <v>0.95</v>
      </c>
      <c r="J43" s="3" t="n">
        <v>0.95</v>
      </c>
      <c r="K43" s="3" t="n">
        <v>0.95</v>
      </c>
      <c r="L43" s="3" t="n">
        <v>0.95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5.2</v>
      </c>
      <c r="D45" s="3" t="n">
        <v>5.3</v>
      </c>
      <c r="E45" s="3" t="n">
        <v>5.3</v>
      </c>
      <c r="F45" s="3" t="n">
        <v>5.3</v>
      </c>
      <c r="G45" s="3" t="n">
        <v>5.3</v>
      </c>
      <c r="H45" s="3" t="n">
        <v>5.3</v>
      </c>
      <c r="I45" s="3" t="n">
        <v>5.3</v>
      </c>
      <c r="J45" s="3" t="n">
        <v>5.3</v>
      </c>
      <c r="K45" s="3" t="n">
        <v>5.3</v>
      </c>
      <c r="L45" s="3" t="n">
        <v>5.3</v>
      </c>
    </row>
    <row r="46" customFormat="false" ht="15" hidden="false" customHeight="false" outlineLevel="0" collapsed="false">
      <c r="A46" s="0" t="s">
        <v>111</v>
      </c>
      <c r="C46" s="3" t="n">
        <v>5</v>
      </c>
      <c r="D46" s="3" t="n">
        <v>5.5</v>
      </c>
      <c r="E46" s="3" t="n">
        <v>6</v>
      </c>
      <c r="F46" s="3" t="n">
        <v>6</v>
      </c>
      <c r="G46" s="3" t="n">
        <v>6</v>
      </c>
      <c r="H46" s="3" t="n">
        <v>5.8</v>
      </c>
      <c r="I46" s="3" t="n">
        <v>5.5</v>
      </c>
      <c r="J46" s="3" t="n">
        <v>5.5</v>
      </c>
      <c r="K46" s="3" t="n">
        <v>5.5</v>
      </c>
      <c r="L46" s="3" t="n">
        <v>5.5</v>
      </c>
    </row>
    <row r="47" customFormat="false" ht="15" hidden="false" customHeight="false" outlineLevel="0" collapsed="false">
      <c r="A47" s="0" t="s">
        <v>112</v>
      </c>
      <c r="C47" s="3" t="n">
        <v>22</v>
      </c>
      <c r="D47" s="3" t="n">
        <v>22</v>
      </c>
      <c r="E47" s="3" t="n">
        <v>22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2.5</v>
      </c>
    </row>
    <row r="50" customFormat="false" ht="15" hidden="false" customHeight="false" outlineLevel="0" collapsed="false">
      <c r="A50" s="0" t="s">
        <v>115</v>
      </c>
      <c r="B50" s="3" t="n">
        <v>14</v>
      </c>
    </row>
    <row r="51" customFormat="false" ht="15" hidden="false" customHeight="false" outlineLevel="0" collapsed="false">
      <c r="A51" s="0" t="s">
        <v>116</v>
      </c>
      <c r="B51" s="3" t="n">
        <v>-15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-1</v>
      </c>
      <c r="D5" s="4" t="n">
        <f aca="false">Assumptions!D13</f>
        <v>-8</v>
      </c>
      <c r="E5" s="4" t="n">
        <f aca="false">Assumptions!E13</f>
        <v>-4</v>
      </c>
      <c r="F5" s="4" t="n">
        <f aca="false">Assumptions!F13</f>
        <v>2</v>
      </c>
      <c r="G5" s="4" t="n">
        <f aca="false">Assumptions!G13</f>
        <v>4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22184</v>
      </c>
      <c r="C6" s="0" t="n">
        <f aca="false">B6*(1+C5/100)</f>
        <v>21962.16</v>
      </c>
      <c r="D6" s="0" t="n">
        <f aca="false">C6*(1+D5/100)</f>
        <v>20205.1872</v>
      </c>
      <c r="E6" s="0" t="n">
        <f aca="false">D6*(1+E5/100)</f>
        <v>19396.979712</v>
      </c>
      <c r="F6" s="0" t="n">
        <f aca="false">E6*(1+F5/100)</f>
        <v>19784.91930624</v>
      </c>
      <c r="G6" s="0" t="n">
        <f aca="false">F6*(1+G5/100)</f>
        <v>20576.3160784896</v>
      </c>
      <c r="H6" s="0" t="n">
        <f aca="false">G6*(1+H5/100)</f>
        <v>21296.4871412367</v>
      </c>
      <c r="I6" s="0" t="n">
        <f aca="false">H6*(1+I5/100)</f>
        <v>21935.3817554738</v>
      </c>
      <c r="J6" s="0" t="n">
        <f aca="false">I6*(1+J5/100)</f>
        <v>22483.7662993607</v>
      </c>
      <c r="K6" s="0" t="n">
        <f aca="false">J6*(1+K5/100)</f>
        <v>23045.8604568447</v>
      </c>
      <c r="L6" s="0" t="n">
        <f aca="false">K6*(1+L5/100)</f>
        <v>23622.0069682658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17.5</v>
      </c>
      <c r="D7" s="4" t="n">
        <f aca="false">Assumptions!D14</f>
        <v>15</v>
      </c>
      <c r="E7" s="4" t="n">
        <f aca="false">Assumptions!E14</f>
        <v>14.5</v>
      </c>
      <c r="F7" s="4" t="n">
        <f aca="false">Assumptions!F14</f>
        <v>15.5</v>
      </c>
      <c r="G7" s="4" t="n">
        <f aca="false">Assumptions!G14</f>
        <v>16.5</v>
      </c>
      <c r="H7" s="4" t="n">
        <f aca="false">Assumptions!H14</f>
        <v>17</v>
      </c>
      <c r="I7" s="4" t="n">
        <f aca="false">Assumptions!I14</f>
        <v>17</v>
      </c>
      <c r="J7" s="4" t="n">
        <f aca="false">Assumptions!J14</f>
        <v>17</v>
      </c>
      <c r="K7" s="4" t="n">
        <f aca="false">Assumptions!K14</f>
        <v>17</v>
      </c>
      <c r="L7" s="4" t="n">
        <f aca="false">Assumptions!L14</f>
        <v>17</v>
      </c>
    </row>
    <row r="8" customFormat="false" ht="15" hidden="false" customHeight="false" outlineLevel="0" collapsed="false">
      <c r="A8" s="0" t="s">
        <v>43</v>
      </c>
      <c r="C8" s="0" t="n">
        <f aca="false">C6*C7/100</f>
        <v>3843.378</v>
      </c>
      <c r="D8" s="0" t="n">
        <f aca="false">D6*D7/100</f>
        <v>3030.77808</v>
      </c>
      <c r="E8" s="0" t="n">
        <f aca="false">E6*E7/100</f>
        <v>2812.56205824</v>
      </c>
      <c r="F8" s="0" t="n">
        <f aca="false">F6*F7/100</f>
        <v>3066.6624924672</v>
      </c>
      <c r="G8" s="0" t="n">
        <f aca="false">G6*G7/100</f>
        <v>3395.09215295078</v>
      </c>
      <c r="H8" s="0" t="n">
        <f aca="false">H6*H7/100</f>
        <v>3620.40281401025</v>
      </c>
      <c r="I8" s="0" t="n">
        <f aca="false">I6*I7/100</f>
        <v>3729.01489843055</v>
      </c>
      <c r="J8" s="0" t="n">
        <f aca="false">J6*J7/100</f>
        <v>3822.24027089132</v>
      </c>
      <c r="K8" s="0" t="n">
        <f aca="false">K6*K7/100</f>
        <v>3917.7962776636</v>
      </c>
      <c r="L8" s="0" t="n">
        <f aca="false">L6*L7/100</f>
        <v>4015.74118460519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</v>
      </c>
      <c r="D9" s="4" t="n">
        <f aca="false">Assumptions!D15</f>
        <v>1.1</v>
      </c>
      <c r="E9" s="4" t="n">
        <f aca="false">Assumptions!E15</f>
        <v>1.1</v>
      </c>
      <c r="F9" s="4" t="n">
        <f aca="false">Assumptions!F15</f>
        <v>1.05</v>
      </c>
      <c r="G9" s="4" t="n">
        <f aca="false">Assumptions!G15</f>
        <v>1</v>
      </c>
      <c r="H9" s="4" t="n">
        <f aca="false">Assumptions!H15</f>
        <v>1</v>
      </c>
      <c r="I9" s="4" t="n">
        <f aca="false">Assumptions!I15</f>
        <v>1</v>
      </c>
      <c r="J9" s="4" t="n">
        <f aca="false">Assumptions!J15</f>
        <v>1</v>
      </c>
      <c r="K9" s="4" t="n">
        <f aca="false">Assumptions!K15</f>
        <v>1</v>
      </c>
      <c r="L9" s="4" t="n">
        <f aca="false">Assumptions!L15</f>
        <v>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-219.6216</v>
      </c>
      <c r="D10" s="0" t="n">
        <f aca="false">-D6*D9/100</f>
        <v>-222.2570592</v>
      </c>
      <c r="E10" s="0" t="n">
        <f aca="false">-E6*E9/100</f>
        <v>-213.366776832</v>
      </c>
      <c r="F10" s="0" t="n">
        <f aca="false">-F6*F9/100</f>
        <v>-207.74165271552</v>
      </c>
      <c r="G10" s="0" t="n">
        <f aca="false">-G6*G9/100</f>
        <v>-205.763160784896</v>
      </c>
      <c r="H10" s="0" t="n">
        <f aca="false">-H6*H9/100</f>
        <v>-212.964871412367</v>
      </c>
      <c r="I10" s="0" t="n">
        <f aca="false">-I6*I9/100</f>
        <v>-219.353817554738</v>
      </c>
      <c r="J10" s="0" t="n">
        <f aca="false">-J6*J9/100</f>
        <v>-224.837662993607</v>
      </c>
      <c r="K10" s="0" t="n">
        <f aca="false">-K6*K9/100</f>
        <v>-230.458604568447</v>
      </c>
      <c r="L10" s="0" t="n">
        <f aca="false">-L6*L9/100</f>
        <v>-236.220069682658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3623.7564</v>
      </c>
      <c r="D11" s="0" t="n">
        <f aca="false">D8+D10+D24</f>
        <v>2808.5210208</v>
      </c>
      <c r="E11" s="0" t="n">
        <f aca="false">E8+E10+E24</f>
        <v>2599.195281408</v>
      </c>
      <c r="F11" s="0" t="n">
        <f aca="false">F8+F10+F24</f>
        <v>2858.92083975168</v>
      </c>
      <c r="G11" s="0" t="n">
        <f aca="false">G8+G10+G24</f>
        <v>3189.32899216589</v>
      </c>
      <c r="H11" s="0" t="n">
        <f aca="false">H8+H10+H24</f>
        <v>3407.43794259788</v>
      </c>
      <c r="I11" s="0" t="n">
        <f aca="false">I8+I10+I24</f>
        <v>3509.66108087581</v>
      </c>
      <c r="J11" s="0" t="n">
        <f aca="false">J8+J10+J24</f>
        <v>3597.40260789771</v>
      </c>
      <c r="K11" s="0" t="n">
        <f aca="false">K8+K10+K24</f>
        <v>3687.33767309515</v>
      </c>
      <c r="L11" s="0" t="n">
        <f aca="false">L8+L10+L24</f>
        <v>3779.52111492253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-1142.03232</v>
      </c>
      <c r="D12" s="4" t="n">
        <f aca="false">-D6*Assumptions!D17/100</f>
        <v>-1131.4904832</v>
      </c>
      <c r="E12" s="4" t="n">
        <f aca="false">-E6*Assumptions!E17/100</f>
        <v>-1125.024823296</v>
      </c>
      <c r="F12" s="4" t="n">
        <f aca="false">-F6*Assumptions!F17/100</f>
        <v>-1127.74040045568</v>
      </c>
      <c r="G12" s="4" t="n">
        <f aca="false">-G6*Assumptions!G17/100</f>
        <v>-1152.27370039542</v>
      </c>
      <c r="H12" s="4" t="n">
        <f aca="false">-H6*Assumptions!H17/100</f>
        <v>-1171.30679276802</v>
      </c>
      <c r="I12" s="4" t="n">
        <f aca="false">-I6*Assumptions!I17/100</f>
        <v>-1206.44599655106</v>
      </c>
      <c r="J12" s="4" t="n">
        <f aca="false">-J6*Assumptions!J17/100</f>
        <v>-1236.60714646484</v>
      </c>
      <c r="K12" s="4" t="n">
        <f aca="false">-K6*Assumptions!K17/100</f>
        <v>-1267.52232512646</v>
      </c>
      <c r="L12" s="4" t="n">
        <f aca="false">-L6*Assumptions!L17/100</f>
        <v>-1299.21038325462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2481.72408</v>
      </c>
      <c r="D13" s="0" t="n">
        <f aca="false">D11+D12</f>
        <v>1677.0305376</v>
      </c>
      <c r="E13" s="0" t="n">
        <f aca="false">E11+E12</f>
        <v>1474.170458112</v>
      </c>
      <c r="F13" s="0" t="n">
        <f aca="false">F11+F12</f>
        <v>1731.180439296</v>
      </c>
      <c r="G13" s="0" t="n">
        <f aca="false">G11+G12</f>
        <v>2037.05529177047</v>
      </c>
      <c r="H13" s="0" t="n">
        <f aca="false">H11+H12</f>
        <v>2236.13114982986</v>
      </c>
      <c r="I13" s="0" t="n">
        <f aca="false">I11+I12</f>
        <v>2303.21508432475</v>
      </c>
      <c r="J13" s="0" t="n">
        <f aca="false">J11+J12</f>
        <v>2360.79546143287</v>
      </c>
      <c r="K13" s="0" t="n">
        <f aca="false">K11+K12</f>
        <v>2419.81534796869</v>
      </c>
      <c r="L13" s="0" t="n">
        <f aca="false">L11+L12</f>
        <v>2480.31073166791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22</v>
      </c>
      <c r="D14" s="4" t="n">
        <f aca="false">Assumptions!D19</f>
        <v>22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1935.7447824</v>
      </c>
      <c r="D15" s="0" t="n">
        <f aca="false">D13-MAX(0,D13)*D14/100</f>
        <v>1308.083819328</v>
      </c>
      <c r="E15" s="0" t="n">
        <f aca="false">E13-MAX(0,E13)*E14/100</f>
        <v>1149.85295732736</v>
      </c>
      <c r="F15" s="0" t="n">
        <f aca="false">F13-MAX(0,F13)*F14/100</f>
        <v>1350.32074265088</v>
      </c>
      <c r="G15" s="0" t="n">
        <f aca="false">G13-MAX(0,G13)*G14/100</f>
        <v>1588.90312758097</v>
      </c>
      <c r="H15" s="0" t="n">
        <f aca="false">H13-MAX(0,H13)*H14/100</f>
        <v>1744.18229686729</v>
      </c>
      <c r="I15" s="0" t="n">
        <f aca="false">I13-MAX(0,I13)*I14/100</f>
        <v>1796.50776577331</v>
      </c>
      <c r="J15" s="0" t="n">
        <f aca="false">J13-MAX(0,J13)*J14/100</f>
        <v>1841.42045991764</v>
      </c>
      <c r="K15" s="0" t="n">
        <f aca="false">K13-MAX(0,K13)*K14/100</f>
        <v>1887.45597141558</v>
      </c>
      <c r="L15" s="0" t="n">
        <f aca="false">L13-MAX(0,L13)*L14/100</f>
        <v>1934.64237070097</v>
      </c>
    </row>
    <row r="16" customFormat="false" ht="15" hidden="false" customHeight="false" outlineLevel="0" collapsed="false">
      <c r="A16" s="0" t="s">
        <v>128</v>
      </c>
      <c r="C16" s="0" t="n">
        <f aca="false">-C12</f>
        <v>1142.03232</v>
      </c>
      <c r="D16" s="0" t="n">
        <f aca="false">-D12</f>
        <v>1131.4904832</v>
      </c>
      <c r="E16" s="0" t="n">
        <f aca="false">-E12</f>
        <v>1125.024823296</v>
      </c>
      <c r="F16" s="0" t="n">
        <f aca="false">-F12</f>
        <v>1127.74040045568</v>
      </c>
      <c r="G16" s="0" t="n">
        <f aca="false">-G12</f>
        <v>1152.27370039542</v>
      </c>
      <c r="H16" s="0" t="n">
        <f aca="false">-H12</f>
        <v>1171.30679276802</v>
      </c>
      <c r="I16" s="0" t="n">
        <f aca="false">-I12</f>
        <v>1206.44599655106</v>
      </c>
      <c r="J16" s="0" t="n">
        <f aca="false">-J12</f>
        <v>1236.60714646484</v>
      </c>
      <c r="K16" s="0" t="n">
        <f aca="false">-K12</f>
        <v>1267.52232512646</v>
      </c>
      <c r="L16" s="0" t="n">
        <f aca="false">-L12</f>
        <v>1299.21038325462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-1098.108</v>
      </c>
      <c r="D17" s="4" t="n">
        <f aca="false">-D6*Assumptions!D18/100</f>
        <v>-909.233424</v>
      </c>
      <c r="E17" s="4" t="n">
        <f aca="false">-E6*Assumptions!E18/100</f>
        <v>-872.86408704</v>
      </c>
      <c r="F17" s="4" t="n">
        <f aca="false">-F6*Assumptions!F18/100</f>
        <v>-989.245965312</v>
      </c>
      <c r="G17" s="4" t="n">
        <f aca="false">-G6*Assumptions!G18/100</f>
        <v>-1131.69738431693</v>
      </c>
      <c r="H17" s="4" t="n">
        <f aca="false">-H6*Assumptions!H18/100</f>
        <v>-1171.30679276802</v>
      </c>
      <c r="I17" s="4" t="n">
        <f aca="false">-I6*Assumptions!I18/100</f>
        <v>-1206.44599655106</v>
      </c>
      <c r="J17" s="4" t="n">
        <f aca="false">-J6*Assumptions!J18/100</f>
        <v>-1236.60714646484</v>
      </c>
      <c r="K17" s="4" t="n">
        <f aca="false">-K6*Assumptions!K18/100</f>
        <v>-1267.52232512646</v>
      </c>
      <c r="L17" s="4" t="n">
        <f aca="false">-L6*Assumptions!L18/100</f>
        <v>-1299.21038325462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33.276</v>
      </c>
      <c r="D18" s="4" t="n">
        <f aca="false">(D6-C6)*Assumptions!$B$23/100</f>
        <v>263.54592</v>
      </c>
      <c r="E18" s="4" t="n">
        <f aca="false">(E6-D6)*Assumptions!$B$23/100</f>
        <v>121.2311232</v>
      </c>
      <c r="F18" s="4" t="n">
        <f aca="false">(F6-E6)*Assumptions!$B$23/100</f>
        <v>-58.1909391360001</v>
      </c>
      <c r="G18" s="4" t="n">
        <f aca="false">(G6-F6)*Assumptions!$B$23/100</f>
        <v>-118.70951583744</v>
      </c>
      <c r="H18" s="4" t="n">
        <f aca="false">(H6-G6)*Assumptions!$B$23/100</f>
        <v>-108.02565941207</v>
      </c>
      <c r="I18" s="4" t="n">
        <f aca="false">(I6-H6)*Assumptions!$B$23/100</f>
        <v>-95.8341921355654</v>
      </c>
      <c r="J18" s="4" t="n">
        <f aca="false">(J6-I6)*Assumptions!$B$23/100</f>
        <v>-82.2576815830267</v>
      </c>
      <c r="K18" s="4" t="n">
        <f aca="false">(K6-J6)*Assumptions!$B$23/100</f>
        <v>-84.3141236226022</v>
      </c>
      <c r="L18" s="4" t="n">
        <f aca="false">(L6-K6)*Assumptions!$B$23/100</f>
        <v>-86.4219767131675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2012.9451024</v>
      </c>
      <c r="D19" s="0" t="n">
        <f aca="false">D15+D16+D17+D18</f>
        <v>1793.886798528</v>
      </c>
      <c r="E19" s="0" t="n">
        <f aca="false">E15+E16+E17+E18</f>
        <v>1523.24481678336</v>
      </c>
      <c r="F19" s="0" t="n">
        <f aca="false">F15+F16+F17+F18</f>
        <v>1430.62423865856</v>
      </c>
      <c r="G19" s="0" t="n">
        <f aca="false">G15+G16+G17+G18</f>
        <v>1490.76992782202</v>
      </c>
      <c r="H19" s="0" t="n">
        <f aca="false">H15+H16+H17+H18</f>
        <v>1636.15663745522</v>
      </c>
      <c r="I19" s="0" t="n">
        <f aca="false">I15+I16+I17+I18</f>
        <v>1700.67357363774</v>
      </c>
      <c r="J19" s="0" t="n">
        <f aca="false">J15+J16+J17+J18</f>
        <v>1759.16277833461</v>
      </c>
      <c r="K19" s="0" t="n">
        <f aca="false">K15+K16+K17+K18</f>
        <v>1803.14184779298</v>
      </c>
      <c r="L19" s="0" t="n">
        <f aca="false">L15+L16+L17+L18</f>
        <v>1848.2203939878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1846.73862605505</v>
      </c>
      <c r="D21" s="0" t="n">
        <f aca="false">D19*D20</f>
        <v>1509.87862850602</v>
      </c>
      <c r="E21" s="0" t="n">
        <f aca="false">E19*E20</f>
        <v>1176.22448360875</v>
      </c>
      <c r="F21" s="0" t="n">
        <f aca="false">F19*F20</f>
        <v>1013.49027822668</v>
      </c>
      <c r="G21" s="0" t="n">
        <f aca="false">G19*G20</f>
        <v>968.898165841247</v>
      </c>
      <c r="H21" s="0" t="n">
        <f aca="false">H19*H20</f>
        <v>975.586744571109</v>
      </c>
      <c r="I21" s="0" t="n">
        <f aca="false">I19*I20</f>
        <v>930.326684079908</v>
      </c>
      <c r="J21" s="0" t="n">
        <f aca="false">J19*J20</f>
        <v>882.864478901602</v>
      </c>
      <c r="K21" s="0" t="n">
        <f aca="false">K19*K20</f>
        <v>830.216597132241</v>
      </c>
      <c r="L21" s="0" t="n">
        <f aca="false">L19*L20</f>
        <v>780.708267945456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10914.9329548681</v>
      </c>
    </row>
    <row r="31" customFormat="false" ht="15" hidden="false" customHeight="false" outlineLevel="0" collapsed="false">
      <c r="A31" s="0" t="s">
        <v>137</v>
      </c>
      <c r="B31" s="0" t="n">
        <f aca="false">L19</f>
        <v>1848.2203939878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26931.2114552508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22178.6447278536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22178.6447278536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9368.49921534547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20283.4321702135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15128.4321702135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18.0530216828324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-0.443323414035388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1399.92462709073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1453.96497777714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21.4586178700255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14501.4215528274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8.33919300333725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0</v>
      </c>
      <c r="D5" s="4" t="n">
        <f aca="false">Assumptions!D27</f>
        <v>2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22184</v>
      </c>
      <c r="C6" s="0" t="n">
        <f aca="false">B6*(1+C5/100)</f>
        <v>22184</v>
      </c>
      <c r="D6" s="0" t="n">
        <f aca="false">C6*(1+D5/100)</f>
        <v>22627.68</v>
      </c>
      <c r="E6" s="0" t="n">
        <f aca="false">D6*(1+E5/100)</f>
        <v>23532.7872</v>
      </c>
      <c r="F6" s="0" t="n">
        <f aca="false">E6*(1+F5/100)</f>
        <v>24474.098688</v>
      </c>
      <c r="G6" s="0" t="n">
        <f aca="false">F6*(1+G5/100)</f>
        <v>25330.69214208</v>
      </c>
      <c r="H6" s="0" t="n">
        <f aca="false">G6*(1+H5/100)</f>
        <v>26090.6129063424</v>
      </c>
      <c r="I6" s="0" t="n">
        <f aca="false">H6*(1+I5/100)</f>
        <v>26873.3312935327</v>
      </c>
      <c r="J6" s="0" t="n">
        <f aca="false">I6*(1+J5/100)</f>
        <v>27545.164575871</v>
      </c>
      <c r="K6" s="0" t="n">
        <f aca="false">J6*(1+K5/100)</f>
        <v>28233.7936902678</v>
      </c>
      <c r="L6" s="0" t="n">
        <f aca="false">K6*(1+L5/100)</f>
        <v>28939.6385325245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18</v>
      </c>
      <c r="D7" s="4" t="n">
        <f aca="false">Assumptions!D28</f>
        <v>18.5</v>
      </c>
      <c r="E7" s="4" t="n">
        <f aca="false">Assumptions!E28</f>
        <v>19</v>
      </c>
      <c r="F7" s="4" t="n">
        <f aca="false">Assumptions!F28</f>
        <v>19.5</v>
      </c>
      <c r="G7" s="4" t="n">
        <f aca="false">Assumptions!G28</f>
        <v>19.5</v>
      </c>
      <c r="H7" s="4" t="n">
        <f aca="false">Assumptions!H28</f>
        <v>19.5</v>
      </c>
      <c r="I7" s="4" t="n">
        <f aca="false">Assumptions!I28</f>
        <v>19.5</v>
      </c>
      <c r="J7" s="4" t="n">
        <f aca="false">Assumptions!J28</f>
        <v>19.5</v>
      </c>
      <c r="K7" s="4" t="n">
        <f aca="false">Assumptions!K28</f>
        <v>19.5</v>
      </c>
      <c r="L7" s="4" t="n">
        <f aca="false">Assumptions!L28</f>
        <v>19.5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3993.12</v>
      </c>
      <c r="D8" s="0" t="n">
        <f aca="false">D6*D7/100</f>
        <v>4186.1208</v>
      </c>
      <c r="E8" s="0" t="n">
        <f aca="false">E6*E7/100</f>
        <v>4471.229568</v>
      </c>
      <c r="F8" s="0" t="n">
        <f aca="false">F6*F7/100</f>
        <v>4772.44924416</v>
      </c>
      <c r="G8" s="0" t="n">
        <f aca="false">G6*G7/100</f>
        <v>4939.4849677056</v>
      </c>
      <c r="H8" s="0" t="n">
        <f aca="false">H6*H7/100</f>
        <v>5087.66951673677</v>
      </c>
      <c r="I8" s="0" t="n">
        <f aca="false">I6*I7/100</f>
        <v>5240.29960223887</v>
      </c>
      <c r="J8" s="0" t="n">
        <f aca="false">J6*J7/100</f>
        <v>5371.30709229484</v>
      </c>
      <c r="K8" s="0" t="n">
        <f aca="false">K6*K7/100</f>
        <v>5505.58976960221</v>
      </c>
      <c r="L8" s="0" t="n">
        <f aca="false">L6*L7/100</f>
        <v>5643.22951384227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0.95</v>
      </c>
      <c r="D9" s="4" t="n">
        <f aca="false">Assumptions!D29</f>
        <v>0.95</v>
      </c>
      <c r="E9" s="4" t="n">
        <f aca="false">Assumptions!E29</f>
        <v>0.95</v>
      </c>
      <c r="F9" s="4" t="n">
        <f aca="false">Assumptions!F29</f>
        <v>0.95</v>
      </c>
      <c r="G9" s="4" t="n">
        <f aca="false">Assumptions!G29</f>
        <v>0.95</v>
      </c>
      <c r="H9" s="4" t="n">
        <f aca="false">Assumptions!H29</f>
        <v>0.95</v>
      </c>
      <c r="I9" s="4" t="n">
        <f aca="false">Assumptions!I29</f>
        <v>0.95</v>
      </c>
      <c r="J9" s="4" t="n">
        <f aca="false">Assumptions!J29</f>
        <v>0.95</v>
      </c>
      <c r="K9" s="4" t="n">
        <f aca="false">Assumptions!K29</f>
        <v>0.95</v>
      </c>
      <c r="L9" s="4" t="n">
        <f aca="false">Assumptions!L29</f>
        <v>0.95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-210.748</v>
      </c>
      <c r="D10" s="0" t="n">
        <f aca="false">-D6*D9/100</f>
        <v>-214.96296</v>
      </c>
      <c r="E10" s="0" t="n">
        <f aca="false">-E6*E9/100</f>
        <v>-223.5614784</v>
      </c>
      <c r="F10" s="0" t="n">
        <f aca="false">-F6*F9/100</f>
        <v>-232.503937536</v>
      </c>
      <c r="G10" s="0" t="n">
        <f aca="false">-G6*G9/100</f>
        <v>-240.64157534976</v>
      </c>
      <c r="H10" s="0" t="n">
        <f aca="false">-H6*H9/100</f>
        <v>-247.860822610253</v>
      </c>
      <c r="I10" s="0" t="n">
        <f aca="false">-I6*I9/100</f>
        <v>-255.29664728856</v>
      </c>
      <c r="J10" s="0" t="n">
        <f aca="false">-J6*J9/100</f>
        <v>-261.679063470774</v>
      </c>
      <c r="K10" s="0" t="n">
        <f aca="false">-K6*K9/100</f>
        <v>-268.221040057544</v>
      </c>
      <c r="L10" s="0" t="n">
        <f aca="false">-L6*L9/100</f>
        <v>-274.926566058982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3782.372</v>
      </c>
      <c r="D11" s="0" t="n">
        <f aca="false">D8+D10+D24</f>
        <v>3971.15784</v>
      </c>
      <c r="E11" s="0" t="n">
        <f aca="false">E8+E10+E24</f>
        <v>4247.6680896</v>
      </c>
      <c r="F11" s="0" t="n">
        <f aca="false">F8+F10+F24</f>
        <v>4539.945306624</v>
      </c>
      <c r="G11" s="0" t="n">
        <f aca="false">G8+G10+G24</f>
        <v>4698.84339235584</v>
      </c>
      <c r="H11" s="0" t="n">
        <f aca="false">H8+H10+H24</f>
        <v>4839.80869412652</v>
      </c>
      <c r="I11" s="0" t="n">
        <f aca="false">I8+I10+I24</f>
        <v>4985.00295495031</v>
      </c>
      <c r="J11" s="0" t="n">
        <f aca="false">J8+J10+J24</f>
        <v>5109.62802882407</v>
      </c>
      <c r="K11" s="0" t="n">
        <f aca="false">K8+K10+K24</f>
        <v>5237.36872954467</v>
      </c>
      <c r="L11" s="0" t="n">
        <f aca="false">L8+L10+L24</f>
        <v>5368.30294778329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-1153.568</v>
      </c>
      <c r="D12" s="4" t="n">
        <f aca="false">-D6*Assumptions!D31/100</f>
        <v>-1199.26704</v>
      </c>
      <c r="E12" s="4" t="n">
        <f aca="false">-E6*Assumptions!E31/100</f>
        <v>-1247.2377216</v>
      </c>
      <c r="F12" s="4" t="n">
        <f aca="false">-F6*Assumptions!F31/100</f>
        <v>-1297.127230464</v>
      </c>
      <c r="G12" s="4" t="n">
        <f aca="false">-G6*Assumptions!G31/100</f>
        <v>-1342.52668353024</v>
      </c>
      <c r="H12" s="4" t="n">
        <f aca="false">-H6*Assumptions!H31/100</f>
        <v>-1382.80248403615</v>
      </c>
      <c r="I12" s="4" t="n">
        <f aca="false">-I6*Assumptions!I31/100</f>
        <v>-1424.28655855723</v>
      </c>
      <c r="J12" s="4" t="n">
        <f aca="false">-J6*Assumptions!J31/100</f>
        <v>-1459.89372252116</v>
      </c>
      <c r="K12" s="4" t="n">
        <f aca="false">-K6*Assumptions!K31/100</f>
        <v>-1496.39106558419</v>
      </c>
      <c r="L12" s="4" t="n">
        <f aca="false">-L6*Assumptions!L31/100</f>
        <v>-1533.8008422238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2628.804</v>
      </c>
      <c r="D13" s="0" t="n">
        <f aca="false">D11+D12</f>
        <v>2771.8908</v>
      </c>
      <c r="E13" s="0" t="n">
        <f aca="false">E11+E12</f>
        <v>3000.430368</v>
      </c>
      <c r="F13" s="0" t="n">
        <f aca="false">F11+F12</f>
        <v>3242.81807616</v>
      </c>
      <c r="G13" s="0" t="n">
        <f aca="false">G11+G12</f>
        <v>3356.3167088256</v>
      </c>
      <c r="H13" s="0" t="n">
        <f aca="false">H11+H12</f>
        <v>3457.00621009037</v>
      </c>
      <c r="I13" s="0" t="n">
        <f aca="false">I11+I12</f>
        <v>3560.71639639308</v>
      </c>
      <c r="J13" s="0" t="n">
        <f aca="false">J11+J12</f>
        <v>3649.73430630291</v>
      </c>
      <c r="K13" s="0" t="n">
        <f aca="false">K11+K12</f>
        <v>3740.97766396048</v>
      </c>
      <c r="L13" s="0" t="n">
        <f aca="false">L11+L12</f>
        <v>3834.50210555949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2050.46712</v>
      </c>
      <c r="D15" s="0" t="n">
        <f aca="false">D13-MAX(0,D13)*D14/100</f>
        <v>2162.074824</v>
      </c>
      <c r="E15" s="0" t="n">
        <f aca="false">E13-MAX(0,E13)*E14/100</f>
        <v>2340.33568704</v>
      </c>
      <c r="F15" s="0" t="n">
        <f aca="false">F13-MAX(0,F13)*F14/100</f>
        <v>2529.3980994048</v>
      </c>
      <c r="G15" s="0" t="n">
        <f aca="false">G13-MAX(0,G13)*G14/100</f>
        <v>2617.92703288397</v>
      </c>
      <c r="H15" s="0" t="n">
        <f aca="false">H13-MAX(0,H13)*H14/100</f>
        <v>2696.46484387049</v>
      </c>
      <c r="I15" s="0" t="n">
        <f aca="false">I13-MAX(0,I13)*I14/100</f>
        <v>2777.3587891866</v>
      </c>
      <c r="J15" s="0" t="n">
        <f aca="false">J13-MAX(0,J13)*J14/100</f>
        <v>2846.79275891627</v>
      </c>
      <c r="K15" s="0" t="n">
        <f aca="false">K13-MAX(0,K13)*K14/100</f>
        <v>2917.96257788917</v>
      </c>
      <c r="L15" s="0" t="n">
        <f aca="false">L13-MAX(0,L13)*L14/100</f>
        <v>2990.9116423364</v>
      </c>
    </row>
    <row r="16" customFormat="false" ht="15" hidden="false" customHeight="false" outlineLevel="0" collapsed="false">
      <c r="A16" s="0" t="s">
        <v>128</v>
      </c>
      <c r="C16" s="0" t="n">
        <f aca="false">-C12</f>
        <v>1153.568</v>
      </c>
      <c r="D16" s="0" t="n">
        <f aca="false">-D12</f>
        <v>1199.26704</v>
      </c>
      <c r="E16" s="0" t="n">
        <f aca="false">-E12</f>
        <v>1247.2377216</v>
      </c>
      <c r="F16" s="0" t="n">
        <f aca="false">-F12</f>
        <v>1297.127230464</v>
      </c>
      <c r="G16" s="0" t="n">
        <f aca="false">-G12</f>
        <v>1342.52668353024</v>
      </c>
      <c r="H16" s="0" t="n">
        <f aca="false">-H12</f>
        <v>1382.80248403615</v>
      </c>
      <c r="I16" s="0" t="n">
        <f aca="false">-I12</f>
        <v>1424.28655855723</v>
      </c>
      <c r="J16" s="0" t="n">
        <f aca="false">-J12</f>
        <v>1459.89372252116</v>
      </c>
      <c r="K16" s="0" t="n">
        <f aca="false">-K12</f>
        <v>1496.39106558419</v>
      </c>
      <c r="L16" s="0" t="n">
        <f aca="false">-L12</f>
        <v>1533.8008422238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-1109.2</v>
      </c>
      <c r="D17" s="4" t="n">
        <f aca="false">-D6*Assumptions!D32/100</f>
        <v>-1199.26704</v>
      </c>
      <c r="E17" s="4" t="n">
        <f aca="false">-E6*Assumptions!E32/100</f>
        <v>-1294.303296</v>
      </c>
      <c r="F17" s="4" t="n">
        <f aca="false">-F6*Assumptions!F32/100</f>
        <v>-1346.07542784</v>
      </c>
      <c r="G17" s="4" t="n">
        <f aca="false">-G6*Assumptions!G32/100</f>
        <v>-1393.1880678144</v>
      </c>
      <c r="H17" s="4" t="n">
        <f aca="false">-H6*Assumptions!H32/100</f>
        <v>-1434.98370984883</v>
      </c>
      <c r="I17" s="4" t="n">
        <f aca="false">-I6*Assumptions!I32/100</f>
        <v>-1478.0332211443</v>
      </c>
      <c r="J17" s="4" t="n">
        <f aca="false">-J6*Assumptions!J32/100</f>
        <v>-1514.9840516729</v>
      </c>
      <c r="K17" s="4" t="n">
        <f aca="false">-K6*Assumptions!K32/100</f>
        <v>-1552.85865296473</v>
      </c>
      <c r="L17" s="4" t="n">
        <f aca="false">-L6*Assumptions!L32/100</f>
        <v>-1591.68011928885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-0</v>
      </c>
      <c r="D18" s="4" t="n">
        <f aca="false">(D6-C6)*Assumptions!$B$37/100</f>
        <v>-66.5520000000001</v>
      </c>
      <c r="E18" s="4" t="n">
        <f aca="false">(E6-D6)*Assumptions!$B$37/100</f>
        <v>-135.76608</v>
      </c>
      <c r="F18" s="4" t="n">
        <f aca="false">(F6-E6)*Assumptions!$B$37/100</f>
        <v>-141.1967232</v>
      </c>
      <c r="G18" s="4" t="n">
        <f aca="false">(G6-F6)*Assumptions!$B$37/100</f>
        <v>-128.489018112</v>
      </c>
      <c r="H18" s="4" t="n">
        <f aca="false">(H6-G6)*Assumptions!$B$37/100</f>
        <v>-113.98811463936</v>
      </c>
      <c r="I18" s="4" t="n">
        <f aca="false">(I6-H6)*Assumptions!$B$37/100</f>
        <v>-117.407758078541</v>
      </c>
      <c r="J18" s="4" t="n">
        <f aca="false">(J6-I6)*Assumptions!$B$37/100</f>
        <v>-100.774992350747</v>
      </c>
      <c r="K18" s="4" t="n">
        <f aca="false">(K6-J6)*Assumptions!$B$37/100</f>
        <v>-103.294367159516</v>
      </c>
      <c r="L18" s="4" t="n">
        <f aca="false">(L6-K6)*Assumptions!$B$37/100</f>
        <v>-105.876726338504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2094.83512</v>
      </c>
      <c r="D19" s="0" t="n">
        <f aca="false">D15+D16+D17+D18</f>
        <v>2095.522824</v>
      </c>
      <c r="E19" s="0" t="n">
        <f aca="false">E15+E16+E17+E18</f>
        <v>2157.50403264</v>
      </c>
      <c r="F19" s="0" t="n">
        <f aca="false">F15+F16+F17+F18</f>
        <v>2339.2531788288</v>
      </c>
      <c r="G19" s="0" t="n">
        <f aca="false">G15+G16+G17+G18</f>
        <v>2438.77663048781</v>
      </c>
      <c r="H19" s="0" t="n">
        <f aca="false">H15+H16+H17+H18</f>
        <v>2530.29550341844</v>
      </c>
      <c r="I19" s="0" t="n">
        <f aca="false">I15+I16+I17+I18</f>
        <v>2606.204368521</v>
      </c>
      <c r="J19" s="0" t="n">
        <f aca="false">J15+J16+J17+J18</f>
        <v>2690.92743741378</v>
      </c>
      <c r="K19" s="0" t="n">
        <f aca="false">K15+K16+K17+K18</f>
        <v>2758.20062334912</v>
      </c>
      <c r="L19" s="0" t="n">
        <f aca="false">L15+L16+L17+L18</f>
        <v>2827.15563893285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1921.86708256881</v>
      </c>
      <c r="D21" s="0" t="n">
        <f aca="false">D19*D20</f>
        <v>1763.75963639424</v>
      </c>
      <c r="E21" s="0" t="n">
        <f aca="false">E19*E20</f>
        <v>1665.98897216974</v>
      </c>
      <c r="F21" s="0" t="n">
        <f aca="false">F19*F20</f>
        <v>1657.18592694672</v>
      </c>
      <c r="G21" s="0" t="n">
        <f aca="false">G19*G20</f>
        <v>1585.03747632495</v>
      </c>
      <c r="H21" s="0" t="n">
        <f aca="false">H19*H20</f>
        <v>1508.73253603781</v>
      </c>
      <c r="I21" s="0" t="n">
        <f aca="false">I19*I20</f>
        <v>1425.68303864124</v>
      </c>
      <c r="J21" s="0" t="n">
        <f aca="false">J19*J20</f>
        <v>1350.48574188423</v>
      </c>
      <c r="K21" s="0" t="n">
        <f aca="false">K19*K20</f>
        <v>1269.95218846911</v>
      </c>
      <c r="L21" s="0" t="n">
        <f aca="false">L19*L20</f>
        <v>1194.22109466132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15342.9136940982</v>
      </c>
    </row>
    <row r="31" customFormat="false" ht="15" hidden="false" customHeight="false" outlineLevel="0" collapsed="false">
      <c r="A31" s="0" t="s">
        <v>137</v>
      </c>
      <c r="B31" s="0" t="n">
        <f aca="false">L19</f>
        <v>2827.15563893285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44582.0696908642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36753.023306127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36753.023306127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15524.8742305972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30867.7879246954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25712.7879246954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30.683517809899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-0.0538539065711073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1526.42304315325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1831.31156032595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34.6903610121415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23182.6762392494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14.7808165686383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</v>
      </c>
      <c r="D5" s="4" t="n">
        <f aca="false">Assumptions!D41</f>
        <v>6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22184</v>
      </c>
      <c r="C6" s="0" t="n">
        <f aca="false">B6*(1+C5/100)</f>
        <v>22405.84</v>
      </c>
      <c r="D6" s="0" t="n">
        <f aca="false">C6*(1+D5/100)</f>
        <v>23750.1904</v>
      </c>
      <c r="E6" s="0" t="n">
        <f aca="false">D6*(1+E5/100)</f>
        <v>25412.703728</v>
      </c>
      <c r="F6" s="0" t="n">
        <f aca="false">E6*(1+F5/100)</f>
        <v>26937.46595168</v>
      </c>
      <c r="G6" s="0" t="n">
        <f aca="false">F6*(1+G5/100)</f>
        <v>28284.339249264</v>
      </c>
      <c r="H6" s="0" t="n">
        <f aca="false">G6*(1+H5/100)</f>
        <v>29415.7128192346</v>
      </c>
      <c r="I6" s="0" t="n">
        <f aca="false">H6*(1+I5/100)</f>
        <v>30445.2627679078</v>
      </c>
      <c r="J6" s="0" t="n">
        <f aca="false">I6*(1+J5/100)</f>
        <v>31358.620650945</v>
      </c>
      <c r="K6" s="0" t="n">
        <f aca="false">J6*(1+K5/100)</f>
        <v>32299.3792704734</v>
      </c>
      <c r="L6" s="0" t="n">
        <f aca="false">K6*(1+L5/100)</f>
        <v>33268.3606485876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18.5</v>
      </c>
      <c r="D7" s="4" t="n">
        <f aca="false">Assumptions!D42</f>
        <v>19.5</v>
      </c>
      <c r="E7" s="4" t="n">
        <f aca="false">Assumptions!E42</f>
        <v>20.5</v>
      </c>
      <c r="F7" s="4" t="n">
        <f aca="false">Assumptions!F42</f>
        <v>21.5</v>
      </c>
      <c r="G7" s="4" t="n">
        <f aca="false">Assumptions!G42</f>
        <v>22</v>
      </c>
      <c r="H7" s="4" t="n">
        <f aca="false">Assumptions!H42</f>
        <v>22</v>
      </c>
      <c r="I7" s="4" t="n">
        <f aca="false">Assumptions!I42</f>
        <v>22</v>
      </c>
      <c r="J7" s="4" t="n">
        <f aca="false">Assumptions!J42</f>
        <v>22</v>
      </c>
      <c r="K7" s="4" t="n">
        <f aca="false">Assumptions!K42</f>
        <v>22</v>
      </c>
      <c r="L7" s="4" t="n">
        <f aca="false">Assumptions!L42</f>
        <v>22</v>
      </c>
    </row>
    <row r="8" customFormat="false" ht="15" hidden="false" customHeight="false" outlineLevel="0" collapsed="false">
      <c r="A8" s="0" t="s">
        <v>43</v>
      </c>
      <c r="C8" s="0" t="n">
        <f aca="false">C6*C7/100</f>
        <v>4145.0804</v>
      </c>
      <c r="D8" s="0" t="n">
        <f aca="false">D6*D7/100</f>
        <v>4631.287128</v>
      </c>
      <c r="E8" s="0" t="n">
        <f aca="false">E6*E7/100</f>
        <v>5209.60426424</v>
      </c>
      <c r="F8" s="0" t="n">
        <f aca="false">F6*F7/100</f>
        <v>5791.5551796112</v>
      </c>
      <c r="G8" s="0" t="n">
        <f aca="false">G6*G7/100</f>
        <v>6222.55463483808</v>
      </c>
      <c r="H8" s="0" t="n">
        <f aca="false">H6*H7/100</f>
        <v>6471.45682023161</v>
      </c>
      <c r="I8" s="0" t="n">
        <f aca="false">I6*I7/100</f>
        <v>6697.95780893971</v>
      </c>
      <c r="J8" s="0" t="n">
        <f aca="false">J6*J7/100</f>
        <v>6898.8965432079</v>
      </c>
      <c r="K8" s="0" t="n">
        <f aca="false">K6*K7/100</f>
        <v>7105.86343950414</v>
      </c>
      <c r="L8" s="0" t="n">
        <f aca="false">L6*L7/100</f>
        <v>7319.03934268926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0.95</v>
      </c>
      <c r="D9" s="4" t="n">
        <f aca="false">Assumptions!D43</f>
        <v>0.95</v>
      </c>
      <c r="E9" s="4" t="n">
        <f aca="false">Assumptions!E43</f>
        <v>0.95</v>
      </c>
      <c r="F9" s="4" t="n">
        <f aca="false">Assumptions!F43</f>
        <v>0.95</v>
      </c>
      <c r="G9" s="4" t="n">
        <f aca="false">Assumptions!G43</f>
        <v>0.95</v>
      </c>
      <c r="H9" s="4" t="n">
        <f aca="false">Assumptions!H43</f>
        <v>0.95</v>
      </c>
      <c r="I9" s="4" t="n">
        <f aca="false">Assumptions!I43</f>
        <v>0.95</v>
      </c>
      <c r="J9" s="4" t="n">
        <f aca="false">Assumptions!J43</f>
        <v>0.95</v>
      </c>
      <c r="K9" s="4" t="n">
        <f aca="false">Assumptions!K43</f>
        <v>0.95</v>
      </c>
      <c r="L9" s="4" t="n">
        <f aca="false">Assumptions!L43</f>
        <v>0.95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-212.85548</v>
      </c>
      <c r="D10" s="0" t="n">
        <f aca="false">-D6*D9/100</f>
        <v>-225.6268088</v>
      </c>
      <c r="E10" s="0" t="n">
        <f aca="false">-E6*E9/100</f>
        <v>-241.420685416</v>
      </c>
      <c r="F10" s="0" t="n">
        <f aca="false">-F6*F9/100</f>
        <v>-255.90592654096</v>
      </c>
      <c r="G10" s="0" t="n">
        <f aca="false">-G6*G9/100</f>
        <v>-268.701222868008</v>
      </c>
      <c r="H10" s="0" t="n">
        <f aca="false">-H6*H9/100</f>
        <v>-279.449271782728</v>
      </c>
      <c r="I10" s="0" t="n">
        <f aca="false">-I6*I9/100</f>
        <v>-289.229996295124</v>
      </c>
      <c r="J10" s="0" t="n">
        <f aca="false">-J6*J9/100</f>
        <v>-297.906896183978</v>
      </c>
      <c r="K10" s="0" t="n">
        <f aca="false">-K6*K9/100</f>
        <v>-306.844103069497</v>
      </c>
      <c r="L10" s="0" t="n">
        <f aca="false">-L6*L9/100</f>
        <v>-316.049426161582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3932.22492</v>
      </c>
      <c r="D11" s="0" t="n">
        <f aca="false">D8+D10+D24</f>
        <v>4405.6603192</v>
      </c>
      <c r="E11" s="0" t="n">
        <f aca="false">E8+E10+E24</f>
        <v>4968.183578824</v>
      </c>
      <c r="F11" s="0" t="n">
        <f aca="false">F8+F10+F24</f>
        <v>5535.64925307024</v>
      </c>
      <c r="G11" s="0" t="n">
        <f aca="false">G8+G10+G24</f>
        <v>5953.85341197007</v>
      </c>
      <c r="H11" s="0" t="n">
        <f aca="false">H8+H10+H24</f>
        <v>6192.00754844888</v>
      </c>
      <c r="I11" s="0" t="n">
        <f aca="false">I8+I10+I24</f>
        <v>6408.72781264459</v>
      </c>
      <c r="J11" s="0" t="n">
        <f aca="false">J8+J10+J24</f>
        <v>6600.98964702393</v>
      </c>
      <c r="K11" s="0" t="n">
        <f aca="false">K8+K10+K24</f>
        <v>6799.01933643464</v>
      </c>
      <c r="L11" s="0" t="n">
        <f aca="false">L8+L10+L24</f>
        <v>7002.98991652768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-1165.10368</v>
      </c>
      <c r="D12" s="4" t="n">
        <f aca="false">-D6*Assumptions!D45/100</f>
        <v>-1258.7600912</v>
      </c>
      <c r="E12" s="4" t="n">
        <f aca="false">-E6*Assumptions!E45/100</f>
        <v>-1346.873297584</v>
      </c>
      <c r="F12" s="4" t="n">
        <f aca="false">-F6*Assumptions!F45/100</f>
        <v>-1427.68569543904</v>
      </c>
      <c r="G12" s="4" t="n">
        <f aca="false">-G6*Assumptions!G45/100</f>
        <v>-1499.06998021099</v>
      </c>
      <c r="H12" s="4" t="n">
        <f aca="false">-H6*Assumptions!H45/100</f>
        <v>-1559.03277941943</v>
      </c>
      <c r="I12" s="4" t="n">
        <f aca="false">-I6*Assumptions!I45/100</f>
        <v>-1613.59892669911</v>
      </c>
      <c r="J12" s="4" t="n">
        <f aca="false">-J6*Assumptions!J45/100</f>
        <v>-1662.00689450009</v>
      </c>
      <c r="K12" s="4" t="n">
        <f aca="false">-K6*Assumptions!K45/100</f>
        <v>-1711.86710133509</v>
      </c>
      <c r="L12" s="4" t="n">
        <f aca="false">-L6*Assumptions!L45/100</f>
        <v>-1763.22311437514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2767.12124</v>
      </c>
      <c r="D13" s="0" t="n">
        <f aca="false">D11+D12</f>
        <v>3146.900228</v>
      </c>
      <c r="E13" s="0" t="n">
        <f aca="false">E11+E12</f>
        <v>3621.31028124</v>
      </c>
      <c r="F13" s="0" t="n">
        <f aca="false">F11+F12</f>
        <v>4107.9635576312</v>
      </c>
      <c r="G13" s="0" t="n">
        <f aca="false">G11+G12</f>
        <v>4454.78343175908</v>
      </c>
      <c r="H13" s="0" t="n">
        <f aca="false">H11+H12</f>
        <v>4632.97476902945</v>
      </c>
      <c r="I13" s="0" t="n">
        <f aca="false">I11+I12</f>
        <v>4795.12888594548</v>
      </c>
      <c r="J13" s="0" t="n">
        <f aca="false">J11+J12</f>
        <v>4938.98275252384</v>
      </c>
      <c r="K13" s="0" t="n">
        <f aca="false">K11+K12</f>
        <v>5087.15223509956</v>
      </c>
      <c r="L13" s="0" t="n">
        <f aca="false">L11+L12</f>
        <v>5239.76680215254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22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2158.3545672</v>
      </c>
      <c r="D15" s="0" t="n">
        <f aca="false">D13-MAX(0,D13)*D14/100</f>
        <v>2454.58217784</v>
      </c>
      <c r="E15" s="0" t="n">
        <f aca="false">E13-MAX(0,E13)*E14/100</f>
        <v>2824.6220193672</v>
      </c>
      <c r="F15" s="0" t="n">
        <f aca="false">F13-MAX(0,F13)*F14/100</f>
        <v>3204.21157495234</v>
      </c>
      <c r="G15" s="0" t="n">
        <f aca="false">G13-MAX(0,G13)*G14/100</f>
        <v>3474.73107677208</v>
      </c>
      <c r="H15" s="0" t="n">
        <f aca="false">H13-MAX(0,H13)*H14/100</f>
        <v>3613.72031984297</v>
      </c>
      <c r="I15" s="0" t="n">
        <f aca="false">I13-MAX(0,I13)*I14/100</f>
        <v>3740.20053103747</v>
      </c>
      <c r="J15" s="0" t="n">
        <f aca="false">J13-MAX(0,J13)*J14/100</f>
        <v>3852.40654696859</v>
      </c>
      <c r="K15" s="0" t="n">
        <f aca="false">K13-MAX(0,K13)*K14/100</f>
        <v>3967.97874337765</v>
      </c>
      <c r="L15" s="0" t="n">
        <f aca="false">L13-MAX(0,L13)*L14/100</f>
        <v>4087.01810567898</v>
      </c>
    </row>
    <row r="16" customFormat="false" ht="15" hidden="false" customHeight="false" outlineLevel="0" collapsed="false">
      <c r="A16" s="0" t="s">
        <v>128</v>
      </c>
      <c r="C16" s="0" t="n">
        <f aca="false">-C12</f>
        <v>1165.10368</v>
      </c>
      <c r="D16" s="0" t="n">
        <f aca="false">-D12</f>
        <v>1258.7600912</v>
      </c>
      <c r="E16" s="0" t="n">
        <f aca="false">-E12</f>
        <v>1346.873297584</v>
      </c>
      <c r="F16" s="0" t="n">
        <f aca="false">-F12</f>
        <v>1427.68569543904</v>
      </c>
      <c r="G16" s="0" t="n">
        <f aca="false">-G12</f>
        <v>1499.06998021099</v>
      </c>
      <c r="H16" s="0" t="n">
        <f aca="false">-H12</f>
        <v>1559.03277941943</v>
      </c>
      <c r="I16" s="0" t="n">
        <f aca="false">-I12</f>
        <v>1613.59892669911</v>
      </c>
      <c r="J16" s="0" t="n">
        <f aca="false">-J12</f>
        <v>1662.00689450009</v>
      </c>
      <c r="K16" s="0" t="n">
        <f aca="false">-K12</f>
        <v>1711.86710133509</v>
      </c>
      <c r="L16" s="0" t="n">
        <f aca="false">-L12</f>
        <v>1763.22311437514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-1120.292</v>
      </c>
      <c r="D17" s="4" t="n">
        <f aca="false">-D6*Assumptions!D46/100</f>
        <v>-1306.260472</v>
      </c>
      <c r="E17" s="4" t="n">
        <f aca="false">-E6*Assumptions!E46/100</f>
        <v>-1524.76222368</v>
      </c>
      <c r="F17" s="4" t="n">
        <f aca="false">-F6*Assumptions!F46/100</f>
        <v>-1616.2479571008</v>
      </c>
      <c r="G17" s="4" t="n">
        <f aca="false">-G6*Assumptions!G46/100</f>
        <v>-1697.06035495584</v>
      </c>
      <c r="H17" s="4" t="n">
        <f aca="false">-H6*Assumptions!H46/100</f>
        <v>-1706.1113435156</v>
      </c>
      <c r="I17" s="4" t="n">
        <f aca="false">-I6*Assumptions!I46/100</f>
        <v>-1674.48945223493</v>
      </c>
      <c r="J17" s="4" t="n">
        <f aca="false">-J6*Assumptions!J46/100</f>
        <v>-1724.72413580198</v>
      </c>
      <c r="K17" s="4" t="n">
        <f aca="false">-K6*Assumptions!K46/100</f>
        <v>-1776.46585987604</v>
      </c>
      <c r="L17" s="4" t="n">
        <f aca="false">-L6*Assumptions!L46/100</f>
        <v>-1829.75983567232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-33.276</v>
      </c>
      <c r="D18" s="4" t="n">
        <f aca="false">(D6-C6)*Assumptions!$B$51/100</f>
        <v>-201.65256</v>
      </c>
      <c r="E18" s="4" t="n">
        <f aca="false">(E6-D6)*Assumptions!$B$51/100</f>
        <v>-249.3769992</v>
      </c>
      <c r="F18" s="4" t="n">
        <f aca="false">(F6-E6)*Assumptions!$B$51/100</f>
        <v>-228.714333552</v>
      </c>
      <c r="G18" s="4" t="n">
        <f aca="false">(G6-F6)*Assumptions!$B$51/100</f>
        <v>-202.0309946376</v>
      </c>
      <c r="H18" s="4" t="n">
        <f aca="false">(H6-G6)*Assumptions!$B$51/100</f>
        <v>-169.706035495584</v>
      </c>
      <c r="I18" s="4" t="n">
        <f aca="false">(I6-H6)*Assumptions!$B$51/100</f>
        <v>-154.432492300981</v>
      </c>
      <c r="J18" s="4" t="n">
        <f aca="false">(J6-I6)*Assumptions!$B$51/100</f>
        <v>-137.003682455585</v>
      </c>
      <c r="K18" s="4" t="n">
        <f aca="false">(K6-J6)*Assumptions!$B$51/100</f>
        <v>-141.113792929253</v>
      </c>
      <c r="L18" s="4" t="n">
        <f aca="false">(L6-K6)*Assumptions!$B$51/100</f>
        <v>-145.34720671713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2169.8902472</v>
      </c>
      <c r="D19" s="0" t="n">
        <f aca="false">D15+D16+D17+D18</f>
        <v>2205.42923704</v>
      </c>
      <c r="E19" s="0" t="n">
        <f aca="false">E15+E16+E17+E18</f>
        <v>2397.3560940712</v>
      </c>
      <c r="F19" s="0" t="n">
        <f aca="false">F15+F16+F17+F18</f>
        <v>2786.93497973858</v>
      </c>
      <c r="G19" s="0" t="n">
        <f aca="false">G15+G16+G17+G18</f>
        <v>3074.70970738964</v>
      </c>
      <c r="H19" s="0" t="n">
        <f aca="false">H15+H16+H17+H18</f>
        <v>3296.93572025121</v>
      </c>
      <c r="I19" s="0" t="n">
        <f aca="false">I15+I16+I17+I18</f>
        <v>3524.87751320067</v>
      </c>
      <c r="J19" s="0" t="n">
        <f aca="false">J15+J16+J17+J18</f>
        <v>3652.68562321112</v>
      </c>
      <c r="K19" s="0" t="n">
        <f aca="false">K15+K16+K17+K18</f>
        <v>3762.26619190745</v>
      </c>
      <c r="L19" s="0" t="n">
        <f aca="false">L15+L16+L17+L18</f>
        <v>3875.13417766468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1990.72499743119</v>
      </c>
      <c r="D21" s="0" t="n">
        <f aca="false">D19*D20</f>
        <v>1856.2656653817</v>
      </c>
      <c r="E21" s="0" t="n">
        <f aca="false">E19*E20</f>
        <v>1851.1987716655</v>
      </c>
      <c r="F21" s="0" t="n">
        <f aca="false">F19*F20</f>
        <v>1974.33500124628</v>
      </c>
      <c r="G21" s="0" t="n">
        <f aca="false">G19*G20</f>
        <v>1998.35034258873</v>
      </c>
      <c r="H21" s="0" t="n">
        <f aca="false">H19*H20</f>
        <v>1965.85504880679</v>
      </c>
      <c r="I21" s="0" t="n">
        <f aca="false">I19*I20</f>
        <v>1928.22870859892</v>
      </c>
      <c r="J21" s="0" t="n">
        <f aca="false">J19*J20</f>
        <v>1833.15974453517</v>
      </c>
      <c r="K21" s="0" t="n">
        <f aca="false">K19*K20</f>
        <v>1732.2518686892</v>
      </c>
      <c r="L21" s="0" t="n">
        <f aca="false">L19*L20</f>
        <v>1636.8985548164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18767.2687037599</v>
      </c>
    </row>
    <row r="31" customFormat="false" ht="15" hidden="false" customHeight="false" outlineLevel="0" collapsed="false">
      <c r="A31" s="0" t="s">
        <v>137</v>
      </c>
      <c r="B31" s="0" t="n">
        <f aca="false">L19</f>
        <v>3875.13417766468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61107.8851093276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54251.8784873055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54251.8784873055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22916.5797674296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41683.8484711894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36528.8484711894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43.5905113021354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0.344141575767357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1676.67131184488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2105.23477618352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48.1035257269903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31776.1002568503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20.1961392930262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18.0530216828324</v>
      </c>
      <c r="C4" s="0" t="n">
        <f aca="false">B4/Assumptions!$B$2-1</f>
        <v>-0.443323414035388</v>
      </c>
      <c r="D4" s="4" t="n">
        <f aca="false">Assumptions!$B$24</f>
        <v>0.25</v>
      </c>
      <c r="E4" s="4" t="n">
        <f aca="false">DCF_Bear!$B$43</f>
        <v>21.4586178700255</v>
      </c>
      <c r="F4" s="4" t="n">
        <f aca="false">DCF_Bear!$B$47</f>
        <v>8.33919300333725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30.683517809899</v>
      </c>
      <c r="C5" s="0" t="n">
        <f aca="false">B5/Assumptions!$B$2-1</f>
        <v>-0.0538539065711073</v>
      </c>
      <c r="D5" s="4" t="n">
        <f aca="false">Assumptions!$B$38</f>
        <v>0.5</v>
      </c>
      <c r="E5" s="4" t="n">
        <f aca="false">DCF_Base!$B$43</f>
        <v>34.6903610121415</v>
      </c>
      <c r="F5" s="4" t="n">
        <f aca="false">DCF_Base!$B$47</f>
        <v>14.7808165686383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43.5905113021354</v>
      </c>
      <c r="C6" s="0" t="n">
        <f aca="false">B6/Assumptions!$B$2-1</f>
        <v>0.344141575767357</v>
      </c>
      <c r="D6" s="4" t="n">
        <f aca="false">Assumptions!$B$52</f>
        <v>0.25</v>
      </c>
      <c r="E6" s="4" t="n">
        <f aca="false">DCF_Bull!$B$43</f>
        <v>48.1035257269903</v>
      </c>
      <c r="F6" s="4" t="n">
        <f aca="false">DCF_Bull!$B$47</f>
        <v>20.1961392930262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30.7526421511914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34.7357164053247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-0.0545435361476279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42.1121410696265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14.52424135841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30.683517809899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28.2396946508098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24.8868989241495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21.5584038409383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14.7808165686383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36.2932220783335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36.2932220783335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36.2932220783335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36.2932220783335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36.2932220783335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33.3594819854438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33.3594819854438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33.3594819854438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33.3594819854438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33.3594819854438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30.683517809899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30.683517809899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30.683517809899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30.683517809899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30.683517809899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26.8624774722515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27.914518372539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28.2396946508098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28.2396946508098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28.2396946508098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23.2536350392191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24.0248985404362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24.8868989241495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25.856649355827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26.00516969221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2026-09-28T21:09:11Z</dcterms:created>
  <dc:creator>openpyxl</dc:creator>
  <dc:description/>
  <dc:language>en-NZ</dc:language>
  <cp:lastModifiedBy/>
  <dcterms:modified xsi:type="dcterms:W3CDTF">2026-09-28T21:09:11Z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