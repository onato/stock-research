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<sst xmlns="http://schemas.openxmlformats.org/spreadsheetml/2006/main" count="351" uniqueCount="163">
  <si>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</si>
  <si>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6078.HK</t>
  </si>
  <si>
    <t xml:space="preserve">Company</t>
  </si>
  <si>
    <t xml:space="preserve">Hygeia Healthcare Holdings Co.,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</si>
  <si>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</si>
  <si>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</si>
  <si>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</si>
  <si>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</si>
  <si>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</si>
  <si>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</si>
  <si>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</si>
  <si>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</si>
  <si>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</si>
  <si>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</si>
  <si>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</si>
  <si>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</si>
  <si>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</si>
  <si>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</si>
  <si>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</si>
  <si>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</si>
  <si>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</si>
  <si>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</si>
  <si>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2026-10-23T11:55:39Z</t>
  </si>
  <si>
    <t xml:space="preserve">Drivers file</t>
  </si>
  <si>
    <t xml:space="preserve">6078.HK_Drivers.json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</si>
  <si>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</si>
  <si>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</si>
  <si>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</si>
  <si>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Hygeia as a mature, price-regulated hospital network entering its harvest phase, not as the 20%-CAGR roll-up it was through FY2023. The build-out (17 hospitals, ~14,000 beds, ~940,000 sqm of self-owned property) is complete bar Changshu, so the question is what free cash flow a flat-to-low-growth, DRG-constrained network produces once capex falls to maintenance. Earnings power is anchored on FY2025 ex the RMB283m goodwill impairment and ex RMB65m of financial-asset gains (the assets sit in the cash bridge), i.e. operating EBITDA of ~RMB930m on RMB4.0bn revenue, and never recovers to pre-reform margins. The terminal value is capped at 15x FCF and the bear case is weighted 30% because the dominant risk is regulatory and one-directional. At ~6.5x EV/underlying EBITDA and ~10.6x adjusted earnings the market is pricing the bear path as the central case; the DCF says the base path is worth materially more, with the gap being a bet on DRG/DIP stabilising rather than on growth.
key_risks_to_valuation: Further DRG/DIP tightening (3.0 subgrouping, local fund-level price cuts) compressing revenue per patient faster than volume growth — the bear axis; Additional goodwill impairments on acquired hospitals (RMB2.4bn+ goodwill and acquisition intangibles) if other CGUs follow Suzhou Yongding; Capex not falling to the assumed 7% maintenance level — a new acquisition or greenfield programme would reverse the FCF inflection; Margin anchor sensitivity: each 1pp of EBITDA margin is worth roughly HK$0.9-1.0/share; the FY2025 ex-gains margin (23.1%) vs FY2024 (25.3%) is a 2pp range; CNY/HKD rate drift; a stale fx_rate after a price-only refresh misstates HKD per-share values; Capital-return plan (RMB1.5bn FY2026-28) diverted to M&amp;A at prices that destroy value</t>
  </si>
  <si>
    <t xml:space="preserve">Data sources</t>
  </si>
  <si>
    <t xml:space="preserve">price: Yahoo Finance chart API, regular close at inputs.price_as_of; 52-week range HK$8.10-14.55
fx: Yahoo Finance CNYHKD=X at 2026-10-23
financials: 6078.HK_Metrics.csv / core_metrics (FY2019-FY2025, H1 FY2023-H1 FY2026); 6078.HK_Annual_FY2025.txt (cash-flow statement, non-IFRS reconciliation, lease and borrowing notes, tax note, option scheme); 6078.HK_HalfYear_H1-2026.txt (balance sheet 2026-06-30, cash-flow statement, share capital, treasury shares, EPS note)
qualitative: 6078.HK_Analysis.json (2026-10-24): DRG/DIP reform, Etern impairment, RMB1.5bn return plan, Changshu completion, management's goodwill-test growth range 2.5-6%</t>
  </si>
  <si>
    <t xml:space="preserve">Scenario narrative: bear</t>
  </si>
  <si>
    <t xml:space="preserve">DRG/DIP 3.0 and local insurance-fund pressure cut revenue per patient faster than volumes grow; revenue falls another 3-4% over FY2026-27 and then grows only ~1.5% — volume growth net of continued price erosion. Margins compress to ~21.5% as physician cost inflation runs ahead of reimbursement, more acquired hospitals (Suzhou Yongding again, Hezhou, Yixing) miss their CGU forecasts and attract further impairments, and Changshu ramps slowly in a weak Jiangsu macro. Capex stays somewhat above D&amp;A to keep accreditation and equipment current. The business remains cash-generative and solvent — this is a value trap path, not a solvency path — but the RMB1.5bn return plan is only partly delivered because M&amp;A 'dry powder' is prioritised.</t>
  </si>
  <si>
    <t xml:space="preserve">Scenario narrative: base</t>
  </si>
  <si>
    <t xml:space="preserve">DRG/DIP is a permanent reset, not a cliff: revenue per patient keeps drifting down a few percent a year while volumes grow ~4% (visits) and ~8% (surgeries, with Level 3/4 complex cases growing fastest), so group revenue is roughly flat in FY2026 and compounds 3-4.5% in FY2027-29 as Wuxi and then Changshu — the last self-built hospital — fill. Operating EBITDA margin recovers 1.5pp from the FY2025 trough (23-24%) to ~25.5% on maturing new campuses and a slowly rising self-pay/commercial-insurance mix, but never returns to the 27-31% pre-reform level. Capex falls to a ~7% of revenue maintenance level equal to D&amp;A, which is what turns a decade of negative owner FCF into RMB450-750m a year and funds the RMB500m/yr return plan. No further acquisitions are modelled; no further goodwill impairments either (the Etern write-down is treated as the one-off it was reported as).</t>
  </si>
  <si>
    <t xml:space="preserve">Scenario narrative: bull</t>
  </si>
  <si>
    <t xml:space="preserve">DRG/DIP 3.0 stabilises reimbursement after the FY2025 reset and the group's high CMI (case-mix index) and complex-surgery mix is rewarded rather than penalised under the refined grouping. Wuxi and Changshu ramp faster than the historical 3-5 year hospital maturation, self-pay services (screening, aesthetics, dental, weight management), 70+ commercial insurers and inbound medical tourism lift the non-NHSA payer share, and revenue compounds 5-7% through FY2030. Margins rebuild to 28% as the fixed campus cost base is absorbed. Capex still falls to maintenance level, so FCF conversion is strongest here; buybacks at today's ~6.5x EV/EBITDA are accretive beyond what the flat-count convention credits.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</si>
  <si>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</si>
  <si>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</si>
  <si>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</si>
  <si>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</si>
  <si>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</si>
  <si>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</si>
  <si>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</si>
  <si>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</si>
  <si>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</si>
  <si>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</si>
  <si>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</si>
  <si>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</si>
  <si>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</si>
  <si>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</si>
  <si>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</si>
  <si>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</si>
  <si>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</si>
  <si>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</si>
  <si>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</si>
  <si>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</si>
  <si>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</si>
  <si>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</si>
  <si>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</si>
  <si>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</si>
  <si>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</si>
  <si>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</si>
  <si>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</si>
  <si>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ProfitAttributableToNCI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</si>
  <si>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</si>
  <si>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</si>
  <si>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</si>
  <si>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</si>
  <si>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</si>
  <si>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</si>
  <si>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</si>
  <si>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</si>
  <si>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</si>
  <si>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</si>
  <si>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</si>
  <si>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</si>
  <si>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</si>
  <si>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</si>
  <si>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</si>
  <si>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</si>
  <si>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</si>
  <si>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</si>
  <si>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</si>
  <si>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</si>
  <si>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</si>
  <si>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</si>
  <si>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</si>
  <si>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</si>
  <si>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</si>
  <si>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</si>
  <si>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</si>
  <si>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</si>
  <si>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</si>
  <si>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</si>
  <si>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</si>
  <si>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</si>
  <si>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</si>
  <si>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</si>
  <si>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</si>
  <si>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</si>
  <si>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</si>
  <si>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</si>
  <si>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</si>
  <si>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</si>
  <si>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</si>
  <si>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</si>
  <si>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</si>
  <si>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</si>
  <si>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6078.HK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</si>
  <si>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</si>
  <si>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</si>
  <si>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</si>
  <si>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</si>
  <si>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</si>
  <si>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</si>
  <si>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</si>
  <si>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</si>
  <si>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</si>
  <si>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</si>
  <si>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</si>
  <si>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</si>
  <si>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</si>
  <si>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</si>
  <si>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</si>
  <si>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</si>
  <si>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</si>
  <si>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</si>
  <si>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</si>
  <si>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</si>
  <si>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</si>
  <si>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</si>
  <si>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</si>
  <si>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</si>
  <si>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</si>
  <si>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</si>
  <si>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</si>
  <si>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</si>
  <si>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</si>
  <si>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</si>
  <si>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6078.HK owner-FCF component DCF: base case (millions, CNY)</t>
  </si>
  <si>
    <t xml:space="preserve">6078.HK owner-FCF component DCF: bull case (millions, CNY)</t>
  </si>
  <si>
    <t xml:space="preserve">6078.HK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</si>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</sst>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9.345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1085.826</v>
      </c>
      <c r="C2" s="0" t="n">
        <v>755.706</v>
      </c>
      <c r="D2" s="0" t="n">
        <v>330.12</v>
      </c>
      <c r="E2" s="0" t="n">
        <v>30.4</v>
      </c>
      <c r="F2" s="0" t="n">
        <v>174.207</v>
      </c>
      <c r="G2" s="0" t="n">
        <v>16</v>
      </c>
      <c r="H2" s="0" t="n">
        <v>245.489</v>
      </c>
      <c r="I2" s="0" t="n">
        <v>39.767</v>
      </c>
      <c r="J2" s="0" t="n">
        <v>3.7</v>
      </c>
      <c r="K2" s="0" t="n">
        <v>0.14</v>
      </c>
      <c r="L2" s="0" t="n">
        <v>228.617</v>
      </c>
      <c r="O2" s="0" t="n">
        <v>-202.606</v>
      </c>
      <c r="P2" s="0" t="n">
        <v>2213.189</v>
      </c>
      <c r="Q2" s="0" t="n">
        <v>2415.795</v>
      </c>
      <c r="S2" s="0" t="n">
        <v>393.409</v>
      </c>
      <c r="T2" s="0" t="n">
        <v>276.907</v>
      </c>
      <c r="U2" s="0" t="n">
        <v>10.785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1401.764</v>
      </c>
      <c r="C3" s="0" t="n">
        <v>921.721</v>
      </c>
      <c r="D3" s="0" t="n">
        <v>480.043</v>
      </c>
      <c r="E3" s="0" t="n">
        <v>34.2</v>
      </c>
      <c r="F3" s="0" t="n">
        <v>300.284</v>
      </c>
      <c r="G3" s="0" t="n">
        <v>21.4</v>
      </c>
      <c r="H3" s="0" t="n">
        <v>377.824</v>
      </c>
      <c r="I3" s="0" t="n">
        <v>170.085</v>
      </c>
      <c r="J3" s="0" t="n">
        <v>12.1</v>
      </c>
      <c r="K3" s="0" t="n">
        <v>0.38</v>
      </c>
      <c r="L3" s="0" t="n">
        <v>296.125</v>
      </c>
      <c r="M3" s="0" t="n">
        <v>325.161</v>
      </c>
      <c r="N3" s="0" t="n">
        <v>-29.036</v>
      </c>
      <c r="O3" s="0" t="n">
        <v>4267.767</v>
      </c>
      <c r="P3" s="0" t="n">
        <v>4701.305</v>
      </c>
      <c r="Q3" s="0" t="n">
        <v>359.928</v>
      </c>
      <c r="R3" s="0" t="n">
        <v>0</v>
      </c>
      <c r="S3" s="0" t="n">
        <v>385.104</v>
      </c>
      <c r="T3" s="0" t="n">
        <v>446.621</v>
      </c>
      <c r="U3" s="0" t="n">
        <v>4.072</v>
      </c>
      <c r="AA3" s="0" t="s">
        <v>18</v>
      </c>
      <c r="AB3" s="0" t="s">
        <v>14</v>
      </c>
      <c r="AC3" s="0" t="n">
        <v>6.976</v>
      </c>
    </row>
    <row r="4" customFormat="false" ht="15" hidden="false" customHeight="false" outlineLevel="0" collapsed="false">
      <c r="A4" s="0" t="s">
        <v>67</v>
      </c>
      <c r="B4" s="0" t="n">
        <v>2315.349</v>
      </c>
      <c r="C4" s="0" t="n">
        <v>1557.85</v>
      </c>
      <c r="D4" s="0" t="n">
        <v>757.499</v>
      </c>
      <c r="E4" s="0" t="n">
        <v>32.7</v>
      </c>
      <c r="F4" s="0" t="n">
        <v>593.775</v>
      </c>
      <c r="G4" s="0" t="n">
        <v>25.6</v>
      </c>
      <c r="H4" s="0" t="n">
        <v>708.222</v>
      </c>
      <c r="I4" s="0" t="n">
        <v>441.457</v>
      </c>
      <c r="J4" s="0" t="n">
        <v>19.1</v>
      </c>
      <c r="K4" s="0" t="n">
        <v>0.71</v>
      </c>
      <c r="L4" s="0" t="n">
        <v>426.251</v>
      </c>
      <c r="M4" s="0" t="n">
        <v>669.007</v>
      </c>
      <c r="N4" s="0" t="n">
        <v>-242.756</v>
      </c>
      <c r="O4" s="0" t="n">
        <v>4456.454</v>
      </c>
      <c r="P4" s="0" t="n">
        <v>6686.938</v>
      </c>
      <c r="Q4" s="0" t="n">
        <v>2209.226</v>
      </c>
      <c r="R4" s="0" t="n">
        <v>1230.851</v>
      </c>
      <c r="S4" s="0" t="n">
        <v>707.069</v>
      </c>
      <c r="T4" s="0" t="n">
        <v>618</v>
      </c>
      <c r="U4" s="0" t="n">
        <v>6.759</v>
      </c>
      <c r="AA4" s="0" t="s">
        <v>18</v>
      </c>
      <c r="AB4" s="0" t="s">
        <v>14</v>
      </c>
      <c r="AC4" s="0" t="n">
        <v>11.746</v>
      </c>
    </row>
    <row r="5" customFormat="false" ht="15" hidden="false" customHeight="false" outlineLevel="0" collapsed="false">
      <c r="A5" s="0" t="s">
        <v>68</v>
      </c>
      <c r="B5" s="0" t="n">
        <v>3195.648</v>
      </c>
      <c r="C5" s="0" t="n">
        <v>2167.095</v>
      </c>
      <c r="D5" s="0" t="n">
        <v>1028.553</v>
      </c>
      <c r="E5" s="0" t="n">
        <v>32.2</v>
      </c>
      <c r="F5" s="0" t="n">
        <v>666.821</v>
      </c>
      <c r="G5" s="0" t="n">
        <v>20.9</v>
      </c>
      <c r="H5" s="0" t="n">
        <v>820.002</v>
      </c>
      <c r="I5" s="0" t="n">
        <v>476.784</v>
      </c>
      <c r="J5" s="0" t="n">
        <v>14.9</v>
      </c>
      <c r="K5" s="0" t="n">
        <v>0.77</v>
      </c>
      <c r="L5" s="0" t="n">
        <v>685.378</v>
      </c>
      <c r="M5" s="0" t="n">
        <v>606.904</v>
      </c>
      <c r="N5" s="0" t="n">
        <v>78.474</v>
      </c>
      <c r="O5" s="0" t="n">
        <v>4933.757</v>
      </c>
      <c r="P5" s="0" t="n">
        <v>7241.945</v>
      </c>
      <c r="Q5" s="0" t="n">
        <v>2301.882</v>
      </c>
      <c r="R5" s="0" t="n">
        <v>1283.263</v>
      </c>
      <c r="S5" s="0" t="n">
        <v>853.768</v>
      </c>
      <c r="T5" s="0" t="n">
        <v>616.821</v>
      </c>
      <c r="U5" s="0" t="n">
        <v>38.085</v>
      </c>
      <c r="AA5" s="0" t="s">
        <v>18</v>
      </c>
      <c r="AB5" s="0" t="s">
        <v>14</v>
      </c>
      <c r="AC5" s="0" t="n">
        <v>5.092</v>
      </c>
    </row>
    <row r="6" customFormat="false" ht="15" hidden="false" customHeight="false" outlineLevel="0" collapsed="false">
      <c r="A6" s="0" t="s">
        <v>69</v>
      </c>
      <c r="B6" s="0" t="n">
        <v>4076.68</v>
      </c>
      <c r="C6" s="0" t="n">
        <v>2790.428</v>
      </c>
      <c r="D6" s="0" t="n">
        <v>1286.252</v>
      </c>
      <c r="E6" s="0" t="n">
        <v>31.6</v>
      </c>
      <c r="F6" s="0" t="n">
        <v>889.104</v>
      </c>
      <c r="G6" s="0" t="n">
        <v>21.8</v>
      </c>
      <c r="H6" s="0" t="n">
        <v>1099.646</v>
      </c>
      <c r="I6" s="0" t="n">
        <v>682.928</v>
      </c>
      <c r="J6" s="0" t="n">
        <v>16.8</v>
      </c>
      <c r="K6" s="0" t="n">
        <v>1.08</v>
      </c>
      <c r="L6" s="0" t="n">
        <v>782.84</v>
      </c>
      <c r="M6" s="0" t="n">
        <v>940.818</v>
      </c>
      <c r="N6" s="0" t="n">
        <v>-157.978</v>
      </c>
      <c r="O6" s="0" t="n">
        <v>6233.196</v>
      </c>
      <c r="P6" s="0" t="n">
        <v>10734.563</v>
      </c>
      <c r="Q6" s="0" t="n">
        <v>4479.689</v>
      </c>
      <c r="R6" s="0" t="n">
        <v>2721.357</v>
      </c>
      <c r="S6" s="0" t="n">
        <v>549.742</v>
      </c>
      <c r="T6" s="0" t="n">
        <v>631.119</v>
      </c>
      <c r="U6" s="0" t="n">
        <v>29.25</v>
      </c>
      <c r="AA6" s="0" t="s">
        <v>18</v>
      </c>
      <c r="AB6" s="0" t="s">
        <v>14</v>
      </c>
      <c r="AC6" s="0" t="n">
        <v>2.02</v>
      </c>
    </row>
    <row r="7" customFormat="false" ht="15" hidden="false" customHeight="false" outlineLevel="0" collapsed="false">
      <c r="A7" s="0" t="s">
        <v>70</v>
      </c>
      <c r="B7" s="0" t="n">
        <v>4446.12</v>
      </c>
      <c r="C7" s="0" t="n">
        <v>3116.647</v>
      </c>
      <c r="D7" s="0" t="n">
        <v>1329.473</v>
      </c>
      <c r="E7" s="0" t="n">
        <v>29.9</v>
      </c>
      <c r="F7" s="0" t="n">
        <v>821.144</v>
      </c>
      <c r="G7" s="0" t="n">
        <v>18.5</v>
      </c>
      <c r="H7" s="0" t="n">
        <v>1116.269</v>
      </c>
      <c r="I7" s="0" t="n">
        <v>598.261</v>
      </c>
      <c r="J7" s="0" t="n">
        <v>13.5</v>
      </c>
      <c r="K7" s="0" t="n">
        <v>0.95</v>
      </c>
      <c r="L7" s="0" t="n">
        <v>707.132</v>
      </c>
      <c r="M7" s="0" t="n">
        <v>615.113</v>
      </c>
      <c r="N7" s="0" t="n">
        <v>92.019</v>
      </c>
      <c r="O7" s="0" t="n">
        <v>6652.644</v>
      </c>
      <c r="P7" s="0" t="n">
        <v>10929.255</v>
      </c>
      <c r="Q7" s="0" t="n">
        <v>4254.851</v>
      </c>
      <c r="R7" s="0" t="n">
        <v>2779.21</v>
      </c>
      <c r="S7" s="0" t="n">
        <v>369.07</v>
      </c>
      <c r="T7" s="0" t="n">
        <v>628.987</v>
      </c>
      <c r="U7" s="0" t="n">
        <v>-10.736</v>
      </c>
      <c r="AA7" s="0" t="s">
        <v>18</v>
      </c>
      <c r="AB7" s="0" t="s">
        <v>14</v>
      </c>
      <c r="AC7" s="0" t="n">
        <v>0.071</v>
      </c>
    </row>
    <row r="8" customFormat="false" ht="15" hidden="false" customHeight="false" outlineLevel="0" collapsed="false">
      <c r="A8" s="0" t="s">
        <v>71</v>
      </c>
      <c r="B8" s="0" t="n">
        <v>4008.832</v>
      </c>
      <c r="C8" s="0" t="n">
        <v>2985.356</v>
      </c>
      <c r="D8" s="0" t="n">
        <v>1023.476</v>
      </c>
      <c r="E8" s="0" t="n">
        <v>25.5</v>
      </c>
      <c r="F8" s="0" t="n">
        <v>393.425</v>
      </c>
      <c r="G8" s="0" t="n">
        <v>9.8</v>
      </c>
      <c r="H8" s="0" t="n">
        <v>697.313</v>
      </c>
      <c r="I8" s="0" t="n">
        <v>164.526</v>
      </c>
      <c r="J8" s="0" t="n">
        <v>4.1</v>
      </c>
      <c r="K8" s="0" t="n">
        <v>0.27</v>
      </c>
      <c r="L8" s="0" t="n">
        <v>949.976</v>
      </c>
      <c r="M8" s="0" t="n">
        <v>483.582</v>
      </c>
      <c r="N8" s="0" t="n">
        <v>466.394</v>
      </c>
      <c r="O8" s="0" t="n">
        <v>6768.189</v>
      </c>
      <c r="P8" s="0" t="n">
        <v>10664.937</v>
      </c>
      <c r="Q8" s="0" t="n">
        <v>3880.381</v>
      </c>
      <c r="R8" s="0" t="n">
        <v>2436.214</v>
      </c>
      <c r="S8" s="0" t="n">
        <v>429.24</v>
      </c>
      <c r="T8" s="0" t="n">
        <v>618.174</v>
      </c>
      <c r="U8" s="0" t="n">
        <v>-9.043</v>
      </c>
      <c r="AA8" s="0" t="s">
        <v>18</v>
      </c>
      <c r="AB8" s="0" t="s">
        <v>14</v>
      </c>
      <c r="AC8" s="0" t="n">
        <v>-3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9.345</v>
      </c>
    </row>
    <row r="3" customFormat="false" ht="15" hidden="false" customHeight="false" outlineLevel="0" collapsed="false">
      <c r="A3" s="0" t="s">
        <v>75</v>
      </c>
      <c r="B3" s="3" t="n">
        <v>607.741</v>
      </c>
    </row>
    <row r="4" customFormat="false" ht="15" hidden="false" customHeight="false" outlineLevel="0" collapsed="false">
      <c r="A4" s="0" t="s">
        <v>76</v>
      </c>
      <c r="B4" s="3" t="n">
        <v>1497.429</v>
      </c>
    </row>
    <row r="5" customFormat="false" ht="15" hidden="false" customHeight="false" outlineLevel="0" collapsed="false">
      <c r="A5" s="0" t="s">
        <v>77</v>
      </c>
      <c r="B5" s="3" t="n">
        <v>-16.394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4008.832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1.1748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-3</v>
      </c>
      <c r="D13" s="3" t="n">
        <v>-1</v>
      </c>
      <c r="E13" s="3" t="n">
        <v>1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23</v>
      </c>
      <c r="D14" s="3" t="n">
        <v>22.3</v>
      </c>
      <c r="E14" s="3" t="n">
        <v>21.8</v>
      </c>
      <c r="F14" s="3" t="n">
        <v>21.5</v>
      </c>
      <c r="G14" s="3" t="n">
        <v>21.5</v>
      </c>
      <c r="H14" s="3" t="n">
        <v>21.5</v>
      </c>
      <c r="I14" s="3" t="n">
        <v>21.5</v>
      </c>
      <c r="J14" s="3" t="n">
        <v>21.5</v>
      </c>
      <c r="K14" s="3" t="n">
        <v>21.5</v>
      </c>
      <c r="L14" s="3" t="n">
        <v>21.5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0.1</v>
      </c>
      <c r="D16" s="3" t="n">
        <v>0.1</v>
      </c>
      <c r="E16" s="3" t="n">
        <v>0.1</v>
      </c>
      <c r="F16" s="3" t="n">
        <v>0.1</v>
      </c>
      <c r="G16" s="3" t="n">
        <v>0.1</v>
      </c>
      <c r="H16" s="3" t="n">
        <v>0.1</v>
      </c>
      <c r="I16" s="3" t="n">
        <v>0.1</v>
      </c>
      <c r="J16" s="3" t="n">
        <v>0.1</v>
      </c>
      <c r="K16" s="3" t="n">
        <v>0.1</v>
      </c>
      <c r="L16" s="3" t="n">
        <v>0.1</v>
      </c>
    </row>
    <row r="17" customFormat="false" ht="15" hidden="false" customHeight="false" outlineLevel="0" collapsed="false">
      <c r="A17" s="0" t="s">
        <v>99</v>
      </c>
      <c r="C17" s="3" t="n">
        <v>7.8</v>
      </c>
      <c r="D17" s="3" t="n">
        <v>7.8</v>
      </c>
      <c r="E17" s="3" t="n">
        <v>7.8</v>
      </c>
      <c r="F17" s="3" t="n">
        <v>7.8</v>
      </c>
      <c r="G17" s="3" t="n">
        <v>7.7</v>
      </c>
      <c r="H17" s="3" t="n">
        <v>7.7</v>
      </c>
      <c r="I17" s="3" t="n">
        <v>7.6</v>
      </c>
      <c r="J17" s="3" t="n">
        <v>7.6</v>
      </c>
      <c r="K17" s="3" t="n">
        <v>7.5</v>
      </c>
      <c r="L17" s="3" t="n">
        <v>7.5</v>
      </c>
    </row>
    <row r="18" customFormat="false" ht="15" hidden="false" customHeight="false" outlineLevel="0" collapsed="false">
      <c r="A18" s="0" t="s">
        <v>100</v>
      </c>
      <c r="C18" s="3" t="n">
        <v>9</v>
      </c>
      <c r="D18" s="3" t="n">
        <v>8</v>
      </c>
      <c r="E18" s="3" t="n">
        <v>7.5</v>
      </c>
      <c r="F18" s="3" t="n">
        <v>7.5</v>
      </c>
      <c r="G18" s="3" t="n">
        <v>7.5</v>
      </c>
      <c r="H18" s="3" t="n">
        <v>7.5</v>
      </c>
      <c r="I18" s="3" t="n">
        <v>7.5</v>
      </c>
      <c r="J18" s="3" t="n">
        <v>7.5</v>
      </c>
      <c r="K18" s="3" t="n">
        <v>7.5</v>
      </c>
      <c r="L18" s="3" t="n">
        <v>7.5</v>
      </c>
    </row>
    <row r="19" customFormat="false" ht="15" hidden="false" customHeight="false" outlineLevel="0" collapsed="false">
      <c r="A19" s="0" t="s">
        <v>101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2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-0.5</v>
      </c>
      <c r="D27" s="3" t="n">
        <v>3</v>
      </c>
      <c r="E27" s="3" t="n">
        <v>4.5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24</v>
      </c>
      <c r="D28" s="3" t="n">
        <v>24.3</v>
      </c>
      <c r="E28" s="3" t="n">
        <v>24.7</v>
      </c>
      <c r="F28" s="3" t="n">
        <v>25</v>
      </c>
      <c r="G28" s="3" t="n">
        <v>25.3</v>
      </c>
      <c r="H28" s="3" t="n">
        <v>25.5</v>
      </c>
      <c r="I28" s="3" t="n">
        <v>25.5</v>
      </c>
      <c r="J28" s="3" t="n">
        <v>25.5</v>
      </c>
      <c r="K28" s="3" t="n">
        <v>25.5</v>
      </c>
      <c r="L28" s="3" t="n">
        <v>25.5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0.1</v>
      </c>
      <c r="D30" s="3" t="n">
        <v>0.1</v>
      </c>
      <c r="E30" s="3" t="n">
        <v>0.1</v>
      </c>
      <c r="F30" s="3" t="n">
        <v>0.1</v>
      </c>
      <c r="G30" s="3" t="n">
        <v>0.1</v>
      </c>
      <c r="H30" s="3" t="n">
        <v>0.1</v>
      </c>
      <c r="I30" s="3" t="n">
        <v>0.1</v>
      </c>
      <c r="J30" s="3" t="n">
        <v>0.1</v>
      </c>
      <c r="K30" s="3" t="n">
        <v>0.1</v>
      </c>
      <c r="L30" s="3" t="n">
        <v>0.1</v>
      </c>
    </row>
    <row r="31" customFormat="false" ht="15" hidden="false" customHeight="false" outlineLevel="0" collapsed="false">
      <c r="A31" s="0" t="s">
        <v>99</v>
      </c>
      <c r="C31" s="3" t="n">
        <v>7.7</v>
      </c>
      <c r="D31" s="3" t="n">
        <v>7.6</v>
      </c>
      <c r="E31" s="3" t="n">
        <v>7.5</v>
      </c>
      <c r="F31" s="3" t="n">
        <v>7.4</v>
      </c>
      <c r="G31" s="3" t="n">
        <v>7.3</v>
      </c>
      <c r="H31" s="3" t="n">
        <v>7.2</v>
      </c>
      <c r="I31" s="3" t="n">
        <v>7.1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100</v>
      </c>
      <c r="C32" s="3" t="n">
        <v>8.5</v>
      </c>
      <c r="D32" s="3" t="n">
        <v>7.5</v>
      </c>
      <c r="E32" s="3" t="n">
        <v>7</v>
      </c>
      <c r="F32" s="3" t="n">
        <v>7</v>
      </c>
      <c r="G32" s="3" t="n">
        <v>7</v>
      </c>
      <c r="H32" s="3" t="n">
        <v>7</v>
      </c>
      <c r="I32" s="3" t="n">
        <v>7</v>
      </c>
      <c r="J32" s="3" t="n">
        <v>7</v>
      </c>
      <c r="K32" s="3" t="n">
        <v>7</v>
      </c>
      <c r="L32" s="3" t="n">
        <v>7</v>
      </c>
    </row>
    <row r="33" customFormat="false" ht="15" hidden="false" customHeight="false" outlineLevel="0" collapsed="false">
      <c r="A33" s="0" t="s">
        <v>101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1</v>
      </c>
      <c r="D41" s="3" t="n">
        <v>5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24.5</v>
      </c>
      <c r="D42" s="3" t="n">
        <v>25.3</v>
      </c>
      <c r="E42" s="3" t="n">
        <v>26</v>
      </c>
      <c r="F42" s="3" t="n">
        <v>26.7</v>
      </c>
      <c r="G42" s="3" t="n">
        <v>27.3</v>
      </c>
      <c r="H42" s="3" t="n">
        <v>27.8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0.1</v>
      </c>
      <c r="D44" s="3" t="n">
        <v>0.1</v>
      </c>
      <c r="E44" s="3" t="n">
        <v>0.1</v>
      </c>
      <c r="F44" s="3" t="n">
        <v>0.1</v>
      </c>
      <c r="G44" s="3" t="n">
        <v>0.1</v>
      </c>
      <c r="H44" s="3" t="n">
        <v>0.1</v>
      </c>
      <c r="I44" s="3" t="n">
        <v>0.1</v>
      </c>
      <c r="J44" s="3" t="n">
        <v>0.1</v>
      </c>
      <c r="K44" s="3" t="n">
        <v>0.1</v>
      </c>
      <c r="L44" s="3" t="n">
        <v>0.1</v>
      </c>
    </row>
    <row r="45" customFormat="false" ht="15" hidden="false" customHeight="false" outlineLevel="0" collapsed="false">
      <c r="A45" s="0" t="s">
        <v>99</v>
      </c>
      <c r="C45" s="3" t="n">
        <v>7.7</v>
      </c>
      <c r="D45" s="3" t="n">
        <v>7.5</v>
      </c>
      <c r="E45" s="3" t="n">
        <v>7.3</v>
      </c>
      <c r="F45" s="3" t="n">
        <v>7.1</v>
      </c>
      <c r="G45" s="3" t="n">
        <v>7</v>
      </c>
      <c r="H45" s="3" t="n">
        <v>6.9</v>
      </c>
      <c r="I45" s="3" t="n">
        <v>6.8</v>
      </c>
      <c r="J45" s="3" t="n">
        <v>6.7</v>
      </c>
      <c r="K45" s="3" t="n">
        <v>6.6</v>
      </c>
      <c r="L45" s="3" t="n">
        <v>6.5</v>
      </c>
    </row>
    <row r="46" customFormat="false" ht="15" hidden="false" customHeight="false" outlineLevel="0" collapsed="false">
      <c r="A46" s="0" t="s">
        <v>100</v>
      </c>
      <c r="C46" s="3" t="n">
        <v>8.5</v>
      </c>
      <c r="D46" s="3" t="n">
        <v>7.5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101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-3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4008.832</v>
      </c>
      <c r="C6" s="0" t="n">
        <f aca="false">B6*(1+C5/100)</f>
        <v>3888.56704</v>
      </c>
      <c r="D6" s="0" t="n">
        <f aca="false">C6*(1+D5/100)</f>
        <v>3849.6813696</v>
      </c>
      <c r="E6" s="0" t="n">
        <f aca="false">D6*(1+E5/100)</f>
        <v>3888.178183296</v>
      </c>
      <c r="F6" s="0" t="n">
        <f aca="false">E6*(1+F5/100)</f>
        <v>3946.50085604544</v>
      </c>
      <c r="G6" s="0" t="n">
        <f aca="false">F6*(1+G5/100)</f>
        <v>4005.69836888612</v>
      </c>
      <c r="H6" s="0" t="n">
        <f aca="false">G6*(1+H5/100)</f>
        <v>4065.78384441941</v>
      </c>
      <c r="I6" s="0" t="n">
        <f aca="false">H6*(1+I5/100)</f>
        <v>4126.7706020857</v>
      </c>
      <c r="J6" s="0" t="n">
        <f aca="false">I6*(1+J5/100)</f>
        <v>4188.67216111699</v>
      </c>
      <c r="K6" s="0" t="n">
        <f aca="false">J6*(1+K5/100)</f>
        <v>4251.50224353374</v>
      </c>
      <c r="L6" s="0" t="n">
        <f aca="false">K6*(1+L5/100)</f>
        <v>4315.27477718675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23</v>
      </c>
      <c r="D7" s="4" t="n">
        <f aca="false">Assumptions!D14</f>
        <v>22.3</v>
      </c>
      <c r="E7" s="4" t="n">
        <f aca="false">Assumptions!E14</f>
        <v>21.8</v>
      </c>
      <c r="F7" s="4" t="n">
        <f aca="false">Assumptions!F14</f>
        <v>21.5</v>
      </c>
      <c r="G7" s="4" t="n">
        <f aca="false">Assumptions!G14</f>
        <v>21.5</v>
      </c>
      <c r="H7" s="4" t="n">
        <f aca="false">Assumptions!H14</f>
        <v>21.5</v>
      </c>
      <c r="I7" s="4" t="n">
        <f aca="false">Assumptions!I14</f>
        <v>21.5</v>
      </c>
      <c r="J7" s="4" t="n">
        <f aca="false">Assumptions!J14</f>
        <v>21.5</v>
      </c>
      <c r="K7" s="4" t="n">
        <f aca="false">Assumptions!K14</f>
        <v>21.5</v>
      </c>
      <c r="L7" s="4" t="n">
        <f aca="false">Assumptions!L14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894.3704192</v>
      </c>
      <c r="D8" s="0" t="n">
        <f aca="false">D6*D7/100</f>
        <v>858.4789454208</v>
      </c>
      <c r="E8" s="0" t="n">
        <f aca="false">E6*E7/100</f>
        <v>847.622843958528</v>
      </c>
      <c r="F8" s="0" t="n">
        <f aca="false">F6*F7/100</f>
        <v>848.49768404977</v>
      </c>
      <c r="G8" s="0" t="n">
        <f aca="false">G6*G7/100</f>
        <v>861.225149310516</v>
      </c>
      <c r="H8" s="0" t="n">
        <f aca="false">H6*H7/100</f>
        <v>874.143526550174</v>
      </c>
      <c r="I8" s="0" t="n">
        <f aca="false">I6*I7/100</f>
        <v>887.255679448426</v>
      </c>
      <c r="J8" s="0" t="n">
        <f aca="false">J6*J7/100</f>
        <v>900.564514640152</v>
      </c>
      <c r="K8" s="0" t="n">
        <f aca="false">K6*K7/100</f>
        <v>914.072982359755</v>
      </c>
      <c r="L8" s="0" t="n">
        <f aca="false">L6*L7/100</f>
        <v>927.784077095151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890.48185216</v>
      </c>
      <c r="D11" s="0" t="n">
        <f aca="false">D8+D10+D24</f>
        <v>854.6292640512</v>
      </c>
      <c r="E11" s="0" t="n">
        <f aca="false">E8+E10+E24</f>
        <v>843.734665775232</v>
      </c>
      <c r="F11" s="0" t="n">
        <f aca="false">F8+F10+F24</f>
        <v>844.551183193724</v>
      </c>
      <c r="G11" s="0" t="n">
        <f aca="false">G8+G10+G24</f>
        <v>857.21945094163</v>
      </c>
      <c r="H11" s="0" t="n">
        <f aca="false">H8+H10+H24</f>
        <v>870.077742705754</v>
      </c>
      <c r="I11" s="0" t="n">
        <f aca="false">I8+I10+I24</f>
        <v>883.128908846341</v>
      </c>
      <c r="J11" s="0" t="n">
        <f aca="false">J8+J10+J24</f>
        <v>896.375842479035</v>
      </c>
      <c r="K11" s="0" t="n">
        <f aca="false">K8+K10+K24</f>
        <v>909.821480116221</v>
      </c>
      <c r="L11" s="0" t="n">
        <f aca="false">L8+L10+L24</f>
        <v>923.468802317964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-303.30822912</v>
      </c>
      <c r="D12" s="4" t="n">
        <f aca="false">-D6*Assumptions!D17/100</f>
        <v>-300.2751468288</v>
      </c>
      <c r="E12" s="4" t="n">
        <f aca="false">-E6*Assumptions!E17/100</f>
        <v>-303.277898297088</v>
      </c>
      <c r="F12" s="4" t="n">
        <f aca="false">-F6*Assumptions!F17/100</f>
        <v>-307.827066771544</v>
      </c>
      <c r="G12" s="4" t="n">
        <f aca="false">-G6*Assumptions!G17/100</f>
        <v>-308.438774404231</v>
      </c>
      <c r="H12" s="4" t="n">
        <f aca="false">-H6*Assumptions!H17/100</f>
        <v>-313.065356020295</v>
      </c>
      <c r="I12" s="4" t="n">
        <f aca="false">-I6*Assumptions!I17/100</f>
        <v>-313.634565758513</v>
      </c>
      <c r="J12" s="4" t="n">
        <f aca="false">-J6*Assumptions!J17/100</f>
        <v>-318.339084244891</v>
      </c>
      <c r="K12" s="4" t="n">
        <f aca="false">-K6*Assumptions!K17/100</f>
        <v>-318.862668265031</v>
      </c>
      <c r="L12" s="4" t="n">
        <f aca="false">-L6*Assumptions!L17/100</f>
        <v>-323.645608289006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587.17362304</v>
      </c>
      <c r="D13" s="0" t="n">
        <f aca="false">D11+D12</f>
        <v>554.3541172224</v>
      </c>
      <c r="E13" s="0" t="n">
        <f aca="false">E11+E12</f>
        <v>540.456767478144</v>
      </c>
      <c r="F13" s="0" t="n">
        <f aca="false">F11+F12</f>
        <v>536.72411642218</v>
      </c>
      <c r="G13" s="0" t="n">
        <f aca="false">G11+G12</f>
        <v>548.780676537399</v>
      </c>
      <c r="H13" s="0" t="n">
        <f aca="false">H11+H12</f>
        <v>557.012386685459</v>
      </c>
      <c r="I13" s="0" t="n">
        <f aca="false">I11+I12</f>
        <v>569.494343087827</v>
      </c>
      <c r="J13" s="0" t="n">
        <f aca="false">J11+J12</f>
        <v>578.036758234144</v>
      </c>
      <c r="K13" s="0" t="n">
        <f aca="false">K11+K12</f>
        <v>590.95881185119</v>
      </c>
      <c r="L13" s="0" t="n">
        <f aca="false">L11+L12</f>
        <v>599.823194028958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440.38021728</v>
      </c>
      <c r="D15" s="0" t="n">
        <f aca="false">D13-MAX(0,D13)*D14/100</f>
        <v>415.7655879168</v>
      </c>
      <c r="E15" s="0" t="n">
        <f aca="false">E13-MAX(0,E13)*E14/100</f>
        <v>405.342575608608</v>
      </c>
      <c r="F15" s="0" t="n">
        <f aca="false">F13-MAX(0,F13)*F14/100</f>
        <v>402.543087316635</v>
      </c>
      <c r="G15" s="0" t="n">
        <f aca="false">G13-MAX(0,G13)*G14/100</f>
        <v>411.585507403049</v>
      </c>
      <c r="H15" s="0" t="n">
        <f aca="false">H13-MAX(0,H13)*H14/100</f>
        <v>417.759290014095</v>
      </c>
      <c r="I15" s="0" t="n">
        <f aca="false">I13-MAX(0,I13)*I14/100</f>
        <v>427.12075731587</v>
      </c>
      <c r="J15" s="0" t="n">
        <f aca="false">J13-MAX(0,J13)*J14/100</f>
        <v>433.527568675608</v>
      </c>
      <c r="K15" s="0" t="n">
        <f aca="false">K13-MAX(0,K13)*K14/100</f>
        <v>443.219108888393</v>
      </c>
      <c r="L15" s="0" t="n">
        <f aca="false">L13-MAX(0,L13)*L14/100</f>
        <v>449.867395521719</v>
      </c>
    </row>
    <row r="16" customFormat="false" ht="15" hidden="false" customHeight="false" outlineLevel="0" collapsed="false">
      <c r="A16" s="0" t="s">
        <v>117</v>
      </c>
      <c r="C16" s="0" t="n">
        <f aca="false">-C12</f>
        <v>303.30822912</v>
      </c>
      <c r="D16" s="0" t="n">
        <f aca="false">-D12</f>
        <v>300.2751468288</v>
      </c>
      <c r="E16" s="0" t="n">
        <f aca="false">-E12</f>
        <v>303.277898297088</v>
      </c>
      <c r="F16" s="0" t="n">
        <f aca="false">-F12</f>
        <v>307.827066771544</v>
      </c>
      <c r="G16" s="0" t="n">
        <f aca="false">-G12</f>
        <v>308.438774404231</v>
      </c>
      <c r="H16" s="0" t="n">
        <f aca="false">-H12</f>
        <v>313.065356020295</v>
      </c>
      <c r="I16" s="0" t="n">
        <f aca="false">-I12</f>
        <v>313.634565758513</v>
      </c>
      <c r="J16" s="0" t="n">
        <f aca="false">-J12</f>
        <v>318.339084244891</v>
      </c>
      <c r="K16" s="0" t="n">
        <f aca="false">-K12</f>
        <v>318.862668265031</v>
      </c>
      <c r="L16" s="0" t="n">
        <f aca="false">-L12</f>
        <v>323.645608289006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-349.9710336</v>
      </c>
      <c r="D17" s="4" t="n">
        <f aca="false">-D6*Assumptions!D18/100</f>
        <v>-307.974509568</v>
      </c>
      <c r="E17" s="4" t="n">
        <f aca="false">-E6*Assumptions!E18/100</f>
        <v>-291.6133637472</v>
      </c>
      <c r="F17" s="4" t="n">
        <f aca="false">-F6*Assumptions!F18/100</f>
        <v>-295.987564203408</v>
      </c>
      <c r="G17" s="4" t="n">
        <f aca="false">-G6*Assumptions!G18/100</f>
        <v>-300.427377666459</v>
      </c>
      <c r="H17" s="4" t="n">
        <f aca="false">-H6*Assumptions!H18/100</f>
        <v>-304.933788331456</v>
      </c>
      <c r="I17" s="4" t="n">
        <f aca="false">-I6*Assumptions!I18/100</f>
        <v>-309.507795156428</v>
      </c>
      <c r="J17" s="4" t="n">
        <f aca="false">-J6*Assumptions!J18/100</f>
        <v>-314.150412083774</v>
      </c>
      <c r="K17" s="4" t="n">
        <f aca="false">-K6*Assumptions!K18/100</f>
        <v>-318.862668265031</v>
      </c>
      <c r="L17" s="4" t="n">
        <f aca="false">-L6*Assumptions!L18/100</f>
        <v>-323.645608289006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393.7174128</v>
      </c>
      <c r="D19" s="0" t="n">
        <f aca="false">D15+D16+D17+D18</f>
        <v>408.0662251776</v>
      </c>
      <c r="E19" s="0" t="n">
        <f aca="false">E15+E16+E17+E18</f>
        <v>417.007110158496</v>
      </c>
      <c r="F19" s="0" t="n">
        <f aca="false">F15+F16+F17+F18</f>
        <v>414.382589884771</v>
      </c>
      <c r="G19" s="0" t="n">
        <f aca="false">G15+G16+G17+G18</f>
        <v>419.596904140821</v>
      </c>
      <c r="H19" s="0" t="n">
        <f aca="false">H15+H16+H17+H18</f>
        <v>425.890857702933</v>
      </c>
      <c r="I19" s="0" t="n">
        <f aca="false">I15+I16+I17+I18</f>
        <v>431.247527917956</v>
      </c>
      <c r="J19" s="0" t="n">
        <f aca="false">J15+J16+J17+J18</f>
        <v>437.716240836725</v>
      </c>
      <c r="K19" s="0" t="n">
        <f aca="false">K15+K16+K17+K18</f>
        <v>443.219108888393</v>
      </c>
      <c r="L19" s="0" t="n">
        <f aca="false">L15+L16+L17+L18</f>
        <v>449.867395521719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361.20863559633</v>
      </c>
      <c r="D21" s="0" t="n">
        <f aca="false">D19*D20</f>
        <v>343.461177659793</v>
      </c>
      <c r="E21" s="0" t="n">
        <f aca="false">E19*E20</f>
        <v>322.006001532395</v>
      </c>
      <c r="F21" s="0" t="n">
        <f aca="false">F19*F20</f>
        <v>293.559073700862</v>
      </c>
      <c r="G21" s="0" t="n">
        <f aca="false">G19*G20</f>
        <v>272.709197594738</v>
      </c>
      <c r="H21" s="0" t="n">
        <f aca="false">H19*H20</f>
        <v>253.944803264825</v>
      </c>
      <c r="I21" s="0" t="n">
        <f aca="false">I19*I20</f>
        <v>235.907165775146</v>
      </c>
      <c r="J21" s="0" t="n">
        <f aca="false">J19*J20</f>
        <v>219.675021341077</v>
      </c>
      <c r="K21" s="0" t="n">
        <f aca="false">K19*K20</f>
        <v>204.070390144676</v>
      </c>
      <c r="L21" s="0" t="n">
        <f aca="false">L19*L20</f>
        <v>190.028849538391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0.1</v>
      </c>
      <c r="D23" s="4" t="n">
        <f aca="false">Assumptions!D16</f>
        <v>0.1</v>
      </c>
      <c r="E23" s="4" t="n">
        <f aca="false">Assumptions!E16</f>
        <v>0.1</v>
      </c>
      <c r="F23" s="4" t="n">
        <f aca="false">Assumptions!F16</f>
        <v>0.1</v>
      </c>
      <c r="G23" s="4" t="n">
        <f aca="false">Assumptions!G16</f>
        <v>0.1</v>
      </c>
      <c r="H23" s="4" t="n">
        <f aca="false">Assumptions!H16</f>
        <v>0.1</v>
      </c>
      <c r="I23" s="4" t="n">
        <f aca="false">Assumptions!I16</f>
        <v>0.1</v>
      </c>
      <c r="J23" s="4" t="n">
        <f aca="false">Assumptions!J16</f>
        <v>0.1</v>
      </c>
      <c r="K23" s="4" t="n">
        <f aca="false">Assumptions!K16</f>
        <v>0.1</v>
      </c>
      <c r="L23" s="4" t="n">
        <f aca="false">Assumptions!L16</f>
        <v>0.1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-3.88856704</v>
      </c>
      <c r="D24" s="0" t="n">
        <f aca="false">-D6*D23/100</f>
        <v>-3.8496813696</v>
      </c>
      <c r="E24" s="0" t="n">
        <f aca="false">-E6*E23/100</f>
        <v>-3.888178183296</v>
      </c>
      <c r="F24" s="0" t="n">
        <f aca="false">-F6*F23/100</f>
        <v>-3.94650085604544</v>
      </c>
      <c r="G24" s="0" t="n">
        <f aca="false">-G6*G23/100</f>
        <v>-4.00569836888612</v>
      </c>
      <c r="H24" s="0" t="n">
        <f aca="false">-H6*H23/100</f>
        <v>-4.06578384441941</v>
      </c>
      <c r="I24" s="0" t="n">
        <f aca="false">-I6*I23/100</f>
        <v>-4.1267706020857</v>
      </c>
      <c r="J24" s="0" t="n">
        <f aca="false">-J6*J23/100</f>
        <v>-4.18867216111699</v>
      </c>
      <c r="K24" s="0" t="n">
        <f aca="false">-K6*K23/100</f>
        <v>-4.25150224353374</v>
      </c>
      <c r="L24" s="0" t="n">
        <f aca="false">-L6*L23/100</f>
        <v>-4.31527477718675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2696.57031614823</v>
      </c>
    </row>
    <row r="31" customFormat="false" ht="15" hidden="false" customHeight="false" outlineLevel="0" collapsed="false">
      <c r="A31" s="0" t="s">
        <v>126</v>
      </c>
      <c r="B31" s="0" t="n">
        <f aca="false">L19</f>
        <v>449.867395521719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6555.21062045933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6748.01093282578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6555.21062045933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2768.99180755941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5465.56212370765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3951.73912370765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7.6389500174116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-0.182562865980567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7.6389500174116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3529.72879563195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2.81423881454697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-0.5</v>
      </c>
      <c r="D5" s="4" t="n">
        <f aca="false">Assumptions!D27</f>
        <v>3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4008.832</v>
      </c>
      <c r="C6" s="0" t="n">
        <f aca="false">B6*(1+C5/100)</f>
        <v>3988.78784</v>
      </c>
      <c r="D6" s="0" t="n">
        <f aca="false">C6*(1+D5/100)</f>
        <v>4108.4514752</v>
      </c>
      <c r="E6" s="0" t="n">
        <f aca="false">D6*(1+E5/100)</f>
        <v>4293.331791584</v>
      </c>
      <c r="F6" s="0" t="n">
        <f aca="false">E6*(1+F5/100)</f>
        <v>4465.06506324736</v>
      </c>
      <c r="G6" s="0" t="n">
        <f aca="false">F6*(1+G5/100)</f>
        <v>4621.34234046102</v>
      </c>
      <c r="H6" s="0" t="n">
        <f aca="false">G6*(1+H5/100)</f>
        <v>4759.98261067485</v>
      </c>
      <c r="I6" s="0" t="n">
        <f aca="false">H6*(1+I5/100)</f>
        <v>4902.78208899509</v>
      </c>
      <c r="J6" s="0" t="n">
        <f aca="false">I6*(1+J5/100)</f>
        <v>5025.35164121997</v>
      </c>
      <c r="K6" s="0" t="n">
        <f aca="false">J6*(1+K5/100)</f>
        <v>5150.98543225047</v>
      </c>
      <c r="L6" s="0" t="n">
        <f aca="false">K6*(1+L5/100)</f>
        <v>5279.76006805673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24</v>
      </c>
      <c r="D7" s="4" t="n">
        <f aca="false">Assumptions!D28</f>
        <v>24.3</v>
      </c>
      <c r="E7" s="4" t="n">
        <f aca="false">Assumptions!E28</f>
        <v>24.7</v>
      </c>
      <c r="F7" s="4" t="n">
        <f aca="false">Assumptions!F28</f>
        <v>25</v>
      </c>
      <c r="G7" s="4" t="n">
        <f aca="false">Assumptions!G28</f>
        <v>25.3</v>
      </c>
      <c r="H7" s="4" t="n">
        <f aca="false">Assumptions!H28</f>
        <v>25.5</v>
      </c>
      <c r="I7" s="4" t="n">
        <f aca="false">Assumptions!I28</f>
        <v>25.5</v>
      </c>
      <c r="J7" s="4" t="n">
        <f aca="false">Assumptions!J28</f>
        <v>25.5</v>
      </c>
      <c r="K7" s="4" t="n">
        <f aca="false">Assumptions!K28</f>
        <v>25.5</v>
      </c>
      <c r="L7" s="4" t="n">
        <f aca="false">Assumptions!L28</f>
        <v>25.5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957.3090816</v>
      </c>
      <c r="D8" s="0" t="n">
        <f aca="false">D6*D7/100</f>
        <v>998.3537084736</v>
      </c>
      <c r="E8" s="0" t="n">
        <f aca="false">E6*E7/100</f>
        <v>1060.45295252125</v>
      </c>
      <c r="F8" s="0" t="n">
        <f aca="false">F6*F7/100</f>
        <v>1116.26626581184</v>
      </c>
      <c r="G8" s="0" t="n">
        <f aca="false">G6*G7/100</f>
        <v>1169.19961213664</v>
      </c>
      <c r="H8" s="0" t="n">
        <f aca="false">H6*H7/100</f>
        <v>1213.79556572209</v>
      </c>
      <c r="I8" s="0" t="n">
        <f aca="false">I6*I7/100</f>
        <v>1250.20943269375</v>
      </c>
      <c r="J8" s="0" t="n">
        <f aca="false">J6*J7/100</f>
        <v>1281.46466851109</v>
      </c>
      <c r="K8" s="0" t="n">
        <f aca="false">K6*K7/100</f>
        <v>1313.50128522387</v>
      </c>
      <c r="L8" s="0" t="n">
        <f aca="false">L6*L7/100</f>
        <v>1346.33881735447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953.32029376</v>
      </c>
      <c r="D11" s="0" t="n">
        <f aca="false">D8+D10+D24</f>
        <v>994.2452569984</v>
      </c>
      <c r="E11" s="0" t="n">
        <f aca="false">E8+E10+E24</f>
        <v>1056.15962072966</v>
      </c>
      <c r="F11" s="0" t="n">
        <f aca="false">F8+F10+F24</f>
        <v>1111.80120074859</v>
      </c>
      <c r="G11" s="0" t="n">
        <f aca="false">G8+G10+G24</f>
        <v>1164.57826979618</v>
      </c>
      <c r="H11" s="0" t="n">
        <f aca="false">H8+H10+H24</f>
        <v>1209.03558311141</v>
      </c>
      <c r="I11" s="0" t="n">
        <f aca="false">I8+I10+I24</f>
        <v>1245.30665060475</v>
      </c>
      <c r="J11" s="0" t="n">
        <f aca="false">J8+J10+J24</f>
        <v>1276.43931686987</v>
      </c>
      <c r="K11" s="0" t="n">
        <f aca="false">K8+K10+K24</f>
        <v>1308.35029979162</v>
      </c>
      <c r="L11" s="0" t="n">
        <f aca="false">L8+L10+L24</f>
        <v>1341.05905728641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-307.13666368</v>
      </c>
      <c r="D12" s="4" t="n">
        <f aca="false">-D6*Assumptions!D31/100</f>
        <v>-312.2423121152</v>
      </c>
      <c r="E12" s="4" t="n">
        <f aca="false">-E6*Assumptions!E31/100</f>
        <v>-321.9998843688</v>
      </c>
      <c r="F12" s="4" t="n">
        <f aca="false">-F6*Assumptions!F31/100</f>
        <v>-330.414814680305</v>
      </c>
      <c r="G12" s="4" t="n">
        <f aca="false">-G6*Assumptions!G31/100</f>
        <v>-337.357990853654</v>
      </c>
      <c r="H12" s="4" t="n">
        <f aca="false">-H6*Assumptions!H31/100</f>
        <v>-342.718747968589</v>
      </c>
      <c r="I12" s="4" t="n">
        <f aca="false">-I6*Assumptions!I31/100</f>
        <v>-348.097528318652</v>
      </c>
      <c r="J12" s="4" t="n">
        <f aca="false">-J6*Assumptions!J31/100</f>
        <v>-351.774614885398</v>
      </c>
      <c r="K12" s="4" t="n">
        <f aca="false">-K6*Assumptions!K31/100</f>
        <v>-360.568980257533</v>
      </c>
      <c r="L12" s="4" t="n">
        <f aca="false">-L6*Assumptions!L31/100</f>
        <v>-369.583204763971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646.18363008</v>
      </c>
      <c r="D13" s="0" t="n">
        <f aca="false">D11+D12</f>
        <v>682.0029448832</v>
      </c>
      <c r="E13" s="0" t="n">
        <f aca="false">E11+E12</f>
        <v>734.159736360864</v>
      </c>
      <c r="F13" s="0" t="n">
        <f aca="false">F11+F12</f>
        <v>781.386386068288</v>
      </c>
      <c r="G13" s="0" t="n">
        <f aca="false">G11+G12</f>
        <v>827.220278942522</v>
      </c>
      <c r="H13" s="0" t="n">
        <f aca="false">H11+H12</f>
        <v>866.316835142822</v>
      </c>
      <c r="I13" s="0" t="n">
        <f aca="false">I11+I12</f>
        <v>897.209122286102</v>
      </c>
      <c r="J13" s="0" t="n">
        <f aca="false">J11+J12</f>
        <v>924.664701984474</v>
      </c>
      <c r="K13" s="0" t="n">
        <f aca="false">K11+K12</f>
        <v>947.781319534086</v>
      </c>
      <c r="L13" s="0" t="n">
        <f aca="false">L11+L12</f>
        <v>971.475852522439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484.63772256</v>
      </c>
      <c r="D15" s="0" t="n">
        <f aca="false">D13-MAX(0,D13)*D14/100</f>
        <v>511.5022086624</v>
      </c>
      <c r="E15" s="0" t="n">
        <f aca="false">E13-MAX(0,E13)*E14/100</f>
        <v>550.619802270648</v>
      </c>
      <c r="F15" s="0" t="n">
        <f aca="false">F13-MAX(0,F13)*F14/100</f>
        <v>586.039789551216</v>
      </c>
      <c r="G15" s="0" t="n">
        <f aca="false">G13-MAX(0,G13)*G14/100</f>
        <v>620.415209206892</v>
      </c>
      <c r="H15" s="0" t="n">
        <f aca="false">H13-MAX(0,H13)*H14/100</f>
        <v>649.737626357117</v>
      </c>
      <c r="I15" s="0" t="n">
        <f aca="false">I13-MAX(0,I13)*I14/100</f>
        <v>672.906841714576</v>
      </c>
      <c r="J15" s="0" t="n">
        <f aca="false">J13-MAX(0,J13)*J14/100</f>
        <v>693.498526488356</v>
      </c>
      <c r="K15" s="0" t="n">
        <f aca="false">K13-MAX(0,K13)*K14/100</f>
        <v>710.835989650565</v>
      </c>
      <c r="L15" s="0" t="n">
        <f aca="false">L13-MAX(0,L13)*L14/100</f>
        <v>728.606889391829</v>
      </c>
    </row>
    <row r="16" customFormat="false" ht="15" hidden="false" customHeight="false" outlineLevel="0" collapsed="false">
      <c r="A16" s="0" t="s">
        <v>117</v>
      </c>
      <c r="C16" s="0" t="n">
        <f aca="false">-C12</f>
        <v>307.13666368</v>
      </c>
      <c r="D16" s="0" t="n">
        <f aca="false">-D12</f>
        <v>312.2423121152</v>
      </c>
      <c r="E16" s="0" t="n">
        <f aca="false">-E12</f>
        <v>321.9998843688</v>
      </c>
      <c r="F16" s="0" t="n">
        <f aca="false">-F12</f>
        <v>330.414814680305</v>
      </c>
      <c r="G16" s="0" t="n">
        <f aca="false">-G12</f>
        <v>337.357990853654</v>
      </c>
      <c r="H16" s="0" t="n">
        <f aca="false">-H12</f>
        <v>342.718747968589</v>
      </c>
      <c r="I16" s="0" t="n">
        <f aca="false">-I12</f>
        <v>348.097528318652</v>
      </c>
      <c r="J16" s="0" t="n">
        <f aca="false">-J12</f>
        <v>351.774614885398</v>
      </c>
      <c r="K16" s="0" t="n">
        <f aca="false">-K12</f>
        <v>360.568980257533</v>
      </c>
      <c r="L16" s="0" t="n">
        <f aca="false">-L12</f>
        <v>369.583204763971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-339.0469664</v>
      </c>
      <c r="D17" s="4" t="n">
        <f aca="false">-D6*Assumptions!D32/100</f>
        <v>-308.13386064</v>
      </c>
      <c r="E17" s="4" t="n">
        <f aca="false">-E6*Assumptions!E32/100</f>
        <v>-300.53322541088</v>
      </c>
      <c r="F17" s="4" t="n">
        <f aca="false">-F6*Assumptions!F32/100</f>
        <v>-312.554554427315</v>
      </c>
      <c r="G17" s="4" t="n">
        <f aca="false">-G6*Assumptions!G32/100</f>
        <v>-323.493963832271</v>
      </c>
      <c r="H17" s="4" t="n">
        <f aca="false">-H6*Assumptions!H32/100</f>
        <v>-333.198782747239</v>
      </c>
      <c r="I17" s="4" t="n">
        <f aca="false">-I6*Assumptions!I32/100</f>
        <v>-343.194746229656</v>
      </c>
      <c r="J17" s="4" t="n">
        <f aca="false">-J6*Assumptions!J32/100</f>
        <v>-351.774614885398</v>
      </c>
      <c r="K17" s="4" t="n">
        <f aca="false">-K6*Assumptions!K32/100</f>
        <v>-360.568980257533</v>
      </c>
      <c r="L17" s="4" t="n">
        <f aca="false">-L6*Assumptions!L32/100</f>
        <v>-369.583204763971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452.72741984</v>
      </c>
      <c r="D19" s="0" t="n">
        <f aca="false">D15+D16+D17+D18</f>
        <v>515.6106601376</v>
      </c>
      <c r="E19" s="0" t="n">
        <f aca="false">E15+E16+E17+E18</f>
        <v>572.086461228568</v>
      </c>
      <c r="F19" s="0" t="n">
        <f aca="false">F15+F16+F17+F18</f>
        <v>603.900049804205</v>
      </c>
      <c r="G19" s="0" t="n">
        <f aca="false">G15+G16+G17+G18</f>
        <v>634.279236228275</v>
      </c>
      <c r="H19" s="0" t="n">
        <f aca="false">H15+H16+H17+H18</f>
        <v>659.257591578466</v>
      </c>
      <c r="I19" s="0" t="n">
        <f aca="false">I15+I16+I17+I18</f>
        <v>677.809623803572</v>
      </c>
      <c r="J19" s="0" t="n">
        <f aca="false">J15+J16+J17+J18</f>
        <v>693.498526488356</v>
      </c>
      <c r="K19" s="0" t="n">
        <f aca="false">K15+K16+K17+K18</f>
        <v>710.835989650565</v>
      </c>
      <c r="L19" s="0" t="n">
        <f aca="false">L15+L16+L17+L18</f>
        <v>728.606889391829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415.346256733945</v>
      </c>
      <c r="D21" s="0" t="n">
        <f aca="false">D19*D20</f>
        <v>433.979176952782</v>
      </c>
      <c r="E21" s="0" t="n">
        <f aca="false">E19*E20</f>
        <v>441.755714527295</v>
      </c>
      <c r="F21" s="0" t="n">
        <f aca="false">F19*F20</f>
        <v>427.818020244827</v>
      </c>
      <c r="G21" s="0" t="n">
        <f aca="false">G19*G20</f>
        <v>412.237983302098</v>
      </c>
      <c r="H21" s="0" t="n">
        <f aca="false">H19*H20</f>
        <v>393.093761855322</v>
      </c>
      <c r="I21" s="0" t="n">
        <f aca="false">I19*I20</f>
        <v>370.78507570492</v>
      </c>
      <c r="J21" s="0" t="n">
        <f aca="false">J19*J20</f>
        <v>348.043525447258</v>
      </c>
      <c r="K21" s="0" t="n">
        <f aca="false">K19*K20</f>
        <v>327.288636315082</v>
      </c>
      <c r="L21" s="0" t="n">
        <f aca="false">L19*L20</f>
        <v>307.77142405776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0.1</v>
      </c>
      <c r="D23" s="4" t="n">
        <f aca="false">Assumptions!D30</f>
        <v>0.1</v>
      </c>
      <c r="E23" s="4" t="n">
        <f aca="false">Assumptions!E30</f>
        <v>0.1</v>
      </c>
      <c r="F23" s="4" t="n">
        <f aca="false">Assumptions!F30</f>
        <v>0.1</v>
      </c>
      <c r="G23" s="4" t="n">
        <f aca="false">Assumptions!G30</f>
        <v>0.1</v>
      </c>
      <c r="H23" s="4" t="n">
        <f aca="false">Assumptions!H30</f>
        <v>0.1</v>
      </c>
      <c r="I23" s="4" t="n">
        <f aca="false">Assumptions!I30</f>
        <v>0.1</v>
      </c>
      <c r="J23" s="4" t="n">
        <f aca="false">Assumptions!J30</f>
        <v>0.1</v>
      </c>
      <c r="K23" s="4" t="n">
        <f aca="false">Assumptions!K30</f>
        <v>0.1</v>
      </c>
      <c r="L23" s="4" t="n">
        <f aca="false">Assumptions!L30</f>
        <v>0.1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-3.98878784</v>
      </c>
      <c r="D24" s="0" t="n">
        <f aca="false">-D6*D23/100</f>
        <v>-4.1084514752</v>
      </c>
      <c r="E24" s="0" t="n">
        <f aca="false">-E6*E23/100</f>
        <v>-4.293331791584</v>
      </c>
      <c r="F24" s="0" t="n">
        <f aca="false">-F6*F23/100</f>
        <v>-4.46506506324736</v>
      </c>
      <c r="G24" s="0" t="n">
        <f aca="false">-G6*G23/100</f>
        <v>-4.62134234046102</v>
      </c>
      <c r="H24" s="0" t="n">
        <f aca="false">-H6*H23/100</f>
        <v>-4.75998261067485</v>
      </c>
      <c r="I24" s="0" t="n">
        <f aca="false">-I6*I23/100</f>
        <v>-4.90278208899509</v>
      </c>
      <c r="J24" s="0" t="n">
        <f aca="false">-J6*J23/100</f>
        <v>-5.02535164121997</v>
      </c>
      <c r="K24" s="0" t="n">
        <f aca="false">-K6*K23/100</f>
        <v>-5.15098543225047</v>
      </c>
      <c r="L24" s="0" t="n">
        <f aca="false">-L6*L23/100</f>
        <v>-5.27976006805673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3878.11957514129</v>
      </c>
    </row>
    <row r="31" customFormat="false" ht="15" hidden="false" customHeight="false" outlineLevel="0" collapsed="false">
      <c r="A31" s="0" t="s">
        <v>126</v>
      </c>
      <c r="B31" s="0" t="n">
        <f aca="false">L19</f>
        <v>728.606889391829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11489.5701788711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10929.1033408774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10929.1033408774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4616.57136086641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8494.69093600769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6980.86793600769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13.49443866914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0.44402767995078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13.49443866914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5974.576493013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5.66780788054463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1</v>
      </c>
      <c r="D5" s="4" t="n">
        <f aca="false">Assumptions!D41</f>
        <v>5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4008.832</v>
      </c>
      <c r="C6" s="0" t="n">
        <f aca="false">B6*(1+C5/100)</f>
        <v>4048.92032</v>
      </c>
      <c r="D6" s="0" t="n">
        <f aca="false">C6*(1+D5/100)</f>
        <v>4251.366336</v>
      </c>
      <c r="E6" s="0" t="n">
        <f aca="false">D6*(1+E5/100)</f>
        <v>4548.96197952</v>
      </c>
      <c r="F6" s="0" t="n">
        <f aca="false">E6*(1+F5/100)</f>
        <v>4844.6445081888</v>
      </c>
      <c r="G6" s="0" t="n">
        <f aca="false">F6*(1+G5/100)</f>
        <v>5135.32317868013</v>
      </c>
      <c r="H6" s="0" t="n">
        <f aca="false">G6*(1+H5/100)</f>
        <v>5392.08933761414</v>
      </c>
      <c r="I6" s="0" t="n">
        <f aca="false">H6*(1+I5/100)</f>
        <v>5634.73335780677</v>
      </c>
      <c r="J6" s="0" t="n">
        <f aca="false">I6*(1+J5/100)</f>
        <v>5860.12269211904</v>
      </c>
      <c r="K6" s="0" t="n">
        <f aca="false">J6*(1+K5/100)</f>
        <v>6065.22698634321</v>
      </c>
      <c r="L6" s="0" t="n">
        <f aca="false">K6*(1+L5/100)</f>
        <v>6247.1837959335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24.5</v>
      </c>
      <c r="D7" s="4" t="n">
        <f aca="false">Assumptions!D42</f>
        <v>25.3</v>
      </c>
      <c r="E7" s="4" t="n">
        <f aca="false">Assumptions!E42</f>
        <v>26</v>
      </c>
      <c r="F7" s="4" t="n">
        <f aca="false">Assumptions!F42</f>
        <v>26.7</v>
      </c>
      <c r="G7" s="4" t="n">
        <f aca="false">Assumptions!G42</f>
        <v>27.3</v>
      </c>
      <c r="H7" s="4" t="n">
        <f aca="false">Assumptions!H42</f>
        <v>27.8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991.9854784</v>
      </c>
      <c r="D8" s="0" t="n">
        <f aca="false">D6*D7/100</f>
        <v>1075.595683008</v>
      </c>
      <c r="E8" s="0" t="n">
        <f aca="false">E6*E7/100</f>
        <v>1182.7301146752</v>
      </c>
      <c r="F8" s="0" t="n">
        <f aca="false">F6*F7/100</f>
        <v>1293.52008368641</v>
      </c>
      <c r="G8" s="0" t="n">
        <f aca="false">G6*G7/100</f>
        <v>1401.94322777968</v>
      </c>
      <c r="H8" s="0" t="n">
        <f aca="false">H6*H7/100</f>
        <v>1499.00083585673</v>
      </c>
      <c r="I8" s="0" t="n">
        <f aca="false">I6*I7/100</f>
        <v>1577.7253401859</v>
      </c>
      <c r="J8" s="0" t="n">
        <f aca="false">J6*J7/100</f>
        <v>1640.83435379333</v>
      </c>
      <c r="K8" s="0" t="n">
        <f aca="false">K6*K7/100</f>
        <v>1698.2635561761</v>
      </c>
      <c r="L8" s="0" t="n">
        <f aca="false">L6*L7/100</f>
        <v>1749.21146286138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987.93655808</v>
      </c>
      <c r="D11" s="0" t="n">
        <f aca="false">D8+D10+D24</f>
        <v>1071.344316672</v>
      </c>
      <c r="E11" s="0" t="n">
        <f aca="false">E8+E10+E24</f>
        <v>1178.18115269568</v>
      </c>
      <c r="F11" s="0" t="n">
        <f aca="false">F8+F10+F24</f>
        <v>1288.67543917822</v>
      </c>
      <c r="G11" s="0" t="n">
        <f aca="false">G8+G10+G24</f>
        <v>1396.807904601</v>
      </c>
      <c r="H11" s="0" t="n">
        <f aca="false">H8+H10+H24</f>
        <v>1493.60874651912</v>
      </c>
      <c r="I11" s="0" t="n">
        <f aca="false">I8+I10+I24</f>
        <v>1572.09060682809</v>
      </c>
      <c r="J11" s="0" t="n">
        <f aca="false">J8+J10+J24</f>
        <v>1634.97423110121</v>
      </c>
      <c r="K11" s="0" t="n">
        <f aca="false">K8+K10+K24</f>
        <v>1692.19832918976</v>
      </c>
      <c r="L11" s="0" t="n">
        <f aca="false">L8+L10+L24</f>
        <v>1742.96427906545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-311.76686464</v>
      </c>
      <c r="D12" s="4" t="n">
        <f aca="false">-D6*Assumptions!D45/100</f>
        <v>-318.8524752</v>
      </c>
      <c r="E12" s="4" t="n">
        <f aca="false">-E6*Assumptions!E45/100</f>
        <v>-332.07422450496</v>
      </c>
      <c r="F12" s="4" t="n">
        <f aca="false">-F6*Assumptions!F45/100</f>
        <v>-343.969760081405</v>
      </c>
      <c r="G12" s="4" t="n">
        <f aca="false">-G6*Assumptions!G45/100</f>
        <v>-359.472622507609</v>
      </c>
      <c r="H12" s="4" t="n">
        <f aca="false">-H6*Assumptions!H45/100</f>
        <v>-372.054164295375</v>
      </c>
      <c r="I12" s="4" t="n">
        <f aca="false">-I6*Assumptions!I45/100</f>
        <v>-383.16186833086</v>
      </c>
      <c r="J12" s="4" t="n">
        <f aca="false">-J6*Assumptions!J45/100</f>
        <v>-392.628220371976</v>
      </c>
      <c r="K12" s="4" t="n">
        <f aca="false">-K6*Assumptions!K45/100</f>
        <v>-400.304981098652</v>
      </c>
      <c r="L12" s="4" t="n">
        <f aca="false">-L6*Assumptions!L45/100</f>
        <v>-406.066946735678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676.16969344</v>
      </c>
      <c r="D13" s="0" t="n">
        <f aca="false">D11+D12</f>
        <v>752.491841472</v>
      </c>
      <c r="E13" s="0" t="n">
        <f aca="false">E11+E12</f>
        <v>846.10692819072</v>
      </c>
      <c r="F13" s="0" t="n">
        <f aca="false">F11+F12</f>
        <v>944.705679096816</v>
      </c>
      <c r="G13" s="0" t="n">
        <f aca="false">G11+G12</f>
        <v>1037.33528209339</v>
      </c>
      <c r="H13" s="0" t="n">
        <f aca="false">H11+H12</f>
        <v>1121.55458222374</v>
      </c>
      <c r="I13" s="0" t="n">
        <f aca="false">I11+I12</f>
        <v>1188.92873849723</v>
      </c>
      <c r="J13" s="0" t="n">
        <f aca="false">J11+J12</f>
        <v>1242.34601072924</v>
      </c>
      <c r="K13" s="0" t="n">
        <f aca="false">K11+K12</f>
        <v>1291.8933480911</v>
      </c>
      <c r="L13" s="0" t="n">
        <f aca="false">L11+L12</f>
        <v>1336.89733232977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507.12727008</v>
      </c>
      <c r="D15" s="0" t="n">
        <f aca="false">D13-MAX(0,D13)*D14/100</f>
        <v>564.368881104</v>
      </c>
      <c r="E15" s="0" t="n">
        <f aca="false">E13-MAX(0,E13)*E14/100</f>
        <v>634.58019614304</v>
      </c>
      <c r="F15" s="0" t="n">
        <f aca="false">F13-MAX(0,F13)*F14/100</f>
        <v>708.529259322612</v>
      </c>
      <c r="G15" s="0" t="n">
        <f aca="false">G13-MAX(0,G13)*G14/100</f>
        <v>778.00146157004</v>
      </c>
      <c r="H15" s="0" t="n">
        <f aca="false">H13-MAX(0,H13)*H14/100</f>
        <v>841.165936667805</v>
      </c>
      <c r="I15" s="0" t="n">
        <f aca="false">I13-MAX(0,I13)*I14/100</f>
        <v>891.696553872922</v>
      </c>
      <c r="J15" s="0" t="n">
        <f aca="false">J13-MAX(0,J13)*J14/100</f>
        <v>931.759508046928</v>
      </c>
      <c r="K15" s="0" t="n">
        <f aca="false">K13-MAX(0,K13)*K14/100</f>
        <v>968.920011068327</v>
      </c>
      <c r="L15" s="0" t="n">
        <f aca="false">L13-MAX(0,L13)*L14/100</f>
        <v>1002.67299924733</v>
      </c>
    </row>
    <row r="16" customFormat="false" ht="15" hidden="false" customHeight="false" outlineLevel="0" collapsed="false">
      <c r="A16" s="0" t="s">
        <v>117</v>
      </c>
      <c r="C16" s="0" t="n">
        <f aca="false">-C12</f>
        <v>311.76686464</v>
      </c>
      <c r="D16" s="0" t="n">
        <f aca="false">-D12</f>
        <v>318.8524752</v>
      </c>
      <c r="E16" s="0" t="n">
        <f aca="false">-E12</f>
        <v>332.07422450496</v>
      </c>
      <c r="F16" s="0" t="n">
        <f aca="false">-F12</f>
        <v>343.969760081405</v>
      </c>
      <c r="G16" s="0" t="n">
        <f aca="false">-G12</f>
        <v>359.472622507609</v>
      </c>
      <c r="H16" s="0" t="n">
        <f aca="false">-H12</f>
        <v>372.054164295375</v>
      </c>
      <c r="I16" s="0" t="n">
        <f aca="false">-I12</f>
        <v>383.16186833086</v>
      </c>
      <c r="J16" s="0" t="n">
        <f aca="false">-J12</f>
        <v>392.628220371976</v>
      </c>
      <c r="K16" s="0" t="n">
        <f aca="false">-K12</f>
        <v>400.304981098652</v>
      </c>
      <c r="L16" s="0" t="n">
        <f aca="false">-L12</f>
        <v>406.066946735678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-344.1582272</v>
      </c>
      <c r="D17" s="4" t="n">
        <f aca="false">-D6*Assumptions!D46/100</f>
        <v>-318.8524752</v>
      </c>
      <c r="E17" s="4" t="n">
        <f aca="false">-E6*Assumptions!E46/100</f>
        <v>-318.4273385664</v>
      </c>
      <c r="F17" s="4" t="n">
        <f aca="false">-F6*Assumptions!F46/100</f>
        <v>-339.125115573216</v>
      </c>
      <c r="G17" s="4" t="n">
        <f aca="false">-G6*Assumptions!G46/100</f>
        <v>-359.472622507609</v>
      </c>
      <c r="H17" s="4" t="n">
        <f aca="false">-H6*Assumptions!H46/100</f>
        <v>-377.44625363299</v>
      </c>
      <c r="I17" s="4" t="n">
        <f aca="false">-I6*Assumptions!I46/100</f>
        <v>-394.431335046474</v>
      </c>
      <c r="J17" s="4" t="n">
        <f aca="false">-J6*Assumptions!J46/100</f>
        <v>-410.208588448333</v>
      </c>
      <c r="K17" s="4" t="n">
        <f aca="false">-K6*Assumptions!K46/100</f>
        <v>-424.565889044025</v>
      </c>
      <c r="L17" s="4" t="n">
        <f aca="false">-L6*Assumptions!L46/100</f>
        <v>-437.302865715345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474.73590752</v>
      </c>
      <c r="D19" s="0" t="n">
        <f aca="false">D15+D16+D17+D18</f>
        <v>564.368881104</v>
      </c>
      <c r="E19" s="0" t="n">
        <f aca="false">E15+E16+E17+E18</f>
        <v>648.2270820816</v>
      </c>
      <c r="F19" s="0" t="n">
        <f aca="false">F15+F16+F17+F18</f>
        <v>713.373903830801</v>
      </c>
      <c r="G19" s="0" t="n">
        <f aca="false">G15+G16+G17+G18</f>
        <v>778.00146157004</v>
      </c>
      <c r="H19" s="0" t="n">
        <f aca="false">H15+H16+H17+H18</f>
        <v>835.773847330191</v>
      </c>
      <c r="I19" s="0" t="n">
        <f aca="false">I15+I16+I17+I18</f>
        <v>880.427087157308</v>
      </c>
      <c r="J19" s="0" t="n">
        <f aca="false">J15+J16+J17+J18</f>
        <v>914.179139970571</v>
      </c>
      <c r="K19" s="0" t="n">
        <f aca="false">K15+K16+K17+K18</f>
        <v>944.659103122955</v>
      </c>
      <c r="L19" s="0" t="n">
        <f aca="false">L15+L16+L17+L18</f>
        <v>971.43708026766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435.537529834862</v>
      </c>
      <c r="D21" s="0" t="n">
        <f aca="false">D19*D20</f>
        <v>475.017996047471</v>
      </c>
      <c r="E21" s="0" t="n">
        <f aca="false">E19*E20</f>
        <v>500.550244111599</v>
      </c>
      <c r="F21" s="0" t="n">
        <f aca="false">F19*F20</f>
        <v>505.372058389738</v>
      </c>
      <c r="G21" s="0" t="n">
        <f aca="false">G19*G20</f>
        <v>505.647568460355</v>
      </c>
      <c r="H21" s="0" t="n">
        <f aca="false">H19*H20</f>
        <v>498.344637823131</v>
      </c>
      <c r="I21" s="0" t="n">
        <f aca="false">I19*I20</f>
        <v>481.623766762699</v>
      </c>
      <c r="J21" s="0" t="n">
        <f aca="false">J19*J20</f>
        <v>458.795683931481</v>
      </c>
      <c r="K21" s="0" t="n">
        <f aca="false">K19*K20</f>
        <v>434.947293250762</v>
      </c>
      <c r="L21" s="0" t="n">
        <f aca="false">L19*L20</f>
        <v>410.345520924254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0.1</v>
      </c>
      <c r="D23" s="4" t="n">
        <f aca="false">Assumptions!D44</f>
        <v>0.1</v>
      </c>
      <c r="E23" s="4" t="n">
        <f aca="false">Assumptions!E44</f>
        <v>0.1</v>
      </c>
      <c r="F23" s="4" t="n">
        <f aca="false">Assumptions!F44</f>
        <v>0.1</v>
      </c>
      <c r="G23" s="4" t="n">
        <f aca="false">Assumptions!G44</f>
        <v>0.1</v>
      </c>
      <c r="H23" s="4" t="n">
        <f aca="false">Assumptions!H44</f>
        <v>0.1</v>
      </c>
      <c r="I23" s="4" t="n">
        <f aca="false">Assumptions!I44</f>
        <v>0.1</v>
      </c>
      <c r="J23" s="4" t="n">
        <f aca="false">Assumptions!J44</f>
        <v>0.1</v>
      </c>
      <c r="K23" s="4" t="n">
        <f aca="false">Assumptions!K44</f>
        <v>0.1</v>
      </c>
      <c r="L23" s="4" t="n">
        <f aca="false">Assumptions!L44</f>
        <v>0.1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-4.04892032</v>
      </c>
      <c r="D24" s="0" t="n">
        <f aca="false">-D6*D23/100</f>
        <v>-4.251366336</v>
      </c>
      <c r="E24" s="0" t="n">
        <f aca="false">-E6*E23/100</f>
        <v>-4.54896197952</v>
      </c>
      <c r="F24" s="0" t="n">
        <f aca="false">-F6*F23/100</f>
        <v>-4.8446445081888</v>
      </c>
      <c r="G24" s="0" t="n">
        <f aca="false">-G6*G23/100</f>
        <v>-5.13532317868013</v>
      </c>
      <c r="H24" s="0" t="n">
        <f aca="false">-H6*H23/100</f>
        <v>-5.39208933761414</v>
      </c>
      <c r="I24" s="0" t="n">
        <f aca="false">-I6*I23/100</f>
        <v>-5.63473335780677</v>
      </c>
      <c r="J24" s="0" t="n">
        <f aca="false">-J6*J23/100</f>
        <v>-5.86012269211904</v>
      </c>
      <c r="K24" s="0" t="n">
        <f aca="false">-K6*K23/100</f>
        <v>-6.06522698634321</v>
      </c>
      <c r="L24" s="0" t="n">
        <f aca="false">-L6*L23/100</f>
        <v>-6.24718379593351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4706.18229953635</v>
      </c>
    </row>
    <row r="31" customFormat="false" ht="15" hidden="false" customHeight="false" outlineLevel="0" collapsed="false">
      <c r="A31" s="0" t="s">
        <v>126</v>
      </c>
      <c r="B31" s="0" t="n">
        <f aca="false">L19</f>
        <v>971.43708026766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16676.3365445948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14571.5562040149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14571.5562040149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6155.18281386382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10861.3651134002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9347.54211340017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18.0693625653404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0.93358614931411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18.0693625653404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8338.16827229742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7.94007584290748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7.6389500174116</v>
      </c>
      <c r="C4" s="0" t="n">
        <f aca="false">B4/Assumptions!$B$2-1</f>
        <v>-0.182562865980567</v>
      </c>
      <c r="D4" s="4" t="n">
        <f aca="false">Assumptions!$B$24</f>
        <v>0.3</v>
      </c>
      <c r="E4" s="4" t="n">
        <f aca="false">DCF_Bear!$B$43</f>
        <v>7.6389500174116</v>
      </c>
      <c r="F4" s="4" t="n">
        <f aca="false">DCF_Bear!$B$47</f>
        <v>2.81423881454697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13.49443866914</v>
      </c>
      <c r="C5" s="0" t="n">
        <f aca="false">B5/Assumptions!$B$2-1</f>
        <v>0.44402767995078</v>
      </c>
      <c r="D5" s="4" t="n">
        <f aca="false">Assumptions!$B$38</f>
        <v>0.5</v>
      </c>
      <c r="E5" s="4" t="n">
        <f aca="false">DCF_Base!$B$43</f>
        <v>13.49443866914</v>
      </c>
      <c r="F5" s="4" t="n">
        <f aca="false">DCF_Base!$B$47</f>
        <v>5.66780788054463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18.0693625653404</v>
      </c>
      <c r="C6" s="0" t="n">
        <f aca="false">B6/Assumptions!$B$2-1</f>
        <v>0.93358614931411</v>
      </c>
      <c r="D6" s="4" t="n">
        <f aca="false">Assumptions!$B$52</f>
        <v>0.2</v>
      </c>
      <c r="E6" s="4" t="n">
        <f aca="false">DCF_Bull!$B$43</f>
        <v>18.0693625653404</v>
      </c>
      <c r="F6" s="4" t="n">
        <f aca="false">DCF_Bull!$B$47</f>
        <v>7.94007584290748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12.6527768528616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12.6527768528616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0.261426949303503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5.26619075321791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13.49443866914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11.6465868269156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9.88517414861295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8.49596473036027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5.66780788054463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16.0781026745469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16.0781026745469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16.0781026745469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16.0781026745469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16.0781026745469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14.726271317926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14.726271317926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14.726271317926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14.726271317926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14.726271317926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12.6218589443749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13.2394640742411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13.49443866914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13.49443866914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13.49443866914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10.7096197744255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11.1488230802802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11.6465868269156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12.2154596802131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12.3706068220216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9.20332337893422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9.52530846461585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9.88517414861295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10.2900230431097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10.748851790206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2026-10-23T11:55:39Z</dcterms:created>
  <dc:creator>openpyxl</dc:creator>
  <dc:description/>
  <dc:language>en-NZ</dc:language>
  <cp:lastModifiedBy/>
  <dcterms:modified xsi:type="dcterms:W3CDTF">2026-10-23T11:55:39Z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