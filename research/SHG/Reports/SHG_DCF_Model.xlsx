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<sst xmlns="http://schemas.openxmlformats.org/spreadsheetml/2006/main" count="370" uniqueCount="175">
  <si>
    <t xml:space="preserve">Ticker</t>
  </si>
  <si>
    <t xml:space="preserve">SHG</t>
  </si>
  <si>
    <t xml:space="preserve">Company</t>
  </si>
  <si>
    <t xml:space="preserve">Shinhan Financial Group Co., Ltd.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</si>
  <si>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</si>
  <si>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</si>
  <si>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</si>
  <si>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</si>
  <si>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NYSE regular close (Friday; valuation date is the following Saturday, no after-hours print involved)</t>
  </si>
  <si>
    <t xml:space="preserve">Balance sheet date</t>
  </si>
  <si>
    <t xml:space="preserve">2025-12-31</t>
  </si>
  <si>
    <t xml:space="preserve">Model</t>
  </si>
  <si>
    <t xml:space="preserve">Bank FCFE at cost of equity (engine route): net income to common less CET1 retention, net debt zero</t>
  </si>
  <si>
    <t xml:space="preserve">Currency (model)</t>
  </si>
  <si>
    <t xml:space="preserve">KRW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</si>
  <si>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</si>
  <si>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</si>
  <si>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</si>
  <si>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</si>
  <si>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</si>
  <si>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</si>
  <si>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</si>
  <si>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2026-10-04T08:23:05Z</t>
  </si>
  <si>
    <t xml:space="preserve">Drivers file</t>
  </si>
  <si>
    <t xml:space="preserve">SHG_Drivers.json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</si>
  <si>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</si>
  <si>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</si>
  <si>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</si>
  <si>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bank earning roughly its cost of equity is worth roughly its book, and the model says so: Shinhan's FCFE to common (net income less the capital retained to grow CET1 inside the 13-14% range) discounted at a 9.5% KRW cost of equity values the common at about 1.0-1.1x common book across the weighted scenarios, against an ADR at ~0.94x book and ~9-10x FY2026E earnings. The upside case is not growth -- growth consumes capital at ~11% ROCET1 -- but the durability of the 2026 margin and the Value-Up distribution of the surplus CET1; the downside is the Korean household-debt cycle and the BoK, which the 25% bear weight prices. Hybrid coupons and NCI are charged inside the flow, SBC is cash-settled and inside G&amp;A, and deposits and wholesale funding are operating liabilities, not net debt.
key_risks_to_valuation: FY0 is an estimate: the H1 2026 6-K is not extracted, so FY2026E revenue (+5%) and margin (38.5%) rest on the Analysis JSON's Q2 2026 facts; re-base when the filing lands; Cyclical peak anchoring: if 36% is still too generous a mid-cycle margin (FY2023-24 were 33.9%), base value falls ~KRW 6,500/share per margin point; KRW/USD: every USD value moves one-for-one with the won; a 10% won depreciation is -10% on the ADR regardless of the business; Hybrid bonds charged at coupon inside the flow, not at par in the bridge: the par treatment would take ~USD 7.5/share off every scenario; Share count assumes the FY2026 cancellation programmes complete as announced (~470m); treasury-share cancellation is now mandatory under the March 2026 Commercial Code amendment; Regulatory intervention (merchant-fee cuts, directed lending, payout guidance in a downturn) is in the bear path and the 25% weight, not in the base; Cost of equity 9.5% in KRW: each 50bp is ~KRW 8,000/share on the base value</t>
  </si>
  <si>
    <t xml:space="preserve">Data sources</t>
  </si>
  <si>
    <t xml:space="preserve">price: Yahoo Finance chart API (query1.finance.yahoo.com/v8/finance/chart/SHG) at inputs.price_as_of; 52-week range 47.05-85.57 USD. KRW/USD from Yahoo KRW=X and the Seoul listing 055550.KS at the same date for the parity check in inputs.fx_note.
financials: SEC Form 20-F FY2016-FY2025 (research/SHG/Extracted/SHG_Annual_FY*.txt): consolidated statements of comprehensive income (FY2025 lines 60380-60418), financial position, changes in equity (hybrid coupons line 60572, treasury stock lines 60576-60577), cash flows (lines 60700-60707); capital adequacy table (CET1 and RWA lines 64250-64255); share count note (lines 27, 58818, 71880-71902); share-based payments note 43 (lines 71501-71550). Metrics CSV research/SHG/Reports/SHG_Metrics.csv (core_metrics + kpis: NIM, NPL, NII, fees, hybrid bonds, TotalCommonEquity, dividends, buybacks).
qualitative: research/SHG/Reports/SHG_Analysis.json (2026-10-04): Q2 2026 results, Value-Up +++ targets (10%+ ROE, 50%+ return ratio, 13%+ CET1), FY2026 buyback programmes, overseas strategy, bull/bear axes.</t>
  </si>
  <si>
    <t xml:space="preserve">Scenario narrative: bear</t>
  </si>
  <si>
    <t xml:space="preserve">The Korean household-debt cycle turns: the BoK cuts into a housing downturn, NIM compresses toward 1.55% as in 2020, real-estate PF and SME credit costs double, card merchant fees are cut again, the equity-market trading gains of 2025-26 reverse, and digital banks keep taking retail share. Revenue is flat for two years and the pre-tax margin falls to 32%, below the FY2023-24 trough, with ROE on common ~7.5% -- below the cost of equity -- and the FSC leaning on payouts. The balance sheet (CET1 13.4%, NPL 0.57%) means this is an earnings-and-multiple bear, not a solvency one.</t>
  </si>
  <si>
    <t xml:space="preserve">Scenario narrative: base</t>
  </si>
  <si>
    <t xml:space="preserve">Shinhan stays what it is: a top-2 Korean universal bank earning ~10.5% on regulatory capital and ~9.5% on common book, with revenue growing ~3% (household lending capped, corporate and overseas mid-single digits, NIM drifting down from the 2026 spread widening), the pre-tax margin reverting from the FY2026E cyclical high of 38.5% to a 36% mid-cycle by FY2030, and the Value-Up plan distributing ~70% of earnings through dividends and buybacks-for-cancellation while CET1 is held at ~13.4%. The axes are the BoK rate path versus NIM, household/real-estate credit costs, how much of the 2025-26 trading windfall repeats, and whether the 10% ROE target is met on common book or only on CET1.</t>
  </si>
  <si>
    <t xml:space="preserve">Scenario narrative: bull</t>
  </si>
  <si>
    <t xml:space="preserve">The Value-Up ROE target is met and held on common book: overseas profit compounds toward 30% of the group (Vietnam, Japan), securities and WM capture the household shift into capital markets, AI transformation takes cost-to-income under 40%, credit cost stays ~40bp, and the 38% margin proves to be the new normal rather than a peak. Faster balance-sheet growth consumes more retained capital, so the bull is driven by margin and payout more than by growth, and a re-rating toward 1.2x book follows a sustained double-digit ROE.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</si>
  <si>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</si>
  <si>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</si>
  <si>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</si>
  <si>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</si>
  <si>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</si>
  <si>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</si>
  <si>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</si>
  <si>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</si>
  <si>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</si>
  <si>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</si>
  <si>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</si>
  <si>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</si>
  <si>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</si>
  <si>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</si>
  <si>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</si>
  <si>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</si>
  <si>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</si>
  <si>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</si>
  <si>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</si>
  <si>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</si>
  <si>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</si>
  <si>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</si>
  <si>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</si>
  <si>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</si>
  <si>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</si>
  <si>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</si>
  <si>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</si>
  <si>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BaselRatio</t>
  </si>
  <si>
    <t xml:space="preserve">Deposits</t>
  </si>
  <si>
    <t xml:space="preserve">NIM</t>
  </si>
  <si>
    <t xml:space="preserve">NPLRatio90d</t>
  </si>
  <si>
    <t xml:space="preserve">NetInterestIncome</t>
  </si>
  <si>
    <t xml:space="preserve">ROE</t>
  </si>
  <si>
    <t xml:space="preserve">TotalCommonEquity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</si>
  <si>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</si>
  <si>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</si>
  <si>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</si>
  <si>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</si>
  <si>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</si>
  <si>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</si>
  <si>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</si>
  <si>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</si>
  <si>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</si>
  <si>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</si>
  <si>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</si>
  <si>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</si>
  <si>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</si>
  <si>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</si>
  <si>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</si>
  <si>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</si>
  <si>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</si>
  <si>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</si>
  <si>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</si>
  <si>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</si>
  <si>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</si>
  <si>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</si>
  <si>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KRW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</si>
  <si>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</si>
  <si>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</si>
  <si>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</si>
  <si>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</si>
  <si>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</si>
  <si>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</si>
  <si>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</si>
  <si>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</si>
  <si>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</si>
  <si>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</si>
  <si>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</si>
  <si>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</si>
  <si>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</si>
  <si>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</si>
  <si>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</si>
  <si>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</si>
  <si>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</si>
  <si>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</si>
  <si>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</si>
  <si>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</si>
  <si>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</si>
  <si>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</si>
  <si>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</si>
  <si>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</si>
  <si>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</si>
  <si>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</si>
  <si>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SHG owner-FCF component DCF: bear case (millions, KRW)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</si>
  <si>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</si>
  <si>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</si>
  <si>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</si>
  <si>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</si>
  <si>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</si>
  <si>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</si>
  <si>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</si>
  <si>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</si>
  <si>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</si>
  <si>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</si>
  <si>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</si>
  <si>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</si>
  <si>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</si>
  <si>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</si>
  <si>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</si>
  <si>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</si>
  <si>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</si>
  <si>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</si>
  <si>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</si>
  <si>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</si>
  <si>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</si>
  <si>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</si>
  <si>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</si>
  <si>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</si>
  <si>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</si>
  <si>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</si>
  <si>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</si>
  <si>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</si>
  <si>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</si>
  <si>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</si>
  <si>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SHG owner-FCF component DCF: base case (millions, KRW)</t>
  </si>
  <si>
    <t xml:space="preserve">SHG owner-FCF component DCF: bull case (millions, KRW)</t>
  </si>
  <si>
    <t xml:space="preserve">SHG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</si>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</sst>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78.03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</row>
    <row r="2" customFormat="false" ht="15" hidden="false" customHeight="false" outlineLevel="0" collapsed="false">
      <c r="A2" s="0" t="s">
        <v>71</v>
      </c>
      <c r="F2" s="0" t="n">
        <v>2973141</v>
      </c>
      <c r="I2" s="0" t="n">
        <v>2367171</v>
      </c>
      <c r="K2" s="0" t="n">
        <v>4789</v>
      </c>
      <c r="L2" s="0" t="n">
        <v>2970314</v>
      </c>
      <c r="M2" s="0" t="n">
        <v>257480</v>
      </c>
      <c r="S2" s="0" t="n">
        <v>4607251</v>
      </c>
      <c r="T2" s="0" t="n">
        <v>474.199587</v>
      </c>
      <c r="U2" s="0" t="n">
        <v>14425</v>
      </c>
      <c r="AA2" s="0" t="s">
        <v>18</v>
      </c>
      <c r="AB2" s="0" t="s">
        <v>14</v>
      </c>
      <c r="AC2" s="0" t="n">
        <v>13.39</v>
      </c>
      <c r="AE2" s="0" t="n">
        <v>2.08</v>
      </c>
      <c r="AF2" s="0" t="n">
        <v>0.54</v>
      </c>
      <c r="AG2" s="0" t="n">
        <v>6692933</v>
      </c>
      <c r="AH2" s="0" t="n">
        <v>7.87</v>
      </c>
    </row>
    <row r="3" customFormat="false" ht="15" hidden="false" customHeight="false" outlineLevel="0" collapsed="false">
      <c r="A3" s="0" t="s">
        <v>72</v>
      </c>
      <c r="F3" s="0" t="n">
        <v>3108642</v>
      </c>
      <c r="I3" s="0" t="n">
        <v>2774778</v>
      </c>
      <c r="K3" s="0" t="n">
        <v>5736</v>
      </c>
      <c r="L3" s="0" t="n">
        <v>3797177</v>
      </c>
      <c r="M3" s="0" t="n">
        <v>340960</v>
      </c>
      <c r="O3" s="0" t="n">
        <v>31109698</v>
      </c>
      <c r="P3" s="0" t="n">
        <v>395680324</v>
      </c>
      <c r="Q3" s="0" t="n">
        <v>363935344</v>
      </c>
      <c r="R3" s="0" t="n">
        <v>69621026</v>
      </c>
      <c r="S3" s="0" t="n">
        <v>5632536</v>
      </c>
      <c r="T3" s="0" t="n">
        <v>474.199587</v>
      </c>
      <c r="U3" s="0" t="n">
        <v>27937</v>
      </c>
      <c r="AA3" s="0" t="s">
        <v>18</v>
      </c>
      <c r="AB3" s="0" t="s">
        <v>14</v>
      </c>
      <c r="AC3" s="0" t="n">
        <v>15</v>
      </c>
      <c r="AE3" s="0" t="n">
        <v>2.06</v>
      </c>
      <c r="AF3" s="0" t="n">
        <v>0.45</v>
      </c>
      <c r="AG3" s="0" t="n">
        <v>7205366</v>
      </c>
      <c r="AH3" s="0" t="n">
        <v>8.97</v>
      </c>
      <c r="AI3" s="0" t="n">
        <v>30611382</v>
      </c>
    </row>
    <row r="4" customFormat="false" ht="15" hidden="false" customHeight="false" outlineLevel="0" collapsed="false">
      <c r="A4" s="0" t="s">
        <v>73</v>
      </c>
      <c r="F4" s="0" t="n">
        <v>3828675</v>
      </c>
      <c r="I4" s="0" t="n">
        <v>2917735</v>
      </c>
      <c r="K4" s="0" t="n">
        <v>6116</v>
      </c>
      <c r="L4" s="0" t="n">
        <v>1021334</v>
      </c>
      <c r="M4" s="0" t="n">
        <v>266443</v>
      </c>
      <c r="O4" s="0" t="n">
        <v>32819139</v>
      </c>
      <c r="P4" s="0" t="n">
        <v>426305656</v>
      </c>
      <c r="Q4" s="0" t="n">
        <v>392603120</v>
      </c>
      <c r="R4" s="0" t="n">
        <v>78927431</v>
      </c>
      <c r="S4" s="0" t="n">
        <v>6236650</v>
      </c>
      <c r="T4" s="0" t="n">
        <v>474.199587</v>
      </c>
      <c r="U4" s="0" t="n">
        <v>19172</v>
      </c>
      <c r="AA4" s="0" t="s">
        <v>18</v>
      </c>
      <c r="AB4" s="0" t="s">
        <v>14</v>
      </c>
      <c r="AC4" s="0" t="n">
        <v>14.78</v>
      </c>
      <c r="AE4" s="0" t="n">
        <v>2.13</v>
      </c>
      <c r="AF4" s="0" t="n">
        <v>0.39</v>
      </c>
      <c r="AG4" s="0" t="n">
        <v>7842953</v>
      </c>
      <c r="AH4" s="0" t="n">
        <v>8.94</v>
      </c>
      <c r="AI4" s="0" t="n">
        <v>32395218</v>
      </c>
    </row>
    <row r="5" customFormat="false" ht="15" hidden="false" customHeight="false" outlineLevel="0" collapsed="false">
      <c r="A5" s="0" t="s">
        <v>74</v>
      </c>
      <c r="F5" s="0" t="n">
        <v>4499414</v>
      </c>
      <c r="I5" s="0" t="n">
        <v>3156722</v>
      </c>
      <c r="K5" s="0" t="n">
        <v>6579</v>
      </c>
      <c r="L5" s="0" t="n">
        <v>-6320196</v>
      </c>
      <c r="M5" s="0" t="n">
        <v>300093</v>
      </c>
      <c r="O5" s="0" t="n">
        <v>35725625</v>
      </c>
      <c r="P5" s="0" t="n">
        <v>459600510</v>
      </c>
      <c r="Q5" s="0" t="n">
        <v>422949080</v>
      </c>
      <c r="R5" s="0" t="n">
        <v>93046241</v>
      </c>
      <c r="S5" s="0" t="n">
        <v>8179756</v>
      </c>
      <c r="T5" s="0" t="n">
        <v>473.649076</v>
      </c>
      <c r="U5" s="0" t="n">
        <v>10582</v>
      </c>
      <c r="AA5" s="0" t="s">
        <v>18</v>
      </c>
      <c r="AB5" s="0" t="s">
        <v>14</v>
      </c>
      <c r="AC5" s="0" t="n">
        <v>14.87</v>
      </c>
      <c r="AE5" s="0" t="n">
        <v>2.14</v>
      </c>
      <c r="AF5" s="0" t="n">
        <v>0.36</v>
      </c>
      <c r="AG5" s="0" t="n">
        <v>8580089</v>
      </c>
      <c r="AH5" s="0" t="n">
        <v>9.23</v>
      </c>
      <c r="AI5" s="0" t="n">
        <v>34193866</v>
      </c>
    </row>
    <row r="6" customFormat="false" ht="15" hidden="false" customHeight="false" outlineLevel="0" collapsed="false">
      <c r="A6" s="0" t="s">
        <v>75</v>
      </c>
      <c r="F6" s="0" t="n">
        <v>5046250</v>
      </c>
      <c r="I6" s="0" t="n">
        <v>3403497</v>
      </c>
      <c r="K6" s="0" t="n">
        <v>7000</v>
      </c>
      <c r="L6" s="0" t="n">
        <v>7179046</v>
      </c>
      <c r="M6" s="0" t="n">
        <v>589316</v>
      </c>
      <c r="O6" s="0" t="n">
        <v>39177946</v>
      </c>
      <c r="P6" s="0" t="n">
        <v>552419581</v>
      </c>
      <c r="Q6" s="0" t="n">
        <v>510489200</v>
      </c>
      <c r="R6" s="0" t="n">
        <v>110226520</v>
      </c>
      <c r="S6" s="0" t="n">
        <v>8579174</v>
      </c>
      <c r="T6" s="0" t="n">
        <v>477.346731</v>
      </c>
      <c r="U6" s="0" t="n">
        <v>37304</v>
      </c>
      <c r="AA6" s="0" t="s">
        <v>18</v>
      </c>
      <c r="AB6" s="0" t="s">
        <v>14</v>
      </c>
      <c r="AC6" s="0" t="n">
        <v>13.9</v>
      </c>
      <c r="AE6" s="0" t="n">
        <v>2.07</v>
      </c>
      <c r="AF6" s="0" t="n">
        <v>0.4</v>
      </c>
      <c r="AG6" s="0" t="n">
        <v>9737964</v>
      </c>
      <c r="AH6" s="0" t="n">
        <v>9.02</v>
      </c>
      <c r="AI6" s="0" t="n">
        <v>37446711</v>
      </c>
    </row>
    <row r="7" customFormat="false" ht="15" hidden="false" customHeight="false" outlineLevel="0" collapsed="false">
      <c r="A7" s="0" t="s">
        <v>76</v>
      </c>
      <c r="F7" s="0" t="n">
        <v>4929736</v>
      </c>
      <c r="I7" s="0" t="n">
        <v>3414595</v>
      </c>
      <c r="K7" s="0" t="n">
        <v>6654</v>
      </c>
      <c r="L7" s="0" t="n">
        <v>-4409317</v>
      </c>
      <c r="M7" s="0" t="n">
        <v>642069</v>
      </c>
      <c r="O7" s="0" t="n">
        <v>44069567</v>
      </c>
      <c r="P7" s="0" t="n">
        <v>605234104</v>
      </c>
      <c r="Q7" s="0" t="n">
        <v>558877246</v>
      </c>
      <c r="R7" s="0" t="n">
        <v>116728458</v>
      </c>
      <c r="S7" s="0" t="n">
        <v>8962982</v>
      </c>
      <c r="T7" s="0" t="n">
        <v>500.343324</v>
      </c>
      <c r="U7" s="0" t="n">
        <v>-4208</v>
      </c>
      <c r="AA7" s="0" t="s">
        <v>18</v>
      </c>
      <c r="AB7" s="0" t="s">
        <v>14</v>
      </c>
      <c r="AE7" s="0" t="n">
        <v>1.92</v>
      </c>
      <c r="AF7" s="0" t="n">
        <v>0.47</v>
      </c>
      <c r="AG7" s="0" t="n">
        <v>9882700</v>
      </c>
      <c r="AI7" s="0" t="n">
        <v>41889633</v>
      </c>
    </row>
    <row r="8" customFormat="false" ht="15" hidden="false" customHeight="false" outlineLevel="0" collapsed="false">
      <c r="A8" s="0" t="s">
        <v>77</v>
      </c>
      <c r="F8" s="0" t="n">
        <v>5952096</v>
      </c>
      <c r="I8" s="0" t="n">
        <v>4019254</v>
      </c>
      <c r="K8" s="0" t="n">
        <v>7308</v>
      </c>
      <c r="L8" s="0" t="n">
        <v>11080115</v>
      </c>
      <c r="M8" s="0" t="n">
        <v>890214</v>
      </c>
      <c r="O8" s="0" t="n">
        <v>47291150</v>
      </c>
      <c r="P8" s="0" t="n">
        <v>648152185</v>
      </c>
      <c r="Q8" s="0" t="n">
        <v>598613763</v>
      </c>
      <c r="R8" s="0" t="n">
        <v>123316428</v>
      </c>
      <c r="S8" s="0" t="n">
        <v>13083885</v>
      </c>
      <c r="T8" s="0" t="n">
        <v>534.049948</v>
      </c>
      <c r="U8" s="0" t="n">
        <v>37183</v>
      </c>
      <c r="AA8" s="0" t="s">
        <v>18</v>
      </c>
      <c r="AB8" s="0" t="s">
        <v>14</v>
      </c>
      <c r="AE8" s="0" t="n">
        <v>1.94</v>
      </c>
      <c r="AF8" s="0" t="n">
        <v>0.46</v>
      </c>
      <c r="AG8" s="0" t="n">
        <v>10769325</v>
      </c>
      <c r="AI8" s="0" t="n">
        <v>43956619</v>
      </c>
    </row>
    <row r="9" customFormat="false" ht="15" hidden="false" customHeight="false" outlineLevel="0" collapsed="false">
      <c r="A9" s="0" t="s">
        <v>78</v>
      </c>
      <c r="F9" s="0" t="n">
        <v>5905564</v>
      </c>
      <c r="I9" s="0" t="n">
        <v>4665643</v>
      </c>
      <c r="K9" s="0" t="n">
        <v>8498</v>
      </c>
      <c r="L9" s="0" t="n">
        <v>7188440</v>
      </c>
      <c r="M9" s="0" t="n">
        <v>943127</v>
      </c>
      <c r="O9" s="0" t="n">
        <v>50731842</v>
      </c>
      <c r="P9" s="0" t="n">
        <v>664433230</v>
      </c>
      <c r="Q9" s="0" t="n">
        <v>611009672</v>
      </c>
      <c r="R9" s="0" t="n">
        <v>126567958</v>
      </c>
      <c r="S9" s="0" t="n">
        <v>24413946</v>
      </c>
      <c r="T9" s="0" t="n">
        <v>530.638621</v>
      </c>
      <c r="U9" s="0" t="n">
        <v>28251</v>
      </c>
      <c r="AA9" s="0" t="s">
        <v>18</v>
      </c>
      <c r="AB9" s="0" t="s">
        <v>14</v>
      </c>
      <c r="AD9" s="0" t="n">
        <v>382988294</v>
      </c>
      <c r="AE9" s="0" t="n">
        <v>2.08</v>
      </c>
      <c r="AF9" s="0" t="n">
        <v>0.49</v>
      </c>
      <c r="AG9" s="0" t="n">
        <v>10596853</v>
      </c>
      <c r="AI9" s="0" t="n">
        <v>46534874</v>
      </c>
    </row>
    <row r="10" customFormat="false" ht="15" hidden="false" customHeight="false" outlineLevel="0" collapsed="false">
      <c r="A10" s="0" t="s">
        <v>79</v>
      </c>
      <c r="F10" s="0" t="n">
        <v>6100850</v>
      </c>
      <c r="I10" s="0" t="n">
        <v>4368035</v>
      </c>
      <c r="K10" s="0" t="n">
        <v>8048</v>
      </c>
      <c r="L10" s="0" t="n">
        <v>529846</v>
      </c>
      <c r="M10" s="0" t="n">
        <v>716238</v>
      </c>
      <c r="O10" s="0" t="n">
        <v>53720537</v>
      </c>
      <c r="P10" s="0" t="n">
        <v>691795333</v>
      </c>
      <c r="Q10" s="0" t="n">
        <v>635473468</v>
      </c>
      <c r="R10" s="0" t="n">
        <v>138463077</v>
      </c>
      <c r="S10" s="0" t="n">
        <v>30416884</v>
      </c>
      <c r="T10" s="0" t="n">
        <v>519.207776</v>
      </c>
      <c r="U10" s="0" t="n">
        <v>41874</v>
      </c>
      <c r="AA10" s="0" t="s">
        <v>18</v>
      </c>
      <c r="AB10" s="0" t="s">
        <v>14</v>
      </c>
      <c r="AD10" s="0" t="n">
        <v>381512664</v>
      </c>
      <c r="AE10" s="0" t="n">
        <v>1.78</v>
      </c>
      <c r="AF10" s="0" t="n">
        <v>0.53</v>
      </c>
      <c r="AG10" s="0" t="n">
        <v>10817922</v>
      </c>
      <c r="AI10" s="0" t="n">
        <v>49718806</v>
      </c>
    </row>
    <row r="11" customFormat="false" ht="15" hidden="false" customHeight="false" outlineLevel="0" collapsed="false">
      <c r="A11" s="0" t="s">
        <v>80</v>
      </c>
      <c r="F11" s="0" t="n">
        <v>6458670</v>
      </c>
      <c r="I11" s="0" t="n">
        <v>4450177</v>
      </c>
      <c r="K11" s="0" t="n">
        <v>8441</v>
      </c>
      <c r="L11" s="0" t="n">
        <v>4626299</v>
      </c>
      <c r="M11" s="0" t="n">
        <v>778774</v>
      </c>
      <c r="O11" s="0" t="n">
        <v>56053756</v>
      </c>
      <c r="P11" s="0" t="n">
        <v>739764256</v>
      </c>
      <c r="Q11" s="0" t="n">
        <v>680943223</v>
      </c>
      <c r="R11" s="0" t="n">
        <v>143686227</v>
      </c>
      <c r="S11" s="0" t="n">
        <v>35247543</v>
      </c>
      <c r="T11" s="0" t="n">
        <v>506.231595</v>
      </c>
      <c r="U11" s="0" t="n">
        <v>46636</v>
      </c>
      <c r="AA11" s="0" t="s">
        <v>18</v>
      </c>
      <c r="AB11" s="0" t="s">
        <v>14</v>
      </c>
      <c r="AD11" s="0" t="n">
        <v>422781045</v>
      </c>
      <c r="AE11" s="0" t="n">
        <v>1.76</v>
      </c>
      <c r="AF11" s="0" t="n">
        <v>0.58</v>
      </c>
      <c r="AG11" s="0" t="n">
        <v>11402302</v>
      </c>
      <c r="AI11" s="0" t="n">
        <v>51453635</v>
      </c>
    </row>
    <row r="12" customFormat="false" ht="15" hidden="false" customHeight="false" outlineLevel="0" collapsed="false">
      <c r="A12" s="0" t="s">
        <v>81</v>
      </c>
      <c r="F12" s="0" t="n">
        <v>7023357</v>
      </c>
      <c r="I12" s="0" t="n">
        <v>4971561</v>
      </c>
      <c r="K12" s="0" t="n">
        <v>9812</v>
      </c>
      <c r="L12" s="0" t="n">
        <v>9730881</v>
      </c>
      <c r="M12" s="0" t="n">
        <v>637069</v>
      </c>
      <c r="O12" s="0" t="n">
        <v>57959272</v>
      </c>
      <c r="P12" s="0" t="n">
        <v>786013485</v>
      </c>
      <c r="Q12" s="0" t="n">
        <v>725641161</v>
      </c>
      <c r="R12" s="0" t="n">
        <v>148386256</v>
      </c>
      <c r="S12" s="0" t="n">
        <v>35295123</v>
      </c>
      <c r="T12" s="0" t="n">
        <v>486.484485</v>
      </c>
      <c r="U12" s="0" t="n">
        <v>106142</v>
      </c>
      <c r="AA12" s="0" t="s">
        <v>18</v>
      </c>
      <c r="AB12" s="0" t="s">
        <v>14</v>
      </c>
      <c r="AD12" s="0" t="n">
        <v>447648971</v>
      </c>
      <c r="AE12" s="0" t="n">
        <v>1.73</v>
      </c>
      <c r="AF12" s="0" t="n">
        <v>0.57</v>
      </c>
      <c r="AG12" s="0" t="n">
        <v>11694456</v>
      </c>
      <c r="AI12" s="0" t="n">
        <v>53209435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78.03</v>
      </c>
    </row>
    <row r="3" customFormat="false" ht="15" hidden="false" customHeight="false" outlineLevel="0" collapsed="false">
      <c r="A3" s="0" t="s">
        <v>85</v>
      </c>
      <c r="B3" s="3" t="n">
        <v>470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18640000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0.000744866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</v>
      </c>
      <c r="D13" s="3" t="n">
        <v>0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35</v>
      </c>
      <c r="D14" s="3" t="n">
        <v>32.5</v>
      </c>
      <c r="E14" s="3" t="n">
        <v>32</v>
      </c>
      <c r="F14" s="3" t="n">
        <v>33</v>
      </c>
      <c r="G14" s="3" t="n">
        <v>34</v>
      </c>
      <c r="H14" s="3" t="n">
        <v>34</v>
      </c>
      <c r="I14" s="3" t="n">
        <v>34</v>
      </c>
      <c r="J14" s="3" t="n">
        <v>34</v>
      </c>
      <c r="K14" s="3" t="n">
        <v>34</v>
      </c>
      <c r="L14" s="3" t="n">
        <v>34</v>
      </c>
    </row>
    <row r="15" customFormat="false" ht="15" hidden="false" customHeight="false" outlineLevel="0" collapsed="false">
      <c r="A15" s="0" t="s">
        <v>108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111</v>
      </c>
      <c r="C18" s="3" t="n">
        <v>3.6</v>
      </c>
      <c r="D18" s="3" t="n">
        <v>1</v>
      </c>
      <c r="E18" s="3" t="n">
        <v>4.9</v>
      </c>
      <c r="F18" s="3" t="n">
        <v>5.2</v>
      </c>
      <c r="G18" s="3" t="n">
        <v>5.2</v>
      </c>
      <c r="H18" s="3" t="n">
        <v>5.2</v>
      </c>
      <c r="I18" s="3" t="n">
        <v>5.2</v>
      </c>
      <c r="J18" s="3" t="n">
        <v>5.2</v>
      </c>
      <c r="K18" s="3" t="n">
        <v>5.2</v>
      </c>
      <c r="L18" s="3" t="n">
        <v>5.2</v>
      </c>
    </row>
    <row r="19" customFormat="false" ht="15" hidden="false" customHeight="false" outlineLevel="0" collapsed="false">
      <c r="A19" s="0" t="s">
        <v>112</v>
      </c>
      <c r="C19" s="3" t="n">
        <v>26.5</v>
      </c>
      <c r="D19" s="3" t="n">
        <v>26.5</v>
      </c>
      <c r="E19" s="3" t="n">
        <v>26.5</v>
      </c>
      <c r="F19" s="3" t="n">
        <v>26.5</v>
      </c>
      <c r="G19" s="3" t="n">
        <v>26.5</v>
      </c>
      <c r="H19" s="3" t="n">
        <v>26.5</v>
      </c>
      <c r="I19" s="3" t="n">
        <v>26.5</v>
      </c>
      <c r="J19" s="3" t="n">
        <v>26.5</v>
      </c>
      <c r="K19" s="3" t="n">
        <v>26.5</v>
      </c>
      <c r="L19" s="3" t="n">
        <v>26.5</v>
      </c>
    </row>
    <row r="20" customFormat="false" ht="15" hidden="false" customHeight="false" outlineLevel="0" collapsed="false">
      <c r="A20" s="0" t="s">
        <v>113</v>
      </c>
      <c r="B20" s="3" t="n">
        <v>9.5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3.5</v>
      </c>
      <c r="D27" s="3" t="n">
        <v>3.5</v>
      </c>
      <c r="E27" s="3" t="n">
        <v>3.5</v>
      </c>
      <c r="F27" s="3" t="n">
        <v>3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37.5</v>
      </c>
      <c r="D28" s="3" t="n">
        <v>37</v>
      </c>
      <c r="E28" s="3" t="n">
        <v>36.5</v>
      </c>
      <c r="F28" s="3" t="n">
        <v>36</v>
      </c>
      <c r="G28" s="3" t="n">
        <v>36</v>
      </c>
      <c r="H28" s="3" t="n">
        <v>36</v>
      </c>
      <c r="I28" s="3" t="n">
        <v>36</v>
      </c>
      <c r="J28" s="3" t="n">
        <v>36</v>
      </c>
      <c r="K28" s="3" t="n">
        <v>36</v>
      </c>
      <c r="L28" s="3" t="n">
        <v>36</v>
      </c>
    </row>
    <row r="29" customFormat="false" ht="15" hidden="false" customHeight="false" outlineLevel="0" collapsed="false">
      <c r="A29" s="0" t="s">
        <v>108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111</v>
      </c>
      <c r="C32" s="3" t="n">
        <v>8.9</v>
      </c>
      <c r="D32" s="3" t="n">
        <v>8.9</v>
      </c>
      <c r="E32" s="3" t="n">
        <v>8.9</v>
      </c>
      <c r="F32" s="3" t="n">
        <v>7.7</v>
      </c>
      <c r="G32" s="3" t="n">
        <v>7.7</v>
      </c>
      <c r="H32" s="3" t="n">
        <v>7.7</v>
      </c>
      <c r="I32" s="3" t="n">
        <v>6.4</v>
      </c>
      <c r="J32" s="3" t="n">
        <v>6.4</v>
      </c>
      <c r="K32" s="3" t="n">
        <v>6.4</v>
      </c>
      <c r="L32" s="3" t="n">
        <v>6.4</v>
      </c>
    </row>
    <row r="33" customFormat="false" ht="15" hidden="false" customHeight="false" outlineLevel="0" collapsed="false">
      <c r="A33" s="0" t="s">
        <v>112</v>
      </c>
      <c r="C33" s="3" t="n">
        <v>26.5</v>
      </c>
      <c r="D33" s="3" t="n">
        <v>26.5</v>
      </c>
      <c r="E33" s="3" t="n">
        <v>26.5</v>
      </c>
      <c r="F33" s="3" t="n">
        <v>26.5</v>
      </c>
      <c r="G33" s="3" t="n">
        <v>26.5</v>
      </c>
      <c r="H33" s="3" t="n">
        <v>26.5</v>
      </c>
      <c r="I33" s="3" t="n">
        <v>26.5</v>
      </c>
      <c r="J33" s="3" t="n">
        <v>26.5</v>
      </c>
      <c r="K33" s="3" t="n">
        <v>26.5</v>
      </c>
      <c r="L33" s="3" t="n">
        <v>26.5</v>
      </c>
    </row>
    <row r="34" customFormat="false" ht="15" hidden="false" customHeight="false" outlineLevel="0" collapsed="false">
      <c r="A34" s="0" t="s">
        <v>113</v>
      </c>
      <c r="B34" s="3" t="n">
        <v>9.5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5</v>
      </c>
      <c r="D41" s="3" t="n">
        <v>5</v>
      </c>
      <c r="E41" s="3" t="n">
        <v>4.5</v>
      </c>
      <c r="F41" s="3" t="n">
        <v>4.5</v>
      </c>
      <c r="G41" s="3" t="n">
        <v>4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38.5</v>
      </c>
      <c r="D42" s="3" t="n">
        <v>38.5</v>
      </c>
      <c r="E42" s="3" t="n">
        <v>38</v>
      </c>
      <c r="F42" s="3" t="n">
        <v>38</v>
      </c>
      <c r="G42" s="3" t="n">
        <v>38</v>
      </c>
      <c r="H42" s="3" t="n">
        <v>38</v>
      </c>
      <c r="I42" s="3" t="n">
        <v>38</v>
      </c>
      <c r="J42" s="3" t="n">
        <v>38</v>
      </c>
      <c r="K42" s="3" t="n">
        <v>38</v>
      </c>
      <c r="L42" s="3" t="n">
        <v>38</v>
      </c>
    </row>
    <row r="43" customFormat="false" ht="15" hidden="false" customHeight="false" outlineLevel="0" collapsed="false">
      <c r="A43" s="0" t="s">
        <v>108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111</v>
      </c>
      <c r="C46" s="3" t="n">
        <v>12.5</v>
      </c>
      <c r="D46" s="3" t="n">
        <v>12.5</v>
      </c>
      <c r="E46" s="3" t="n">
        <v>11.3</v>
      </c>
      <c r="F46" s="3" t="n">
        <v>11.3</v>
      </c>
      <c r="G46" s="3" t="n">
        <v>10.1</v>
      </c>
      <c r="H46" s="3" t="n">
        <v>10.1</v>
      </c>
      <c r="I46" s="3" t="n">
        <v>8.9</v>
      </c>
      <c r="J46" s="3" t="n">
        <v>7.7</v>
      </c>
      <c r="K46" s="3" t="n">
        <v>7.7</v>
      </c>
      <c r="L46" s="3" t="n">
        <v>7.7</v>
      </c>
    </row>
    <row r="47" customFormat="false" ht="15" hidden="false" customHeight="false" outlineLevel="0" collapsed="false">
      <c r="A47" s="0" t="s">
        <v>112</v>
      </c>
      <c r="C47" s="3" t="n">
        <v>26.5</v>
      </c>
      <c r="D47" s="3" t="n">
        <v>26.5</v>
      </c>
      <c r="E47" s="3" t="n">
        <v>26.5</v>
      </c>
      <c r="F47" s="3" t="n">
        <v>26.5</v>
      </c>
      <c r="G47" s="3" t="n">
        <v>26.5</v>
      </c>
      <c r="H47" s="3" t="n">
        <v>26.5</v>
      </c>
      <c r="I47" s="3" t="n">
        <v>26.5</v>
      </c>
      <c r="J47" s="3" t="n">
        <v>26.5</v>
      </c>
      <c r="K47" s="3" t="n">
        <v>26.5</v>
      </c>
      <c r="L47" s="3" t="n">
        <v>26.5</v>
      </c>
    </row>
    <row r="48" customFormat="false" ht="15" hidden="false" customHeight="false" outlineLevel="0" collapsed="false">
      <c r="A48" s="0" t="s">
        <v>113</v>
      </c>
      <c r="B48" s="3" t="n">
        <v>9.5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</v>
      </c>
      <c r="D5" s="4" t="n">
        <f aca="false">Assumptions!D13</f>
        <v>0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18640000</v>
      </c>
      <c r="C6" s="0" t="n">
        <f aca="false">B6*(1+C5/100)</f>
        <v>18826400</v>
      </c>
      <c r="D6" s="0" t="n">
        <f aca="false">C6*(1+D5/100)</f>
        <v>18826400</v>
      </c>
      <c r="E6" s="0" t="n">
        <f aca="false">D6*(1+E5/100)</f>
        <v>19108796</v>
      </c>
      <c r="F6" s="0" t="n">
        <f aca="false">E6*(1+F5/100)</f>
        <v>19490971.92</v>
      </c>
      <c r="G6" s="0" t="n">
        <f aca="false">F6*(1+G5/100)</f>
        <v>19880791.3584</v>
      </c>
      <c r="H6" s="0" t="n">
        <f aca="false">G6*(1+H5/100)</f>
        <v>20278407.185568</v>
      </c>
      <c r="I6" s="0" t="n">
        <f aca="false">H6*(1+I5/100)</f>
        <v>20683975.3292794</v>
      </c>
      <c r="J6" s="0" t="n">
        <f aca="false">I6*(1+J5/100)</f>
        <v>21097654.835865</v>
      </c>
      <c r="K6" s="0" t="n">
        <f aca="false">J6*(1+K5/100)</f>
        <v>21519607.9325822</v>
      </c>
      <c r="L6" s="0" t="n">
        <f aca="false">K6*(1+L5/100)</f>
        <v>21950000.0912339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35</v>
      </c>
      <c r="D7" s="4" t="n">
        <f aca="false">Assumptions!D14</f>
        <v>32.5</v>
      </c>
      <c r="E7" s="4" t="n">
        <f aca="false">Assumptions!E14</f>
        <v>32</v>
      </c>
      <c r="F7" s="4" t="n">
        <f aca="false">Assumptions!F14</f>
        <v>33</v>
      </c>
      <c r="G7" s="4" t="n">
        <f aca="false">Assumptions!G14</f>
        <v>34</v>
      </c>
      <c r="H7" s="4" t="n">
        <f aca="false">Assumptions!H14</f>
        <v>34</v>
      </c>
      <c r="I7" s="4" t="n">
        <f aca="false">Assumptions!I14</f>
        <v>34</v>
      </c>
      <c r="J7" s="4" t="n">
        <f aca="false">Assumptions!J14</f>
        <v>34</v>
      </c>
      <c r="K7" s="4" t="n">
        <f aca="false">Assumptions!K14</f>
        <v>34</v>
      </c>
      <c r="L7" s="4" t="n">
        <f aca="false">Assumptions!L14</f>
        <v>34</v>
      </c>
    </row>
    <row r="8" customFormat="false" ht="15" hidden="false" customHeight="false" outlineLevel="0" collapsed="false">
      <c r="A8" s="0" t="s">
        <v>44</v>
      </c>
      <c r="C8" s="0" t="n">
        <f aca="false">C6*C7/100</f>
        <v>6589240</v>
      </c>
      <c r="D8" s="0" t="n">
        <f aca="false">D6*D7/100</f>
        <v>6118580</v>
      </c>
      <c r="E8" s="0" t="n">
        <f aca="false">E6*E7/100</f>
        <v>6114814.72</v>
      </c>
      <c r="F8" s="0" t="n">
        <f aca="false">F6*F7/100</f>
        <v>6432020.7336</v>
      </c>
      <c r="G8" s="0" t="n">
        <f aca="false">G6*G7/100</f>
        <v>6759469.061856</v>
      </c>
      <c r="H8" s="0" t="n">
        <f aca="false">H6*H7/100</f>
        <v>6894658.44309312</v>
      </c>
      <c r="I8" s="0" t="n">
        <f aca="false">I6*I7/100</f>
        <v>7032551.61195498</v>
      </c>
      <c r="J8" s="0" t="n">
        <f aca="false">J6*J7/100</f>
        <v>7173202.64419408</v>
      </c>
      <c r="K8" s="0" t="n">
        <f aca="false">K6*K7/100</f>
        <v>7316666.69707796</v>
      </c>
      <c r="L8" s="0" t="n">
        <f aca="false">L6*L7/100</f>
        <v>7463000.03101953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6589240</v>
      </c>
      <c r="D11" s="0" t="n">
        <f aca="false">D8+D10+D24</f>
        <v>6118580</v>
      </c>
      <c r="E11" s="0" t="n">
        <f aca="false">E8+E10+E24</f>
        <v>6114814.72</v>
      </c>
      <c r="F11" s="0" t="n">
        <f aca="false">F8+F10+F24</f>
        <v>6432020.7336</v>
      </c>
      <c r="G11" s="0" t="n">
        <f aca="false">G8+G10+G24</f>
        <v>6759469.061856</v>
      </c>
      <c r="H11" s="0" t="n">
        <f aca="false">H8+H10+H24</f>
        <v>6894658.44309312</v>
      </c>
      <c r="I11" s="0" t="n">
        <f aca="false">I8+I10+I24</f>
        <v>7032551.61195498</v>
      </c>
      <c r="J11" s="0" t="n">
        <f aca="false">J8+J10+J24</f>
        <v>7173202.64419408</v>
      </c>
      <c r="K11" s="0" t="n">
        <f aca="false">K8+K10+K24</f>
        <v>7316666.69707796</v>
      </c>
      <c r="L11" s="0" t="n">
        <f aca="false">L8+L10+L24</f>
        <v>7463000.03101953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6589240</v>
      </c>
      <c r="D13" s="0" t="n">
        <f aca="false">D11+D12</f>
        <v>6118580</v>
      </c>
      <c r="E13" s="0" t="n">
        <f aca="false">E11+E12</f>
        <v>6114814.72</v>
      </c>
      <c r="F13" s="0" t="n">
        <f aca="false">F11+F12</f>
        <v>6432020.7336</v>
      </c>
      <c r="G13" s="0" t="n">
        <f aca="false">G11+G12</f>
        <v>6759469.061856</v>
      </c>
      <c r="H13" s="0" t="n">
        <f aca="false">H11+H12</f>
        <v>6894658.44309312</v>
      </c>
      <c r="I13" s="0" t="n">
        <f aca="false">I11+I12</f>
        <v>7032551.61195498</v>
      </c>
      <c r="J13" s="0" t="n">
        <f aca="false">J11+J12</f>
        <v>7173202.64419408</v>
      </c>
      <c r="K13" s="0" t="n">
        <f aca="false">K11+K12</f>
        <v>7316666.69707796</v>
      </c>
      <c r="L13" s="0" t="n">
        <f aca="false">L11+L12</f>
        <v>7463000.03101953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26.5</v>
      </c>
      <c r="D14" s="4" t="n">
        <f aca="false">Assumptions!D19</f>
        <v>26.5</v>
      </c>
      <c r="E14" s="4" t="n">
        <f aca="false">Assumptions!E19</f>
        <v>26.5</v>
      </c>
      <c r="F14" s="4" t="n">
        <f aca="false">Assumptions!F19</f>
        <v>26.5</v>
      </c>
      <c r="G14" s="4" t="n">
        <f aca="false">Assumptions!G19</f>
        <v>26.5</v>
      </c>
      <c r="H14" s="4" t="n">
        <f aca="false">Assumptions!H19</f>
        <v>26.5</v>
      </c>
      <c r="I14" s="4" t="n">
        <f aca="false">Assumptions!I19</f>
        <v>26.5</v>
      </c>
      <c r="J14" s="4" t="n">
        <f aca="false">Assumptions!J19</f>
        <v>26.5</v>
      </c>
      <c r="K14" s="4" t="n">
        <f aca="false">Assumptions!K19</f>
        <v>26.5</v>
      </c>
      <c r="L14" s="4" t="n">
        <f aca="false">Assumptions!L19</f>
        <v>26.5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4843091.4</v>
      </c>
      <c r="D15" s="0" t="n">
        <f aca="false">D13-MAX(0,D13)*D14/100</f>
        <v>4497156.3</v>
      </c>
      <c r="E15" s="0" t="n">
        <f aca="false">E13-MAX(0,E13)*E14/100</f>
        <v>4494388.8192</v>
      </c>
      <c r="F15" s="0" t="n">
        <f aca="false">F13-MAX(0,F13)*F14/100</f>
        <v>4727535.239196</v>
      </c>
      <c r="G15" s="0" t="n">
        <f aca="false">G13-MAX(0,G13)*G14/100</f>
        <v>4968209.76046416</v>
      </c>
      <c r="H15" s="0" t="n">
        <f aca="false">H13-MAX(0,H13)*H14/100</f>
        <v>5067573.95567344</v>
      </c>
      <c r="I15" s="0" t="n">
        <f aca="false">I13-MAX(0,I13)*I14/100</f>
        <v>5168925.43478691</v>
      </c>
      <c r="J15" s="0" t="n">
        <f aca="false">J13-MAX(0,J13)*J14/100</f>
        <v>5272303.94348265</v>
      </c>
      <c r="K15" s="0" t="n">
        <f aca="false">K13-MAX(0,K13)*K14/100</f>
        <v>5377750.0223523</v>
      </c>
      <c r="L15" s="0" t="n">
        <f aca="false">L13-MAX(0,L13)*L14/100</f>
        <v>5485305.02279935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-677750.4</v>
      </c>
      <c r="D17" s="4" t="n">
        <f aca="false">-D6*Assumptions!D18/100</f>
        <v>-188264</v>
      </c>
      <c r="E17" s="4" t="n">
        <f aca="false">-E6*Assumptions!E18/100</f>
        <v>-936331.004</v>
      </c>
      <c r="F17" s="4" t="n">
        <f aca="false">-F6*Assumptions!F18/100</f>
        <v>-1013530.53984</v>
      </c>
      <c r="G17" s="4" t="n">
        <f aca="false">-G6*Assumptions!G18/100</f>
        <v>-1033801.1506368</v>
      </c>
      <c r="H17" s="4" t="n">
        <f aca="false">-H6*Assumptions!H18/100</f>
        <v>-1054477.17364954</v>
      </c>
      <c r="I17" s="4" t="n">
        <f aca="false">-I6*Assumptions!I18/100</f>
        <v>-1075566.71712253</v>
      </c>
      <c r="J17" s="4" t="n">
        <f aca="false">-J6*Assumptions!J18/100</f>
        <v>-1097078.05146498</v>
      </c>
      <c r="K17" s="4" t="n">
        <f aca="false">-K6*Assumptions!K18/100</f>
        <v>-1119019.61249428</v>
      </c>
      <c r="L17" s="4" t="n">
        <f aca="false">-L6*Assumptions!L18/100</f>
        <v>-1141400.00474416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4165341</v>
      </c>
      <c r="D19" s="0" t="n">
        <f aca="false">D15+D16+D17+D18</f>
        <v>4308892.3</v>
      </c>
      <c r="E19" s="0" t="n">
        <f aca="false">E15+E16+E17+E18</f>
        <v>3558057.8152</v>
      </c>
      <c r="F19" s="0" t="n">
        <f aca="false">F15+F16+F17+F18</f>
        <v>3714004.699356</v>
      </c>
      <c r="G19" s="0" t="n">
        <f aca="false">G15+G16+G17+G18</f>
        <v>3934408.60982736</v>
      </c>
      <c r="H19" s="0" t="n">
        <f aca="false">H15+H16+H17+H18</f>
        <v>4013096.78202391</v>
      </c>
      <c r="I19" s="0" t="n">
        <f aca="false">I15+I16+I17+I18</f>
        <v>4093358.71766439</v>
      </c>
      <c r="J19" s="0" t="n">
        <f aca="false">J15+J16+J17+J18</f>
        <v>4175225.89201767</v>
      </c>
      <c r="K19" s="0" t="n">
        <f aca="false">K15+K16+K17+K18</f>
        <v>4258730.40985803</v>
      </c>
      <c r="L19" s="0" t="n">
        <f aca="false">L15+L16+L17+L18</f>
        <v>4343905.01805519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3803964.38356164</v>
      </c>
      <c r="D21" s="0" t="n">
        <f aca="false">D19*D20</f>
        <v>3593663.43487417</v>
      </c>
      <c r="E21" s="0" t="n">
        <f aca="false">E19*E20</f>
        <v>2710008.43832494</v>
      </c>
      <c r="F21" s="0" t="n">
        <f aca="false">F19*F20</f>
        <v>2583366.19474946</v>
      </c>
      <c r="G21" s="0" t="n">
        <f aca="false">G19*G20</f>
        <v>2499245.19548549</v>
      </c>
      <c r="H21" s="0" t="n">
        <f aca="false">H19*H20</f>
        <v>2328064.01771251</v>
      </c>
      <c r="I21" s="0" t="n">
        <f aca="false">I19*I20</f>
        <v>2168607.57814316</v>
      </c>
      <c r="J21" s="0" t="n">
        <f aca="false">J19*J20</f>
        <v>2020072.81251692</v>
      </c>
      <c r="K21" s="0" t="n">
        <f aca="false">K19*K20</f>
        <v>1881711.66097466</v>
      </c>
      <c r="L21" s="0" t="n">
        <f aca="false">L19*L20</f>
        <v>1752827.30063393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25341531.0169769</v>
      </c>
    </row>
    <row r="31" customFormat="false" ht="15" hidden="false" customHeight="false" outlineLevel="0" collapsed="false">
      <c r="A31" s="0" t="s">
        <v>137</v>
      </c>
      <c r="B31" s="0" t="n">
        <f aca="false">L19</f>
        <v>4343905.01805519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59077108.2455506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65158575.2708278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59077108.2455506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23838451.2886215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49179982.3055984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49179982.3055984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77.9414823405145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-0.00113440547847632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77.9414823405145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34082947.0647407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45.4005054273057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3.5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18640000</v>
      </c>
      <c r="C6" s="0" t="n">
        <f aca="false">B6*(1+C5/100)</f>
        <v>19292400</v>
      </c>
      <c r="D6" s="0" t="n">
        <f aca="false">C6*(1+D5/100)</f>
        <v>19967634</v>
      </c>
      <c r="E6" s="0" t="n">
        <f aca="false">D6*(1+E5/100)</f>
        <v>20666501.19</v>
      </c>
      <c r="F6" s="0" t="n">
        <f aca="false">E6*(1+F5/100)</f>
        <v>21286496.2257</v>
      </c>
      <c r="G6" s="0" t="n">
        <f aca="false">F6*(1+G5/100)</f>
        <v>21925091.112471</v>
      </c>
      <c r="H6" s="0" t="n">
        <f aca="false">G6*(1+H5/100)</f>
        <v>22582843.8458451</v>
      </c>
      <c r="I6" s="0" t="n">
        <f aca="false">H6*(1+I5/100)</f>
        <v>23147414.9419913</v>
      </c>
      <c r="J6" s="0" t="n">
        <f aca="false">I6*(1+J5/100)</f>
        <v>23726100.315541</v>
      </c>
      <c r="K6" s="0" t="n">
        <f aca="false">J6*(1+K5/100)</f>
        <v>24319252.8234296</v>
      </c>
      <c r="L6" s="0" t="n">
        <f aca="false">K6*(1+L5/100)</f>
        <v>24927234.1440153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37.5</v>
      </c>
      <c r="D7" s="4" t="n">
        <f aca="false">Assumptions!D28</f>
        <v>37</v>
      </c>
      <c r="E7" s="4" t="n">
        <f aca="false">Assumptions!E28</f>
        <v>36.5</v>
      </c>
      <c r="F7" s="4" t="n">
        <f aca="false">Assumptions!F28</f>
        <v>36</v>
      </c>
      <c r="G7" s="4" t="n">
        <f aca="false">Assumptions!G28</f>
        <v>36</v>
      </c>
      <c r="H7" s="4" t="n">
        <f aca="false">Assumptions!H28</f>
        <v>36</v>
      </c>
      <c r="I7" s="4" t="n">
        <f aca="false">Assumptions!I28</f>
        <v>36</v>
      </c>
      <c r="J7" s="4" t="n">
        <f aca="false">Assumptions!J28</f>
        <v>36</v>
      </c>
      <c r="K7" s="4" t="n">
        <f aca="false">Assumptions!K28</f>
        <v>36</v>
      </c>
      <c r="L7" s="4" t="n">
        <f aca="false">Assumptions!L28</f>
        <v>36</v>
      </c>
    </row>
    <row r="8" customFormat="false" ht="15" hidden="false" customHeight="false" outlineLevel="0" collapsed="false">
      <c r="A8" s="0" t="s">
        <v>44</v>
      </c>
      <c r="C8" s="0" t="n">
        <f aca="false">C6*C7/100</f>
        <v>7234650</v>
      </c>
      <c r="D8" s="0" t="n">
        <f aca="false">D6*D7/100</f>
        <v>7388024.58</v>
      </c>
      <c r="E8" s="0" t="n">
        <f aca="false">E6*E7/100</f>
        <v>7543272.93435</v>
      </c>
      <c r="F8" s="0" t="n">
        <f aca="false">F6*F7/100</f>
        <v>7663138.641252</v>
      </c>
      <c r="G8" s="0" t="n">
        <f aca="false">G6*G7/100</f>
        <v>7893032.80048956</v>
      </c>
      <c r="H8" s="0" t="n">
        <f aca="false">H6*H7/100</f>
        <v>8129823.78450425</v>
      </c>
      <c r="I8" s="0" t="n">
        <f aca="false">I6*I7/100</f>
        <v>8333069.37911685</v>
      </c>
      <c r="J8" s="0" t="n">
        <f aca="false">J6*J7/100</f>
        <v>8541396.11359477</v>
      </c>
      <c r="K8" s="0" t="n">
        <f aca="false">K6*K7/100</f>
        <v>8754931.01643464</v>
      </c>
      <c r="L8" s="0" t="n">
        <f aca="false">L6*L7/100</f>
        <v>8973804.2918455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7234650</v>
      </c>
      <c r="D11" s="0" t="n">
        <f aca="false">D8+D10+D24</f>
        <v>7388024.58</v>
      </c>
      <c r="E11" s="0" t="n">
        <f aca="false">E8+E10+E24</f>
        <v>7543272.93435</v>
      </c>
      <c r="F11" s="0" t="n">
        <f aca="false">F8+F10+F24</f>
        <v>7663138.641252</v>
      </c>
      <c r="G11" s="0" t="n">
        <f aca="false">G8+G10+G24</f>
        <v>7893032.80048956</v>
      </c>
      <c r="H11" s="0" t="n">
        <f aca="false">H8+H10+H24</f>
        <v>8129823.78450425</v>
      </c>
      <c r="I11" s="0" t="n">
        <f aca="false">I8+I10+I24</f>
        <v>8333069.37911685</v>
      </c>
      <c r="J11" s="0" t="n">
        <f aca="false">J8+J10+J24</f>
        <v>8541396.11359477</v>
      </c>
      <c r="K11" s="0" t="n">
        <f aca="false">K8+K10+K24</f>
        <v>8754931.01643464</v>
      </c>
      <c r="L11" s="0" t="n">
        <f aca="false">L8+L10+L24</f>
        <v>8973804.2918455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7234650</v>
      </c>
      <c r="D13" s="0" t="n">
        <f aca="false">D11+D12</f>
        <v>7388024.58</v>
      </c>
      <c r="E13" s="0" t="n">
        <f aca="false">E11+E12</f>
        <v>7543272.93435</v>
      </c>
      <c r="F13" s="0" t="n">
        <f aca="false">F11+F12</f>
        <v>7663138.641252</v>
      </c>
      <c r="G13" s="0" t="n">
        <f aca="false">G11+G12</f>
        <v>7893032.80048956</v>
      </c>
      <c r="H13" s="0" t="n">
        <f aca="false">H11+H12</f>
        <v>8129823.78450425</v>
      </c>
      <c r="I13" s="0" t="n">
        <f aca="false">I11+I12</f>
        <v>8333069.37911685</v>
      </c>
      <c r="J13" s="0" t="n">
        <f aca="false">J11+J12</f>
        <v>8541396.11359477</v>
      </c>
      <c r="K13" s="0" t="n">
        <f aca="false">K11+K12</f>
        <v>8754931.01643464</v>
      </c>
      <c r="L13" s="0" t="n">
        <f aca="false">L11+L12</f>
        <v>8973804.2918455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26.5</v>
      </c>
      <c r="D14" s="4" t="n">
        <f aca="false">Assumptions!D33</f>
        <v>26.5</v>
      </c>
      <c r="E14" s="4" t="n">
        <f aca="false">Assumptions!E33</f>
        <v>26.5</v>
      </c>
      <c r="F14" s="4" t="n">
        <f aca="false">Assumptions!F33</f>
        <v>26.5</v>
      </c>
      <c r="G14" s="4" t="n">
        <f aca="false">Assumptions!G33</f>
        <v>26.5</v>
      </c>
      <c r="H14" s="4" t="n">
        <f aca="false">Assumptions!H33</f>
        <v>26.5</v>
      </c>
      <c r="I14" s="4" t="n">
        <f aca="false">Assumptions!I33</f>
        <v>26.5</v>
      </c>
      <c r="J14" s="4" t="n">
        <f aca="false">Assumptions!J33</f>
        <v>26.5</v>
      </c>
      <c r="K14" s="4" t="n">
        <f aca="false">Assumptions!K33</f>
        <v>26.5</v>
      </c>
      <c r="L14" s="4" t="n">
        <f aca="false">Assumptions!L33</f>
        <v>26.5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5317467.75</v>
      </c>
      <c r="D15" s="0" t="n">
        <f aca="false">D13-MAX(0,D13)*D14/100</f>
        <v>5430198.0663</v>
      </c>
      <c r="E15" s="0" t="n">
        <f aca="false">E13-MAX(0,E13)*E14/100</f>
        <v>5544305.60674725</v>
      </c>
      <c r="F15" s="0" t="n">
        <f aca="false">F13-MAX(0,F13)*F14/100</f>
        <v>5632406.90132022</v>
      </c>
      <c r="G15" s="0" t="n">
        <f aca="false">G13-MAX(0,G13)*G14/100</f>
        <v>5801379.10835983</v>
      </c>
      <c r="H15" s="0" t="n">
        <f aca="false">H13-MAX(0,H13)*H14/100</f>
        <v>5975420.48161062</v>
      </c>
      <c r="I15" s="0" t="n">
        <f aca="false">I13-MAX(0,I13)*I14/100</f>
        <v>6124805.99365089</v>
      </c>
      <c r="J15" s="0" t="n">
        <f aca="false">J13-MAX(0,J13)*J14/100</f>
        <v>6277926.14349216</v>
      </c>
      <c r="K15" s="0" t="n">
        <f aca="false">K13-MAX(0,K13)*K14/100</f>
        <v>6434874.29707946</v>
      </c>
      <c r="L15" s="0" t="n">
        <f aca="false">L13-MAX(0,L13)*L14/100</f>
        <v>6595746.15450645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-1717023.6</v>
      </c>
      <c r="D17" s="4" t="n">
        <f aca="false">-D6*Assumptions!D32/100</f>
        <v>-1777119.426</v>
      </c>
      <c r="E17" s="4" t="n">
        <f aca="false">-E6*Assumptions!E32/100</f>
        <v>-1839318.60591</v>
      </c>
      <c r="F17" s="4" t="n">
        <f aca="false">-F6*Assumptions!F32/100</f>
        <v>-1639060.2093789</v>
      </c>
      <c r="G17" s="4" t="n">
        <f aca="false">-G6*Assumptions!G32/100</f>
        <v>-1688232.01566027</v>
      </c>
      <c r="H17" s="4" t="n">
        <f aca="false">-H6*Assumptions!H32/100</f>
        <v>-1738878.97613007</v>
      </c>
      <c r="I17" s="4" t="n">
        <f aca="false">-I6*Assumptions!I32/100</f>
        <v>-1481434.55628744</v>
      </c>
      <c r="J17" s="4" t="n">
        <f aca="false">-J6*Assumptions!J32/100</f>
        <v>-1518470.42019463</v>
      </c>
      <c r="K17" s="4" t="n">
        <f aca="false">-K6*Assumptions!K32/100</f>
        <v>-1556432.18069949</v>
      </c>
      <c r="L17" s="4" t="n">
        <f aca="false">-L6*Assumptions!L32/100</f>
        <v>-1595342.98521698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3600444.15</v>
      </c>
      <c r="D19" s="0" t="n">
        <f aca="false">D15+D16+D17+D18</f>
        <v>3653078.6403</v>
      </c>
      <c r="E19" s="0" t="n">
        <f aca="false">E15+E16+E17+E18</f>
        <v>3704987.00083725</v>
      </c>
      <c r="F19" s="0" t="n">
        <f aca="false">F15+F16+F17+F18</f>
        <v>3993346.69194132</v>
      </c>
      <c r="G19" s="0" t="n">
        <f aca="false">G15+G16+G17+G18</f>
        <v>4113147.09269956</v>
      </c>
      <c r="H19" s="0" t="n">
        <f aca="false">H15+H16+H17+H18</f>
        <v>4236541.50548055</v>
      </c>
      <c r="I19" s="0" t="n">
        <f aca="false">I15+I16+I17+I18</f>
        <v>4643371.43736345</v>
      </c>
      <c r="J19" s="0" t="n">
        <f aca="false">J15+J16+J17+J18</f>
        <v>4759455.72329753</v>
      </c>
      <c r="K19" s="0" t="n">
        <f aca="false">K15+K16+K17+K18</f>
        <v>4878442.11637997</v>
      </c>
      <c r="L19" s="0" t="n">
        <f aca="false">L15+L16+L17+L18</f>
        <v>5000403.16928947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3288076.84931507</v>
      </c>
      <c r="D21" s="0" t="n">
        <f aca="false">D19*D20</f>
        <v>3046707.6502158</v>
      </c>
      <c r="E21" s="0" t="n">
        <f aca="false">E19*E20</f>
        <v>2821917.61844341</v>
      </c>
      <c r="F21" s="0" t="n">
        <f aca="false">F19*F20</f>
        <v>2777669.30388231</v>
      </c>
      <c r="G21" s="0" t="n">
        <f aca="false">G19*G20</f>
        <v>2612784.82465642</v>
      </c>
      <c r="H21" s="0" t="n">
        <f aca="false">H19*H20</f>
        <v>2457688.00858092</v>
      </c>
      <c r="I21" s="0" t="n">
        <f aca="false">I19*I20</f>
        <v>2459997.07862043</v>
      </c>
      <c r="J21" s="0" t="n">
        <f aca="false">J19*J20</f>
        <v>2302736.99140269</v>
      </c>
      <c r="K21" s="0" t="n">
        <f aca="false">K19*K20</f>
        <v>2155530.06044544</v>
      </c>
      <c r="L21" s="0" t="n">
        <f aca="false">L19*L20</f>
        <v>2017733.61822518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25940842.0037877</v>
      </c>
    </row>
    <row r="31" customFormat="false" ht="15" hidden="false" customHeight="false" outlineLevel="0" collapsed="false">
      <c r="A31" s="0" t="s">
        <v>137</v>
      </c>
      <c r="B31" s="0" t="n">
        <f aca="false">L19</f>
        <v>5000403.16928947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73220189.2645958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75006047.539342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73220189.2645958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29545385.1240116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55486227.1277992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55486227.1277992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87.9357533101602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0.126948011151611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87.9357533101602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41003305.9881736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48.4140190094438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5</v>
      </c>
      <c r="D5" s="4" t="n">
        <f aca="false">Assumptions!D41</f>
        <v>5</v>
      </c>
      <c r="E5" s="4" t="n">
        <f aca="false">Assumptions!E41</f>
        <v>4.5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18640000</v>
      </c>
      <c r="C6" s="0" t="n">
        <f aca="false">B6*(1+C5/100)</f>
        <v>19572000</v>
      </c>
      <c r="D6" s="0" t="n">
        <f aca="false">C6*(1+D5/100)</f>
        <v>20550600</v>
      </c>
      <c r="E6" s="0" t="n">
        <f aca="false">D6*(1+E5/100)</f>
        <v>21475377</v>
      </c>
      <c r="F6" s="0" t="n">
        <f aca="false">E6*(1+F5/100)</f>
        <v>22441768.965</v>
      </c>
      <c r="G6" s="0" t="n">
        <f aca="false">F6*(1+G5/100)</f>
        <v>23339439.7236</v>
      </c>
      <c r="H6" s="0" t="n">
        <f aca="false">G6*(1+H5/100)</f>
        <v>24273017.312544</v>
      </c>
      <c r="I6" s="0" t="n">
        <f aca="false">H6*(1+I5/100)</f>
        <v>25122572.918483</v>
      </c>
      <c r="J6" s="0" t="n">
        <f aca="false">I6*(1+J5/100)</f>
        <v>25876250.1060375</v>
      </c>
      <c r="K6" s="0" t="n">
        <f aca="false">J6*(1+K5/100)</f>
        <v>26652537.6092187</v>
      </c>
      <c r="L6" s="0" t="n">
        <f aca="false">K6*(1+L5/100)</f>
        <v>27452113.7374952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38.5</v>
      </c>
      <c r="D7" s="4" t="n">
        <f aca="false">Assumptions!D42</f>
        <v>38.5</v>
      </c>
      <c r="E7" s="4" t="n">
        <f aca="false">Assumptions!E42</f>
        <v>38</v>
      </c>
      <c r="F7" s="4" t="n">
        <f aca="false">Assumptions!F42</f>
        <v>38</v>
      </c>
      <c r="G7" s="4" t="n">
        <f aca="false">Assumptions!G42</f>
        <v>38</v>
      </c>
      <c r="H7" s="4" t="n">
        <f aca="false">Assumptions!H42</f>
        <v>38</v>
      </c>
      <c r="I7" s="4" t="n">
        <f aca="false">Assumptions!I42</f>
        <v>38</v>
      </c>
      <c r="J7" s="4" t="n">
        <f aca="false">Assumptions!J42</f>
        <v>38</v>
      </c>
      <c r="K7" s="4" t="n">
        <f aca="false">Assumptions!K42</f>
        <v>38</v>
      </c>
      <c r="L7" s="4" t="n">
        <f aca="false">Assumptions!L42</f>
        <v>38</v>
      </c>
    </row>
    <row r="8" customFormat="false" ht="15" hidden="false" customHeight="false" outlineLevel="0" collapsed="false">
      <c r="A8" s="0" t="s">
        <v>44</v>
      </c>
      <c r="C8" s="0" t="n">
        <f aca="false">C6*C7/100</f>
        <v>7535220</v>
      </c>
      <c r="D8" s="0" t="n">
        <f aca="false">D6*D7/100</f>
        <v>7911981</v>
      </c>
      <c r="E8" s="0" t="n">
        <f aca="false">E6*E7/100</f>
        <v>8160643.26</v>
      </c>
      <c r="F8" s="0" t="n">
        <f aca="false">F6*F7/100</f>
        <v>8527872.2067</v>
      </c>
      <c r="G8" s="0" t="n">
        <f aca="false">G6*G7/100</f>
        <v>8868987.094968</v>
      </c>
      <c r="H8" s="0" t="n">
        <f aca="false">H6*H7/100</f>
        <v>9223746.57876672</v>
      </c>
      <c r="I8" s="0" t="n">
        <f aca="false">I6*I7/100</f>
        <v>9546577.70902355</v>
      </c>
      <c r="J8" s="0" t="n">
        <f aca="false">J6*J7/100</f>
        <v>9832975.04029426</v>
      </c>
      <c r="K8" s="0" t="n">
        <f aca="false">K6*K7/100</f>
        <v>10127964.2915031</v>
      </c>
      <c r="L8" s="0" t="n">
        <f aca="false">L6*L7/100</f>
        <v>10431803.2202482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7535220</v>
      </c>
      <c r="D11" s="0" t="n">
        <f aca="false">D8+D10+D24</f>
        <v>7911981</v>
      </c>
      <c r="E11" s="0" t="n">
        <f aca="false">E8+E10+E24</f>
        <v>8160643.26</v>
      </c>
      <c r="F11" s="0" t="n">
        <f aca="false">F8+F10+F24</f>
        <v>8527872.2067</v>
      </c>
      <c r="G11" s="0" t="n">
        <f aca="false">G8+G10+G24</f>
        <v>8868987.094968</v>
      </c>
      <c r="H11" s="0" t="n">
        <f aca="false">H8+H10+H24</f>
        <v>9223746.57876672</v>
      </c>
      <c r="I11" s="0" t="n">
        <f aca="false">I8+I10+I24</f>
        <v>9546577.70902355</v>
      </c>
      <c r="J11" s="0" t="n">
        <f aca="false">J8+J10+J24</f>
        <v>9832975.04029426</v>
      </c>
      <c r="K11" s="0" t="n">
        <f aca="false">K8+K10+K24</f>
        <v>10127964.2915031</v>
      </c>
      <c r="L11" s="0" t="n">
        <f aca="false">L8+L10+L24</f>
        <v>10431803.2202482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7535220</v>
      </c>
      <c r="D13" s="0" t="n">
        <f aca="false">D11+D12</f>
        <v>7911981</v>
      </c>
      <c r="E13" s="0" t="n">
        <f aca="false">E11+E12</f>
        <v>8160643.26</v>
      </c>
      <c r="F13" s="0" t="n">
        <f aca="false">F11+F12</f>
        <v>8527872.2067</v>
      </c>
      <c r="G13" s="0" t="n">
        <f aca="false">G11+G12</f>
        <v>8868987.094968</v>
      </c>
      <c r="H13" s="0" t="n">
        <f aca="false">H11+H12</f>
        <v>9223746.57876672</v>
      </c>
      <c r="I13" s="0" t="n">
        <f aca="false">I11+I12</f>
        <v>9546577.70902355</v>
      </c>
      <c r="J13" s="0" t="n">
        <f aca="false">J11+J12</f>
        <v>9832975.04029426</v>
      </c>
      <c r="K13" s="0" t="n">
        <f aca="false">K11+K12</f>
        <v>10127964.2915031</v>
      </c>
      <c r="L13" s="0" t="n">
        <f aca="false">L11+L12</f>
        <v>10431803.2202482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26.5</v>
      </c>
      <c r="D14" s="4" t="n">
        <f aca="false">Assumptions!D47</f>
        <v>26.5</v>
      </c>
      <c r="E14" s="4" t="n">
        <f aca="false">Assumptions!E47</f>
        <v>26.5</v>
      </c>
      <c r="F14" s="4" t="n">
        <f aca="false">Assumptions!F47</f>
        <v>26.5</v>
      </c>
      <c r="G14" s="4" t="n">
        <f aca="false">Assumptions!G47</f>
        <v>26.5</v>
      </c>
      <c r="H14" s="4" t="n">
        <f aca="false">Assumptions!H47</f>
        <v>26.5</v>
      </c>
      <c r="I14" s="4" t="n">
        <f aca="false">Assumptions!I47</f>
        <v>26.5</v>
      </c>
      <c r="J14" s="4" t="n">
        <f aca="false">Assumptions!J47</f>
        <v>26.5</v>
      </c>
      <c r="K14" s="4" t="n">
        <f aca="false">Assumptions!K47</f>
        <v>26.5</v>
      </c>
      <c r="L14" s="4" t="n">
        <f aca="false">Assumptions!L47</f>
        <v>26.5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5538386.7</v>
      </c>
      <c r="D15" s="0" t="n">
        <f aca="false">D13-MAX(0,D13)*D14/100</f>
        <v>5815306.035</v>
      </c>
      <c r="E15" s="0" t="n">
        <f aca="false">E13-MAX(0,E13)*E14/100</f>
        <v>5998072.7961</v>
      </c>
      <c r="F15" s="0" t="n">
        <f aca="false">F13-MAX(0,F13)*F14/100</f>
        <v>6267986.0719245</v>
      </c>
      <c r="G15" s="0" t="n">
        <f aca="false">G13-MAX(0,G13)*G14/100</f>
        <v>6518705.51480148</v>
      </c>
      <c r="H15" s="0" t="n">
        <f aca="false">H13-MAX(0,H13)*H14/100</f>
        <v>6779453.73539354</v>
      </c>
      <c r="I15" s="0" t="n">
        <f aca="false">I13-MAX(0,I13)*I14/100</f>
        <v>7016734.61613231</v>
      </c>
      <c r="J15" s="0" t="n">
        <f aca="false">J13-MAX(0,J13)*J14/100</f>
        <v>7227236.65461628</v>
      </c>
      <c r="K15" s="0" t="n">
        <f aca="false">K13-MAX(0,K13)*K14/100</f>
        <v>7444053.75425477</v>
      </c>
      <c r="L15" s="0" t="n">
        <f aca="false">L13-MAX(0,L13)*L14/100</f>
        <v>7667375.36688242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-2446500</v>
      </c>
      <c r="D17" s="4" t="n">
        <f aca="false">-D6*Assumptions!D46/100</f>
        <v>-2568825</v>
      </c>
      <c r="E17" s="4" t="n">
        <f aca="false">-E6*Assumptions!E46/100</f>
        <v>-2426717.601</v>
      </c>
      <c r="F17" s="4" t="n">
        <f aca="false">-F6*Assumptions!F46/100</f>
        <v>-2535919.893045</v>
      </c>
      <c r="G17" s="4" t="n">
        <f aca="false">-G6*Assumptions!G46/100</f>
        <v>-2357283.4120836</v>
      </c>
      <c r="H17" s="4" t="n">
        <f aca="false">-H6*Assumptions!H46/100</f>
        <v>-2451574.74856694</v>
      </c>
      <c r="I17" s="4" t="n">
        <f aca="false">-I6*Assumptions!I46/100</f>
        <v>-2235908.98974499</v>
      </c>
      <c r="J17" s="4" t="n">
        <f aca="false">-J6*Assumptions!J46/100</f>
        <v>-1992471.25816489</v>
      </c>
      <c r="K17" s="4" t="n">
        <f aca="false">-K6*Assumptions!K46/100</f>
        <v>-2052245.39590984</v>
      </c>
      <c r="L17" s="4" t="n">
        <f aca="false">-L6*Assumptions!L46/100</f>
        <v>-2113812.75778713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3091886.7</v>
      </c>
      <c r="D19" s="0" t="n">
        <f aca="false">D15+D16+D17+D18</f>
        <v>3246481.035</v>
      </c>
      <c r="E19" s="0" t="n">
        <f aca="false">E15+E16+E17+E18</f>
        <v>3571355.1951</v>
      </c>
      <c r="F19" s="0" t="n">
        <f aca="false">F15+F16+F17+F18</f>
        <v>3732066.1788795</v>
      </c>
      <c r="G19" s="0" t="n">
        <f aca="false">G15+G16+G17+G18</f>
        <v>4161422.10271788</v>
      </c>
      <c r="H19" s="0" t="n">
        <f aca="false">H15+H16+H17+H18</f>
        <v>4327878.9868266</v>
      </c>
      <c r="I19" s="0" t="n">
        <f aca="false">I15+I16+I17+I18</f>
        <v>4780825.62638732</v>
      </c>
      <c r="J19" s="0" t="n">
        <f aca="false">J15+J16+J17+J18</f>
        <v>5234765.39645139</v>
      </c>
      <c r="K19" s="0" t="n">
        <f aca="false">K15+K16+K17+K18</f>
        <v>5391808.35834494</v>
      </c>
      <c r="L19" s="0" t="n">
        <f aca="false">L15+L16+L17+L18</f>
        <v>5553562.60909528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2823640.82191781</v>
      </c>
      <c r="D21" s="0" t="n">
        <f aca="false">D19*D20</f>
        <v>2707600.78814036</v>
      </c>
      <c r="E21" s="0" t="n">
        <f aca="false">E19*E20</f>
        <v>2720136.43893883</v>
      </c>
      <c r="F21" s="0" t="n">
        <f aca="false">F19*F20</f>
        <v>2595929.29560829</v>
      </c>
      <c r="G21" s="0" t="n">
        <f aca="false">G19*G20</f>
        <v>2643450.44656181</v>
      </c>
      <c r="H21" s="0" t="n">
        <f aca="false">H19*H20</f>
        <v>2510674.39673451</v>
      </c>
      <c r="I21" s="0" t="n">
        <f aca="false">I19*I20</f>
        <v>2532818.4990052</v>
      </c>
      <c r="J21" s="0" t="n">
        <f aca="false">J19*J20</f>
        <v>2532703.02751587</v>
      </c>
      <c r="K21" s="0" t="n">
        <f aca="false">K19*K20</f>
        <v>2382359.92542588</v>
      </c>
      <c r="L21" s="0" t="n">
        <f aca="false">L19*L20</f>
        <v>2240941.29971567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25690254.9395642</v>
      </c>
    </row>
    <row r="31" customFormat="false" ht="15" hidden="false" customHeight="false" outlineLevel="0" collapsed="false">
      <c r="A31" s="0" t="s">
        <v>137</v>
      </c>
      <c r="B31" s="0" t="n">
        <f aca="false">L19</f>
        <v>5553562.60909528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88002607.4979714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83303439.1364293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83303439.1364293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33614119.4957351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59304374.4352993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59304374.4352993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93.9868344002631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0.204496147638896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93.9868344002631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47668079.0614012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50.3375367808217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77.9414823405145</v>
      </c>
      <c r="C4" s="0" t="n">
        <f aca="false">B4/Assumptions!$B$2-1</f>
        <v>-0.00113440547847632</v>
      </c>
      <c r="D4" s="4" t="n">
        <f aca="false">Assumptions!$B$24</f>
        <v>0.25</v>
      </c>
      <c r="E4" s="4" t="n">
        <f aca="false">DCF_Bear!$B$43</f>
        <v>77.9414823405145</v>
      </c>
      <c r="F4" s="4" t="n">
        <f aca="false">DCF_Bear!$B$47</f>
        <v>45.4005054273057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87.9357533101602</v>
      </c>
      <c r="C5" s="0" t="n">
        <f aca="false">B5/Assumptions!$B$2-1</f>
        <v>0.126948011151611</v>
      </c>
      <c r="D5" s="4" t="n">
        <f aca="false">Assumptions!$B$38</f>
        <v>0.5</v>
      </c>
      <c r="E5" s="4" t="n">
        <f aca="false">DCF_Base!$B$43</f>
        <v>87.9357533101602</v>
      </c>
      <c r="F5" s="4" t="n">
        <f aca="false">DCF_Base!$B$47</f>
        <v>48.4140190094438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93.9868344002631</v>
      </c>
      <c r="C6" s="0" t="n">
        <f aca="false">B6/Assumptions!$B$2-1</f>
        <v>0.204496147638896</v>
      </c>
      <c r="D6" s="4" t="n">
        <f aca="false">Assumptions!$B$52</f>
        <v>0.25</v>
      </c>
      <c r="E6" s="4" t="n">
        <f aca="false">DCF_Bull!$B$43</f>
        <v>93.9868344002631</v>
      </c>
      <c r="F6" s="4" t="n">
        <f aca="false">DCF_Bull!$B$47</f>
        <v>50.3375367808217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86.9499558402745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86.9499558402745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0.102587238303609</v>
      </c>
    </row>
    <row r="11" customFormat="false" ht="15" hidden="false" customHeight="false" outlineLevel="0" collapsed="false">
      <c r="A11" s="0" t="s">
        <v>164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48.1415200567537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92.2962320676221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87.9357533101602</v>
      </c>
      <c r="C16" s="3" t="n">
        <v>9.5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81.9292033669047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72.0466822317706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64.2566721123754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48.4140190094438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102.892528049314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102.892528049314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102.892528049314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102.892528049314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102.892528049314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93.9134677197935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95.6659673594031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95.6659673594031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95.6659673594031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95.6659673594031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81.6830155428584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84.6009598342659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87.9357533101602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89.077805870398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89.077805870398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72.1960962615625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74.3048864963845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76.6772755105593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79.3659830599573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82.4387916878408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64.6280174181124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66.1938953638452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67.9337597479926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69.8783140596868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72.0659376603428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2026-10-04T08:23:05Z</dcterms:created>
  <dc:creator>openpyxl</dc:creator>
  <dc:description/>
  <dc:language>en-NZ</dc:language>
  <cp:lastModifiedBy/>
  <dcterms:modified xsi:type="dcterms:W3CDTF">2026-10-04T08:23:05Z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