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<sst xmlns="http://schemas.openxmlformats.org/spreadsheetml/2006/main" count="367" uniqueCount="168">
  <si>
    <t xml:space="preserve">Ticker</t>
  </si>
  <si>
    <t xml:space="preserve">S58.SI</t>
  </si>
  <si>
    <t xml:space="preserve">Company</t>
  </si>
  <si>
    <t xml:space="preserve">SATS Ltd.</t>
  </si>
  <si>
    <t xml:space="preserve">Valuation date</t>
  </si>
  <si>
    <t xml:space="preserve">2026-10-24</t>
  </si>
  <si>
    <t xml:space="preserve">Current price</t>
  </si>
  <si>
    <t xml:space="preserve">Price as of</t>
  </si>
  <si>
    <t xml:space="preserve">2026-10-23T09:04:18Z (SGX regular close, Friday 23 Oct 2026; not an after-hours print)</t>
  </si>
  <si>
    <t xml:space="preserve">Balance sheet date</t>
  </si>
  <si>
    <t xml:space="preserve">2026-03-31</t>
  </si>
  <si>
    <t xml:space="preserve">Model</t>
  </si>
  <si>
    <t xml:space="preserve">owner_fcf_dcf_component</t>
  </si>
  <si>
    <t xml:space="preserve">Currency (model)</t>
  </si>
  <si>
    <t xml:space="preserve">SGD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</si>
  <si>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</si>
  <si>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</si>
  <si>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</si>
  <si>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</si>
  <si>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</si>
  <si>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</si>
  <si>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2026-10-24T06:39:34Z</t>
  </si>
  <si>
    <t xml:space="preserve">Drivers file</t>
  </si>
  <si>
    <t xml:space="preserve">S58.SI_Drivers.json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</si>
  <si>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</si>
  <si>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</si>
  <si>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</si>
  <si>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Unlevered owner-FCF DCF on the post-WFS business only, with leases treated as an operating cost (full lease cash deducted, lease liabilities out of net debt), associates/JVs and NCI handled in the equity bridge, and SBC expensed with a flat share count. The pre-FY2024 history is a different business and is used only for context.
key_risks_to_valuation: Lease treatment: switching to leases-as-debt without charging lease renewals would overstate value by roughly the S$1.76bn lease liability; the full lease cash is ~2.5x the SBC-adjusted FCF after leases, so the lease line is the most sensitive driver; Terminal multiple cap (14x base) binds below Gordon at 7.5%/2.5% (~20x), so terminal value depends on the cap, not on terminal growth; Air cargo and travel cyclicality and geopolitical trade-lane disruption (Gulf hubs, US tariffs); Wage inflation against limited pricing power in a labour-intensive outsourced-services model; Associates/JVs at book (S$771m) may understate their value if SoAJV reaches the &gt;S$150m target; NCI valued by multiple, not market</t>
  </si>
  <si>
    <t xml:space="preserve">Data sources</t>
  </si>
  <si>
    <t xml:space="preserve">price: Yahoo Finance chart API at inputs.price_as_of; 52-week range 3.17-4.96
financials: SATS Annual Report FY2026 (year ended 31 March 2026): income statement, balance sheet, cash flow statement, notes 7, 10, 16, 20, 21, 28; Metrics.csv FY2015-FY2026 built from 47 filings
qualitative: S58.SI_Analysis.json (FY2029 ambitions from the 2Q FY2026 results presentation and FY2026 Annual Report)</t>
  </si>
  <si>
    <t xml:space="preserve">Scenario narrative: bear</t>
  </si>
  <si>
    <t xml:space="preserve">The cycle and geopolitics bite: Gulf hub disruption and US tariff changes keep Americas and Middle East cargo soft, US low-cost-carrier schedule cuts weigh on ground handling, and wage inflation across 27 countries meets aggressive rebidding by Swissport, dnata and Menzies, so the margin stalls at ~18% and revenue grows only 2-4%. Lease costs creep up as new facilities open ahead of volume, and working capital absorbs cash. FY2029 targets are missed and ROE stays near 10%.</t>
  </si>
  <si>
    <t xml:space="preserve">Scenario narrative: base</t>
  </si>
  <si>
    <t xml:space="preserve">WFS integration keeps compounding but more slowly than the FY2025 rebound: cargo volumes keep outgrowing IATA's benchmark on hub-carrier wins (Riyadh Air, Azul, Cathay, Saudia Cargo) and new capacity (Heathrow 2027, Brussels, Madrid, Bengaluru), revenue grows 7% decelerating to 2.5%, and AI/automation lifts the pre-SBC EBITDA margin from 18.6% to 20%. Revenue reaches ~S$7.8bn in FY2029, slightly short of the &gt;S$8bn ambition, with the growth-capex wave easing back to ~4% of revenue and cash taxes normalising upward as WFS jurisdictions catch up.</t>
  </si>
  <si>
    <t xml:space="preserve">Scenario narrative: bull</t>
  </si>
  <si>
    <t xml:space="preserve">SATS hits and beats its FY2029 plan: consolidation of airlines onto fewer integrated handlers drives contract wins across the 225-station network, e-commerce cargo (Amazon Express across 12 US gateways, EFFH in Europe) keeps cargo share gains going, revenue clears S$8bn by FY2029 and the margin pushes past 21% as hub automation and cross-sell scale. Deleveraging frees cash for rising dividends and bolt-on M&amp;A.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</si>
  <si>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</si>
  <si>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</si>
  <si>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</si>
  <si>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</si>
  <si>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</si>
  <si>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</si>
  <si>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</si>
  <si>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</si>
  <si>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</si>
  <si>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</si>
  <si>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</si>
  <si>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</si>
  <si>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</si>
  <si>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</si>
  <si>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</si>
  <si>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</si>
  <si>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</si>
  <si>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</si>
  <si>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</si>
  <si>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</si>
  <si>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</si>
  <si>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</si>
  <si>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</si>
  <si>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</si>
  <si>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</si>
  <si>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</si>
  <si>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</si>
  <si>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CargoVolumeTonnes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</si>
  <si>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</si>
  <si>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</si>
  <si>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</si>
  <si>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</si>
  <si>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</si>
  <si>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</si>
  <si>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</si>
  <si>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</si>
  <si>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</si>
  <si>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</si>
  <si>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</si>
  <si>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</si>
  <si>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</si>
  <si>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</si>
  <si>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</si>
  <si>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</si>
  <si>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</si>
  <si>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</si>
  <si>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</si>
  <si>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</si>
  <si>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</si>
  <si>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</si>
  <si>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SGD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</si>
  <si>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</si>
  <si>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</si>
  <si>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</si>
  <si>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</si>
  <si>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</si>
  <si>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</si>
  <si>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</si>
  <si>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</si>
  <si>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</si>
  <si>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</si>
  <si>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</si>
  <si>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</si>
  <si>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</si>
  <si>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</si>
  <si>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</si>
  <si>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</si>
  <si>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</si>
  <si>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</si>
  <si>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</si>
  <si>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</si>
  <si>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</si>
  <si>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</si>
  <si>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</si>
  <si>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</si>
  <si>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</si>
  <si>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</si>
  <si>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S58.SI owner-FCF component DCF: bear case (millions, SGD)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</si>
  <si>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</si>
  <si>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</si>
  <si>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</si>
  <si>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</si>
  <si>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</si>
  <si>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</si>
  <si>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</si>
  <si>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</si>
  <si>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</si>
  <si>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</si>
  <si>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</si>
  <si>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</si>
  <si>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</si>
  <si>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</si>
  <si>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</si>
  <si>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</si>
  <si>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</si>
  <si>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</si>
  <si>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</si>
  <si>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</si>
  <si>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</si>
  <si>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</si>
  <si>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</si>
  <si>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</si>
  <si>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</si>
  <si>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</si>
  <si>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</si>
  <si>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</si>
  <si>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</si>
  <si>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</si>
  <si>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S58.SI owner-FCF component DCF: base case (millions, SGD)</t>
  </si>
  <si>
    <t xml:space="preserve">S58.SI owner-FCF component DCF: bull case (millions, SGD)</t>
  </si>
  <si>
    <t xml:space="preserve">S58.SI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</si>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</sst>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3.6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</row>
    <row r="2" customFormat="false" ht="15" hidden="false" customHeight="false" outlineLevel="0" collapsed="false">
      <c r="A2" s="0" t="s">
        <v>64</v>
      </c>
      <c r="B2" s="0" t="n">
        <v>1753.2</v>
      </c>
      <c r="F2" s="0" t="n">
        <v>178</v>
      </c>
      <c r="G2" s="0" t="n">
        <v>10.2</v>
      </c>
      <c r="H2" s="0" t="n">
        <v>246.2</v>
      </c>
      <c r="I2" s="0" t="n">
        <v>195.7</v>
      </c>
      <c r="J2" s="0" t="n">
        <v>11.2</v>
      </c>
      <c r="K2" s="0" t="n">
        <v>0.174</v>
      </c>
      <c r="L2" s="0" t="n">
        <v>236.4</v>
      </c>
      <c r="M2" s="0" t="n">
        <v>61.3</v>
      </c>
      <c r="N2" s="0" t="n">
        <v>175.1</v>
      </c>
      <c r="O2" s="0" t="n">
        <v>1441.1</v>
      </c>
      <c r="P2" s="0" t="n">
        <v>2019.7</v>
      </c>
      <c r="Q2" s="0" t="n">
        <v>502.1</v>
      </c>
      <c r="R2" s="0" t="n">
        <v>105.3</v>
      </c>
      <c r="S2" s="0" t="n">
        <v>410.9</v>
      </c>
      <c r="U2" s="0" t="n">
        <v>6.3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1698.2</v>
      </c>
      <c r="F3" s="0" t="n">
        <v>214.7</v>
      </c>
      <c r="G3" s="0" t="n">
        <v>12.6</v>
      </c>
      <c r="H3" s="0" t="n">
        <v>285.1</v>
      </c>
      <c r="I3" s="0" t="n">
        <v>220.6</v>
      </c>
      <c r="J3" s="0" t="n">
        <v>13</v>
      </c>
      <c r="K3" s="0" t="n">
        <v>0.197</v>
      </c>
      <c r="L3" s="0" t="n">
        <v>273.1</v>
      </c>
      <c r="M3" s="0" t="n">
        <v>51.1</v>
      </c>
      <c r="N3" s="0" t="n">
        <v>222</v>
      </c>
      <c r="O3" s="0" t="n">
        <v>1490.8</v>
      </c>
      <c r="P3" s="0" t="n">
        <v>2105.7</v>
      </c>
      <c r="Q3" s="0" t="n">
        <v>540.6</v>
      </c>
      <c r="R3" s="0" t="n">
        <v>110.7</v>
      </c>
      <c r="S3" s="0" t="n">
        <v>489.9</v>
      </c>
      <c r="U3" s="0" t="n">
        <v>7.3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1729.4</v>
      </c>
      <c r="F4" s="0" t="n">
        <v>230.6</v>
      </c>
      <c r="G4" s="0" t="n">
        <v>13.3</v>
      </c>
      <c r="H4" s="0" t="n">
        <v>304.1</v>
      </c>
      <c r="I4" s="0" t="n">
        <v>257.9</v>
      </c>
      <c r="J4" s="0" t="n">
        <v>14.9</v>
      </c>
      <c r="K4" s="0" t="n">
        <v>0.23</v>
      </c>
      <c r="L4" s="0" t="n">
        <v>308.9</v>
      </c>
      <c r="M4" s="0" t="n">
        <v>88.1</v>
      </c>
      <c r="N4" s="0" t="n">
        <v>220.8</v>
      </c>
      <c r="O4" s="0" t="n">
        <v>1603.5</v>
      </c>
      <c r="P4" s="0" t="n">
        <v>2279.4</v>
      </c>
      <c r="Q4" s="0" t="n">
        <v>588.2</v>
      </c>
      <c r="R4" s="0" t="n">
        <v>108.6</v>
      </c>
      <c r="S4" s="0" t="n">
        <v>505.8</v>
      </c>
      <c r="U4" s="0" t="n">
        <v>9.7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1724.6</v>
      </c>
      <c r="F5" s="0" t="n">
        <v>226.4</v>
      </c>
      <c r="G5" s="0" t="n">
        <v>13.1</v>
      </c>
      <c r="H5" s="0" t="n">
        <v>304.9</v>
      </c>
      <c r="I5" s="0" t="n">
        <v>261.5</v>
      </c>
      <c r="J5" s="0" t="n">
        <v>15.2</v>
      </c>
      <c r="K5" s="0" t="n">
        <v>0.232</v>
      </c>
      <c r="L5" s="0" t="n">
        <v>245.5</v>
      </c>
      <c r="M5" s="0" t="n">
        <v>99.2</v>
      </c>
      <c r="N5" s="0" t="n">
        <v>146.3</v>
      </c>
      <c r="O5" s="0" t="n">
        <v>1634.1</v>
      </c>
      <c r="P5" s="0" t="n">
        <v>2348.3</v>
      </c>
      <c r="Q5" s="0" t="n">
        <v>581.7</v>
      </c>
      <c r="R5" s="0" t="n">
        <v>106.4</v>
      </c>
      <c r="S5" s="0" t="n">
        <v>373.3</v>
      </c>
      <c r="U5" s="0" t="n">
        <v>10.6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1828</v>
      </c>
      <c r="F6" s="0" t="n">
        <v>247</v>
      </c>
      <c r="G6" s="0" t="n">
        <v>13.5</v>
      </c>
      <c r="H6" s="0" t="n">
        <v>331.9</v>
      </c>
      <c r="I6" s="0" t="n">
        <v>248.4</v>
      </c>
      <c r="J6" s="0" t="n">
        <v>13.6</v>
      </c>
      <c r="K6" s="0" t="n">
        <v>0.222</v>
      </c>
      <c r="L6" s="0" t="n">
        <v>295.7</v>
      </c>
      <c r="M6" s="0" t="n">
        <v>87.6</v>
      </c>
      <c r="N6" s="0" t="n">
        <v>208.1</v>
      </c>
      <c r="O6" s="0" t="n">
        <v>1649.3</v>
      </c>
      <c r="P6" s="0" t="n">
        <v>2408.4</v>
      </c>
      <c r="Q6" s="0" t="n">
        <v>591.3</v>
      </c>
      <c r="R6" s="0" t="n">
        <v>95.7</v>
      </c>
      <c r="S6" s="0" t="n">
        <v>349.9</v>
      </c>
      <c r="U6" s="0" t="n">
        <v>6.7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1941.2</v>
      </c>
      <c r="F7" s="0" t="n">
        <v>226.2</v>
      </c>
      <c r="G7" s="0" t="n">
        <v>11.7</v>
      </c>
      <c r="H7" s="0" t="n">
        <v>343.8</v>
      </c>
      <c r="I7" s="0" t="n">
        <v>168.4</v>
      </c>
      <c r="J7" s="0" t="n">
        <v>8.7</v>
      </c>
      <c r="K7" s="0" t="n">
        <v>0.15</v>
      </c>
      <c r="L7" s="0" t="n">
        <v>244.1</v>
      </c>
      <c r="M7" s="0" t="n">
        <v>75.7</v>
      </c>
      <c r="N7" s="0" t="n">
        <v>168.4</v>
      </c>
      <c r="O7" s="0" t="n">
        <v>1617.5</v>
      </c>
      <c r="P7" s="0" t="n">
        <v>3009.8</v>
      </c>
      <c r="Q7" s="0" t="n">
        <v>1204.3</v>
      </c>
      <c r="R7" s="0" t="n">
        <v>624.5</v>
      </c>
      <c r="S7" s="0" t="n">
        <v>549.2</v>
      </c>
      <c r="U7" s="0" t="n">
        <v>10.7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970</v>
      </c>
      <c r="F8" s="0" t="n">
        <v>-10.1</v>
      </c>
      <c r="G8" s="0" t="n">
        <v>-1</v>
      </c>
      <c r="H8" s="0" t="n">
        <v>120.3</v>
      </c>
      <c r="I8" s="0" t="n">
        <v>-78.9</v>
      </c>
      <c r="J8" s="0" t="n">
        <v>-8.1</v>
      </c>
      <c r="K8" s="0" t="n">
        <v>-0.07</v>
      </c>
      <c r="L8" s="0" t="n">
        <v>117.7</v>
      </c>
      <c r="M8" s="0" t="n">
        <v>61.5</v>
      </c>
      <c r="N8" s="0" t="n">
        <v>56.2</v>
      </c>
      <c r="O8" s="0" t="n">
        <v>1546.3</v>
      </c>
      <c r="P8" s="0" t="n">
        <v>3091.8</v>
      </c>
      <c r="Q8" s="0" t="n">
        <v>1393</v>
      </c>
      <c r="R8" s="0" t="n">
        <v>873.4</v>
      </c>
      <c r="S8" s="0" t="n">
        <v>879.8</v>
      </c>
      <c r="T8" s="0" t="n">
        <v>1123</v>
      </c>
      <c r="U8" s="0" t="n">
        <v>8.8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1176.8</v>
      </c>
      <c r="F9" s="0" t="n">
        <v>-42.6</v>
      </c>
      <c r="G9" s="0" t="n">
        <v>-3.6</v>
      </c>
      <c r="H9" s="0" t="n">
        <v>77.1</v>
      </c>
      <c r="I9" s="0" t="n">
        <v>20.4</v>
      </c>
      <c r="J9" s="0" t="n">
        <v>1.7</v>
      </c>
      <c r="K9" s="0" t="n">
        <v>0.018</v>
      </c>
      <c r="L9" s="0" t="n">
        <v>62.3</v>
      </c>
      <c r="M9" s="0" t="n">
        <v>77.9</v>
      </c>
      <c r="N9" s="0" t="n">
        <v>-15.6</v>
      </c>
      <c r="O9" s="0" t="n">
        <v>1602.6</v>
      </c>
      <c r="P9" s="0" t="n">
        <v>3292.3</v>
      </c>
      <c r="Q9" s="0" t="n">
        <v>1458.6</v>
      </c>
      <c r="R9" s="0" t="n">
        <v>837.9</v>
      </c>
      <c r="S9" s="0" t="n">
        <v>786</v>
      </c>
      <c r="T9" s="0" t="n">
        <v>1125.4</v>
      </c>
      <c r="U9" s="0" t="n">
        <v>7.6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1758.3</v>
      </c>
      <c r="F10" s="0" t="n">
        <v>-48</v>
      </c>
      <c r="G10" s="0" t="n">
        <v>-2.7</v>
      </c>
      <c r="H10" s="0" t="n">
        <v>127.8</v>
      </c>
      <c r="I10" s="0" t="n">
        <v>-26.5</v>
      </c>
      <c r="J10" s="0" t="n">
        <v>-1.5</v>
      </c>
      <c r="K10" s="0" t="n">
        <v>-0.022</v>
      </c>
      <c r="L10" s="0" t="n">
        <v>79.6</v>
      </c>
      <c r="M10" s="0" t="n">
        <v>119.4</v>
      </c>
      <c r="N10" s="0" t="n">
        <v>-39.8</v>
      </c>
      <c r="O10" s="0" t="n">
        <v>2333.6</v>
      </c>
      <c r="P10" s="0" t="n">
        <v>4673.7</v>
      </c>
      <c r="Q10" s="0" t="n">
        <v>2158.9</v>
      </c>
      <c r="R10" s="0" t="n">
        <v>1478.4</v>
      </c>
      <c r="S10" s="0" t="n">
        <v>374.4</v>
      </c>
      <c r="T10" s="0" t="n">
        <v>1196.6</v>
      </c>
      <c r="U10" s="0" t="n">
        <v>8.9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73</v>
      </c>
      <c r="B11" s="0" t="n">
        <v>5149.6</v>
      </c>
      <c r="F11" s="0" t="n">
        <v>244.2</v>
      </c>
      <c r="G11" s="0" t="n">
        <v>4.7</v>
      </c>
      <c r="H11" s="0" t="n">
        <v>780.7</v>
      </c>
      <c r="I11" s="0" t="n">
        <v>56.4</v>
      </c>
      <c r="J11" s="0" t="n">
        <v>1.1</v>
      </c>
      <c r="K11" s="0" t="n">
        <v>0.038</v>
      </c>
      <c r="L11" s="0" t="n">
        <v>512.1</v>
      </c>
      <c r="M11" s="0" t="n">
        <v>185.6</v>
      </c>
      <c r="N11" s="0" t="n">
        <v>326.5</v>
      </c>
      <c r="O11" s="0" t="n">
        <v>2375</v>
      </c>
      <c r="P11" s="0" t="n">
        <v>8480</v>
      </c>
      <c r="Q11" s="0" t="n">
        <v>5920.5</v>
      </c>
      <c r="R11" s="0" t="n">
        <v>4092.1</v>
      </c>
      <c r="S11" s="0" t="n">
        <v>659</v>
      </c>
      <c r="T11" s="0" t="n">
        <v>1491.4</v>
      </c>
      <c r="U11" s="0" t="n">
        <v>11.1</v>
      </c>
      <c r="AA11" s="0" t="s">
        <v>17</v>
      </c>
      <c r="AB11" s="0" t="s">
        <v>14</v>
      </c>
      <c r="AC11" s="0" t="n">
        <v>7840</v>
      </c>
    </row>
    <row r="12" customFormat="false" ht="15" hidden="false" customHeight="false" outlineLevel="0" collapsed="false">
      <c r="A12" s="0" t="s">
        <v>74</v>
      </c>
      <c r="B12" s="0" t="n">
        <v>5821.1</v>
      </c>
      <c r="F12" s="0" t="n">
        <v>475.7</v>
      </c>
      <c r="G12" s="0" t="n">
        <v>8.2</v>
      </c>
      <c r="H12" s="0" t="n">
        <v>1036.2</v>
      </c>
      <c r="I12" s="0" t="n">
        <v>243.8</v>
      </c>
      <c r="J12" s="0" t="n">
        <v>4.2</v>
      </c>
      <c r="K12" s="0" t="n">
        <v>0.162</v>
      </c>
      <c r="L12" s="0" t="n">
        <v>891.1</v>
      </c>
      <c r="M12" s="0" t="n">
        <v>221.7</v>
      </c>
      <c r="N12" s="0" t="n">
        <v>669.4</v>
      </c>
      <c r="O12" s="0" t="n">
        <v>2586.7</v>
      </c>
      <c r="P12" s="0" t="n">
        <v>8882.7</v>
      </c>
      <c r="Q12" s="0" t="n">
        <v>6113.8</v>
      </c>
      <c r="R12" s="0" t="n">
        <v>4244.1</v>
      </c>
      <c r="S12" s="0" t="n">
        <v>694</v>
      </c>
      <c r="T12" s="0" t="n">
        <v>1504.6</v>
      </c>
      <c r="U12" s="0" t="n">
        <v>45.3</v>
      </c>
      <c r="AA12" s="0" t="s">
        <v>17</v>
      </c>
      <c r="AB12" s="0" t="s">
        <v>14</v>
      </c>
      <c r="AC12" s="0" t="n">
        <v>9026.7</v>
      </c>
    </row>
    <row r="13" customFormat="false" ht="15" hidden="false" customHeight="false" outlineLevel="0" collapsed="false">
      <c r="A13" s="0" t="s">
        <v>75</v>
      </c>
      <c r="B13" s="0" t="n">
        <v>6345.5</v>
      </c>
      <c r="F13" s="0" t="n">
        <v>543.3</v>
      </c>
      <c r="G13" s="0" t="n">
        <v>8.6</v>
      </c>
      <c r="H13" s="0" t="n">
        <v>1146.4</v>
      </c>
      <c r="I13" s="0" t="n">
        <v>285.2</v>
      </c>
      <c r="J13" s="0" t="n">
        <v>4.5</v>
      </c>
      <c r="K13" s="0" t="n">
        <v>0.188</v>
      </c>
      <c r="L13" s="0" t="n">
        <v>1030.2</v>
      </c>
      <c r="M13" s="0" t="n">
        <v>344.7</v>
      </c>
      <c r="N13" s="0" t="n">
        <v>685.5</v>
      </c>
      <c r="O13" s="0" t="n">
        <v>2750.3</v>
      </c>
      <c r="P13" s="0" t="n">
        <v>9073.8</v>
      </c>
      <c r="Q13" s="0" t="n">
        <v>6137.1</v>
      </c>
      <c r="R13" s="0" t="n">
        <v>4136.1</v>
      </c>
      <c r="S13" s="0" t="n">
        <v>752.5</v>
      </c>
      <c r="T13" s="0" t="n">
        <v>1513.6</v>
      </c>
      <c r="U13" s="0" t="n">
        <v>34.7</v>
      </c>
      <c r="AA13" s="0" t="s">
        <v>17</v>
      </c>
      <c r="AB13" s="0" t="s">
        <v>14</v>
      </c>
      <c r="AC13" s="0" t="n">
        <v>9700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76</v>
      </c>
      <c r="B1" s="2" t="s">
        <v>77</v>
      </c>
    </row>
    <row r="2" customFormat="false" ht="15" hidden="false" customHeight="false" outlineLevel="0" collapsed="false">
      <c r="A2" s="0" t="s">
        <v>78</v>
      </c>
      <c r="B2" s="3" t="n">
        <v>3.6</v>
      </c>
    </row>
    <row r="3" customFormat="false" ht="15" hidden="false" customHeight="false" outlineLevel="0" collapsed="false">
      <c r="A3" s="0" t="s">
        <v>79</v>
      </c>
      <c r="B3" s="3" t="n">
        <v>1513.6</v>
      </c>
    </row>
    <row r="4" customFormat="false" ht="15" hidden="false" customHeight="false" outlineLevel="0" collapsed="false">
      <c r="A4" s="0" t="s">
        <v>80</v>
      </c>
      <c r="B4" s="3" t="n">
        <v>1622.7</v>
      </c>
    </row>
    <row r="5" customFormat="false" ht="15" hidden="false" customHeight="false" outlineLevel="0" collapsed="false">
      <c r="A5" s="0" t="s">
        <v>81</v>
      </c>
      <c r="B5" s="3" t="n">
        <v>530.9</v>
      </c>
    </row>
    <row r="6" customFormat="false" ht="15" hidden="false" customHeight="false" outlineLevel="0" collapsed="false">
      <c r="A6" s="0" t="s">
        <v>82</v>
      </c>
      <c r="B6" s="3" t="n">
        <v>15</v>
      </c>
    </row>
    <row r="7" customFormat="false" ht="15" hidden="false" customHeight="false" outlineLevel="0" collapsed="false">
      <c r="A7" s="0" t="s">
        <v>83</v>
      </c>
      <c r="B7" s="3" t="n">
        <v>6345.5</v>
      </c>
    </row>
    <row r="8" customFormat="false" ht="15" hidden="false" customHeight="false" outlineLevel="0" collapsed="false">
      <c r="A8" s="0" t="s">
        <v>84</v>
      </c>
      <c r="B8" s="3" t="s">
        <v>75</v>
      </c>
    </row>
    <row r="9" customFormat="false" ht="15" hidden="false" customHeight="false" outlineLevel="0" collapsed="false">
      <c r="A9" s="0" t="s">
        <v>85</v>
      </c>
      <c r="B9" s="3" t="s">
        <v>86</v>
      </c>
    </row>
    <row r="10" customFormat="false" ht="15" hidden="false" customHeight="false" outlineLevel="0" collapsed="false">
      <c r="A10" s="0" t="s">
        <v>87</v>
      </c>
      <c r="B10" s="3" t="n">
        <v>1</v>
      </c>
    </row>
    <row r="12" customFormat="false" ht="15" hidden="false" customHeight="false" outlineLevel="0" collapsed="false">
      <c r="A12" s="2" t="s">
        <v>88</v>
      </c>
      <c r="C12" s="2" t="s">
        <v>89</v>
      </c>
      <c r="D12" s="2" t="s">
        <v>90</v>
      </c>
      <c r="E12" s="2" t="s">
        <v>91</v>
      </c>
      <c r="F12" s="2" t="s">
        <v>92</v>
      </c>
      <c r="G12" s="2" t="s">
        <v>93</v>
      </c>
      <c r="H12" s="2" t="s">
        <v>94</v>
      </c>
      <c r="I12" s="2" t="s">
        <v>95</v>
      </c>
      <c r="J12" s="2" t="s">
        <v>96</v>
      </c>
      <c r="K12" s="2" t="s">
        <v>97</v>
      </c>
      <c r="L12" s="2" t="s">
        <v>98</v>
      </c>
    </row>
    <row r="13" customFormat="false" ht="15" hidden="false" customHeight="false" outlineLevel="0" collapsed="false">
      <c r="A13" s="0" t="s">
        <v>99</v>
      </c>
      <c r="C13" s="3" t="n">
        <v>3</v>
      </c>
      <c r="D13" s="3" t="n">
        <v>3.5</v>
      </c>
      <c r="E13" s="3" t="n">
        <v>4</v>
      </c>
      <c r="F13" s="3" t="n">
        <v>4</v>
      </c>
      <c r="G13" s="3" t="n">
        <v>3.5</v>
      </c>
      <c r="H13" s="3" t="n">
        <v>3</v>
      </c>
      <c r="I13" s="3" t="n">
        <v>3</v>
      </c>
      <c r="J13" s="3" t="n">
        <v>2.5</v>
      </c>
      <c r="K13" s="3" t="n">
        <v>2.5</v>
      </c>
      <c r="L13" s="3" t="n">
        <v>2</v>
      </c>
    </row>
    <row r="14" customFormat="false" ht="15" hidden="false" customHeight="false" outlineLevel="0" collapsed="false">
      <c r="A14" s="0" t="s">
        <v>100</v>
      </c>
      <c r="C14" s="3" t="n">
        <v>18.4</v>
      </c>
      <c r="D14" s="3" t="n">
        <v>18.4</v>
      </c>
      <c r="E14" s="3" t="n">
        <v>18.5</v>
      </c>
      <c r="F14" s="3" t="n">
        <v>18.5</v>
      </c>
      <c r="G14" s="3" t="n">
        <v>18.5</v>
      </c>
      <c r="H14" s="3" t="n">
        <v>18.5</v>
      </c>
      <c r="I14" s="3" t="n">
        <v>18.5</v>
      </c>
      <c r="J14" s="3" t="n">
        <v>18.5</v>
      </c>
      <c r="K14" s="3" t="n">
        <v>18.5</v>
      </c>
      <c r="L14" s="3" t="n">
        <v>18.5</v>
      </c>
    </row>
    <row r="15" customFormat="false" ht="15" hidden="false" customHeight="false" outlineLevel="0" collapsed="false">
      <c r="A15" s="0" t="s">
        <v>101</v>
      </c>
      <c r="C15" s="3" t="n">
        <v>0.6</v>
      </c>
      <c r="D15" s="3" t="n">
        <v>0.6</v>
      </c>
      <c r="E15" s="3" t="n">
        <v>0.6</v>
      </c>
      <c r="F15" s="3" t="n">
        <v>0.6</v>
      </c>
      <c r="G15" s="3" t="n">
        <v>0.6</v>
      </c>
      <c r="H15" s="3" t="n">
        <v>0.6</v>
      </c>
      <c r="I15" s="3" t="n">
        <v>0.6</v>
      </c>
      <c r="J15" s="3" t="n">
        <v>0.6</v>
      </c>
      <c r="K15" s="3" t="n">
        <v>0.6</v>
      </c>
      <c r="L15" s="3" t="n">
        <v>0.6</v>
      </c>
    </row>
    <row r="16" customFormat="false" ht="15" hidden="false" customHeight="false" outlineLevel="0" collapsed="false">
      <c r="A16" s="0" t="s">
        <v>102</v>
      </c>
      <c r="C16" s="3" t="n">
        <v>7.5</v>
      </c>
      <c r="D16" s="3" t="n">
        <v>7.6</v>
      </c>
      <c r="E16" s="3" t="n">
        <v>7.6</v>
      </c>
      <c r="F16" s="3" t="n">
        <v>7.6</v>
      </c>
      <c r="G16" s="3" t="n">
        <v>7.6</v>
      </c>
      <c r="H16" s="3" t="n">
        <v>7.6</v>
      </c>
      <c r="I16" s="3" t="n">
        <v>7.6</v>
      </c>
      <c r="J16" s="3" t="n">
        <v>7.6</v>
      </c>
      <c r="K16" s="3" t="n">
        <v>7.6</v>
      </c>
      <c r="L16" s="3" t="n">
        <v>7.6</v>
      </c>
    </row>
    <row r="17" customFormat="false" ht="15" hidden="false" customHeight="false" outlineLevel="0" collapsed="false">
      <c r="A17" s="0" t="s">
        <v>103</v>
      </c>
      <c r="C17" s="3" t="n">
        <v>3.5</v>
      </c>
      <c r="D17" s="3" t="n">
        <v>3.5</v>
      </c>
      <c r="E17" s="3" t="n">
        <v>3.5</v>
      </c>
      <c r="F17" s="3" t="n">
        <v>3.5</v>
      </c>
      <c r="G17" s="3" t="n">
        <v>3.5</v>
      </c>
      <c r="H17" s="3" t="n">
        <v>3.5</v>
      </c>
      <c r="I17" s="3" t="n">
        <v>3.5</v>
      </c>
      <c r="J17" s="3" t="n">
        <v>3.5</v>
      </c>
      <c r="K17" s="3" t="n">
        <v>3.5</v>
      </c>
      <c r="L17" s="3" t="n">
        <v>3.5</v>
      </c>
    </row>
    <row r="18" customFormat="false" ht="15" hidden="false" customHeight="false" outlineLevel="0" collapsed="false">
      <c r="A18" s="0" t="s">
        <v>104</v>
      </c>
      <c r="C18" s="3" t="n">
        <v>5.2</v>
      </c>
      <c r="D18" s="3" t="n">
        <v>5</v>
      </c>
      <c r="E18" s="3" t="n">
        <v>4.8</v>
      </c>
      <c r="F18" s="3" t="n">
        <v>4.6</v>
      </c>
      <c r="G18" s="3" t="n">
        <v>4.5</v>
      </c>
      <c r="H18" s="3" t="n">
        <v>4.4</v>
      </c>
      <c r="I18" s="3" t="n">
        <v>4.3</v>
      </c>
      <c r="J18" s="3" t="n">
        <v>4.2</v>
      </c>
      <c r="K18" s="3" t="n">
        <v>4.2</v>
      </c>
      <c r="L18" s="3" t="n">
        <v>4.2</v>
      </c>
    </row>
    <row r="19" customFormat="false" ht="15" hidden="false" customHeight="false" outlineLevel="0" collapsed="false">
      <c r="A19" s="0" t="s">
        <v>105</v>
      </c>
      <c r="C19" s="3" t="n">
        <v>25</v>
      </c>
      <c r="D19" s="3" t="n">
        <v>26</v>
      </c>
      <c r="E19" s="3" t="n">
        <v>27</v>
      </c>
      <c r="F19" s="3" t="n">
        <v>27</v>
      </c>
      <c r="G19" s="3" t="n">
        <v>27</v>
      </c>
      <c r="H19" s="3" t="n">
        <v>27</v>
      </c>
      <c r="I19" s="3" t="n">
        <v>27</v>
      </c>
      <c r="J19" s="3" t="n">
        <v>27</v>
      </c>
      <c r="K19" s="3" t="n">
        <v>27</v>
      </c>
      <c r="L19" s="3" t="n">
        <v>27</v>
      </c>
    </row>
    <row r="20" customFormat="false" ht="15" hidden="false" customHeight="false" outlineLevel="0" collapsed="false">
      <c r="A20" s="0" t="s">
        <v>106</v>
      </c>
      <c r="B20" s="3" t="n">
        <v>7.5</v>
      </c>
    </row>
    <row r="21" customFormat="false" ht="15" hidden="false" customHeight="false" outlineLevel="0" collapsed="false">
      <c r="A21" s="0" t="s">
        <v>107</v>
      </c>
      <c r="B21" s="3" t="n">
        <v>2</v>
      </c>
    </row>
    <row r="22" customFormat="false" ht="15" hidden="false" customHeight="false" outlineLevel="0" collapsed="false">
      <c r="A22" s="0" t="s">
        <v>108</v>
      </c>
      <c r="B22" s="3" t="n">
        <v>12</v>
      </c>
    </row>
    <row r="23" customFormat="false" ht="15" hidden="false" customHeight="false" outlineLevel="0" collapsed="false">
      <c r="A23" s="0" t="s">
        <v>109</v>
      </c>
      <c r="B23" s="3" t="n">
        <v>-3</v>
      </c>
    </row>
    <row r="24" customFormat="false" ht="15" hidden="false" customHeight="false" outlineLevel="0" collapsed="false">
      <c r="A24" s="0" t="s">
        <v>110</v>
      </c>
      <c r="B24" s="3" t="n">
        <v>0.25</v>
      </c>
    </row>
    <row r="26" customFormat="false" ht="15" hidden="false" customHeight="false" outlineLevel="0" collapsed="false">
      <c r="A26" s="2" t="s">
        <v>111</v>
      </c>
      <c r="C26" s="2" t="s">
        <v>89</v>
      </c>
      <c r="D26" s="2" t="s">
        <v>90</v>
      </c>
      <c r="E26" s="2" t="s">
        <v>91</v>
      </c>
      <c r="F26" s="2" t="s">
        <v>92</v>
      </c>
      <c r="G26" s="2" t="s">
        <v>93</v>
      </c>
      <c r="H26" s="2" t="s">
        <v>94</v>
      </c>
      <c r="I26" s="2" t="s">
        <v>95</v>
      </c>
      <c r="J26" s="2" t="s">
        <v>96</v>
      </c>
      <c r="K26" s="2" t="s">
        <v>97</v>
      </c>
      <c r="L26" s="2" t="s">
        <v>98</v>
      </c>
    </row>
    <row r="27" customFormat="false" ht="15" hidden="false" customHeight="false" outlineLevel="0" collapsed="false">
      <c r="A27" s="0" t="s">
        <v>99</v>
      </c>
      <c r="C27" s="3" t="n">
        <v>7</v>
      </c>
      <c r="D27" s="3" t="n">
        <v>6.5</v>
      </c>
      <c r="E27" s="3" t="n">
        <v>6</v>
      </c>
      <c r="F27" s="3" t="n">
        <v>5</v>
      </c>
      <c r="G27" s="3" t="n">
        <v>4.5</v>
      </c>
      <c r="H27" s="3" t="n">
        <v>4</v>
      </c>
      <c r="I27" s="3" t="n">
        <v>3.5</v>
      </c>
      <c r="J27" s="3" t="n">
        <v>3</v>
      </c>
      <c r="K27" s="3" t="n">
        <v>3</v>
      </c>
      <c r="L27" s="3" t="n">
        <v>2.5</v>
      </c>
    </row>
    <row r="28" customFormat="false" ht="15" hidden="false" customHeight="false" outlineLevel="0" collapsed="false">
      <c r="A28" s="0" t="s">
        <v>100</v>
      </c>
      <c r="C28" s="3" t="n">
        <v>19</v>
      </c>
      <c r="D28" s="3" t="n">
        <v>19.4</v>
      </c>
      <c r="E28" s="3" t="n">
        <v>19.8</v>
      </c>
      <c r="F28" s="3" t="n">
        <v>20</v>
      </c>
      <c r="G28" s="3" t="n">
        <v>20</v>
      </c>
      <c r="H28" s="3" t="n">
        <v>20</v>
      </c>
      <c r="I28" s="3" t="n">
        <v>20</v>
      </c>
      <c r="J28" s="3" t="n">
        <v>20</v>
      </c>
      <c r="K28" s="3" t="n">
        <v>20</v>
      </c>
      <c r="L28" s="3" t="n">
        <v>20</v>
      </c>
    </row>
    <row r="29" customFormat="false" ht="15" hidden="false" customHeight="false" outlineLevel="0" collapsed="false">
      <c r="A29" s="0" t="s">
        <v>101</v>
      </c>
      <c r="C29" s="3" t="n">
        <v>0.6</v>
      </c>
      <c r="D29" s="3" t="n">
        <v>0.6</v>
      </c>
      <c r="E29" s="3" t="n">
        <v>0.6</v>
      </c>
      <c r="F29" s="3" t="n">
        <v>0.6</v>
      </c>
      <c r="G29" s="3" t="n">
        <v>0.6</v>
      </c>
      <c r="H29" s="3" t="n">
        <v>0.6</v>
      </c>
      <c r="I29" s="3" t="n">
        <v>0.6</v>
      </c>
      <c r="J29" s="3" t="n">
        <v>0.6</v>
      </c>
      <c r="K29" s="3" t="n">
        <v>0.6</v>
      </c>
      <c r="L29" s="3" t="n">
        <v>0.6</v>
      </c>
    </row>
    <row r="30" customFormat="false" ht="15" hidden="false" customHeight="false" outlineLevel="0" collapsed="false">
      <c r="A30" s="0" t="s">
        <v>102</v>
      </c>
      <c r="C30" s="3" t="n">
        <v>7.4</v>
      </c>
      <c r="D30" s="3" t="n">
        <v>7.5</v>
      </c>
      <c r="E30" s="3" t="n">
        <v>7.5</v>
      </c>
      <c r="F30" s="3" t="n">
        <v>7.5</v>
      </c>
      <c r="G30" s="3" t="n">
        <v>7.5</v>
      </c>
      <c r="H30" s="3" t="n">
        <v>7.5</v>
      </c>
      <c r="I30" s="3" t="n">
        <v>7.5</v>
      </c>
      <c r="J30" s="3" t="n">
        <v>7.5</v>
      </c>
      <c r="K30" s="3" t="n">
        <v>7.5</v>
      </c>
      <c r="L30" s="3" t="n">
        <v>7.5</v>
      </c>
    </row>
    <row r="31" customFormat="false" ht="15" hidden="false" customHeight="false" outlineLevel="0" collapsed="false">
      <c r="A31" s="0" t="s">
        <v>103</v>
      </c>
      <c r="C31" s="3" t="n">
        <v>3.5</v>
      </c>
      <c r="D31" s="3" t="n">
        <v>3.5</v>
      </c>
      <c r="E31" s="3" t="n">
        <v>3.5</v>
      </c>
      <c r="F31" s="3" t="n">
        <v>3.5</v>
      </c>
      <c r="G31" s="3" t="n">
        <v>3.5</v>
      </c>
      <c r="H31" s="3" t="n">
        <v>3.5</v>
      </c>
      <c r="I31" s="3" t="n">
        <v>3.5</v>
      </c>
      <c r="J31" s="3" t="n">
        <v>3.5</v>
      </c>
      <c r="K31" s="3" t="n">
        <v>3.5</v>
      </c>
      <c r="L31" s="3" t="n">
        <v>3.5</v>
      </c>
    </row>
    <row r="32" customFormat="false" ht="15" hidden="false" customHeight="false" outlineLevel="0" collapsed="false">
      <c r="A32" s="0" t="s">
        <v>104</v>
      </c>
      <c r="C32" s="3" t="n">
        <v>5.2</v>
      </c>
      <c r="D32" s="3" t="n">
        <v>5</v>
      </c>
      <c r="E32" s="3" t="n">
        <v>4.7</v>
      </c>
      <c r="F32" s="3" t="n">
        <v>4.5</v>
      </c>
      <c r="G32" s="3" t="n">
        <v>4.3</v>
      </c>
      <c r="H32" s="3" t="n">
        <v>4.2</v>
      </c>
      <c r="I32" s="3" t="n">
        <v>4</v>
      </c>
      <c r="J32" s="3" t="n">
        <v>4</v>
      </c>
      <c r="K32" s="3" t="n">
        <v>4</v>
      </c>
      <c r="L32" s="3" t="n">
        <v>4</v>
      </c>
    </row>
    <row r="33" customFormat="false" ht="15" hidden="false" customHeight="false" outlineLevel="0" collapsed="false">
      <c r="A33" s="0" t="s">
        <v>105</v>
      </c>
      <c r="C33" s="3" t="n">
        <v>24</v>
      </c>
      <c r="D33" s="3" t="n">
        <v>25</v>
      </c>
      <c r="E33" s="3" t="n">
        <v>26</v>
      </c>
      <c r="F33" s="3" t="n">
        <v>26</v>
      </c>
      <c r="G33" s="3" t="n">
        <v>26</v>
      </c>
      <c r="H33" s="3" t="n">
        <v>26</v>
      </c>
      <c r="I33" s="3" t="n">
        <v>26</v>
      </c>
      <c r="J33" s="3" t="n">
        <v>26</v>
      </c>
      <c r="K33" s="3" t="n">
        <v>26</v>
      </c>
      <c r="L33" s="3" t="n">
        <v>26</v>
      </c>
    </row>
    <row r="34" customFormat="false" ht="15" hidden="false" customHeight="false" outlineLevel="0" collapsed="false">
      <c r="A34" s="0" t="s">
        <v>106</v>
      </c>
      <c r="B34" s="3" t="n">
        <v>7.5</v>
      </c>
    </row>
    <row r="35" customFormat="false" ht="15" hidden="false" customHeight="false" outlineLevel="0" collapsed="false">
      <c r="A35" s="0" t="s">
        <v>107</v>
      </c>
      <c r="B35" s="3" t="n">
        <v>2.5</v>
      </c>
    </row>
    <row r="36" customFormat="false" ht="15" hidden="false" customHeight="false" outlineLevel="0" collapsed="false">
      <c r="A36" s="0" t="s">
        <v>108</v>
      </c>
      <c r="B36" s="3" t="n">
        <v>14</v>
      </c>
    </row>
    <row r="37" customFormat="false" ht="15" hidden="false" customHeight="false" outlineLevel="0" collapsed="false">
      <c r="A37" s="0" t="s">
        <v>109</v>
      </c>
      <c r="B37" s="3" t="n">
        <v>0</v>
      </c>
    </row>
    <row r="38" customFormat="false" ht="15" hidden="false" customHeight="false" outlineLevel="0" collapsed="false">
      <c r="A38" s="0" t="s">
        <v>110</v>
      </c>
      <c r="B38" s="3" t="n">
        <v>0.5</v>
      </c>
    </row>
    <row r="40" customFormat="false" ht="15" hidden="false" customHeight="false" outlineLevel="0" collapsed="false">
      <c r="A40" s="2" t="s">
        <v>112</v>
      </c>
      <c r="C40" s="2" t="s">
        <v>89</v>
      </c>
      <c r="D40" s="2" t="s">
        <v>90</v>
      </c>
      <c r="E40" s="2" t="s">
        <v>91</v>
      </c>
      <c r="F40" s="2" t="s">
        <v>92</v>
      </c>
      <c r="G40" s="2" t="s">
        <v>93</v>
      </c>
      <c r="H40" s="2" t="s">
        <v>94</v>
      </c>
      <c r="I40" s="2" t="s">
        <v>95</v>
      </c>
      <c r="J40" s="2" t="s">
        <v>96</v>
      </c>
      <c r="K40" s="2" t="s">
        <v>97</v>
      </c>
      <c r="L40" s="2" t="s">
        <v>98</v>
      </c>
    </row>
    <row r="41" customFormat="false" ht="15" hidden="false" customHeight="false" outlineLevel="0" collapsed="false">
      <c r="A41" s="0" t="s">
        <v>99</v>
      </c>
      <c r="C41" s="3" t="n">
        <v>9</v>
      </c>
      <c r="D41" s="3" t="n">
        <v>8.5</v>
      </c>
      <c r="E41" s="3" t="n">
        <v>8</v>
      </c>
      <c r="F41" s="3" t="n">
        <v>7</v>
      </c>
      <c r="G41" s="3" t="n">
        <v>6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100</v>
      </c>
      <c r="C42" s="3" t="n">
        <v>19.3</v>
      </c>
      <c r="D42" s="3" t="n">
        <v>20</v>
      </c>
      <c r="E42" s="3" t="n">
        <v>20.6</v>
      </c>
      <c r="F42" s="3" t="n">
        <v>21</v>
      </c>
      <c r="G42" s="3" t="n">
        <v>21.2</v>
      </c>
      <c r="H42" s="3" t="n">
        <v>21.3</v>
      </c>
      <c r="I42" s="3" t="n">
        <v>21.4</v>
      </c>
      <c r="J42" s="3" t="n">
        <v>21.5</v>
      </c>
      <c r="K42" s="3" t="n">
        <v>21.5</v>
      </c>
      <c r="L42" s="3" t="n">
        <v>21.5</v>
      </c>
    </row>
    <row r="43" customFormat="false" ht="15" hidden="false" customHeight="false" outlineLevel="0" collapsed="false">
      <c r="A43" s="0" t="s">
        <v>101</v>
      </c>
      <c r="C43" s="3" t="n">
        <v>0.6</v>
      </c>
      <c r="D43" s="3" t="n">
        <v>0.6</v>
      </c>
      <c r="E43" s="3" t="n">
        <v>0.6</v>
      </c>
      <c r="F43" s="3" t="n">
        <v>0.6</v>
      </c>
      <c r="G43" s="3" t="n">
        <v>0.6</v>
      </c>
      <c r="H43" s="3" t="n">
        <v>0.6</v>
      </c>
      <c r="I43" s="3" t="n">
        <v>0.6</v>
      </c>
      <c r="J43" s="3" t="n">
        <v>0.6</v>
      </c>
      <c r="K43" s="3" t="n">
        <v>0.6</v>
      </c>
      <c r="L43" s="3" t="n">
        <v>0.6</v>
      </c>
    </row>
    <row r="44" customFormat="false" ht="15" hidden="false" customHeight="false" outlineLevel="0" collapsed="false">
      <c r="A44" s="0" t="s">
        <v>102</v>
      </c>
      <c r="C44" s="3" t="n">
        <v>7.4</v>
      </c>
      <c r="D44" s="3" t="n">
        <v>7.4</v>
      </c>
      <c r="E44" s="3" t="n">
        <v>7.4</v>
      </c>
      <c r="F44" s="3" t="n">
        <v>7.3</v>
      </c>
      <c r="G44" s="3" t="n">
        <v>7.3</v>
      </c>
      <c r="H44" s="3" t="n">
        <v>7.3</v>
      </c>
      <c r="I44" s="3" t="n">
        <v>7.3</v>
      </c>
      <c r="J44" s="3" t="n">
        <v>7.3</v>
      </c>
      <c r="K44" s="3" t="n">
        <v>7.3</v>
      </c>
      <c r="L44" s="3" t="n">
        <v>7.3</v>
      </c>
    </row>
    <row r="45" customFormat="false" ht="15" hidden="false" customHeight="false" outlineLevel="0" collapsed="false">
      <c r="A45" s="0" t="s">
        <v>103</v>
      </c>
      <c r="C45" s="3" t="n">
        <v>3.5</v>
      </c>
      <c r="D45" s="3" t="n">
        <v>3.5</v>
      </c>
      <c r="E45" s="3" t="n">
        <v>3.5</v>
      </c>
      <c r="F45" s="3" t="n">
        <v>3.5</v>
      </c>
      <c r="G45" s="3" t="n">
        <v>3.5</v>
      </c>
      <c r="H45" s="3" t="n">
        <v>3.5</v>
      </c>
      <c r="I45" s="3" t="n">
        <v>3.5</v>
      </c>
      <c r="J45" s="3" t="n">
        <v>3.5</v>
      </c>
      <c r="K45" s="3" t="n">
        <v>3.5</v>
      </c>
      <c r="L45" s="3" t="n">
        <v>3.5</v>
      </c>
    </row>
    <row r="46" customFormat="false" ht="15" hidden="false" customHeight="false" outlineLevel="0" collapsed="false">
      <c r="A46" s="0" t="s">
        <v>104</v>
      </c>
      <c r="C46" s="3" t="n">
        <v>5.4</v>
      </c>
      <c r="D46" s="3" t="n">
        <v>5.2</v>
      </c>
      <c r="E46" s="3" t="n">
        <v>4.9</v>
      </c>
      <c r="F46" s="3" t="n">
        <v>4.6</v>
      </c>
      <c r="G46" s="3" t="n">
        <v>4.4</v>
      </c>
      <c r="H46" s="3" t="n">
        <v>4.2</v>
      </c>
      <c r="I46" s="3" t="n">
        <v>4.1</v>
      </c>
      <c r="J46" s="3" t="n">
        <v>4</v>
      </c>
      <c r="K46" s="3" t="n">
        <v>4</v>
      </c>
      <c r="L46" s="3" t="n">
        <v>4</v>
      </c>
    </row>
    <row r="47" customFormat="false" ht="15" hidden="false" customHeight="false" outlineLevel="0" collapsed="false">
      <c r="A47" s="0" t="s">
        <v>105</v>
      </c>
      <c r="C47" s="3" t="n">
        <v>24</v>
      </c>
      <c r="D47" s="3" t="n">
        <v>25</v>
      </c>
      <c r="E47" s="3" t="n">
        <v>26</v>
      </c>
      <c r="F47" s="3" t="n">
        <v>26</v>
      </c>
      <c r="G47" s="3" t="n">
        <v>26</v>
      </c>
      <c r="H47" s="3" t="n">
        <v>26</v>
      </c>
      <c r="I47" s="3" t="n">
        <v>26</v>
      </c>
      <c r="J47" s="3" t="n">
        <v>26</v>
      </c>
      <c r="K47" s="3" t="n">
        <v>26</v>
      </c>
      <c r="L47" s="3" t="n">
        <v>26</v>
      </c>
    </row>
    <row r="48" customFormat="false" ht="15" hidden="false" customHeight="false" outlineLevel="0" collapsed="false">
      <c r="A48" s="0" t="s">
        <v>106</v>
      </c>
      <c r="B48" s="3" t="n">
        <v>7.5</v>
      </c>
    </row>
    <row r="49" customFormat="false" ht="15" hidden="false" customHeight="false" outlineLevel="0" collapsed="false">
      <c r="A49" s="0" t="s">
        <v>107</v>
      </c>
      <c r="B49" s="3" t="n">
        <v>2.75</v>
      </c>
    </row>
    <row r="50" customFormat="false" ht="15" hidden="false" customHeight="false" outlineLevel="0" collapsed="false">
      <c r="A50" s="0" t="s">
        <v>108</v>
      </c>
      <c r="B50" s="3" t="n">
        <v>15</v>
      </c>
    </row>
    <row r="51" customFormat="false" ht="15" hidden="false" customHeight="false" outlineLevel="0" collapsed="false">
      <c r="A51" s="0" t="s">
        <v>109</v>
      </c>
      <c r="B51" s="3" t="n">
        <v>0</v>
      </c>
    </row>
    <row r="52" customFormat="false" ht="15" hidden="false" customHeight="false" outlineLevel="0" collapsed="false">
      <c r="A52" s="0" t="s">
        <v>110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113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Assumptions!C13</f>
        <v>3</v>
      </c>
      <c r="D5" s="4" t="n">
        <f aca="false">Assumptions!D13</f>
        <v>3.5</v>
      </c>
      <c r="E5" s="4" t="n">
        <f aca="false">Assumptions!E13</f>
        <v>4</v>
      </c>
      <c r="F5" s="4" t="n">
        <f aca="false">Assumptions!F13</f>
        <v>4</v>
      </c>
      <c r="G5" s="4" t="n">
        <f aca="false">Assumptions!G13</f>
        <v>3.5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6345.5</v>
      </c>
      <c r="C6" s="0" t="n">
        <f aca="false">B6*(1+C5/100)</f>
        <v>6535.865</v>
      </c>
      <c r="D6" s="0" t="n">
        <f aca="false">C6*(1+D5/100)</f>
        <v>6764.620275</v>
      </c>
      <c r="E6" s="0" t="n">
        <f aca="false">D6*(1+E5/100)</f>
        <v>7035.205086</v>
      </c>
      <c r="F6" s="0" t="n">
        <f aca="false">E6*(1+F5/100)</f>
        <v>7316.61328944</v>
      </c>
      <c r="G6" s="0" t="n">
        <f aca="false">F6*(1+G5/100)</f>
        <v>7572.6947545704</v>
      </c>
      <c r="H6" s="0" t="n">
        <f aca="false">G6*(1+H5/100)</f>
        <v>7799.87559720751</v>
      </c>
      <c r="I6" s="0" t="n">
        <f aca="false">H6*(1+I5/100)</f>
        <v>8033.87186512374</v>
      </c>
      <c r="J6" s="0" t="n">
        <f aca="false">I6*(1+J5/100)</f>
        <v>8234.71866175183</v>
      </c>
      <c r="K6" s="0" t="n">
        <f aca="false">J6*(1+K5/100)</f>
        <v>8440.58662829563</v>
      </c>
      <c r="L6" s="0" t="n">
        <f aca="false">K6*(1+L5/100)</f>
        <v>8609.39836086154</v>
      </c>
    </row>
    <row r="7" customFormat="false" ht="15" hidden="false" customHeight="false" outlineLevel="0" collapsed="false">
      <c r="A7" s="0" t="s">
        <v>100</v>
      </c>
      <c r="C7" s="4" t="n">
        <f aca="false">Assumptions!C14</f>
        <v>18.4</v>
      </c>
      <c r="D7" s="4" t="n">
        <f aca="false">Assumptions!D14</f>
        <v>18.4</v>
      </c>
      <c r="E7" s="4" t="n">
        <f aca="false">Assumptions!E14</f>
        <v>18.5</v>
      </c>
      <c r="F7" s="4" t="n">
        <f aca="false">Assumptions!F14</f>
        <v>18.5</v>
      </c>
      <c r="G7" s="4" t="n">
        <f aca="false">Assumptions!G14</f>
        <v>18.5</v>
      </c>
      <c r="H7" s="4" t="n">
        <f aca="false">Assumptions!H14</f>
        <v>18.5</v>
      </c>
      <c r="I7" s="4" t="n">
        <f aca="false">Assumptions!I14</f>
        <v>18.5</v>
      </c>
      <c r="J7" s="4" t="n">
        <f aca="false">Assumptions!J14</f>
        <v>18.5</v>
      </c>
      <c r="K7" s="4" t="n">
        <f aca="false">Assumptions!K14</f>
        <v>18.5</v>
      </c>
      <c r="L7" s="4" t="n">
        <f aca="false">Assumptions!L14</f>
        <v>18.5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1202.59916</v>
      </c>
      <c r="D8" s="0" t="n">
        <f aca="false">D6*D7/100</f>
        <v>1244.6901306</v>
      </c>
      <c r="E8" s="0" t="n">
        <f aca="false">E6*E7/100</f>
        <v>1301.51294091</v>
      </c>
      <c r="F8" s="0" t="n">
        <f aca="false">F6*F7/100</f>
        <v>1353.5734585464</v>
      </c>
      <c r="G8" s="0" t="n">
        <f aca="false">G6*G7/100</f>
        <v>1400.94852959552</v>
      </c>
      <c r="H8" s="0" t="n">
        <f aca="false">H6*H7/100</f>
        <v>1442.97698548339</v>
      </c>
      <c r="I8" s="0" t="n">
        <f aca="false">I6*I7/100</f>
        <v>1486.26629504789</v>
      </c>
      <c r="J8" s="0" t="n">
        <f aca="false">J6*J7/100</f>
        <v>1523.42295242409</v>
      </c>
      <c r="K8" s="0" t="n">
        <f aca="false">K6*K7/100</f>
        <v>1561.50852623469</v>
      </c>
      <c r="L8" s="0" t="n">
        <f aca="false">L6*L7/100</f>
        <v>1592.73869675938</v>
      </c>
    </row>
    <row r="9" customFormat="false" ht="15" hidden="false" customHeight="false" outlineLevel="0" collapsed="false">
      <c r="A9" s="0" t="s">
        <v>101</v>
      </c>
      <c r="C9" s="4" t="n">
        <f aca="false">Assumptions!C15</f>
        <v>0.6</v>
      </c>
      <c r="D9" s="4" t="n">
        <f aca="false">Assumptions!D15</f>
        <v>0.6</v>
      </c>
      <c r="E9" s="4" t="n">
        <f aca="false">Assumptions!E15</f>
        <v>0.6</v>
      </c>
      <c r="F9" s="4" t="n">
        <f aca="false">Assumptions!F15</f>
        <v>0.6</v>
      </c>
      <c r="G9" s="4" t="n">
        <f aca="false">Assumptions!G15</f>
        <v>0.6</v>
      </c>
      <c r="H9" s="4" t="n">
        <f aca="false">Assumptions!H15</f>
        <v>0.6</v>
      </c>
      <c r="I9" s="4" t="n">
        <f aca="false">Assumptions!I15</f>
        <v>0.6</v>
      </c>
      <c r="J9" s="4" t="n">
        <f aca="false">Assumptions!J15</f>
        <v>0.6</v>
      </c>
      <c r="K9" s="4" t="n">
        <f aca="false">Assumptions!K15</f>
        <v>0.6</v>
      </c>
      <c r="L9" s="4" t="n">
        <f aca="false">Assumptions!L15</f>
        <v>0.6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-39.21519</v>
      </c>
      <c r="D10" s="0" t="n">
        <f aca="false">-D6*D9/100</f>
        <v>-40.58772165</v>
      </c>
      <c r="E10" s="0" t="n">
        <f aca="false">-E6*E9/100</f>
        <v>-42.211230516</v>
      </c>
      <c r="F10" s="0" t="n">
        <f aca="false">-F6*F9/100</f>
        <v>-43.89967973664</v>
      </c>
      <c r="G10" s="0" t="n">
        <f aca="false">-G6*G9/100</f>
        <v>-45.4361685274224</v>
      </c>
      <c r="H10" s="0" t="n">
        <f aca="false">-H6*H9/100</f>
        <v>-46.7992535832451</v>
      </c>
      <c r="I10" s="0" t="n">
        <f aca="false">-I6*I9/100</f>
        <v>-48.2032311907424</v>
      </c>
      <c r="J10" s="0" t="n">
        <f aca="false">-J6*J9/100</f>
        <v>-49.408311970511</v>
      </c>
      <c r="K10" s="0" t="n">
        <f aca="false">-K6*K9/100</f>
        <v>-50.6435197697738</v>
      </c>
      <c r="L10" s="0" t="n">
        <f aca="false">-L6*L9/100</f>
        <v>-51.6563901651692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673.194095</v>
      </c>
      <c r="D11" s="0" t="n">
        <f aca="false">D8+D10+D24</f>
        <v>689.99126805</v>
      </c>
      <c r="E11" s="0" t="n">
        <f aca="false">E8+E10+E24</f>
        <v>724.626123858</v>
      </c>
      <c r="F11" s="0" t="n">
        <f aca="false">F8+F10+F24</f>
        <v>753.61116881232</v>
      </c>
      <c r="G11" s="0" t="n">
        <f aca="false">G8+G10+G24</f>
        <v>779.987559720751</v>
      </c>
      <c r="H11" s="0" t="n">
        <f aca="false">H8+H10+H24</f>
        <v>803.387186512374</v>
      </c>
      <c r="I11" s="0" t="n">
        <f aca="false">I8+I10+I24</f>
        <v>827.488802107745</v>
      </c>
      <c r="J11" s="0" t="n">
        <f aca="false">J8+J10+J24</f>
        <v>848.176022160438</v>
      </c>
      <c r="K11" s="0" t="n">
        <f aca="false">K8+K10+K24</f>
        <v>869.380422714449</v>
      </c>
      <c r="L11" s="0" t="n">
        <f aca="false">L8+L10+L24</f>
        <v>886.768031168739</v>
      </c>
    </row>
    <row r="12" customFormat="false" ht="15" hidden="false" customHeight="false" outlineLevel="0" collapsed="false">
      <c r="A12" s="0" t="s">
        <v>118</v>
      </c>
      <c r="C12" s="4" t="n">
        <f aca="false">-C6*Assumptions!C17/100</f>
        <v>-228.755275</v>
      </c>
      <c r="D12" s="4" t="n">
        <f aca="false">-D6*Assumptions!D17/100</f>
        <v>-236.761709625</v>
      </c>
      <c r="E12" s="4" t="n">
        <f aca="false">-E6*Assumptions!E17/100</f>
        <v>-246.23217801</v>
      </c>
      <c r="F12" s="4" t="n">
        <f aca="false">-F6*Assumptions!F17/100</f>
        <v>-256.0814651304</v>
      </c>
      <c r="G12" s="4" t="n">
        <f aca="false">-G6*Assumptions!G17/100</f>
        <v>-265.044316409964</v>
      </c>
      <c r="H12" s="4" t="n">
        <f aca="false">-H6*Assumptions!H17/100</f>
        <v>-272.995645902263</v>
      </c>
      <c r="I12" s="4" t="n">
        <f aca="false">-I6*Assumptions!I17/100</f>
        <v>-281.185515279331</v>
      </c>
      <c r="J12" s="4" t="n">
        <f aca="false">-J6*Assumptions!J17/100</f>
        <v>-288.215153161314</v>
      </c>
      <c r="K12" s="4" t="n">
        <f aca="false">-K6*Assumptions!K17/100</f>
        <v>-295.420531990347</v>
      </c>
      <c r="L12" s="4" t="n">
        <f aca="false">-L6*Assumptions!L17/100</f>
        <v>-301.328942630154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444.43882</v>
      </c>
      <c r="D13" s="0" t="n">
        <f aca="false">D11+D12</f>
        <v>453.229558425</v>
      </c>
      <c r="E13" s="0" t="n">
        <f aca="false">E11+E12</f>
        <v>478.393945848</v>
      </c>
      <c r="F13" s="0" t="n">
        <f aca="false">F11+F12</f>
        <v>497.52970368192</v>
      </c>
      <c r="G13" s="0" t="n">
        <f aca="false">G11+G12</f>
        <v>514.943243310787</v>
      </c>
      <c r="H13" s="0" t="n">
        <f aca="false">H11+H12</f>
        <v>530.391540610111</v>
      </c>
      <c r="I13" s="0" t="n">
        <f aca="false">I11+I12</f>
        <v>546.303286828414</v>
      </c>
      <c r="J13" s="0" t="n">
        <f aca="false">J11+J12</f>
        <v>559.960868999124</v>
      </c>
      <c r="K13" s="0" t="n">
        <f aca="false">K11+K12</f>
        <v>573.959890724102</v>
      </c>
      <c r="L13" s="0" t="n">
        <f aca="false">L11+L12</f>
        <v>585.439088538585</v>
      </c>
    </row>
    <row r="14" customFormat="false" ht="15" hidden="false" customHeight="false" outlineLevel="0" collapsed="false">
      <c r="A14" s="0" t="s">
        <v>105</v>
      </c>
      <c r="C14" s="4" t="n">
        <f aca="false">Assumptions!C19</f>
        <v>25</v>
      </c>
      <c r="D14" s="4" t="n">
        <f aca="false">Assumptions!D19</f>
        <v>26</v>
      </c>
      <c r="E14" s="4" t="n">
        <f aca="false">Assumptions!E19</f>
        <v>27</v>
      </c>
      <c r="F14" s="4" t="n">
        <f aca="false">Assumptions!F19</f>
        <v>27</v>
      </c>
      <c r="G14" s="4" t="n">
        <f aca="false">Assumptions!G19</f>
        <v>27</v>
      </c>
      <c r="H14" s="4" t="n">
        <f aca="false">Assumptions!H19</f>
        <v>27</v>
      </c>
      <c r="I14" s="4" t="n">
        <f aca="false">Assumptions!I19</f>
        <v>27</v>
      </c>
      <c r="J14" s="4" t="n">
        <f aca="false">Assumptions!J19</f>
        <v>27</v>
      </c>
      <c r="K14" s="4" t="n">
        <f aca="false">Assumptions!K19</f>
        <v>27</v>
      </c>
      <c r="L14" s="4" t="n">
        <f aca="false">Assumptions!L19</f>
        <v>27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333.329115</v>
      </c>
      <c r="D15" s="0" t="n">
        <f aca="false">D13-MAX(0,D13)*D14/100</f>
        <v>335.3898732345</v>
      </c>
      <c r="E15" s="0" t="n">
        <f aca="false">E13-MAX(0,E13)*E14/100</f>
        <v>349.22758046904</v>
      </c>
      <c r="F15" s="0" t="n">
        <f aca="false">F13-MAX(0,F13)*F14/100</f>
        <v>363.196683687802</v>
      </c>
      <c r="G15" s="0" t="n">
        <f aca="false">G13-MAX(0,G13)*G14/100</f>
        <v>375.908567616875</v>
      </c>
      <c r="H15" s="0" t="n">
        <f aca="false">H13-MAX(0,H13)*H14/100</f>
        <v>387.185824645381</v>
      </c>
      <c r="I15" s="0" t="n">
        <f aca="false">I13-MAX(0,I13)*I14/100</f>
        <v>398.801399384742</v>
      </c>
      <c r="J15" s="0" t="n">
        <f aca="false">J13-MAX(0,J13)*J14/100</f>
        <v>408.771434369361</v>
      </c>
      <c r="K15" s="0" t="n">
        <f aca="false">K13-MAX(0,K13)*K14/100</f>
        <v>418.990720228595</v>
      </c>
      <c r="L15" s="0" t="n">
        <f aca="false">L13-MAX(0,L13)*L14/100</f>
        <v>427.370534633167</v>
      </c>
    </row>
    <row r="16" customFormat="false" ht="15" hidden="false" customHeight="false" outlineLevel="0" collapsed="false">
      <c r="A16" s="0" t="s">
        <v>121</v>
      </c>
      <c r="C16" s="0" t="n">
        <f aca="false">-C12</f>
        <v>228.755275</v>
      </c>
      <c r="D16" s="0" t="n">
        <f aca="false">-D12</f>
        <v>236.761709625</v>
      </c>
      <c r="E16" s="0" t="n">
        <f aca="false">-E12</f>
        <v>246.23217801</v>
      </c>
      <c r="F16" s="0" t="n">
        <f aca="false">-F12</f>
        <v>256.0814651304</v>
      </c>
      <c r="G16" s="0" t="n">
        <f aca="false">-G12</f>
        <v>265.044316409964</v>
      </c>
      <c r="H16" s="0" t="n">
        <f aca="false">-H12</f>
        <v>272.995645902263</v>
      </c>
      <c r="I16" s="0" t="n">
        <f aca="false">-I12</f>
        <v>281.185515279331</v>
      </c>
      <c r="J16" s="0" t="n">
        <f aca="false">-J12</f>
        <v>288.215153161314</v>
      </c>
      <c r="K16" s="0" t="n">
        <f aca="false">-K12</f>
        <v>295.420531990347</v>
      </c>
      <c r="L16" s="0" t="n">
        <f aca="false">-L12</f>
        <v>301.328942630154</v>
      </c>
    </row>
    <row r="17" customFormat="false" ht="15" hidden="false" customHeight="false" outlineLevel="0" collapsed="false">
      <c r="A17" s="0" t="s">
        <v>122</v>
      </c>
      <c r="C17" s="4" t="n">
        <f aca="false">-C6*Assumptions!C18/100</f>
        <v>-339.86498</v>
      </c>
      <c r="D17" s="4" t="n">
        <f aca="false">-D6*Assumptions!D18/100</f>
        <v>-338.23101375</v>
      </c>
      <c r="E17" s="4" t="n">
        <f aca="false">-E6*Assumptions!E18/100</f>
        <v>-337.689844128</v>
      </c>
      <c r="F17" s="4" t="n">
        <f aca="false">-F6*Assumptions!F18/100</f>
        <v>-336.56421131424</v>
      </c>
      <c r="G17" s="4" t="n">
        <f aca="false">-G6*Assumptions!G18/100</f>
        <v>-340.771263955668</v>
      </c>
      <c r="H17" s="4" t="n">
        <f aca="false">-H6*Assumptions!H18/100</f>
        <v>-343.194526277131</v>
      </c>
      <c r="I17" s="4" t="n">
        <f aca="false">-I6*Assumptions!I18/100</f>
        <v>-345.456490200321</v>
      </c>
      <c r="J17" s="4" t="n">
        <f aca="false">-J6*Assumptions!J18/100</f>
        <v>-345.858183793577</v>
      </c>
      <c r="K17" s="4" t="n">
        <f aca="false">-K6*Assumptions!K18/100</f>
        <v>-354.504638388416</v>
      </c>
      <c r="L17" s="4" t="n">
        <f aca="false">-L6*Assumptions!L18/100</f>
        <v>-361.594731156185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(C6-B6)*Assumptions!$B$23/100</f>
        <v>-5.71094999999999</v>
      </c>
      <c r="D18" s="4" t="n">
        <f aca="false">(D6-C6)*Assumptions!$B$23/100</f>
        <v>-6.86265824999999</v>
      </c>
      <c r="E18" s="4" t="n">
        <f aca="false">(E6-D6)*Assumptions!$B$23/100</f>
        <v>-8.11754433000002</v>
      </c>
      <c r="F18" s="4" t="n">
        <f aca="false">(F6-E6)*Assumptions!$B$23/100</f>
        <v>-8.4422461032</v>
      </c>
      <c r="G18" s="4" t="n">
        <f aca="false">(G6-F6)*Assumptions!$B$23/100</f>
        <v>-7.68244395391197</v>
      </c>
      <c r="H18" s="4" t="n">
        <f aca="false">(H6-G6)*Assumptions!$B$23/100</f>
        <v>-6.81542527911338</v>
      </c>
      <c r="I18" s="4" t="n">
        <f aca="false">(I6-H6)*Assumptions!$B$23/100</f>
        <v>-7.01988803748676</v>
      </c>
      <c r="J18" s="4" t="n">
        <f aca="false">(J6-I6)*Assumptions!$B$23/100</f>
        <v>-6.02540389884277</v>
      </c>
      <c r="K18" s="4" t="n">
        <f aca="false">(K6-J6)*Assumptions!$B$23/100</f>
        <v>-6.17603899631387</v>
      </c>
      <c r="L18" s="4" t="n">
        <f aca="false">(L6-K6)*Assumptions!$B$23/100</f>
        <v>-5.0643519769774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216.50846</v>
      </c>
      <c r="D19" s="0" t="n">
        <f aca="false">D15+D16+D17+D18</f>
        <v>227.0579108595</v>
      </c>
      <c r="E19" s="0" t="n">
        <f aca="false">E15+E16+E17+E18</f>
        <v>249.65237002104</v>
      </c>
      <c r="F19" s="0" t="n">
        <f aca="false">F15+F16+F17+F18</f>
        <v>274.271691400762</v>
      </c>
      <c r="G19" s="0" t="n">
        <f aca="false">G15+G16+G17+G18</f>
        <v>292.499176117259</v>
      </c>
      <c r="H19" s="0" t="n">
        <f aca="false">H15+H16+H17+H18</f>
        <v>310.1715189914</v>
      </c>
      <c r="I19" s="0" t="n">
        <f aca="false">I15+I16+I17+I18</f>
        <v>327.510536426266</v>
      </c>
      <c r="J19" s="0" t="n">
        <f aca="false">J15+J16+J17+J18</f>
        <v>345.102999838255</v>
      </c>
      <c r="K19" s="0" t="n">
        <f aca="false">K15+K16+K17+K18</f>
        <v>353.730574834212</v>
      </c>
      <c r="L19" s="0" t="n">
        <f aca="false">L15+L16+L17+L18</f>
        <v>362.040394130159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201.403218604651</v>
      </c>
      <c r="D21" s="0" t="n">
        <f aca="false">D19*D20</f>
        <v>196.480615129908</v>
      </c>
      <c r="E21" s="0" t="n">
        <f aca="false">E19*E20</f>
        <v>200.960313951559</v>
      </c>
      <c r="F21" s="0" t="n">
        <f aca="false">F19*F20</f>
        <v>205.374787823553</v>
      </c>
      <c r="G21" s="0" t="n">
        <f aca="false">G19*G20</f>
        <v>203.742826079773</v>
      </c>
      <c r="H21" s="0" t="n">
        <f aca="false">H19*H20</f>
        <v>200.979208430333</v>
      </c>
      <c r="I21" s="0" t="n">
        <f aca="false">I19*I20</f>
        <v>197.408580926626</v>
      </c>
      <c r="J21" s="0" t="n">
        <f aca="false">J19*J20</f>
        <v>193.500022760065</v>
      </c>
      <c r="K21" s="0" t="n">
        <f aca="false">K19*K20</f>
        <v>184.500021701457</v>
      </c>
      <c r="L21" s="0" t="n">
        <f aca="false">L19*L20</f>
        <v>175.659801031822</v>
      </c>
    </row>
    <row r="23" customFormat="false" ht="15" hidden="false" customHeight="false" outlineLevel="0" collapsed="false">
      <c r="A23" s="0" t="s">
        <v>102</v>
      </c>
      <c r="C23" s="4" t="n">
        <f aca="false">Assumptions!C16</f>
        <v>7.5</v>
      </c>
      <c r="D23" s="4" t="n">
        <f aca="false">Assumptions!D16</f>
        <v>7.6</v>
      </c>
      <c r="E23" s="4" t="n">
        <f aca="false">Assumptions!E16</f>
        <v>7.6</v>
      </c>
      <c r="F23" s="4" t="n">
        <f aca="false">Assumptions!F16</f>
        <v>7.6</v>
      </c>
      <c r="G23" s="4" t="n">
        <f aca="false">Assumptions!G16</f>
        <v>7.6</v>
      </c>
      <c r="H23" s="4" t="n">
        <f aca="false">Assumptions!H16</f>
        <v>7.6</v>
      </c>
      <c r="I23" s="4" t="n">
        <f aca="false">Assumptions!I16</f>
        <v>7.6</v>
      </c>
      <c r="J23" s="4" t="n">
        <f aca="false">Assumptions!J16</f>
        <v>7.6</v>
      </c>
      <c r="K23" s="4" t="n">
        <f aca="false">Assumptions!K16</f>
        <v>7.6</v>
      </c>
      <c r="L23" s="4" t="n">
        <f aca="false">Assumptions!L16</f>
        <v>7.6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-490.189875</v>
      </c>
      <c r="D24" s="0" t="n">
        <f aca="false">-D6*D23/100</f>
        <v>-514.1111409</v>
      </c>
      <c r="E24" s="0" t="n">
        <f aca="false">-E6*E23/100</f>
        <v>-534.675586536</v>
      </c>
      <c r="F24" s="0" t="n">
        <f aca="false">-F6*F23/100</f>
        <v>-556.06260999744</v>
      </c>
      <c r="G24" s="0" t="n">
        <f aca="false">-G6*G23/100</f>
        <v>-575.52480134735</v>
      </c>
      <c r="H24" s="0" t="n">
        <f aca="false">-H6*H23/100</f>
        <v>-592.790545387771</v>
      </c>
      <c r="I24" s="0" t="n">
        <f aca="false">-I6*I23/100</f>
        <v>-610.574261749404</v>
      </c>
      <c r="J24" s="0" t="n">
        <f aca="false">-J6*J23/100</f>
        <v>-625.838618293139</v>
      </c>
      <c r="K24" s="0" t="n">
        <f aca="false">-K6*K23/100</f>
        <v>-641.484583750467</v>
      </c>
      <c r="L24" s="0" t="n">
        <f aca="false">-L6*L23/100</f>
        <v>-654.314275425477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Assumptions!$B$20</f>
        <v>7.5</v>
      </c>
    </row>
    <row r="28" customFormat="false" ht="15" hidden="false" customHeight="false" outlineLevel="0" collapsed="false">
      <c r="A28" s="0" t="s">
        <v>107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108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1960.00939643975</v>
      </c>
    </row>
    <row r="31" customFormat="false" ht="15" hidden="false" customHeight="false" outlineLevel="0" collapsed="false">
      <c r="A31" s="0" t="s">
        <v>130</v>
      </c>
      <c r="B31" s="0" t="n">
        <f aca="false">L19</f>
        <v>362.040394130159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6714.20367295931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4344.4847295619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4344.4847295619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2107.91761238187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4067.92700882161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2976.12700882161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1.96625727327009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-0.453817424091641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308.66095063252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464.811530971524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2.47727239060892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2840.6246308674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0.658550858486279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Assumptions!C27</f>
        <v>7</v>
      </c>
      <c r="D5" s="4" t="n">
        <f aca="false">Assumptions!D27</f>
        <v>6.5</v>
      </c>
      <c r="E5" s="4" t="n">
        <f aca="false">Assumptions!E27</f>
        <v>6</v>
      </c>
      <c r="F5" s="4" t="n">
        <f aca="false">Assumptions!F27</f>
        <v>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6345.5</v>
      </c>
      <c r="C6" s="0" t="n">
        <f aca="false">B6*(1+C5/100)</f>
        <v>6789.685</v>
      </c>
      <c r="D6" s="0" t="n">
        <f aca="false">C6*(1+D5/100)</f>
        <v>7231.014525</v>
      </c>
      <c r="E6" s="0" t="n">
        <f aca="false">D6*(1+E5/100)</f>
        <v>7664.8753965</v>
      </c>
      <c r="F6" s="0" t="n">
        <f aca="false">E6*(1+F5/100)</f>
        <v>8048.119166325</v>
      </c>
      <c r="G6" s="0" t="n">
        <f aca="false">F6*(1+G5/100)</f>
        <v>8410.28452880963</v>
      </c>
      <c r="H6" s="0" t="n">
        <f aca="false">G6*(1+H5/100)</f>
        <v>8746.69590996201</v>
      </c>
      <c r="I6" s="0" t="n">
        <f aca="false">H6*(1+I5/100)</f>
        <v>9052.83026681068</v>
      </c>
      <c r="J6" s="0" t="n">
        <f aca="false">I6*(1+J5/100)</f>
        <v>9324.415174815</v>
      </c>
      <c r="K6" s="0" t="n">
        <f aca="false">J6*(1+K5/100)</f>
        <v>9604.14763005945</v>
      </c>
      <c r="L6" s="0" t="n">
        <f aca="false">K6*(1+L5/100)</f>
        <v>9844.25132081094</v>
      </c>
    </row>
    <row r="7" customFormat="false" ht="15" hidden="false" customHeight="false" outlineLevel="0" collapsed="false">
      <c r="A7" s="0" t="s">
        <v>100</v>
      </c>
      <c r="C7" s="4" t="n">
        <f aca="false">Assumptions!C28</f>
        <v>19</v>
      </c>
      <c r="D7" s="4" t="n">
        <f aca="false">Assumptions!D28</f>
        <v>19.4</v>
      </c>
      <c r="E7" s="4" t="n">
        <f aca="false">Assumptions!E28</f>
        <v>19.8</v>
      </c>
      <c r="F7" s="4" t="n">
        <f aca="false">Assumptions!F28</f>
        <v>20</v>
      </c>
      <c r="G7" s="4" t="n">
        <f aca="false">Assumptions!G28</f>
        <v>20</v>
      </c>
      <c r="H7" s="4" t="n">
        <f aca="false">Assumptions!H28</f>
        <v>20</v>
      </c>
      <c r="I7" s="4" t="n">
        <f aca="false">Assumptions!I28</f>
        <v>20</v>
      </c>
      <c r="J7" s="4" t="n">
        <f aca="false">Assumptions!J28</f>
        <v>20</v>
      </c>
      <c r="K7" s="4" t="n">
        <f aca="false">Assumptions!K28</f>
        <v>20</v>
      </c>
      <c r="L7" s="4" t="n">
        <f aca="false">Assumptions!L28</f>
        <v>20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1290.04015</v>
      </c>
      <c r="D8" s="0" t="n">
        <f aca="false">D6*D7/100</f>
        <v>1402.81681785</v>
      </c>
      <c r="E8" s="0" t="n">
        <f aca="false">E6*E7/100</f>
        <v>1517.645328507</v>
      </c>
      <c r="F8" s="0" t="n">
        <f aca="false">F6*F7/100</f>
        <v>1609.623833265</v>
      </c>
      <c r="G8" s="0" t="n">
        <f aca="false">G6*G7/100</f>
        <v>1682.05690576193</v>
      </c>
      <c r="H8" s="0" t="n">
        <f aca="false">H6*H7/100</f>
        <v>1749.3391819924</v>
      </c>
      <c r="I8" s="0" t="n">
        <f aca="false">I6*I7/100</f>
        <v>1810.56605336214</v>
      </c>
      <c r="J8" s="0" t="n">
        <f aca="false">J6*J7/100</f>
        <v>1864.883034963</v>
      </c>
      <c r="K8" s="0" t="n">
        <f aca="false">K6*K7/100</f>
        <v>1920.82952601189</v>
      </c>
      <c r="L8" s="0" t="n">
        <f aca="false">L6*L7/100</f>
        <v>1968.85026416219</v>
      </c>
    </row>
    <row r="9" customFormat="false" ht="15" hidden="false" customHeight="false" outlineLevel="0" collapsed="false">
      <c r="A9" s="0" t="s">
        <v>101</v>
      </c>
      <c r="C9" s="4" t="n">
        <f aca="false">Assumptions!C29</f>
        <v>0.6</v>
      </c>
      <c r="D9" s="4" t="n">
        <f aca="false">Assumptions!D29</f>
        <v>0.6</v>
      </c>
      <c r="E9" s="4" t="n">
        <f aca="false">Assumptions!E29</f>
        <v>0.6</v>
      </c>
      <c r="F9" s="4" t="n">
        <f aca="false">Assumptions!F29</f>
        <v>0.6</v>
      </c>
      <c r="G9" s="4" t="n">
        <f aca="false">Assumptions!G29</f>
        <v>0.6</v>
      </c>
      <c r="H9" s="4" t="n">
        <f aca="false">Assumptions!H29</f>
        <v>0.6</v>
      </c>
      <c r="I9" s="4" t="n">
        <f aca="false">Assumptions!I29</f>
        <v>0.6</v>
      </c>
      <c r="J9" s="4" t="n">
        <f aca="false">Assumptions!J29</f>
        <v>0.6</v>
      </c>
      <c r="K9" s="4" t="n">
        <f aca="false">Assumptions!K29</f>
        <v>0.6</v>
      </c>
      <c r="L9" s="4" t="n">
        <f aca="false">Assumptions!L29</f>
        <v>0.6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-40.73811</v>
      </c>
      <c r="D10" s="0" t="n">
        <f aca="false">-D6*D9/100</f>
        <v>-43.38608715</v>
      </c>
      <c r="E10" s="0" t="n">
        <f aca="false">-E6*E9/100</f>
        <v>-45.989252379</v>
      </c>
      <c r="F10" s="0" t="n">
        <f aca="false">-F6*F9/100</f>
        <v>-48.28871499795</v>
      </c>
      <c r="G10" s="0" t="n">
        <f aca="false">-G6*G9/100</f>
        <v>-50.4617071728578</v>
      </c>
      <c r="H10" s="0" t="n">
        <f aca="false">-H6*H9/100</f>
        <v>-52.4801754597721</v>
      </c>
      <c r="I10" s="0" t="n">
        <f aca="false">-I6*I9/100</f>
        <v>-54.3169816008641</v>
      </c>
      <c r="J10" s="0" t="n">
        <f aca="false">-J6*J9/100</f>
        <v>-55.94649104889</v>
      </c>
      <c r="K10" s="0" t="n">
        <f aca="false">-K6*K9/100</f>
        <v>-57.6248857803567</v>
      </c>
      <c r="L10" s="0" t="n">
        <f aca="false">-L6*L9/100</f>
        <v>-59.0655079248656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746.86535</v>
      </c>
      <c r="D11" s="0" t="n">
        <f aca="false">D8+D10+D24</f>
        <v>817.104641325</v>
      </c>
      <c r="E11" s="0" t="n">
        <f aca="false">E8+E10+E24</f>
        <v>896.7904213905</v>
      </c>
      <c r="F11" s="0" t="n">
        <f aca="false">F8+F10+F24</f>
        <v>957.726180792675</v>
      </c>
      <c r="G11" s="0" t="n">
        <f aca="false">G8+G10+G24</f>
        <v>1000.82385892835</v>
      </c>
      <c r="H11" s="0" t="n">
        <f aca="false">H8+H10+H24</f>
        <v>1040.85681328548</v>
      </c>
      <c r="I11" s="0" t="n">
        <f aca="false">I8+I10+I24</f>
        <v>1077.28680175047</v>
      </c>
      <c r="J11" s="0" t="n">
        <f aca="false">J8+J10+J24</f>
        <v>1109.60540580299</v>
      </c>
      <c r="K11" s="0" t="n">
        <f aca="false">K8+K10+K24</f>
        <v>1142.89356797707</v>
      </c>
      <c r="L11" s="0" t="n">
        <f aca="false">L8+L10+L24</f>
        <v>1171.4659071765</v>
      </c>
    </row>
    <row r="12" customFormat="false" ht="15" hidden="false" customHeight="false" outlineLevel="0" collapsed="false">
      <c r="A12" s="0" t="s">
        <v>118</v>
      </c>
      <c r="C12" s="4" t="n">
        <f aca="false">-C6*Assumptions!C31/100</f>
        <v>-237.638975</v>
      </c>
      <c r="D12" s="4" t="n">
        <f aca="false">-D6*Assumptions!D31/100</f>
        <v>-253.085508375</v>
      </c>
      <c r="E12" s="4" t="n">
        <f aca="false">-E6*Assumptions!E31/100</f>
        <v>-268.2706388775</v>
      </c>
      <c r="F12" s="4" t="n">
        <f aca="false">-F6*Assumptions!F31/100</f>
        <v>-281.684170821375</v>
      </c>
      <c r="G12" s="4" t="n">
        <f aca="false">-G6*Assumptions!G31/100</f>
        <v>-294.359958508337</v>
      </c>
      <c r="H12" s="4" t="n">
        <f aca="false">-H6*Assumptions!H31/100</f>
        <v>-306.13435684867</v>
      </c>
      <c r="I12" s="4" t="n">
        <f aca="false">-I6*Assumptions!I31/100</f>
        <v>-316.849059338374</v>
      </c>
      <c r="J12" s="4" t="n">
        <f aca="false">-J6*Assumptions!J31/100</f>
        <v>-326.354531118525</v>
      </c>
      <c r="K12" s="4" t="n">
        <f aca="false">-K6*Assumptions!K31/100</f>
        <v>-336.145167052081</v>
      </c>
      <c r="L12" s="4" t="n">
        <f aca="false">-L6*Assumptions!L31/100</f>
        <v>-344.548796228383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509.226375</v>
      </c>
      <c r="D13" s="0" t="n">
        <f aca="false">D11+D12</f>
        <v>564.01913295</v>
      </c>
      <c r="E13" s="0" t="n">
        <f aca="false">E11+E12</f>
        <v>628.519782513</v>
      </c>
      <c r="F13" s="0" t="n">
        <f aca="false">F11+F12</f>
        <v>676.0420099713</v>
      </c>
      <c r="G13" s="0" t="n">
        <f aca="false">G11+G12</f>
        <v>706.463900420009</v>
      </c>
      <c r="H13" s="0" t="n">
        <f aca="false">H11+H12</f>
        <v>734.722456436809</v>
      </c>
      <c r="I13" s="0" t="n">
        <f aca="false">I11+I12</f>
        <v>760.437742412097</v>
      </c>
      <c r="J13" s="0" t="n">
        <f aca="false">J11+J12</f>
        <v>783.25087468446</v>
      </c>
      <c r="K13" s="0" t="n">
        <f aca="false">K11+K12</f>
        <v>806.748400924994</v>
      </c>
      <c r="L13" s="0" t="n">
        <f aca="false">L11+L12</f>
        <v>826.917110948119</v>
      </c>
    </row>
    <row r="14" customFormat="false" ht="15" hidden="false" customHeight="false" outlineLevel="0" collapsed="false">
      <c r="A14" s="0" t="s">
        <v>105</v>
      </c>
      <c r="C14" s="4" t="n">
        <f aca="false">Assumptions!C33</f>
        <v>24</v>
      </c>
      <c r="D14" s="4" t="n">
        <f aca="false">Assumptions!D33</f>
        <v>25</v>
      </c>
      <c r="E14" s="4" t="n">
        <f aca="false">Assumptions!E33</f>
        <v>26</v>
      </c>
      <c r="F14" s="4" t="n">
        <f aca="false">Assumptions!F33</f>
        <v>26</v>
      </c>
      <c r="G14" s="4" t="n">
        <f aca="false">Assumptions!G33</f>
        <v>26</v>
      </c>
      <c r="H14" s="4" t="n">
        <f aca="false">Assumptions!H33</f>
        <v>26</v>
      </c>
      <c r="I14" s="4" t="n">
        <f aca="false">Assumptions!I33</f>
        <v>26</v>
      </c>
      <c r="J14" s="4" t="n">
        <f aca="false">Assumptions!J33</f>
        <v>26</v>
      </c>
      <c r="K14" s="4" t="n">
        <f aca="false">Assumptions!K33</f>
        <v>26</v>
      </c>
      <c r="L14" s="4" t="n">
        <f aca="false">Assumptions!L33</f>
        <v>26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387.012045</v>
      </c>
      <c r="D15" s="0" t="n">
        <f aca="false">D13-MAX(0,D13)*D14/100</f>
        <v>423.0143497125</v>
      </c>
      <c r="E15" s="0" t="n">
        <f aca="false">E13-MAX(0,E13)*E14/100</f>
        <v>465.10463905962</v>
      </c>
      <c r="F15" s="0" t="n">
        <f aca="false">F13-MAX(0,F13)*F14/100</f>
        <v>500.271087378762</v>
      </c>
      <c r="G15" s="0" t="n">
        <f aca="false">G13-MAX(0,G13)*G14/100</f>
        <v>522.783286310807</v>
      </c>
      <c r="H15" s="0" t="n">
        <f aca="false">H13-MAX(0,H13)*H14/100</f>
        <v>543.694617763239</v>
      </c>
      <c r="I15" s="0" t="n">
        <f aca="false">I13-MAX(0,I13)*I14/100</f>
        <v>562.723929384952</v>
      </c>
      <c r="J15" s="0" t="n">
        <f aca="false">J13-MAX(0,J13)*J14/100</f>
        <v>579.605647266501</v>
      </c>
      <c r="K15" s="0" t="n">
        <f aca="false">K13-MAX(0,K13)*K14/100</f>
        <v>596.993816684496</v>
      </c>
      <c r="L15" s="0" t="n">
        <f aca="false">L13-MAX(0,L13)*L14/100</f>
        <v>611.918662101608</v>
      </c>
    </row>
    <row r="16" customFormat="false" ht="15" hidden="false" customHeight="false" outlineLevel="0" collapsed="false">
      <c r="A16" s="0" t="s">
        <v>121</v>
      </c>
      <c r="C16" s="0" t="n">
        <f aca="false">-C12</f>
        <v>237.638975</v>
      </c>
      <c r="D16" s="0" t="n">
        <f aca="false">-D12</f>
        <v>253.085508375</v>
      </c>
      <c r="E16" s="0" t="n">
        <f aca="false">-E12</f>
        <v>268.2706388775</v>
      </c>
      <c r="F16" s="0" t="n">
        <f aca="false">-F12</f>
        <v>281.684170821375</v>
      </c>
      <c r="G16" s="0" t="n">
        <f aca="false">-G12</f>
        <v>294.359958508337</v>
      </c>
      <c r="H16" s="0" t="n">
        <f aca="false">-H12</f>
        <v>306.13435684867</v>
      </c>
      <c r="I16" s="0" t="n">
        <f aca="false">-I12</f>
        <v>316.849059338374</v>
      </c>
      <c r="J16" s="0" t="n">
        <f aca="false">-J12</f>
        <v>326.354531118525</v>
      </c>
      <c r="K16" s="0" t="n">
        <f aca="false">-K12</f>
        <v>336.145167052081</v>
      </c>
      <c r="L16" s="0" t="n">
        <f aca="false">-L12</f>
        <v>344.548796228383</v>
      </c>
    </row>
    <row r="17" customFormat="false" ht="15" hidden="false" customHeight="false" outlineLevel="0" collapsed="false">
      <c r="A17" s="0" t="s">
        <v>122</v>
      </c>
      <c r="C17" s="4" t="n">
        <f aca="false">-C6*Assumptions!C32/100</f>
        <v>-353.06362</v>
      </c>
      <c r="D17" s="4" t="n">
        <f aca="false">-D6*Assumptions!D32/100</f>
        <v>-361.55072625</v>
      </c>
      <c r="E17" s="4" t="n">
        <f aca="false">-E6*Assumptions!E32/100</f>
        <v>-360.2491436355</v>
      </c>
      <c r="F17" s="4" t="n">
        <f aca="false">-F6*Assumptions!F32/100</f>
        <v>-362.165362484625</v>
      </c>
      <c r="G17" s="4" t="n">
        <f aca="false">-G6*Assumptions!G32/100</f>
        <v>-361.642234738814</v>
      </c>
      <c r="H17" s="4" t="n">
        <f aca="false">-H6*Assumptions!H32/100</f>
        <v>-367.361228218405</v>
      </c>
      <c r="I17" s="4" t="n">
        <f aca="false">-I6*Assumptions!I32/100</f>
        <v>-362.113210672427</v>
      </c>
      <c r="J17" s="4" t="n">
        <f aca="false">-J6*Assumptions!J32/100</f>
        <v>-372.9766069926</v>
      </c>
      <c r="K17" s="4" t="n">
        <f aca="false">-K6*Assumptions!K32/100</f>
        <v>-384.165905202378</v>
      </c>
      <c r="L17" s="4" t="n">
        <f aca="false">-L6*Assumptions!L32/100</f>
        <v>-393.770052832438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271.5874</v>
      </c>
      <c r="D19" s="0" t="n">
        <f aca="false">D15+D16+D17+D18</f>
        <v>314.5491318375</v>
      </c>
      <c r="E19" s="0" t="n">
        <f aca="false">E15+E16+E17+E18</f>
        <v>373.12613430162</v>
      </c>
      <c r="F19" s="0" t="n">
        <f aca="false">F15+F16+F17+F18</f>
        <v>419.789895715512</v>
      </c>
      <c r="G19" s="0" t="n">
        <f aca="false">G15+G16+G17+G18</f>
        <v>455.50101008033</v>
      </c>
      <c r="H19" s="0" t="n">
        <f aca="false">H15+H16+H17+H18</f>
        <v>482.467746393505</v>
      </c>
      <c r="I19" s="0" t="n">
        <f aca="false">I15+I16+I17+I18</f>
        <v>517.459778050899</v>
      </c>
      <c r="J19" s="0" t="n">
        <f aca="false">J15+J16+J17+J18</f>
        <v>532.983571392426</v>
      </c>
      <c r="K19" s="0" t="n">
        <f aca="false">K15+K16+K17+K18</f>
        <v>548.973078534198</v>
      </c>
      <c r="L19" s="0" t="n">
        <f aca="false">L15+L16+L17+L18</f>
        <v>562.697405497553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252.639441860465</v>
      </c>
      <c r="D21" s="0" t="n">
        <f aca="false">D19*D20</f>
        <v>272.189621925365</v>
      </c>
      <c r="E21" s="0" t="n">
        <f aca="false">E19*E20</f>
        <v>300.351825566349</v>
      </c>
      <c r="F21" s="0" t="n">
        <f aca="false">F19*F20</f>
        <v>314.338896306545</v>
      </c>
      <c r="G21" s="0" t="n">
        <f aca="false">G19*G20</f>
        <v>317.283160615651</v>
      </c>
      <c r="H21" s="0" t="n">
        <f aca="false">H19*H20</f>
        <v>312.62053356363</v>
      </c>
      <c r="I21" s="0" t="n">
        <f aca="false">I19*I20</f>
        <v>311.90141723771</v>
      </c>
      <c r="J21" s="0" t="n">
        <f aca="false">J19*J20</f>
        <v>298.845078841713</v>
      </c>
      <c r="K21" s="0" t="n">
        <f aca="false">K19*K20</f>
        <v>286.335284843688</v>
      </c>
      <c r="L21" s="0" t="n">
        <f aca="false">L19*L20</f>
        <v>273.0173646184</v>
      </c>
    </row>
    <row r="23" customFormat="false" ht="15" hidden="false" customHeight="false" outlineLevel="0" collapsed="false">
      <c r="A23" s="0" t="s">
        <v>102</v>
      </c>
      <c r="C23" s="4" t="n">
        <f aca="false">Assumptions!C30</f>
        <v>7.4</v>
      </c>
      <c r="D23" s="4" t="n">
        <f aca="false">Assumptions!D30</f>
        <v>7.5</v>
      </c>
      <c r="E23" s="4" t="n">
        <f aca="false">Assumptions!E30</f>
        <v>7.5</v>
      </c>
      <c r="F23" s="4" t="n">
        <f aca="false">Assumptions!F30</f>
        <v>7.5</v>
      </c>
      <c r="G23" s="4" t="n">
        <f aca="false">Assumptions!G30</f>
        <v>7.5</v>
      </c>
      <c r="H23" s="4" t="n">
        <f aca="false">Assumptions!H30</f>
        <v>7.5</v>
      </c>
      <c r="I23" s="4" t="n">
        <f aca="false">Assumptions!I30</f>
        <v>7.5</v>
      </c>
      <c r="J23" s="4" t="n">
        <f aca="false">Assumptions!J30</f>
        <v>7.5</v>
      </c>
      <c r="K23" s="4" t="n">
        <f aca="false">Assumptions!K30</f>
        <v>7.5</v>
      </c>
      <c r="L23" s="4" t="n">
        <f aca="false">Assumptions!L30</f>
        <v>7.5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-502.43669</v>
      </c>
      <c r="D24" s="0" t="n">
        <f aca="false">-D6*D23/100</f>
        <v>-542.326089375</v>
      </c>
      <c r="E24" s="0" t="n">
        <f aca="false">-E6*E23/100</f>
        <v>-574.8656547375</v>
      </c>
      <c r="F24" s="0" t="n">
        <f aca="false">-F6*F23/100</f>
        <v>-603.608937474375</v>
      </c>
      <c r="G24" s="0" t="n">
        <f aca="false">-G6*G23/100</f>
        <v>-630.771339660722</v>
      </c>
      <c r="H24" s="0" t="n">
        <f aca="false">-H6*H23/100</f>
        <v>-656.002193247151</v>
      </c>
      <c r="I24" s="0" t="n">
        <f aca="false">-I6*I23/100</f>
        <v>-678.962270010801</v>
      </c>
      <c r="J24" s="0" t="n">
        <f aca="false">-J6*J23/100</f>
        <v>-699.331138111125</v>
      </c>
      <c r="K24" s="0" t="n">
        <f aca="false">-K6*K23/100</f>
        <v>-720.311072254459</v>
      </c>
      <c r="L24" s="0" t="n">
        <f aca="false">-L6*L23/100</f>
        <v>-738.31884906082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Assumptions!$B$34</f>
        <v>7.5</v>
      </c>
    </row>
    <row r="28" customFormat="false" ht="15" hidden="false" customHeight="false" outlineLevel="0" collapsed="false">
      <c r="A28" s="0" t="s">
        <v>107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108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2939.52262537952</v>
      </c>
    </row>
    <row r="31" customFormat="false" ht="15" hidden="false" customHeight="false" outlineLevel="0" collapsed="false">
      <c r="A31" s="0" t="s">
        <v>130</v>
      </c>
      <c r="B31" s="0" t="n">
        <f aca="false">L19</f>
        <v>562.697405497553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11535.2968126998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7877.76367696575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7877.76367696575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3822.2431046576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6761.76573003711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5669.96573003711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3.74601329944312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0.0405592498453125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340.59569769322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587.49362925233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4.35918013806994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4614.11872507994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1.39208271638246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Assumptions!C41</f>
        <v>9</v>
      </c>
      <c r="D5" s="4" t="n">
        <f aca="false">Assumptions!D41</f>
        <v>8.5</v>
      </c>
      <c r="E5" s="4" t="n">
        <f aca="false">Assumptions!E41</f>
        <v>8</v>
      </c>
      <c r="F5" s="4" t="n">
        <f aca="false">Assumptions!F41</f>
        <v>7</v>
      </c>
      <c r="G5" s="4" t="n">
        <f aca="false">Assumptions!G41</f>
        <v>6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6345.5</v>
      </c>
      <c r="C6" s="0" t="n">
        <f aca="false">B6*(1+C5/100)</f>
        <v>6916.595</v>
      </c>
      <c r="D6" s="0" t="n">
        <f aca="false">C6*(1+D5/100)</f>
        <v>7504.505575</v>
      </c>
      <c r="E6" s="0" t="n">
        <f aca="false">D6*(1+E5/100)</f>
        <v>8104.866021</v>
      </c>
      <c r="F6" s="0" t="n">
        <f aca="false">E6*(1+F5/100)</f>
        <v>8672.20664247</v>
      </c>
      <c r="G6" s="0" t="n">
        <f aca="false">F6*(1+G5/100)</f>
        <v>9192.5390410182</v>
      </c>
      <c r="H6" s="0" t="n">
        <f aca="false">G6*(1+H5/100)</f>
        <v>9652.16599306911</v>
      </c>
      <c r="I6" s="0" t="n">
        <f aca="false">H6*(1+I5/100)</f>
        <v>10086.5134627572</v>
      </c>
      <c r="J6" s="0" t="n">
        <f aca="false">I6*(1+J5/100)</f>
        <v>10489.9740012675</v>
      </c>
      <c r="K6" s="0" t="n">
        <f aca="false">J6*(1+K5/100)</f>
        <v>10857.1230913119</v>
      </c>
      <c r="L6" s="0" t="n">
        <f aca="false">K6*(1+L5/100)</f>
        <v>11182.8367840512</v>
      </c>
    </row>
    <row r="7" customFormat="false" ht="15" hidden="false" customHeight="false" outlineLevel="0" collapsed="false">
      <c r="A7" s="0" t="s">
        <v>100</v>
      </c>
      <c r="C7" s="4" t="n">
        <f aca="false">Assumptions!C42</f>
        <v>19.3</v>
      </c>
      <c r="D7" s="4" t="n">
        <f aca="false">Assumptions!D42</f>
        <v>20</v>
      </c>
      <c r="E7" s="4" t="n">
        <f aca="false">Assumptions!E42</f>
        <v>20.6</v>
      </c>
      <c r="F7" s="4" t="n">
        <f aca="false">Assumptions!F42</f>
        <v>21</v>
      </c>
      <c r="G7" s="4" t="n">
        <f aca="false">Assumptions!G42</f>
        <v>21.2</v>
      </c>
      <c r="H7" s="4" t="n">
        <f aca="false">Assumptions!H42</f>
        <v>21.3</v>
      </c>
      <c r="I7" s="4" t="n">
        <f aca="false">Assumptions!I42</f>
        <v>21.4</v>
      </c>
      <c r="J7" s="4" t="n">
        <f aca="false">Assumptions!J42</f>
        <v>21.5</v>
      </c>
      <c r="K7" s="4" t="n">
        <f aca="false">Assumptions!K42</f>
        <v>21.5</v>
      </c>
      <c r="L7" s="4" t="n">
        <f aca="false">Assumptions!L42</f>
        <v>21.5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1334.902835</v>
      </c>
      <c r="D8" s="0" t="n">
        <f aca="false">D6*D7/100</f>
        <v>1500.901115</v>
      </c>
      <c r="E8" s="0" t="n">
        <f aca="false">E6*E7/100</f>
        <v>1669.602400326</v>
      </c>
      <c r="F8" s="0" t="n">
        <f aca="false">F6*F7/100</f>
        <v>1821.1633949187</v>
      </c>
      <c r="G8" s="0" t="n">
        <f aca="false">G6*G7/100</f>
        <v>1948.81827669586</v>
      </c>
      <c r="H8" s="0" t="n">
        <f aca="false">H6*H7/100</f>
        <v>2055.91135652372</v>
      </c>
      <c r="I8" s="0" t="n">
        <f aca="false">I6*I7/100</f>
        <v>2158.51388103005</v>
      </c>
      <c r="J8" s="0" t="n">
        <f aca="false">J6*J7/100</f>
        <v>2255.34441027252</v>
      </c>
      <c r="K8" s="0" t="n">
        <f aca="false">K6*K7/100</f>
        <v>2334.28146463205</v>
      </c>
      <c r="L8" s="0" t="n">
        <f aca="false">L6*L7/100</f>
        <v>2404.30990857101</v>
      </c>
    </row>
    <row r="9" customFormat="false" ht="15" hidden="false" customHeight="false" outlineLevel="0" collapsed="false">
      <c r="A9" s="0" t="s">
        <v>101</v>
      </c>
      <c r="C9" s="4" t="n">
        <f aca="false">Assumptions!C43</f>
        <v>0.6</v>
      </c>
      <c r="D9" s="4" t="n">
        <f aca="false">Assumptions!D43</f>
        <v>0.6</v>
      </c>
      <c r="E9" s="4" t="n">
        <f aca="false">Assumptions!E43</f>
        <v>0.6</v>
      </c>
      <c r="F9" s="4" t="n">
        <f aca="false">Assumptions!F43</f>
        <v>0.6</v>
      </c>
      <c r="G9" s="4" t="n">
        <f aca="false">Assumptions!G43</f>
        <v>0.6</v>
      </c>
      <c r="H9" s="4" t="n">
        <f aca="false">Assumptions!H43</f>
        <v>0.6</v>
      </c>
      <c r="I9" s="4" t="n">
        <f aca="false">Assumptions!I43</f>
        <v>0.6</v>
      </c>
      <c r="J9" s="4" t="n">
        <f aca="false">Assumptions!J43</f>
        <v>0.6</v>
      </c>
      <c r="K9" s="4" t="n">
        <f aca="false">Assumptions!K43</f>
        <v>0.6</v>
      </c>
      <c r="L9" s="4" t="n">
        <f aca="false">Assumptions!L43</f>
        <v>0.6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-41.49957</v>
      </c>
      <c r="D10" s="0" t="n">
        <f aca="false">-D6*D9/100</f>
        <v>-45.02703345</v>
      </c>
      <c r="E10" s="0" t="n">
        <f aca="false">-E6*E9/100</f>
        <v>-48.629196126</v>
      </c>
      <c r="F10" s="0" t="n">
        <f aca="false">-F6*F9/100</f>
        <v>-52.03323985482</v>
      </c>
      <c r="G10" s="0" t="n">
        <f aca="false">-G6*G9/100</f>
        <v>-55.1552342461092</v>
      </c>
      <c r="H10" s="0" t="n">
        <f aca="false">-H6*H9/100</f>
        <v>-57.9129959584147</v>
      </c>
      <c r="I10" s="0" t="n">
        <f aca="false">-I6*I9/100</f>
        <v>-60.5190807765433</v>
      </c>
      <c r="J10" s="0" t="n">
        <f aca="false">-J6*J9/100</f>
        <v>-62.9398440076051</v>
      </c>
      <c r="K10" s="0" t="n">
        <f aca="false">-K6*K9/100</f>
        <v>-65.1427385478712</v>
      </c>
      <c r="L10" s="0" t="n">
        <f aca="false">-L6*L9/100</f>
        <v>-67.0970207043074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781.575235</v>
      </c>
      <c r="D11" s="0" t="n">
        <f aca="false">D8+D10+D24</f>
        <v>900.540669</v>
      </c>
      <c r="E11" s="0" t="n">
        <f aca="false">E8+E10+E24</f>
        <v>1021.213118646</v>
      </c>
      <c r="F11" s="0" t="n">
        <f aca="false">F8+F10+F24</f>
        <v>1136.05907016357</v>
      </c>
      <c r="G11" s="0" t="n">
        <f aca="false">G8+G10+G24</f>
        <v>1222.60769245542</v>
      </c>
      <c r="H11" s="0" t="n">
        <f aca="false">H8+H10+H24</f>
        <v>1293.39024307126</v>
      </c>
      <c r="I11" s="0" t="n">
        <f aca="false">I8+I10+I24</f>
        <v>1361.67931747222</v>
      </c>
      <c r="J11" s="0" t="n">
        <f aca="false">J8+J10+J24</f>
        <v>1426.63646417238</v>
      </c>
      <c r="K11" s="0" t="n">
        <f aca="false">K8+K10+K24</f>
        <v>1476.56874041841</v>
      </c>
      <c r="L11" s="0" t="n">
        <f aca="false">L8+L10+L24</f>
        <v>1520.86580263097</v>
      </c>
    </row>
    <row r="12" customFormat="false" ht="15" hidden="false" customHeight="false" outlineLevel="0" collapsed="false">
      <c r="A12" s="0" t="s">
        <v>118</v>
      </c>
      <c r="C12" s="4" t="n">
        <f aca="false">-C6*Assumptions!C45/100</f>
        <v>-242.080825</v>
      </c>
      <c r="D12" s="4" t="n">
        <f aca="false">-D6*Assumptions!D45/100</f>
        <v>-262.657695125</v>
      </c>
      <c r="E12" s="4" t="n">
        <f aca="false">-E6*Assumptions!E45/100</f>
        <v>-283.670310735</v>
      </c>
      <c r="F12" s="4" t="n">
        <f aca="false">-F6*Assumptions!F45/100</f>
        <v>-303.52723248645</v>
      </c>
      <c r="G12" s="4" t="n">
        <f aca="false">-G6*Assumptions!G45/100</f>
        <v>-321.738866435637</v>
      </c>
      <c r="H12" s="4" t="n">
        <f aca="false">-H6*Assumptions!H45/100</f>
        <v>-337.825809757419</v>
      </c>
      <c r="I12" s="4" t="n">
        <f aca="false">-I6*Assumptions!I45/100</f>
        <v>-353.027971196503</v>
      </c>
      <c r="J12" s="4" t="n">
        <f aca="false">-J6*Assumptions!J45/100</f>
        <v>-367.149090044363</v>
      </c>
      <c r="K12" s="4" t="n">
        <f aca="false">-K6*Assumptions!K45/100</f>
        <v>-379.999308195916</v>
      </c>
      <c r="L12" s="4" t="n">
        <f aca="false">-L6*Assumptions!L45/100</f>
        <v>-391.399287441793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539.49441</v>
      </c>
      <c r="D13" s="0" t="n">
        <f aca="false">D11+D12</f>
        <v>637.882973875</v>
      </c>
      <c r="E13" s="0" t="n">
        <f aca="false">E11+E12</f>
        <v>737.542807911</v>
      </c>
      <c r="F13" s="0" t="n">
        <f aca="false">F11+F12</f>
        <v>832.53183767712</v>
      </c>
      <c r="G13" s="0" t="n">
        <f aca="false">G11+G12</f>
        <v>900.868826019784</v>
      </c>
      <c r="H13" s="0" t="n">
        <f aca="false">H11+H12</f>
        <v>955.564433313842</v>
      </c>
      <c r="I13" s="0" t="n">
        <f aca="false">I11+I12</f>
        <v>1008.65134627572</v>
      </c>
      <c r="J13" s="0" t="n">
        <f aca="false">J11+J12</f>
        <v>1059.48737412802</v>
      </c>
      <c r="K13" s="0" t="n">
        <f aca="false">K11+K12</f>
        <v>1096.5694322225</v>
      </c>
      <c r="L13" s="0" t="n">
        <f aca="false">L11+L12</f>
        <v>1129.46651518917</v>
      </c>
    </row>
    <row r="14" customFormat="false" ht="15" hidden="false" customHeight="false" outlineLevel="0" collapsed="false">
      <c r="A14" s="0" t="s">
        <v>105</v>
      </c>
      <c r="C14" s="4" t="n">
        <f aca="false">Assumptions!C47</f>
        <v>24</v>
      </c>
      <c r="D14" s="4" t="n">
        <f aca="false">Assumptions!D47</f>
        <v>25</v>
      </c>
      <c r="E14" s="4" t="n">
        <f aca="false">Assumptions!E47</f>
        <v>26</v>
      </c>
      <c r="F14" s="4" t="n">
        <f aca="false">Assumptions!F47</f>
        <v>26</v>
      </c>
      <c r="G14" s="4" t="n">
        <f aca="false">Assumptions!G47</f>
        <v>26</v>
      </c>
      <c r="H14" s="4" t="n">
        <f aca="false">Assumptions!H47</f>
        <v>26</v>
      </c>
      <c r="I14" s="4" t="n">
        <f aca="false">Assumptions!I47</f>
        <v>26</v>
      </c>
      <c r="J14" s="4" t="n">
        <f aca="false">Assumptions!J47</f>
        <v>26</v>
      </c>
      <c r="K14" s="4" t="n">
        <f aca="false">Assumptions!K47</f>
        <v>26</v>
      </c>
      <c r="L14" s="4" t="n">
        <f aca="false">Assumptions!L47</f>
        <v>26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410.0157516</v>
      </c>
      <c r="D15" s="0" t="n">
        <f aca="false">D13-MAX(0,D13)*D14/100</f>
        <v>478.41223040625</v>
      </c>
      <c r="E15" s="0" t="n">
        <f aca="false">E13-MAX(0,E13)*E14/100</f>
        <v>545.78167785414</v>
      </c>
      <c r="F15" s="0" t="n">
        <f aca="false">F13-MAX(0,F13)*F14/100</f>
        <v>616.073559881069</v>
      </c>
      <c r="G15" s="0" t="n">
        <f aca="false">G13-MAX(0,G13)*G14/100</f>
        <v>666.64293125464</v>
      </c>
      <c r="H15" s="0" t="n">
        <f aca="false">H13-MAX(0,H13)*H14/100</f>
        <v>707.117680652243</v>
      </c>
      <c r="I15" s="0" t="n">
        <f aca="false">I13-MAX(0,I13)*I14/100</f>
        <v>746.401996244034</v>
      </c>
      <c r="J15" s="0" t="n">
        <f aca="false">J13-MAX(0,J13)*J14/100</f>
        <v>784.020656854734</v>
      </c>
      <c r="K15" s="0" t="n">
        <f aca="false">K13-MAX(0,K13)*K14/100</f>
        <v>811.461379844649</v>
      </c>
      <c r="L15" s="0" t="n">
        <f aca="false">L13-MAX(0,L13)*L14/100</f>
        <v>835.805221239989</v>
      </c>
    </row>
    <row r="16" customFormat="false" ht="15" hidden="false" customHeight="false" outlineLevel="0" collapsed="false">
      <c r="A16" s="0" t="s">
        <v>121</v>
      </c>
      <c r="C16" s="0" t="n">
        <f aca="false">-C12</f>
        <v>242.080825</v>
      </c>
      <c r="D16" s="0" t="n">
        <f aca="false">-D12</f>
        <v>262.657695125</v>
      </c>
      <c r="E16" s="0" t="n">
        <f aca="false">-E12</f>
        <v>283.670310735</v>
      </c>
      <c r="F16" s="0" t="n">
        <f aca="false">-F12</f>
        <v>303.52723248645</v>
      </c>
      <c r="G16" s="0" t="n">
        <f aca="false">-G12</f>
        <v>321.738866435637</v>
      </c>
      <c r="H16" s="0" t="n">
        <f aca="false">-H12</f>
        <v>337.825809757419</v>
      </c>
      <c r="I16" s="0" t="n">
        <f aca="false">-I12</f>
        <v>353.027971196503</v>
      </c>
      <c r="J16" s="0" t="n">
        <f aca="false">-J12</f>
        <v>367.149090044363</v>
      </c>
      <c r="K16" s="0" t="n">
        <f aca="false">-K12</f>
        <v>379.999308195916</v>
      </c>
      <c r="L16" s="0" t="n">
        <f aca="false">-L12</f>
        <v>391.399287441793</v>
      </c>
    </row>
    <row r="17" customFormat="false" ht="15" hidden="false" customHeight="false" outlineLevel="0" collapsed="false">
      <c r="A17" s="0" t="s">
        <v>122</v>
      </c>
      <c r="C17" s="4" t="n">
        <f aca="false">-C6*Assumptions!C46/100</f>
        <v>-373.49613</v>
      </c>
      <c r="D17" s="4" t="n">
        <f aca="false">-D6*Assumptions!D46/100</f>
        <v>-390.2342899</v>
      </c>
      <c r="E17" s="4" t="n">
        <f aca="false">-E6*Assumptions!E46/100</f>
        <v>-397.138435029</v>
      </c>
      <c r="F17" s="4" t="n">
        <f aca="false">-F6*Assumptions!F46/100</f>
        <v>-398.92150555362</v>
      </c>
      <c r="G17" s="4" t="n">
        <f aca="false">-G6*Assumptions!G46/100</f>
        <v>-404.471717804801</v>
      </c>
      <c r="H17" s="4" t="n">
        <f aca="false">-H6*Assumptions!H46/100</f>
        <v>-405.390971708903</v>
      </c>
      <c r="I17" s="4" t="n">
        <f aca="false">-I6*Assumptions!I46/100</f>
        <v>-413.547051973046</v>
      </c>
      <c r="J17" s="4" t="n">
        <f aca="false">-J6*Assumptions!J46/100</f>
        <v>-419.5989600507</v>
      </c>
      <c r="K17" s="4" t="n">
        <f aca="false">-K6*Assumptions!K46/100</f>
        <v>-434.284923652475</v>
      </c>
      <c r="L17" s="4" t="n">
        <f aca="false">-L6*Assumptions!L46/100</f>
        <v>-447.313471362049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278.6004466</v>
      </c>
      <c r="D19" s="0" t="n">
        <f aca="false">D15+D16+D17+D18</f>
        <v>350.83563563125</v>
      </c>
      <c r="E19" s="0" t="n">
        <f aca="false">E15+E16+E17+E18</f>
        <v>432.31355356014</v>
      </c>
      <c r="F19" s="0" t="n">
        <f aca="false">F15+F16+F17+F18</f>
        <v>520.679286813899</v>
      </c>
      <c r="G19" s="0" t="n">
        <f aca="false">G15+G16+G17+G18</f>
        <v>583.910079885476</v>
      </c>
      <c r="H19" s="0" t="n">
        <f aca="false">H15+H16+H17+H18</f>
        <v>639.552518700759</v>
      </c>
      <c r="I19" s="0" t="n">
        <f aca="false">I15+I16+I17+I18</f>
        <v>685.882915467491</v>
      </c>
      <c r="J19" s="0" t="n">
        <f aca="false">J15+J16+J17+J18</f>
        <v>731.570786848396</v>
      </c>
      <c r="K19" s="0" t="n">
        <f aca="false">K15+K16+K17+K18</f>
        <v>757.17576438809</v>
      </c>
      <c r="L19" s="0" t="n">
        <f aca="false">L15+L16+L17+L18</f>
        <v>779.891037319733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259.163206139535</v>
      </c>
      <c r="D21" s="0" t="n">
        <f aca="false">D19*D20</f>
        <v>303.589517041644</v>
      </c>
      <c r="E21" s="0" t="n">
        <f aca="false">E19*E20</f>
        <v>347.995364280491</v>
      </c>
      <c r="F21" s="0" t="n">
        <f aca="false">F19*F20</f>
        <v>389.884925809833</v>
      </c>
      <c r="G21" s="0" t="n">
        <f aca="false">G19*G20</f>
        <v>406.727606660475</v>
      </c>
      <c r="H21" s="0" t="n">
        <f aca="false">H19*H20</f>
        <v>414.405421155603</v>
      </c>
      <c r="I21" s="0" t="n">
        <f aca="false">I19*I20</f>
        <v>413.419288740159</v>
      </c>
      <c r="J21" s="0" t="n">
        <f aca="false">J19*J20</f>
        <v>410.193374071248</v>
      </c>
      <c r="K21" s="0" t="n">
        <f aca="false">K19*K20</f>
        <v>394.930364803481</v>
      </c>
      <c r="L21" s="0" t="n">
        <f aca="false">L19*L20</f>
        <v>378.398396044265</v>
      </c>
    </row>
    <row r="23" customFormat="false" ht="15" hidden="false" customHeight="false" outlineLevel="0" collapsed="false">
      <c r="A23" s="0" t="s">
        <v>102</v>
      </c>
      <c r="C23" s="4" t="n">
        <f aca="false">Assumptions!C44</f>
        <v>7.4</v>
      </c>
      <c r="D23" s="4" t="n">
        <f aca="false">Assumptions!D44</f>
        <v>7.4</v>
      </c>
      <c r="E23" s="4" t="n">
        <f aca="false">Assumptions!E44</f>
        <v>7.4</v>
      </c>
      <c r="F23" s="4" t="n">
        <f aca="false">Assumptions!F44</f>
        <v>7.3</v>
      </c>
      <c r="G23" s="4" t="n">
        <f aca="false">Assumptions!G44</f>
        <v>7.3</v>
      </c>
      <c r="H23" s="4" t="n">
        <f aca="false">Assumptions!H44</f>
        <v>7.3</v>
      </c>
      <c r="I23" s="4" t="n">
        <f aca="false">Assumptions!I44</f>
        <v>7.3</v>
      </c>
      <c r="J23" s="4" t="n">
        <f aca="false">Assumptions!J44</f>
        <v>7.3</v>
      </c>
      <c r="K23" s="4" t="n">
        <f aca="false">Assumptions!K44</f>
        <v>7.3</v>
      </c>
      <c r="L23" s="4" t="n">
        <f aca="false">Assumptions!L44</f>
        <v>7.3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-511.82803</v>
      </c>
      <c r="D24" s="0" t="n">
        <f aca="false">-D6*D23/100</f>
        <v>-555.33341255</v>
      </c>
      <c r="E24" s="0" t="n">
        <f aca="false">-E6*E23/100</f>
        <v>-599.760085554</v>
      </c>
      <c r="F24" s="0" t="n">
        <f aca="false">-F6*F23/100</f>
        <v>-633.07108490031</v>
      </c>
      <c r="G24" s="0" t="n">
        <f aca="false">-G6*G23/100</f>
        <v>-671.055349994329</v>
      </c>
      <c r="H24" s="0" t="n">
        <f aca="false">-H6*H23/100</f>
        <v>-704.608117494045</v>
      </c>
      <c r="I24" s="0" t="n">
        <f aca="false">-I6*I23/100</f>
        <v>-736.315482781277</v>
      </c>
      <c r="J24" s="0" t="n">
        <f aca="false">-J6*J23/100</f>
        <v>-765.768102092528</v>
      </c>
      <c r="K24" s="0" t="n">
        <f aca="false">-K6*K23/100</f>
        <v>-792.569985665767</v>
      </c>
      <c r="L24" s="0" t="n">
        <f aca="false">-L6*L23/100</f>
        <v>-816.34708523574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Assumptions!$B$48</f>
        <v>7.5</v>
      </c>
    </row>
    <row r="28" customFormat="false" ht="15" hidden="false" customHeight="false" outlineLevel="0" collapsed="false">
      <c r="A28" s="0" t="s">
        <v>107</v>
      </c>
      <c r="B28" s="4" t="n">
        <f aca="false">Assumptions!$B$49</f>
        <v>2.75</v>
      </c>
    </row>
    <row r="29" customFormat="false" ht="15" hidden="false" customHeight="false" outlineLevel="0" collapsed="false">
      <c r="A29" s="0" t="s">
        <v>108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3718.70746474673</v>
      </c>
    </row>
    <row r="31" customFormat="false" ht="15" hidden="false" customHeight="false" outlineLevel="0" collapsed="false">
      <c r="A31" s="0" t="s">
        <v>130</v>
      </c>
      <c r="B31" s="0" t="n">
        <f aca="false">L19</f>
        <v>779.891037319733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16870.2745441269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11698.365559796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11698.365559796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5675.97594066398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9394.68340541071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8302.88340541071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5.48552022027663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0.523755616743509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369.920088450701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704.217503090545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6.19517771997354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6541.53502731449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2.03916563389228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2" t="s">
        <v>147</v>
      </c>
      <c r="B3" s="2" t="s">
        <v>148</v>
      </c>
      <c r="C3" s="2" t="s">
        <v>138</v>
      </c>
      <c r="D3" s="2" t="s">
        <v>149</v>
      </c>
      <c r="E3" s="2" t="s">
        <v>141</v>
      </c>
      <c r="F3" s="2" t="s">
        <v>150</v>
      </c>
    </row>
    <row r="4" customFormat="false" ht="15" hidden="false" customHeight="false" outlineLevel="0" collapsed="false">
      <c r="A4" s="0" t="s">
        <v>151</v>
      </c>
      <c r="B4" s="4" t="n">
        <f aca="false">DCF_Bear!$B$38</f>
        <v>1.96625727327009</v>
      </c>
      <c r="C4" s="0" t="n">
        <f aca="false">B4/Assumptions!$B$2-1</f>
        <v>-0.453817424091641</v>
      </c>
      <c r="D4" s="4" t="n">
        <f aca="false">Assumptions!$B$24</f>
        <v>0.25</v>
      </c>
      <c r="E4" s="4" t="n">
        <f aca="false">DCF_Bear!$B$43</f>
        <v>2.47727239060892</v>
      </c>
      <c r="F4" s="4" t="n">
        <f aca="false">DCF_Bear!$B$47</f>
        <v>0.658550858486279</v>
      </c>
    </row>
    <row r="5" customFormat="false" ht="15" hidden="false" customHeight="false" outlineLevel="0" collapsed="false">
      <c r="A5" s="0" t="s">
        <v>152</v>
      </c>
      <c r="B5" s="4" t="n">
        <f aca="false">DCF_Base!$B$38</f>
        <v>3.74601329944312</v>
      </c>
      <c r="C5" s="0" t="n">
        <f aca="false">B5/Assumptions!$B$2-1</f>
        <v>0.0405592498453125</v>
      </c>
      <c r="D5" s="4" t="n">
        <f aca="false">Assumptions!$B$38</f>
        <v>0.5</v>
      </c>
      <c r="E5" s="4" t="n">
        <f aca="false">DCF_Base!$B$43</f>
        <v>4.35918013806994</v>
      </c>
      <c r="F5" s="4" t="n">
        <f aca="false">DCF_Base!$B$47</f>
        <v>1.39208271638246</v>
      </c>
    </row>
    <row r="6" customFormat="false" ht="15" hidden="false" customHeight="false" outlineLevel="0" collapsed="false">
      <c r="A6" s="0" t="s">
        <v>153</v>
      </c>
      <c r="B6" s="4" t="n">
        <f aca="false">DCF_Bull!$B$38</f>
        <v>5.48552022027663</v>
      </c>
      <c r="C6" s="0" t="n">
        <f aca="false">B6/Assumptions!$B$2-1</f>
        <v>0.523755616743509</v>
      </c>
      <c r="D6" s="4" t="n">
        <f aca="false">Assumptions!$B$52</f>
        <v>0.25</v>
      </c>
      <c r="E6" s="4" t="n">
        <f aca="false">DCF_Bull!$B$43</f>
        <v>6.19517771997354</v>
      </c>
      <c r="F6" s="4" t="n">
        <f aca="false">DCF_Bull!$B$47</f>
        <v>2.03916563389228</v>
      </c>
    </row>
    <row r="8" customFormat="false" ht="15" hidden="false" customHeight="false" outlineLevel="0" collapsed="false">
      <c r="A8" s="0" t="s">
        <v>154</v>
      </c>
      <c r="B8" s="0" t="n">
        <f aca="false">SUMPRODUCT(B4:B6,D4:D6)</f>
        <v>3.73595102310824</v>
      </c>
    </row>
    <row r="9" customFormat="false" ht="15" hidden="false" customHeight="false" outlineLevel="0" collapsed="false">
      <c r="A9" s="0" t="s">
        <v>155</v>
      </c>
      <c r="B9" s="0" t="n">
        <f aca="false">SUMPRODUCT(E4:E6,D4:D6)</f>
        <v>4.34770259668059</v>
      </c>
    </row>
    <row r="10" customFormat="false" ht="15" hidden="false" customHeight="false" outlineLevel="0" collapsed="false">
      <c r="A10" s="0" t="s">
        <v>156</v>
      </c>
      <c r="B10" s="0" t="n">
        <f aca="false">1-Assumptions!$B$2/B8</f>
        <v>0.0363899371986773</v>
      </c>
    </row>
    <row r="11" customFormat="false" ht="15" hidden="false" customHeight="false" outlineLevel="0" collapsed="false">
      <c r="A11" s="0" t="s">
        <v>157</v>
      </c>
      <c r="B11" s="0" t="n">
        <f aca="false">IF(ABS(B9-B8)&gt;0.01*ABS(B8),(Assumptions!$B$2-B8)/(B9-B8)*100,"n/a")</f>
        <v>-22.2232404429061</v>
      </c>
    </row>
    <row r="12" customFormat="false" ht="15" hidden="false" customHeight="false" outlineLevel="0" collapsed="false">
      <c r="A12" s="0" t="s">
        <v>158</v>
      </c>
      <c r="B12" s="0" t="n">
        <f aca="false">SUMPRODUCT(F4:F6,D4:D6)</f>
        <v>1.37047048128587</v>
      </c>
    </row>
    <row r="14" customFormat="false" ht="15" hidden="false" customHeight="false" outlineLevel="0" collapsed="false">
      <c r="A14" s="2" t="s">
        <v>159</v>
      </c>
      <c r="C14" s="0" t="s">
        <v>160</v>
      </c>
    </row>
    <row r="15" customFormat="false" ht="15" hidden="false" customHeight="false" outlineLevel="0" collapsed="false">
      <c r="A15" s="0" t="s">
        <v>161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3.74601329944312</v>
      </c>
      <c r="C15" s="3" t="n">
        <v>7.5</v>
      </c>
    </row>
    <row r="16" customFormat="false" ht="15" hidden="false" customHeight="false" outlineLevel="0" collapsed="false">
      <c r="A16" s="0" t="s">
        <v>162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3.27696044874136</v>
      </c>
      <c r="C16" s="3" t="n">
        <v>9</v>
      </c>
    </row>
    <row r="17" customFormat="false" ht="15" hidden="false" customHeight="false" outlineLevel="0" collapsed="false">
      <c r="A17" s="0" t="s">
        <v>163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2.95066709193135</v>
      </c>
      <c r="C17" s="3" t="n">
        <v>10</v>
      </c>
    </row>
    <row r="18" customFormat="false" ht="15" hidden="false" customHeight="false" outlineLevel="0" collapsed="false">
      <c r="A18" s="0" t="s">
        <v>164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2.48997099771077</v>
      </c>
      <c r="C18" s="3" t="n">
        <v>11</v>
      </c>
    </row>
    <row r="19" customFormat="false" ht="15" hidden="false" customHeight="false" outlineLevel="0" collapsed="false">
      <c r="A19" s="0" t="s">
        <v>165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2.12734610652847</v>
      </c>
      <c r="C19" s="3" t="n">
        <v>12</v>
      </c>
    </row>
    <row r="20" customFormat="false" ht="15" hidden="false" customHeight="false" outlineLevel="0" collapsed="false">
      <c r="A20" s="0" t="s">
        <v>166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1.39208271638246</v>
      </c>
      <c r="C20" s="3" t="n">
        <v>15</v>
      </c>
    </row>
    <row r="22" customFormat="false" ht="15" hidden="false" customHeight="false" outlineLevel="0" collapsed="false">
      <c r="A22" s="2" t="s">
        <v>167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5.5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4.48378860584407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4.48378860584407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4.48378860584407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4.48378860584407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4.48378860584407</v>
      </c>
    </row>
    <row r="25" customFormat="false" ht="15" hidden="false" customHeight="false" outlineLevel="0" collapsed="false">
      <c r="A25" s="3" t="n">
        <v>6.5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4.09738588788033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4.09738588788033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4.09738588788033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4.09738588788033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4.09738588788033</v>
      </c>
    </row>
    <row r="26" customFormat="false" ht="15" hidden="false" customHeight="false" outlineLevel="0" collapsed="false">
      <c r="A26" s="3" t="n">
        <v>7.5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3.74601329944312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3.74601329944312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3.74601329944312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3.74601329944312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3.74601329944312</v>
      </c>
    </row>
    <row r="27" customFormat="false" ht="15" hidden="false" customHeight="false" outlineLevel="0" collapsed="false">
      <c r="A27" s="3" t="n">
        <v>8.5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3.42611214100727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3.42611214100727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3.42611214100727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3.42611214100727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3.42611214100727</v>
      </c>
    </row>
    <row r="28" customFormat="false" ht="15" hidden="false" customHeight="false" outlineLevel="0" collapsed="false">
      <c r="A28" s="3" t="n">
        <v>9.5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2.93762897763421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3.07451385619411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3.13451818652174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3.13451818652174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3.13451818652174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2026-10-24T06:39:34Z</dcterms:created>
  <dc:creator>openpyxl</dc:creator>
  <dc:description/>
  <dc:language>en-NZ</dc:language>
  <cp:lastModifiedBy/>
  <dcterms:modified xsi:type="dcterms:W3CDTF">2026-10-24T06:39:34Z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