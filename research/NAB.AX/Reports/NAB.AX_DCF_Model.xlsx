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<sst xmlns="http://schemas.openxmlformats.org/spreadsheetml/2006/main" count="367" uniqueCount="173">
  <si>
    <t xml:space="preserve">Ticker</t>
  </si>
  <si>
    <t xml:space="preserve">NAB.AX</t>
  </si>
  <si>
    <t xml:space="preserve">Company</t>
  </si>
  <si>
    <t xml:space="preserve">National Australia Bank Limited</t>
  </si>
  <si>
    <t xml:space="preserve">Valuation date</t>
  </si>
  <si>
    <t xml:space="preserve">2026-09-24</t>
  </si>
  <si>
    <t xml:space="preserve">Current price</t>
  </si>
  <si>
    <t xml:space="preserve">Price as of</t>
  </si>
  <si>
    <t xml:space="preserve">2026-09-24T06:16:06Z ASX regular close (16:16 AEST)</t>
  </si>
  <si>
    <t xml:space="preserve">Balance sheet date</t>
  </si>
  <si>
    <t xml:space="preserve">2026-03-31</t>
  </si>
  <si>
    <t xml:space="preserve">Model</t>
  </si>
  <si>
    <t xml:space="preserve">Bank FCFE capitalisation at cost of equity (engine route; cash earnings after regulatory capital retention, net debt zero)</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</si>
  <si>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</si>
  <si>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</si>
  <si>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</si>
  <si>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</si>
  <si>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</si>
  <si>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</si>
  <si>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</si>
  <si>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</si>
  <si>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2026-09-24T09:05:03Z</t>
  </si>
  <si>
    <t xml:space="preserve">Drivers file</t>
  </si>
  <si>
    <t xml:space="preserve">NAB.AX_Drivers.json</t>
  </si>
  <si>
    <t xml:space="preserve">Convention</t>
  </si>
  <si>
    <t xml:space="preserve">Percents stored as percents; formulas divide by 100. Blue = input, green = link, black = formula.</t>
  </si>
  <si>
    <t xml:space="preserve">Methodology</t>
  </si>
  <si>
    <t xml:space="preserve">summary: A big-four bank is valued on what it can distribute after funding its regulatory capital, discounted at an AUD cost of equity, never on statutory operating cash flow (which is deposit and loan movement) and never with deposits or wholesale funding treated as net debt. Cash earnings ex large notable items are the flow; capital retention is the reinvestment; 9.7% is the return an owner requires. The result is the residual-income answer in FCFE form: at a 12.5% return on tangible equity and 2.5% growth the franchise is worth ~1.4x tangible book, so the 2.05x the market pays embeds either a mid-teens ROTE NAB has not earned since FY2015 or a cost of equity in the low 7s.
key_risks_to_valuation: Credit cycle: every 10bp on the impairment charge is ~$800m pre-tax (~8% of cash earnings); the 1H26 charge annualised at ~18bp against 11bp in FY2025; Net interest margin: 5bp on ~$960bn of interest-earning assets is ~$480m of NOI (2.2%); RBA/RBNZ easing and broker competition both point down; Share count: the ~46m DRP shares are ESTIMATED from $1.8bn at ~$39; if the DRP priced lower the count is higher and value per share lower (each $1 of DRP price ~1.2m shares, ~0.04%); Regulatory capital: the 1.5% RWA LAC step-up from Jan-2026, AT1 phase-out from Jan-2027 and any RBNZ change to BNZ's capital settings raise retention above the modelled g/ROTE; Operational and conduct: payroll remediation (&gt;$380m to date, total uncertain), repeated outages (Sept 2026), AML/CTF and scams-framework compliance spend sit in the margin path only at run-rate; Valuation regime: Australian bank multiples have decoupled from ROE-based models since 2023 (CBA at ~3x book); the model is not a call on when that regime ends</t>
  </si>
  <si>
    <t xml:space="preserve">Data sources</t>
  </si>
  <si>
    <t xml:space="preserve">price: Yahoo Finance chart API at inputs.price_as_of (ASX regular close); 52-week range 35.48-49.45.
financials: NAB.AX_Metrics.csv (core_metrics, AUD millions, FY2016-FY2025 annual + H1 FY2016-H1 FY2026 halves) exported from NAB.AX.duckdb; kpis table for Deposits, NetInterestIncome, NonInterestIncome, OperatingExpenses, CreditImpairmentCharge, CostToIncomeRatio, NetLoansAndAdvances, CashTaxesPaid; FY2025 Annual Report (NAB.AX_Annual_FY2025.txt) five-year summary (7875-7912, 10951), share count (17666-17700), equity-based compensation (13252), lease liabilities (17603); 1H26 report (NAB.AX_HalfYear_H1-2026.txt) cash-earnings P&amp;L (703-725), NTA and cash ROE (780-810), CET1 and DRP underwrite (652-660, 5304), share count and diluted shares (7232-7243, 7402-7409), intangibles (4538).
qualitative: NAB.AX_Analysis.json (2026-09-24): three-priority strategy, 1H26 large notable item, credit and NIM risks, regulatory calendar (LAC, AT1 reform, RBNZ), Goldman Sachs Sell-to-Hold, September 2026 outage, bull/bear cases.</t>
  </si>
  <si>
    <t xml:space="preserve">Scenario narrative: bear</t>
  </si>
  <si>
    <t xml:space="preserve">The turn that 1H26 hinted at arrives: impairments run at ~33bp for two years across agribusiness, construction and commercial property, NIM falls to ~1.65% on rate cuts and deposit competition, payroll remediation and technology remediation keep CTI near 48%, and capital is rebuilt through further DRP underwrites (dilutive at 2x book). Growth stalls at 1-2% and ROTE settles at ~10%, barely covering the cost of equity.</t>
  </si>
  <si>
    <t xml:space="preserve">Scenario narrative: base</t>
  </si>
  <si>
    <t xml:space="preserve">NAB compounds net operating income at 3-4% fading to 2.5%, its business-bank franchise (one in four SMEs) growing faster than a repricing mortgage book. Cost-to-income holds ~46.5% as the &gt;$450m productivity programme funds technology and compliance, and credit impairments normalise to ~19bp of loans. Cash earnings reach ~$7.4bn in FY27 and ~$9.4bn by FY36; 68-80% of them are distributed. At a 9.7% cost of equity and a 12.5% return on tangible equity the franchise is worth ~1.4x tangible book, not the ~2.05x the market pays.</t>
  </si>
  <si>
    <t xml:space="preserve">Scenario narrative: bull</t>
  </si>
  <si>
    <t xml:space="preserve">Business and Private Banking sustains 8-9% growth with share gains, the proprietary channel passes half of mortgage flow and Personal Banking margins stabilise, BNZ recovers with the NZ economy, and AI/digital cost-out takes CTI to ~44% with credit still benign. ROTE lifts to ~14%. Even this case does not reach the current price at a 9.7% cost of equity; the market is pricing NAB's earnings as bond-like.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</si>
  <si>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</si>
  <si>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</si>
  <si>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</si>
  <si>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</si>
  <si>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</si>
  <si>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</si>
  <si>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</si>
  <si>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</si>
  <si>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</si>
  <si>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</si>
  <si>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</si>
  <si>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</si>
  <si>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</si>
  <si>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</si>
  <si>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</si>
  <si>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</si>
  <si>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</si>
  <si>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</si>
  <si>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</si>
  <si>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</si>
  <si>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</si>
  <si>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</si>
  <si>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</si>
  <si>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</si>
  <si>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</si>
  <si>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</si>
  <si>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</si>
  <si>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CostToIncomeRatio</t>
  </si>
  <si>
    <t xml:space="preserve">CreditImpairmentCharge</t>
  </si>
  <si>
    <t xml:space="preserve">Deposits</t>
  </si>
  <si>
    <t xml:space="preserve">NetInterestIncome</t>
  </si>
  <si>
    <t xml:space="preserve">NetLoansAndAdvances</t>
  </si>
  <si>
    <t xml:space="preserve">NonInterestIncome</t>
  </si>
  <si>
    <t xml:space="preserve">OperatingExpenses</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</si>
  <si>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</si>
  <si>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</si>
  <si>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</si>
  <si>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</si>
  <si>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</si>
  <si>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</si>
  <si>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</si>
  <si>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</si>
  <si>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</si>
  <si>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</si>
  <si>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</si>
  <si>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</si>
  <si>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</si>
  <si>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</si>
  <si>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</si>
  <si>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</si>
  <si>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</si>
  <si>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</si>
  <si>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</si>
  <si>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</si>
  <si>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</si>
  <si>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</si>
  <si>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</si>
  <si>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</si>
  <si>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</si>
  <si>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</si>
  <si>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</si>
  <si>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</si>
  <si>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</si>
  <si>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</si>
  <si>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</si>
  <si>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</si>
  <si>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</si>
  <si>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</si>
  <si>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</si>
  <si>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</si>
  <si>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</si>
  <si>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</si>
  <si>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</si>
  <si>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</si>
  <si>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</si>
  <si>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</si>
  <si>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</si>
  <si>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</si>
  <si>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</si>
  <si>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</si>
  <si>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</si>
  <si>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</si>
  <si>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NAB.AX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</si>
  <si>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</si>
  <si>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</si>
  <si>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</si>
  <si>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</si>
  <si>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</si>
  <si>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</si>
  <si>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</si>
  <si>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</si>
  <si>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</si>
  <si>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</si>
  <si>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</si>
  <si>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</si>
  <si>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</si>
  <si>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</si>
  <si>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</si>
  <si>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</si>
  <si>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</si>
  <si>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</si>
  <si>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</si>
  <si>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</si>
  <si>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</si>
  <si>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</si>
  <si>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</si>
  <si>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</si>
  <si>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</si>
  <si>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</si>
  <si>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</si>
  <si>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</si>
  <si>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</si>
  <si>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</si>
  <si>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NAB.AX owner-FCF component DCF: base case (millions, AUD)</t>
  </si>
  <si>
    <t xml:space="preserve">NAB.AX owner-FCF component DCF: bull case (millions, AUD)</t>
  </si>
  <si>
    <t xml:space="preserve">NAB.AX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</si>
  <si>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</si>
  <si>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</si>
  <si>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</si>
  <si>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</si>
  <si>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</si>
  <si>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</si>
  <si>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</si>
  <si>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</si>
  <si>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</si>
  <si>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</si>
  <si>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</si>
  <si>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</si>
  <si>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</si>
  <si>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</si>
  <si>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</si>
  <si>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9.7%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</si>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</sst>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38.15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row>
    <row r="2" customFormat="false" ht="15" hidden="false" customHeight="false" outlineLevel="0" collapsed="false">
      <c r="A2" s="0" t="s">
        <v>70</v>
      </c>
      <c r="B2" s="0" t="n">
        <v>16648</v>
      </c>
      <c r="I2" s="0" t="n">
        <v>352</v>
      </c>
      <c r="J2" s="0" t="n">
        <v>2.1144</v>
      </c>
      <c r="K2" s="0" t="n">
        <v>0.088</v>
      </c>
      <c r="L2" s="0" t="n">
        <v>16195</v>
      </c>
      <c r="O2" s="0" t="n">
        <v>51292</v>
      </c>
      <c r="P2" s="0" t="n">
        <v>777622</v>
      </c>
      <c r="Q2" s="0" t="n">
        <v>726307</v>
      </c>
      <c r="R2" s="0" t="n">
        <v>134190</v>
      </c>
      <c r="S2" s="0" t="n">
        <v>27960</v>
      </c>
      <c r="T2" s="0" t="n">
        <v>2596.957</v>
      </c>
      <c r="AA2" s="0" t="s">
        <v>17</v>
      </c>
      <c r="AB2" s="0" t="s">
        <v>14</v>
      </c>
      <c r="AC2" s="0" t="n">
        <v>50.04</v>
      </c>
      <c r="AE2" s="0" t="n">
        <v>459714</v>
      </c>
      <c r="AF2" s="0" t="n">
        <v>12930</v>
      </c>
      <c r="AG2" s="0" t="n">
        <v>510045</v>
      </c>
      <c r="AH2" s="0" t="n">
        <v>3718</v>
      </c>
      <c r="AI2" s="0" t="n">
        <v>8331</v>
      </c>
    </row>
    <row r="3" customFormat="false" ht="15" hidden="false" customHeight="false" outlineLevel="0" collapsed="false">
      <c r="A3" s="0" t="s">
        <v>71</v>
      </c>
      <c r="B3" s="0" t="n">
        <v>18024</v>
      </c>
      <c r="I3" s="0" t="n">
        <v>5285</v>
      </c>
      <c r="J3" s="0" t="n">
        <v>29.322</v>
      </c>
      <c r="K3" s="0" t="n">
        <v>1.947</v>
      </c>
      <c r="L3" s="0" t="n">
        <v>13217</v>
      </c>
      <c r="O3" s="0" t="n">
        <v>51306</v>
      </c>
      <c r="P3" s="0" t="n">
        <v>788325</v>
      </c>
      <c r="Q3" s="0" t="n">
        <v>737008</v>
      </c>
      <c r="R3" s="0" t="n">
        <v>131058</v>
      </c>
      <c r="S3" s="0" t="n">
        <v>39800</v>
      </c>
      <c r="T3" s="0" t="n">
        <v>2664.511</v>
      </c>
      <c r="AA3" s="0" t="s">
        <v>17</v>
      </c>
      <c r="AB3" s="0" t="s">
        <v>14</v>
      </c>
      <c r="AC3" s="0" t="n">
        <v>47.38</v>
      </c>
      <c r="AE3" s="0" t="n">
        <v>500604</v>
      </c>
      <c r="AF3" s="0" t="n">
        <v>13182</v>
      </c>
      <c r="AG3" s="0" t="n">
        <v>540125</v>
      </c>
      <c r="AH3" s="0" t="n">
        <v>4842</v>
      </c>
      <c r="AI3" s="0" t="n">
        <v>8539</v>
      </c>
    </row>
    <row r="4" customFormat="false" ht="15" hidden="false" customHeight="false" outlineLevel="0" collapsed="false">
      <c r="A4" s="0" t="s">
        <v>72</v>
      </c>
      <c r="B4" s="0" t="n">
        <v>19101</v>
      </c>
      <c r="I4" s="0" t="n">
        <v>5554</v>
      </c>
      <c r="J4" s="0" t="n">
        <v>29.077</v>
      </c>
      <c r="K4" s="0" t="n">
        <v>2.013</v>
      </c>
      <c r="L4" s="0" t="n">
        <v>-9196</v>
      </c>
      <c r="M4" s="0" t="n">
        <v>1051</v>
      </c>
      <c r="O4" s="0" t="n">
        <v>52701</v>
      </c>
      <c r="P4" s="0" t="n">
        <v>806510</v>
      </c>
      <c r="Q4" s="0" t="n">
        <v>753798</v>
      </c>
      <c r="R4" s="0" t="n">
        <v>146380</v>
      </c>
      <c r="S4" s="0" t="n">
        <v>37946</v>
      </c>
      <c r="T4" s="0" t="n">
        <v>2709.46</v>
      </c>
      <c r="AA4" s="0" t="s">
        <v>17</v>
      </c>
      <c r="AB4" s="0" t="s">
        <v>14</v>
      </c>
      <c r="AC4" s="0" t="n">
        <v>51.88</v>
      </c>
      <c r="AD4" s="0" t="n">
        <v>791</v>
      </c>
      <c r="AE4" s="0" t="n">
        <v>503145</v>
      </c>
      <c r="AF4" s="0" t="n">
        <v>13505</v>
      </c>
      <c r="AG4" s="0" t="n">
        <v>567981</v>
      </c>
      <c r="AH4" s="0" t="n">
        <v>5596</v>
      </c>
      <c r="AI4" s="0" t="n">
        <v>9910</v>
      </c>
    </row>
    <row r="5" customFormat="false" ht="15" hidden="false" customHeight="false" outlineLevel="0" collapsed="false">
      <c r="A5" s="0" t="s">
        <v>73</v>
      </c>
      <c r="B5" s="0" t="n">
        <v>17931</v>
      </c>
      <c r="I5" s="0" t="n">
        <v>4798</v>
      </c>
      <c r="J5" s="0" t="n">
        <v>26.7581</v>
      </c>
      <c r="K5" s="0" t="n">
        <v>1.686</v>
      </c>
      <c r="L5" s="0" t="n">
        <v>10410</v>
      </c>
      <c r="M5" s="0" t="n">
        <v>1135</v>
      </c>
      <c r="O5" s="0" t="n">
        <v>55596</v>
      </c>
      <c r="P5" s="0" t="n">
        <v>847124</v>
      </c>
      <c r="Q5" s="0" t="n">
        <v>791520</v>
      </c>
      <c r="R5" s="0" t="n">
        <v>149740</v>
      </c>
      <c r="S5" s="0" t="n">
        <v>47026</v>
      </c>
      <c r="T5" s="0" t="n">
        <v>2797</v>
      </c>
      <c r="AA5" s="0" t="s">
        <v>17</v>
      </c>
      <c r="AB5" s="0" t="s">
        <v>14</v>
      </c>
      <c r="AC5" s="0" t="n">
        <v>54.8</v>
      </c>
      <c r="AD5" s="0" t="n">
        <v>927</v>
      </c>
      <c r="AE5" s="0" t="n">
        <v>522085</v>
      </c>
      <c r="AF5" s="0" t="n">
        <v>13558</v>
      </c>
      <c r="AG5" s="0" t="n">
        <v>587749</v>
      </c>
      <c r="AH5" s="0" t="n">
        <v>4373</v>
      </c>
      <c r="AI5" s="0" t="n">
        <v>9827</v>
      </c>
    </row>
    <row r="6" customFormat="false" ht="15" hidden="false" customHeight="false" outlineLevel="0" collapsed="false">
      <c r="A6" s="0" t="s">
        <v>74</v>
      </c>
      <c r="B6" s="0" t="n">
        <v>17261</v>
      </c>
      <c r="I6" s="0" t="n">
        <v>2559</v>
      </c>
      <c r="J6" s="0" t="n">
        <v>14.8253</v>
      </c>
      <c r="K6" s="0" t="n">
        <v>0.821</v>
      </c>
      <c r="L6" s="0" t="n">
        <v>33892</v>
      </c>
      <c r="M6" s="0" t="n">
        <v>972</v>
      </c>
      <c r="O6" s="0" t="n">
        <v>61292</v>
      </c>
      <c r="P6" s="0" t="n">
        <v>866565</v>
      </c>
      <c r="Q6" s="0" t="n">
        <v>805272</v>
      </c>
      <c r="R6" s="0" t="n">
        <v>132575</v>
      </c>
      <c r="S6" s="0" t="n">
        <v>62041</v>
      </c>
      <c r="T6" s="0" t="n">
        <v>3068</v>
      </c>
      <c r="AA6" s="0" t="s">
        <v>17</v>
      </c>
      <c r="AB6" s="0" t="s">
        <v>14</v>
      </c>
      <c r="AC6" s="0" t="n">
        <v>54.15</v>
      </c>
      <c r="AD6" s="0" t="n">
        <v>2752</v>
      </c>
      <c r="AE6" s="0" t="n">
        <v>546176</v>
      </c>
      <c r="AF6" s="0" t="n">
        <v>13877</v>
      </c>
      <c r="AG6" s="0" t="n">
        <v>582485</v>
      </c>
      <c r="AH6" s="0" t="n">
        <v>3384</v>
      </c>
      <c r="AI6" s="0" t="n">
        <v>9346</v>
      </c>
    </row>
    <row r="7" customFormat="false" ht="15" hidden="false" customHeight="false" outlineLevel="0" collapsed="false">
      <c r="A7" s="0" t="s">
        <v>75</v>
      </c>
      <c r="B7" s="0" t="n">
        <v>16729</v>
      </c>
      <c r="I7" s="0" t="n">
        <v>6364</v>
      </c>
      <c r="J7" s="0" t="n">
        <v>38.0417</v>
      </c>
      <c r="K7" s="0" t="n">
        <v>1.93</v>
      </c>
      <c r="L7" s="0" t="n">
        <v>759</v>
      </c>
      <c r="M7" s="0" t="n">
        <v>858</v>
      </c>
      <c r="O7" s="0" t="n">
        <v>62779</v>
      </c>
      <c r="P7" s="0" t="n">
        <v>925968</v>
      </c>
      <c r="Q7" s="0" t="n">
        <v>863189</v>
      </c>
      <c r="R7" s="0" t="n">
        <v>115985</v>
      </c>
      <c r="S7" s="0" t="n">
        <v>37881</v>
      </c>
      <c r="T7" s="0" t="n">
        <v>3290</v>
      </c>
      <c r="AA7" s="0" t="s">
        <v>17</v>
      </c>
      <c r="AB7" s="0" t="s">
        <v>14</v>
      </c>
      <c r="AC7" s="0" t="n">
        <v>47</v>
      </c>
      <c r="AD7" s="0" t="n">
        <v>-202</v>
      </c>
      <c r="AE7" s="0" t="n">
        <v>605043</v>
      </c>
      <c r="AF7" s="0" t="n">
        <v>13793</v>
      </c>
      <c r="AG7" s="0" t="n">
        <v>621156</v>
      </c>
      <c r="AH7" s="0" t="n">
        <v>2936</v>
      </c>
      <c r="AI7" s="0" t="n">
        <v>7863</v>
      </c>
    </row>
    <row r="8" customFormat="false" ht="15" hidden="false" customHeight="false" outlineLevel="0" collapsed="false">
      <c r="A8" s="0" t="s">
        <v>76</v>
      </c>
      <c r="B8" s="0" t="n">
        <v>18570</v>
      </c>
      <c r="I8" s="0" t="n">
        <v>6891</v>
      </c>
      <c r="J8" s="0" t="n">
        <v>37.1082</v>
      </c>
      <c r="K8" s="0" t="n">
        <v>2.141</v>
      </c>
      <c r="L8" s="0" t="n">
        <v>28221</v>
      </c>
      <c r="M8" s="0" t="n">
        <v>1076</v>
      </c>
      <c r="O8" s="0" t="n">
        <v>59032</v>
      </c>
      <c r="P8" s="0" t="n">
        <v>1055126</v>
      </c>
      <c r="Q8" s="0" t="n">
        <v>996094</v>
      </c>
      <c r="R8" s="0" t="n">
        <v>126601</v>
      </c>
      <c r="S8" s="0" t="n">
        <v>62179</v>
      </c>
      <c r="T8" s="0" t="n">
        <v>3219</v>
      </c>
      <c r="AA8" s="0" t="s">
        <v>17</v>
      </c>
      <c r="AB8" s="0" t="s">
        <v>14</v>
      </c>
      <c r="AC8" s="0" t="n">
        <v>46.86</v>
      </c>
      <c r="AD8" s="0" t="n">
        <v>124</v>
      </c>
      <c r="AE8" s="0" t="n">
        <v>683526</v>
      </c>
      <c r="AF8" s="0" t="n">
        <v>14840</v>
      </c>
      <c r="AG8" s="0" t="n">
        <v>680434</v>
      </c>
      <c r="AH8" s="0" t="n">
        <v>3730</v>
      </c>
      <c r="AI8" s="0" t="n">
        <v>8702</v>
      </c>
    </row>
    <row r="9" customFormat="false" ht="15" hidden="false" customHeight="false" outlineLevel="0" collapsed="false">
      <c r="A9" s="0" t="s">
        <v>77</v>
      </c>
      <c r="B9" s="0" t="n">
        <v>20648</v>
      </c>
      <c r="I9" s="0" t="n">
        <v>7414</v>
      </c>
      <c r="J9" s="0" t="n">
        <v>35.9066</v>
      </c>
      <c r="K9" s="0" t="n">
        <v>2.364</v>
      </c>
      <c r="L9" s="0" t="n">
        <v>-26699</v>
      </c>
      <c r="M9" s="0" t="n">
        <v>1192</v>
      </c>
      <c r="O9" s="0" t="n">
        <v>61154</v>
      </c>
      <c r="P9" s="0" t="n">
        <v>1059083</v>
      </c>
      <c r="Q9" s="0" t="n">
        <v>997580</v>
      </c>
      <c r="R9" s="0" t="n">
        <v>144206</v>
      </c>
      <c r="S9" s="0" t="n">
        <v>40589</v>
      </c>
      <c r="T9" s="0" t="n">
        <v>3136</v>
      </c>
      <c r="AA9" s="0" t="s">
        <v>17</v>
      </c>
      <c r="AB9" s="0" t="s">
        <v>14</v>
      </c>
      <c r="AC9" s="0" t="n">
        <v>45.44</v>
      </c>
      <c r="AD9" s="0" t="n">
        <v>816</v>
      </c>
      <c r="AE9" s="0" t="n">
        <v>682120</v>
      </c>
      <c r="AF9" s="0" t="n">
        <v>16807</v>
      </c>
      <c r="AG9" s="0" t="n">
        <v>702702</v>
      </c>
      <c r="AH9" s="0" t="n">
        <v>3841</v>
      </c>
      <c r="AI9" s="0" t="n">
        <v>9382</v>
      </c>
    </row>
    <row r="10" customFormat="false" ht="15" hidden="false" customHeight="false" outlineLevel="0" collapsed="false">
      <c r="A10" s="0" t="s">
        <v>78</v>
      </c>
      <c r="B10" s="0" t="n">
        <v>20646</v>
      </c>
      <c r="I10" s="0" t="n">
        <v>6960</v>
      </c>
      <c r="J10" s="0" t="n">
        <v>33.7111</v>
      </c>
      <c r="K10" s="0" t="n">
        <v>2.246</v>
      </c>
      <c r="L10" s="0" t="n">
        <v>-35781</v>
      </c>
      <c r="M10" s="0" t="n">
        <v>1440</v>
      </c>
      <c r="O10" s="0" t="n">
        <v>61455</v>
      </c>
      <c r="P10" s="0" t="n">
        <v>1080248</v>
      </c>
      <c r="Q10" s="0" t="n">
        <v>1018035</v>
      </c>
      <c r="R10" s="0" t="n">
        <v>165854</v>
      </c>
      <c r="S10" s="0" t="n">
        <v>18836</v>
      </c>
      <c r="T10" s="0" t="n">
        <v>3099</v>
      </c>
      <c r="AA10" s="0" t="s">
        <v>17</v>
      </c>
      <c r="AB10" s="0" t="s">
        <v>14</v>
      </c>
      <c r="AC10" s="0" t="n">
        <v>48.56</v>
      </c>
      <c r="AD10" s="0" t="n">
        <v>741</v>
      </c>
      <c r="AE10" s="0" t="n">
        <v>712566</v>
      </c>
      <c r="AF10" s="0" t="n">
        <v>16757</v>
      </c>
      <c r="AG10" s="0" t="n">
        <v>732692</v>
      </c>
      <c r="AH10" s="0" t="n">
        <v>3889</v>
      </c>
      <c r="AI10" s="0" t="n">
        <v>10026</v>
      </c>
    </row>
    <row r="11" customFormat="false" ht="15" hidden="false" customHeight="false" outlineLevel="0" collapsed="false">
      <c r="A11" s="0" t="s">
        <v>79</v>
      </c>
      <c r="B11" s="0" t="n">
        <v>20872</v>
      </c>
      <c r="I11" s="0" t="n">
        <v>6759</v>
      </c>
      <c r="J11" s="0" t="n">
        <v>32.3831</v>
      </c>
      <c r="K11" s="0" t="n">
        <v>2.21</v>
      </c>
      <c r="L11" s="0" t="n">
        <v>8511</v>
      </c>
      <c r="M11" s="0" t="n">
        <v>1405</v>
      </c>
      <c r="O11" s="0" t="n">
        <v>62922</v>
      </c>
      <c r="P11" s="0" t="n">
        <v>1109062</v>
      </c>
      <c r="Q11" s="0" t="n">
        <v>1045415</v>
      </c>
      <c r="R11" s="0" t="n">
        <v>183279</v>
      </c>
      <c r="S11" s="0" t="n">
        <v>24818</v>
      </c>
      <c r="T11" s="0" t="n">
        <v>3059</v>
      </c>
      <c r="AA11" s="0" t="s">
        <v>17</v>
      </c>
      <c r="AB11" s="0" t="s">
        <v>14</v>
      </c>
      <c r="AC11" s="0" t="n">
        <v>49.58</v>
      </c>
      <c r="AD11" s="0" t="n">
        <v>833</v>
      </c>
      <c r="AE11" s="0" t="n">
        <v>736159</v>
      </c>
      <c r="AF11" s="0" t="n">
        <v>17403</v>
      </c>
      <c r="AG11" s="0" t="n">
        <v>776126</v>
      </c>
      <c r="AH11" s="0" t="n">
        <v>3469</v>
      </c>
      <c r="AI11" s="0" t="n">
        <v>10348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38.15</v>
      </c>
    </row>
    <row r="3" customFormat="false" ht="15" hidden="false" customHeight="false" outlineLevel="0" collapsed="false">
      <c r="A3" s="0" t="s">
        <v>83</v>
      </c>
      <c r="B3" s="3" t="n">
        <v>3113</v>
      </c>
    </row>
    <row r="4" customFormat="false" ht="15" hidden="false" customHeight="false" outlineLevel="0" collapsed="false">
      <c r="A4" s="0" t="s">
        <v>84</v>
      </c>
      <c r="B4" s="3" t="n">
        <v>0</v>
      </c>
    </row>
    <row r="5" customFormat="false" ht="15" hidden="false" customHeight="false" outlineLevel="0" collapsed="false">
      <c r="A5" s="0" t="s">
        <v>85</v>
      </c>
      <c r="B5" s="3" t="n">
        <v>0</v>
      </c>
    </row>
    <row r="6" customFormat="false" ht="15" hidden="false" customHeight="false" outlineLevel="0" collapsed="false">
      <c r="A6" s="0" t="s">
        <v>86</v>
      </c>
      <c r="B6" s="3" t="n">
        <v>15</v>
      </c>
    </row>
    <row r="7" customFormat="false" ht="15" hidden="false" customHeight="false" outlineLevel="0" collapsed="false">
      <c r="A7" s="0" t="s">
        <v>87</v>
      </c>
      <c r="B7" s="3" t="n">
        <v>21850</v>
      </c>
    </row>
    <row r="8" customFormat="false" ht="15" hidden="false" customHeight="false" outlineLevel="0" collapsed="false">
      <c r="A8" s="0" t="s">
        <v>88</v>
      </c>
      <c r="B8" s="3" t="s">
        <v>89</v>
      </c>
    </row>
    <row r="9" customFormat="false" ht="15" hidden="false" customHeight="false" outlineLevel="0" collapsed="false">
      <c r="A9" s="0" t="s">
        <v>90</v>
      </c>
      <c r="B9" s="3" t="s">
        <v>91</v>
      </c>
    </row>
    <row r="10" customFormat="false" ht="15" hidden="false" customHeight="false" outlineLevel="0" collapsed="false">
      <c r="A10" s="0" t="s">
        <v>92</v>
      </c>
      <c r="B10" s="3" t="n">
        <v>1</v>
      </c>
    </row>
    <row r="12" customFormat="false" ht="15" hidden="false" customHeight="false" outlineLevel="0" collapsed="false">
      <c r="A12" s="2" t="s">
        <v>93</v>
      </c>
      <c r="C12" s="2" t="s">
        <v>94</v>
      </c>
      <c r="D12" s="2" t="s">
        <v>95</v>
      </c>
      <c r="E12" s="2" t="s">
        <v>96</v>
      </c>
      <c r="F12" s="2" t="s">
        <v>97</v>
      </c>
      <c r="G12" s="2" t="s">
        <v>98</v>
      </c>
      <c r="H12" s="2" t="s">
        <v>99</v>
      </c>
      <c r="I12" s="2" t="s">
        <v>100</v>
      </c>
      <c r="J12" s="2" t="s">
        <v>101</v>
      </c>
      <c r="K12" s="2" t="s">
        <v>102</v>
      </c>
      <c r="L12" s="2" t="s">
        <v>103</v>
      </c>
    </row>
    <row r="13" customFormat="false" ht="15" hidden="false" customHeight="false" outlineLevel="0" collapsed="false">
      <c r="A13" s="0" t="s">
        <v>104</v>
      </c>
      <c r="C13" s="3" t="n">
        <v>1</v>
      </c>
      <c r="D13" s="3" t="n">
        <v>1.5</v>
      </c>
      <c r="E13" s="3" t="n">
        <v>2</v>
      </c>
      <c r="F13" s="3" t="n">
        <v>2</v>
      </c>
      <c r="G13" s="3" t="n">
        <v>2</v>
      </c>
      <c r="H13" s="3" t="n">
        <v>2</v>
      </c>
      <c r="I13" s="3" t="n">
        <v>2</v>
      </c>
      <c r="J13" s="3" t="n">
        <v>2</v>
      </c>
      <c r="K13" s="3" t="n">
        <v>2</v>
      </c>
      <c r="L13" s="3" t="n">
        <v>2</v>
      </c>
    </row>
    <row r="14" customFormat="false" ht="15" hidden="false" customHeight="false" outlineLevel="0" collapsed="false">
      <c r="A14" s="0" t="s">
        <v>105</v>
      </c>
      <c r="C14" s="3" t="n">
        <v>41.2</v>
      </c>
      <c r="D14" s="3" t="n">
        <v>42</v>
      </c>
      <c r="E14" s="3" t="n">
        <v>43.5</v>
      </c>
      <c r="F14" s="3" t="n">
        <v>44.2</v>
      </c>
      <c r="G14" s="3" t="n">
        <v>44.2</v>
      </c>
      <c r="H14" s="3" t="n">
        <v>44.2</v>
      </c>
      <c r="I14" s="3" t="n">
        <v>44.2</v>
      </c>
      <c r="J14" s="3" t="n">
        <v>44.2</v>
      </c>
      <c r="K14" s="3" t="n">
        <v>44.2</v>
      </c>
      <c r="L14" s="3" t="n">
        <v>44.2</v>
      </c>
    </row>
    <row r="15" customFormat="false" ht="15" hidden="false" customHeight="false" outlineLevel="0" collapsed="false">
      <c r="A15" s="0" t="s">
        <v>106</v>
      </c>
      <c r="C15" s="3" t="n">
        <v>0.7</v>
      </c>
      <c r="D15" s="3" t="n">
        <v>0.7</v>
      </c>
      <c r="E15" s="3" t="n">
        <v>0.7</v>
      </c>
      <c r="F15" s="3" t="n">
        <v>0.7</v>
      </c>
      <c r="G15" s="3" t="n">
        <v>0.7</v>
      </c>
      <c r="H15" s="3" t="n">
        <v>0.7</v>
      </c>
      <c r="I15" s="3" t="n">
        <v>0.7</v>
      </c>
      <c r="J15" s="3" t="n">
        <v>0.7</v>
      </c>
      <c r="K15" s="3" t="n">
        <v>0.7</v>
      </c>
      <c r="L15" s="3" t="n">
        <v>0.7</v>
      </c>
    </row>
    <row r="16" customFormat="false" ht="15" hidden="false" customHeight="false" outlineLevel="0" collapsed="false">
      <c r="A16" s="0" t="s">
        <v>107</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108</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109</v>
      </c>
      <c r="C18" s="3" t="n">
        <v>6</v>
      </c>
      <c r="D18" s="3" t="n">
        <v>6</v>
      </c>
      <c r="E18" s="3" t="n">
        <v>6.1</v>
      </c>
      <c r="F18" s="3" t="n">
        <v>6.1</v>
      </c>
      <c r="G18" s="3" t="n">
        <v>6.1</v>
      </c>
      <c r="H18" s="3" t="n">
        <v>6.1</v>
      </c>
      <c r="I18" s="3" t="n">
        <v>6.1</v>
      </c>
      <c r="J18" s="3" t="n">
        <v>6.1</v>
      </c>
      <c r="K18" s="3" t="n">
        <v>6.1</v>
      </c>
      <c r="L18" s="3" t="n">
        <v>6.1</v>
      </c>
    </row>
    <row r="19" customFormat="false" ht="15" hidden="false" customHeight="false" outlineLevel="0" collapsed="false">
      <c r="A19" s="0" t="s">
        <v>110</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111</v>
      </c>
      <c r="B20" s="3" t="n">
        <v>9.7</v>
      </c>
    </row>
    <row r="21" customFormat="false" ht="15" hidden="false" customHeight="false" outlineLevel="0" collapsed="false">
      <c r="A21" s="0" t="s">
        <v>112</v>
      </c>
      <c r="B21" s="3" t="n">
        <v>2</v>
      </c>
    </row>
    <row r="22" customFormat="false" ht="15" hidden="false" customHeight="false" outlineLevel="0" collapsed="false">
      <c r="A22" s="0" t="s">
        <v>113</v>
      </c>
      <c r="B22" s="3" t="n">
        <v>15</v>
      </c>
    </row>
    <row r="23" customFormat="false" ht="15" hidden="false" customHeight="false" outlineLevel="0" collapsed="false">
      <c r="A23" s="0" t="s">
        <v>114</v>
      </c>
      <c r="B23" s="3" t="n">
        <v>0</v>
      </c>
    </row>
    <row r="24" customFormat="false" ht="15" hidden="false" customHeight="false" outlineLevel="0" collapsed="false">
      <c r="A24" s="0" t="s">
        <v>115</v>
      </c>
      <c r="B24" s="3" t="n">
        <v>0.25</v>
      </c>
    </row>
    <row r="26" customFormat="false" ht="15" hidden="false" customHeight="false" outlineLevel="0" collapsed="false">
      <c r="A26" s="2" t="s">
        <v>116</v>
      </c>
      <c r="C26" s="2" t="s">
        <v>94</v>
      </c>
      <c r="D26" s="2" t="s">
        <v>95</v>
      </c>
      <c r="E26" s="2" t="s">
        <v>96</v>
      </c>
      <c r="F26" s="2" t="s">
        <v>97</v>
      </c>
      <c r="G26" s="2" t="s">
        <v>98</v>
      </c>
      <c r="H26" s="2" t="s">
        <v>99</v>
      </c>
      <c r="I26" s="2" t="s">
        <v>100</v>
      </c>
      <c r="J26" s="2" t="s">
        <v>101</v>
      </c>
      <c r="K26" s="2" t="s">
        <v>102</v>
      </c>
      <c r="L26" s="2" t="s">
        <v>103</v>
      </c>
    </row>
    <row r="27" customFormat="false" ht="15" hidden="false" customHeight="false" outlineLevel="0" collapsed="false">
      <c r="A27" s="0" t="s">
        <v>104</v>
      </c>
      <c r="C27" s="3" t="n">
        <v>4</v>
      </c>
      <c r="D27" s="3" t="n">
        <v>3.5</v>
      </c>
      <c r="E27" s="3" t="n">
        <v>3.5</v>
      </c>
      <c r="F27" s="3" t="n">
        <v>3</v>
      </c>
      <c r="G27" s="3" t="n">
        <v>3</v>
      </c>
      <c r="H27" s="3" t="n">
        <v>3</v>
      </c>
      <c r="I27" s="3" t="n">
        <v>2.5</v>
      </c>
      <c r="J27" s="3" t="n">
        <v>2.5</v>
      </c>
      <c r="K27" s="3" t="n">
        <v>2.5</v>
      </c>
      <c r="L27" s="3" t="n">
        <v>2.5</v>
      </c>
    </row>
    <row r="28" customFormat="false" ht="15" hidden="false" customHeight="false" outlineLevel="0" collapsed="false">
      <c r="A28" s="0" t="s">
        <v>105</v>
      </c>
      <c r="C28" s="3" t="n">
        <v>47.4</v>
      </c>
      <c r="D28" s="3" t="n">
        <v>47.2</v>
      </c>
      <c r="E28" s="3" t="n">
        <v>47.2</v>
      </c>
      <c r="F28" s="3" t="n">
        <v>47.2</v>
      </c>
      <c r="G28" s="3" t="n">
        <v>47.2</v>
      </c>
      <c r="H28" s="3" t="n">
        <v>47.2</v>
      </c>
      <c r="I28" s="3" t="n">
        <v>47.2</v>
      </c>
      <c r="J28" s="3" t="n">
        <v>47.2</v>
      </c>
      <c r="K28" s="3" t="n">
        <v>47.2</v>
      </c>
      <c r="L28" s="3" t="n">
        <v>47.2</v>
      </c>
    </row>
    <row r="29" customFormat="false" ht="15" hidden="false" customHeight="false" outlineLevel="0" collapsed="false">
      <c r="A29" s="0" t="s">
        <v>106</v>
      </c>
      <c r="C29" s="3" t="n">
        <v>0.7</v>
      </c>
      <c r="D29" s="3" t="n">
        <v>0.7</v>
      </c>
      <c r="E29" s="3" t="n">
        <v>0.7</v>
      </c>
      <c r="F29" s="3" t="n">
        <v>0.7</v>
      </c>
      <c r="G29" s="3" t="n">
        <v>0.7</v>
      </c>
      <c r="H29" s="3" t="n">
        <v>0.7</v>
      </c>
      <c r="I29" s="3" t="n">
        <v>0.7</v>
      </c>
      <c r="J29" s="3" t="n">
        <v>0.7</v>
      </c>
      <c r="K29" s="3" t="n">
        <v>0.7</v>
      </c>
      <c r="L29" s="3" t="n">
        <v>0.7</v>
      </c>
    </row>
    <row r="30" customFormat="false" ht="15" hidden="false" customHeight="false" outlineLevel="0" collapsed="false">
      <c r="A30" s="0" t="s">
        <v>107</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108</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109</v>
      </c>
      <c r="C32" s="3" t="n">
        <v>10.4</v>
      </c>
      <c r="D32" s="3" t="n">
        <v>9.1</v>
      </c>
      <c r="E32" s="3" t="n">
        <v>9.1</v>
      </c>
      <c r="F32" s="3" t="n">
        <v>7.8</v>
      </c>
      <c r="G32" s="3" t="n">
        <v>7.8</v>
      </c>
      <c r="H32" s="3" t="n">
        <v>7.8</v>
      </c>
      <c r="I32" s="3" t="n">
        <v>6.5</v>
      </c>
      <c r="J32" s="3" t="n">
        <v>6.5</v>
      </c>
      <c r="K32" s="3" t="n">
        <v>6.5</v>
      </c>
      <c r="L32" s="3" t="n">
        <v>6.5</v>
      </c>
    </row>
    <row r="33" customFormat="false" ht="15" hidden="false" customHeight="false" outlineLevel="0" collapsed="false">
      <c r="A33" s="0" t="s">
        <v>110</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111</v>
      </c>
      <c r="B34" s="3" t="n">
        <v>9.7</v>
      </c>
    </row>
    <row r="35" customFormat="false" ht="15" hidden="false" customHeight="false" outlineLevel="0" collapsed="false">
      <c r="A35" s="0" t="s">
        <v>112</v>
      </c>
      <c r="B35" s="3" t="n">
        <v>2.5</v>
      </c>
    </row>
    <row r="36" customFormat="false" ht="15" hidden="false" customHeight="false" outlineLevel="0" collapsed="false">
      <c r="A36" s="0" t="s">
        <v>113</v>
      </c>
      <c r="B36" s="3" t="n">
        <v>15</v>
      </c>
    </row>
    <row r="37" customFormat="false" ht="15" hidden="false" customHeight="false" outlineLevel="0" collapsed="false">
      <c r="A37" s="0" t="s">
        <v>114</v>
      </c>
      <c r="B37" s="3" t="n">
        <v>0</v>
      </c>
    </row>
    <row r="38" customFormat="false" ht="15" hidden="false" customHeight="false" outlineLevel="0" collapsed="false">
      <c r="A38" s="0" t="s">
        <v>115</v>
      </c>
      <c r="B38" s="3" t="n">
        <v>0.5</v>
      </c>
    </row>
    <row r="40" customFormat="false" ht="15" hidden="false" customHeight="false" outlineLevel="0" collapsed="false">
      <c r="A40" s="2" t="s">
        <v>117</v>
      </c>
      <c r="C40" s="2" t="s">
        <v>94</v>
      </c>
      <c r="D40" s="2" t="s">
        <v>95</v>
      </c>
      <c r="E40" s="2" t="s">
        <v>96</v>
      </c>
      <c r="F40" s="2" t="s">
        <v>97</v>
      </c>
      <c r="G40" s="2" t="s">
        <v>98</v>
      </c>
      <c r="H40" s="2" t="s">
        <v>99</v>
      </c>
      <c r="I40" s="2" t="s">
        <v>100</v>
      </c>
      <c r="J40" s="2" t="s">
        <v>101</v>
      </c>
      <c r="K40" s="2" t="s">
        <v>102</v>
      </c>
      <c r="L40" s="2" t="s">
        <v>103</v>
      </c>
    </row>
    <row r="41" customFormat="false" ht="15" hidden="false" customHeight="false" outlineLevel="0" collapsed="false">
      <c r="A41" s="0" t="s">
        <v>104</v>
      </c>
      <c r="C41" s="3" t="n">
        <v>6</v>
      </c>
      <c r="D41" s="3" t="n">
        <v>5.5</v>
      </c>
      <c r="E41" s="3" t="n">
        <v>5</v>
      </c>
      <c r="F41" s="3" t="n">
        <v>4.5</v>
      </c>
      <c r="G41" s="3" t="n">
        <v>4</v>
      </c>
      <c r="H41" s="3" t="n">
        <v>3.5</v>
      </c>
      <c r="I41" s="3" t="n">
        <v>3.5</v>
      </c>
      <c r="J41" s="3" t="n">
        <v>3</v>
      </c>
      <c r="K41" s="3" t="n">
        <v>3</v>
      </c>
      <c r="L41" s="3" t="n">
        <v>3</v>
      </c>
    </row>
    <row r="42" customFormat="false" ht="15" hidden="false" customHeight="false" outlineLevel="0" collapsed="false">
      <c r="A42" s="0" t="s">
        <v>105</v>
      </c>
      <c r="C42" s="3" t="n">
        <v>48.5</v>
      </c>
      <c r="D42" s="3" t="n">
        <v>49</v>
      </c>
      <c r="E42" s="3" t="n">
        <v>49.5</v>
      </c>
      <c r="F42" s="3" t="n">
        <v>50</v>
      </c>
      <c r="G42" s="3" t="n">
        <v>50</v>
      </c>
      <c r="H42" s="3" t="n">
        <v>50</v>
      </c>
      <c r="I42" s="3" t="n">
        <v>50</v>
      </c>
      <c r="J42" s="3" t="n">
        <v>50</v>
      </c>
      <c r="K42" s="3" t="n">
        <v>50</v>
      </c>
      <c r="L42" s="3" t="n">
        <v>50</v>
      </c>
    </row>
    <row r="43" customFormat="false" ht="15" hidden="false" customHeight="false" outlineLevel="0" collapsed="false">
      <c r="A43" s="0" t="s">
        <v>106</v>
      </c>
      <c r="C43" s="3" t="n">
        <v>0.7</v>
      </c>
      <c r="D43" s="3" t="n">
        <v>0.7</v>
      </c>
      <c r="E43" s="3" t="n">
        <v>0.7</v>
      </c>
      <c r="F43" s="3" t="n">
        <v>0.7</v>
      </c>
      <c r="G43" s="3" t="n">
        <v>0.7</v>
      </c>
      <c r="H43" s="3" t="n">
        <v>0.7</v>
      </c>
      <c r="I43" s="3" t="n">
        <v>0.7</v>
      </c>
      <c r="J43" s="3" t="n">
        <v>0.7</v>
      </c>
      <c r="K43" s="3" t="n">
        <v>0.7</v>
      </c>
      <c r="L43" s="3" t="n">
        <v>0.7</v>
      </c>
    </row>
    <row r="44" customFormat="false" ht="15" hidden="false" customHeight="false" outlineLevel="0" collapsed="false">
      <c r="A44" s="0" t="s">
        <v>107</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108</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109</v>
      </c>
      <c r="C46" s="3" t="n">
        <v>14.8</v>
      </c>
      <c r="D46" s="3" t="n">
        <v>13.5</v>
      </c>
      <c r="E46" s="3" t="n">
        <v>12.3</v>
      </c>
      <c r="F46" s="3" t="n">
        <v>11.1</v>
      </c>
      <c r="G46" s="3" t="n">
        <v>9.8</v>
      </c>
      <c r="H46" s="3" t="n">
        <v>8.6</v>
      </c>
      <c r="I46" s="3" t="n">
        <v>8.6</v>
      </c>
      <c r="J46" s="3" t="n">
        <v>7.4</v>
      </c>
      <c r="K46" s="3" t="n">
        <v>7.4</v>
      </c>
      <c r="L46" s="3" t="n">
        <v>7.4</v>
      </c>
    </row>
    <row r="47" customFormat="false" ht="15" hidden="false" customHeight="false" outlineLevel="0" collapsed="false">
      <c r="A47" s="0" t="s">
        <v>110</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111</v>
      </c>
      <c r="B48" s="3" t="n">
        <v>9.7</v>
      </c>
    </row>
    <row r="49" customFormat="false" ht="15" hidden="false" customHeight="false" outlineLevel="0" collapsed="false">
      <c r="A49" s="0" t="s">
        <v>112</v>
      </c>
      <c r="B49" s="3" t="n">
        <v>3</v>
      </c>
    </row>
    <row r="50" customFormat="false" ht="15" hidden="false" customHeight="false" outlineLevel="0" collapsed="false">
      <c r="A50" s="0" t="s">
        <v>113</v>
      </c>
      <c r="B50" s="3" t="n">
        <v>15</v>
      </c>
    </row>
    <row r="51" customFormat="false" ht="15" hidden="false" customHeight="false" outlineLevel="0" collapsed="false">
      <c r="A51" s="0" t="s">
        <v>114</v>
      </c>
      <c r="B51" s="3" t="n">
        <v>0</v>
      </c>
    </row>
    <row r="52" customFormat="false" ht="15" hidden="false" customHeight="false" outlineLevel="0" collapsed="false">
      <c r="A52" s="0" t="s">
        <v>115</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118</v>
      </c>
    </row>
    <row r="3" customFormat="false" ht="15" hidden="false" customHeight="false" outlineLevel="0" collapsed="false">
      <c r="A3" s="0" t="s">
        <v>119</v>
      </c>
      <c r="B3" s="0" t="s">
        <v>89</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Assumptions!C13</f>
        <v>1</v>
      </c>
      <c r="D5" s="4" t="n">
        <f aca="false">Assumptions!D13</f>
        <v>1.5</v>
      </c>
      <c r="E5" s="4" t="n">
        <f aca="false">Assumptions!E13</f>
        <v>2</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21850</v>
      </c>
      <c r="C6" s="0" t="n">
        <f aca="false">B6*(1+C5/100)</f>
        <v>22068.5</v>
      </c>
      <c r="D6" s="0" t="n">
        <f aca="false">C6*(1+D5/100)</f>
        <v>22399.5275</v>
      </c>
      <c r="E6" s="0" t="n">
        <f aca="false">D6*(1+E5/100)</f>
        <v>22847.51805</v>
      </c>
      <c r="F6" s="0" t="n">
        <f aca="false">E6*(1+F5/100)</f>
        <v>23304.468411</v>
      </c>
      <c r="G6" s="0" t="n">
        <f aca="false">F6*(1+G5/100)</f>
        <v>23770.55777922</v>
      </c>
      <c r="H6" s="0" t="n">
        <f aca="false">G6*(1+H5/100)</f>
        <v>24245.9689348044</v>
      </c>
      <c r="I6" s="0" t="n">
        <f aca="false">H6*(1+I5/100)</f>
        <v>24730.8883135005</v>
      </c>
      <c r="J6" s="0" t="n">
        <f aca="false">I6*(1+J5/100)</f>
        <v>25225.5060797705</v>
      </c>
      <c r="K6" s="0" t="n">
        <f aca="false">J6*(1+K5/100)</f>
        <v>25730.0162013659</v>
      </c>
      <c r="L6" s="0" t="n">
        <f aca="false">K6*(1+L5/100)</f>
        <v>26244.6165253932</v>
      </c>
    </row>
    <row r="7" customFormat="false" ht="15" hidden="false" customHeight="false" outlineLevel="0" collapsed="false">
      <c r="A7" s="0" t="s">
        <v>105</v>
      </c>
      <c r="C7" s="4" t="n">
        <f aca="false">Assumptions!C14</f>
        <v>41.2</v>
      </c>
      <c r="D7" s="4" t="n">
        <f aca="false">Assumptions!D14</f>
        <v>42</v>
      </c>
      <c r="E7" s="4" t="n">
        <f aca="false">Assumptions!E14</f>
        <v>43.5</v>
      </c>
      <c r="F7" s="4" t="n">
        <f aca="false">Assumptions!F14</f>
        <v>44.2</v>
      </c>
      <c r="G7" s="4" t="n">
        <f aca="false">Assumptions!G14</f>
        <v>44.2</v>
      </c>
      <c r="H7" s="4" t="n">
        <f aca="false">Assumptions!H14</f>
        <v>44.2</v>
      </c>
      <c r="I7" s="4" t="n">
        <f aca="false">Assumptions!I14</f>
        <v>44.2</v>
      </c>
      <c r="J7" s="4" t="n">
        <f aca="false">Assumptions!J14</f>
        <v>44.2</v>
      </c>
      <c r="K7" s="4" t="n">
        <f aca="false">Assumptions!K14</f>
        <v>44.2</v>
      </c>
      <c r="L7" s="4" t="n">
        <f aca="false">Assumptions!L14</f>
        <v>44.2</v>
      </c>
    </row>
    <row r="8" customFormat="false" ht="15" hidden="false" customHeight="false" outlineLevel="0" collapsed="false">
      <c r="A8" s="0" t="s">
        <v>43</v>
      </c>
      <c r="C8" s="0" t="n">
        <f aca="false">C6*C7/100</f>
        <v>9092.222</v>
      </c>
      <c r="D8" s="0" t="n">
        <f aca="false">D6*D7/100</f>
        <v>9407.80155</v>
      </c>
      <c r="E8" s="0" t="n">
        <f aca="false">E6*E7/100</f>
        <v>9938.67035175</v>
      </c>
      <c r="F8" s="0" t="n">
        <f aca="false">F6*F7/100</f>
        <v>10300.575037662</v>
      </c>
      <c r="G8" s="0" t="n">
        <f aca="false">G6*G7/100</f>
        <v>10506.5865384152</v>
      </c>
      <c r="H8" s="0" t="n">
        <f aca="false">H6*H7/100</f>
        <v>10716.7182691835</v>
      </c>
      <c r="I8" s="0" t="n">
        <f aca="false">I6*I7/100</f>
        <v>10931.0526345672</v>
      </c>
      <c r="J8" s="0" t="n">
        <f aca="false">J6*J7/100</f>
        <v>11149.6736872586</v>
      </c>
      <c r="K8" s="0" t="n">
        <f aca="false">K6*K7/100</f>
        <v>11372.6671610037</v>
      </c>
      <c r="L8" s="0" t="n">
        <f aca="false">L6*L7/100</f>
        <v>11600.1205042238</v>
      </c>
    </row>
    <row r="9" customFormat="false" ht="15" hidden="false" customHeight="false" outlineLevel="0" collapsed="false">
      <c r="A9" s="0" t="s">
        <v>106</v>
      </c>
      <c r="C9" s="4" t="n">
        <f aca="false">Assumptions!C15</f>
        <v>0.7</v>
      </c>
      <c r="D9" s="4" t="n">
        <f aca="false">Assumptions!D15</f>
        <v>0.7</v>
      </c>
      <c r="E9" s="4" t="n">
        <f aca="false">Assumptions!E15</f>
        <v>0.7</v>
      </c>
      <c r="F9" s="4" t="n">
        <f aca="false">Assumptions!F15</f>
        <v>0.7</v>
      </c>
      <c r="G9" s="4" t="n">
        <f aca="false">Assumptions!G15</f>
        <v>0.7</v>
      </c>
      <c r="H9" s="4" t="n">
        <f aca="false">Assumptions!H15</f>
        <v>0.7</v>
      </c>
      <c r="I9" s="4" t="n">
        <f aca="false">Assumptions!I15</f>
        <v>0.7</v>
      </c>
      <c r="J9" s="4" t="n">
        <f aca="false">Assumptions!J15</f>
        <v>0.7</v>
      </c>
      <c r="K9" s="4" t="n">
        <f aca="false">Assumptions!K15</f>
        <v>0.7</v>
      </c>
      <c r="L9" s="4" t="n">
        <f aca="false">Assumptions!L15</f>
        <v>0.7</v>
      </c>
    </row>
    <row r="10" customFormat="false" ht="15" hidden="false" customHeight="false" outlineLevel="0" collapsed="false">
      <c r="A10" s="0" t="s">
        <v>121</v>
      </c>
      <c r="C10" s="0" t="n">
        <f aca="false">-C6*C9/100</f>
        <v>-154.4795</v>
      </c>
      <c r="D10" s="0" t="n">
        <f aca="false">-D6*D9/100</f>
        <v>-156.7966925</v>
      </c>
      <c r="E10" s="0" t="n">
        <f aca="false">-E6*E9/100</f>
        <v>-159.93262635</v>
      </c>
      <c r="F10" s="0" t="n">
        <f aca="false">-F6*F9/100</f>
        <v>-163.131278877</v>
      </c>
      <c r="G10" s="0" t="n">
        <f aca="false">-G6*G9/100</f>
        <v>-166.39390445454</v>
      </c>
      <c r="H10" s="0" t="n">
        <f aca="false">-H6*H9/100</f>
        <v>-169.721782543631</v>
      </c>
      <c r="I10" s="0" t="n">
        <f aca="false">-I6*I9/100</f>
        <v>-173.116218194503</v>
      </c>
      <c r="J10" s="0" t="n">
        <f aca="false">-J6*J9/100</f>
        <v>-176.578542558393</v>
      </c>
      <c r="K10" s="0" t="n">
        <f aca="false">-K6*K9/100</f>
        <v>-180.110113409561</v>
      </c>
      <c r="L10" s="0" t="n">
        <f aca="false">-L6*L9/100</f>
        <v>-183.712315677753</v>
      </c>
    </row>
    <row r="11" customFormat="false" ht="15" hidden="false" customHeight="false" outlineLevel="0" collapsed="false">
      <c r="A11" s="0" t="s">
        <v>122</v>
      </c>
      <c r="C11" s="0" t="n">
        <f aca="false">C8+C10+C24</f>
        <v>8937.7425</v>
      </c>
      <c r="D11" s="0" t="n">
        <f aca="false">D8+D10+D24</f>
        <v>9251.0048575</v>
      </c>
      <c r="E11" s="0" t="n">
        <f aca="false">E8+E10+E24</f>
        <v>9778.7377254</v>
      </c>
      <c r="F11" s="0" t="n">
        <f aca="false">F8+F10+F24</f>
        <v>10137.443758785</v>
      </c>
      <c r="G11" s="0" t="n">
        <f aca="false">G8+G10+G24</f>
        <v>10340.1926339607</v>
      </c>
      <c r="H11" s="0" t="n">
        <f aca="false">H8+H10+H24</f>
        <v>10546.9964866399</v>
      </c>
      <c r="I11" s="0" t="n">
        <f aca="false">I8+I10+I24</f>
        <v>10757.9364163727</v>
      </c>
      <c r="J11" s="0" t="n">
        <f aca="false">J8+J10+J24</f>
        <v>10973.0951447002</v>
      </c>
      <c r="K11" s="0" t="n">
        <f aca="false">K8+K10+K24</f>
        <v>11192.5570475942</v>
      </c>
      <c r="L11" s="0" t="n">
        <f aca="false">L8+L10+L24</f>
        <v>11416.4081885461</v>
      </c>
    </row>
    <row r="12" customFormat="false" ht="15" hidden="false" customHeight="false" outlineLevel="0" collapsed="false">
      <c r="A12" s="0" t="s">
        <v>123</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124</v>
      </c>
      <c r="C13" s="0" t="n">
        <f aca="false">C11+C12</f>
        <v>8937.7425</v>
      </c>
      <c r="D13" s="0" t="n">
        <f aca="false">D11+D12</f>
        <v>9251.0048575</v>
      </c>
      <c r="E13" s="0" t="n">
        <f aca="false">E11+E12</f>
        <v>9778.7377254</v>
      </c>
      <c r="F13" s="0" t="n">
        <f aca="false">F11+F12</f>
        <v>10137.443758785</v>
      </c>
      <c r="G13" s="0" t="n">
        <f aca="false">G11+G12</f>
        <v>10340.1926339607</v>
      </c>
      <c r="H13" s="0" t="n">
        <f aca="false">H11+H12</f>
        <v>10546.9964866399</v>
      </c>
      <c r="I13" s="0" t="n">
        <f aca="false">I11+I12</f>
        <v>10757.9364163727</v>
      </c>
      <c r="J13" s="0" t="n">
        <f aca="false">J11+J12</f>
        <v>10973.0951447002</v>
      </c>
      <c r="K13" s="0" t="n">
        <f aca="false">K11+K12</f>
        <v>11192.5570475942</v>
      </c>
      <c r="L13" s="0" t="n">
        <f aca="false">L11+L12</f>
        <v>11416.4081885461</v>
      </c>
    </row>
    <row r="14" customFormat="false" ht="15" hidden="false" customHeight="false" outlineLevel="0" collapsed="false">
      <c r="A14" s="0" t="s">
        <v>110</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125</v>
      </c>
      <c r="C15" s="0" t="n">
        <f aca="false">C13-MAX(0,C13)*C14/100</f>
        <v>6256.41975</v>
      </c>
      <c r="D15" s="0" t="n">
        <f aca="false">D13-MAX(0,D13)*D14/100</f>
        <v>6475.70340025</v>
      </c>
      <c r="E15" s="0" t="n">
        <f aca="false">E13-MAX(0,E13)*E14/100</f>
        <v>6845.11640778</v>
      </c>
      <c r="F15" s="0" t="n">
        <f aca="false">F13-MAX(0,F13)*F14/100</f>
        <v>7096.2106311495</v>
      </c>
      <c r="G15" s="0" t="n">
        <f aca="false">G13-MAX(0,G13)*G14/100</f>
        <v>7238.13484377249</v>
      </c>
      <c r="H15" s="0" t="n">
        <f aca="false">H13-MAX(0,H13)*H14/100</f>
        <v>7382.89754064794</v>
      </c>
      <c r="I15" s="0" t="n">
        <f aca="false">I13-MAX(0,I13)*I14/100</f>
        <v>7530.5554914609</v>
      </c>
      <c r="J15" s="0" t="n">
        <f aca="false">J13-MAX(0,J13)*J14/100</f>
        <v>7681.16660129012</v>
      </c>
      <c r="K15" s="0" t="n">
        <f aca="false">K13-MAX(0,K13)*K14/100</f>
        <v>7834.78993331592</v>
      </c>
      <c r="L15" s="0" t="n">
        <f aca="false">L13-MAX(0,L13)*L14/100</f>
        <v>7991.48573198224</v>
      </c>
    </row>
    <row r="16" customFormat="false" ht="15" hidden="false" customHeight="false" outlineLevel="0" collapsed="false">
      <c r="A16" s="0" t="s">
        <v>126</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127</v>
      </c>
      <c r="C17" s="4" t="n">
        <f aca="false">-C6*Assumptions!C18/100</f>
        <v>-1324.11</v>
      </c>
      <c r="D17" s="4" t="n">
        <f aca="false">-D6*Assumptions!D18/100</f>
        <v>-1343.97165</v>
      </c>
      <c r="E17" s="4" t="n">
        <f aca="false">-E6*Assumptions!E18/100</f>
        <v>-1393.69860105</v>
      </c>
      <c r="F17" s="4" t="n">
        <f aca="false">-F6*Assumptions!F18/100</f>
        <v>-1421.572573071</v>
      </c>
      <c r="G17" s="4" t="n">
        <f aca="false">-G6*Assumptions!G18/100</f>
        <v>-1450.00402453242</v>
      </c>
      <c r="H17" s="4" t="n">
        <f aca="false">-H6*Assumptions!H18/100</f>
        <v>-1479.00410502307</v>
      </c>
      <c r="I17" s="4" t="n">
        <f aca="false">-I6*Assumptions!I18/100</f>
        <v>-1508.58418712353</v>
      </c>
      <c r="J17" s="4" t="n">
        <f aca="false">-J6*Assumptions!J18/100</f>
        <v>-1538.755870866</v>
      </c>
      <c r="K17" s="4" t="n">
        <f aca="false">-K6*Assumptions!K18/100</f>
        <v>-1569.53098828332</v>
      </c>
      <c r="L17" s="4" t="n">
        <f aca="false">-L6*Assumptions!L18/100</f>
        <v>-1600.92160804899</v>
      </c>
    </row>
    <row r="18" customFormat="false" ht="15" hidden="false" customHeight="false" outlineLevel="0" collapsed="false">
      <c r="A18" s="0" t="s">
        <v>128</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129</v>
      </c>
      <c r="C19" s="0" t="n">
        <f aca="false">C15+C16+C17+C18</f>
        <v>4932.30975</v>
      </c>
      <c r="D19" s="0" t="n">
        <f aca="false">D15+D16+D17+D18</f>
        <v>5131.73175025</v>
      </c>
      <c r="E19" s="0" t="n">
        <f aca="false">E15+E16+E17+E18</f>
        <v>5451.41780673</v>
      </c>
      <c r="F19" s="0" t="n">
        <f aca="false">F15+F16+F17+F18</f>
        <v>5674.6380580785</v>
      </c>
      <c r="G19" s="0" t="n">
        <f aca="false">G15+G16+G17+G18</f>
        <v>5788.13081924007</v>
      </c>
      <c r="H19" s="0" t="n">
        <f aca="false">H15+H16+H17+H18</f>
        <v>5903.89343562487</v>
      </c>
      <c r="I19" s="0" t="n">
        <f aca="false">I15+I16+I17+I18</f>
        <v>6021.97130433737</v>
      </c>
      <c r="J19" s="0" t="n">
        <f aca="false">J15+J16+J17+J18</f>
        <v>6142.41073042412</v>
      </c>
      <c r="K19" s="0" t="n">
        <f aca="false">K15+K16+K17+K18</f>
        <v>6265.2589450326</v>
      </c>
      <c r="L19" s="0" t="n">
        <f aca="false">L15+L16+L17+L18</f>
        <v>6390.56412393325</v>
      </c>
    </row>
    <row r="20" customFormat="false" ht="15" hidden="false" customHeight="false" outlineLevel="0" collapsed="false">
      <c r="A20" s="0" t="s">
        <v>130</v>
      </c>
      <c r="C20" s="0" t="n">
        <f aca="false">1/(1+$B$27/100)^C4</f>
        <v>0.911577028258888</v>
      </c>
      <c r="D20" s="0" t="n">
        <f aca="false">1/(1+$B$27/100)^D4</f>
        <v>0.830972678449305</v>
      </c>
      <c r="E20" s="0" t="n">
        <f aca="false">1/(1+$B$27/100)^E4</f>
        <v>0.757495604785146</v>
      </c>
      <c r="F20" s="0" t="n">
        <f aca="false">1/(1+$B$27/100)^F4</f>
        <v>0.690515592329213</v>
      </c>
      <c r="G20" s="0" t="n">
        <f aca="false">1/(1+$B$27/100)^G4</f>
        <v>0.629458151621889</v>
      </c>
      <c r="H20" s="0" t="n">
        <f aca="false">1/(1+$B$27/100)^H4</f>
        <v>0.573799591268814</v>
      </c>
      <c r="I20" s="0" t="n">
        <f aca="false">1/(1+$B$27/100)^I4</f>
        <v>0.52306252622499</v>
      </c>
      <c r="J20" s="0" t="n">
        <f aca="false">1/(1+$B$27/100)^J4</f>
        <v>0.476811783249763</v>
      </c>
      <c r="K20" s="0" t="n">
        <f aca="false">1/(1+$B$27/100)^K4</f>
        <v>0.43465066841364</v>
      </c>
      <c r="L20" s="0" t="n">
        <f aca="false">1/(1+$B$27/100)^L4</f>
        <v>0.396217564643245</v>
      </c>
    </row>
    <row r="21" customFormat="false" ht="15" hidden="false" customHeight="false" outlineLevel="0" collapsed="false">
      <c r="A21" s="0" t="s">
        <v>131</v>
      </c>
      <c r="C21" s="0" t="n">
        <f aca="false">C19*C20</f>
        <v>4496.18026435734</v>
      </c>
      <c r="D21" s="0" t="n">
        <f aca="false">D19*D20</f>
        <v>4264.32887758858</v>
      </c>
      <c r="E21" s="0" t="n">
        <f aca="false">E19*E20</f>
        <v>4129.42502844546</v>
      </c>
      <c r="F21" s="0" t="n">
        <f aca="false">F19*F20</f>
        <v>3918.42605992797</v>
      </c>
      <c r="G21" s="0" t="n">
        <f aca="false">G19*G20</f>
        <v>3643.38612682455</v>
      </c>
      <c r="H21" s="0" t="n">
        <f aca="false">H19*H20</f>
        <v>3387.65164025619</v>
      </c>
      <c r="I21" s="0" t="n">
        <f aca="false">I19*I20</f>
        <v>3149.8675233011</v>
      </c>
      <c r="J21" s="0" t="n">
        <f aca="false">J19*J20</f>
        <v>2928.773813826</v>
      </c>
      <c r="K21" s="0" t="n">
        <f aca="false">K19*K20</f>
        <v>2723.19898824296</v>
      </c>
      <c r="L21" s="0" t="n">
        <f aca="false">L19*L20</f>
        <v>2532.05375388133</v>
      </c>
    </row>
    <row r="23" customFormat="false" ht="15" hidden="false" customHeight="false" outlineLevel="0" collapsed="false">
      <c r="A23" s="0" t="s">
        <v>107</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Assumptions!$B$20</f>
        <v>9.7</v>
      </c>
    </row>
    <row r="28" customFormat="false" ht="15" hidden="false" customHeight="false" outlineLevel="0" collapsed="false">
      <c r="A28" s="0" t="s">
        <v>112</v>
      </c>
      <c r="B28" s="4" t="n">
        <f aca="false">Assumptions!$B$21</f>
        <v>2</v>
      </c>
    </row>
    <row r="29" customFormat="false" ht="15" hidden="false" customHeight="false" outlineLevel="0" collapsed="false">
      <c r="A29" s="0" t="s">
        <v>113</v>
      </c>
      <c r="B29" s="4" t="n">
        <f aca="false">Assumptions!$B$22</f>
        <v>15</v>
      </c>
    </row>
    <row r="30" customFormat="false" ht="15" hidden="false" customHeight="false" outlineLevel="0" collapsed="false">
      <c r="A30" s="0" t="s">
        <v>134</v>
      </c>
      <c r="B30" s="0" t="n">
        <f aca="false">SUM(C21:L21)</f>
        <v>35173.2920766515</v>
      </c>
    </row>
    <row r="31" customFormat="false" ht="15" hidden="false" customHeight="false" outlineLevel="0" collapsed="false">
      <c r="A31" s="0" t="s">
        <v>135</v>
      </c>
      <c r="B31" s="0" t="n">
        <f aca="false">L19</f>
        <v>6390.56412393325</v>
      </c>
    </row>
    <row r="32" customFormat="false" ht="15" hidden="false" customHeight="false" outlineLevel="0" collapsed="false">
      <c r="A32" s="0" t="s">
        <v>136</v>
      </c>
      <c r="B32" s="0" t="n">
        <f aca="false">IF(B27&gt;B28,B31*(1+B28/100)/((B27-B28)/100),B31*B29)</f>
        <v>84654.2260572976</v>
      </c>
    </row>
    <row r="33" customFormat="false" ht="15" hidden="false" customHeight="false" outlineLevel="0" collapsed="false">
      <c r="A33" s="0" t="s">
        <v>137</v>
      </c>
      <c r="B33" s="0" t="n">
        <f aca="false">B31*B29</f>
        <v>95858.4618589988</v>
      </c>
    </row>
    <row r="34" customFormat="false" ht="15" hidden="false" customHeight="false" outlineLevel="0" collapsed="false">
      <c r="A34" s="0" t="s">
        <v>138</v>
      </c>
      <c r="B34" s="0" t="n">
        <f aca="false">MAX(0,MIN(B32,B33))</f>
        <v>84654.2260572976</v>
      </c>
    </row>
    <row r="35" customFormat="false" ht="15" hidden="false" customHeight="false" outlineLevel="0" collapsed="false">
      <c r="A35" s="0" t="s">
        <v>139</v>
      </c>
      <c r="B35" s="0" t="n">
        <f aca="false">B34/(1+B27/100)^L4</f>
        <v>33541.4912851812</v>
      </c>
    </row>
    <row r="36" customFormat="false" ht="15" hidden="false" customHeight="false" outlineLevel="0" collapsed="false">
      <c r="A36" s="0" t="s">
        <v>140</v>
      </c>
      <c r="B36" s="0" t="n">
        <f aca="false">B30+B35</f>
        <v>68714.7833618327</v>
      </c>
    </row>
    <row r="37" customFormat="false" ht="15" hidden="false" customHeight="false" outlineLevel="0" collapsed="false">
      <c r="A37" s="0" t="s">
        <v>141</v>
      </c>
      <c r="B37" s="0" t="n">
        <f aca="false">B36+Assumptions!$B$5-Assumptions!$B$4</f>
        <v>68714.7833618327</v>
      </c>
    </row>
    <row r="38" customFormat="false" ht="15" hidden="false" customHeight="false" outlineLevel="0" collapsed="false">
      <c r="A38" s="0" t="s">
        <v>142</v>
      </c>
      <c r="B38" s="0" t="n">
        <f aca="false">B37/Assumptions!$B$3*Assumptions!$B$10</f>
        <v>22.0734928884782</v>
      </c>
    </row>
    <row r="39" customFormat="false" ht="15" hidden="false" customHeight="false" outlineLevel="0" collapsed="false">
      <c r="A39" s="0" t="s">
        <v>143</v>
      </c>
      <c r="B39" s="4" t="n">
        <f aca="false">B38/Assumptions!$B$2-1</f>
        <v>-0.421402545518264</v>
      </c>
    </row>
    <row r="41" customFormat="false" ht="15" hidden="false" customHeight="false" outlineLevel="0" collapsed="false">
      <c r="A41" s="0" t="s">
        <v>144</v>
      </c>
      <c r="B41" s="0" t="n">
        <f aca="false">SUMPRODUCT(-C10:L10/(1+$B$27/100)^C4:L4)</f>
        <v>1032.85133692531</v>
      </c>
    </row>
    <row r="42" customFormat="false" ht="15" hidden="false" customHeight="false" outlineLevel="0" collapsed="false">
      <c r="A42" s="0" t="s">
        <v>145</v>
      </c>
      <c r="B42" s="0" t="n">
        <f aca="false">IF(B27&gt;B28,-L10*(1+B28/100)/((B27-B28)/100),-L10*20)/(1+B27/100)^L4</f>
        <v>964.231782325538</v>
      </c>
    </row>
    <row r="43" customFormat="false" ht="15" hidden="false" customHeight="false" outlineLevel="0" collapsed="false">
      <c r="A43" s="0" t="s">
        <v>146</v>
      </c>
      <c r="B43" s="0" t="n">
        <f aca="false">(B37+B41+B42)/Assumptions!$B$3*Assumptions!$B$10</f>
        <v>22.7150229621213</v>
      </c>
    </row>
    <row r="45" customFormat="false" ht="15" hidden="false" customHeight="false" outlineLevel="0" collapsed="false">
      <c r="A45" s="0" t="s">
        <v>86</v>
      </c>
      <c r="B45" s="4" t="n">
        <f aca="false">Assumptions!$B$6</f>
        <v>15</v>
      </c>
    </row>
    <row r="46" customFormat="false" ht="15" hidden="false" customHeight="false" outlineLevel="0" collapsed="false">
      <c r="A46" s="0" t="s">
        <v>147</v>
      </c>
      <c r="B46" s="0" t="n">
        <f aca="false">MAX(0,MIN(IF(B45&gt;B28,B31*(1+B28/100)/((B45-B28)/100),B31*B29),B31*B29))</f>
        <v>50141.3492800917</v>
      </c>
    </row>
    <row r="47" customFormat="false" ht="15" hidden="false" customHeight="false" outlineLevel="0" collapsed="false">
      <c r="A47" s="0" t="s">
        <v>148</v>
      </c>
      <c r="B47" s="0" t="n">
        <f aca="false">(SUMPRODUCT(C19:L19/(1+B45/100)^C4:L4)+B46/(1+B45/100)^L4+Assumptions!$B$5-Assumptions!$B$4)/Assumptions!$B$3*Assumptions!$B$10</f>
        <v>12.9954927661702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119</v>
      </c>
      <c r="B3" s="0" t="s">
        <v>89</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Assumptions!C27</f>
        <v>4</v>
      </c>
      <c r="D5" s="4" t="n">
        <f aca="false">Assumptions!D27</f>
        <v>3.5</v>
      </c>
      <c r="E5" s="4" t="n">
        <f aca="false">Assumptions!E27</f>
        <v>3.5</v>
      </c>
      <c r="F5" s="4" t="n">
        <f aca="false">Assumptions!F27</f>
        <v>3</v>
      </c>
      <c r="G5" s="4" t="n">
        <f aca="false">Assumptions!G27</f>
        <v>3</v>
      </c>
      <c r="H5" s="4" t="n">
        <f aca="false">Assumptions!H27</f>
        <v>3</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21850</v>
      </c>
      <c r="C6" s="0" t="n">
        <f aca="false">B6*(1+C5/100)</f>
        <v>22724</v>
      </c>
      <c r="D6" s="0" t="n">
        <f aca="false">C6*(1+D5/100)</f>
        <v>23519.34</v>
      </c>
      <c r="E6" s="0" t="n">
        <f aca="false">D6*(1+E5/100)</f>
        <v>24342.5169</v>
      </c>
      <c r="F6" s="0" t="n">
        <f aca="false">E6*(1+F5/100)</f>
        <v>25072.792407</v>
      </c>
      <c r="G6" s="0" t="n">
        <f aca="false">F6*(1+G5/100)</f>
        <v>25824.97617921</v>
      </c>
      <c r="H6" s="0" t="n">
        <f aca="false">G6*(1+H5/100)</f>
        <v>26599.7254645863</v>
      </c>
      <c r="I6" s="0" t="n">
        <f aca="false">H6*(1+I5/100)</f>
        <v>27264.718601201</v>
      </c>
      <c r="J6" s="0" t="n">
        <f aca="false">I6*(1+J5/100)</f>
        <v>27946.336566231</v>
      </c>
      <c r="K6" s="0" t="n">
        <f aca="false">J6*(1+K5/100)</f>
        <v>28644.9949803867</v>
      </c>
      <c r="L6" s="0" t="n">
        <f aca="false">K6*(1+L5/100)</f>
        <v>29361.1198548964</v>
      </c>
    </row>
    <row r="7" customFormat="false" ht="15" hidden="false" customHeight="false" outlineLevel="0" collapsed="false">
      <c r="A7" s="0" t="s">
        <v>105</v>
      </c>
      <c r="C7" s="4" t="n">
        <f aca="false">Assumptions!C28</f>
        <v>47.4</v>
      </c>
      <c r="D7" s="4" t="n">
        <f aca="false">Assumptions!D28</f>
        <v>47.2</v>
      </c>
      <c r="E7" s="4" t="n">
        <f aca="false">Assumptions!E28</f>
        <v>47.2</v>
      </c>
      <c r="F7" s="4" t="n">
        <f aca="false">Assumptions!F28</f>
        <v>47.2</v>
      </c>
      <c r="G7" s="4" t="n">
        <f aca="false">Assumptions!G28</f>
        <v>47.2</v>
      </c>
      <c r="H7" s="4" t="n">
        <f aca="false">Assumptions!H28</f>
        <v>47.2</v>
      </c>
      <c r="I7" s="4" t="n">
        <f aca="false">Assumptions!I28</f>
        <v>47.2</v>
      </c>
      <c r="J7" s="4" t="n">
        <f aca="false">Assumptions!J28</f>
        <v>47.2</v>
      </c>
      <c r="K7" s="4" t="n">
        <f aca="false">Assumptions!K28</f>
        <v>47.2</v>
      </c>
      <c r="L7" s="4" t="n">
        <f aca="false">Assumptions!L28</f>
        <v>47.2</v>
      </c>
    </row>
    <row r="8" customFormat="false" ht="15" hidden="false" customHeight="false" outlineLevel="0" collapsed="false">
      <c r="A8" s="0" t="s">
        <v>43</v>
      </c>
      <c r="C8" s="0" t="n">
        <f aca="false">C6*C7/100</f>
        <v>10771.176</v>
      </c>
      <c r="D8" s="0" t="n">
        <f aca="false">D6*D7/100</f>
        <v>11101.12848</v>
      </c>
      <c r="E8" s="0" t="n">
        <f aca="false">E6*E7/100</f>
        <v>11489.6679768</v>
      </c>
      <c r="F8" s="0" t="n">
        <f aca="false">F6*F7/100</f>
        <v>11834.358016104</v>
      </c>
      <c r="G8" s="0" t="n">
        <f aca="false">G6*G7/100</f>
        <v>12189.3887565871</v>
      </c>
      <c r="H8" s="0" t="n">
        <f aca="false">H6*H7/100</f>
        <v>12555.0704192847</v>
      </c>
      <c r="I8" s="0" t="n">
        <f aca="false">I6*I7/100</f>
        <v>12868.9471797668</v>
      </c>
      <c r="J8" s="0" t="n">
        <f aca="false">J6*J7/100</f>
        <v>13190.670859261</v>
      </c>
      <c r="K8" s="0" t="n">
        <f aca="false">K6*K7/100</f>
        <v>13520.4376307425</v>
      </c>
      <c r="L8" s="0" t="n">
        <f aca="false">L6*L7/100</f>
        <v>13858.4485715111</v>
      </c>
    </row>
    <row r="9" customFormat="false" ht="15" hidden="false" customHeight="false" outlineLevel="0" collapsed="false">
      <c r="A9" s="0" t="s">
        <v>106</v>
      </c>
      <c r="C9" s="4" t="n">
        <f aca="false">Assumptions!C29</f>
        <v>0.7</v>
      </c>
      <c r="D9" s="4" t="n">
        <f aca="false">Assumptions!D29</f>
        <v>0.7</v>
      </c>
      <c r="E9" s="4" t="n">
        <f aca="false">Assumptions!E29</f>
        <v>0.7</v>
      </c>
      <c r="F9" s="4" t="n">
        <f aca="false">Assumptions!F29</f>
        <v>0.7</v>
      </c>
      <c r="G9" s="4" t="n">
        <f aca="false">Assumptions!G29</f>
        <v>0.7</v>
      </c>
      <c r="H9" s="4" t="n">
        <f aca="false">Assumptions!H29</f>
        <v>0.7</v>
      </c>
      <c r="I9" s="4" t="n">
        <f aca="false">Assumptions!I29</f>
        <v>0.7</v>
      </c>
      <c r="J9" s="4" t="n">
        <f aca="false">Assumptions!J29</f>
        <v>0.7</v>
      </c>
      <c r="K9" s="4" t="n">
        <f aca="false">Assumptions!K29</f>
        <v>0.7</v>
      </c>
      <c r="L9" s="4" t="n">
        <f aca="false">Assumptions!L29</f>
        <v>0.7</v>
      </c>
    </row>
    <row r="10" customFormat="false" ht="15" hidden="false" customHeight="false" outlineLevel="0" collapsed="false">
      <c r="A10" s="0" t="s">
        <v>121</v>
      </c>
      <c r="C10" s="0" t="n">
        <f aca="false">-C6*C9/100</f>
        <v>-159.068</v>
      </c>
      <c r="D10" s="0" t="n">
        <f aca="false">-D6*D9/100</f>
        <v>-164.63538</v>
      </c>
      <c r="E10" s="0" t="n">
        <f aca="false">-E6*E9/100</f>
        <v>-170.3976183</v>
      </c>
      <c r="F10" s="0" t="n">
        <f aca="false">-F6*F9/100</f>
        <v>-175.509546849</v>
      </c>
      <c r="G10" s="0" t="n">
        <f aca="false">-G6*G9/100</f>
        <v>-180.77483325447</v>
      </c>
      <c r="H10" s="0" t="n">
        <f aca="false">-H6*H9/100</f>
        <v>-186.198078252104</v>
      </c>
      <c r="I10" s="0" t="n">
        <f aca="false">-I6*I9/100</f>
        <v>-190.853030208407</v>
      </c>
      <c r="J10" s="0" t="n">
        <f aca="false">-J6*J9/100</f>
        <v>-195.624355963617</v>
      </c>
      <c r="K10" s="0" t="n">
        <f aca="false">-K6*K9/100</f>
        <v>-200.514964862707</v>
      </c>
      <c r="L10" s="0" t="n">
        <f aca="false">-L6*L9/100</f>
        <v>-205.527838984275</v>
      </c>
    </row>
    <row r="11" customFormat="false" ht="15" hidden="false" customHeight="false" outlineLevel="0" collapsed="false">
      <c r="A11" s="0" t="s">
        <v>122</v>
      </c>
      <c r="C11" s="0" t="n">
        <f aca="false">C8+C10+C24</f>
        <v>10612.108</v>
      </c>
      <c r="D11" s="0" t="n">
        <f aca="false">D8+D10+D24</f>
        <v>10936.4931</v>
      </c>
      <c r="E11" s="0" t="n">
        <f aca="false">E8+E10+E24</f>
        <v>11319.2703585</v>
      </c>
      <c r="F11" s="0" t="n">
        <f aca="false">F8+F10+F24</f>
        <v>11658.848469255</v>
      </c>
      <c r="G11" s="0" t="n">
        <f aca="false">G8+G10+G24</f>
        <v>12008.6139233326</v>
      </c>
      <c r="H11" s="0" t="n">
        <f aca="false">H8+H10+H24</f>
        <v>12368.8723410326</v>
      </c>
      <c r="I11" s="0" t="n">
        <f aca="false">I8+I10+I24</f>
        <v>12678.0941495584</v>
      </c>
      <c r="J11" s="0" t="n">
        <f aca="false">J8+J10+J24</f>
        <v>12995.0465032974</v>
      </c>
      <c r="K11" s="0" t="n">
        <f aca="false">K8+K10+K24</f>
        <v>13319.9226658798</v>
      </c>
      <c r="L11" s="0" t="n">
        <f aca="false">L8+L10+L24</f>
        <v>13652.9207325268</v>
      </c>
    </row>
    <row r="12" customFormat="false" ht="15" hidden="false" customHeight="false" outlineLevel="0" collapsed="false">
      <c r="A12" s="0" t="s">
        <v>123</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124</v>
      </c>
      <c r="C13" s="0" t="n">
        <f aca="false">C11+C12</f>
        <v>10612.108</v>
      </c>
      <c r="D13" s="0" t="n">
        <f aca="false">D11+D12</f>
        <v>10936.4931</v>
      </c>
      <c r="E13" s="0" t="n">
        <f aca="false">E11+E12</f>
        <v>11319.2703585</v>
      </c>
      <c r="F13" s="0" t="n">
        <f aca="false">F11+F12</f>
        <v>11658.848469255</v>
      </c>
      <c r="G13" s="0" t="n">
        <f aca="false">G11+G12</f>
        <v>12008.6139233326</v>
      </c>
      <c r="H13" s="0" t="n">
        <f aca="false">H11+H12</f>
        <v>12368.8723410326</v>
      </c>
      <c r="I13" s="0" t="n">
        <f aca="false">I11+I12</f>
        <v>12678.0941495584</v>
      </c>
      <c r="J13" s="0" t="n">
        <f aca="false">J11+J12</f>
        <v>12995.0465032974</v>
      </c>
      <c r="K13" s="0" t="n">
        <f aca="false">K11+K12</f>
        <v>13319.9226658798</v>
      </c>
      <c r="L13" s="0" t="n">
        <f aca="false">L11+L12</f>
        <v>13652.9207325268</v>
      </c>
    </row>
    <row r="14" customFormat="false" ht="15" hidden="false" customHeight="false" outlineLevel="0" collapsed="false">
      <c r="A14" s="0" t="s">
        <v>110</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125</v>
      </c>
      <c r="C15" s="0" t="n">
        <f aca="false">C13-MAX(0,C13)*C14/100</f>
        <v>7428.4756</v>
      </c>
      <c r="D15" s="0" t="n">
        <f aca="false">D13-MAX(0,D13)*D14/100</f>
        <v>7655.54517</v>
      </c>
      <c r="E15" s="0" t="n">
        <f aca="false">E13-MAX(0,E13)*E14/100</f>
        <v>7923.48925095</v>
      </c>
      <c r="F15" s="0" t="n">
        <f aca="false">F13-MAX(0,F13)*F14/100</f>
        <v>8161.1939284785</v>
      </c>
      <c r="G15" s="0" t="n">
        <f aca="false">G13-MAX(0,G13)*G14/100</f>
        <v>8406.02974633285</v>
      </c>
      <c r="H15" s="0" t="n">
        <f aca="false">H13-MAX(0,H13)*H14/100</f>
        <v>8658.21063872284</v>
      </c>
      <c r="I15" s="0" t="n">
        <f aca="false">I13-MAX(0,I13)*I14/100</f>
        <v>8874.66590469091</v>
      </c>
      <c r="J15" s="0" t="n">
        <f aca="false">J13-MAX(0,J13)*J14/100</f>
        <v>9096.53255230818</v>
      </c>
      <c r="K15" s="0" t="n">
        <f aca="false">K13-MAX(0,K13)*K14/100</f>
        <v>9323.94586611589</v>
      </c>
      <c r="L15" s="0" t="n">
        <f aca="false">L13-MAX(0,L13)*L14/100</f>
        <v>9557.04451276878</v>
      </c>
    </row>
    <row r="16" customFormat="false" ht="15" hidden="false" customHeight="false" outlineLevel="0" collapsed="false">
      <c r="A16" s="0" t="s">
        <v>126</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127</v>
      </c>
      <c r="C17" s="4" t="n">
        <f aca="false">-C6*Assumptions!C32/100</f>
        <v>-2363.296</v>
      </c>
      <c r="D17" s="4" t="n">
        <f aca="false">-D6*Assumptions!D32/100</f>
        <v>-2140.25994</v>
      </c>
      <c r="E17" s="4" t="n">
        <f aca="false">-E6*Assumptions!E32/100</f>
        <v>-2215.1690379</v>
      </c>
      <c r="F17" s="4" t="n">
        <f aca="false">-F6*Assumptions!F32/100</f>
        <v>-1955.677807746</v>
      </c>
      <c r="G17" s="4" t="n">
        <f aca="false">-G6*Assumptions!G32/100</f>
        <v>-2014.34814197838</v>
      </c>
      <c r="H17" s="4" t="n">
        <f aca="false">-H6*Assumptions!H32/100</f>
        <v>-2074.77858623773</v>
      </c>
      <c r="I17" s="4" t="n">
        <f aca="false">-I6*Assumptions!I32/100</f>
        <v>-1772.20670907806</v>
      </c>
      <c r="J17" s="4" t="n">
        <f aca="false">-J6*Assumptions!J32/100</f>
        <v>-1816.51187680501</v>
      </c>
      <c r="K17" s="4" t="n">
        <f aca="false">-K6*Assumptions!K32/100</f>
        <v>-1861.92467372514</v>
      </c>
      <c r="L17" s="4" t="n">
        <f aca="false">-L6*Assumptions!L32/100</f>
        <v>-1908.47279056827</v>
      </c>
    </row>
    <row r="18" customFormat="false" ht="15" hidden="false" customHeight="false" outlineLevel="0" collapsed="false">
      <c r="A18" s="0" t="s">
        <v>128</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129</v>
      </c>
      <c r="C19" s="0" t="n">
        <f aca="false">C15+C16+C17+C18</f>
        <v>5065.1796</v>
      </c>
      <c r="D19" s="0" t="n">
        <f aca="false">D15+D16+D17+D18</f>
        <v>5515.28523</v>
      </c>
      <c r="E19" s="0" t="n">
        <f aca="false">E15+E16+E17+E18</f>
        <v>5708.32021305</v>
      </c>
      <c r="F19" s="0" t="n">
        <f aca="false">F15+F16+F17+F18</f>
        <v>6205.5161207325</v>
      </c>
      <c r="G19" s="0" t="n">
        <f aca="false">G15+G16+G17+G18</f>
        <v>6391.68160435447</v>
      </c>
      <c r="H19" s="0" t="n">
        <f aca="false">H15+H16+H17+H18</f>
        <v>6583.43205248511</v>
      </c>
      <c r="I19" s="0" t="n">
        <f aca="false">I15+I16+I17+I18</f>
        <v>7102.45919561285</v>
      </c>
      <c r="J19" s="0" t="n">
        <f aca="false">J15+J16+J17+J18</f>
        <v>7280.02067550317</v>
      </c>
      <c r="K19" s="0" t="n">
        <f aca="false">K15+K16+K17+K18</f>
        <v>7462.02119239075</v>
      </c>
      <c r="L19" s="0" t="n">
        <f aca="false">L15+L16+L17+L18</f>
        <v>7648.57172220052</v>
      </c>
    </row>
    <row r="20" customFormat="false" ht="15" hidden="false" customHeight="false" outlineLevel="0" collapsed="false">
      <c r="A20" s="0" t="s">
        <v>130</v>
      </c>
      <c r="C20" s="0" t="n">
        <f aca="false">1/(1+$B$27/100)^C4</f>
        <v>0.911577028258888</v>
      </c>
      <c r="D20" s="0" t="n">
        <f aca="false">1/(1+$B$27/100)^D4</f>
        <v>0.830972678449305</v>
      </c>
      <c r="E20" s="0" t="n">
        <f aca="false">1/(1+$B$27/100)^E4</f>
        <v>0.757495604785146</v>
      </c>
      <c r="F20" s="0" t="n">
        <f aca="false">1/(1+$B$27/100)^F4</f>
        <v>0.690515592329213</v>
      </c>
      <c r="G20" s="0" t="n">
        <f aca="false">1/(1+$B$27/100)^G4</f>
        <v>0.629458151621889</v>
      </c>
      <c r="H20" s="0" t="n">
        <f aca="false">1/(1+$B$27/100)^H4</f>
        <v>0.573799591268814</v>
      </c>
      <c r="I20" s="0" t="n">
        <f aca="false">1/(1+$B$27/100)^I4</f>
        <v>0.52306252622499</v>
      </c>
      <c r="J20" s="0" t="n">
        <f aca="false">1/(1+$B$27/100)^J4</f>
        <v>0.476811783249763</v>
      </c>
      <c r="K20" s="0" t="n">
        <f aca="false">1/(1+$B$27/100)^K4</f>
        <v>0.43465066841364</v>
      </c>
      <c r="L20" s="0" t="n">
        <f aca="false">1/(1+$B$27/100)^L4</f>
        <v>0.396217564643245</v>
      </c>
    </row>
    <row r="21" customFormat="false" ht="15" hidden="false" customHeight="false" outlineLevel="0" collapsed="false">
      <c r="A21" s="0" t="s">
        <v>131</v>
      </c>
      <c r="C21" s="0" t="n">
        <f aca="false">C19*C20</f>
        <v>4617.30136736554</v>
      </c>
      <c r="D21" s="0" t="n">
        <f aca="false">D19*D20</f>
        <v>4583.05133998499</v>
      </c>
      <c r="E21" s="0" t="n">
        <f aca="false">E19*E20</f>
        <v>4324.02747209158</v>
      </c>
      <c r="F21" s="0" t="n">
        <f aca="false">F19*F20</f>
        <v>4285.00563981608</v>
      </c>
      <c r="G21" s="0" t="n">
        <f aca="false">G19*G20</f>
        <v>4023.2960884326</v>
      </c>
      <c r="H21" s="0" t="n">
        <f aca="false">H19*H20</f>
        <v>3777.57062086197</v>
      </c>
      <c r="I21" s="0" t="n">
        <f aca="false">I19*I20</f>
        <v>3715.03024926717</v>
      </c>
      <c r="J21" s="0" t="n">
        <f aca="false">J19*J20</f>
        <v>3471.19964038181</v>
      </c>
      <c r="K21" s="0" t="n">
        <f aca="false">K19*K20</f>
        <v>3243.37249898939</v>
      </c>
      <c r="L21" s="0" t="n">
        <f aca="false">L19*L20</f>
        <v>3030.49846076948</v>
      </c>
    </row>
    <row r="23" customFormat="false" ht="15" hidden="false" customHeight="false" outlineLevel="0" collapsed="false">
      <c r="A23" s="0" t="s">
        <v>107</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Assumptions!$B$34</f>
        <v>9.7</v>
      </c>
    </row>
    <row r="28" customFormat="false" ht="15" hidden="false" customHeight="false" outlineLevel="0" collapsed="false">
      <c r="A28" s="0" t="s">
        <v>112</v>
      </c>
      <c r="B28" s="4" t="n">
        <f aca="false">Assumptions!$B$35</f>
        <v>2.5</v>
      </c>
    </row>
    <row r="29" customFormat="false" ht="15" hidden="false" customHeight="false" outlineLevel="0" collapsed="false">
      <c r="A29" s="0" t="s">
        <v>113</v>
      </c>
      <c r="B29" s="4" t="n">
        <f aca="false">Assumptions!$B$36</f>
        <v>15</v>
      </c>
    </row>
    <row r="30" customFormat="false" ht="15" hidden="false" customHeight="false" outlineLevel="0" collapsed="false">
      <c r="A30" s="0" t="s">
        <v>134</v>
      </c>
      <c r="B30" s="0" t="n">
        <f aca="false">SUM(C21:L21)</f>
        <v>39070.3533779606</v>
      </c>
    </row>
    <row r="31" customFormat="false" ht="15" hidden="false" customHeight="false" outlineLevel="0" collapsed="false">
      <c r="A31" s="0" t="s">
        <v>135</v>
      </c>
      <c r="B31" s="0" t="n">
        <f aca="false">L19</f>
        <v>7648.57172220052</v>
      </c>
    </row>
    <row r="32" customFormat="false" ht="15" hidden="false" customHeight="false" outlineLevel="0" collapsed="false">
      <c r="A32" s="0" t="s">
        <v>136</v>
      </c>
      <c r="B32" s="0" t="n">
        <f aca="false">IF(B27&gt;B28,B31*(1+B28/100)/((B27-B28)/100),B31*B29)</f>
        <v>108885.916878549</v>
      </c>
    </row>
    <row r="33" customFormat="false" ht="15" hidden="false" customHeight="false" outlineLevel="0" collapsed="false">
      <c r="A33" s="0" t="s">
        <v>137</v>
      </c>
      <c r="B33" s="0" t="n">
        <f aca="false">B31*B29</f>
        <v>114728.575833008</v>
      </c>
    </row>
    <row r="34" customFormat="false" ht="15" hidden="false" customHeight="false" outlineLevel="0" collapsed="false">
      <c r="A34" s="0" t="s">
        <v>138</v>
      </c>
      <c r="B34" s="0" t="n">
        <f aca="false">MAX(0,MIN(B32,B33))</f>
        <v>108885.916878549</v>
      </c>
    </row>
    <row r="35" customFormat="false" ht="15" hidden="false" customHeight="false" outlineLevel="0" collapsed="false">
      <c r="A35" s="0" t="s">
        <v>139</v>
      </c>
      <c r="B35" s="0" t="n">
        <f aca="false">B34/(1+B27/100)^L4</f>
        <v>43142.5128095655</v>
      </c>
    </row>
    <row r="36" customFormat="false" ht="15" hidden="false" customHeight="false" outlineLevel="0" collapsed="false">
      <c r="A36" s="0" t="s">
        <v>140</v>
      </c>
      <c r="B36" s="0" t="n">
        <f aca="false">B30+B35</f>
        <v>82212.8661875262</v>
      </c>
    </row>
    <row r="37" customFormat="false" ht="15" hidden="false" customHeight="false" outlineLevel="0" collapsed="false">
      <c r="A37" s="0" t="s">
        <v>141</v>
      </c>
      <c r="B37" s="0" t="n">
        <f aca="false">B36+Assumptions!$B$5-Assumptions!$B$4</f>
        <v>82212.8661875262</v>
      </c>
    </row>
    <row r="38" customFormat="false" ht="15" hidden="false" customHeight="false" outlineLevel="0" collapsed="false">
      <c r="A38" s="0" t="s">
        <v>142</v>
      </c>
      <c r="B38" s="0" t="n">
        <f aca="false">B37/Assumptions!$B$3*Assumptions!$B$10</f>
        <v>26.4095297743418</v>
      </c>
    </row>
    <row r="39" customFormat="false" ht="15" hidden="false" customHeight="false" outlineLevel="0" collapsed="false">
      <c r="A39" s="0" t="s">
        <v>143</v>
      </c>
      <c r="B39" s="4" t="n">
        <f aca="false">B38/Assumptions!$B$2-1</f>
        <v>-0.307744960043464</v>
      </c>
    </row>
    <row r="41" customFormat="false" ht="15" hidden="false" customHeight="false" outlineLevel="0" collapsed="false">
      <c r="A41" s="0" t="s">
        <v>144</v>
      </c>
      <c r="B41" s="0" t="n">
        <f aca="false">SUMPRODUCT(-C10:L10/(1+$B$27/100)^C4:L4)</f>
        <v>1114.40010610924</v>
      </c>
    </row>
    <row r="42" customFormat="false" ht="15" hidden="false" customHeight="false" outlineLevel="0" collapsed="false">
      <c r="A42" s="0" t="s">
        <v>145</v>
      </c>
      <c r="B42" s="0" t="n">
        <f aca="false">IF(B27&gt;B28,-L10*(1+B28/100)/((B27-B28)/100),-L10*20)/(1+B27/100)^L4</f>
        <v>1159.29976839524</v>
      </c>
    </row>
    <row r="43" customFormat="false" ht="15" hidden="false" customHeight="false" outlineLevel="0" collapsed="false">
      <c r="A43" s="0" t="s">
        <v>146</v>
      </c>
      <c r="B43" s="0" t="n">
        <f aca="false">(B37+B41+B42)/Assumptions!$B$3*Assumptions!$B$10</f>
        <v>27.139918426608</v>
      </c>
    </row>
    <row r="45" customFormat="false" ht="15" hidden="false" customHeight="false" outlineLevel="0" collapsed="false">
      <c r="A45" s="0" t="s">
        <v>86</v>
      </c>
      <c r="B45" s="4" t="n">
        <f aca="false">Assumptions!$B$6</f>
        <v>15</v>
      </c>
    </row>
    <row r="46" customFormat="false" ht="15" hidden="false" customHeight="false" outlineLevel="0" collapsed="false">
      <c r="A46" s="0" t="s">
        <v>147</v>
      </c>
      <c r="B46" s="0" t="n">
        <f aca="false">MAX(0,MIN(IF(B45&gt;B28,B31*(1+B28/100)/((B45-B28)/100),B31*B29),B31*B29))</f>
        <v>62718.2881220442</v>
      </c>
    </row>
    <row r="47" customFormat="false" ht="15" hidden="false" customHeight="false" outlineLevel="0" collapsed="false">
      <c r="A47" s="0" t="s">
        <v>148</v>
      </c>
      <c r="B47" s="0" t="n">
        <f aca="false">(SUMPRODUCT(C19:L19/(1+B45/100)^C4:L4)+B46/(1+B45/100)^L4+Assumptions!$B$5-Assumptions!$B$4)/Assumptions!$B$3*Assumptions!$B$10</f>
        <v>14.9260831354384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119</v>
      </c>
      <c r="B3" s="0" t="s">
        <v>89</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Assumptions!C41</f>
        <v>6</v>
      </c>
      <c r="D5" s="4" t="n">
        <f aca="false">Assumptions!D41</f>
        <v>5.5</v>
      </c>
      <c r="E5" s="4" t="n">
        <f aca="false">Assumptions!E41</f>
        <v>5</v>
      </c>
      <c r="F5" s="4" t="n">
        <f aca="false">Assumptions!F41</f>
        <v>4.5</v>
      </c>
      <c r="G5" s="4" t="n">
        <f aca="false">Assumptions!G41</f>
        <v>4</v>
      </c>
      <c r="H5" s="4" t="n">
        <f aca="false">Assumptions!H41</f>
        <v>3.5</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21850</v>
      </c>
      <c r="C6" s="0" t="n">
        <f aca="false">B6*(1+C5/100)</f>
        <v>23161</v>
      </c>
      <c r="D6" s="0" t="n">
        <f aca="false">C6*(1+D5/100)</f>
        <v>24434.855</v>
      </c>
      <c r="E6" s="0" t="n">
        <f aca="false">D6*(1+E5/100)</f>
        <v>25656.59775</v>
      </c>
      <c r="F6" s="0" t="n">
        <f aca="false">E6*(1+F5/100)</f>
        <v>26811.14464875</v>
      </c>
      <c r="G6" s="0" t="n">
        <f aca="false">F6*(1+G5/100)</f>
        <v>27883.5904347</v>
      </c>
      <c r="H6" s="0" t="n">
        <f aca="false">G6*(1+H5/100)</f>
        <v>28859.5160999145</v>
      </c>
      <c r="I6" s="0" t="n">
        <f aca="false">H6*(1+I5/100)</f>
        <v>29869.5991634115</v>
      </c>
      <c r="J6" s="0" t="n">
        <f aca="false">I6*(1+J5/100)</f>
        <v>30765.6871383138</v>
      </c>
      <c r="K6" s="0" t="n">
        <f aca="false">J6*(1+K5/100)</f>
        <v>31688.6577524633</v>
      </c>
      <c r="L6" s="0" t="n">
        <f aca="false">K6*(1+L5/100)</f>
        <v>32639.3174850372</v>
      </c>
    </row>
    <row r="7" customFormat="false" ht="15" hidden="false" customHeight="false" outlineLevel="0" collapsed="false">
      <c r="A7" s="0" t="s">
        <v>105</v>
      </c>
      <c r="C7" s="4" t="n">
        <f aca="false">Assumptions!C42</f>
        <v>48.5</v>
      </c>
      <c r="D7" s="4" t="n">
        <f aca="false">Assumptions!D42</f>
        <v>49</v>
      </c>
      <c r="E7" s="4" t="n">
        <f aca="false">Assumptions!E42</f>
        <v>49.5</v>
      </c>
      <c r="F7" s="4" t="n">
        <f aca="false">Assumptions!F42</f>
        <v>50</v>
      </c>
      <c r="G7" s="4" t="n">
        <f aca="false">Assumptions!G42</f>
        <v>50</v>
      </c>
      <c r="H7" s="4" t="n">
        <f aca="false">Assumptions!H42</f>
        <v>50</v>
      </c>
      <c r="I7" s="4" t="n">
        <f aca="false">Assumptions!I42</f>
        <v>50</v>
      </c>
      <c r="J7" s="4" t="n">
        <f aca="false">Assumptions!J42</f>
        <v>50</v>
      </c>
      <c r="K7" s="4" t="n">
        <f aca="false">Assumptions!K42</f>
        <v>50</v>
      </c>
      <c r="L7" s="4" t="n">
        <f aca="false">Assumptions!L42</f>
        <v>50</v>
      </c>
    </row>
    <row r="8" customFormat="false" ht="15" hidden="false" customHeight="false" outlineLevel="0" collapsed="false">
      <c r="A8" s="0" t="s">
        <v>43</v>
      </c>
      <c r="C8" s="0" t="n">
        <f aca="false">C6*C7/100</f>
        <v>11233.085</v>
      </c>
      <c r="D8" s="0" t="n">
        <f aca="false">D6*D7/100</f>
        <v>11973.07895</v>
      </c>
      <c r="E8" s="0" t="n">
        <f aca="false">E6*E7/100</f>
        <v>12700.01588625</v>
      </c>
      <c r="F8" s="0" t="n">
        <f aca="false">F6*F7/100</f>
        <v>13405.572324375</v>
      </c>
      <c r="G8" s="0" t="n">
        <f aca="false">G6*G7/100</f>
        <v>13941.79521735</v>
      </c>
      <c r="H8" s="0" t="n">
        <f aca="false">H6*H7/100</f>
        <v>14429.7580499572</v>
      </c>
      <c r="I8" s="0" t="n">
        <f aca="false">I6*I7/100</f>
        <v>14934.7995817058</v>
      </c>
      <c r="J8" s="0" t="n">
        <f aca="false">J6*J7/100</f>
        <v>15382.8435691569</v>
      </c>
      <c r="K8" s="0" t="n">
        <f aca="false">K6*K7/100</f>
        <v>15844.3288762316</v>
      </c>
      <c r="L8" s="0" t="n">
        <f aca="false">L6*L7/100</f>
        <v>16319.6587425186</v>
      </c>
    </row>
    <row r="9" customFormat="false" ht="15" hidden="false" customHeight="false" outlineLevel="0" collapsed="false">
      <c r="A9" s="0" t="s">
        <v>106</v>
      </c>
      <c r="C9" s="4" t="n">
        <f aca="false">Assumptions!C43</f>
        <v>0.7</v>
      </c>
      <c r="D9" s="4" t="n">
        <f aca="false">Assumptions!D43</f>
        <v>0.7</v>
      </c>
      <c r="E9" s="4" t="n">
        <f aca="false">Assumptions!E43</f>
        <v>0.7</v>
      </c>
      <c r="F9" s="4" t="n">
        <f aca="false">Assumptions!F43</f>
        <v>0.7</v>
      </c>
      <c r="G9" s="4" t="n">
        <f aca="false">Assumptions!G43</f>
        <v>0.7</v>
      </c>
      <c r="H9" s="4" t="n">
        <f aca="false">Assumptions!H43</f>
        <v>0.7</v>
      </c>
      <c r="I9" s="4" t="n">
        <f aca="false">Assumptions!I43</f>
        <v>0.7</v>
      </c>
      <c r="J9" s="4" t="n">
        <f aca="false">Assumptions!J43</f>
        <v>0.7</v>
      </c>
      <c r="K9" s="4" t="n">
        <f aca="false">Assumptions!K43</f>
        <v>0.7</v>
      </c>
      <c r="L9" s="4" t="n">
        <f aca="false">Assumptions!L43</f>
        <v>0.7</v>
      </c>
    </row>
    <row r="10" customFormat="false" ht="15" hidden="false" customHeight="false" outlineLevel="0" collapsed="false">
      <c r="A10" s="0" t="s">
        <v>121</v>
      </c>
      <c r="C10" s="0" t="n">
        <f aca="false">-C6*C9/100</f>
        <v>-162.127</v>
      </c>
      <c r="D10" s="0" t="n">
        <f aca="false">-D6*D9/100</f>
        <v>-171.043985</v>
      </c>
      <c r="E10" s="0" t="n">
        <f aca="false">-E6*E9/100</f>
        <v>-179.59618425</v>
      </c>
      <c r="F10" s="0" t="n">
        <f aca="false">-F6*F9/100</f>
        <v>-187.67801254125</v>
      </c>
      <c r="G10" s="0" t="n">
        <f aca="false">-G6*G9/100</f>
        <v>-195.1851330429</v>
      </c>
      <c r="H10" s="0" t="n">
        <f aca="false">-H6*H9/100</f>
        <v>-202.016612699402</v>
      </c>
      <c r="I10" s="0" t="n">
        <f aca="false">-I6*I9/100</f>
        <v>-209.087194143881</v>
      </c>
      <c r="J10" s="0" t="n">
        <f aca="false">-J6*J9/100</f>
        <v>-215.359809968197</v>
      </c>
      <c r="K10" s="0" t="n">
        <f aca="false">-K6*K9/100</f>
        <v>-221.820604267243</v>
      </c>
      <c r="L10" s="0" t="n">
        <f aca="false">-L6*L9/100</f>
        <v>-228.47522239526</v>
      </c>
    </row>
    <row r="11" customFormat="false" ht="15" hidden="false" customHeight="false" outlineLevel="0" collapsed="false">
      <c r="A11" s="0" t="s">
        <v>122</v>
      </c>
      <c r="C11" s="0" t="n">
        <f aca="false">C8+C10+C24</f>
        <v>11070.958</v>
      </c>
      <c r="D11" s="0" t="n">
        <f aca="false">D8+D10+D24</f>
        <v>11802.034965</v>
      </c>
      <c r="E11" s="0" t="n">
        <f aca="false">E8+E10+E24</f>
        <v>12520.419702</v>
      </c>
      <c r="F11" s="0" t="n">
        <f aca="false">F8+F10+F24</f>
        <v>13217.8943118338</v>
      </c>
      <c r="G11" s="0" t="n">
        <f aca="false">G8+G10+G24</f>
        <v>13746.6100843071</v>
      </c>
      <c r="H11" s="0" t="n">
        <f aca="false">H8+H10+H24</f>
        <v>14227.7414372578</v>
      </c>
      <c r="I11" s="0" t="n">
        <f aca="false">I8+I10+I24</f>
        <v>14725.7123875619</v>
      </c>
      <c r="J11" s="0" t="n">
        <f aca="false">J8+J10+J24</f>
        <v>15167.4837591887</v>
      </c>
      <c r="K11" s="0" t="n">
        <f aca="false">K8+K10+K24</f>
        <v>15622.5082719644</v>
      </c>
      <c r="L11" s="0" t="n">
        <f aca="false">L8+L10+L24</f>
        <v>16091.1835201233</v>
      </c>
    </row>
    <row r="12" customFormat="false" ht="15" hidden="false" customHeight="false" outlineLevel="0" collapsed="false">
      <c r="A12" s="0" t="s">
        <v>123</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124</v>
      </c>
      <c r="C13" s="0" t="n">
        <f aca="false">C11+C12</f>
        <v>11070.958</v>
      </c>
      <c r="D13" s="0" t="n">
        <f aca="false">D11+D12</f>
        <v>11802.034965</v>
      </c>
      <c r="E13" s="0" t="n">
        <f aca="false">E11+E12</f>
        <v>12520.419702</v>
      </c>
      <c r="F13" s="0" t="n">
        <f aca="false">F11+F12</f>
        <v>13217.8943118338</v>
      </c>
      <c r="G13" s="0" t="n">
        <f aca="false">G11+G12</f>
        <v>13746.6100843071</v>
      </c>
      <c r="H13" s="0" t="n">
        <f aca="false">H11+H12</f>
        <v>14227.7414372578</v>
      </c>
      <c r="I13" s="0" t="n">
        <f aca="false">I11+I12</f>
        <v>14725.7123875619</v>
      </c>
      <c r="J13" s="0" t="n">
        <f aca="false">J11+J12</f>
        <v>15167.4837591887</v>
      </c>
      <c r="K13" s="0" t="n">
        <f aca="false">K11+K12</f>
        <v>15622.5082719644</v>
      </c>
      <c r="L13" s="0" t="n">
        <f aca="false">L11+L12</f>
        <v>16091.1835201233</v>
      </c>
    </row>
    <row r="14" customFormat="false" ht="15" hidden="false" customHeight="false" outlineLevel="0" collapsed="false">
      <c r="A14" s="0" t="s">
        <v>110</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125</v>
      </c>
      <c r="C15" s="0" t="n">
        <f aca="false">C13-MAX(0,C13)*C14/100</f>
        <v>7749.6706</v>
      </c>
      <c r="D15" s="0" t="n">
        <f aca="false">D13-MAX(0,D13)*D14/100</f>
        <v>8261.4244755</v>
      </c>
      <c r="E15" s="0" t="n">
        <f aca="false">E13-MAX(0,E13)*E14/100</f>
        <v>8764.2937914</v>
      </c>
      <c r="F15" s="0" t="n">
        <f aca="false">F13-MAX(0,F13)*F14/100</f>
        <v>9252.52601828363</v>
      </c>
      <c r="G15" s="0" t="n">
        <f aca="false">G13-MAX(0,G13)*G14/100</f>
        <v>9622.62705901497</v>
      </c>
      <c r="H15" s="0" t="n">
        <f aca="false">H13-MAX(0,H13)*H14/100</f>
        <v>9959.41900608049</v>
      </c>
      <c r="I15" s="0" t="n">
        <f aca="false">I13-MAX(0,I13)*I14/100</f>
        <v>10307.9986712933</v>
      </c>
      <c r="J15" s="0" t="n">
        <f aca="false">J13-MAX(0,J13)*J14/100</f>
        <v>10617.2386314321</v>
      </c>
      <c r="K15" s="0" t="n">
        <f aca="false">K13-MAX(0,K13)*K14/100</f>
        <v>10935.7557903751</v>
      </c>
      <c r="L15" s="0" t="n">
        <f aca="false">L13-MAX(0,L13)*L14/100</f>
        <v>11263.8284640863</v>
      </c>
    </row>
    <row r="16" customFormat="false" ht="15" hidden="false" customHeight="false" outlineLevel="0" collapsed="false">
      <c r="A16" s="0" t="s">
        <v>126</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127</v>
      </c>
      <c r="C17" s="4" t="n">
        <f aca="false">-C6*Assumptions!C46/100</f>
        <v>-3427.828</v>
      </c>
      <c r="D17" s="4" t="n">
        <f aca="false">-D6*Assumptions!D46/100</f>
        <v>-3298.705425</v>
      </c>
      <c r="E17" s="4" t="n">
        <f aca="false">-E6*Assumptions!E46/100</f>
        <v>-3155.76152325</v>
      </c>
      <c r="F17" s="4" t="n">
        <f aca="false">-F6*Assumptions!F46/100</f>
        <v>-2976.03705601125</v>
      </c>
      <c r="G17" s="4" t="n">
        <f aca="false">-G6*Assumptions!G46/100</f>
        <v>-2732.5918626006</v>
      </c>
      <c r="H17" s="4" t="n">
        <f aca="false">-H6*Assumptions!H46/100</f>
        <v>-2481.91838459265</v>
      </c>
      <c r="I17" s="4" t="n">
        <f aca="false">-I6*Assumptions!I46/100</f>
        <v>-2568.78552805339</v>
      </c>
      <c r="J17" s="4" t="n">
        <f aca="false">-J6*Assumptions!J46/100</f>
        <v>-2276.66084823523</v>
      </c>
      <c r="K17" s="4" t="n">
        <f aca="false">-K6*Assumptions!K46/100</f>
        <v>-2344.96067368228</v>
      </c>
      <c r="L17" s="4" t="n">
        <f aca="false">-L6*Assumptions!L46/100</f>
        <v>-2415.30949389275</v>
      </c>
    </row>
    <row r="18" customFormat="false" ht="15" hidden="false" customHeight="false" outlineLevel="0" collapsed="false">
      <c r="A18" s="0" t="s">
        <v>128</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129</v>
      </c>
      <c r="C19" s="0" t="n">
        <f aca="false">C15+C16+C17+C18</f>
        <v>4321.8426</v>
      </c>
      <c r="D19" s="0" t="n">
        <f aca="false">D15+D16+D17+D18</f>
        <v>4962.7190505</v>
      </c>
      <c r="E19" s="0" t="n">
        <f aca="false">E15+E16+E17+E18</f>
        <v>5608.53226815</v>
      </c>
      <c r="F19" s="0" t="n">
        <f aca="false">F15+F16+F17+F18</f>
        <v>6276.48896227238</v>
      </c>
      <c r="G19" s="0" t="n">
        <f aca="false">G15+G16+G17+G18</f>
        <v>6890.03519641437</v>
      </c>
      <c r="H19" s="0" t="n">
        <f aca="false">H15+H16+H17+H18</f>
        <v>7477.50062148785</v>
      </c>
      <c r="I19" s="0" t="n">
        <f aca="false">I15+I16+I17+I18</f>
        <v>7739.21314323992</v>
      </c>
      <c r="J19" s="0" t="n">
        <f aca="false">J15+J16+J17+J18</f>
        <v>8340.57778319688</v>
      </c>
      <c r="K19" s="0" t="n">
        <f aca="false">K15+K16+K17+K18</f>
        <v>8590.79511669279</v>
      </c>
      <c r="L19" s="0" t="n">
        <f aca="false">L15+L16+L17+L18</f>
        <v>8848.51897019357</v>
      </c>
    </row>
    <row r="20" customFormat="false" ht="15" hidden="false" customHeight="false" outlineLevel="0" collapsed="false">
      <c r="A20" s="0" t="s">
        <v>130</v>
      </c>
      <c r="C20" s="0" t="n">
        <f aca="false">1/(1+$B$27/100)^C4</f>
        <v>0.911577028258888</v>
      </c>
      <c r="D20" s="0" t="n">
        <f aca="false">1/(1+$B$27/100)^D4</f>
        <v>0.830972678449305</v>
      </c>
      <c r="E20" s="0" t="n">
        <f aca="false">1/(1+$B$27/100)^E4</f>
        <v>0.757495604785146</v>
      </c>
      <c r="F20" s="0" t="n">
        <f aca="false">1/(1+$B$27/100)^F4</f>
        <v>0.690515592329213</v>
      </c>
      <c r="G20" s="0" t="n">
        <f aca="false">1/(1+$B$27/100)^G4</f>
        <v>0.629458151621889</v>
      </c>
      <c r="H20" s="0" t="n">
        <f aca="false">1/(1+$B$27/100)^H4</f>
        <v>0.573799591268814</v>
      </c>
      <c r="I20" s="0" t="n">
        <f aca="false">1/(1+$B$27/100)^I4</f>
        <v>0.52306252622499</v>
      </c>
      <c r="J20" s="0" t="n">
        <f aca="false">1/(1+$B$27/100)^J4</f>
        <v>0.476811783249763</v>
      </c>
      <c r="K20" s="0" t="n">
        <f aca="false">1/(1+$B$27/100)^K4</f>
        <v>0.43465066841364</v>
      </c>
      <c r="L20" s="0" t="n">
        <f aca="false">1/(1+$B$27/100)^L4</f>
        <v>0.396217564643245</v>
      </c>
    </row>
    <row r="21" customFormat="false" ht="15" hidden="false" customHeight="false" outlineLevel="0" collapsed="false">
      <c r="A21" s="0" t="s">
        <v>131</v>
      </c>
      <c r="C21" s="0" t="n">
        <f aca="false">C19*C20</f>
        <v>3939.69243391067</v>
      </c>
      <c r="D21" s="0" t="n">
        <f aca="false">D19*D20</f>
        <v>4123.88394178538</v>
      </c>
      <c r="E21" s="0" t="n">
        <f aca="false">E19*E20</f>
        <v>4248.43854241929</v>
      </c>
      <c r="F21" s="0" t="n">
        <f aca="false">F19*F20</f>
        <v>4334.01349353127</v>
      </c>
      <c r="G21" s="0" t="n">
        <f aca="false">G19*G20</f>
        <v>4336.98881934475</v>
      </c>
      <c r="H21" s="0" t="n">
        <f aca="false">H19*H20</f>
        <v>4290.58680032203</v>
      </c>
      <c r="I21" s="0" t="n">
        <f aca="false">I19*I20</f>
        <v>4048.09237769672</v>
      </c>
      <c r="J21" s="0" t="n">
        <f aca="false">J19*J20</f>
        <v>3976.88576613946</v>
      </c>
      <c r="K21" s="0" t="n">
        <f aca="false">K19*K20</f>
        <v>3733.99483967516</v>
      </c>
      <c r="L21" s="0" t="n">
        <f aca="false">L19*L20</f>
        <v>3505.93863706966</v>
      </c>
    </row>
    <row r="23" customFormat="false" ht="15" hidden="false" customHeight="false" outlineLevel="0" collapsed="false">
      <c r="A23" s="0" t="s">
        <v>107</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Assumptions!$B$48</f>
        <v>9.7</v>
      </c>
    </row>
    <row r="28" customFormat="false" ht="15" hidden="false" customHeight="false" outlineLevel="0" collapsed="false">
      <c r="A28" s="0" t="s">
        <v>112</v>
      </c>
      <c r="B28" s="4" t="n">
        <f aca="false">Assumptions!$B$49</f>
        <v>3</v>
      </c>
    </row>
    <row r="29" customFormat="false" ht="15" hidden="false" customHeight="false" outlineLevel="0" collapsed="false">
      <c r="A29" s="0" t="s">
        <v>113</v>
      </c>
      <c r="B29" s="4" t="n">
        <f aca="false">Assumptions!$B$50</f>
        <v>15</v>
      </c>
    </row>
    <row r="30" customFormat="false" ht="15" hidden="false" customHeight="false" outlineLevel="0" collapsed="false">
      <c r="A30" s="0" t="s">
        <v>134</v>
      </c>
      <c r="B30" s="0" t="n">
        <f aca="false">SUM(C21:L21)</f>
        <v>40538.5156518944</v>
      </c>
    </row>
    <row r="31" customFormat="false" ht="15" hidden="false" customHeight="false" outlineLevel="0" collapsed="false">
      <c r="A31" s="0" t="s">
        <v>135</v>
      </c>
      <c r="B31" s="0" t="n">
        <f aca="false">L19</f>
        <v>8848.51897019357</v>
      </c>
    </row>
    <row r="32" customFormat="false" ht="15" hidden="false" customHeight="false" outlineLevel="0" collapsed="false">
      <c r="A32" s="0" t="s">
        <v>136</v>
      </c>
      <c r="B32" s="0" t="n">
        <f aca="false">IF(B27&gt;B28,B31*(1+B28/100)/((B27-B28)/100),B31*B29)</f>
        <v>136029.470735812</v>
      </c>
    </row>
    <row r="33" customFormat="false" ht="15" hidden="false" customHeight="false" outlineLevel="0" collapsed="false">
      <c r="A33" s="0" t="s">
        <v>137</v>
      </c>
      <c r="B33" s="0" t="n">
        <f aca="false">B31*B29</f>
        <v>132727.784552904</v>
      </c>
    </row>
    <row r="34" customFormat="false" ht="15" hidden="false" customHeight="false" outlineLevel="0" collapsed="false">
      <c r="A34" s="0" t="s">
        <v>138</v>
      </c>
      <c r="B34" s="0" t="n">
        <f aca="false">MAX(0,MIN(B32,B33))</f>
        <v>132727.784552904</v>
      </c>
    </row>
    <row r="35" customFormat="false" ht="15" hidden="false" customHeight="false" outlineLevel="0" collapsed="false">
      <c r="A35" s="0" t="s">
        <v>139</v>
      </c>
      <c r="B35" s="0" t="n">
        <f aca="false">B34/(1+B27/100)^L4</f>
        <v>52589.0795560448</v>
      </c>
    </row>
    <row r="36" customFormat="false" ht="15" hidden="false" customHeight="false" outlineLevel="0" collapsed="false">
      <c r="A36" s="0" t="s">
        <v>140</v>
      </c>
      <c r="B36" s="0" t="n">
        <f aca="false">B30+B35</f>
        <v>93127.5952079392</v>
      </c>
    </row>
    <row r="37" customFormat="false" ht="15" hidden="false" customHeight="false" outlineLevel="0" collapsed="false">
      <c r="A37" s="0" t="s">
        <v>141</v>
      </c>
      <c r="B37" s="0" t="n">
        <f aca="false">B36+Assumptions!$B$5-Assumptions!$B$4</f>
        <v>93127.5952079392</v>
      </c>
    </row>
    <row r="38" customFormat="false" ht="15" hidden="false" customHeight="false" outlineLevel="0" collapsed="false">
      <c r="A38" s="0" t="s">
        <v>142</v>
      </c>
      <c r="B38" s="0" t="n">
        <f aca="false">B37/Assumptions!$B$3*Assumptions!$B$10</f>
        <v>29.915706780578</v>
      </c>
    </row>
    <row r="39" customFormat="false" ht="15" hidden="false" customHeight="false" outlineLevel="0" collapsed="false">
      <c r="A39" s="0" t="s">
        <v>143</v>
      </c>
      <c r="B39" s="4" t="n">
        <f aca="false">B38/Assumptions!$B$2-1</f>
        <v>-0.215839927114601</v>
      </c>
    </row>
    <row r="41" customFormat="false" ht="15" hidden="false" customHeight="false" outlineLevel="0" collapsed="false">
      <c r="A41" s="0" t="s">
        <v>144</v>
      </c>
      <c r="B41" s="0" t="n">
        <f aca="false">SUMPRODUCT(-C10:L10/(1+$B$27/100)^C4:L4)</f>
        <v>1193.33210538986</v>
      </c>
    </row>
    <row r="42" customFormat="false" ht="15" hidden="false" customHeight="false" outlineLevel="0" collapsed="false">
      <c r="A42" s="0" t="s">
        <v>145</v>
      </c>
      <c r="B42" s="0" t="n">
        <f aca="false">IF(B27&gt;B28,-L10*(1+B28/100)/((B27-B28)/100),-L10*20)/(1+B27/100)^L4</f>
        <v>1391.66676245876</v>
      </c>
    </row>
    <row r="43" customFormat="false" ht="15" hidden="false" customHeight="false" outlineLevel="0" collapsed="false">
      <c r="A43" s="0" t="s">
        <v>146</v>
      </c>
      <c r="B43" s="0" t="n">
        <f aca="false">(B37+B41+B42)/Assumptions!$B$3*Assumptions!$B$10</f>
        <v>30.7460951094725</v>
      </c>
    </row>
    <row r="45" customFormat="false" ht="15" hidden="false" customHeight="false" outlineLevel="0" collapsed="false">
      <c r="A45" s="0" t="s">
        <v>86</v>
      </c>
      <c r="B45" s="4" t="n">
        <f aca="false">Assumptions!$B$6</f>
        <v>15</v>
      </c>
    </row>
    <row r="46" customFormat="false" ht="15" hidden="false" customHeight="false" outlineLevel="0" collapsed="false">
      <c r="A46" s="0" t="s">
        <v>147</v>
      </c>
      <c r="B46" s="0" t="n">
        <f aca="false">MAX(0,MIN(IF(B45&gt;B28,B31*(1+B28/100)/((B45-B28)/100),B31*B29),B31*B29))</f>
        <v>75949.7878274949</v>
      </c>
    </row>
    <row r="47" customFormat="false" ht="15" hidden="false" customHeight="false" outlineLevel="0" collapsed="false">
      <c r="A47" s="0" t="s">
        <v>148</v>
      </c>
      <c r="B47" s="0" t="n">
        <f aca="false">(SUMPRODUCT(C19:L19/(1+B45/100)^C4:L4)+B46/(1+B45/100)^L4+Assumptions!$B$5-Assumptions!$B$4)/Assumptions!$B$3*Assumptions!$B$10</f>
        <v>16.2171997544386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151</v>
      </c>
    </row>
    <row r="3" customFormat="false" ht="15" hidden="false" customHeight="false" outlineLevel="0" collapsed="false">
      <c r="A3" s="2" t="s">
        <v>152</v>
      </c>
      <c r="B3" s="2" t="s">
        <v>153</v>
      </c>
      <c r="C3" s="2" t="s">
        <v>143</v>
      </c>
      <c r="D3" s="2" t="s">
        <v>154</v>
      </c>
      <c r="E3" s="2" t="s">
        <v>146</v>
      </c>
      <c r="F3" s="2" t="s">
        <v>155</v>
      </c>
    </row>
    <row r="4" customFormat="false" ht="15" hidden="false" customHeight="false" outlineLevel="0" collapsed="false">
      <c r="A4" s="0" t="s">
        <v>156</v>
      </c>
      <c r="B4" s="4" t="n">
        <f aca="false">DCF_Bear!$B$38</f>
        <v>22.0734928884782</v>
      </c>
      <c r="C4" s="0" t="n">
        <f aca="false">B4/Assumptions!$B$2-1</f>
        <v>-0.421402545518264</v>
      </c>
      <c r="D4" s="4" t="n">
        <f aca="false">Assumptions!$B$24</f>
        <v>0.25</v>
      </c>
      <c r="E4" s="4" t="n">
        <f aca="false">DCF_Bear!$B$43</f>
        <v>22.7150229621213</v>
      </c>
      <c r="F4" s="4" t="n">
        <f aca="false">DCF_Bear!$B$47</f>
        <v>12.9954927661702</v>
      </c>
    </row>
    <row r="5" customFormat="false" ht="15" hidden="false" customHeight="false" outlineLevel="0" collapsed="false">
      <c r="A5" s="0" t="s">
        <v>157</v>
      </c>
      <c r="B5" s="4" t="n">
        <f aca="false">DCF_Base!$B$38</f>
        <v>26.4095297743418</v>
      </c>
      <c r="C5" s="0" t="n">
        <f aca="false">B5/Assumptions!$B$2-1</f>
        <v>-0.307744960043464</v>
      </c>
      <c r="D5" s="4" t="n">
        <f aca="false">Assumptions!$B$38</f>
        <v>0.5</v>
      </c>
      <c r="E5" s="4" t="n">
        <f aca="false">DCF_Base!$B$43</f>
        <v>27.139918426608</v>
      </c>
      <c r="F5" s="4" t="n">
        <f aca="false">DCF_Base!$B$47</f>
        <v>14.9260831354384</v>
      </c>
    </row>
    <row r="6" customFormat="false" ht="15" hidden="false" customHeight="false" outlineLevel="0" collapsed="false">
      <c r="A6" s="0" t="s">
        <v>158</v>
      </c>
      <c r="B6" s="4" t="n">
        <f aca="false">DCF_Bull!$B$38</f>
        <v>29.915706780578</v>
      </c>
      <c r="C6" s="0" t="n">
        <f aca="false">B6/Assumptions!$B$2-1</f>
        <v>-0.215839927114601</v>
      </c>
      <c r="D6" s="4" t="n">
        <f aca="false">Assumptions!$B$52</f>
        <v>0.25</v>
      </c>
      <c r="E6" s="4" t="n">
        <f aca="false">DCF_Bull!$B$43</f>
        <v>30.7460951094725</v>
      </c>
      <c r="F6" s="4" t="n">
        <f aca="false">DCF_Bull!$B$47</f>
        <v>16.2171997544386</v>
      </c>
    </row>
    <row r="8" customFormat="false" ht="15" hidden="false" customHeight="false" outlineLevel="0" collapsed="false">
      <c r="A8" s="0" t="s">
        <v>159</v>
      </c>
      <c r="B8" s="0" t="n">
        <f aca="false">SUMPRODUCT(B4:B6,D4:D6)</f>
        <v>26.202064804435</v>
      </c>
    </row>
    <row r="9" customFormat="false" ht="15" hidden="false" customHeight="false" outlineLevel="0" collapsed="false">
      <c r="A9" s="0" t="s">
        <v>160</v>
      </c>
      <c r="B9" s="0" t="n">
        <f aca="false">SUMPRODUCT(E4:E6,D4:D6)</f>
        <v>26.9352387312024</v>
      </c>
    </row>
    <row r="10" customFormat="false" ht="15" hidden="false" customHeight="false" outlineLevel="0" collapsed="false">
      <c r="A10" s="0" t="s">
        <v>161</v>
      </c>
      <c r="B10" s="0" t="n">
        <f aca="false">1-Assumptions!$B$2/B8</f>
        <v>-0.455992124465807</v>
      </c>
    </row>
    <row r="11" customFormat="false" ht="15" hidden="false" customHeight="false" outlineLevel="0" collapsed="false">
      <c r="A11" s="0" t="s">
        <v>162</v>
      </c>
      <c r="B11" s="0" t="n">
        <f aca="false">IF(ABS(B9-B8)&gt;0.01*ABS(B8),(Assumptions!$B$2-B8)/(B9-B8)*100,"n/a")</f>
        <v>1629.6181246165</v>
      </c>
    </row>
    <row r="12" customFormat="false" ht="15" hidden="false" customHeight="false" outlineLevel="0" collapsed="false">
      <c r="A12" s="0" t="s">
        <v>163</v>
      </c>
      <c r="B12" s="0" t="n">
        <f aca="false">SUMPRODUCT(F4:F6,D4:D6)</f>
        <v>14.7662146978714</v>
      </c>
    </row>
    <row r="14" customFormat="false" ht="15" hidden="false" customHeight="false" outlineLevel="0" collapsed="false">
      <c r="A14" s="2" t="s">
        <v>164</v>
      </c>
      <c r="C14" s="0" t="s">
        <v>165</v>
      </c>
    </row>
    <row r="15" customFormat="false" ht="15" hidden="false" customHeight="false" outlineLevel="0" collapsed="false">
      <c r="A15" s="0" t="s">
        <v>166</v>
      </c>
      <c r="B15" s="0" t="n">
        <f aca="false">(SUMPRODUCT(DCF_Base!$C$19:$L$19/(1+$C$15/100)^DCF_Base!$C$4:$L$4)+MAX(0,MIN(IF($C$15&gt;DCF_Base!$B$28,DCF_Base!$L$19*(1+DCF_Base!$B$28/100)/(($C$15-DCF_Base!$B$28)/100),DCF_Base!$L$19*DCF_Base!$B$29),DCF_Base!$L$19*DCF_Base!$B$29))/(1+$C$15/100)^DCF_Base!$L$4+Assumptions!$B$5-Assumptions!$B$4)/Assumptions!$B$3*Assumptions!$B$10</f>
        <v>28.5386284410267</v>
      </c>
      <c r="C15" s="3" t="n">
        <v>9</v>
      </c>
    </row>
    <row r="16" customFormat="false" ht="15" hidden="false" customHeight="false" outlineLevel="0" collapsed="false">
      <c r="A16" s="0" t="s">
        <v>167</v>
      </c>
      <c r="B16" s="0" t="n">
        <f aca="false">(SUMPRODUCT(DCF_Base!$C$19:$L$19/(1+$C$16/100)^DCF_Base!$C$4:$L$4)+MAX(0,MIN(IF($C$16&gt;DCF_Base!$B$28,DCF_Base!$L$19*(1+DCF_Base!$B$28/100)/(($C$16-DCF_Base!$B$28)/100),DCF_Base!$L$19*DCF_Base!$B$29),DCF_Base!$L$19*DCF_Base!$B$29))/(1+$C$16/100)^DCF_Base!$L$4+Assumptions!$B$5-Assumptions!$B$4)/Assumptions!$B$3*Assumptions!$B$10</f>
        <v>26.4095297743418</v>
      </c>
      <c r="C16" s="3" t="n">
        <v>9.7</v>
      </c>
    </row>
    <row r="17" customFormat="false" ht="15" hidden="false" customHeight="false" outlineLevel="0" collapsed="false">
      <c r="A17" s="0" t="s">
        <v>168</v>
      </c>
      <c r="B17" s="0" t="n">
        <f aca="false">(SUMPRODUCT(DCF_Base!$C$19:$L$19/(1+$C$17/100)^DCF_Base!$C$4:$L$4)+MAX(0,MIN(IF($C$17&gt;DCF_Base!$B$28,DCF_Base!$L$19*(1+DCF_Base!$B$28/100)/(($C$17-DCF_Base!$B$28)/100),DCF_Base!$L$19*DCF_Base!$B$29),DCF_Base!$L$19*DCF_Base!$B$29))/(1+$C$17/100)^DCF_Base!$L$4+Assumptions!$B$5-Assumptions!$B$4)/Assumptions!$B$3*Assumptions!$B$10</f>
        <v>25.3229275290789</v>
      </c>
      <c r="C17" s="3" t="n">
        <v>10</v>
      </c>
    </row>
    <row r="18" customFormat="false" ht="15" hidden="false" customHeight="false" outlineLevel="0" collapsed="false">
      <c r="A18" s="0" t="s">
        <v>169</v>
      </c>
      <c r="B18" s="0" t="n">
        <f aca="false">(SUMPRODUCT(DCF_Base!$C$19:$L$19/(1+$C$18/100)^DCF_Base!$C$4:$L$4)+MAX(0,MIN(IF($C$18&gt;DCF_Base!$B$28,DCF_Base!$L$19*(1+DCF_Base!$B$28/100)/(($C$18-DCF_Base!$B$28)/100),DCF_Base!$L$19*DCF_Base!$B$29),DCF_Base!$L$19*DCF_Base!$B$29))/(1+$C$18/100)^DCF_Base!$L$4+Assumptions!$B$5-Assumptions!$B$4)/Assumptions!$B$3*Assumptions!$B$10</f>
        <v>22.2575716275984</v>
      </c>
      <c r="C18" s="3" t="n">
        <v>11</v>
      </c>
    </row>
    <row r="19" customFormat="false" ht="15" hidden="false" customHeight="false" outlineLevel="0" collapsed="false">
      <c r="A19" s="0" t="s">
        <v>170</v>
      </c>
      <c r="B19" s="0" t="n">
        <f aca="false">(SUMPRODUCT(DCF_Base!$C$19:$L$19/(1+$C$19/100)^DCF_Base!$C$4:$L$4)+MAX(0,MIN(IF($C$19&gt;DCF_Base!$B$28,DCF_Base!$L$19*(1+DCF_Base!$B$28/100)/(($C$19-DCF_Base!$B$28)/100),DCF_Base!$L$19*DCF_Base!$B$29),DCF_Base!$L$19*DCF_Base!$B$29))/(1+$C$19/100)^DCF_Base!$L$4+Assumptions!$B$5-Assumptions!$B$4)/Assumptions!$B$3*Assumptions!$B$10</f>
        <v>19.8410950583728</v>
      </c>
      <c r="C19" s="3" t="n">
        <v>12</v>
      </c>
    </row>
    <row r="20" customFormat="false" ht="15" hidden="false" customHeight="false" outlineLevel="0" collapsed="false">
      <c r="A20" s="0" t="s">
        <v>171</v>
      </c>
      <c r="B20" s="0" t="n">
        <f aca="false">(SUMPRODUCT(DCF_Base!$C$19:$L$19/(1+$C$20/100)^DCF_Base!$C$4:$L$4)+MAX(0,MIN(IF($C$20&gt;DCF_Base!$B$28,DCF_Base!$L$19*(1+DCF_Base!$B$28/100)/(($C$20-DCF_Base!$B$28)/100),DCF_Base!$L$19*DCF_Base!$B$29),DCF_Base!$L$19*DCF_Base!$B$29))/(1+$C$20/100)^DCF_Base!$L$4+Assumptions!$B$5-Assumptions!$B$4)/Assumptions!$B$3*Assumptions!$B$10</f>
        <v>14.9260831354384</v>
      </c>
      <c r="C20" s="3" t="n">
        <v>15</v>
      </c>
    </row>
    <row r="22" customFormat="false" ht="15" hidden="false" customHeight="false" outlineLevel="0" collapsed="false">
      <c r="A22" s="2" t="s">
        <v>172</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7.7</v>
      </c>
      <c r="B24" s="0" t="n">
        <f aca="false">(SUMPRODUCT(DCF_Base!$C$19:$L$19/(1+$A$24/100)^DCF_Base!$C$4:$L$4)+MAX(0,MIN(IF($A$24&gt;$B$23,DCF_Base!$L$19*(1+$B$23/100)/(($A$24-$B$23)/100),DCF_Base!$L$19*DCF_Base!$B$29),DCF_Base!$L$19*DCF_Base!$B$29))/(1+$A$24/100)^DCF_Base!$L$4+Assumptions!$B$5-Assumptions!$B$4)/Assumptions!$B$3*Assumptions!$B$10</f>
        <v>31.3611139209076</v>
      </c>
      <c r="C24" s="0" t="n">
        <f aca="false">(SUMPRODUCT(DCF_Base!$C$19:$L$19/(1+$A$24/100)^DCF_Base!$C$4:$L$4)+MAX(0,MIN(IF($A$24&gt;$C$23,DCF_Base!$L$19*(1+$C$23/100)/(($A$24-$C$23)/100),DCF_Base!$L$19*DCF_Base!$B$29),DCF_Base!$L$19*DCF_Base!$B$29))/(1+$A$24/100)^DCF_Base!$L$4+Assumptions!$B$5-Assumptions!$B$4)/Assumptions!$B$3*Assumptions!$B$10</f>
        <v>31.3611139209076</v>
      </c>
      <c r="D24" s="0" t="n">
        <f aca="false">(SUMPRODUCT(DCF_Base!$C$19:$L$19/(1+$A$24/100)^DCF_Base!$C$4:$L$4)+MAX(0,MIN(IF($A$24&gt;$D$23,DCF_Base!$L$19*(1+$D$23/100)/(($A$24-$D$23)/100),DCF_Base!$L$19*DCF_Base!$B$29),DCF_Base!$L$19*DCF_Base!$B$29))/(1+$A$24/100)^DCF_Base!$L$4+Assumptions!$B$5-Assumptions!$B$4)/Assumptions!$B$3*Assumptions!$B$10</f>
        <v>31.3611139209076</v>
      </c>
      <c r="E24" s="0" t="n">
        <f aca="false">(SUMPRODUCT(DCF_Base!$C$19:$L$19/(1+$A$24/100)^DCF_Base!$C$4:$L$4)+MAX(0,MIN(IF($A$24&gt;$E$23,DCF_Base!$L$19*(1+$E$23/100)/(($A$24-$E$23)/100),DCF_Base!$L$19*DCF_Base!$B$29),DCF_Base!$L$19*DCF_Base!$B$29))/(1+$A$24/100)^DCF_Base!$L$4+Assumptions!$B$5-Assumptions!$B$4)/Assumptions!$B$3*Assumptions!$B$10</f>
        <v>31.3611139209076</v>
      </c>
      <c r="F24" s="0" t="n">
        <f aca="false">(SUMPRODUCT(DCF_Base!$C$19:$L$19/(1+$A$24/100)^DCF_Base!$C$4:$L$4)+MAX(0,MIN(IF($A$24&gt;$F$23,DCF_Base!$L$19*(1+$F$23/100)/(($A$24-$F$23)/100),DCF_Base!$L$19*DCF_Base!$B$29),DCF_Base!$L$19*DCF_Base!$B$29))/(1+$A$24/100)^DCF_Base!$L$4+Assumptions!$B$5-Assumptions!$B$4)/Assumptions!$B$3*Assumptions!$B$10</f>
        <v>31.3611139209076</v>
      </c>
    </row>
    <row r="25" customFormat="false" ht="15" hidden="false" customHeight="false" outlineLevel="0" collapsed="false">
      <c r="A25" s="3" t="n">
        <v>8.7</v>
      </c>
      <c r="B25" s="0" t="n">
        <f aca="false">(SUMPRODUCT(DCF_Base!$C$19:$L$19/(1+$A$25/100)^DCF_Base!$C$4:$L$4)+MAX(0,MIN(IF($A$25&gt;$B$23,DCF_Base!$L$19*(1+$B$23/100)/(($A$25-$B$23)/100),DCF_Base!$L$19*DCF_Base!$B$29),DCF_Base!$L$19*DCF_Base!$B$29))/(1+$A$25/100)^DCF_Base!$L$4+Assumptions!$B$5-Assumptions!$B$4)/Assumptions!$B$3*Assumptions!$B$10</f>
        <v>28.197038237052</v>
      </c>
      <c r="C25" s="0" t="n">
        <f aca="false">(SUMPRODUCT(DCF_Base!$C$19:$L$19/(1+$A$25/100)^DCF_Base!$C$4:$L$4)+MAX(0,MIN(IF($A$25&gt;$C$23,DCF_Base!$L$19*(1+$C$23/100)/(($A$25-$C$23)/100),DCF_Base!$L$19*DCF_Base!$B$29),DCF_Base!$L$19*DCF_Base!$B$29))/(1+$A$25/100)^DCF_Base!$L$4+Assumptions!$B$5-Assumptions!$B$4)/Assumptions!$B$3*Assumptions!$B$10</f>
        <v>29.1601720770045</v>
      </c>
      <c r="D25" s="0" t="n">
        <f aca="false">(SUMPRODUCT(DCF_Base!$C$19:$L$19/(1+$A$25/100)^DCF_Base!$C$4:$L$4)+MAX(0,MIN(IF($A$25&gt;$D$23,DCF_Base!$L$19*(1+$D$23/100)/(($A$25-$D$23)/100),DCF_Base!$L$19*DCF_Base!$B$29),DCF_Base!$L$19*DCF_Base!$B$29))/(1+$A$25/100)^DCF_Base!$L$4+Assumptions!$B$5-Assumptions!$B$4)/Assumptions!$B$3*Assumptions!$B$10</f>
        <v>29.1601720770045</v>
      </c>
      <c r="E25" s="0" t="n">
        <f aca="false">(SUMPRODUCT(DCF_Base!$C$19:$L$19/(1+$A$25/100)^DCF_Base!$C$4:$L$4)+MAX(0,MIN(IF($A$25&gt;$E$23,DCF_Base!$L$19*(1+$E$23/100)/(($A$25-$E$23)/100),DCF_Base!$L$19*DCF_Base!$B$29),DCF_Base!$L$19*DCF_Base!$B$29))/(1+$A$25/100)^DCF_Base!$L$4+Assumptions!$B$5-Assumptions!$B$4)/Assumptions!$B$3*Assumptions!$B$10</f>
        <v>29.1601720770045</v>
      </c>
      <c r="F25" s="0" t="n">
        <f aca="false">(SUMPRODUCT(DCF_Base!$C$19:$L$19/(1+$A$25/100)^DCF_Base!$C$4:$L$4)+MAX(0,MIN(IF($A$25&gt;$F$23,DCF_Base!$L$19*(1+$F$23/100)/(($A$25-$F$23)/100),DCF_Base!$L$19*DCF_Base!$B$29),DCF_Base!$L$19*DCF_Base!$B$29))/(1+$A$25/100)^DCF_Base!$L$4+Assumptions!$B$5-Assumptions!$B$4)/Assumptions!$B$3*Assumptions!$B$10</f>
        <v>29.1601720770045</v>
      </c>
    </row>
    <row r="26" customFormat="false" ht="15" hidden="false" customHeight="false" outlineLevel="0" collapsed="false">
      <c r="A26" s="3" t="n">
        <v>9.7</v>
      </c>
      <c r="B26" s="0" t="n">
        <f aca="false">(SUMPRODUCT(DCF_Base!$C$19:$L$19/(1+$A$26/100)^DCF_Base!$C$4:$L$4)+MAX(0,MIN(IF($A$26&gt;$B$23,DCF_Base!$L$19*(1+$B$23/100)/(($A$26-$B$23)/100),DCF_Base!$L$19*DCF_Base!$B$29),DCF_Base!$L$19*DCF_Base!$B$29))/(1+$A$26/100)^DCF_Base!$L$4+Assumptions!$B$5-Assumptions!$B$4)/Assumptions!$B$3*Assumptions!$B$10</f>
        <v>24.6007102969992</v>
      </c>
      <c r="C26" s="0" t="n">
        <f aca="false">(SUMPRODUCT(DCF_Base!$C$19:$L$19/(1+$A$26/100)^DCF_Base!$C$4:$L$4)+MAX(0,MIN(IF($A$26&gt;$C$23,DCF_Base!$L$19*(1+$C$23/100)/(($A$26-$C$23)/100),DCF_Base!$L$19*DCF_Base!$B$29),DCF_Base!$L$19*DCF_Base!$B$29))/(1+$A$26/100)^DCF_Base!$L$4+Assumptions!$B$5-Assumptions!$B$4)/Assumptions!$B$3*Assumptions!$B$10</f>
        <v>25.446392130562</v>
      </c>
      <c r="D26" s="0" t="n">
        <f aca="false">(SUMPRODUCT(DCF_Base!$C$19:$L$19/(1+$A$26/100)^DCF_Base!$C$4:$L$4)+MAX(0,MIN(IF($A$26&gt;$D$23,DCF_Base!$L$19*(1+$D$23/100)/(($A$26-$D$23)/100),DCF_Base!$L$19*DCF_Base!$B$29),DCF_Base!$L$19*DCF_Base!$B$29))/(1+$A$26/100)^DCF_Base!$L$4+Assumptions!$B$5-Assumptions!$B$4)/Assumptions!$B$3*Assumptions!$B$10</f>
        <v>26.4095297743418</v>
      </c>
      <c r="E26" s="0" t="n">
        <f aca="false">(SUMPRODUCT(DCF_Base!$C$19:$L$19/(1+$A$26/100)^DCF_Base!$C$4:$L$4)+MAX(0,MIN(IF($A$26&gt;$E$23,DCF_Base!$L$19*(1+$E$23/100)/(($A$26-$E$23)/100),DCF_Base!$L$19*DCF_Base!$B$29),DCF_Base!$L$19*DCF_Base!$B$29))/(1+$A$26/100)^DCF_Base!$L$4+Assumptions!$B$5-Assumptions!$B$4)/Assumptions!$B$3*Assumptions!$B$10</f>
        <v>27.1531738803414</v>
      </c>
      <c r="F26" s="0" t="n">
        <f aca="false">(SUMPRODUCT(DCF_Base!$C$19:$L$19/(1+$A$26/100)^DCF_Base!$C$4:$L$4)+MAX(0,MIN(IF($A$26&gt;$F$23,DCF_Base!$L$19*(1+$F$23/100)/(($A$26-$F$23)/100),DCF_Base!$L$19*DCF_Base!$B$29),DCF_Base!$L$19*DCF_Base!$B$29))/(1+$A$26/100)^DCF_Base!$L$4+Assumptions!$B$5-Assumptions!$B$4)/Assumptions!$B$3*Assumptions!$B$10</f>
        <v>27.1531738803414</v>
      </c>
    </row>
    <row r="27" customFormat="false" ht="15" hidden="false" customHeight="false" outlineLevel="0" collapsed="false">
      <c r="A27" s="3" t="n">
        <v>10.7</v>
      </c>
      <c r="B27" s="0" t="n">
        <f aca="false">(SUMPRODUCT(DCF_Base!$C$19:$L$19/(1+$A$27/100)^DCF_Base!$C$4:$L$4)+MAX(0,MIN(IF($A$27&gt;$B$23,DCF_Base!$L$19*(1+$B$23/100)/(($A$27-$B$23)/100),DCF_Base!$L$19*DCF_Base!$B$29),DCF_Base!$L$19*DCF_Base!$B$29))/(1+$A$27/100)^DCF_Base!$L$4+Assumptions!$B$5-Assumptions!$B$4)/Assumptions!$B$3*Assumptions!$B$10</f>
        <v>21.7936522834025</v>
      </c>
      <c r="C27" s="0" t="n">
        <f aca="false">(SUMPRODUCT(DCF_Base!$C$19:$L$19/(1+$A$27/100)^DCF_Base!$C$4:$L$4)+MAX(0,MIN(IF($A$27&gt;$C$23,DCF_Base!$L$19*(1+$C$23/100)/(($A$27-$C$23)/100),DCF_Base!$L$19*DCF_Base!$B$29),DCF_Base!$L$19*DCF_Base!$B$29))/(1+$A$27/100)^DCF_Base!$L$4+Assumptions!$B$5-Assumptions!$B$4)/Assumptions!$B$3*Assumptions!$B$10</f>
        <v>22.4084546906315</v>
      </c>
      <c r="D27" s="0" t="n">
        <f aca="false">(SUMPRODUCT(DCF_Base!$C$19:$L$19/(1+$A$27/100)^DCF_Base!$C$4:$L$4)+MAX(0,MIN(IF($A$27&gt;$D$23,DCF_Base!$L$19*(1+$D$23/100)/(($A$27-$D$23)/100),DCF_Base!$L$19*DCF_Base!$B$29),DCF_Base!$L$19*DCF_Base!$B$29))/(1+$A$27/100)^DCF_Base!$L$4+Assumptions!$B$5-Assumptions!$B$4)/Assumptions!$B$3*Assumptions!$B$10</f>
        <v>23.0982330011812</v>
      </c>
      <c r="E27" s="0" t="n">
        <f aca="false">(SUMPRODUCT(DCF_Base!$C$19:$L$19/(1+$A$27/100)^DCF_Base!$C$4:$L$4)+MAX(0,MIN(IF($A$27&gt;$E$23,DCF_Base!$L$19*(1+$E$23/100)/(($A$27-$E$23)/100),DCF_Base!$L$19*DCF_Base!$B$29),DCF_Base!$L$19*DCF_Base!$B$29))/(1+$A$27/100)^DCF_Base!$L$4+Assumptions!$B$5-Assumptions!$B$4)/Assumptions!$B$3*Assumptions!$B$10</f>
        <v>23.8775929105036</v>
      </c>
      <c r="F27" s="0" t="n">
        <f aca="false">(SUMPRODUCT(DCF_Base!$C$19:$L$19/(1+$A$27/100)^DCF_Base!$C$4:$L$4)+MAX(0,MIN(IF($A$27&gt;$F$23,DCF_Base!$L$19*(1+$F$23/100)/(($A$27-$F$23)/100),DCF_Base!$L$19*DCF_Base!$B$29),DCF_Base!$L$19*DCF_Base!$B$29))/(1+$A$27/100)^DCF_Base!$L$4+Assumptions!$B$5-Assumptions!$B$4)/Assumptions!$B$3*Assumptions!$B$10</f>
        <v>24.7651972516764</v>
      </c>
    </row>
    <row r="28" customFormat="false" ht="15" hidden="false" customHeight="false" outlineLevel="0" collapsed="false">
      <c r="A28" s="3" t="n">
        <v>11.7</v>
      </c>
      <c r="B28" s="0" t="n">
        <f aca="false">(SUMPRODUCT(DCF_Base!$C$19:$L$19/(1+$A$28/100)^DCF_Base!$C$4:$L$4)+MAX(0,MIN(IF($A$28&gt;$B$23,DCF_Base!$L$19*(1+$B$23/100)/(($A$28-$B$23)/100),DCF_Base!$L$19*DCF_Base!$B$29),DCF_Base!$L$19*DCF_Base!$B$29))/(1+$A$28/100)^DCF_Base!$L$4+Assumptions!$B$5-Assumptions!$B$4)/Assumptions!$B$3*Assumptions!$B$10</f>
        <v>19.5432677125768</v>
      </c>
      <c r="C28" s="0" t="n">
        <f aca="false">(SUMPRODUCT(DCF_Base!$C$19:$L$19/(1+$A$28/100)^DCF_Base!$C$4:$L$4)+MAX(0,MIN(IF($A$28&gt;$C$23,DCF_Base!$L$19*(1+$C$23/100)/(($A$28-$C$23)/100),DCF_Base!$L$19*DCF_Base!$B$29),DCF_Base!$L$19*DCF_Base!$B$29))/(1+$A$28/100)^DCF_Base!$L$4+Assumptions!$B$5-Assumptions!$B$4)/Assumptions!$B$3*Assumptions!$B$10</f>
        <v>20.0019592873404</v>
      </c>
      <c r="D28" s="0" t="n">
        <f aca="false">(SUMPRODUCT(DCF_Base!$C$19:$L$19/(1+$A$28/100)^DCF_Base!$C$4:$L$4)+MAX(0,MIN(IF($A$28&gt;$D$23,DCF_Base!$L$19*(1+$D$23/100)/(($A$28-$D$23)/100),DCF_Base!$L$19*DCF_Base!$B$29),DCF_Base!$L$19*DCF_Base!$B$29))/(1+$A$28/100)^DCF_Base!$L$4+Assumptions!$B$5-Assumptions!$B$4)/Assumptions!$B$3*Assumptions!$B$10</f>
        <v>20.5105086419697</v>
      </c>
      <c r="E28" s="0" t="n">
        <f aca="false">(SUMPRODUCT(DCF_Base!$C$19:$L$19/(1+$A$28/100)^DCF_Base!$C$4:$L$4)+MAX(0,MIN(IF($A$28&gt;$E$23,DCF_Base!$L$19*(1+$E$23/100)/(($A$28-$E$23)/100),DCF_Base!$L$19*DCF_Base!$B$29),DCF_Base!$L$19*DCF_Base!$B$29))/(1+$A$28/100)^DCF_Base!$L$4+Assumptions!$B$5-Assumptions!$B$4)/Assumptions!$B$3*Assumptions!$B$10</f>
        <v>21.0775119454068</v>
      </c>
      <c r="F28" s="0" t="n">
        <f aca="false">(SUMPRODUCT(DCF_Base!$C$19:$L$19/(1+$A$28/100)^DCF_Base!$C$4:$L$4)+MAX(0,MIN(IF($A$28&gt;$F$23,DCF_Base!$L$19*(1+$F$23/100)/(($A$28-$F$23)/100),DCF_Base!$L$19*DCF_Base!$B$29),DCF_Base!$L$19*DCF_Base!$B$29))/(1+$A$28/100)^DCF_Base!$L$4+Assumptions!$B$5-Assumptions!$B$4)/Assumptions!$B$3*Assumptions!$B$10</f>
        <v>21.7136619931656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2026-09-24T09:05:03Z</dcterms:created>
  <dc:creator>openpyxl</dc:creator>
  <dc:description/>
  <dc:language>en-NZ</dc:language>
  <cp:lastModifiedBy/>
  <dcterms:modified xsi:type="dcterms:W3CDTF">2026-09-24T09:05:03Z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