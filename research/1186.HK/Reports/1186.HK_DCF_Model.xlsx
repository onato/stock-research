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<sst xmlns="http://schemas.openxmlformats.org/spreadsheetml/2006/main" count="358" uniqueCount="166">
  <si>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</si>
  <si>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1186.HK</t>
  </si>
  <si>
    <t xml:space="preserve">Company</t>
  </si>
  <si>
    <t xml:space="preserve">China Railway Construction Corporation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</si>
  <si>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</si>
  <si>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</si>
  <si>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</si>
  <si>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</si>
  <si>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2026-10-16T05:24:28Z (HKEX regular session; not after-hours)</t>
  </si>
  <si>
    <t xml:space="preserve">Balance sheet date</t>
  </si>
  <si>
    <t xml:space="preserve">2026-06-30</t>
  </si>
  <si>
    <t xml:space="preserve">Model</t>
  </si>
  <si>
    <t xml:space="preserve">Levered FCFE DCF at cost of equity (engine route; SOE borrowings treated as operating funding, net debt held at zero)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</si>
  <si>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</si>
  <si>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</si>
  <si>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</si>
  <si>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</si>
  <si>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</si>
  <si>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</si>
  <si>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</si>
  <si>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</si>
  <si>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</si>
  <si>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2026-10-16T05:55:16Z</t>
  </si>
  <si>
    <t xml:space="preserve">Drivers file</t>
  </si>
  <si>
    <t xml:space="preserve">1186.HK_Drivers.json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</si>
  <si>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</si>
  <si>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</si>
  <si>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</si>
  <si>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CRCC's ordinary equity is a thin, option-like residual on a RMB 800bn+ capital structure funded by state banks at ~2%. The only sensible way to value it is the flow that actually reaches ordinary shareholders -- post-interest, post-tax, post-NCI, post-perpetual earnings, plus D&amp;A, less capex, less the working capital that the shrinking client base is absorbing -- discounted at a CNY cost of equity with net debt held at zero and the debt stock assumed flat. On that basis the market's ~3x P/E and 8% yield are not obviously cheap: FY2025 reported FCF was -RMB 44.6bn, FY0 FCFE on the model's own definition was about -RMB 4bn before working capital, and every unit of value in the base and bull cases comes from capex normalising toward D&amp;A and collections stabilising. The equity is worth something materially above the H-share price only if the business can stop consuming cash; the bear case, which is simply the H1 FY2026 run-rate extended, puts it at or below zero. No-re-rate memo: the base terminal (10x FCFE cap, Gordon 11.2x) is ~2-3x the H-share's own decade-long 3-6x P/E range; at a 5x exit the base value would be roughly 25-30% lower.
key_risks_to_valuation: Working-capital absorption continues (receivables +18%, contract assets +23% in FY2025 while revenue fell): the base case credits no further drain, the bear case charges 10% of lost revenue; the H1 FY2026 outflow of RMB 79bn exceeds both; Capex does not normalise: FY2025 47.6bn (4.6% of revenue) and H1 FY2026 24.7bn are both records; contractual BOT/PPP commitments may hold it near 5%; Debt stock is assumed flat; if borrowing keeps rising to fund the dividend and working capital, the equity is being diluted by creditors in substance even without issuance; Perpetual-bond coupons (~RMB 2.4bn) and NCI leakage are fixed charges that take a rising share of a shrinking PBT; Terminal multiple: a 10x FCFE exit on a leveraged SOE contractor in a structurally declining market is generous against the H-share's historical 3-6x P/E; the no-re-rate value is ~25-30% below base; Discount rate: cost of equity 10% in CNY; the H-share's 39% discount to the A-share says the Hong Kong market demands more than that; Impairment of real-estate inventory, contract assets and receivables (RMB 5.1bn credit losses in FY2025) could step up if local-government fiscal stress deepens; Q3 FY2026 results (~2026-11-04) are the next anchor; a further revenue or cash-flow deterioration moves year-1 drivers toward the bear path</t>
  </si>
  <si>
    <t xml:space="preserve">Data sources</t>
  </si>
  <si>
    <t xml:space="preserve">price: Yahoo Finance chart API at inputs.price_as_of; 52-week range 4.23-5.70 HKD. A-share 601186.SS and CNYHKD=X fetched at the same time for the parity note.
financials: 1186.HK_Metrics.csv / core_metrics (FY2017-FY2025 annual, H1 FY2026 interim); 1186.HK_Annual_FY2025.txt (interest income line 14084, D&amp;A line 31362, net debt line 25780, NCI line 14047); 1186.HK_HalfYear_H1-2026.txt (balance sheet lines 8019-8085: short-term loans, long-term loans, bonds payable, lease liabilities, other equity instruments 72,322,256, non-controlling interests 90,919,088; current-portion notes lines 16397-16399; restricted cash line 12997). Figures in the filings are RMB thousands, converted to millions.
qualitative: 1186.HK_Analysis.json (2026-10-16): business model, risks, H1 FY2026 developments, guidance (qualitative only).</t>
  </si>
  <si>
    <t xml:space="preserve">Scenario narrative: bear</t>
  </si>
  <si>
    <t xml:space="preserve">The H1 FY2026 pattern is the new run-rate: construction output -12.7%, real estate investment -18%, new contracts -17%, and local governments continue to pay late or not at all. Revenue falls 13%, 9%, 6% and keeps shrinking; the margin erodes to 4.8% under 'stock competition'; capex cannot be cut below ~4-5% because BOT/PPP commitments are contractual; working capital absorbs 10% of each year's lost revenue. FCFE is negative for most of the decade, the dividend is borrowed, and the debt stock keeps rising -- which this model (debt held flat) translates into an equity value at or below zero. State support would keep CRCC solvent, but through recapitalisation that dilutes ordinary holders, so a value near zero is the honest reading of this path.</t>
  </si>
  <si>
    <t xml:space="preserve">Scenario narrative: base</t>
  </si>
  <si>
    <t xml:space="preserve">Domestic construction output keeps falling through FY2026 (revenue -10% after H1 -12.4%) and bottoms in FY2028 as already-budgeted special and ultra-long treasury bonds are deployed and overseas work (7% of revenue, growing double digits) compounds; thereafter revenue grows ~2% nominal, below Chinese nominal GDP. The post-interest margin holds at 5.3% in FY2026 (ordinary EPS ~0.98, -17%) and recovers to 5.5% on the cost programme and falling PBOC rates, never regaining the FY2022-23 level. Capex glides from 4.8% of revenue back toward D&amp;A (3.0%) as management shifts from investment-driven construction to return-focused investment; working capital neither releases nor absorbs further cash. The debt stock is held flat so the ~RMB 4bn dividend has to be earned, not borrowed, from year 3.</t>
  </si>
  <si>
    <t xml:space="preserve">Scenario narrative: bull</t>
  </si>
  <si>
    <t xml:space="preserve">Belt &amp; Road and the strategic-emerging-industry push offset the domestic decline faster than expected: revenue troughs at -8% in FY2026 and returns to 3% growth by year 5. Cost cuts, overseas mix and ~2% SOE funding lift the post-interest margin to 6.0%. The Q4-2025 minority buy-out and lower rates cut leakage to 37%. Capex normalises to D&amp;A by year 5, and the receivables/contract-asset pile partially unwinds as local-government debt swaps settle arrears (5% release on the shrinking revenue). Exit still capped at 10x FCFE; the bull case does not assume a re-rating beyond that.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</si>
  <si>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</si>
  <si>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</si>
  <si>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</si>
  <si>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</si>
  <si>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</si>
  <si>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</si>
  <si>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</si>
  <si>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</si>
  <si>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</si>
  <si>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</si>
  <si>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</si>
  <si>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</si>
  <si>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</si>
  <si>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</si>
  <si>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</si>
  <si>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</si>
  <si>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</si>
  <si>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</si>
  <si>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</si>
  <si>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</si>
  <si>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</si>
  <si>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</si>
  <si>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</si>
  <si>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</si>
  <si>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</si>
  <si>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</si>
  <si>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</si>
  <si>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</si>
  <si>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NetIncomeTotal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</si>
  <si>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</si>
  <si>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</si>
  <si>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</si>
  <si>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</si>
  <si>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</si>
  <si>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</si>
  <si>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</si>
  <si>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</si>
  <si>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</si>
  <si>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</si>
  <si>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</si>
  <si>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</si>
  <si>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</si>
  <si>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</si>
  <si>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</si>
  <si>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</si>
  <si>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</si>
  <si>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</si>
  <si>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</si>
  <si>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</si>
  <si>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</si>
  <si>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</si>
  <si>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</si>
  <si>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</si>
  <si>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</si>
  <si>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</si>
  <si>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</si>
  <si>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</si>
  <si>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</si>
  <si>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</si>
  <si>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</si>
  <si>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</si>
  <si>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</si>
  <si>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</si>
  <si>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</si>
  <si>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</si>
  <si>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</si>
  <si>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</si>
  <si>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</si>
  <si>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</si>
  <si>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</si>
  <si>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</si>
  <si>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</si>
  <si>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</si>
  <si>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</si>
  <si>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</si>
  <si>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1186.HK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</si>
  <si>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</si>
  <si>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</si>
  <si>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</si>
  <si>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</si>
  <si>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</si>
  <si>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</si>
  <si>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</si>
  <si>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</si>
  <si>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</si>
  <si>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</si>
  <si>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</si>
  <si>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</si>
  <si>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</si>
  <si>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</si>
  <si>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</si>
  <si>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</si>
  <si>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</si>
  <si>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</si>
  <si>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</si>
  <si>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</si>
  <si>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</si>
  <si>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</si>
  <si>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</si>
  <si>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</si>
  <si>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</si>
  <si>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</si>
  <si>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</si>
  <si>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</si>
  <si>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</si>
  <si>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</si>
  <si>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1186.HK owner-FCF component DCF: base case (millions, CNY)</t>
  </si>
  <si>
    <t xml:space="preserve">1186.HK owner-FCF component DCF: bull case (millions, CNY)</t>
  </si>
  <si>
    <t xml:space="preserve">1186.HK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</si>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</sst>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4.385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680981.127</v>
      </c>
      <c r="C2" s="0" t="n">
        <v>618059.386</v>
      </c>
      <c r="D2" s="0" t="n">
        <v>62921.741</v>
      </c>
      <c r="E2" s="0" t="n">
        <v>9.2</v>
      </c>
      <c r="F2" s="0" t="n">
        <v>20909.804</v>
      </c>
      <c r="G2" s="0" t="n">
        <v>3.1</v>
      </c>
      <c r="I2" s="0" t="n">
        <v>16057.235</v>
      </c>
      <c r="J2" s="0" t="n">
        <v>2.4</v>
      </c>
      <c r="K2" s="0" t="n">
        <v>1.09</v>
      </c>
      <c r="M2" s="0" t="n">
        <v>30231.006</v>
      </c>
      <c r="O2" s="0" t="n">
        <v>149411.983</v>
      </c>
      <c r="P2" s="0" t="n">
        <v>821887.459</v>
      </c>
      <c r="Q2" s="0" t="n">
        <v>643238.614</v>
      </c>
      <c r="R2" s="0" t="n">
        <v>154205.287</v>
      </c>
      <c r="S2" s="0" t="n">
        <v>129392.72</v>
      </c>
      <c r="T2" s="0" t="n">
        <v>13579.542</v>
      </c>
      <c r="AA2" s="0" t="s">
        <v>18</v>
      </c>
      <c r="AB2" s="0" t="s">
        <v>14</v>
      </c>
      <c r="AC2" s="0" t="n">
        <v>1.16</v>
      </c>
      <c r="AD2" s="0" t="n">
        <v>16919.19</v>
      </c>
    </row>
    <row r="3" customFormat="false" ht="15" hidden="false" customHeight="false" outlineLevel="0" collapsed="false">
      <c r="A3" s="0" t="s">
        <v>67</v>
      </c>
      <c r="B3" s="0" t="n">
        <v>730123.045</v>
      </c>
      <c r="C3" s="0" t="n">
        <v>658711.266</v>
      </c>
      <c r="D3" s="0" t="n">
        <v>71411.779</v>
      </c>
      <c r="E3" s="0" t="n">
        <v>9.8</v>
      </c>
      <c r="F3" s="0" t="n">
        <v>25321.766</v>
      </c>
      <c r="G3" s="0" t="n">
        <v>3.5</v>
      </c>
      <c r="H3" s="0" t="n">
        <v>44605.53</v>
      </c>
      <c r="I3" s="0" t="n">
        <v>17935.281</v>
      </c>
      <c r="J3" s="0" t="n">
        <v>2.5</v>
      </c>
      <c r="K3" s="0" t="n">
        <v>1.23</v>
      </c>
      <c r="L3" s="0" t="n">
        <v>5447.861</v>
      </c>
      <c r="M3" s="0" t="n">
        <v>32338.988</v>
      </c>
      <c r="N3" s="0" t="n">
        <v>-26891.127</v>
      </c>
      <c r="O3" s="0" t="n">
        <v>169889.912</v>
      </c>
      <c r="P3" s="0" t="n">
        <v>917670.582</v>
      </c>
      <c r="Q3" s="0" t="n">
        <v>710335.727</v>
      </c>
      <c r="R3" s="0" t="n">
        <v>188618.657</v>
      </c>
      <c r="S3" s="0" t="n">
        <v>130087.717</v>
      </c>
      <c r="T3" s="0" t="n">
        <v>13579.542</v>
      </c>
      <c r="AA3" s="0" t="s">
        <v>18</v>
      </c>
      <c r="AB3" s="0" t="s">
        <v>14</v>
      </c>
      <c r="AC3" s="0" t="n">
        <v>1.26</v>
      </c>
      <c r="AD3" s="0" t="n">
        <v>19838.408</v>
      </c>
    </row>
    <row r="4" customFormat="false" ht="15" hidden="false" customHeight="false" outlineLevel="0" collapsed="false">
      <c r="A4" s="0" t="s">
        <v>68</v>
      </c>
      <c r="B4" s="0" t="n">
        <v>830452.157</v>
      </c>
      <c r="C4" s="0" t="n">
        <v>750365.068</v>
      </c>
      <c r="D4" s="0" t="n">
        <v>80087.089</v>
      </c>
      <c r="E4" s="0" t="n">
        <v>9.6</v>
      </c>
      <c r="F4" s="0" t="n">
        <v>27628.779</v>
      </c>
      <c r="G4" s="0" t="n">
        <v>3.3</v>
      </c>
      <c r="H4" s="0" t="n">
        <v>52657.326</v>
      </c>
      <c r="I4" s="0" t="n">
        <v>20197.378</v>
      </c>
      <c r="J4" s="0" t="n">
        <v>2.4</v>
      </c>
      <c r="K4" s="0" t="n">
        <v>1.33</v>
      </c>
      <c r="L4" s="0" t="n">
        <v>40005.838</v>
      </c>
      <c r="M4" s="0" t="n">
        <v>32264.997</v>
      </c>
      <c r="N4" s="0" t="n">
        <v>7740.841</v>
      </c>
      <c r="O4" s="0" t="n">
        <v>209959.674</v>
      </c>
      <c r="P4" s="0" t="n">
        <v>1081239.213</v>
      </c>
      <c r="Q4" s="0" t="n">
        <v>819217.639</v>
      </c>
      <c r="R4" s="0" t="n">
        <v>191501.274</v>
      </c>
      <c r="S4" s="0" t="n">
        <v>140293.616</v>
      </c>
      <c r="T4" s="0" t="n">
        <v>13579.542</v>
      </c>
      <c r="AA4" s="0" t="s">
        <v>18</v>
      </c>
      <c r="AB4" s="0" t="s">
        <v>14</v>
      </c>
      <c r="AC4" s="0" t="n">
        <v>1.4</v>
      </c>
      <c r="AD4" s="0" t="n">
        <v>22623.691</v>
      </c>
    </row>
    <row r="5" customFormat="false" ht="15" hidden="false" customHeight="false" outlineLevel="0" collapsed="false">
      <c r="A5" s="0" t="s">
        <v>69</v>
      </c>
      <c r="B5" s="0" t="n">
        <v>910324.763</v>
      </c>
      <c r="C5" s="0" t="n">
        <v>825987.266</v>
      </c>
      <c r="D5" s="0" t="n">
        <v>84337.497</v>
      </c>
      <c r="E5" s="0" t="n">
        <v>9.3</v>
      </c>
      <c r="F5" s="0" t="n">
        <v>31020.589</v>
      </c>
      <c r="G5" s="0" t="n">
        <v>3.4</v>
      </c>
      <c r="H5" s="0" t="n">
        <v>54858.127</v>
      </c>
      <c r="I5" s="0" t="n">
        <v>22392.983</v>
      </c>
      <c r="J5" s="0" t="n">
        <v>2.5</v>
      </c>
      <c r="K5" s="0" t="n">
        <v>1.44</v>
      </c>
      <c r="L5" s="0" t="n">
        <v>40109.248</v>
      </c>
      <c r="M5" s="0" t="n">
        <v>31388.189</v>
      </c>
      <c r="N5" s="0" t="n">
        <v>8721.059</v>
      </c>
      <c r="O5" s="0" t="n">
        <v>254297.762</v>
      </c>
      <c r="P5" s="0" t="n">
        <v>1242792.799</v>
      </c>
      <c r="Q5" s="0" t="n">
        <v>929153.709</v>
      </c>
      <c r="R5" s="0" t="n">
        <v>215582.415</v>
      </c>
      <c r="S5" s="0" t="n">
        <v>167669.496</v>
      </c>
      <c r="T5" s="0" t="n">
        <v>13579.542</v>
      </c>
      <c r="AA5" s="0" t="s">
        <v>18</v>
      </c>
      <c r="AB5" s="0" t="s">
        <v>14</v>
      </c>
      <c r="AC5" s="0" t="n">
        <v>1.5</v>
      </c>
      <c r="AD5" s="0" t="n">
        <v>25708.674</v>
      </c>
    </row>
    <row r="6" customFormat="false" ht="15" hidden="false" customHeight="false" outlineLevel="0" collapsed="false">
      <c r="A6" s="0" t="s">
        <v>70</v>
      </c>
      <c r="B6" s="0" t="n">
        <v>1020010.179</v>
      </c>
      <c r="C6" s="0" t="n">
        <v>922126.888</v>
      </c>
      <c r="D6" s="0" t="n">
        <v>97883.291</v>
      </c>
      <c r="E6" s="0" t="n">
        <v>9.6</v>
      </c>
      <c r="F6" s="0" t="n">
        <v>34814.406</v>
      </c>
      <c r="G6" s="0" t="n">
        <v>3.4</v>
      </c>
      <c r="H6" s="0" t="n">
        <v>59718.694</v>
      </c>
      <c r="I6" s="0" t="n">
        <v>24690.556</v>
      </c>
      <c r="J6" s="0" t="n">
        <v>2.4</v>
      </c>
      <c r="K6" s="0" t="n">
        <v>1.6</v>
      </c>
      <c r="L6" s="0" t="n">
        <v>-7303.911</v>
      </c>
      <c r="M6" s="0" t="n">
        <v>32875.454</v>
      </c>
      <c r="N6" s="0" t="n">
        <v>-40179.365</v>
      </c>
      <c r="O6" s="0" t="n">
        <v>268789.292</v>
      </c>
      <c r="P6" s="0" t="n">
        <v>1352970.006</v>
      </c>
      <c r="Q6" s="0" t="n">
        <v>1006477.01</v>
      </c>
      <c r="R6" s="0" t="n">
        <v>229340.339</v>
      </c>
      <c r="S6" s="0" t="n">
        <v>109741.861</v>
      </c>
      <c r="T6" s="0" t="n">
        <v>13579.542</v>
      </c>
      <c r="AA6" s="0" t="s">
        <v>18</v>
      </c>
      <c r="AB6" s="0" t="s">
        <v>14</v>
      </c>
      <c r="AD6" s="0" t="n">
        <v>29315.202</v>
      </c>
    </row>
    <row r="7" customFormat="false" ht="15" hidden="false" customHeight="false" outlineLevel="0" collapsed="false">
      <c r="A7" s="0" t="s">
        <v>71</v>
      </c>
      <c r="B7" s="0" t="n">
        <v>1096312.867</v>
      </c>
      <c r="C7" s="0" t="n">
        <v>985747.674</v>
      </c>
      <c r="D7" s="0" t="n">
        <v>110565.193</v>
      </c>
      <c r="E7" s="0" t="n">
        <v>10.1</v>
      </c>
      <c r="F7" s="0" t="n">
        <v>37401.584</v>
      </c>
      <c r="G7" s="0" t="n">
        <v>3.4</v>
      </c>
      <c r="H7" s="0" t="n">
        <v>64762.445</v>
      </c>
      <c r="I7" s="0" t="n">
        <v>26680.796</v>
      </c>
      <c r="J7" s="0" t="n">
        <v>2.4</v>
      </c>
      <c r="K7" s="0" t="n">
        <v>1.76</v>
      </c>
      <c r="L7" s="0" t="n">
        <v>56134.952</v>
      </c>
      <c r="M7" s="0" t="n">
        <v>30260.294</v>
      </c>
      <c r="N7" s="0" t="n">
        <v>25874.658</v>
      </c>
      <c r="O7" s="0" t="n">
        <v>290398.039</v>
      </c>
      <c r="P7" s="0" t="n">
        <v>1523913.581</v>
      </c>
      <c r="Q7" s="0" t="n">
        <v>1137993.529</v>
      </c>
      <c r="R7" s="0" t="n">
        <v>258407.481</v>
      </c>
      <c r="S7" s="0" t="n">
        <v>144515.492</v>
      </c>
      <c r="T7" s="0" t="n">
        <v>13579.542</v>
      </c>
      <c r="AA7" s="0" t="s">
        <v>18</v>
      </c>
      <c r="AB7" s="0" t="s">
        <v>14</v>
      </c>
      <c r="AD7" s="0" t="n">
        <v>31794.29</v>
      </c>
    </row>
    <row r="8" customFormat="false" ht="15" hidden="false" customHeight="false" outlineLevel="0" collapsed="false">
      <c r="A8" s="0" t="s">
        <v>72</v>
      </c>
      <c r="B8" s="0" t="n">
        <v>1137993.486</v>
      </c>
      <c r="C8" s="0" t="n">
        <v>1019683.082</v>
      </c>
      <c r="D8" s="0" t="n">
        <v>118310.404</v>
      </c>
      <c r="E8" s="0" t="n">
        <v>10.4</v>
      </c>
      <c r="F8" s="0" t="n">
        <v>38593.709</v>
      </c>
      <c r="G8" s="0" t="n">
        <v>3.4</v>
      </c>
      <c r="H8" s="0" t="n">
        <v>68041.331</v>
      </c>
      <c r="I8" s="0" t="n">
        <v>26096.971</v>
      </c>
      <c r="J8" s="0" t="n">
        <v>2.3</v>
      </c>
      <c r="K8" s="0" t="n">
        <v>1.73</v>
      </c>
      <c r="L8" s="0" t="n">
        <v>20412.048</v>
      </c>
      <c r="M8" s="0" t="n">
        <v>34920.632</v>
      </c>
      <c r="N8" s="0" t="n">
        <v>-14508.584</v>
      </c>
      <c r="O8" s="0" t="n">
        <v>309837.517</v>
      </c>
      <c r="P8" s="0" t="n">
        <v>1663019.578</v>
      </c>
      <c r="Q8" s="0" t="n">
        <v>1245899.805</v>
      </c>
      <c r="R8" s="0" t="n">
        <v>332961.303</v>
      </c>
      <c r="S8" s="0" t="n">
        <v>152637.777</v>
      </c>
      <c r="T8" s="0" t="n">
        <v>13579.542</v>
      </c>
      <c r="AA8" s="0" t="s">
        <v>18</v>
      </c>
      <c r="AB8" s="0" t="s">
        <v>14</v>
      </c>
      <c r="AD8" s="0" t="n">
        <v>32328.729</v>
      </c>
    </row>
    <row r="9" customFormat="false" ht="15" hidden="false" customHeight="false" outlineLevel="0" collapsed="false">
      <c r="A9" s="0" t="s">
        <v>73</v>
      </c>
      <c r="B9" s="0" t="n">
        <v>1067171.337</v>
      </c>
      <c r="C9" s="0" t="n">
        <v>957601.788</v>
      </c>
      <c r="D9" s="0" t="n">
        <v>109569.549</v>
      </c>
      <c r="E9" s="0" t="n">
        <v>10.3</v>
      </c>
      <c r="F9" s="0" t="n">
        <v>32283.227</v>
      </c>
      <c r="G9" s="0" t="n">
        <v>3</v>
      </c>
      <c r="H9" s="0" t="n">
        <v>66151.174</v>
      </c>
      <c r="I9" s="0" t="n">
        <v>22215.074</v>
      </c>
      <c r="J9" s="0" t="n">
        <v>2.1</v>
      </c>
      <c r="K9" s="0" t="n">
        <v>1.46</v>
      </c>
      <c r="L9" s="0" t="n">
        <v>-31423.832</v>
      </c>
      <c r="M9" s="0" t="n">
        <v>37948.731</v>
      </c>
      <c r="N9" s="0" t="n">
        <v>-69372.563</v>
      </c>
      <c r="O9" s="0" t="n">
        <v>328251.08</v>
      </c>
      <c r="P9" s="0" t="n">
        <v>1862842.522</v>
      </c>
      <c r="Q9" s="0" t="n">
        <v>1440245.7</v>
      </c>
      <c r="R9" s="0" t="n">
        <v>494432.899</v>
      </c>
      <c r="S9" s="0" t="n">
        <v>167371.62</v>
      </c>
      <c r="T9" s="0" t="n">
        <v>13579.542</v>
      </c>
      <c r="AA9" s="0" t="s">
        <v>18</v>
      </c>
      <c r="AB9" s="0" t="s">
        <v>14</v>
      </c>
      <c r="AD9" s="0" t="n">
        <v>27078.377</v>
      </c>
    </row>
    <row r="10" customFormat="false" ht="15" hidden="false" customHeight="false" outlineLevel="0" collapsed="false">
      <c r="A10" s="0" t="s">
        <v>74</v>
      </c>
      <c r="B10" s="0" t="n">
        <v>1029784.46</v>
      </c>
      <c r="C10" s="0" t="n">
        <v>929666.968</v>
      </c>
      <c r="D10" s="0" t="n">
        <v>100117.492</v>
      </c>
      <c r="E10" s="0" t="n">
        <v>9.7</v>
      </c>
      <c r="F10" s="0" t="n">
        <v>26778.557</v>
      </c>
      <c r="G10" s="0" t="n">
        <v>2.6</v>
      </c>
      <c r="H10" s="0" t="n">
        <v>67853.088</v>
      </c>
      <c r="I10" s="0" t="n">
        <v>18362.618</v>
      </c>
      <c r="J10" s="0" t="n">
        <v>1.8</v>
      </c>
      <c r="K10" s="0" t="n">
        <v>1.18</v>
      </c>
      <c r="L10" s="0" t="n">
        <v>2956.977</v>
      </c>
      <c r="M10" s="0" t="n">
        <v>47600.546</v>
      </c>
      <c r="N10" s="0" t="n">
        <v>-44643.569</v>
      </c>
      <c r="O10" s="0" t="n">
        <v>340286.44</v>
      </c>
      <c r="P10" s="0" t="n">
        <v>2083825.209</v>
      </c>
      <c r="Q10" s="0" t="n">
        <v>1656870.354</v>
      </c>
      <c r="R10" s="0" t="n">
        <v>631697.23</v>
      </c>
      <c r="S10" s="0" t="n">
        <v>173308.252</v>
      </c>
      <c r="T10" s="0" t="n">
        <v>13579.542</v>
      </c>
      <c r="U10" s="0" t="n">
        <v>0</v>
      </c>
      <c r="AA10" s="0" t="s">
        <v>18</v>
      </c>
      <c r="AB10" s="0" t="s">
        <v>14</v>
      </c>
      <c r="AD10" s="0" t="n">
        <v>21686.845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4.385</v>
      </c>
    </row>
    <row r="3" customFormat="false" ht="15" hidden="false" customHeight="false" outlineLevel="0" collapsed="false">
      <c r="A3" s="0" t="s">
        <v>78</v>
      </c>
      <c r="B3" s="3" t="n">
        <v>13579.542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1029784.46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1.1728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-13</v>
      </c>
      <c r="D13" s="3" t="n">
        <v>-9</v>
      </c>
      <c r="E13" s="3" t="n">
        <v>-6</v>
      </c>
      <c r="F13" s="3" t="n">
        <v>-4</v>
      </c>
      <c r="G13" s="3" t="n">
        <v>-2</v>
      </c>
      <c r="H13" s="3" t="n">
        <v>-1</v>
      </c>
      <c r="I13" s="3" t="n">
        <v>0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99</v>
      </c>
      <c r="C14" s="3" t="n">
        <v>5.1</v>
      </c>
      <c r="D14" s="3" t="n">
        <v>4.9</v>
      </c>
      <c r="E14" s="3" t="n">
        <v>4.8</v>
      </c>
      <c r="F14" s="3" t="n">
        <v>4.8</v>
      </c>
      <c r="G14" s="3" t="n">
        <v>4.8</v>
      </c>
      <c r="H14" s="3" t="n">
        <v>4.8</v>
      </c>
      <c r="I14" s="3" t="n">
        <v>4.8</v>
      </c>
      <c r="J14" s="3" t="n">
        <v>4.8</v>
      </c>
      <c r="K14" s="3" t="n">
        <v>4.8</v>
      </c>
      <c r="L14" s="3" t="n">
        <v>4.8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102</v>
      </c>
      <c r="C17" s="3" t="n">
        <v>2.8</v>
      </c>
      <c r="D17" s="3" t="n">
        <v>2.8</v>
      </c>
      <c r="E17" s="3" t="n">
        <v>2.8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103</v>
      </c>
      <c r="C18" s="3" t="n">
        <v>5</v>
      </c>
      <c r="D18" s="3" t="n">
        <v>4.8</v>
      </c>
      <c r="E18" s="3" t="n">
        <v>4.6</v>
      </c>
      <c r="F18" s="3" t="n">
        <v>4.4</v>
      </c>
      <c r="G18" s="3" t="n">
        <v>4.2</v>
      </c>
      <c r="H18" s="3" t="n">
        <v>4</v>
      </c>
      <c r="I18" s="3" t="n">
        <v>3.8</v>
      </c>
      <c r="J18" s="3" t="n">
        <v>3.6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104</v>
      </c>
      <c r="C19" s="3" t="n">
        <v>42</v>
      </c>
      <c r="D19" s="3" t="n">
        <v>42</v>
      </c>
      <c r="E19" s="3" t="n">
        <v>42</v>
      </c>
      <c r="F19" s="3" t="n">
        <v>42</v>
      </c>
      <c r="G19" s="3" t="n">
        <v>42</v>
      </c>
      <c r="H19" s="3" t="n">
        <v>42</v>
      </c>
      <c r="I19" s="3" t="n">
        <v>42</v>
      </c>
      <c r="J19" s="3" t="n">
        <v>42</v>
      </c>
      <c r="K19" s="3" t="n">
        <v>42</v>
      </c>
      <c r="L19" s="3" t="n">
        <v>42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0.5</v>
      </c>
    </row>
    <row r="22" customFormat="false" ht="15" hidden="false" customHeight="false" outlineLevel="0" collapsed="false">
      <c r="A22" s="0" t="s">
        <v>107</v>
      </c>
      <c r="B22" s="3" t="n">
        <v>8</v>
      </c>
    </row>
    <row r="23" customFormat="false" ht="15" hidden="false" customHeight="false" outlineLevel="0" collapsed="false">
      <c r="A23" s="0" t="s">
        <v>108</v>
      </c>
      <c r="B23" s="3" t="n">
        <v>10</v>
      </c>
    </row>
    <row r="24" customFormat="false" ht="15" hidden="false" customHeight="false" outlineLevel="0" collapsed="false">
      <c r="A24" s="0" t="s">
        <v>109</v>
      </c>
      <c r="B24" s="3" t="n">
        <v>0.35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-10</v>
      </c>
      <c r="D27" s="3" t="n">
        <v>-5</v>
      </c>
      <c r="E27" s="3" t="n">
        <v>-2</v>
      </c>
      <c r="F27" s="3" t="n">
        <v>0</v>
      </c>
      <c r="G27" s="3" t="n">
        <v>1</v>
      </c>
      <c r="H27" s="3" t="n">
        <v>1.5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5.3</v>
      </c>
      <c r="D28" s="3" t="n">
        <v>5.3</v>
      </c>
      <c r="E28" s="3" t="n">
        <v>5.4</v>
      </c>
      <c r="F28" s="3" t="n">
        <v>5.45</v>
      </c>
      <c r="G28" s="3" t="n">
        <v>5.5</v>
      </c>
      <c r="H28" s="3" t="n">
        <v>5.5</v>
      </c>
      <c r="I28" s="3" t="n">
        <v>5.5</v>
      </c>
      <c r="J28" s="3" t="n">
        <v>5.5</v>
      </c>
      <c r="K28" s="3" t="n">
        <v>5.5</v>
      </c>
      <c r="L28" s="3" t="n">
        <v>5.5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102</v>
      </c>
      <c r="C31" s="3" t="n">
        <v>2.7</v>
      </c>
      <c r="D31" s="3" t="n">
        <v>2.8</v>
      </c>
      <c r="E31" s="3" t="n">
        <v>2.8</v>
      </c>
      <c r="F31" s="3" t="n">
        <v>2.8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103</v>
      </c>
      <c r="C32" s="3" t="n">
        <v>4.8</v>
      </c>
      <c r="D32" s="3" t="n">
        <v>4.4</v>
      </c>
      <c r="E32" s="3" t="n">
        <v>4</v>
      </c>
      <c r="F32" s="3" t="n">
        <v>3.6</v>
      </c>
      <c r="G32" s="3" t="n">
        <v>3.3</v>
      </c>
      <c r="H32" s="3" t="n">
        <v>3.1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104</v>
      </c>
      <c r="C33" s="3" t="n">
        <v>39</v>
      </c>
      <c r="D33" s="3" t="n">
        <v>39</v>
      </c>
      <c r="E33" s="3" t="n">
        <v>39</v>
      </c>
      <c r="F33" s="3" t="n">
        <v>39</v>
      </c>
      <c r="G33" s="3" t="n">
        <v>39</v>
      </c>
      <c r="H33" s="3" t="n">
        <v>39</v>
      </c>
      <c r="I33" s="3" t="n">
        <v>39</v>
      </c>
      <c r="J33" s="3" t="n">
        <v>39</v>
      </c>
      <c r="K33" s="3" t="n">
        <v>39</v>
      </c>
      <c r="L33" s="3" t="n">
        <v>39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1</v>
      </c>
    </row>
    <row r="36" customFormat="false" ht="15" hidden="false" customHeight="false" outlineLevel="0" collapsed="false">
      <c r="A36" s="0" t="s">
        <v>107</v>
      </c>
      <c r="B36" s="3" t="n">
        <v>10</v>
      </c>
    </row>
    <row r="37" customFormat="false" ht="15" hidden="false" customHeight="false" outlineLevel="0" collapsed="false">
      <c r="A37" s="0" t="s">
        <v>108</v>
      </c>
      <c r="B37" s="3" t="n">
        <v>0</v>
      </c>
    </row>
    <row r="38" customFormat="false" ht="15" hidden="false" customHeight="false" outlineLevel="0" collapsed="false">
      <c r="A38" s="0" t="s">
        <v>109</v>
      </c>
      <c r="B38" s="3" t="n">
        <v>0.45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-8</v>
      </c>
      <c r="D41" s="3" t="n">
        <v>-2</v>
      </c>
      <c r="E41" s="3" t="n">
        <v>1</v>
      </c>
      <c r="F41" s="3" t="n">
        <v>2</v>
      </c>
      <c r="G41" s="3" t="n">
        <v>3</v>
      </c>
      <c r="H41" s="3" t="n">
        <v>3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5.4</v>
      </c>
      <c r="D42" s="3" t="n">
        <v>5.6</v>
      </c>
      <c r="E42" s="3" t="n">
        <v>5.8</v>
      </c>
      <c r="F42" s="3" t="n">
        <v>6</v>
      </c>
      <c r="G42" s="3" t="n">
        <v>6</v>
      </c>
      <c r="H42" s="3" t="n">
        <v>6</v>
      </c>
      <c r="I42" s="3" t="n">
        <v>6</v>
      </c>
      <c r="J42" s="3" t="n">
        <v>6</v>
      </c>
      <c r="K42" s="3" t="n">
        <v>6</v>
      </c>
      <c r="L42" s="3" t="n">
        <v>6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102</v>
      </c>
      <c r="C45" s="3" t="n">
        <v>2.7</v>
      </c>
      <c r="D45" s="3" t="n">
        <v>2.7</v>
      </c>
      <c r="E45" s="3" t="n">
        <v>2.7</v>
      </c>
      <c r="F45" s="3" t="n">
        <v>2.7</v>
      </c>
      <c r="G45" s="3" t="n">
        <v>2.7</v>
      </c>
      <c r="H45" s="3" t="n">
        <v>2.7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103</v>
      </c>
      <c r="C46" s="3" t="n">
        <v>4.5</v>
      </c>
      <c r="D46" s="3" t="n">
        <v>4</v>
      </c>
      <c r="E46" s="3" t="n">
        <v>3.5</v>
      </c>
      <c r="F46" s="3" t="n">
        <v>3.1</v>
      </c>
      <c r="G46" s="3" t="n">
        <v>2.9</v>
      </c>
      <c r="H46" s="3" t="n">
        <v>2.9</v>
      </c>
      <c r="I46" s="3" t="n">
        <v>2.9</v>
      </c>
      <c r="J46" s="3" t="n">
        <v>2.9</v>
      </c>
      <c r="K46" s="3" t="n">
        <v>2.9</v>
      </c>
      <c r="L46" s="3" t="n">
        <v>2.9</v>
      </c>
    </row>
    <row r="47" customFormat="false" ht="15" hidden="false" customHeight="false" outlineLevel="0" collapsed="false">
      <c r="A47" s="0" t="s">
        <v>104</v>
      </c>
      <c r="C47" s="3" t="n">
        <v>37</v>
      </c>
      <c r="D47" s="3" t="n">
        <v>37</v>
      </c>
      <c r="E47" s="3" t="n">
        <v>37</v>
      </c>
      <c r="F47" s="3" t="n">
        <v>37</v>
      </c>
      <c r="G47" s="3" t="n">
        <v>37</v>
      </c>
      <c r="H47" s="3" t="n">
        <v>37</v>
      </c>
      <c r="I47" s="3" t="n">
        <v>37</v>
      </c>
      <c r="J47" s="3" t="n">
        <v>37</v>
      </c>
      <c r="K47" s="3" t="n">
        <v>37</v>
      </c>
      <c r="L47" s="3" t="n">
        <v>37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1.5</v>
      </c>
    </row>
    <row r="50" customFormat="false" ht="15" hidden="false" customHeight="false" outlineLevel="0" collapsed="false">
      <c r="A50" s="0" t="s">
        <v>107</v>
      </c>
      <c r="B50" s="3" t="n">
        <v>10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-13</v>
      </c>
      <c r="D5" s="4" t="n">
        <f aca="false">Assumptions!D13</f>
        <v>-9</v>
      </c>
      <c r="E5" s="4" t="n">
        <f aca="false">Assumptions!E13</f>
        <v>-6</v>
      </c>
      <c r="F5" s="4" t="n">
        <f aca="false">Assumptions!F13</f>
        <v>-4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1029784.46</v>
      </c>
      <c r="C6" s="0" t="n">
        <f aca="false">B6*(1+C5/100)</f>
        <v>895912.4802</v>
      </c>
      <c r="D6" s="0" t="n">
        <f aca="false">C6*(1+D5/100)</f>
        <v>815280.356982</v>
      </c>
      <c r="E6" s="0" t="n">
        <f aca="false">D6*(1+E5/100)</f>
        <v>766363.53556308</v>
      </c>
      <c r="F6" s="0" t="n">
        <f aca="false">E6*(1+F5/100)</f>
        <v>735708.994140557</v>
      </c>
      <c r="G6" s="0" t="n">
        <f aca="false">F6*(1+G5/100)</f>
        <v>720994.814257746</v>
      </c>
      <c r="H6" s="0" t="n">
        <f aca="false">G6*(1+H5/100)</f>
        <v>713784.866115168</v>
      </c>
      <c r="I6" s="0" t="n">
        <f aca="false">H6*(1+I5/100)</f>
        <v>713784.866115168</v>
      </c>
      <c r="J6" s="0" t="n">
        <f aca="false">I6*(1+J5/100)</f>
        <v>713784.866115168</v>
      </c>
      <c r="K6" s="0" t="n">
        <f aca="false">J6*(1+K5/100)</f>
        <v>713784.866115168</v>
      </c>
      <c r="L6" s="0" t="n">
        <f aca="false">K6*(1+L5/100)</f>
        <v>713784.866115168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5.1</v>
      </c>
      <c r="D7" s="4" t="n">
        <f aca="false">Assumptions!D14</f>
        <v>4.9</v>
      </c>
      <c r="E7" s="4" t="n">
        <f aca="false">Assumptions!E14</f>
        <v>4.8</v>
      </c>
      <c r="F7" s="4" t="n">
        <f aca="false">Assumptions!F14</f>
        <v>4.8</v>
      </c>
      <c r="G7" s="4" t="n">
        <f aca="false">Assumptions!G14</f>
        <v>4.8</v>
      </c>
      <c r="H7" s="4" t="n">
        <f aca="false">Assumptions!H14</f>
        <v>4.8</v>
      </c>
      <c r="I7" s="4" t="n">
        <f aca="false">Assumptions!I14</f>
        <v>4.8</v>
      </c>
      <c r="J7" s="4" t="n">
        <f aca="false">Assumptions!J14</f>
        <v>4.8</v>
      </c>
      <c r="K7" s="4" t="n">
        <f aca="false">Assumptions!K14</f>
        <v>4.8</v>
      </c>
      <c r="L7" s="4" t="n">
        <f aca="false">Assumptions!L14</f>
        <v>4.8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45691.5364902</v>
      </c>
      <c r="D8" s="0" t="n">
        <f aca="false">D6*D7/100</f>
        <v>39948.737492118</v>
      </c>
      <c r="E8" s="0" t="n">
        <f aca="false">E6*E7/100</f>
        <v>36785.4497070278</v>
      </c>
      <c r="F8" s="0" t="n">
        <f aca="false">F6*F7/100</f>
        <v>35314.0317187467</v>
      </c>
      <c r="G8" s="0" t="n">
        <f aca="false">G6*G7/100</f>
        <v>34607.7510843718</v>
      </c>
      <c r="H8" s="0" t="n">
        <f aca="false">H6*H7/100</f>
        <v>34261.6735735281</v>
      </c>
      <c r="I8" s="0" t="n">
        <f aca="false">I6*I7/100</f>
        <v>34261.6735735281</v>
      </c>
      <c r="J8" s="0" t="n">
        <f aca="false">J6*J7/100</f>
        <v>34261.6735735281</v>
      </c>
      <c r="K8" s="0" t="n">
        <f aca="false">K6*K7/100</f>
        <v>34261.6735735281</v>
      </c>
      <c r="L8" s="0" t="n">
        <f aca="false">L6*L7/100</f>
        <v>34261.6735735281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43451.7552897</v>
      </c>
      <c r="D11" s="0" t="n">
        <f aca="false">D8+D10+D24</f>
        <v>37910.536599663</v>
      </c>
      <c r="E11" s="0" t="n">
        <f aca="false">E8+E10+E24</f>
        <v>34869.5408681201</v>
      </c>
      <c r="F11" s="0" t="n">
        <f aca="false">F8+F10+F24</f>
        <v>33474.7592333953</v>
      </c>
      <c r="G11" s="0" t="n">
        <f aca="false">G8+G10+G24</f>
        <v>32805.2640487274</v>
      </c>
      <c r="H11" s="0" t="n">
        <f aca="false">H8+H10+H24</f>
        <v>32477.2114082402</v>
      </c>
      <c r="I11" s="0" t="n">
        <f aca="false">I8+I10+I24</f>
        <v>32477.2114082402</v>
      </c>
      <c r="J11" s="0" t="n">
        <f aca="false">J8+J10+J24</f>
        <v>32477.2114082402</v>
      </c>
      <c r="K11" s="0" t="n">
        <f aca="false">K8+K10+K24</f>
        <v>32477.2114082402</v>
      </c>
      <c r="L11" s="0" t="n">
        <f aca="false">L8+L10+L24</f>
        <v>32477.2114082402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-25085.5494456</v>
      </c>
      <c r="D12" s="4" t="n">
        <f aca="false">-D6*Assumptions!D17/100</f>
        <v>-22827.849995496</v>
      </c>
      <c r="E12" s="4" t="n">
        <f aca="false">-E6*Assumptions!E17/100</f>
        <v>-21458.1789957662</v>
      </c>
      <c r="F12" s="4" t="n">
        <f aca="false">-F6*Assumptions!F17/100</f>
        <v>-20599.8518359356</v>
      </c>
      <c r="G12" s="4" t="n">
        <f aca="false">-G6*Assumptions!G17/100</f>
        <v>-20187.8547992169</v>
      </c>
      <c r="H12" s="4" t="n">
        <f aca="false">-H6*Assumptions!H17/100</f>
        <v>-19985.9762512247</v>
      </c>
      <c r="I12" s="4" t="n">
        <f aca="false">-I6*Assumptions!I17/100</f>
        <v>-19985.9762512247</v>
      </c>
      <c r="J12" s="4" t="n">
        <f aca="false">-J6*Assumptions!J17/100</f>
        <v>-19985.9762512247</v>
      </c>
      <c r="K12" s="4" t="n">
        <f aca="false">-K6*Assumptions!K17/100</f>
        <v>-19985.9762512247</v>
      </c>
      <c r="L12" s="4" t="n">
        <f aca="false">-L6*Assumptions!L17/100</f>
        <v>-19985.9762512247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18366.2058441</v>
      </c>
      <c r="D13" s="0" t="n">
        <f aca="false">D11+D12</f>
        <v>15082.686604167</v>
      </c>
      <c r="E13" s="0" t="n">
        <f aca="false">E11+E12</f>
        <v>13411.3618723539</v>
      </c>
      <c r="F13" s="0" t="n">
        <f aca="false">F11+F12</f>
        <v>12874.9073974597</v>
      </c>
      <c r="G13" s="0" t="n">
        <f aca="false">G11+G12</f>
        <v>12617.4092495106</v>
      </c>
      <c r="H13" s="0" t="n">
        <f aca="false">H11+H12</f>
        <v>12491.2351570154</v>
      </c>
      <c r="I13" s="0" t="n">
        <f aca="false">I11+I12</f>
        <v>12491.2351570154</v>
      </c>
      <c r="J13" s="0" t="n">
        <f aca="false">J11+J12</f>
        <v>12491.2351570154</v>
      </c>
      <c r="K13" s="0" t="n">
        <f aca="false">K11+K12</f>
        <v>12491.2351570154</v>
      </c>
      <c r="L13" s="0" t="n">
        <f aca="false">L11+L12</f>
        <v>12491.2351570154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42</v>
      </c>
      <c r="D14" s="4" t="n">
        <f aca="false">Assumptions!D19</f>
        <v>42</v>
      </c>
      <c r="E14" s="4" t="n">
        <f aca="false">Assumptions!E19</f>
        <v>42</v>
      </c>
      <c r="F14" s="4" t="n">
        <f aca="false">Assumptions!F19</f>
        <v>42</v>
      </c>
      <c r="G14" s="4" t="n">
        <f aca="false">Assumptions!G19</f>
        <v>42</v>
      </c>
      <c r="H14" s="4" t="n">
        <f aca="false">Assumptions!H19</f>
        <v>42</v>
      </c>
      <c r="I14" s="4" t="n">
        <f aca="false">Assumptions!I19</f>
        <v>42</v>
      </c>
      <c r="J14" s="4" t="n">
        <f aca="false">Assumptions!J19</f>
        <v>42</v>
      </c>
      <c r="K14" s="4" t="n">
        <f aca="false">Assumptions!K19</f>
        <v>42</v>
      </c>
      <c r="L14" s="4" t="n">
        <f aca="false">Assumptions!L19</f>
        <v>42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10652.399389578</v>
      </c>
      <c r="D15" s="0" t="n">
        <f aca="false">D13-MAX(0,D13)*D14/100</f>
        <v>8747.95823041687</v>
      </c>
      <c r="E15" s="0" t="n">
        <f aca="false">E13-MAX(0,E13)*E14/100</f>
        <v>7778.58988596526</v>
      </c>
      <c r="F15" s="0" t="n">
        <f aca="false">F13-MAX(0,F13)*F14/100</f>
        <v>7467.44629052665</v>
      </c>
      <c r="G15" s="0" t="n">
        <f aca="false">G13-MAX(0,G13)*G14/100</f>
        <v>7318.09736471612</v>
      </c>
      <c r="H15" s="0" t="n">
        <f aca="false">H13-MAX(0,H13)*H14/100</f>
        <v>7244.91639106896</v>
      </c>
      <c r="I15" s="0" t="n">
        <f aca="false">I13-MAX(0,I13)*I14/100</f>
        <v>7244.91639106896</v>
      </c>
      <c r="J15" s="0" t="n">
        <f aca="false">J13-MAX(0,J13)*J14/100</f>
        <v>7244.91639106896</v>
      </c>
      <c r="K15" s="0" t="n">
        <f aca="false">K13-MAX(0,K13)*K14/100</f>
        <v>7244.91639106896</v>
      </c>
      <c r="L15" s="0" t="n">
        <f aca="false">L13-MAX(0,L13)*L14/100</f>
        <v>7244.91639106896</v>
      </c>
    </row>
    <row r="16" customFormat="false" ht="15" hidden="false" customHeight="false" outlineLevel="0" collapsed="false">
      <c r="A16" s="0" t="s">
        <v>120</v>
      </c>
      <c r="C16" s="0" t="n">
        <f aca="false">-C12</f>
        <v>25085.5494456</v>
      </c>
      <c r="D16" s="0" t="n">
        <f aca="false">-D12</f>
        <v>22827.849995496</v>
      </c>
      <c r="E16" s="0" t="n">
        <f aca="false">-E12</f>
        <v>21458.1789957662</v>
      </c>
      <c r="F16" s="0" t="n">
        <f aca="false">-F12</f>
        <v>20599.8518359356</v>
      </c>
      <c r="G16" s="0" t="n">
        <f aca="false">-G12</f>
        <v>20187.8547992169</v>
      </c>
      <c r="H16" s="0" t="n">
        <f aca="false">-H12</f>
        <v>19985.9762512247</v>
      </c>
      <c r="I16" s="0" t="n">
        <f aca="false">-I12</f>
        <v>19985.9762512247</v>
      </c>
      <c r="J16" s="0" t="n">
        <f aca="false">-J12</f>
        <v>19985.9762512247</v>
      </c>
      <c r="K16" s="0" t="n">
        <f aca="false">-K12</f>
        <v>19985.9762512247</v>
      </c>
      <c r="L16" s="0" t="n">
        <f aca="false">-L12</f>
        <v>19985.9762512247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-44795.62401</v>
      </c>
      <c r="D17" s="4" t="n">
        <f aca="false">-D6*Assumptions!D18/100</f>
        <v>-39133.457135136</v>
      </c>
      <c r="E17" s="4" t="n">
        <f aca="false">-E6*Assumptions!E18/100</f>
        <v>-35252.7226359017</v>
      </c>
      <c r="F17" s="4" t="n">
        <f aca="false">-F6*Assumptions!F18/100</f>
        <v>-32371.1957421845</v>
      </c>
      <c r="G17" s="4" t="n">
        <f aca="false">-G6*Assumptions!G18/100</f>
        <v>-30281.7821988253</v>
      </c>
      <c r="H17" s="4" t="n">
        <f aca="false">-H6*Assumptions!H18/100</f>
        <v>-28551.3946446067</v>
      </c>
      <c r="I17" s="4" t="n">
        <f aca="false">-I6*Assumptions!I18/100</f>
        <v>-27123.8249123764</v>
      </c>
      <c r="J17" s="4" t="n">
        <f aca="false">-J6*Assumptions!J18/100</f>
        <v>-25696.2551801461</v>
      </c>
      <c r="K17" s="4" t="n">
        <f aca="false">-K6*Assumptions!K18/100</f>
        <v>-24982.4703140309</v>
      </c>
      <c r="L17" s="4" t="n">
        <f aca="false">-L6*Assumptions!L18/100</f>
        <v>-24982.4703140309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-13387.19798</v>
      </c>
      <c r="D18" s="4" t="n">
        <f aca="false">(D6-C6)*Assumptions!$B$23/100</f>
        <v>-8063.21232179999</v>
      </c>
      <c r="E18" s="4" t="n">
        <f aca="false">(E6-D6)*Assumptions!$B$23/100</f>
        <v>-4891.68214189201</v>
      </c>
      <c r="F18" s="4" t="n">
        <f aca="false">(F6-E6)*Assumptions!$B$23/100</f>
        <v>-3065.45414225232</v>
      </c>
      <c r="G18" s="4" t="n">
        <f aca="false">(G6-F6)*Assumptions!$B$23/100</f>
        <v>-1471.41798828112</v>
      </c>
      <c r="H18" s="4" t="n">
        <f aca="false">(H6-G6)*Assumptions!$B$23/100</f>
        <v>-720.994814257743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-22444.873154822</v>
      </c>
      <c r="D19" s="0" t="n">
        <f aca="false">D15+D16+D17+D18</f>
        <v>-15620.8612310231</v>
      </c>
      <c r="E19" s="0" t="n">
        <f aca="false">E15+E16+E17+E18</f>
        <v>-10907.6358960622</v>
      </c>
      <c r="F19" s="0" t="n">
        <f aca="false">F15+F16+F17+F18</f>
        <v>-7369.35175797458</v>
      </c>
      <c r="G19" s="0" t="n">
        <f aca="false">G15+G16+G17+G18</f>
        <v>-4247.24802317344</v>
      </c>
      <c r="H19" s="0" t="n">
        <f aca="false">H15+H16+H17+H18</f>
        <v>-2041.4968165708</v>
      </c>
      <c r="I19" s="0" t="n">
        <f aca="false">I15+I16+I17+I18</f>
        <v>107.067729917278</v>
      </c>
      <c r="J19" s="0" t="n">
        <f aca="false">J15+J16+J17+J18</f>
        <v>1534.63746214761</v>
      </c>
      <c r="K19" s="0" t="n">
        <f aca="false">K15+K16+K17+K18</f>
        <v>2248.42232826278</v>
      </c>
      <c r="L19" s="0" t="n">
        <f aca="false">L15+L16+L17+L18</f>
        <v>2248.42232826278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-20404.4301407473</v>
      </c>
      <c r="D21" s="0" t="n">
        <f aca="false">D19*D20</f>
        <v>-12909.802670267</v>
      </c>
      <c r="E21" s="0" t="n">
        <f aca="false">E19*E20</f>
        <v>-8195.06829155686</v>
      </c>
      <c r="F21" s="0" t="n">
        <f aca="false">F19*F20</f>
        <v>-5033.36640801487</v>
      </c>
      <c r="G21" s="0" t="n">
        <f aca="false">G19*G20</f>
        <v>-2637.20686190923</v>
      </c>
      <c r="H21" s="0" t="n">
        <f aca="false">H19*H20</f>
        <v>-1152.371731242</v>
      </c>
      <c r="I21" s="0" t="n">
        <f aca="false">I19*I20</f>
        <v>54.9426748075841</v>
      </c>
      <c r="J21" s="0" t="n">
        <f aca="false">J19*J20</f>
        <v>715.919702038195</v>
      </c>
      <c r="K21" s="0" t="n">
        <f aca="false">K19*K20</f>
        <v>953.550554511761</v>
      </c>
      <c r="L21" s="0" t="n">
        <f aca="false">L19*L20</f>
        <v>866.864140465238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-2239.7812005</v>
      </c>
      <c r="D24" s="0" t="n">
        <f aca="false">-D6*D23/100</f>
        <v>-2038.200892455</v>
      </c>
      <c r="E24" s="0" t="n">
        <f aca="false">-E6*E23/100</f>
        <v>-1915.9088389077</v>
      </c>
      <c r="F24" s="0" t="n">
        <f aca="false">-F6*F23/100</f>
        <v>-1839.27248535139</v>
      </c>
      <c r="G24" s="0" t="n">
        <f aca="false">-G6*G23/100</f>
        <v>-1802.48703564436</v>
      </c>
      <c r="H24" s="0" t="n">
        <f aca="false">-H6*H23/100</f>
        <v>-1784.46216528792</v>
      </c>
      <c r="I24" s="0" t="n">
        <f aca="false">-I6*I23/100</f>
        <v>-1784.46216528792</v>
      </c>
      <c r="J24" s="0" t="n">
        <f aca="false">-J6*J23/100</f>
        <v>-1784.46216528792</v>
      </c>
      <c r="K24" s="0" t="n">
        <f aca="false">-K6*K23/100</f>
        <v>-1784.46216528792</v>
      </c>
      <c r="L24" s="0" t="n">
        <f aca="false">-L6*L23/100</f>
        <v>-1784.46216528792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-47740.9690319145</v>
      </c>
    </row>
    <row r="31" customFormat="false" ht="15" hidden="false" customHeight="false" outlineLevel="0" collapsed="false">
      <c r="A31" s="0" t="s">
        <v>129</v>
      </c>
      <c r="B31" s="0" t="n">
        <f aca="false">L19</f>
        <v>2248.42232826278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23785.9414726747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17987.3786261022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17987.3786261022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6934.9131237219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-40806.0559081926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-40806.0559081926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-3.52422359819855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-1.80369979434402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-3.52422359819855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15583.8926889937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-3.46493588673927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-10</v>
      </c>
      <c r="D5" s="4" t="n">
        <f aca="false">Assumptions!D27</f>
        <v>-5</v>
      </c>
      <c r="E5" s="4" t="n">
        <f aca="false">Assumptions!E27</f>
        <v>-2</v>
      </c>
      <c r="F5" s="4" t="n">
        <f aca="false">Assumptions!F27</f>
        <v>0</v>
      </c>
      <c r="G5" s="4" t="n">
        <f aca="false">Assumptions!G27</f>
        <v>1</v>
      </c>
      <c r="H5" s="4" t="n">
        <f aca="false">Assumptions!H27</f>
        <v>1.5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1029784.46</v>
      </c>
      <c r="C6" s="0" t="n">
        <f aca="false">B6*(1+C5/100)</f>
        <v>926806.014</v>
      </c>
      <c r="D6" s="0" t="n">
        <f aca="false">C6*(1+D5/100)</f>
        <v>880465.7133</v>
      </c>
      <c r="E6" s="0" t="n">
        <f aca="false">D6*(1+E5/100)</f>
        <v>862856.399034</v>
      </c>
      <c r="F6" s="0" t="n">
        <f aca="false">E6*(1+F5/100)</f>
        <v>862856.399034</v>
      </c>
      <c r="G6" s="0" t="n">
        <f aca="false">F6*(1+G5/100)</f>
        <v>871484.96302434</v>
      </c>
      <c r="H6" s="0" t="n">
        <f aca="false">G6*(1+H5/100)</f>
        <v>884557.237469705</v>
      </c>
      <c r="I6" s="0" t="n">
        <f aca="false">H6*(1+I5/100)</f>
        <v>902248.382219099</v>
      </c>
      <c r="J6" s="0" t="n">
        <f aca="false">I6*(1+J5/100)</f>
        <v>920293.349863481</v>
      </c>
      <c r="K6" s="0" t="n">
        <f aca="false">J6*(1+K5/100)</f>
        <v>938699.216860751</v>
      </c>
      <c r="L6" s="0" t="n">
        <f aca="false">K6*(1+L5/100)</f>
        <v>957473.201197966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5.3</v>
      </c>
      <c r="D7" s="4" t="n">
        <f aca="false">Assumptions!D28</f>
        <v>5.3</v>
      </c>
      <c r="E7" s="4" t="n">
        <f aca="false">Assumptions!E28</f>
        <v>5.4</v>
      </c>
      <c r="F7" s="4" t="n">
        <f aca="false">Assumptions!F28</f>
        <v>5.45</v>
      </c>
      <c r="G7" s="4" t="n">
        <f aca="false">Assumptions!G28</f>
        <v>5.5</v>
      </c>
      <c r="H7" s="4" t="n">
        <f aca="false">Assumptions!H28</f>
        <v>5.5</v>
      </c>
      <c r="I7" s="4" t="n">
        <f aca="false">Assumptions!I28</f>
        <v>5.5</v>
      </c>
      <c r="J7" s="4" t="n">
        <f aca="false">Assumptions!J28</f>
        <v>5.5</v>
      </c>
      <c r="K7" s="4" t="n">
        <f aca="false">Assumptions!K28</f>
        <v>5.5</v>
      </c>
      <c r="L7" s="4" t="n">
        <f aca="false">Assumptions!L28</f>
        <v>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49120.718742</v>
      </c>
      <c r="D8" s="0" t="n">
        <f aca="false">D6*D7/100</f>
        <v>46664.6828049</v>
      </c>
      <c r="E8" s="0" t="n">
        <f aca="false">E6*E7/100</f>
        <v>46594.245547836</v>
      </c>
      <c r="F8" s="0" t="n">
        <f aca="false">F6*F7/100</f>
        <v>47025.673747353</v>
      </c>
      <c r="G8" s="0" t="n">
        <f aca="false">G6*G7/100</f>
        <v>47931.6729663387</v>
      </c>
      <c r="H8" s="0" t="n">
        <f aca="false">H6*H7/100</f>
        <v>48650.6480608338</v>
      </c>
      <c r="I8" s="0" t="n">
        <f aca="false">I6*I7/100</f>
        <v>49623.6610220504</v>
      </c>
      <c r="J8" s="0" t="n">
        <f aca="false">J6*J7/100</f>
        <v>50616.1342424915</v>
      </c>
      <c r="K8" s="0" t="n">
        <f aca="false">K6*K7/100</f>
        <v>51628.4569273413</v>
      </c>
      <c r="L8" s="0" t="n">
        <f aca="false">L6*L7/100</f>
        <v>52661.0260658881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46803.703707</v>
      </c>
      <c r="D11" s="0" t="n">
        <f aca="false">D8+D10+D24</f>
        <v>44463.51852165</v>
      </c>
      <c r="E11" s="0" t="n">
        <f aca="false">E8+E10+E24</f>
        <v>44437.104550251</v>
      </c>
      <c r="F11" s="0" t="n">
        <f aca="false">F8+F10+F24</f>
        <v>44868.532749768</v>
      </c>
      <c r="G11" s="0" t="n">
        <f aca="false">G8+G10+G24</f>
        <v>45752.9605587778</v>
      </c>
      <c r="H11" s="0" t="n">
        <f aca="false">H8+H10+H24</f>
        <v>46439.2549671595</v>
      </c>
      <c r="I11" s="0" t="n">
        <f aca="false">I8+I10+I24</f>
        <v>47368.0400665027</v>
      </c>
      <c r="J11" s="0" t="n">
        <f aca="false">J8+J10+J24</f>
        <v>48315.4008678328</v>
      </c>
      <c r="K11" s="0" t="n">
        <f aca="false">K8+K10+K24</f>
        <v>49281.7088851894</v>
      </c>
      <c r="L11" s="0" t="n">
        <f aca="false">L8+L10+L24</f>
        <v>50267.3430628932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-25023.762378</v>
      </c>
      <c r="D12" s="4" t="n">
        <f aca="false">-D6*Assumptions!D31/100</f>
        <v>-24653.0399724</v>
      </c>
      <c r="E12" s="4" t="n">
        <f aca="false">-E6*Assumptions!E31/100</f>
        <v>-24159.979172952</v>
      </c>
      <c r="F12" s="4" t="n">
        <f aca="false">-F6*Assumptions!F31/100</f>
        <v>-24159.979172952</v>
      </c>
      <c r="G12" s="4" t="n">
        <f aca="false">-G6*Assumptions!G31/100</f>
        <v>-23530.0940016572</v>
      </c>
      <c r="H12" s="4" t="n">
        <f aca="false">-H6*Assumptions!H31/100</f>
        <v>-23883.045411682</v>
      </c>
      <c r="I12" s="4" t="n">
        <f aca="false">-I6*Assumptions!I31/100</f>
        <v>-24360.7063199157</v>
      </c>
      <c r="J12" s="4" t="n">
        <f aca="false">-J6*Assumptions!J31/100</f>
        <v>-24847.920446314</v>
      </c>
      <c r="K12" s="4" t="n">
        <f aca="false">-K6*Assumptions!K31/100</f>
        <v>-25344.8788552403</v>
      </c>
      <c r="L12" s="4" t="n">
        <f aca="false">-L6*Assumptions!L31/100</f>
        <v>-25851.7764323451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21779.941329</v>
      </c>
      <c r="D13" s="0" t="n">
        <f aca="false">D11+D12</f>
        <v>19810.47854925</v>
      </c>
      <c r="E13" s="0" t="n">
        <f aca="false">E11+E12</f>
        <v>20277.125377299</v>
      </c>
      <c r="F13" s="0" t="n">
        <f aca="false">F11+F12</f>
        <v>20708.553576816</v>
      </c>
      <c r="G13" s="0" t="n">
        <f aca="false">G11+G12</f>
        <v>22222.8665571207</v>
      </c>
      <c r="H13" s="0" t="n">
        <f aca="false">H11+H12</f>
        <v>22556.2095554775</v>
      </c>
      <c r="I13" s="0" t="n">
        <f aca="false">I11+I12</f>
        <v>23007.333746587</v>
      </c>
      <c r="J13" s="0" t="n">
        <f aca="false">J11+J12</f>
        <v>23467.4804215188</v>
      </c>
      <c r="K13" s="0" t="n">
        <f aca="false">K11+K12</f>
        <v>23936.8300299491</v>
      </c>
      <c r="L13" s="0" t="n">
        <f aca="false">L11+L12</f>
        <v>24415.5666305481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39</v>
      </c>
      <c r="D14" s="4" t="n">
        <f aca="false">Assumptions!D33</f>
        <v>39</v>
      </c>
      <c r="E14" s="4" t="n">
        <f aca="false">Assumptions!E33</f>
        <v>39</v>
      </c>
      <c r="F14" s="4" t="n">
        <f aca="false">Assumptions!F33</f>
        <v>39</v>
      </c>
      <c r="G14" s="4" t="n">
        <f aca="false">Assumptions!G33</f>
        <v>39</v>
      </c>
      <c r="H14" s="4" t="n">
        <f aca="false">Assumptions!H33</f>
        <v>39</v>
      </c>
      <c r="I14" s="4" t="n">
        <f aca="false">Assumptions!I33</f>
        <v>39</v>
      </c>
      <c r="J14" s="4" t="n">
        <f aca="false">Assumptions!J33</f>
        <v>39</v>
      </c>
      <c r="K14" s="4" t="n">
        <f aca="false">Assumptions!K33</f>
        <v>39</v>
      </c>
      <c r="L14" s="4" t="n">
        <f aca="false">Assumptions!L33</f>
        <v>39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13285.76421069</v>
      </c>
      <c r="D15" s="0" t="n">
        <f aca="false">D13-MAX(0,D13)*D14/100</f>
        <v>12084.3919150425</v>
      </c>
      <c r="E15" s="0" t="n">
        <f aca="false">E13-MAX(0,E13)*E14/100</f>
        <v>12369.0464801524</v>
      </c>
      <c r="F15" s="0" t="n">
        <f aca="false">F13-MAX(0,F13)*F14/100</f>
        <v>12632.2176818578</v>
      </c>
      <c r="G15" s="0" t="n">
        <f aca="false">G13-MAX(0,G13)*G14/100</f>
        <v>13555.9485998436</v>
      </c>
      <c r="H15" s="0" t="n">
        <f aca="false">H13-MAX(0,H13)*H14/100</f>
        <v>13759.2878288413</v>
      </c>
      <c r="I15" s="0" t="n">
        <f aca="false">I13-MAX(0,I13)*I14/100</f>
        <v>14034.4735854181</v>
      </c>
      <c r="J15" s="0" t="n">
        <f aca="false">J13-MAX(0,J13)*J14/100</f>
        <v>14315.1630571264</v>
      </c>
      <c r="K15" s="0" t="n">
        <f aca="false">K13-MAX(0,K13)*K14/100</f>
        <v>14601.466318269</v>
      </c>
      <c r="L15" s="0" t="n">
        <f aca="false">L13-MAX(0,L13)*L14/100</f>
        <v>14893.4956446344</v>
      </c>
    </row>
    <row r="16" customFormat="false" ht="15" hidden="false" customHeight="false" outlineLevel="0" collapsed="false">
      <c r="A16" s="0" t="s">
        <v>120</v>
      </c>
      <c r="C16" s="0" t="n">
        <f aca="false">-C12</f>
        <v>25023.762378</v>
      </c>
      <c r="D16" s="0" t="n">
        <f aca="false">-D12</f>
        <v>24653.0399724</v>
      </c>
      <c r="E16" s="0" t="n">
        <f aca="false">-E12</f>
        <v>24159.979172952</v>
      </c>
      <c r="F16" s="0" t="n">
        <f aca="false">-F12</f>
        <v>24159.979172952</v>
      </c>
      <c r="G16" s="0" t="n">
        <f aca="false">-G12</f>
        <v>23530.0940016572</v>
      </c>
      <c r="H16" s="0" t="n">
        <f aca="false">-H12</f>
        <v>23883.045411682</v>
      </c>
      <c r="I16" s="0" t="n">
        <f aca="false">-I12</f>
        <v>24360.7063199157</v>
      </c>
      <c r="J16" s="0" t="n">
        <f aca="false">-J12</f>
        <v>24847.920446314</v>
      </c>
      <c r="K16" s="0" t="n">
        <f aca="false">-K12</f>
        <v>25344.8788552403</v>
      </c>
      <c r="L16" s="0" t="n">
        <f aca="false">-L12</f>
        <v>25851.7764323451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-44486.688672</v>
      </c>
      <c r="D17" s="4" t="n">
        <f aca="false">-D6*Assumptions!D32/100</f>
        <v>-38740.4913852</v>
      </c>
      <c r="E17" s="4" t="n">
        <f aca="false">-E6*Assumptions!E32/100</f>
        <v>-34514.25596136</v>
      </c>
      <c r="F17" s="4" t="n">
        <f aca="false">-F6*Assumptions!F32/100</f>
        <v>-31062.830365224</v>
      </c>
      <c r="G17" s="4" t="n">
        <f aca="false">-G6*Assumptions!G32/100</f>
        <v>-28759.0037798032</v>
      </c>
      <c r="H17" s="4" t="n">
        <f aca="false">-H6*Assumptions!H32/100</f>
        <v>-27421.2743615609</v>
      </c>
      <c r="I17" s="4" t="n">
        <f aca="false">-I6*Assumptions!I32/100</f>
        <v>-27067.451466573</v>
      </c>
      <c r="J17" s="4" t="n">
        <f aca="false">-J6*Assumptions!J32/100</f>
        <v>-27608.8004959044</v>
      </c>
      <c r="K17" s="4" t="n">
        <f aca="false">-K6*Assumptions!K32/100</f>
        <v>-28160.9765058225</v>
      </c>
      <c r="L17" s="4" t="n">
        <f aca="false">-L6*Assumptions!L32/100</f>
        <v>-28724.196035939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-6177.16208330999</v>
      </c>
      <c r="D19" s="0" t="n">
        <f aca="false">D15+D16+D17+D18</f>
        <v>-2003.05949775751</v>
      </c>
      <c r="E19" s="0" t="n">
        <f aca="false">E15+E16+E17+E18</f>
        <v>2014.76969174439</v>
      </c>
      <c r="F19" s="0" t="n">
        <f aca="false">F15+F16+F17+F18</f>
        <v>5729.36648958576</v>
      </c>
      <c r="G19" s="0" t="n">
        <f aca="false">G15+G16+G17+G18</f>
        <v>8327.03882169757</v>
      </c>
      <c r="H19" s="0" t="n">
        <f aca="false">H15+H16+H17+H18</f>
        <v>10221.0588789624</v>
      </c>
      <c r="I19" s="0" t="n">
        <f aca="false">I15+I16+I17+I18</f>
        <v>11327.7284387608</v>
      </c>
      <c r="J19" s="0" t="n">
        <f aca="false">J15+J16+J17+J18</f>
        <v>11554.283007536</v>
      </c>
      <c r="K19" s="0" t="n">
        <f aca="false">K15+K16+K17+K18</f>
        <v>11785.3686676867</v>
      </c>
      <c r="L19" s="0" t="n">
        <f aca="false">L15+L16+L17+L18</f>
        <v>12021.0760410405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-5615.60189391817</v>
      </c>
      <c r="D21" s="0" t="n">
        <f aca="false">D19*D20</f>
        <v>-1655.42107252687</v>
      </c>
      <c r="E21" s="0" t="n">
        <f aca="false">E19*E20</f>
        <v>1513.72628981547</v>
      </c>
      <c r="F21" s="0" t="n">
        <f aca="false">F19*F20</f>
        <v>3913.23440310482</v>
      </c>
      <c r="G21" s="0" t="n">
        <f aca="false">G19*G20</f>
        <v>5170.4359623334</v>
      </c>
      <c r="H21" s="0" t="n">
        <f aca="false">H19*H20</f>
        <v>5769.52127471898</v>
      </c>
      <c r="I21" s="0" t="n">
        <f aca="false">I19*I20</f>
        <v>5812.91580946294</v>
      </c>
      <c r="J21" s="0" t="n">
        <f aca="false">J19*J20</f>
        <v>5390.15829604746</v>
      </c>
      <c r="K21" s="0" t="n">
        <f aca="false">K19*K20</f>
        <v>4998.14678360764</v>
      </c>
      <c r="L21" s="0" t="n">
        <f aca="false">L19*L20</f>
        <v>4634.64519934527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-2317.015035</v>
      </c>
      <c r="D24" s="0" t="n">
        <f aca="false">-D6*D23/100</f>
        <v>-2201.16428325</v>
      </c>
      <c r="E24" s="0" t="n">
        <f aca="false">-E6*E23/100</f>
        <v>-2157.140997585</v>
      </c>
      <c r="F24" s="0" t="n">
        <f aca="false">-F6*F23/100</f>
        <v>-2157.140997585</v>
      </c>
      <c r="G24" s="0" t="n">
        <f aca="false">-G6*G23/100</f>
        <v>-2178.71240756085</v>
      </c>
      <c r="H24" s="0" t="n">
        <f aca="false">-H6*H23/100</f>
        <v>-2211.39309367426</v>
      </c>
      <c r="I24" s="0" t="n">
        <f aca="false">-I6*I23/100</f>
        <v>-2255.62095554775</v>
      </c>
      <c r="J24" s="0" t="n">
        <f aca="false">-J6*J23/100</f>
        <v>-2300.7333746587</v>
      </c>
      <c r="K24" s="0" t="n">
        <f aca="false">-K6*K23/100</f>
        <v>-2346.74804215188</v>
      </c>
      <c r="L24" s="0" t="n">
        <f aca="false">-L6*L23/100</f>
        <v>-2393.68300299491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29931.7610519909</v>
      </c>
    </row>
    <row r="31" customFormat="false" ht="15" hidden="false" customHeight="false" outlineLevel="0" collapsed="false">
      <c r="A31" s="0" t="s">
        <v>129</v>
      </c>
      <c r="B31" s="0" t="n">
        <f aca="false">L19</f>
        <v>12021.0760410405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134903.186682787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120210.760410405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120210.760410405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46346.4519934527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76278.2130454436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76278.2130454436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6.5877839075645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0.50234524687902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6.5877839075645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86723.4771532205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3.63314658044342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-8</v>
      </c>
      <c r="D5" s="4" t="n">
        <f aca="false">Assumptions!D41</f>
        <v>-2</v>
      </c>
      <c r="E5" s="4" t="n">
        <f aca="false">Assumptions!E41</f>
        <v>1</v>
      </c>
      <c r="F5" s="4" t="n">
        <f aca="false">Assumptions!F41</f>
        <v>2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1029784.46</v>
      </c>
      <c r="C6" s="0" t="n">
        <f aca="false">B6*(1+C5/100)</f>
        <v>947401.7032</v>
      </c>
      <c r="D6" s="0" t="n">
        <f aca="false">C6*(1+D5/100)</f>
        <v>928453.669136</v>
      </c>
      <c r="E6" s="0" t="n">
        <f aca="false">D6*(1+E5/100)</f>
        <v>937738.20582736</v>
      </c>
      <c r="F6" s="0" t="n">
        <f aca="false">E6*(1+F5/100)</f>
        <v>956492.969943907</v>
      </c>
      <c r="G6" s="0" t="n">
        <f aca="false">F6*(1+G5/100)</f>
        <v>985187.759042225</v>
      </c>
      <c r="H6" s="0" t="n">
        <f aca="false">G6*(1+H5/100)</f>
        <v>1014743.39181349</v>
      </c>
      <c r="I6" s="0" t="n">
        <f aca="false">H6*(1+I5/100)</f>
        <v>1045185.6935679</v>
      </c>
      <c r="J6" s="0" t="n">
        <f aca="false">I6*(1+J5/100)</f>
        <v>1076541.26437493</v>
      </c>
      <c r="K6" s="0" t="n">
        <f aca="false">J6*(1+K5/100)</f>
        <v>1108837.50230618</v>
      </c>
      <c r="L6" s="0" t="n">
        <f aca="false">K6*(1+L5/100)</f>
        <v>1142102.62737537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5.4</v>
      </c>
      <c r="D7" s="4" t="n">
        <f aca="false">Assumptions!D42</f>
        <v>5.6</v>
      </c>
      <c r="E7" s="4" t="n">
        <f aca="false">Assumptions!E42</f>
        <v>5.8</v>
      </c>
      <c r="F7" s="4" t="n">
        <f aca="false">Assumptions!F42</f>
        <v>6</v>
      </c>
      <c r="G7" s="4" t="n">
        <f aca="false">Assumptions!G42</f>
        <v>6</v>
      </c>
      <c r="H7" s="4" t="n">
        <f aca="false">Assumptions!H42</f>
        <v>6</v>
      </c>
      <c r="I7" s="4" t="n">
        <f aca="false">Assumptions!I42</f>
        <v>6</v>
      </c>
      <c r="J7" s="4" t="n">
        <f aca="false">Assumptions!J42</f>
        <v>6</v>
      </c>
      <c r="K7" s="4" t="n">
        <f aca="false">Assumptions!K42</f>
        <v>6</v>
      </c>
      <c r="L7" s="4" t="n">
        <f aca="false">Assumptions!L42</f>
        <v>6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51159.6919728</v>
      </c>
      <c r="D8" s="0" t="n">
        <f aca="false">D6*D7/100</f>
        <v>51993.405471616</v>
      </c>
      <c r="E8" s="0" t="n">
        <f aca="false">E6*E7/100</f>
        <v>54388.8159379869</v>
      </c>
      <c r="F8" s="0" t="n">
        <f aca="false">F6*F7/100</f>
        <v>57389.5781966344</v>
      </c>
      <c r="G8" s="0" t="n">
        <f aca="false">G6*G7/100</f>
        <v>59111.2655425335</v>
      </c>
      <c r="H8" s="0" t="n">
        <f aca="false">H6*H7/100</f>
        <v>60884.6035088095</v>
      </c>
      <c r="I8" s="0" t="n">
        <f aca="false">I6*I7/100</f>
        <v>62711.1416140738</v>
      </c>
      <c r="J8" s="0" t="n">
        <f aca="false">J6*J7/100</f>
        <v>64592.475862496</v>
      </c>
      <c r="K8" s="0" t="n">
        <f aca="false">K6*K7/100</f>
        <v>66530.2501383709</v>
      </c>
      <c r="L8" s="0" t="n">
        <f aca="false">L6*L7/100</f>
        <v>68526.157642522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48791.1877148</v>
      </c>
      <c r="D11" s="0" t="n">
        <f aca="false">D8+D10+D24</f>
        <v>49672.271298776</v>
      </c>
      <c r="E11" s="0" t="n">
        <f aca="false">E8+E10+E24</f>
        <v>52044.4704234185</v>
      </c>
      <c r="F11" s="0" t="n">
        <f aca="false">F8+F10+F24</f>
        <v>54998.3457717747</v>
      </c>
      <c r="G11" s="0" t="n">
        <f aca="false">G8+G10+G24</f>
        <v>56648.2961449279</v>
      </c>
      <c r="H11" s="0" t="n">
        <f aca="false">H8+H10+H24</f>
        <v>58347.7450292757</v>
      </c>
      <c r="I11" s="0" t="n">
        <f aca="false">I8+I10+I24</f>
        <v>60098.177380154</v>
      </c>
      <c r="J11" s="0" t="n">
        <f aca="false">J8+J10+J24</f>
        <v>61901.1227015586</v>
      </c>
      <c r="K11" s="0" t="n">
        <f aca="false">K8+K10+K24</f>
        <v>63758.1563826054</v>
      </c>
      <c r="L11" s="0" t="n">
        <f aca="false">L8+L10+L24</f>
        <v>65670.9010740836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-25579.8459864</v>
      </c>
      <c r="D12" s="4" t="n">
        <f aca="false">-D6*Assumptions!D45/100</f>
        <v>-25068.249066672</v>
      </c>
      <c r="E12" s="4" t="n">
        <f aca="false">-E6*Assumptions!E45/100</f>
        <v>-25318.9315573387</v>
      </c>
      <c r="F12" s="4" t="n">
        <f aca="false">-F6*Assumptions!F45/100</f>
        <v>-25825.3101884855</v>
      </c>
      <c r="G12" s="4" t="n">
        <f aca="false">-G6*Assumptions!G45/100</f>
        <v>-26600.0694941401</v>
      </c>
      <c r="H12" s="4" t="n">
        <f aca="false">-H6*Assumptions!H45/100</f>
        <v>-27398.0715789643</v>
      </c>
      <c r="I12" s="4" t="n">
        <f aca="false">-I6*Assumptions!I45/100</f>
        <v>-28220.0137263332</v>
      </c>
      <c r="J12" s="4" t="n">
        <f aca="false">-J6*Assumptions!J45/100</f>
        <v>-29066.6141381232</v>
      </c>
      <c r="K12" s="4" t="n">
        <f aca="false">-K6*Assumptions!K45/100</f>
        <v>-29938.6125622669</v>
      </c>
      <c r="L12" s="4" t="n">
        <f aca="false">-L6*Assumptions!L45/100</f>
        <v>-30836.7709391349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23211.3417284</v>
      </c>
      <c r="D13" s="0" t="n">
        <f aca="false">D11+D12</f>
        <v>24604.022232104</v>
      </c>
      <c r="E13" s="0" t="n">
        <f aca="false">E11+E12</f>
        <v>26725.5388660798</v>
      </c>
      <c r="F13" s="0" t="n">
        <f aca="false">F11+F12</f>
        <v>29173.0355832892</v>
      </c>
      <c r="G13" s="0" t="n">
        <f aca="false">G11+G12</f>
        <v>30048.2266507878</v>
      </c>
      <c r="H13" s="0" t="n">
        <f aca="false">H11+H12</f>
        <v>30949.6734503115</v>
      </c>
      <c r="I13" s="0" t="n">
        <f aca="false">I11+I12</f>
        <v>31878.1636538208</v>
      </c>
      <c r="J13" s="0" t="n">
        <f aca="false">J11+J12</f>
        <v>32834.5085634355</v>
      </c>
      <c r="K13" s="0" t="n">
        <f aca="false">K11+K12</f>
        <v>33819.5438203385</v>
      </c>
      <c r="L13" s="0" t="n">
        <f aca="false">L11+L12</f>
        <v>34834.1301349487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37</v>
      </c>
      <c r="D14" s="4" t="n">
        <f aca="false">Assumptions!D47</f>
        <v>37</v>
      </c>
      <c r="E14" s="4" t="n">
        <f aca="false">Assumptions!E47</f>
        <v>37</v>
      </c>
      <c r="F14" s="4" t="n">
        <f aca="false">Assumptions!F47</f>
        <v>37</v>
      </c>
      <c r="G14" s="4" t="n">
        <f aca="false">Assumptions!G47</f>
        <v>37</v>
      </c>
      <c r="H14" s="4" t="n">
        <f aca="false">Assumptions!H47</f>
        <v>37</v>
      </c>
      <c r="I14" s="4" t="n">
        <f aca="false">Assumptions!I47</f>
        <v>37</v>
      </c>
      <c r="J14" s="4" t="n">
        <f aca="false">Assumptions!J47</f>
        <v>37</v>
      </c>
      <c r="K14" s="4" t="n">
        <f aca="false">Assumptions!K47</f>
        <v>37</v>
      </c>
      <c r="L14" s="4" t="n">
        <f aca="false">Assumptions!L47</f>
        <v>37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14623.145288892</v>
      </c>
      <c r="D15" s="0" t="n">
        <f aca="false">D13-MAX(0,D13)*D14/100</f>
        <v>15500.5340062255</v>
      </c>
      <c r="E15" s="0" t="n">
        <f aca="false">E13-MAX(0,E13)*E14/100</f>
        <v>16837.0894856302</v>
      </c>
      <c r="F15" s="0" t="n">
        <f aca="false">F13-MAX(0,F13)*F14/100</f>
        <v>18379.0124174722</v>
      </c>
      <c r="G15" s="0" t="n">
        <f aca="false">G13-MAX(0,G13)*G14/100</f>
        <v>18930.3827899963</v>
      </c>
      <c r="H15" s="0" t="n">
        <f aca="false">H13-MAX(0,H13)*H14/100</f>
        <v>19498.2942736962</v>
      </c>
      <c r="I15" s="0" t="n">
        <f aca="false">I13-MAX(0,I13)*I14/100</f>
        <v>20083.2431019071</v>
      </c>
      <c r="J15" s="0" t="n">
        <f aca="false">J13-MAX(0,J13)*J14/100</f>
        <v>20685.7403949643</v>
      </c>
      <c r="K15" s="0" t="n">
        <f aca="false">K13-MAX(0,K13)*K14/100</f>
        <v>21306.3126068133</v>
      </c>
      <c r="L15" s="0" t="n">
        <f aca="false">L13-MAX(0,L13)*L14/100</f>
        <v>21945.5019850177</v>
      </c>
    </row>
    <row r="16" customFormat="false" ht="15" hidden="false" customHeight="false" outlineLevel="0" collapsed="false">
      <c r="A16" s="0" t="s">
        <v>120</v>
      </c>
      <c r="C16" s="0" t="n">
        <f aca="false">-C12</f>
        <v>25579.8459864</v>
      </c>
      <c r="D16" s="0" t="n">
        <f aca="false">-D12</f>
        <v>25068.249066672</v>
      </c>
      <c r="E16" s="0" t="n">
        <f aca="false">-E12</f>
        <v>25318.9315573387</v>
      </c>
      <c r="F16" s="0" t="n">
        <f aca="false">-F12</f>
        <v>25825.3101884855</v>
      </c>
      <c r="G16" s="0" t="n">
        <f aca="false">-G12</f>
        <v>26600.0694941401</v>
      </c>
      <c r="H16" s="0" t="n">
        <f aca="false">-H12</f>
        <v>27398.0715789643</v>
      </c>
      <c r="I16" s="0" t="n">
        <f aca="false">-I12</f>
        <v>28220.0137263332</v>
      </c>
      <c r="J16" s="0" t="n">
        <f aca="false">-J12</f>
        <v>29066.6141381232</v>
      </c>
      <c r="K16" s="0" t="n">
        <f aca="false">-K12</f>
        <v>29938.6125622669</v>
      </c>
      <c r="L16" s="0" t="n">
        <f aca="false">-L12</f>
        <v>30836.7709391349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-42633.076644</v>
      </c>
      <c r="D17" s="4" t="n">
        <f aca="false">-D6*Assumptions!D46/100</f>
        <v>-37138.14676544</v>
      </c>
      <c r="E17" s="4" t="n">
        <f aca="false">-E6*Assumptions!E46/100</f>
        <v>-32820.8372039576</v>
      </c>
      <c r="F17" s="4" t="n">
        <f aca="false">-F6*Assumptions!F46/100</f>
        <v>-29651.2820682611</v>
      </c>
      <c r="G17" s="4" t="n">
        <f aca="false">-G6*Assumptions!G46/100</f>
        <v>-28570.4450122245</v>
      </c>
      <c r="H17" s="4" t="n">
        <f aca="false">-H6*Assumptions!H46/100</f>
        <v>-29427.5583625912</v>
      </c>
      <c r="I17" s="4" t="n">
        <f aca="false">-I6*Assumptions!I46/100</f>
        <v>-30310.385113469</v>
      </c>
      <c r="J17" s="4" t="n">
        <f aca="false">-J6*Assumptions!J46/100</f>
        <v>-31219.6966668731</v>
      </c>
      <c r="K17" s="4" t="n">
        <f aca="false">-K6*Assumptions!K46/100</f>
        <v>-32156.2875668792</v>
      </c>
      <c r="L17" s="4" t="n">
        <f aca="false">-L6*Assumptions!L46/100</f>
        <v>-33120.9761938856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4119.13784</v>
      </c>
      <c r="D18" s="4" t="n">
        <f aca="false">(D6-C6)*Assumptions!$B$51/100</f>
        <v>947.4017032</v>
      </c>
      <c r="E18" s="4" t="n">
        <f aca="false">(E6-D6)*Assumptions!$B$51/100</f>
        <v>-464.226834568003</v>
      </c>
      <c r="F18" s="4" t="n">
        <f aca="false">(F6-E6)*Assumptions!$B$51/100</f>
        <v>-937.738205827359</v>
      </c>
      <c r="G18" s="4" t="n">
        <f aca="false">(G6-F6)*Assumptions!$B$51/100</f>
        <v>-1434.73945491586</v>
      </c>
      <c r="H18" s="4" t="n">
        <f aca="false">(H6-G6)*Assumptions!$B$51/100</f>
        <v>-1477.78163856334</v>
      </c>
      <c r="I18" s="4" t="n">
        <f aca="false">(I6-H6)*Assumptions!$B$51/100</f>
        <v>-1522.11508772024</v>
      </c>
      <c r="J18" s="4" t="n">
        <f aca="false">(J6-I6)*Assumptions!$B$51/100</f>
        <v>-1567.77854035185</v>
      </c>
      <c r="K18" s="4" t="n">
        <f aca="false">(K6-J6)*Assumptions!$B$51/100</f>
        <v>-1614.8118965624</v>
      </c>
      <c r="L18" s="4" t="n">
        <f aca="false">(L6-K6)*Assumptions!$B$51/100</f>
        <v>-1663.25625345927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1689.052471292</v>
      </c>
      <c r="D19" s="0" t="n">
        <f aca="false">D15+D16+D17+D18</f>
        <v>4378.03801065752</v>
      </c>
      <c r="E19" s="0" t="n">
        <f aca="false">E15+E16+E17+E18</f>
        <v>8870.95700444337</v>
      </c>
      <c r="F19" s="0" t="n">
        <f aca="false">F15+F16+F17+F18</f>
        <v>13615.3023318692</v>
      </c>
      <c r="G19" s="0" t="n">
        <f aca="false">G15+G16+G17+G18</f>
        <v>15525.267816996</v>
      </c>
      <c r="H19" s="0" t="n">
        <f aca="false">H15+H16+H17+H18</f>
        <v>15991.0258515059</v>
      </c>
      <c r="I19" s="0" t="n">
        <f aca="false">I15+I16+I17+I18</f>
        <v>16470.7566270511</v>
      </c>
      <c r="J19" s="0" t="n">
        <f aca="false">J15+J16+J17+J18</f>
        <v>16964.8793258626</v>
      </c>
      <c r="K19" s="0" t="n">
        <f aca="false">K15+K16+K17+K18</f>
        <v>17473.8257056385</v>
      </c>
      <c r="L19" s="0" t="n">
        <f aca="false">L15+L16+L17+L18</f>
        <v>17998.0404768077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1535.50224662909</v>
      </c>
      <c r="D21" s="0" t="n">
        <f aca="false">D19*D20</f>
        <v>3618.21323194836</v>
      </c>
      <c r="E21" s="0" t="n">
        <f aca="false">E19*E20</f>
        <v>6664.88129559982</v>
      </c>
      <c r="F21" s="0" t="n">
        <f aca="false">F19*F20</f>
        <v>9299.43469153007</v>
      </c>
      <c r="G21" s="0" t="n">
        <f aca="false">G19*G20</f>
        <v>9639.9698337769</v>
      </c>
      <c r="H21" s="0" t="n">
        <f aca="false">H19*H20</f>
        <v>9026.5172079911</v>
      </c>
      <c r="I21" s="0" t="n">
        <f aca="false">I19*I20</f>
        <v>8452.10247657347</v>
      </c>
      <c r="J21" s="0" t="n">
        <f aca="false">J19*J20</f>
        <v>7914.24140988244</v>
      </c>
      <c r="K21" s="0" t="n">
        <f aca="false">K19*K20</f>
        <v>7410.60786561719</v>
      </c>
      <c r="L21" s="0" t="n">
        <f aca="false">L19*L20</f>
        <v>6939.02372871428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-2368.504258</v>
      </c>
      <c r="D24" s="0" t="n">
        <f aca="false">-D6*D23/100</f>
        <v>-2321.13417284</v>
      </c>
      <c r="E24" s="0" t="n">
        <f aca="false">-E6*E23/100</f>
        <v>-2344.3455145684</v>
      </c>
      <c r="F24" s="0" t="n">
        <f aca="false">-F6*F23/100</f>
        <v>-2391.23242485977</v>
      </c>
      <c r="G24" s="0" t="n">
        <f aca="false">-G6*G23/100</f>
        <v>-2462.96939760556</v>
      </c>
      <c r="H24" s="0" t="n">
        <f aca="false">-H6*H23/100</f>
        <v>-2536.85847953373</v>
      </c>
      <c r="I24" s="0" t="n">
        <f aca="false">-I6*I23/100</f>
        <v>-2612.96423391974</v>
      </c>
      <c r="J24" s="0" t="n">
        <f aca="false">-J6*J23/100</f>
        <v>-2691.35316093733</v>
      </c>
      <c r="K24" s="0" t="n">
        <f aca="false">-K6*K23/100</f>
        <v>-2772.09375576545</v>
      </c>
      <c r="L24" s="0" t="n">
        <f aca="false">-L6*L23/100</f>
        <v>-2855.25656843842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70500.4939882627</v>
      </c>
    </row>
    <row r="31" customFormat="false" ht="15" hidden="false" customHeight="false" outlineLevel="0" collapsed="false">
      <c r="A31" s="0" t="s">
        <v>129</v>
      </c>
      <c r="B31" s="0" t="n">
        <f aca="false">L19</f>
        <v>17998.0404768077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214917.77745835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179980.404768077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179980.404768077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69390.2372871428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139890.731275406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139890.731275406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12.0816924193611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1.75523202265931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12.0816924193611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135318.600621924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7.56828870610743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-3.52422359819855</v>
      </c>
      <c r="C4" s="0" t="n">
        <f aca="false">B4/Assumptions!$B$2-1</f>
        <v>-1.80369979434402</v>
      </c>
      <c r="D4" s="4" t="n">
        <f aca="false">Assumptions!$B$24</f>
        <v>0.35</v>
      </c>
      <c r="E4" s="4" t="n">
        <f aca="false">DCF_Bear!$B$43</f>
        <v>-3.52422359819855</v>
      </c>
      <c r="F4" s="4" t="n">
        <f aca="false">DCF_Bear!$B$47</f>
        <v>-3.46493588673927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6.5877839075645</v>
      </c>
      <c r="C5" s="0" t="n">
        <f aca="false">B5/Assumptions!$B$2-1</f>
        <v>0.50234524687902</v>
      </c>
      <c r="D5" s="4" t="n">
        <f aca="false">Assumptions!$B$38</f>
        <v>0.45</v>
      </c>
      <c r="E5" s="4" t="n">
        <f aca="false">DCF_Base!$B$43</f>
        <v>6.5877839075645</v>
      </c>
      <c r="F5" s="4" t="n">
        <f aca="false">DCF_Base!$B$47</f>
        <v>3.63314658044342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12.0816924193611</v>
      </c>
      <c r="C6" s="0" t="n">
        <f aca="false">B6/Assumptions!$B$2-1</f>
        <v>1.75523202265931</v>
      </c>
      <c r="D6" s="4" t="n">
        <f aca="false">Assumptions!$B$52</f>
        <v>0.2</v>
      </c>
      <c r="E6" s="4" t="n">
        <f aca="false">DCF_Bull!$B$43</f>
        <v>12.0816924193611</v>
      </c>
      <c r="F6" s="4" t="n">
        <f aca="false">DCF_Bull!$B$47</f>
        <v>7.56828870610743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4.14736298290675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4.14736298290675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-0.05729834067398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1.93584614206228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7.17227306078441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6.5877839075645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6.05505110521284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5.29550807833448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3.63314658044342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0</v>
      </c>
      <c r="C22" s="3" t="n">
        <v>0.5</v>
      </c>
      <c r="D22" s="3" t="n">
        <v>1</v>
      </c>
      <c r="E22" s="3" t="n">
        <v>1.5</v>
      </c>
      <c r="F22" s="3" t="n">
        <v>2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7.81420135407336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7.81420135407336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7.81420135407336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7.81420135407336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7.81420135407336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7.17227306078441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7.17227306078441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7.17227306078441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7.17227306078441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7.17227306078441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6.5877839075645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6.5877839075645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6.5877839075645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6.5877839075645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6.5877839075645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5.72265210719928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5.89834872043502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6.05505110521284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6.05505110521284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6.05505110521284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5.01188207595586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5.14752929448477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5.29550807833448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5.4575800796937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5.56900458062815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2026-10-16T05:55:16Z</dcterms:created>
  <dc:creator>openpyxl</dc:creator>
  <dc:description/>
  <dc:language>en-NZ</dc:language>
  <cp:lastModifiedBy/>
  <dcterms:modified xsi:type="dcterms:W3CDTF">2026-10-16T05:55:16Z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