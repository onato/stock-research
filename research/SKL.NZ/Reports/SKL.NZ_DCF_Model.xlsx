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0&quot;x&quot;"/>
    <numFmt numFmtId="167" formatCode="#,##0.000"/>
    <numFmt numFmtId="168" formatCode="0.000"/>
    <numFmt numFmtId="169" formatCode="0.0&quot;x&quot;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00CC"/>
    </font>
    <font>
      <color rgb="000077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4506B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1" pivotButton="0" quotePrefix="0" xfId="0"/>
    <xf numFmtId="164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3" fillId="3" borderId="0" pivotButton="0" quotePrefix="0" xfId="0"/>
    <xf numFmtId="166" fontId="3" fillId="3" borderId="0" pivotButton="0" quotePrefix="0" xfId="0"/>
    <xf numFmtId="164" fontId="3" fillId="3" borderId="0" pivotButton="0" quotePrefix="0" xfId="0"/>
    <xf numFmtId="167" fontId="3" fillId="3" borderId="0" pivotButton="0" quotePrefix="0" xfId="0"/>
    <xf numFmtId="4" fontId="3" fillId="3" borderId="0" pivotButton="0" quotePrefix="0" xfId="0"/>
    <xf numFmtId="10" fontId="3" fillId="3" borderId="0" pivotButton="0" quotePrefix="0" xfId="0"/>
    <xf numFmtId="165" fontId="2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168" fontId="4" fillId="0" borderId="0" pivotButton="0" quotePrefix="0" xfId="0"/>
    <xf numFmtId="10" fontId="0" fillId="0" borderId="0" pivotButton="0" quotePrefix="0" xfId="0"/>
    <xf numFmtId="169" fontId="0" fillId="0" borderId="0" pivotButton="0" quotePrefix="0" xfId="0"/>
    <xf numFmtId="167" fontId="0" fillId="0" borderId="0" pivotButton="0" quotePrefix="0" xfId="0"/>
    <xf numFmtId="4" fontId="5" fillId="4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  <xf numFmtId="4" fontId="4" fillId="0" borderId="0" pivotButton="0" quotePrefix="0" xfId="0"/>
    <xf numFmtId="165" fontId="3" fillId="0" borderId="0" pivotButton="0" quotePrefix="0" xfId="0"/>
    <xf numFmtId="10" fontId="3" fillId="0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1" t="inlineStr">
        <is>
          <t>SKL.NZ  Skellerup Holdings  DCF model  provenance and how to use it</t>
        </is>
      </c>
      <c r="B1" s="2" t="n"/>
    </row>
    <row r="3" ht="15" customHeight="1">
      <c r="A3" s="3" t="inlineStr">
        <is>
          <t>Version</t>
        </is>
      </c>
      <c r="B3" s="4" t="inlineStr">
        <is>
          <t>v1.0 -- first valuation of this ticker. Supersedes nothing; no prior SKL.NZ_DCF.json existed.</t>
        </is>
      </c>
    </row>
    <row r="4" ht="15" customHeight="1">
      <c r="A4" s="3" t="inlineStr">
        <is>
          <t>Built by</t>
        </is>
      </c>
      <c r="B4" s="4" t="inlineStr">
        <is>
          <t>dcf-analyst agent (Claude Opus 5), 2026-08-28, at the user request to value SKL.NZ.</t>
        </is>
      </c>
    </row>
    <row r="5" ht="15" customHeight="1">
      <c r="A5" s="3" t="inlineStr">
        <is>
          <t>Model</t>
        </is>
      </c>
      <c r="B5" s="4" t="inlineStr">
        <is>
          <t>Component-built owner-FCF DCF, 10-year explicit horizon, three probability-weighted scenarios.</t>
        </is>
      </c>
    </row>
    <row r="6" ht="30" customHeight="1">
      <c r="A6" s="3" t="inlineStr">
        <is>
          <t>Method source</t>
        </is>
      </c>
      <c r="B6" s="4" t="inlineStr">
        <is>
          <t>Routed via .claude/skills/dcf-methods/SKILL.md to references/owner-fcf.md, including the section 7 non-US / cyclical adaptations.</t>
        </is>
      </c>
    </row>
    <row r="7" ht="30" customHeight="1">
      <c r="A7" s="3" t="inlineStr">
        <is>
          <t>Why this model</t>
        </is>
      </c>
      <c r="B7" s="4" t="inlineStr">
        <is>
          <t>Skellerup is a straightforward profitable operating company (two-segment engineered polymer manufacturer) with a conservatively geared balance sheet. None of the bank / REIT / LIC / holdco / distressed exclusions apply.</t>
        </is>
      </c>
    </row>
    <row r="8" ht="15" customHeight="1">
      <c r="A8" s="3" t="inlineStr"/>
      <c r="B8" s="4" t="inlineStr"/>
    </row>
    <row r="9" ht="15" customHeight="1">
      <c r="A9" s="3" t="inlineStr">
        <is>
          <t>DATA VINTAGE -- all figures go stale</t>
        </is>
      </c>
      <c r="B9" s="4" t="inlineStr"/>
    </row>
    <row r="10" ht="30" customHeight="1">
      <c r="A10" s="3" t="inlineStr">
        <is>
          <t>Price</t>
        </is>
      </c>
      <c r="B10" s="4" t="inlineStr">
        <is>
          <t>NZ$7.48, Yahoo Finance regular session close 2026-08-28T04:59:59Z. 52-week range 4.91-7.59; the price sits at the TOP of its 10-year range. Verified live, not a frozen quote.</t>
        </is>
      </c>
    </row>
    <row r="11" ht="30" customHeight="1">
      <c r="A11" s="3" t="inlineStr">
        <is>
          <t>Latest actual year</t>
        </is>
      </c>
      <c r="B11" s="4" t="inlineStr">
        <is>
          <t>FY2026 (year to 30 June 2026), sourced from the 19-Aug-2026 results release -- NOT a published annual report. Refresh when the FY2026 annual report appears.</t>
        </is>
      </c>
    </row>
    <row r="12" ht="30" customHeight="1">
      <c r="A12" s="3" t="inlineStr">
        <is>
          <t>Balance sheet</t>
        </is>
      </c>
      <c r="B12" s="4" t="inlineStr">
        <is>
          <t>Net debt NZ$2.0m at 2026-06-30 (disclosed in the results release). FY2026 equity / total debt / cash columns are deliberately NULL; FY2025 book equity of NZ$240.2m at 2025-06-30 is used for book-value multiples.</t>
        </is>
      </c>
    </row>
    <row r="13" ht="15" customHeight="1">
      <c r="A13" s="3" t="inlineStr">
        <is>
          <t>Share count</t>
        </is>
      </c>
      <c r="B13" s="4" t="inlineStr">
        <is>
          <t>196,071,582 shares, flat since FY2024. Held flat in the model.</t>
        </is>
      </c>
    </row>
    <row r="14" ht="30" customHeight="1">
      <c r="A14" s="3" t="inlineStr">
        <is>
          <t>Guidance</t>
        </is>
      </c>
      <c r="B14" s="4" t="inlineStr">
        <is>
          <t>FY2027: management "broadly comfortable" with consensus, no point estimate issued. Medium-term ambition 11-12% compound earnings growth. Capex modestly below FY2026 NZ$15.1m. Tariffs "substantially offset" entering FY2027.</t>
        </is>
      </c>
    </row>
    <row r="15" ht="15" customHeight="1">
      <c r="A15" s="3" t="inlineStr"/>
      <c r="B15" s="4" t="inlineStr"/>
    </row>
    <row r="16" ht="15" customHeight="1">
      <c r="A16" s="3" t="inlineStr">
        <is>
          <t>METHODOLOGY CHOICES</t>
        </is>
      </c>
      <c r="B16" s="4" t="inlineStr"/>
    </row>
    <row r="17" ht="30" customHeight="1">
      <c r="A17" s="3" t="inlineStr">
        <is>
          <t>Normalisation</t>
        </is>
      </c>
      <c r="B17" s="4" t="inlineStr">
        <is>
          <t>FY2026 statutory NPAT of 67.7 includes a ~NZ$4.8m one-off Wigram fire insurance gain. The model anchors on NORMALISED NPAT 64.2 and NORMALISED EBIT 89.3 throughout. Never anchor terminal value on 67.7.</t>
        </is>
      </c>
    </row>
    <row r="18" ht="30" customHeight="1">
      <c r="A18" s="3" t="inlineStr">
        <is>
          <t>SBC</t>
        </is>
      </c>
      <c r="B18" s="4" t="inlineStr">
        <is>
          <t>Genuinely ZERO -- verified against every cash flow statement FY2015-FY2026. SBC rows are kept explicit at 0.0% per section 7(e) rather than deleted. House and street bases therefore coincide and band position is n/a, not 0%.</t>
        </is>
      </c>
    </row>
    <row r="19" ht="15" customHeight="1">
      <c r="A19" s="3" t="inlineStr">
        <is>
          <t>Share count treatment</t>
        </is>
      </c>
      <c r="B19" s="4" t="inlineStr">
        <is>
          <t>Flat. With zero SBC there is neither an SBC charge nor a dilution drag to allocate.</t>
        </is>
      </c>
    </row>
    <row r="20" ht="30" customHeight="1">
      <c r="A20" s="3" t="inlineStr">
        <is>
          <t>Leases</t>
        </is>
      </c>
      <c r="B20" s="4" t="inlineStr">
        <is>
          <t>No adjustment. Skellerup owner-occupies its principal plants; lease liabilities are immaterial and no lease principal is separately disclosed. lease_cost_pct is 0. Section 7(b) requires ONE treatment be chosen and stated -- this is it.</t>
        </is>
      </c>
    </row>
    <row r="21" ht="15" customHeight="1">
      <c r="A21" s="3" t="inlineStr">
        <is>
          <t>Minority interests</t>
        </is>
      </c>
      <c r="B21" s="4" t="inlineStr">
        <is>
          <t>None. No NCI deduction needed.</t>
        </is>
      </c>
    </row>
    <row r="22" ht="30" customHeight="1">
      <c r="A22" s="3" t="inlineStr">
        <is>
          <t>Working capital</t>
        </is>
      </c>
      <c r="B22" s="4" t="inlineStr">
        <is>
          <t>NEGATIVE capture of -8% of the revenue CHANGE. This is an inventory- and receivables-heavy manufacturer, so growth ABSORBS cash. Opposite sign to a prepaid subscription business.</t>
        </is>
      </c>
    </row>
    <row r="23" ht="30" customHeight="1">
      <c r="A23" s="3" t="inlineStr">
        <is>
          <t>WACC</t>
        </is>
      </c>
      <c r="B23" s="4" t="inlineStr">
        <is>
          <t>10.5% NZD-built, applied identically to all three scenarios. NZ 10y bond ~4.3% + ERP ~6.0% x beta ~1.05. No illiquidity premium (mid-cap at NZ$1.47bn). Per section 7(f) cyclical / tariff / dairy risk is charged ONCE in the flows and the weights, never a second time in the discount rate.</t>
        </is>
      </c>
    </row>
    <row r="24" ht="30" customHeight="1">
      <c r="A24" s="3" t="inlineStr">
        <is>
          <t>Terminal value</t>
        </is>
      </c>
      <c r="B24" s="4" t="inlineStr">
        <is>
          <t>max(0, min(Gordon, 15x year-10 owner FCF)). The 15x cap rather than 20x reflects a cyclical industrial. All three scenarios bind on Gordon; none hits the zero floor.</t>
        </is>
      </c>
    </row>
    <row r="25" ht="30" customHeight="1">
      <c r="A25" s="3" t="inlineStr">
        <is>
          <t>Horizon</t>
        </is>
      </c>
      <c r="B25" s="4" t="inlineStr">
        <is>
          <t>10 years. Required because the base-case margin is still fading at year 5 and must mature before being capitalised.</t>
        </is>
      </c>
    </row>
    <row r="26" ht="15" customHeight="1">
      <c r="A26" s="3" t="inlineStr"/>
      <c r="B26" s="4" t="inlineStr"/>
    </row>
    <row r="27" ht="30" customHeight="1">
      <c r="A27" s="3" t="inlineStr">
        <is>
          <t>WHOSE JUDGMENT</t>
        </is>
      </c>
      <c r="B27" s="4" t="inlineStr">
        <is>
          <t>The scenario driver paths are the dcf-analyst agent judgment as at 2026-08-28, set on the FY2026 results release, the Fonterra 2026/27 payout cut to $9.25/kgMS, and the disclosed tariff position. They are not management guidance.</t>
        </is>
      </c>
    </row>
    <row r="28" ht="30" customHeight="1">
      <c r="A28" s="3" t="inlineStr">
        <is>
          <t>THE CENTRAL ASSUMPTION</t>
        </is>
      </c>
      <c r="B28" s="4" t="inlineStr">
        <is>
          <t>Base case fades EBITDA margin from the all-time-high 27.5% to a mid-cycle 25.5%. Over ten years revenue compounded 6.32% while EBIT compounded 11.71% -- the whole wedge is margin expansion, which is finite. A bull must disagree with this one cell path.</t>
        </is>
      </c>
    </row>
    <row r="29" ht="30" customHeight="1">
      <c r="A29" s="3" t="inlineStr">
        <is>
          <t>REFRESH AFTER NEXT PRINT</t>
        </is>
      </c>
      <c r="B29" s="4" t="inlineStr">
        <is>
          <t>H1 FY2027 (Feb 2027): the FY2027 revenue growth rate (row 5) and the year-1 EBITDA margin (row 7) on each DCF tab, plus price, net debt and share count on Assumptions. Leave later-year paths alone unless the evidence actually touches them.</t>
        </is>
      </c>
    </row>
    <row r="30" ht="15" customHeight="1">
      <c r="A30" s="3" t="inlineStr"/>
      <c r="B30" s="4" t="inlineStr"/>
    </row>
    <row r="31" ht="30" customHeight="1">
      <c r="A31" s="3" t="inlineStr">
        <is>
          <t>COLOUR LEGEND</t>
        </is>
      </c>
      <c r="B31" s="4" t="inlineStr">
        <is>
          <t>Blue = hardcoded input. Yellow fill = key lever you are meant to flex. Black = formula. Green = cross-sheet link. Never paste a value over a formula.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SKL.NZ  reported history (NZD millions unless stated)  source: SKL.NZ_Metrics.csv, from filings + 19-Aug-2026 results release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3" t="inlineStr">
        <is>
          <t>Fiscal year (30 June)</t>
        </is>
      </c>
      <c r="B3" s="5" t="inlineStr">
        <is>
          <t>FY2017</t>
        </is>
      </c>
      <c r="C3" s="5" t="inlineStr">
        <is>
          <t>FY2018</t>
        </is>
      </c>
      <c r="D3" s="5" t="inlineStr">
        <is>
          <t>FY2019</t>
        </is>
      </c>
      <c r="E3" s="5" t="inlineStr">
        <is>
          <t>FY2020</t>
        </is>
      </c>
      <c r="F3" s="5" t="inlineStr">
        <is>
          <t>FY2021</t>
        </is>
      </c>
      <c r="G3" s="5" t="inlineStr">
        <is>
          <t>FY2022</t>
        </is>
      </c>
      <c r="H3" s="5" t="inlineStr">
        <is>
          <t>FY2023</t>
        </is>
      </c>
      <c r="I3" s="5" t="inlineStr">
        <is>
          <t>FY2024</t>
        </is>
      </c>
      <c r="J3" s="5" t="inlineStr">
        <is>
          <t>FY2025</t>
        </is>
      </c>
      <c r="K3" s="5" t="inlineStr">
        <is>
          <t>FY2026</t>
        </is>
      </c>
    </row>
    <row r="4">
      <c r="A4" s="3" t="inlineStr">
        <is>
          <t>Revenue</t>
        </is>
      </c>
      <c r="B4" s="6" t="n">
        <v>210.322</v>
      </c>
      <c r="C4" s="6" t="n">
        <v>240.408</v>
      </c>
      <c r="D4" s="6" t="n">
        <v>245.792</v>
      </c>
      <c r="E4" s="6" t="n">
        <v>251.389</v>
      </c>
      <c r="F4" s="6" t="n">
        <v>279.515</v>
      </c>
      <c r="G4" s="6" t="n">
        <v>316.829</v>
      </c>
      <c r="H4" s="6" t="n">
        <v>333.537</v>
      </c>
      <c r="I4" s="6" t="n">
        <v>330.578</v>
      </c>
      <c r="J4" s="6" t="n">
        <v>353.478</v>
      </c>
      <c r="K4" s="6" t="n">
        <v>390.1</v>
      </c>
    </row>
    <row r="5">
      <c r="A5" s="3" t="inlineStr">
        <is>
          <t>EBITDA (normalised)</t>
        </is>
      </c>
      <c r="B5" s="6" t="n">
        <v>40.638</v>
      </c>
      <c r="C5" s="6" t="n">
        <v>47.237</v>
      </c>
      <c r="D5" s="6" t="n">
        <v>48.93</v>
      </c>
      <c r="E5" s="6" t="n">
        <v>55.253</v>
      </c>
      <c r="F5" s="6" t="n">
        <v>68.73399999999999</v>
      </c>
      <c r="G5" s="6" t="n">
        <v>80.523</v>
      </c>
      <c r="H5" s="6" t="n">
        <v>86.892</v>
      </c>
      <c r="I5" s="6" t="n">
        <v>88.52</v>
      </c>
      <c r="J5" s="6" t="n">
        <v>94.943</v>
      </c>
      <c r="K5" s="6" t="n">
        <v>107.3</v>
      </c>
    </row>
    <row r="6">
      <c r="A6" s="3" t="inlineStr">
        <is>
          <t>EBIT (normalised)</t>
        </is>
      </c>
      <c r="B6" s="6" t="n">
        <v>32.849</v>
      </c>
      <c r="C6" s="6" t="n">
        <v>39.781</v>
      </c>
      <c r="D6" s="6" t="n">
        <v>41.798</v>
      </c>
      <c r="E6" s="6" t="n">
        <v>42.486</v>
      </c>
      <c r="F6" s="6" t="n">
        <v>56.361</v>
      </c>
      <c r="G6" s="6" t="n">
        <v>66.76000000000001</v>
      </c>
      <c r="H6" s="6" t="n">
        <v>71.65900000000001</v>
      </c>
      <c r="I6" s="6" t="n">
        <v>72.688</v>
      </c>
      <c r="J6" s="6" t="n">
        <v>78.036</v>
      </c>
      <c r="K6" s="6" t="n">
        <v>89.3</v>
      </c>
    </row>
    <row r="7">
      <c r="A7" s="3" t="inlineStr">
        <is>
          <t>Net profit -- statutory</t>
        </is>
      </c>
      <c r="B7" s="6" t="n">
        <v>22.11</v>
      </c>
      <c r="C7" s="6" t="n">
        <v>27.277</v>
      </c>
      <c r="D7" s="6" t="n">
        <v>29.063</v>
      </c>
      <c r="E7" s="6" t="n">
        <v>29.064</v>
      </c>
      <c r="F7" s="6" t="n">
        <v>40.175</v>
      </c>
      <c r="G7" s="6" t="n">
        <v>47.813</v>
      </c>
      <c r="H7" s="6" t="n">
        <v>50.941</v>
      </c>
      <c r="I7" s="6" t="n">
        <v>46.893</v>
      </c>
      <c r="J7" s="6" t="n">
        <v>54.549</v>
      </c>
      <c r="K7" s="6" t="n">
        <v>67.7</v>
      </c>
    </row>
    <row r="8">
      <c r="A8" s="3" t="inlineStr">
        <is>
          <t>Net profit -- NORMALISED</t>
        </is>
      </c>
      <c r="B8" s="6" t="n">
        <v>22.11</v>
      </c>
      <c r="C8" s="6" t="n">
        <v>27.277</v>
      </c>
      <c r="D8" s="6" t="n">
        <v>29.063</v>
      </c>
      <c r="E8" s="6" t="n">
        <v>29.064</v>
      </c>
      <c r="F8" s="6" t="n">
        <v>40.175</v>
      </c>
      <c r="G8" s="6" t="n">
        <v>47.813</v>
      </c>
      <c r="H8" s="6" t="n">
        <v>50.941</v>
      </c>
      <c r="I8" s="6" t="n">
        <v>50.014</v>
      </c>
      <c r="J8" s="6" t="n">
        <v>54.549</v>
      </c>
      <c r="K8" s="6" t="n">
        <v>64.2</v>
      </c>
    </row>
    <row r="9">
      <c r="A9" s="3" t="inlineStr">
        <is>
          <t>Operating cash flow</t>
        </is>
      </c>
      <c r="B9" s="6" t="n">
        <v>21.229</v>
      </c>
      <c r="C9" s="6" t="n">
        <v>28.345</v>
      </c>
      <c r="D9" s="6" t="n">
        <v>28.92</v>
      </c>
      <c r="E9" s="6" t="n">
        <v>48.006</v>
      </c>
      <c r="F9" s="6" t="n">
        <v>58.796</v>
      </c>
      <c r="G9" s="6" t="n">
        <v>43.322</v>
      </c>
      <c r="H9" s="6" t="n">
        <v>54.114</v>
      </c>
      <c r="I9" s="6" t="n">
        <v>70.81</v>
      </c>
      <c r="J9" s="6" t="n">
        <v>66.48699999999999</v>
      </c>
      <c r="K9" s="6" t="n">
        <v>83.59999999999999</v>
      </c>
    </row>
    <row r="10">
      <c r="A10" s="3" t="inlineStr">
        <is>
          <t>Capital expenditure</t>
        </is>
      </c>
      <c r="B10" s="6" t="n">
        <v>12.695</v>
      </c>
      <c r="C10" s="6" t="n">
        <v>5.428</v>
      </c>
      <c r="D10" s="6" t="n">
        <v>4.593</v>
      </c>
      <c r="E10" s="6" t="n">
        <v>4.383</v>
      </c>
      <c r="F10" s="6" t="n">
        <v>7.478</v>
      </c>
      <c r="G10" s="6" t="n">
        <v>10.186</v>
      </c>
      <c r="H10" s="6" t="n">
        <v>8.247</v>
      </c>
      <c r="I10" s="6" t="n">
        <v>9.444000000000001</v>
      </c>
      <c r="J10" s="6" t="n">
        <v>9.201000000000001</v>
      </c>
      <c r="K10" s="6" t="n">
        <v>15.1</v>
      </c>
    </row>
    <row r="11">
      <c r="A11" s="3" t="inlineStr">
        <is>
          <t>Shareholders equity (book)</t>
        </is>
      </c>
      <c r="B11" s="6" t="n">
        <v>159.247</v>
      </c>
      <c r="C11" s="6" t="n">
        <v>172.286</v>
      </c>
      <c r="D11" s="6" t="n">
        <v>178.392</v>
      </c>
      <c r="E11" s="6" t="n">
        <v>184.563</v>
      </c>
      <c r="F11" s="6" t="n">
        <v>196.149</v>
      </c>
      <c r="G11" s="6" t="n">
        <v>211.208</v>
      </c>
      <c r="H11" s="6" t="n">
        <v>225.436</v>
      </c>
      <c r="I11" s="6" t="n">
        <v>229.493</v>
      </c>
      <c r="J11" s="6" t="n">
        <v>240.19</v>
      </c>
      <c r="K11" s="6" t="n"/>
    </row>
    <row r="12">
      <c r="A12" s="3" t="inlineStr">
        <is>
          <t>Stock-based compensation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</row>
    <row r="13">
      <c r="A13" s="3" t="inlineStr">
        <is>
          <t>Shares outstanding (m)</t>
        </is>
      </c>
      <c r="B13" s="6" t="n">
        <v>192.806</v>
      </c>
      <c r="C13" s="6" t="n">
        <v>192.806</v>
      </c>
      <c r="D13" s="6" t="n">
        <v>194.289</v>
      </c>
      <c r="E13" s="6" t="n">
        <v>194.753</v>
      </c>
      <c r="F13" s="6" t="n">
        <v>195.102</v>
      </c>
      <c r="G13" s="6" t="n">
        <v>195.276</v>
      </c>
      <c r="H13" s="6" t="n">
        <v>195.804</v>
      </c>
      <c r="I13" s="6" t="n">
        <v>196.072</v>
      </c>
      <c r="J13" s="6" t="n">
        <v>196.072</v>
      </c>
      <c r="K13" s="6" t="n">
        <v>196.072</v>
      </c>
    </row>
    <row r="14">
      <c r="A14" s="3" t="inlineStr">
        <is>
          <t>Free cash flow (OCF less capex)</t>
        </is>
      </c>
      <c r="B14" s="7">
        <f>B9-B10</f>
        <v/>
      </c>
      <c r="C14" s="7">
        <f>C9-C10</f>
        <v/>
      </c>
      <c r="D14" s="7">
        <f>D9-D10</f>
        <v/>
      </c>
      <c r="E14" s="7">
        <f>E9-E10</f>
        <v/>
      </c>
      <c r="F14" s="7">
        <f>F9-F10</f>
        <v/>
      </c>
      <c r="G14" s="7">
        <f>G9-G10</f>
        <v/>
      </c>
      <c r="H14" s="7">
        <f>H9-H10</f>
        <v/>
      </c>
      <c r="I14" s="7">
        <f>I9-I10</f>
        <v/>
      </c>
      <c r="J14" s="7">
        <f>J9-J10</f>
        <v/>
      </c>
      <c r="K14" s="7">
        <f>K9-K10</f>
        <v/>
      </c>
    </row>
    <row r="15">
      <c r="A15" s="3" t="inlineStr">
        <is>
          <t>Owner FCF (identical: SBC is zero)</t>
        </is>
      </c>
      <c r="B15" s="7">
        <f>B14</f>
        <v/>
      </c>
      <c r="C15" s="7">
        <f>C14</f>
        <v/>
      </c>
      <c r="D15" s="7">
        <f>D14</f>
        <v/>
      </c>
      <c r="E15" s="7">
        <f>E14</f>
        <v/>
      </c>
      <c r="F15" s="7">
        <f>F14</f>
        <v/>
      </c>
      <c r="G15" s="7">
        <f>G14</f>
        <v/>
      </c>
      <c r="H15" s="7">
        <f>H14</f>
        <v/>
      </c>
      <c r="I15" s="7">
        <f>I14</f>
        <v/>
      </c>
      <c r="J15" s="7">
        <f>J14</f>
        <v/>
      </c>
      <c r="K15" s="7">
        <f>K14</f>
        <v/>
      </c>
    </row>
    <row r="16">
      <c r="A16" s="3" t="inlineStr">
        <is>
          <t>EBIT margin</t>
        </is>
      </c>
      <c r="B16" s="8">
        <f>B6/B4</f>
        <v/>
      </c>
      <c r="C16" s="8">
        <f>C6/C4</f>
        <v/>
      </c>
      <c r="D16" s="8">
        <f>D6/D4</f>
        <v/>
      </c>
      <c r="E16" s="8">
        <f>E6/E4</f>
        <v/>
      </c>
      <c r="F16" s="8">
        <f>F6/F4</f>
        <v/>
      </c>
      <c r="G16" s="8">
        <f>G6/G4</f>
        <v/>
      </c>
      <c r="H16" s="8">
        <f>H6/H4</f>
        <v/>
      </c>
      <c r="I16" s="8">
        <f>I6/I4</f>
        <v/>
      </c>
      <c r="J16" s="8">
        <f>J6/J4</f>
        <v/>
      </c>
      <c r="K16" s="8">
        <f>K6/K4</f>
        <v/>
      </c>
    </row>
    <row r="17">
      <c r="A17" s="3" t="inlineStr">
        <is>
          <t>Owner FCF margin</t>
        </is>
      </c>
      <c r="B17" s="8">
        <f>B15/B4</f>
        <v/>
      </c>
      <c r="C17" s="8">
        <f>C15/C4</f>
        <v/>
      </c>
      <c r="D17" s="8">
        <f>D15/D4</f>
        <v/>
      </c>
      <c r="E17" s="8">
        <f>E15/E4</f>
        <v/>
      </c>
      <c r="F17" s="8">
        <f>F15/F4</f>
        <v/>
      </c>
      <c r="G17" s="8">
        <f>G15/G4</f>
        <v/>
      </c>
      <c r="H17" s="8">
        <f>H15/H4</f>
        <v/>
      </c>
      <c r="I17" s="8">
        <f>I15/I4</f>
        <v/>
      </c>
      <c r="J17" s="8">
        <f>J15/J4</f>
        <v/>
      </c>
      <c r="K17" s="8">
        <f>K15/K4</f>
        <v/>
      </c>
    </row>
    <row r="19" ht="28" customHeight="1">
      <c r="A19" s="3" t="inlineStr">
        <is>
          <t>Source note</t>
        </is>
      </c>
      <c r="B19" s="4" t="inlineStr">
        <is>
          <t>FY2017-FY2025 from annual report filings via SKL.NZ_Metrics.csv. FY2026 from the 19-Aug-2026 results release -- no annual report published yet.</t>
        </is>
      </c>
    </row>
    <row r="20" ht="28" customHeight="1">
      <c r="A20" s="3" t="inlineStr">
        <is>
          <t>Normalisation note</t>
        </is>
      </c>
      <c r="B20" s="4" t="inlineStr">
        <is>
          <t>FY2026 statutory NPAT 67.7 includes a ~NZ$4.8m Wigram fire insurance gain; normalised is 64.2. FY2024 statutory 46.893 excludes a 3.121 abnormal tax item; normalised is 50.014.</t>
        </is>
      </c>
    </row>
    <row r="21" ht="28" customHeight="1">
      <c r="A21" s="3" t="inlineStr">
        <is>
          <t>Balance sheet note</t>
        </is>
      </c>
      <c r="B21" s="4" t="inlineStr">
        <is>
          <t>FY2026 equity is blank by design -- the results release carries no balance sheet. FY2025 equity 240.190 at 2025-06-30 is used for book-value multiples.</t>
        </is>
      </c>
    </row>
    <row r="22" ht="28" customHeight="1">
      <c r="A22" s="3" t="inlineStr">
        <is>
          <t>SBC note</t>
        </is>
      </c>
      <c r="B22" s="4" t="inlineStr">
        <is>
          <t>Zero in every year, verified against the cash flow statements. Adjusted and unadjusted bases coincide.</t>
        </is>
      </c>
    </row>
    <row r="23" ht="28" customHeight="1">
      <c r="A23" s="3" t="inlineStr">
        <is>
          <t>Buyback note</t>
        </is>
      </c>
      <c r="B23" s="4" t="inlineStr">
        <is>
          <t>No share repurchase programme. The flat share count is a fact, not a modelling convention -- the count moved only 192.8m to 196.1m in eleven years.</t>
        </is>
      </c>
    </row>
    <row r="24" ht="28" customHeight="1">
      <c r="A24" s="3" t="inlineStr">
        <is>
          <t>Balance sheet strength</t>
        </is>
      </c>
      <c r="B24" s="4" t="inlineStr">
        <is>
          <t>Net debt NZ$2.0m at FY2026 (from NZ$12.4m at FY2025) against a NZ$55m facility. Effectively unlevered.</t>
        </is>
      </c>
    </row>
    <row r="25" ht="28" customHeight="1">
      <c r="A25" s="3" t="inlineStr">
        <is>
          <t>Dividend</t>
        </is>
      </c>
      <c r="B25" s="4" t="inlineStr">
        <is>
          <t>FY2026 DPS 30.0 cents against EPS 32.8 cents -- a ~91% payout. This is a high-payout compounder, which is why book value barely grows and equity CAGR is not the right forward driver.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SKL.NZ  global assumptions and scenario settings</t>
        </is>
      </c>
      <c r="B1" s="2" t="n"/>
      <c r="C1" s="2" t="n"/>
      <c r="D1" s="2" t="n"/>
      <c r="E1" s="2" t="n"/>
    </row>
    <row r="3">
      <c r="A3" s="3" t="inlineStr">
        <is>
          <t>Global</t>
        </is>
      </c>
    </row>
    <row r="4" ht="26" customHeight="1">
      <c r="A4" s="3" t="inlineStr">
        <is>
          <t>WACC (all scenarios)</t>
        </is>
      </c>
      <c r="B4" s="9" t="n">
        <v>0.105</v>
      </c>
      <c r="D4" s="4" t="inlineStr">
        <is>
          <t>NZD-built: NZ 10y ~4.3% + ERP ~6.0% x beta ~1.05. Same rate in every scenario -- risk is charged once, in the flows.</t>
        </is>
      </c>
    </row>
    <row r="5" ht="26" customHeight="1">
      <c r="A5" s="3" t="inlineStr">
        <is>
          <t>D&amp;A as % of revenue</t>
        </is>
      </c>
      <c r="B5" s="9" t="n">
        <v>0.046</v>
      </c>
      <c r="D5" s="4" t="inlineStr">
        <is>
          <t>FY2025 actual 4.78%, FY2026 ~4.6%. Held flat.</t>
        </is>
      </c>
    </row>
    <row r="6" ht="26" customHeight="1">
      <c r="A6" s="3" t="inlineStr">
        <is>
          <t>Working capital capture</t>
        </is>
      </c>
      <c r="B6" s="9" t="n">
        <v>-0.08</v>
      </c>
      <c r="D6" s="4" t="inlineStr">
        <is>
          <t>NEGATIVE: growth absorbs cash in an inventory-heavy manufacturer. Applied to the CHANGE in revenue.</t>
        </is>
      </c>
    </row>
    <row r="7" ht="26" customHeight="1">
      <c r="A7" s="3" t="inlineStr">
        <is>
          <t>Terminal FCF cap multiple</t>
        </is>
      </c>
      <c r="B7" s="10" t="n">
        <v>15</v>
      </c>
      <c r="D7" s="4" t="inlineStr">
        <is>
          <t>Lower than the 20x default because this is a cyclical industrial.</t>
        </is>
      </c>
    </row>
    <row r="8" ht="26" customHeight="1">
      <c r="A8" s="3" t="inlineStr">
        <is>
          <t>Net debt (NZ$m)</t>
        </is>
      </c>
      <c r="B8" s="11" t="n">
        <v>2</v>
      </c>
      <c r="D8" s="4" t="inlineStr">
        <is>
          <t>NZ$2.0m at 2026-06-30, disclosed in the results release. Positive = debt.</t>
        </is>
      </c>
    </row>
    <row r="9" ht="26" customHeight="1">
      <c r="A9" s="3" t="inlineStr">
        <is>
          <t>Diluted shares (m)</t>
        </is>
      </c>
      <c r="B9" s="12" t="n">
        <v>196.071582</v>
      </c>
      <c r="D9" s="4" t="inlineStr">
        <is>
          <t>Flat. Zero SBC means no dilution drag.</t>
        </is>
      </c>
    </row>
    <row r="10" ht="26" customHeight="1">
      <c r="A10" s="3" t="inlineStr">
        <is>
          <t>Current price (NZ$)</t>
        </is>
      </c>
      <c r="B10" s="13" t="n">
        <v>7.48</v>
      </c>
      <c r="D10" s="4" t="inlineStr">
        <is>
          <t>Yahoo 2026-08-28T04:59:59Z. At the top of the 10-year range.</t>
        </is>
      </c>
    </row>
    <row r="11" ht="26" customHeight="1">
      <c r="A11" s="3" t="inlineStr">
        <is>
          <t>Hurdle rate for entry price</t>
        </is>
      </c>
      <c r="B11" s="9" t="n">
        <v>0.15</v>
      </c>
      <c r="D11" s="4" t="inlineStr">
        <is>
          <t>House standard 15% IRR.</t>
        </is>
      </c>
    </row>
    <row r="13">
      <c r="A13" s="3" t="inlineStr">
        <is>
          <t>Scenario settings</t>
        </is>
      </c>
    </row>
    <row r="14">
      <c r="A14" s="5" t="inlineStr">
        <is>
          <t>Scenario</t>
        </is>
      </c>
      <c r="B14" s="5" t="inlineStr">
        <is>
          <t>Terminal growth</t>
        </is>
      </c>
      <c r="C14" s="5" t="inlineStr">
        <is>
          <t>Probability</t>
        </is>
      </c>
      <c r="D14" s="5" t="inlineStr">
        <is>
          <t>Narrative</t>
        </is>
      </c>
    </row>
    <row r="15" ht="92" customHeight="1">
      <c r="A15" s="3" t="inlineStr">
        <is>
          <t>Bear</t>
        </is>
      </c>
      <c r="B15" s="14" t="n">
        <v>0.02</v>
      </c>
      <c r="C15" s="9" t="n">
        <v>0.25</v>
      </c>
      <c r="D15" s="4" t="inlineStr">
        <is>
          <t>The two external risks the company itself flags both bite. Fonterra's payout cut deepens and Agri's footwear and equipment-adjacent discretionary lines soften after a near-record season, while US tariff policy re-escalates against the ~37-40% of group revenue that is US-market exposed with ~85% of it manufactured in China, Vietnam and NZ -- a headwind management describes as 'substantially', not permanently, offset and subject to rates that 'change every week'. Revenue stalls at 1-1.5% for two years and EBITDA margin mean-reverts to 21.5%, roughly the FY2019-20 level, which is a return to normal rather than a crisis. Lumpy single-customer events like the H1 FY26 Health &amp; Hygiene production pause recur.</t>
        </is>
      </c>
    </row>
    <row r="16" ht="92" customHeight="1">
      <c r="A16" s="3" t="inlineStr">
        <is>
          <t>Base</t>
        </is>
      </c>
      <c r="B16" s="14" t="n">
        <v>0.0225</v>
      </c>
      <c r="C16" s="9" t="n">
        <v>0.5</v>
      </c>
      <c r="D16" s="4" t="inlineStr">
        <is>
          <t>Skellerup keeps its specification lock-in and its new-product cadence, but the ten-year run of record EBIT stops compounding at the top line's expense: revenue grows 6% in FY2027 (management is 'broadly comfortable' with consensus and reports steady early trading) and fades toward ~3% as the Fonterra 2026/27 payout cut to $9.25/kgMS works through farmer discretionary spend. The decisive assumption is margin. FY2026's 22.9% EBIT / 27.5% EBITDA margin is an all-time high reached after a 7.3pp expansion from FY2017's 15.6%; the base case fades EBITDA to a still-excellent 25.5% mid-cycle level rather than treating the peak as the new floor. Capex rises from 3.9% of revenue to ~4.6%, meeting D&amp;A, because an asset-heavy manufacturer part-way through a modernisation and Wigram CV-line rebuild cannot under-invest against depreciation indefinitely.</t>
        </is>
      </c>
    </row>
    <row r="17" ht="92" customHeight="1">
      <c r="A17" s="3" t="inlineStr">
        <is>
          <t>Bull</t>
        </is>
      </c>
      <c r="B17" s="14" t="n">
        <v>0.025</v>
      </c>
      <c r="C17" s="9" t="n">
        <v>0.25</v>
      </c>
      <c r="D17" s="4" t="inlineStr">
        <is>
          <t>Management's stated 11-12% medium-term compound earnings ambition is delivered. Industrial's potable-water/wastewater exposure compounds against a structurally growing US infrastructure theme, the ~12.5% blended tariff regime stays 'substantially offset' permanently rather than temporarily, Agri holds its consumable replacement-cycle volumes through a softer payout, and the NZ$55m undrawn facility funds accretive bolt-on M&amp;A. Margins do not merely hold at the record but creep to 28.5% EBITDA on mix and operating leverage. Revenue compounds 9% falling to 4.5%. Even this case reaches only $6.08 -- below the current price.</t>
        </is>
      </c>
    </row>
    <row r="18">
      <c r="A18" s="3" t="inlineStr">
        <is>
          <t>Weights check (must be 100%)</t>
        </is>
      </c>
      <c r="C18" s="15">
        <f>SUM(C15:C17)</f>
        <v/>
      </c>
      <c r="D18" t="inlineStr">
        <is>
          <t>If this is not 100% the probability-weighted value below is meaningless.</t>
        </is>
      </c>
    </row>
    <row r="20" ht="100" customHeight="1">
      <c r="A20" s="3" t="inlineStr">
        <is>
          <t>Weights rationale</t>
        </is>
      </c>
      <c r="B20" s="4" t="inlineStr">
        <is>
          <t>Shifted from the 15/50/35 house default to 25/50/25. Bear raised to 25% because two of the company's flagged downside risks are already in motion rather than hypothetical -- Fonterra's 2026/27 payout has been cut to $9.25/kgMS from ~$9.75, and management itself describes the tariff position as 'substantially' offset with rates that 'change every week' against 37-40% US-exposed revenue. Bull cut to 25% because that case needs several independent things to go right at once (margins hold at an all-time high AND tariffs stay neutralised permanently AND accretive M&amp;A is executed AND Agri holds through a softer payout), which is exactly the situation the method file says should reduce bull weight. Base held at 50%: management's own repeated caution that 'these record results cannot continue ad infinitum' is the base case, in the company's own words.</t>
        </is>
      </c>
    </row>
    <row r="21" ht="110" customHeight="1">
      <c r="A21" s="3" t="inlineStr">
        <is>
          <t>WACC rationale</t>
        </is>
      </c>
      <c r="B21" s="4" t="inlineStr">
        <is>
          <t>10.5% NZD-denominated, applied identically to all three scenarios. Built from NZD inputs per section 7(a): NZ 10-year government bond ~4.3% risk-free, equity risk premium ~6.0% (the standard NZ market premium; NZ equity premia run above US/AU on market depth), levered beta ~1.05 for a diversified industrial with a dairy-cyclical segment, giving ~10.6%, rounded to 10.5%. The balance sheet is effectively unlevered (net debt NZ$2.0m against a NZ$1.47bn market cap) so WACC and cost of equity coincide -- no debt-weighting benefit is taken. NO illiquidity premium is stacked: at a ~NZ$1.47bn market cap Skellerup is a mid-cap, not the micro-cap that would justify one. Per section 7(f), the genuine risk factors -- dairy-cycle exposure to the Fonterra payout cut, ~37-40% US-market revenue against fluid tariff policy, FX translation and raw-material/freight input costs -- are charged ONCE, in the bear-scenario flows and in the 25% bear weight, NOT a second time as a WACC premium. Using a higher WACC in the bear case than the bull would have charged the same risk a third time and was deliberately avoided.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SKL.NZ  BEAR case  component owner-FCF build  (NZD millions)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3" t="inlineStr">
        <is>
          <t>Fiscal year</t>
        </is>
      </c>
      <c r="B3" s="3" t="inlineStr">
        <is>
          <t>FY2026A</t>
        </is>
      </c>
      <c r="C3" s="3" t="inlineStr">
        <is>
          <t>FY2027E</t>
        </is>
      </c>
      <c r="D3" s="3" t="inlineStr">
        <is>
          <t>FY2028E</t>
        </is>
      </c>
      <c r="E3" s="3" t="inlineStr">
        <is>
          <t>FY2029E</t>
        </is>
      </c>
      <c r="F3" s="3" t="inlineStr">
        <is>
          <t>FY2030E</t>
        </is>
      </c>
      <c r="G3" s="3" t="inlineStr">
        <is>
          <t>FY2031E</t>
        </is>
      </c>
      <c r="H3" s="3" t="inlineStr">
        <is>
          <t>FY2032E</t>
        </is>
      </c>
      <c r="I3" s="3" t="inlineStr">
        <is>
          <t>FY2033E</t>
        </is>
      </c>
      <c r="J3" s="3" t="inlineStr">
        <is>
          <t>FY2034E</t>
        </is>
      </c>
      <c r="K3" s="3" t="inlineStr">
        <is>
          <t>FY2035E</t>
        </is>
      </c>
      <c r="L3" s="3" t="inlineStr">
        <is>
          <t>FY2036E</t>
        </is>
      </c>
    </row>
    <row r="4">
      <c r="A4" t="inlineStr">
        <is>
          <t>Year index (discount exponent)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s="3" t="inlineStr">
        <is>
          <t>Revenue growth YoY</t>
        </is>
      </c>
      <c r="C5" s="9" t="n">
        <v>0.015</v>
      </c>
      <c r="D5" s="9" t="n">
        <v>0.01</v>
      </c>
      <c r="E5" s="9" t="n">
        <v>0.02</v>
      </c>
      <c r="F5" s="9" t="n">
        <v>0.025</v>
      </c>
      <c r="G5" s="9" t="n">
        <v>0.025</v>
      </c>
      <c r="H5" s="9" t="n">
        <v>0.03</v>
      </c>
      <c r="I5" s="9" t="n">
        <v>0.03</v>
      </c>
      <c r="J5" s="9" t="n">
        <v>0.025</v>
      </c>
      <c r="K5" s="9" t="n">
        <v>0.025</v>
      </c>
      <c r="L5" s="9" t="n">
        <v>0.025</v>
      </c>
    </row>
    <row r="6">
      <c r="A6" s="3" t="inlineStr">
        <is>
          <t>Revenue</t>
        </is>
      </c>
      <c r="B6" s="6" t="n">
        <v>390.1</v>
      </c>
      <c r="C6" s="7">
        <f>B6*(1+C5)</f>
        <v/>
      </c>
      <c r="D6" s="7">
        <f>C6*(1+D5)</f>
        <v/>
      </c>
      <c r="E6" s="7">
        <f>D6*(1+E5)</f>
        <v/>
      </c>
      <c r="F6" s="7">
        <f>E6*(1+F5)</f>
        <v/>
      </c>
      <c r="G6" s="7">
        <f>F6*(1+G5)</f>
        <v/>
      </c>
      <c r="H6" s="7">
        <f>G6*(1+H5)</f>
        <v/>
      </c>
      <c r="I6" s="7">
        <f>H6*(1+I5)</f>
        <v/>
      </c>
      <c r="J6" s="7">
        <f>I6*(1+J5)</f>
        <v/>
      </c>
      <c r="K6" s="7">
        <f>J6*(1+K5)</f>
        <v/>
      </c>
      <c r="L6" s="7">
        <f>K6*(1+L5)</f>
        <v/>
      </c>
    </row>
    <row r="7">
      <c r="A7" s="3" t="inlineStr">
        <is>
          <t>Adjusted EBITDA margin</t>
        </is>
      </c>
      <c r="C7" s="9" t="n">
        <v>0.255</v>
      </c>
      <c r="D7" s="9" t="n">
        <v>0.24</v>
      </c>
      <c r="E7" s="9" t="n">
        <v>0.23</v>
      </c>
      <c r="F7" s="9" t="n">
        <v>0.223</v>
      </c>
      <c r="G7" s="9" t="n">
        <v>0.218</v>
      </c>
      <c r="H7" s="9" t="n">
        <v>0.215</v>
      </c>
      <c r="I7" s="9" t="n">
        <v>0.215</v>
      </c>
      <c r="J7" s="9" t="n">
        <v>0.215</v>
      </c>
      <c r="K7" s="9" t="n">
        <v>0.215</v>
      </c>
      <c r="L7" s="9" t="n">
        <v>0.215</v>
      </c>
    </row>
    <row r="8">
      <c r="A8" t="inlineStr">
        <is>
          <t>Adjusted EBITDA</t>
        </is>
      </c>
      <c r="C8" s="7">
        <f>C6*C7</f>
        <v/>
      </c>
      <c r="D8" s="7">
        <f>D6*D7</f>
        <v/>
      </c>
      <c r="E8" s="7">
        <f>E6*E7</f>
        <v/>
      </c>
      <c r="F8" s="7">
        <f>F6*F7</f>
        <v/>
      </c>
      <c r="G8" s="7">
        <f>G6*G7</f>
        <v/>
      </c>
      <c r="H8" s="7">
        <f>H6*H7</f>
        <v/>
      </c>
      <c r="I8" s="7">
        <f>I6*I7</f>
        <v/>
      </c>
      <c r="J8" s="7">
        <f>J6*J7</f>
        <v/>
      </c>
      <c r="K8" s="7">
        <f>K6*K7</f>
        <v/>
      </c>
      <c r="L8" s="7">
        <f>L6*L7</f>
        <v/>
      </c>
    </row>
    <row r="9">
      <c r="A9" s="3" t="inlineStr">
        <is>
          <t>SBC as % of revenue</t>
        </is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>
      <c r="A10" t="inlineStr">
        <is>
          <t>SBC (negative)</t>
        </is>
      </c>
      <c r="C10" s="7">
        <f>-C6*C9</f>
        <v/>
      </c>
      <c r="D10" s="7">
        <f>-D6*D9</f>
        <v/>
      </c>
      <c r="E10" s="7">
        <f>-E6*E9</f>
        <v/>
      </c>
      <c r="F10" s="7">
        <f>-F6*F9</f>
        <v/>
      </c>
      <c r="G10" s="7">
        <f>-G6*G9</f>
        <v/>
      </c>
      <c r="H10" s="7">
        <f>-H6*H9</f>
        <v/>
      </c>
      <c r="I10" s="7">
        <f>-I6*I9</f>
        <v/>
      </c>
      <c r="J10" s="7">
        <f>-J6*J9</f>
        <v/>
      </c>
      <c r="K10" s="7">
        <f>-K6*K9</f>
        <v/>
      </c>
      <c r="L10" s="7">
        <f>-L6*L9</f>
        <v/>
      </c>
    </row>
    <row r="11">
      <c r="A11" t="inlineStr">
        <is>
          <t>Owner EBITDA (after SBC)</t>
        </is>
      </c>
      <c r="C11" s="7">
        <f>C8+C10</f>
        <v/>
      </c>
      <c r="D11" s="7">
        <f>D8+D10</f>
        <v/>
      </c>
      <c r="E11" s="7">
        <f>E8+E10</f>
        <v/>
      </c>
      <c r="F11" s="7">
        <f>F8+F10</f>
        <v/>
      </c>
      <c r="G11" s="7">
        <f>G8+G10</f>
        <v/>
      </c>
      <c r="H11" s="7">
        <f>H8+H10</f>
        <v/>
      </c>
      <c r="I11" s="7">
        <f>I8+I10</f>
        <v/>
      </c>
      <c r="J11" s="7">
        <f>J8+J10</f>
        <v/>
      </c>
      <c r="K11" s="7">
        <f>K8+K10</f>
        <v/>
      </c>
      <c r="L11" s="7">
        <f>L8+L10</f>
        <v/>
      </c>
    </row>
    <row r="12">
      <c r="A12" t="inlineStr">
        <is>
          <t>Depreciation and amortisation (negative)</t>
        </is>
      </c>
      <c r="C12" s="16">
        <f>-C6*Assumptions!$B$5</f>
        <v/>
      </c>
      <c r="D12" s="16">
        <f>-D6*Assumptions!$B$5</f>
        <v/>
      </c>
      <c r="E12" s="16">
        <f>-E6*Assumptions!$B$5</f>
        <v/>
      </c>
      <c r="F12" s="16">
        <f>-F6*Assumptions!$B$5</f>
        <v/>
      </c>
      <c r="G12" s="16">
        <f>-G6*Assumptions!$B$5</f>
        <v/>
      </c>
      <c r="H12" s="16">
        <f>-H6*Assumptions!$B$5</f>
        <v/>
      </c>
      <c r="I12" s="16">
        <f>-I6*Assumptions!$B$5</f>
        <v/>
      </c>
      <c r="J12" s="16">
        <f>-J6*Assumptions!$B$5</f>
        <v/>
      </c>
      <c r="K12" s="16">
        <f>-K6*Assumptions!$B$5</f>
        <v/>
      </c>
      <c r="L12" s="16">
        <f>-L6*Assumptions!$B$5</f>
        <v/>
      </c>
    </row>
    <row r="13">
      <c r="A13" s="3" t="inlineStr">
        <is>
          <t>EBIT (SBC expensed)</t>
        </is>
      </c>
      <c r="C13" s="7">
        <f>C11+C12</f>
        <v/>
      </c>
      <c r="D13" s="7">
        <f>D11+D12</f>
        <v/>
      </c>
      <c r="E13" s="7">
        <f>E11+E12</f>
        <v/>
      </c>
      <c r="F13" s="7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Cash tax rate</t>
        </is>
      </c>
      <c r="C14" s="9" t="n">
        <v>0.26</v>
      </c>
      <c r="D14" s="9" t="n">
        <v>0.26</v>
      </c>
      <c r="E14" s="9" t="n">
        <v>0.26</v>
      </c>
      <c r="F14" s="9" t="n">
        <v>0.26</v>
      </c>
      <c r="G14" s="9" t="n">
        <v>0.26</v>
      </c>
      <c r="H14" s="9" t="n">
        <v>0.26</v>
      </c>
      <c r="I14" s="9" t="n">
        <v>0.26</v>
      </c>
      <c r="J14" s="9" t="n">
        <v>0.26</v>
      </c>
      <c r="K14" s="9" t="n">
        <v>0.26</v>
      </c>
      <c r="L14" s="9" t="n">
        <v>0.26</v>
      </c>
    </row>
    <row r="15">
      <c r="A15" t="inlineStr">
        <is>
          <t>NOPAT</t>
        </is>
      </c>
      <c r="C15" s="7">
        <f>C13*(1-C14)</f>
        <v/>
      </c>
      <c r="D15" s="7">
        <f>D13*(1-D14)</f>
        <v/>
      </c>
      <c r="E15" s="7">
        <f>E13*(1-E14)</f>
        <v/>
      </c>
      <c r="F15" s="7">
        <f>F13*(1-F14)</f>
        <v/>
      </c>
      <c r="G15" s="7">
        <f>G13*(1-G14)</f>
        <v/>
      </c>
      <c r="H15" s="7">
        <f>H13*(1-H14)</f>
        <v/>
      </c>
      <c r="I15" s="7">
        <f>I13*(1-I14)</f>
        <v/>
      </c>
      <c r="J15" s="7">
        <f>J13*(1-J14)</f>
        <v/>
      </c>
      <c r="K15" s="7">
        <f>K13*(1-K14)</f>
        <v/>
      </c>
      <c r="L15" s="7">
        <f>L13*(1-L14)</f>
        <v/>
      </c>
    </row>
    <row r="16">
      <c r="A16" t="inlineStr">
        <is>
          <t>add back D&amp;A</t>
        </is>
      </c>
      <c r="C16" s="7">
        <f>-C12</f>
        <v/>
      </c>
      <c r="D16" s="7">
        <f>-D12</f>
        <v/>
      </c>
      <c r="E16" s="7">
        <f>-E12</f>
        <v/>
      </c>
      <c r="F16" s="7">
        <f>-F12</f>
        <v/>
      </c>
      <c r="G16" s="7">
        <f>-G12</f>
        <v/>
      </c>
      <c r="H16" s="7">
        <f>-H12</f>
        <v/>
      </c>
      <c r="I16" s="7">
        <f>-I12</f>
        <v/>
      </c>
      <c r="J16" s="7">
        <f>-J12</f>
        <v/>
      </c>
      <c r="K16" s="7">
        <f>-K12</f>
        <v/>
      </c>
      <c r="L16" s="7">
        <f>-L12</f>
        <v/>
      </c>
    </row>
    <row r="17">
      <c r="A17" s="3" t="inlineStr">
        <is>
          <t>Capex as % of revenue (negative)</t>
        </is>
      </c>
      <c r="C17" s="9" t="n">
        <v>-0.043</v>
      </c>
      <c r="D17" s="9" t="n">
        <v>-0.045</v>
      </c>
      <c r="E17" s="9" t="n">
        <v>-0.046</v>
      </c>
      <c r="F17" s="9" t="n">
        <v>-0.047</v>
      </c>
      <c r="G17" s="9" t="n">
        <v>-0.047</v>
      </c>
      <c r="H17" s="9" t="n">
        <v>-0.047</v>
      </c>
      <c r="I17" s="9" t="n">
        <v>-0.047</v>
      </c>
      <c r="J17" s="9" t="n">
        <v>-0.047</v>
      </c>
      <c r="K17" s="9" t="n">
        <v>-0.047</v>
      </c>
      <c r="L17" s="9" t="n">
        <v>-0.047</v>
      </c>
    </row>
    <row r="18">
      <c r="A18" t="inlineStr">
        <is>
          <t>Capital expenditure</t>
        </is>
      </c>
      <c r="C18" s="7">
        <f>C6*C17</f>
        <v/>
      </c>
      <c r="D18" s="7">
        <f>D6*D17</f>
        <v/>
      </c>
      <c r="E18" s="7">
        <f>E6*E17</f>
        <v/>
      </c>
      <c r="F18" s="7">
        <f>F6*F17</f>
        <v/>
      </c>
      <c r="G18" s="7">
        <f>G6*G17</f>
        <v/>
      </c>
      <c r="H18" s="7">
        <f>H6*H17</f>
        <v/>
      </c>
      <c r="I18" s="7">
        <f>I6*I17</f>
        <v/>
      </c>
      <c r="J18" s="7">
        <f>J6*J17</f>
        <v/>
      </c>
      <c r="K18" s="7">
        <f>K6*K17</f>
        <v/>
      </c>
      <c r="L18" s="7">
        <f>L6*L17</f>
        <v/>
      </c>
    </row>
    <row r="19">
      <c r="A19" t="inlineStr">
        <is>
          <t>Working capital movement</t>
        </is>
      </c>
      <c r="C19" s="16">
        <f>Assumptions!$B$6*(C6-B6)</f>
        <v/>
      </c>
      <c r="D19" s="16">
        <f>Assumptions!$B$6*(D6-C6)</f>
        <v/>
      </c>
      <c r="E19" s="16">
        <f>Assumptions!$B$6*(E6-D6)</f>
        <v/>
      </c>
      <c r="F19" s="16">
        <f>Assumptions!$B$6*(F6-E6)</f>
        <v/>
      </c>
      <c r="G19" s="16">
        <f>Assumptions!$B$6*(G6-F6)</f>
        <v/>
      </c>
      <c r="H19" s="16">
        <f>Assumptions!$B$6*(H6-G6)</f>
        <v/>
      </c>
      <c r="I19" s="16">
        <f>Assumptions!$B$6*(I6-H6)</f>
        <v/>
      </c>
      <c r="J19" s="16">
        <f>Assumptions!$B$6*(J6-I6)</f>
        <v/>
      </c>
      <c r="K19" s="16">
        <f>Assumptions!$B$6*(K6-J6)</f>
        <v/>
      </c>
      <c r="L19" s="16">
        <f>Assumptions!$B$6*(L6-K6)</f>
        <v/>
      </c>
    </row>
    <row r="20">
      <c r="A20" s="3" t="inlineStr">
        <is>
          <t>UNLEVERED OWNER FREE CASH FLOW</t>
        </is>
      </c>
      <c r="C20" s="17">
        <f>C15+C16+C18+C19</f>
        <v/>
      </c>
      <c r="D20" s="17">
        <f>D15+D16+D18+D19</f>
        <v/>
      </c>
      <c r="E20" s="17">
        <f>E15+E16+E18+E19</f>
        <v/>
      </c>
      <c r="F20" s="17">
        <f>F15+F16+F18+F19</f>
        <v/>
      </c>
      <c r="G20" s="17">
        <f>G15+G16+G18+G19</f>
        <v/>
      </c>
      <c r="H20" s="17">
        <f>H15+H16+H18+H19</f>
        <v/>
      </c>
      <c r="I20" s="17">
        <f>I15+I16+I18+I19</f>
        <v/>
      </c>
      <c r="J20" s="17">
        <f>J15+J16+J18+J19</f>
        <v/>
      </c>
      <c r="K20" s="17">
        <f>K15+K16+K18+K19</f>
        <v/>
      </c>
      <c r="L20" s="17">
        <f>L15+L16+L18+L19</f>
        <v/>
      </c>
    </row>
    <row r="21">
      <c r="A21" t="inlineStr">
        <is>
          <t>Discount factor</t>
        </is>
      </c>
      <c r="C21" s="18">
        <f>1/(1+Assumptions!$B$4)^C4</f>
        <v/>
      </c>
      <c r="D21" s="18">
        <f>1/(1+Assumptions!$B$4)^D4</f>
        <v/>
      </c>
      <c r="E21" s="18">
        <f>1/(1+Assumptions!$B$4)^E4</f>
        <v/>
      </c>
      <c r="F21" s="18">
        <f>1/(1+Assumptions!$B$4)^F4</f>
        <v/>
      </c>
      <c r="G21" s="18">
        <f>1/(1+Assumptions!$B$4)^G4</f>
        <v/>
      </c>
      <c r="H21" s="18">
        <f>1/(1+Assumptions!$B$4)^H4</f>
        <v/>
      </c>
      <c r="I21" s="18">
        <f>1/(1+Assumptions!$B$4)^I4</f>
        <v/>
      </c>
      <c r="J21" s="18">
        <f>1/(1+Assumptions!$B$4)^J4</f>
        <v/>
      </c>
      <c r="K21" s="18">
        <f>1/(1+Assumptions!$B$4)^K4</f>
        <v/>
      </c>
      <c r="L21" s="18">
        <f>1/(1+Assumptions!$B$4)^L4</f>
        <v/>
      </c>
    </row>
    <row r="22">
      <c r="A22" t="inlineStr">
        <is>
          <t>PV of owner FCF</t>
        </is>
      </c>
      <c r="C22" s="7">
        <f>C20*C21</f>
        <v/>
      </c>
      <c r="D22" s="7">
        <f>D20*D21</f>
        <v/>
      </c>
      <c r="E22" s="7">
        <f>E20*E21</f>
        <v/>
      </c>
      <c r="F22" s="7">
        <f>F20*F21</f>
        <v/>
      </c>
      <c r="G22" s="7">
        <f>G20*G21</f>
        <v/>
      </c>
      <c r="H22" s="7">
        <f>H20*H21</f>
        <v/>
      </c>
      <c r="I22" s="7">
        <f>I20*I21</f>
        <v/>
      </c>
      <c r="J22" s="7">
        <f>J20*J21</f>
        <v/>
      </c>
      <c r="K22" s="7">
        <f>K20*K21</f>
        <v/>
      </c>
      <c r="L22" s="7">
        <f>L20*L21</f>
        <v/>
      </c>
    </row>
    <row r="24">
      <c r="A24" t="inlineStr">
        <is>
          <t>Memo: FCF before SBC (company style)</t>
        </is>
      </c>
      <c r="C24" s="7">
        <f>C20-C10</f>
        <v/>
      </c>
      <c r="D24" s="7">
        <f>D20-D10</f>
        <v/>
      </c>
      <c r="E24" s="7">
        <f>E20-E10</f>
        <v/>
      </c>
      <c r="F24" s="7">
        <f>F20-F10</f>
        <v/>
      </c>
      <c r="G24" s="7">
        <f>G20-G10</f>
        <v/>
      </c>
      <c r="H24" s="7">
        <f>H20-H10</f>
        <v/>
      </c>
      <c r="I24" s="7">
        <f>I20-I10</f>
        <v/>
      </c>
      <c r="J24" s="7">
        <f>J20-J10</f>
        <v/>
      </c>
      <c r="K24" s="7">
        <f>K20-K10</f>
        <v/>
      </c>
      <c r="L24" s="7">
        <f>L20-L10</f>
        <v/>
      </c>
    </row>
    <row r="25">
      <c r="A25" t="inlineStr">
        <is>
          <t>Memo: implied owner FCF margin</t>
        </is>
      </c>
      <c r="C25" s="8">
        <f>C20/C6</f>
        <v/>
      </c>
      <c r="D25" s="8">
        <f>D20/D6</f>
        <v/>
      </c>
      <c r="E25" s="8">
        <f>E20/E6</f>
        <v/>
      </c>
      <c r="F25" s="8">
        <f>F20/F6</f>
        <v/>
      </c>
      <c r="G25" s="8">
        <f>G20/G6</f>
        <v/>
      </c>
      <c r="H25" s="8">
        <f>H20/H6</f>
        <v/>
      </c>
      <c r="I25" s="8">
        <f>I20/I6</f>
        <v/>
      </c>
      <c r="J25" s="8">
        <f>J20/J6</f>
        <v/>
      </c>
      <c r="K25" s="8">
        <f>K20/K6</f>
        <v/>
      </c>
      <c r="L25" s="8">
        <f>L20/L6</f>
        <v/>
      </c>
    </row>
    <row r="26">
      <c r="A26" s="3" t="inlineStr">
        <is>
          <t>Sum of PV of explicit FCF</t>
        </is>
      </c>
      <c r="B26" s="7">
        <f>SUM(C22:L22)</f>
        <v/>
      </c>
    </row>
    <row r="27">
      <c r="A27" s="3" t="inlineStr">
        <is>
          <t>Terminal growth rate</t>
        </is>
      </c>
      <c r="B27" s="19">
        <f>Assumptions!$B$15</f>
        <v/>
      </c>
    </row>
    <row r="28">
      <c r="A28" s="3" t="inlineStr">
        <is>
          <t>Terminal year FCF grown one year</t>
        </is>
      </c>
      <c r="B28" s="7">
        <f>L20*(1+B27)</f>
        <v/>
      </c>
    </row>
    <row r="29">
      <c r="A29" s="3" t="inlineStr">
        <is>
          <t>Gordon terminal value</t>
        </is>
      </c>
      <c r="B29" s="7">
        <f>B28/(Assumptions!$B$4-B27)</f>
        <v/>
      </c>
    </row>
    <row r="30">
      <c r="A30" s="3" t="inlineStr">
        <is>
          <t>Cap terminal value (multiple x FY10 FCF)</t>
        </is>
      </c>
      <c r="B30" s="7">
        <f>Assumptions!$B$7*L20</f>
        <v/>
      </c>
    </row>
    <row r="31">
      <c r="A31" s="3" t="inlineStr">
        <is>
          <t>Terminal value used</t>
        </is>
      </c>
      <c r="B31" s="7">
        <f>MAX(0,MIN(B29,B30))</f>
        <v/>
      </c>
    </row>
    <row r="32">
      <c r="A32" s="3" t="inlineStr">
        <is>
          <t>Which bound applied</t>
        </is>
      </c>
      <c r="B32">
        <f>IF(B31=0,"zero floor",IF(B31=B29,"gordon","cap"))</f>
        <v/>
      </c>
    </row>
    <row r="33">
      <c r="A33" s="3" t="inlineStr">
        <is>
          <t>Implied exit multiple</t>
        </is>
      </c>
      <c r="B33" s="20">
        <f>B31/L20</f>
        <v/>
      </c>
    </row>
    <row r="34">
      <c r="A34" s="3" t="inlineStr">
        <is>
          <t>PV of terminal value</t>
        </is>
      </c>
      <c r="B34" s="7">
        <f>B31*L21</f>
        <v/>
      </c>
    </row>
    <row r="35">
      <c r="A35" s="3" t="inlineStr">
        <is>
          <t>Enterprise value</t>
        </is>
      </c>
      <c r="B35" s="7">
        <f>B26+B34</f>
        <v/>
      </c>
    </row>
    <row r="36">
      <c r="A36" s="3" t="inlineStr">
        <is>
          <t>less net debt</t>
        </is>
      </c>
      <c r="B36" s="7">
        <f>-Assumptions!$B$8</f>
        <v/>
      </c>
    </row>
    <row r="37">
      <c r="A37" s="3" t="inlineStr">
        <is>
          <t>Equity value</t>
        </is>
      </c>
      <c r="B37" s="7">
        <f>B35+B36</f>
        <v/>
      </c>
    </row>
    <row r="38">
      <c r="A38" s="3" t="inlineStr">
        <is>
          <t>Diluted shares (m)</t>
        </is>
      </c>
      <c r="B38" s="21">
        <f>Assumptions!$B$9</f>
        <v/>
      </c>
    </row>
    <row r="39">
      <c r="A39" s="3" t="inlineStr">
        <is>
          <t>VALUE PER SHARE (NZ$)</t>
        </is>
      </c>
      <c r="B39" s="22">
        <f>B37/B38</f>
        <v/>
      </c>
    </row>
    <row r="40">
      <c r="A40" s="3" t="inlineStr">
        <is>
          <t>Upside vs current price</t>
        </is>
      </c>
      <c r="B40" s="8">
        <f>B39/Assumptions!$B$10-1</f>
        <v/>
      </c>
    </row>
    <row r="41">
      <c r="A41" s="3" t="inlineStr">
        <is>
          <t>Terminal value as % of EV</t>
        </is>
      </c>
      <c r="B41" s="8">
        <f>B34/B35</f>
        <v/>
      </c>
    </row>
    <row r="43">
      <c r="A43" s="3" t="inlineStr">
        <is>
          <t>Street basis memo (SBC treated as non-cash)</t>
        </is>
      </c>
    </row>
    <row r="44">
      <c r="A44" t="inlineStr">
        <is>
          <t>PV of explicit-period SBC</t>
        </is>
      </c>
      <c r="B44" s="7">
        <f>SUMPRODUCT(-C10:L10*C21:L21)</f>
        <v/>
      </c>
    </row>
    <row r="45">
      <c r="A45" t="inlineStr">
        <is>
          <t>PV of terminal SBC</t>
        </is>
      </c>
      <c r="B45" s="7">
        <f>IF(L10=0,0,(-L10*(1+B27)/(Assumptions!$B$4-B27))*L21)</f>
        <v/>
      </c>
    </row>
    <row r="46">
      <c r="A46" t="inlineStr">
        <is>
          <t>Street value per share (NZ$)</t>
        </is>
      </c>
      <c r="B46" s="23">
        <f>(B37+B44+B45)/B38</f>
        <v/>
      </c>
    </row>
    <row r="47">
      <c r="A47" t="inlineStr">
        <is>
          <t>Street note</t>
        </is>
      </c>
      <c r="B47" s="24" t="inlineStr">
        <is>
          <t>SBC is zero, so street equals house and the accounting-regime band collapses to a point. Reported as n/a, not 0%.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SKL.NZ  BASE case  component owner-FCF build  (NZD millions)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3" t="inlineStr">
        <is>
          <t>Fiscal year</t>
        </is>
      </c>
      <c r="B3" s="3" t="inlineStr">
        <is>
          <t>FY2026A</t>
        </is>
      </c>
      <c r="C3" s="3" t="inlineStr">
        <is>
          <t>FY2027E</t>
        </is>
      </c>
      <c r="D3" s="3" t="inlineStr">
        <is>
          <t>FY2028E</t>
        </is>
      </c>
      <c r="E3" s="3" t="inlineStr">
        <is>
          <t>FY2029E</t>
        </is>
      </c>
      <c r="F3" s="3" t="inlineStr">
        <is>
          <t>FY2030E</t>
        </is>
      </c>
      <c r="G3" s="3" t="inlineStr">
        <is>
          <t>FY2031E</t>
        </is>
      </c>
      <c r="H3" s="3" t="inlineStr">
        <is>
          <t>FY2032E</t>
        </is>
      </c>
      <c r="I3" s="3" t="inlineStr">
        <is>
          <t>FY2033E</t>
        </is>
      </c>
      <c r="J3" s="3" t="inlineStr">
        <is>
          <t>FY2034E</t>
        </is>
      </c>
      <c r="K3" s="3" t="inlineStr">
        <is>
          <t>FY2035E</t>
        </is>
      </c>
      <c r="L3" s="3" t="inlineStr">
        <is>
          <t>FY2036E</t>
        </is>
      </c>
    </row>
    <row r="4">
      <c r="A4" t="inlineStr">
        <is>
          <t>Year index (discount exponent)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s="3" t="inlineStr">
        <is>
          <t>Revenue growth YoY</t>
        </is>
      </c>
      <c r="C5" s="9" t="n">
        <v>0.06</v>
      </c>
      <c r="D5" s="9" t="n">
        <v>0.055</v>
      </c>
      <c r="E5" s="9" t="n">
        <v>0.05</v>
      </c>
      <c r="F5" s="9" t="n">
        <v>0.045</v>
      </c>
      <c r="G5" s="9" t="n">
        <v>0.04</v>
      </c>
      <c r="H5" s="9" t="n">
        <v>0.04</v>
      </c>
      <c r="I5" s="9" t="n">
        <v>0.035</v>
      </c>
      <c r="J5" s="9" t="n">
        <v>0.035</v>
      </c>
      <c r="K5" s="9" t="n">
        <v>0.03</v>
      </c>
      <c r="L5" s="9" t="n">
        <v>0.03</v>
      </c>
    </row>
    <row r="6">
      <c r="A6" s="3" t="inlineStr">
        <is>
          <t>Revenue</t>
        </is>
      </c>
      <c r="B6" s="6" t="n">
        <v>390.1</v>
      </c>
      <c r="C6" s="7">
        <f>B6*(1+C5)</f>
        <v/>
      </c>
      <c r="D6" s="7">
        <f>C6*(1+D5)</f>
        <v/>
      </c>
      <c r="E6" s="7">
        <f>D6*(1+E5)</f>
        <v/>
      </c>
      <c r="F6" s="7">
        <f>E6*(1+F5)</f>
        <v/>
      </c>
      <c r="G6" s="7">
        <f>F6*(1+G5)</f>
        <v/>
      </c>
      <c r="H6" s="7">
        <f>G6*(1+H5)</f>
        <v/>
      </c>
      <c r="I6" s="7">
        <f>H6*(1+I5)</f>
        <v/>
      </c>
      <c r="J6" s="7">
        <f>I6*(1+J5)</f>
        <v/>
      </c>
      <c r="K6" s="7">
        <f>J6*(1+K5)</f>
        <v/>
      </c>
      <c r="L6" s="7">
        <f>K6*(1+L5)</f>
        <v/>
      </c>
    </row>
    <row r="7">
      <c r="A7" s="3" t="inlineStr">
        <is>
          <t>Adjusted EBITDA margin</t>
        </is>
      </c>
      <c r="C7" s="9" t="n">
        <v>0.272</v>
      </c>
      <c r="D7" s="9" t="n">
        <v>0.268</v>
      </c>
      <c r="E7" s="9" t="n">
        <v>0.264</v>
      </c>
      <c r="F7" s="9" t="n">
        <v>0.26</v>
      </c>
      <c r="G7" s="9" t="n">
        <v>0.257</v>
      </c>
      <c r="H7" s="9" t="n">
        <v>0.255</v>
      </c>
      <c r="I7" s="9" t="n">
        <v>0.255</v>
      </c>
      <c r="J7" s="9" t="n">
        <v>0.255</v>
      </c>
      <c r="K7" s="9" t="n">
        <v>0.255</v>
      </c>
      <c r="L7" s="9" t="n">
        <v>0.255</v>
      </c>
    </row>
    <row r="8">
      <c r="A8" t="inlineStr">
        <is>
          <t>Adjusted EBITDA</t>
        </is>
      </c>
      <c r="C8" s="7">
        <f>C6*C7</f>
        <v/>
      </c>
      <c r="D8" s="7">
        <f>D6*D7</f>
        <v/>
      </c>
      <c r="E8" s="7">
        <f>E6*E7</f>
        <v/>
      </c>
      <c r="F8" s="7">
        <f>F6*F7</f>
        <v/>
      </c>
      <c r="G8" s="7">
        <f>G6*G7</f>
        <v/>
      </c>
      <c r="H8" s="7">
        <f>H6*H7</f>
        <v/>
      </c>
      <c r="I8" s="7">
        <f>I6*I7</f>
        <v/>
      </c>
      <c r="J8" s="7">
        <f>J6*J7</f>
        <v/>
      </c>
      <c r="K8" s="7">
        <f>K6*K7</f>
        <v/>
      </c>
      <c r="L8" s="7">
        <f>L6*L7</f>
        <v/>
      </c>
    </row>
    <row r="9">
      <c r="A9" s="3" t="inlineStr">
        <is>
          <t>SBC as % of revenue</t>
        </is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>
      <c r="A10" t="inlineStr">
        <is>
          <t>SBC (negative)</t>
        </is>
      </c>
      <c r="C10" s="7">
        <f>-C6*C9</f>
        <v/>
      </c>
      <c r="D10" s="7">
        <f>-D6*D9</f>
        <v/>
      </c>
      <c r="E10" s="7">
        <f>-E6*E9</f>
        <v/>
      </c>
      <c r="F10" s="7">
        <f>-F6*F9</f>
        <v/>
      </c>
      <c r="G10" s="7">
        <f>-G6*G9</f>
        <v/>
      </c>
      <c r="H10" s="7">
        <f>-H6*H9</f>
        <v/>
      </c>
      <c r="I10" s="7">
        <f>-I6*I9</f>
        <v/>
      </c>
      <c r="J10" s="7">
        <f>-J6*J9</f>
        <v/>
      </c>
      <c r="K10" s="7">
        <f>-K6*K9</f>
        <v/>
      </c>
      <c r="L10" s="7">
        <f>-L6*L9</f>
        <v/>
      </c>
    </row>
    <row r="11">
      <c r="A11" t="inlineStr">
        <is>
          <t>Owner EBITDA (after SBC)</t>
        </is>
      </c>
      <c r="C11" s="7">
        <f>C8+C10</f>
        <v/>
      </c>
      <c r="D11" s="7">
        <f>D8+D10</f>
        <v/>
      </c>
      <c r="E11" s="7">
        <f>E8+E10</f>
        <v/>
      </c>
      <c r="F11" s="7">
        <f>F8+F10</f>
        <v/>
      </c>
      <c r="G11" s="7">
        <f>G8+G10</f>
        <v/>
      </c>
      <c r="H11" s="7">
        <f>H8+H10</f>
        <v/>
      </c>
      <c r="I11" s="7">
        <f>I8+I10</f>
        <v/>
      </c>
      <c r="J11" s="7">
        <f>J8+J10</f>
        <v/>
      </c>
      <c r="K11" s="7">
        <f>K8+K10</f>
        <v/>
      </c>
      <c r="L11" s="7">
        <f>L8+L10</f>
        <v/>
      </c>
    </row>
    <row r="12">
      <c r="A12" t="inlineStr">
        <is>
          <t>Depreciation and amortisation (negative)</t>
        </is>
      </c>
      <c r="C12" s="16">
        <f>-C6*Assumptions!$B$5</f>
        <v/>
      </c>
      <c r="D12" s="16">
        <f>-D6*Assumptions!$B$5</f>
        <v/>
      </c>
      <c r="E12" s="16">
        <f>-E6*Assumptions!$B$5</f>
        <v/>
      </c>
      <c r="F12" s="16">
        <f>-F6*Assumptions!$B$5</f>
        <v/>
      </c>
      <c r="G12" s="16">
        <f>-G6*Assumptions!$B$5</f>
        <v/>
      </c>
      <c r="H12" s="16">
        <f>-H6*Assumptions!$B$5</f>
        <v/>
      </c>
      <c r="I12" s="16">
        <f>-I6*Assumptions!$B$5</f>
        <v/>
      </c>
      <c r="J12" s="16">
        <f>-J6*Assumptions!$B$5</f>
        <v/>
      </c>
      <c r="K12" s="16">
        <f>-K6*Assumptions!$B$5</f>
        <v/>
      </c>
      <c r="L12" s="16">
        <f>-L6*Assumptions!$B$5</f>
        <v/>
      </c>
    </row>
    <row r="13">
      <c r="A13" s="3" t="inlineStr">
        <is>
          <t>EBIT (SBC expensed)</t>
        </is>
      </c>
      <c r="C13" s="7">
        <f>C11+C12</f>
        <v/>
      </c>
      <c r="D13" s="7">
        <f>D11+D12</f>
        <v/>
      </c>
      <c r="E13" s="7">
        <f>E11+E12</f>
        <v/>
      </c>
      <c r="F13" s="7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Cash tax rate</t>
        </is>
      </c>
      <c r="C14" s="9" t="n">
        <v>0.26</v>
      </c>
      <c r="D14" s="9" t="n">
        <v>0.26</v>
      </c>
      <c r="E14" s="9" t="n">
        <v>0.26</v>
      </c>
      <c r="F14" s="9" t="n">
        <v>0.26</v>
      </c>
      <c r="G14" s="9" t="n">
        <v>0.26</v>
      </c>
      <c r="H14" s="9" t="n">
        <v>0.26</v>
      </c>
      <c r="I14" s="9" t="n">
        <v>0.26</v>
      </c>
      <c r="J14" s="9" t="n">
        <v>0.26</v>
      </c>
      <c r="K14" s="9" t="n">
        <v>0.26</v>
      </c>
      <c r="L14" s="9" t="n">
        <v>0.26</v>
      </c>
    </row>
    <row r="15">
      <c r="A15" t="inlineStr">
        <is>
          <t>NOPAT</t>
        </is>
      </c>
      <c r="C15" s="7">
        <f>C13*(1-C14)</f>
        <v/>
      </c>
      <c r="D15" s="7">
        <f>D13*(1-D14)</f>
        <v/>
      </c>
      <c r="E15" s="7">
        <f>E13*(1-E14)</f>
        <v/>
      </c>
      <c r="F15" s="7">
        <f>F13*(1-F14)</f>
        <v/>
      </c>
      <c r="G15" s="7">
        <f>G13*(1-G14)</f>
        <v/>
      </c>
      <c r="H15" s="7">
        <f>H13*(1-H14)</f>
        <v/>
      </c>
      <c r="I15" s="7">
        <f>I13*(1-I14)</f>
        <v/>
      </c>
      <c r="J15" s="7">
        <f>J13*(1-J14)</f>
        <v/>
      </c>
      <c r="K15" s="7">
        <f>K13*(1-K14)</f>
        <v/>
      </c>
      <c r="L15" s="7">
        <f>L13*(1-L14)</f>
        <v/>
      </c>
    </row>
    <row r="16">
      <c r="A16" t="inlineStr">
        <is>
          <t>add back D&amp;A</t>
        </is>
      </c>
      <c r="C16" s="7">
        <f>-C12</f>
        <v/>
      </c>
      <c r="D16" s="7">
        <f>-D12</f>
        <v/>
      </c>
      <c r="E16" s="7">
        <f>-E12</f>
        <v/>
      </c>
      <c r="F16" s="7">
        <f>-F12</f>
        <v/>
      </c>
      <c r="G16" s="7">
        <f>-G12</f>
        <v/>
      </c>
      <c r="H16" s="7">
        <f>-H12</f>
        <v/>
      </c>
      <c r="I16" s="7">
        <f>-I12</f>
        <v/>
      </c>
      <c r="J16" s="7">
        <f>-J12</f>
        <v/>
      </c>
      <c r="K16" s="7">
        <f>-K12</f>
        <v/>
      </c>
      <c r="L16" s="7">
        <f>-L12</f>
        <v/>
      </c>
    </row>
    <row r="17">
      <c r="A17" s="3" t="inlineStr">
        <is>
          <t>Capex as % of revenue (negative)</t>
        </is>
      </c>
      <c r="C17" s="9" t="n">
        <v>-0.04</v>
      </c>
      <c r="D17" s="9" t="n">
        <v>-0.042</v>
      </c>
      <c r="E17" s="9" t="n">
        <v>-0.044</v>
      </c>
      <c r="F17" s="9" t="n">
        <v>-0.045</v>
      </c>
      <c r="G17" s="9" t="n">
        <v>-0.046</v>
      </c>
      <c r="H17" s="9" t="n">
        <v>-0.046</v>
      </c>
      <c r="I17" s="9" t="n">
        <v>-0.046</v>
      </c>
      <c r="J17" s="9" t="n">
        <v>-0.046</v>
      </c>
      <c r="K17" s="9" t="n">
        <v>-0.046</v>
      </c>
      <c r="L17" s="9" t="n">
        <v>-0.046</v>
      </c>
    </row>
    <row r="18">
      <c r="A18" t="inlineStr">
        <is>
          <t>Capital expenditure</t>
        </is>
      </c>
      <c r="C18" s="7">
        <f>C6*C17</f>
        <v/>
      </c>
      <c r="D18" s="7">
        <f>D6*D17</f>
        <v/>
      </c>
      <c r="E18" s="7">
        <f>E6*E17</f>
        <v/>
      </c>
      <c r="F18" s="7">
        <f>F6*F17</f>
        <v/>
      </c>
      <c r="G18" s="7">
        <f>G6*G17</f>
        <v/>
      </c>
      <c r="H18" s="7">
        <f>H6*H17</f>
        <v/>
      </c>
      <c r="I18" s="7">
        <f>I6*I17</f>
        <v/>
      </c>
      <c r="J18" s="7">
        <f>J6*J17</f>
        <v/>
      </c>
      <c r="K18" s="7">
        <f>K6*K17</f>
        <v/>
      </c>
      <c r="L18" s="7">
        <f>L6*L17</f>
        <v/>
      </c>
    </row>
    <row r="19">
      <c r="A19" t="inlineStr">
        <is>
          <t>Working capital movement</t>
        </is>
      </c>
      <c r="C19" s="16">
        <f>Assumptions!$B$6*(C6-B6)</f>
        <v/>
      </c>
      <c r="D19" s="16">
        <f>Assumptions!$B$6*(D6-C6)</f>
        <v/>
      </c>
      <c r="E19" s="16">
        <f>Assumptions!$B$6*(E6-D6)</f>
        <v/>
      </c>
      <c r="F19" s="16">
        <f>Assumptions!$B$6*(F6-E6)</f>
        <v/>
      </c>
      <c r="G19" s="16">
        <f>Assumptions!$B$6*(G6-F6)</f>
        <v/>
      </c>
      <c r="H19" s="16">
        <f>Assumptions!$B$6*(H6-G6)</f>
        <v/>
      </c>
      <c r="I19" s="16">
        <f>Assumptions!$B$6*(I6-H6)</f>
        <v/>
      </c>
      <c r="J19" s="16">
        <f>Assumptions!$B$6*(J6-I6)</f>
        <v/>
      </c>
      <c r="K19" s="16">
        <f>Assumptions!$B$6*(K6-J6)</f>
        <v/>
      </c>
      <c r="L19" s="16">
        <f>Assumptions!$B$6*(L6-K6)</f>
        <v/>
      </c>
    </row>
    <row r="20">
      <c r="A20" s="3" t="inlineStr">
        <is>
          <t>UNLEVERED OWNER FREE CASH FLOW</t>
        </is>
      </c>
      <c r="C20" s="17">
        <f>C15+C16+C18+C19</f>
        <v/>
      </c>
      <c r="D20" s="17">
        <f>D15+D16+D18+D19</f>
        <v/>
      </c>
      <c r="E20" s="17">
        <f>E15+E16+E18+E19</f>
        <v/>
      </c>
      <c r="F20" s="17">
        <f>F15+F16+F18+F19</f>
        <v/>
      </c>
      <c r="G20" s="17">
        <f>G15+G16+G18+G19</f>
        <v/>
      </c>
      <c r="H20" s="17">
        <f>H15+H16+H18+H19</f>
        <v/>
      </c>
      <c r="I20" s="17">
        <f>I15+I16+I18+I19</f>
        <v/>
      </c>
      <c r="J20" s="17">
        <f>J15+J16+J18+J19</f>
        <v/>
      </c>
      <c r="K20" s="17">
        <f>K15+K16+K18+K19</f>
        <v/>
      </c>
      <c r="L20" s="17">
        <f>L15+L16+L18+L19</f>
        <v/>
      </c>
    </row>
    <row r="21">
      <c r="A21" t="inlineStr">
        <is>
          <t>Discount factor</t>
        </is>
      </c>
      <c r="C21" s="18">
        <f>1/(1+Assumptions!$B$4)^C4</f>
        <v/>
      </c>
      <c r="D21" s="18">
        <f>1/(1+Assumptions!$B$4)^D4</f>
        <v/>
      </c>
      <c r="E21" s="18">
        <f>1/(1+Assumptions!$B$4)^E4</f>
        <v/>
      </c>
      <c r="F21" s="18">
        <f>1/(1+Assumptions!$B$4)^F4</f>
        <v/>
      </c>
      <c r="G21" s="18">
        <f>1/(1+Assumptions!$B$4)^G4</f>
        <v/>
      </c>
      <c r="H21" s="18">
        <f>1/(1+Assumptions!$B$4)^H4</f>
        <v/>
      </c>
      <c r="I21" s="18">
        <f>1/(1+Assumptions!$B$4)^I4</f>
        <v/>
      </c>
      <c r="J21" s="18">
        <f>1/(1+Assumptions!$B$4)^J4</f>
        <v/>
      </c>
      <c r="K21" s="18">
        <f>1/(1+Assumptions!$B$4)^K4</f>
        <v/>
      </c>
      <c r="L21" s="18">
        <f>1/(1+Assumptions!$B$4)^L4</f>
        <v/>
      </c>
    </row>
    <row r="22">
      <c r="A22" t="inlineStr">
        <is>
          <t>PV of owner FCF</t>
        </is>
      </c>
      <c r="C22" s="7">
        <f>C20*C21</f>
        <v/>
      </c>
      <c r="D22" s="7">
        <f>D20*D21</f>
        <v/>
      </c>
      <c r="E22" s="7">
        <f>E20*E21</f>
        <v/>
      </c>
      <c r="F22" s="7">
        <f>F20*F21</f>
        <v/>
      </c>
      <c r="G22" s="7">
        <f>G20*G21</f>
        <v/>
      </c>
      <c r="H22" s="7">
        <f>H20*H21</f>
        <v/>
      </c>
      <c r="I22" s="7">
        <f>I20*I21</f>
        <v/>
      </c>
      <c r="J22" s="7">
        <f>J20*J21</f>
        <v/>
      </c>
      <c r="K22" s="7">
        <f>K20*K21</f>
        <v/>
      </c>
      <c r="L22" s="7">
        <f>L20*L21</f>
        <v/>
      </c>
    </row>
    <row r="24">
      <c r="A24" t="inlineStr">
        <is>
          <t>Memo: FCF before SBC (company style)</t>
        </is>
      </c>
      <c r="C24" s="7">
        <f>C20-C10</f>
        <v/>
      </c>
      <c r="D24" s="7">
        <f>D20-D10</f>
        <v/>
      </c>
      <c r="E24" s="7">
        <f>E20-E10</f>
        <v/>
      </c>
      <c r="F24" s="7">
        <f>F20-F10</f>
        <v/>
      </c>
      <c r="G24" s="7">
        <f>G20-G10</f>
        <v/>
      </c>
      <c r="H24" s="7">
        <f>H20-H10</f>
        <v/>
      </c>
      <c r="I24" s="7">
        <f>I20-I10</f>
        <v/>
      </c>
      <c r="J24" s="7">
        <f>J20-J10</f>
        <v/>
      </c>
      <c r="K24" s="7">
        <f>K20-K10</f>
        <v/>
      </c>
      <c r="L24" s="7">
        <f>L20-L10</f>
        <v/>
      </c>
    </row>
    <row r="25">
      <c r="A25" t="inlineStr">
        <is>
          <t>Memo: implied owner FCF margin</t>
        </is>
      </c>
      <c r="C25" s="8">
        <f>C20/C6</f>
        <v/>
      </c>
      <c r="D25" s="8">
        <f>D20/D6</f>
        <v/>
      </c>
      <c r="E25" s="8">
        <f>E20/E6</f>
        <v/>
      </c>
      <c r="F25" s="8">
        <f>F20/F6</f>
        <v/>
      </c>
      <c r="G25" s="8">
        <f>G20/G6</f>
        <v/>
      </c>
      <c r="H25" s="8">
        <f>H20/H6</f>
        <v/>
      </c>
      <c r="I25" s="8">
        <f>I20/I6</f>
        <v/>
      </c>
      <c r="J25" s="8">
        <f>J20/J6</f>
        <v/>
      </c>
      <c r="K25" s="8">
        <f>K20/K6</f>
        <v/>
      </c>
      <c r="L25" s="8">
        <f>L20/L6</f>
        <v/>
      </c>
    </row>
    <row r="26">
      <c r="A26" s="3" t="inlineStr">
        <is>
          <t>Sum of PV of explicit FCF</t>
        </is>
      </c>
      <c r="B26" s="7">
        <f>SUM(C22:L22)</f>
        <v/>
      </c>
    </row>
    <row r="27">
      <c r="A27" s="3" t="inlineStr">
        <is>
          <t>Terminal growth rate</t>
        </is>
      </c>
      <c r="B27" s="19">
        <f>Assumptions!$B$16</f>
        <v/>
      </c>
    </row>
    <row r="28">
      <c r="A28" s="3" t="inlineStr">
        <is>
          <t>Terminal year FCF grown one year</t>
        </is>
      </c>
      <c r="B28" s="7">
        <f>L20*(1+B27)</f>
        <v/>
      </c>
    </row>
    <row r="29">
      <c r="A29" s="3" t="inlineStr">
        <is>
          <t>Gordon terminal value</t>
        </is>
      </c>
      <c r="B29" s="7">
        <f>B28/(Assumptions!$B$4-B27)</f>
        <v/>
      </c>
    </row>
    <row r="30">
      <c r="A30" s="3" t="inlineStr">
        <is>
          <t>Cap terminal value (multiple x FY10 FCF)</t>
        </is>
      </c>
      <c r="B30" s="7">
        <f>Assumptions!$B$7*L20</f>
        <v/>
      </c>
    </row>
    <row r="31">
      <c r="A31" s="3" t="inlineStr">
        <is>
          <t>Terminal value used</t>
        </is>
      </c>
      <c r="B31" s="7">
        <f>MAX(0,MIN(B29,B30))</f>
        <v/>
      </c>
    </row>
    <row r="32">
      <c r="A32" s="3" t="inlineStr">
        <is>
          <t>Which bound applied</t>
        </is>
      </c>
      <c r="B32">
        <f>IF(B31=0,"zero floor",IF(B31=B29,"gordon","cap"))</f>
        <v/>
      </c>
    </row>
    <row r="33">
      <c r="A33" s="3" t="inlineStr">
        <is>
          <t>Implied exit multiple</t>
        </is>
      </c>
      <c r="B33" s="20">
        <f>B31/L20</f>
        <v/>
      </c>
    </row>
    <row r="34">
      <c r="A34" s="3" t="inlineStr">
        <is>
          <t>PV of terminal value</t>
        </is>
      </c>
      <c r="B34" s="7">
        <f>B31*L21</f>
        <v/>
      </c>
    </row>
    <row r="35">
      <c r="A35" s="3" t="inlineStr">
        <is>
          <t>Enterprise value</t>
        </is>
      </c>
      <c r="B35" s="7">
        <f>B26+B34</f>
        <v/>
      </c>
    </row>
    <row r="36">
      <c r="A36" s="3" t="inlineStr">
        <is>
          <t>less net debt</t>
        </is>
      </c>
      <c r="B36" s="7">
        <f>-Assumptions!$B$8</f>
        <v/>
      </c>
    </row>
    <row r="37">
      <c r="A37" s="3" t="inlineStr">
        <is>
          <t>Equity value</t>
        </is>
      </c>
      <c r="B37" s="7">
        <f>B35+B36</f>
        <v/>
      </c>
    </row>
    <row r="38">
      <c r="A38" s="3" t="inlineStr">
        <is>
          <t>Diluted shares (m)</t>
        </is>
      </c>
      <c r="B38" s="21">
        <f>Assumptions!$B$9</f>
        <v/>
      </c>
    </row>
    <row r="39">
      <c r="A39" s="3" t="inlineStr">
        <is>
          <t>VALUE PER SHARE (NZ$)</t>
        </is>
      </c>
      <c r="B39" s="22">
        <f>B37/B38</f>
        <v/>
      </c>
    </row>
    <row r="40">
      <c r="A40" s="3" t="inlineStr">
        <is>
          <t>Upside vs current price</t>
        </is>
      </c>
      <c r="B40" s="8">
        <f>B39/Assumptions!$B$10-1</f>
        <v/>
      </c>
    </row>
    <row r="41">
      <c r="A41" s="3" t="inlineStr">
        <is>
          <t>Terminal value as % of EV</t>
        </is>
      </c>
      <c r="B41" s="8">
        <f>B34/B35</f>
        <v/>
      </c>
    </row>
    <row r="43">
      <c r="A43" s="3" t="inlineStr">
        <is>
          <t>Street basis memo (SBC treated as non-cash)</t>
        </is>
      </c>
    </row>
    <row r="44">
      <c r="A44" t="inlineStr">
        <is>
          <t>PV of explicit-period SBC</t>
        </is>
      </c>
      <c r="B44" s="7">
        <f>SUMPRODUCT(-C10:L10*C21:L21)</f>
        <v/>
      </c>
    </row>
    <row r="45">
      <c r="A45" t="inlineStr">
        <is>
          <t>PV of terminal SBC</t>
        </is>
      </c>
      <c r="B45" s="7">
        <f>IF(L10=0,0,(-L10*(1+B27)/(Assumptions!$B$4-B27))*L21)</f>
        <v/>
      </c>
    </row>
    <row r="46">
      <c r="A46" t="inlineStr">
        <is>
          <t>Street value per share (NZ$)</t>
        </is>
      </c>
      <c r="B46" s="23">
        <f>(B37+B44+B45)/B38</f>
        <v/>
      </c>
    </row>
    <row r="47">
      <c r="A47" t="inlineStr">
        <is>
          <t>Street note</t>
        </is>
      </c>
      <c r="B47" s="24" t="inlineStr">
        <is>
          <t>SBC is zero, so street equals house and the accounting-regime band collapses to a point. Reported as n/a, not 0%.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SKL.NZ  BULL case  component owner-FCF build  (NZD millions)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3" t="inlineStr">
        <is>
          <t>Fiscal year</t>
        </is>
      </c>
      <c r="B3" s="3" t="inlineStr">
        <is>
          <t>FY2026A</t>
        </is>
      </c>
      <c r="C3" s="3" t="inlineStr">
        <is>
          <t>FY2027E</t>
        </is>
      </c>
      <c r="D3" s="3" t="inlineStr">
        <is>
          <t>FY2028E</t>
        </is>
      </c>
      <c r="E3" s="3" t="inlineStr">
        <is>
          <t>FY2029E</t>
        </is>
      </c>
      <c r="F3" s="3" t="inlineStr">
        <is>
          <t>FY2030E</t>
        </is>
      </c>
      <c r="G3" s="3" t="inlineStr">
        <is>
          <t>FY2031E</t>
        </is>
      </c>
      <c r="H3" s="3" t="inlineStr">
        <is>
          <t>FY2032E</t>
        </is>
      </c>
      <c r="I3" s="3" t="inlineStr">
        <is>
          <t>FY2033E</t>
        </is>
      </c>
      <c r="J3" s="3" t="inlineStr">
        <is>
          <t>FY2034E</t>
        </is>
      </c>
      <c r="K3" s="3" t="inlineStr">
        <is>
          <t>FY2035E</t>
        </is>
      </c>
      <c r="L3" s="3" t="inlineStr">
        <is>
          <t>FY2036E</t>
        </is>
      </c>
    </row>
    <row r="4">
      <c r="A4" t="inlineStr">
        <is>
          <t>Year index (discount exponent)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s="3" t="inlineStr">
        <is>
          <t>Revenue growth YoY</t>
        </is>
      </c>
      <c r="C5" s="9" t="n">
        <v>0.09</v>
      </c>
      <c r="D5" s="9" t="n">
        <v>0.08500000000000001</v>
      </c>
      <c r="E5" s="9" t="n">
        <v>0.08</v>
      </c>
      <c r="F5" s="9" t="n">
        <v>0.075</v>
      </c>
      <c r="G5" s="9" t="n">
        <v>0.07000000000000001</v>
      </c>
      <c r="H5" s="9" t="n">
        <v>0.065</v>
      </c>
      <c r="I5" s="9" t="n">
        <v>0.06</v>
      </c>
      <c r="J5" s="9" t="n">
        <v>0.055</v>
      </c>
      <c r="K5" s="9" t="n">
        <v>0.05</v>
      </c>
      <c r="L5" s="9" t="n">
        <v>0.045</v>
      </c>
    </row>
    <row r="6">
      <c r="A6" s="3" t="inlineStr">
        <is>
          <t>Revenue</t>
        </is>
      </c>
      <c r="B6" s="6" t="n">
        <v>390.1</v>
      </c>
      <c r="C6" s="7">
        <f>B6*(1+C5)</f>
        <v/>
      </c>
      <c r="D6" s="7">
        <f>C6*(1+D5)</f>
        <v/>
      </c>
      <c r="E6" s="7">
        <f>D6*(1+E5)</f>
        <v/>
      </c>
      <c r="F6" s="7">
        <f>E6*(1+F5)</f>
        <v/>
      </c>
      <c r="G6" s="7">
        <f>F6*(1+G5)</f>
        <v/>
      </c>
      <c r="H6" s="7">
        <f>G6*(1+H5)</f>
        <v/>
      </c>
      <c r="I6" s="7">
        <f>H6*(1+I5)</f>
        <v/>
      </c>
      <c r="J6" s="7">
        <f>I6*(1+J5)</f>
        <v/>
      </c>
      <c r="K6" s="7">
        <f>J6*(1+K5)</f>
        <v/>
      </c>
      <c r="L6" s="7">
        <f>K6*(1+L5)</f>
        <v/>
      </c>
    </row>
    <row r="7">
      <c r="A7" s="3" t="inlineStr">
        <is>
          <t>Adjusted EBITDA margin</t>
        </is>
      </c>
      <c r="C7" s="9" t="n">
        <v>0.276</v>
      </c>
      <c r="D7" s="9" t="n">
        <v>0.278</v>
      </c>
      <c r="E7" s="9" t="n">
        <v>0.28</v>
      </c>
      <c r="F7" s="9" t="n">
        <v>0.282</v>
      </c>
      <c r="G7" s="9" t="n">
        <v>0.284</v>
      </c>
      <c r="H7" s="9" t="n">
        <v>0.285</v>
      </c>
      <c r="I7" s="9" t="n">
        <v>0.285</v>
      </c>
      <c r="J7" s="9" t="n">
        <v>0.285</v>
      </c>
      <c r="K7" s="9" t="n">
        <v>0.285</v>
      </c>
      <c r="L7" s="9" t="n">
        <v>0.285</v>
      </c>
    </row>
    <row r="8">
      <c r="A8" t="inlineStr">
        <is>
          <t>Adjusted EBITDA</t>
        </is>
      </c>
      <c r="C8" s="7">
        <f>C6*C7</f>
        <v/>
      </c>
      <c r="D8" s="7">
        <f>D6*D7</f>
        <v/>
      </c>
      <c r="E8" s="7">
        <f>E6*E7</f>
        <v/>
      </c>
      <c r="F8" s="7">
        <f>F6*F7</f>
        <v/>
      </c>
      <c r="G8" s="7">
        <f>G6*G7</f>
        <v/>
      </c>
      <c r="H8" s="7">
        <f>H6*H7</f>
        <v/>
      </c>
      <c r="I8" s="7">
        <f>I6*I7</f>
        <v/>
      </c>
      <c r="J8" s="7">
        <f>J6*J7</f>
        <v/>
      </c>
      <c r="K8" s="7">
        <f>K6*K7</f>
        <v/>
      </c>
      <c r="L8" s="7">
        <f>L6*L7</f>
        <v/>
      </c>
    </row>
    <row r="9">
      <c r="A9" s="3" t="inlineStr">
        <is>
          <t>SBC as % of revenue</t>
        </is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</row>
    <row r="10">
      <c r="A10" t="inlineStr">
        <is>
          <t>SBC (negative)</t>
        </is>
      </c>
      <c r="C10" s="7">
        <f>-C6*C9</f>
        <v/>
      </c>
      <c r="D10" s="7">
        <f>-D6*D9</f>
        <v/>
      </c>
      <c r="E10" s="7">
        <f>-E6*E9</f>
        <v/>
      </c>
      <c r="F10" s="7">
        <f>-F6*F9</f>
        <v/>
      </c>
      <c r="G10" s="7">
        <f>-G6*G9</f>
        <v/>
      </c>
      <c r="H10" s="7">
        <f>-H6*H9</f>
        <v/>
      </c>
      <c r="I10" s="7">
        <f>-I6*I9</f>
        <v/>
      </c>
      <c r="J10" s="7">
        <f>-J6*J9</f>
        <v/>
      </c>
      <c r="K10" s="7">
        <f>-K6*K9</f>
        <v/>
      </c>
      <c r="L10" s="7">
        <f>-L6*L9</f>
        <v/>
      </c>
    </row>
    <row r="11">
      <c r="A11" t="inlineStr">
        <is>
          <t>Owner EBITDA (after SBC)</t>
        </is>
      </c>
      <c r="C11" s="7">
        <f>C8+C10</f>
        <v/>
      </c>
      <c r="D11" s="7">
        <f>D8+D10</f>
        <v/>
      </c>
      <c r="E11" s="7">
        <f>E8+E10</f>
        <v/>
      </c>
      <c r="F11" s="7">
        <f>F8+F10</f>
        <v/>
      </c>
      <c r="G11" s="7">
        <f>G8+G10</f>
        <v/>
      </c>
      <c r="H11" s="7">
        <f>H8+H10</f>
        <v/>
      </c>
      <c r="I11" s="7">
        <f>I8+I10</f>
        <v/>
      </c>
      <c r="J11" s="7">
        <f>J8+J10</f>
        <v/>
      </c>
      <c r="K11" s="7">
        <f>K8+K10</f>
        <v/>
      </c>
      <c r="L11" s="7">
        <f>L8+L10</f>
        <v/>
      </c>
    </row>
    <row r="12">
      <c r="A12" t="inlineStr">
        <is>
          <t>Depreciation and amortisation (negative)</t>
        </is>
      </c>
      <c r="C12" s="16">
        <f>-C6*Assumptions!$B$5</f>
        <v/>
      </c>
      <c r="D12" s="16">
        <f>-D6*Assumptions!$B$5</f>
        <v/>
      </c>
      <c r="E12" s="16">
        <f>-E6*Assumptions!$B$5</f>
        <v/>
      </c>
      <c r="F12" s="16">
        <f>-F6*Assumptions!$B$5</f>
        <v/>
      </c>
      <c r="G12" s="16">
        <f>-G6*Assumptions!$B$5</f>
        <v/>
      </c>
      <c r="H12" s="16">
        <f>-H6*Assumptions!$B$5</f>
        <v/>
      </c>
      <c r="I12" s="16">
        <f>-I6*Assumptions!$B$5</f>
        <v/>
      </c>
      <c r="J12" s="16">
        <f>-J6*Assumptions!$B$5</f>
        <v/>
      </c>
      <c r="K12" s="16">
        <f>-K6*Assumptions!$B$5</f>
        <v/>
      </c>
      <c r="L12" s="16">
        <f>-L6*Assumptions!$B$5</f>
        <v/>
      </c>
    </row>
    <row r="13">
      <c r="A13" s="3" t="inlineStr">
        <is>
          <t>EBIT (SBC expensed)</t>
        </is>
      </c>
      <c r="C13" s="7">
        <f>C11+C12</f>
        <v/>
      </c>
      <c r="D13" s="7">
        <f>D11+D12</f>
        <v/>
      </c>
      <c r="E13" s="7">
        <f>E11+E12</f>
        <v/>
      </c>
      <c r="F13" s="7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Cash tax rate</t>
        </is>
      </c>
      <c r="C14" s="9" t="n">
        <v>0.26</v>
      </c>
      <c r="D14" s="9" t="n">
        <v>0.26</v>
      </c>
      <c r="E14" s="9" t="n">
        <v>0.26</v>
      </c>
      <c r="F14" s="9" t="n">
        <v>0.26</v>
      </c>
      <c r="G14" s="9" t="n">
        <v>0.26</v>
      </c>
      <c r="H14" s="9" t="n">
        <v>0.26</v>
      </c>
      <c r="I14" s="9" t="n">
        <v>0.26</v>
      </c>
      <c r="J14" s="9" t="n">
        <v>0.26</v>
      </c>
      <c r="K14" s="9" t="n">
        <v>0.26</v>
      </c>
      <c r="L14" s="9" t="n">
        <v>0.26</v>
      </c>
    </row>
    <row r="15">
      <c r="A15" t="inlineStr">
        <is>
          <t>NOPAT</t>
        </is>
      </c>
      <c r="C15" s="7">
        <f>C13*(1-C14)</f>
        <v/>
      </c>
      <c r="D15" s="7">
        <f>D13*(1-D14)</f>
        <v/>
      </c>
      <c r="E15" s="7">
        <f>E13*(1-E14)</f>
        <v/>
      </c>
      <c r="F15" s="7">
        <f>F13*(1-F14)</f>
        <v/>
      </c>
      <c r="G15" s="7">
        <f>G13*(1-G14)</f>
        <v/>
      </c>
      <c r="H15" s="7">
        <f>H13*(1-H14)</f>
        <v/>
      </c>
      <c r="I15" s="7">
        <f>I13*(1-I14)</f>
        <v/>
      </c>
      <c r="J15" s="7">
        <f>J13*(1-J14)</f>
        <v/>
      </c>
      <c r="K15" s="7">
        <f>K13*(1-K14)</f>
        <v/>
      </c>
      <c r="L15" s="7">
        <f>L13*(1-L14)</f>
        <v/>
      </c>
    </row>
    <row r="16">
      <c r="A16" t="inlineStr">
        <is>
          <t>add back D&amp;A</t>
        </is>
      </c>
      <c r="C16" s="7">
        <f>-C12</f>
        <v/>
      </c>
      <c r="D16" s="7">
        <f>-D12</f>
        <v/>
      </c>
      <c r="E16" s="7">
        <f>-E12</f>
        <v/>
      </c>
      <c r="F16" s="7">
        <f>-F12</f>
        <v/>
      </c>
      <c r="G16" s="7">
        <f>-G12</f>
        <v/>
      </c>
      <c r="H16" s="7">
        <f>-H12</f>
        <v/>
      </c>
      <c r="I16" s="7">
        <f>-I12</f>
        <v/>
      </c>
      <c r="J16" s="7">
        <f>-J12</f>
        <v/>
      </c>
      <c r="K16" s="7">
        <f>-K12</f>
        <v/>
      </c>
      <c r="L16" s="7">
        <f>-L12</f>
        <v/>
      </c>
    </row>
    <row r="17">
      <c r="A17" s="3" t="inlineStr">
        <is>
          <t>Capex as % of revenue (negative)</t>
        </is>
      </c>
      <c r="C17" s="9" t="n">
        <v>-0.042</v>
      </c>
      <c r="D17" s="9" t="n">
        <v>-0.043</v>
      </c>
      <c r="E17" s="9" t="n">
        <v>-0.044</v>
      </c>
      <c r="F17" s="9" t="n">
        <v>-0.045</v>
      </c>
      <c r="G17" s="9" t="n">
        <v>-0.045</v>
      </c>
      <c r="H17" s="9" t="n">
        <v>-0.045</v>
      </c>
      <c r="I17" s="9" t="n">
        <v>-0.045</v>
      </c>
      <c r="J17" s="9" t="n">
        <v>-0.045</v>
      </c>
      <c r="K17" s="9" t="n">
        <v>-0.045</v>
      </c>
      <c r="L17" s="9" t="n">
        <v>-0.045</v>
      </c>
    </row>
    <row r="18">
      <c r="A18" t="inlineStr">
        <is>
          <t>Capital expenditure</t>
        </is>
      </c>
      <c r="C18" s="7">
        <f>C6*C17</f>
        <v/>
      </c>
      <c r="D18" s="7">
        <f>D6*D17</f>
        <v/>
      </c>
      <c r="E18" s="7">
        <f>E6*E17</f>
        <v/>
      </c>
      <c r="F18" s="7">
        <f>F6*F17</f>
        <v/>
      </c>
      <c r="G18" s="7">
        <f>G6*G17</f>
        <v/>
      </c>
      <c r="H18" s="7">
        <f>H6*H17</f>
        <v/>
      </c>
      <c r="I18" s="7">
        <f>I6*I17</f>
        <v/>
      </c>
      <c r="J18" s="7">
        <f>J6*J17</f>
        <v/>
      </c>
      <c r="K18" s="7">
        <f>K6*K17</f>
        <v/>
      </c>
      <c r="L18" s="7">
        <f>L6*L17</f>
        <v/>
      </c>
    </row>
    <row r="19">
      <c r="A19" t="inlineStr">
        <is>
          <t>Working capital movement</t>
        </is>
      </c>
      <c r="C19" s="16">
        <f>Assumptions!$B$6*(C6-B6)</f>
        <v/>
      </c>
      <c r="D19" s="16">
        <f>Assumptions!$B$6*(D6-C6)</f>
        <v/>
      </c>
      <c r="E19" s="16">
        <f>Assumptions!$B$6*(E6-D6)</f>
        <v/>
      </c>
      <c r="F19" s="16">
        <f>Assumptions!$B$6*(F6-E6)</f>
        <v/>
      </c>
      <c r="G19" s="16">
        <f>Assumptions!$B$6*(G6-F6)</f>
        <v/>
      </c>
      <c r="H19" s="16">
        <f>Assumptions!$B$6*(H6-G6)</f>
        <v/>
      </c>
      <c r="I19" s="16">
        <f>Assumptions!$B$6*(I6-H6)</f>
        <v/>
      </c>
      <c r="J19" s="16">
        <f>Assumptions!$B$6*(J6-I6)</f>
        <v/>
      </c>
      <c r="K19" s="16">
        <f>Assumptions!$B$6*(K6-J6)</f>
        <v/>
      </c>
      <c r="L19" s="16">
        <f>Assumptions!$B$6*(L6-K6)</f>
        <v/>
      </c>
    </row>
    <row r="20">
      <c r="A20" s="3" t="inlineStr">
        <is>
          <t>UNLEVERED OWNER FREE CASH FLOW</t>
        </is>
      </c>
      <c r="C20" s="17">
        <f>C15+C16+C18+C19</f>
        <v/>
      </c>
      <c r="D20" s="17">
        <f>D15+D16+D18+D19</f>
        <v/>
      </c>
      <c r="E20" s="17">
        <f>E15+E16+E18+E19</f>
        <v/>
      </c>
      <c r="F20" s="17">
        <f>F15+F16+F18+F19</f>
        <v/>
      </c>
      <c r="G20" s="17">
        <f>G15+G16+G18+G19</f>
        <v/>
      </c>
      <c r="H20" s="17">
        <f>H15+H16+H18+H19</f>
        <v/>
      </c>
      <c r="I20" s="17">
        <f>I15+I16+I18+I19</f>
        <v/>
      </c>
      <c r="J20" s="17">
        <f>J15+J16+J18+J19</f>
        <v/>
      </c>
      <c r="K20" s="17">
        <f>K15+K16+K18+K19</f>
        <v/>
      </c>
      <c r="L20" s="17">
        <f>L15+L16+L18+L19</f>
        <v/>
      </c>
    </row>
    <row r="21">
      <c r="A21" t="inlineStr">
        <is>
          <t>Discount factor</t>
        </is>
      </c>
      <c r="C21" s="18">
        <f>1/(1+Assumptions!$B$4)^C4</f>
        <v/>
      </c>
      <c r="D21" s="18">
        <f>1/(1+Assumptions!$B$4)^D4</f>
        <v/>
      </c>
      <c r="E21" s="18">
        <f>1/(1+Assumptions!$B$4)^E4</f>
        <v/>
      </c>
      <c r="F21" s="18">
        <f>1/(1+Assumptions!$B$4)^F4</f>
        <v/>
      </c>
      <c r="G21" s="18">
        <f>1/(1+Assumptions!$B$4)^G4</f>
        <v/>
      </c>
      <c r="H21" s="18">
        <f>1/(1+Assumptions!$B$4)^H4</f>
        <v/>
      </c>
      <c r="I21" s="18">
        <f>1/(1+Assumptions!$B$4)^I4</f>
        <v/>
      </c>
      <c r="J21" s="18">
        <f>1/(1+Assumptions!$B$4)^J4</f>
        <v/>
      </c>
      <c r="K21" s="18">
        <f>1/(1+Assumptions!$B$4)^K4</f>
        <v/>
      </c>
      <c r="L21" s="18">
        <f>1/(1+Assumptions!$B$4)^L4</f>
        <v/>
      </c>
    </row>
    <row r="22">
      <c r="A22" t="inlineStr">
        <is>
          <t>PV of owner FCF</t>
        </is>
      </c>
      <c r="C22" s="7">
        <f>C20*C21</f>
        <v/>
      </c>
      <c r="D22" s="7">
        <f>D20*D21</f>
        <v/>
      </c>
      <c r="E22" s="7">
        <f>E20*E21</f>
        <v/>
      </c>
      <c r="F22" s="7">
        <f>F20*F21</f>
        <v/>
      </c>
      <c r="G22" s="7">
        <f>G20*G21</f>
        <v/>
      </c>
      <c r="H22" s="7">
        <f>H20*H21</f>
        <v/>
      </c>
      <c r="I22" s="7">
        <f>I20*I21</f>
        <v/>
      </c>
      <c r="J22" s="7">
        <f>J20*J21</f>
        <v/>
      </c>
      <c r="K22" s="7">
        <f>K20*K21</f>
        <v/>
      </c>
      <c r="L22" s="7">
        <f>L20*L21</f>
        <v/>
      </c>
    </row>
    <row r="24">
      <c r="A24" t="inlineStr">
        <is>
          <t>Memo: FCF before SBC (company style)</t>
        </is>
      </c>
      <c r="C24" s="7">
        <f>C20-C10</f>
        <v/>
      </c>
      <c r="D24" s="7">
        <f>D20-D10</f>
        <v/>
      </c>
      <c r="E24" s="7">
        <f>E20-E10</f>
        <v/>
      </c>
      <c r="F24" s="7">
        <f>F20-F10</f>
        <v/>
      </c>
      <c r="G24" s="7">
        <f>G20-G10</f>
        <v/>
      </c>
      <c r="H24" s="7">
        <f>H20-H10</f>
        <v/>
      </c>
      <c r="I24" s="7">
        <f>I20-I10</f>
        <v/>
      </c>
      <c r="J24" s="7">
        <f>J20-J10</f>
        <v/>
      </c>
      <c r="K24" s="7">
        <f>K20-K10</f>
        <v/>
      </c>
      <c r="L24" s="7">
        <f>L20-L10</f>
        <v/>
      </c>
    </row>
    <row r="25">
      <c r="A25" t="inlineStr">
        <is>
          <t>Memo: implied owner FCF margin</t>
        </is>
      </c>
      <c r="C25" s="8">
        <f>C20/C6</f>
        <v/>
      </c>
      <c r="D25" s="8">
        <f>D20/D6</f>
        <v/>
      </c>
      <c r="E25" s="8">
        <f>E20/E6</f>
        <v/>
      </c>
      <c r="F25" s="8">
        <f>F20/F6</f>
        <v/>
      </c>
      <c r="G25" s="8">
        <f>G20/G6</f>
        <v/>
      </c>
      <c r="H25" s="8">
        <f>H20/H6</f>
        <v/>
      </c>
      <c r="I25" s="8">
        <f>I20/I6</f>
        <v/>
      </c>
      <c r="J25" s="8">
        <f>J20/J6</f>
        <v/>
      </c>
      <c r="K25" s="8">
        <f>K20/K6</f>
        <v/>
      </c>
      <c r="L25" s="8">
        <f>L20/L6</f>
        <v/>
      </c>
    </row>
    <row r="26">
      <c r="A26" s="3" t="inlineStr">
        <is>
          <t>Sum of PV of explicit FCF</t>
        </is>
      </c>
      <c r="B26" s="7">
        <f>SUM(C22:L22)</f>
        <v/>
      </c>
    </row>
    <row r="27">
      <c r="A27" s="3" t="inlineStr">
        <is>
          <t>Terminal growth rate</t>
        </is>
      </c>
      <c r="B27" s="19">
        <f>Assumptions!$B$17</f>
        <v/>
      </c>
    </row>
    <row r="28">
      <c r="A28" s="3" t="inlineStr">
        <is>
          <t>Terminal year FCF grown one year</t>
        </is>
      </c>
      <c r="B28" s="7">
        <f>L20*(1+B27)</f>
        <v/>
      </c>
    </row>
    <row r="29">
      <c r="A29" s="3" t="inlineStr">
        <is>
          <t>Gordon terminal value</t>
        </is>
      </c>
      <c r="B29" s="7">
        <f>B28/(Assumptions!$B$4-B27)</f>
        <v/>
      </c>
    </row>
    <row r="30">
      <c r="A30" s="3" t="inlineStr">
        <is>
          <t>Cap terminal value (multiple x FY10 FCF)</t>
        </is>
      </c>
      <c r="B30" s="7">
        <f>Assumptions!$B$7*L20</f>
        <v/>
      </c>
    </row>
    <row r="31">
      <c r="A31" s="3" t="inlineStr">
        <is>
          <t>Terminal value used</t>
        </is>
      </c>
      <c r="B31" s="7">
        <f>MAX(0,MIN(B29,B30))</f>
        <v/>
      </c>
    </row>
    <row r="32">
      <c r="A32" s="3" t="inlineStr">
        <is>
          <t>Which bound applied</t>
        </is>
      </c>
      <c r="B32">
        <f>IF(B31=0,"zero floor",IF(B31=B29,"gordon","cap"))</f>
        <v/>
      </c>
    </row>
    <row r="33">
      <c r="A33" s="3" t="inlineStr">
        <is>
          <t>Implied exit multiple</t>
        </is>
      </c>
      <c r="B33" s="20">
        <f>B31/L20</f>
        <v/>
      </c>
    </row>
    <row r="34">
      <c r="A34" s="3" t="inlineStr">
        <is>
          <t>PV of terminal value</t>
        </is>
      </c>
      <c r="B34" s="7">
        <f>B31*L21</f>
        <v/>
      </c>
    </row>
    <row r="35">
      <c r="A35" s="3" t="inlineStr">
        <is>
          <t>Enterprise value</t>
        </is>
      </c>
      <c r="B35" s="7">
        <f>B26+B34</f>
        <v/>
      </c>
    </row>
    <row r="36">
      <c r="A36" s="3" t="inlineStr">
        <is>
          <t>less net debt</t>
        </is>
      </c>
      <c r="B36" s="7">
        <f>-Assumptions!$B$8</f>
        <v/>
      </c>
    </row>
    <row r="37">
      <c r="A37" s="3" t="inlineStr">
        <is>
          <t>Equity value</t>
        </is>
      </c>
      <c r="B37" s="7">
        <f>B35+B36</f>
        <v/>
      </c>
    </row>
    <row r="38">
      <c r="A38" s="3" t="inlineStr">
        <is>
          <t>Diluted shares (m)</t>
        </is>
      </c>
      <c r="B38" s="21">
        <f>Assumptions!$B$9</f>
        <v/>
      </c>
    </row>
    <row r="39">
      <c r="A39" s="3" t="inlineStr">
        <is>
          <t>VALUE PER SHARE (NZ$)</t>
        </is>
      </c>
      <c r="B39" s="22">
        <f>B37/B38</f>
        <v/>
      </c>
    </row>
    <row r="40">
      <c r="A40" s="3" t="inlineStr">
        <is>
          <t>Upside vs current price</t>
        </is>
      </c>
      <c r="B40" s="8">
        <f>B39/Assumptions!$B$10-1</f>
        <v/>
      </c>
    </row>
    <row r="41">
      <c r="A41" s="3" t="inlineStr">
        <is>
          <t>Terminal value as % of EV</t>
        </is>
      </c>
      <c r="B41" s="8">
        <f>B34/B35</f>
        <v/>
      </c>
    </row>
    <row r="43">
      <c r="A43" s="3" t="inlineStr">
        <is>
          <t>Street basis memo (SBC treated as non-cash)</t>
        </is>
      </c>
    </row>
    <row r="44">
      <c r="A44" t="inlineStr">
        <is>
          <t>PV of explicit-period SBC</t>
        </is>
      </c>
      <c r="B44" s="7">
        <f>SUMPRODUCT(-C10:L10*C21:L21)</f>
        <v/>
      </c>
    </row>
    <row r="45">
      <c r="A45" t="inlineStr">
        <is>
          <t>PV of terminal SBC</t>
        </is>
      </c>
      <c r="B45" s="7">
        <f>IF(L10=0,0,(-L10*(1+B27)/(Assumptions!$B$4-B27))*L21)</f>
        <v/>
      </c>
    </row>
    <row r="46">
      <c r="A46" t="inlineStr">
        <is>
          <t>Street value per share (NZ$)</t>
        </is>
      </c>
      <c r="B46" s="23">
        <f>(B37+B44+B45)/B38</f>
        <v/>
      </c>
    </row>
    <row r="47">
      <c r="A47" t="inlineStr">
        <is>
          <t>Street note</t>
        </is>
      </c>
      <c r="B47" s="24" t="inlineStr">
        <is>
          <t>SBC is zero, so street equals house and the accounting-regime band collapses to a point. Reported as n/a, not 0%.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SKL.NZ  reported FCF reconciled to owner FCF  (NZD millions)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A3" s="3" t="inlineStr">
        <is>
          <t>Fiscal year</t>
        </is>
      </c>
      <c r="B3" s="3" t="inlineStr">
        <is>
          <t>FY2017</t>
        </is>
      </c>
      <c r="C3" s="3" t="inlineStr">
        <is>
          <t>FY2018</t>
        </is>
      </c>
      <c r="D3" s="3" t="inlineStr">
        <is>
          <t>FY2019</t>
        </is>
      </c>
      <c r="E3" s="3" t="inlineStr">
        <is>
          <t>FY2020</t>
        </is>
      </c>
      <c r="F3" s="3" t="inlineStr">
        <is>
          <t>FY2021</t>
        </is>
      </c>
      <c r="G3" s="3" t="inlineStr">
        <is>
          <t>FY2022</t>
        </is>
      </c>
      <c r="H3" s="3" t="inlineStr">
        <is>
          <t>FY2023</t>
        </is>
      </c>
      <c r="I3" s="3" t="inlineStr">
        <is>
          <t>FY2024</t>
        </is>
      </c>
      <c r="J3" s="3" t="inlineStr">
        <is>
          <t>FY2025</t>
        </is>
      </c>
      <c r="K3" s="3" t="inlineStr">
        <is>
          <t>FY2026</t>
        </is>
      </c>
    </row>
    <row r="4">
      <c r="A4" t="inlineStr">
        <is>
          <t>Operating cash flow</t>
        </is>
      </c>
      <c r="B4" s="6" t="n">
        <v>21.229</v>
      </c>
      <c r="C4" s="6" t="n">
        <v>28.345</v>
      </c>
      <c r="D4" s="6" t="n">
        <v>28.92</v>
      </c>
      <c r="E4" s="6" t="n">
        <v>48.006</v>
      </c>
      <c r="F4" s="6" t="n">
        <v>58.796</v>
      </c>
      <c r="G4" s="6" t="n">
        <v>43.322</v>
      </c>
      <c r="H4" s="6" t="n">
        <v>54.114</v>
      </c>
      <c r="I4" s="6" t="n">
        <v>70.81</v>
      </c>
      <c r="J4" s="6" t="n">
        <v>66.48699999999999</v>
      </c>
      <c r="K4" s="6" t="n">
        <v>83.59999999999999</v>
      </c>
    </row>
    <row r="5">
      <c r="A5" t="inlineStr">
        <is>
          <t>less capital expenditure</t>
        </is>
      </c>
      <c r="B5" s="6" t="n">
        <v>-12.695</v>
      </c>
      <c r="C5" s="6" t="n">
        <v>-5.428</v>
      </c>
      <c r="D5" s="6" t="n">
        <v>-4.593</v>
      </c>
      <c r="E5" s="6" t="n">
        <v>-4.383</v>
      </c>
      <c r="F5" s="6" t="n">
        <v>-7.478</v>
      </c>
      <c r="G5" s="6" t="n">
        <v>-10.186</v>
      </c>
      <c r="H5" s="6" t="n">
        <v>-8.247</v>
      </c>
      <c r="I5" s="6" t="n">
        <v>-9.444000000000001</v>
      </c>
      <c r="J5" s="6" t="n">
        <v>-9.201000000000001</v>
      </c>
      <c r="K5" s="6" t="n">
        <v>-15.1</v>
      </c>
    </row>
    <row r="6">
      <c r="A6" s="3" t="inlineStr">
        <is>
          <t>Free cash flow (company definition)</t>
        </is>
      </c>
      <c r="B6" s="7">
        <f>B4+B5</f>
        <v/>
      </c>
      <c r="C6" s="7">
        <f>C4+C5</f>
        <v/>
      </c>
      <c r="D6" s="7">
        <f>D4+D5</f>
        <v/>
      </c>
      <c r="E6" s="7">
        <f>E4+E5</f>
        <v/>
      </c>
      <c r="F6" s="7">
        <f>F4+F5</f>
        <v/>
      </c>
      <c r="G6" s="7">
        <f>G4+G5</f>
        <v/>
      </c>
      <c r="H6" s="7">
        <f>H4+H5</f>
        <v/>
      </c>
      <c r="I6" s="7">
        <f>I4+I5</f>
        <v/>
      </c>
      <c r="J6" s="7">
        <f>J4+J5</f>
        <v/>
      </c>
      <c r="K6" s="7">
        <f>K4+K5</f>
        <v/>
      </c>
    </row>
    <row r="7">
      <c r="A7" t="inlineStr">
        <is>
          <t>less SBC incl. equity-award taxes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</row>
    <row r="8">
      <c r="A8" t="inlineStr">
        <is>
          <t>less interest income</t>
        </is>
      </c>
      <c r="B8" s="6" t="n">
        <v>-0.029</v>
      </c>
      <c r="C8" s="6" t="n">
        <v>-0.074</v>
      </c>
      <c r="D8" s="6" t="n">
        <v>-0.053</v>
      </c>
      <c r="E8" s="6" t="n">
        <v>-0.014</v>
      </c>
      <c r="F8" s="6" t="n">
        <v>-0.026</v>
      </c>
      <c r="G8" s="6" t="n">
        <v>-0.049</v>
      </c>
      <c r="H8" s="6" t="n">
        <v>-0.006</v>
      </c>
      <c r="I8" s="6" t="n">
        <v>-0.115</v>
      </c>
      <c r="J8" s="6" t="n">
        <v>-0.186</v>
      </c>
      <c r="K8" s="6" t="n">
        <v>-0.19</v>
      </c>
    </row>
    <row r="9">
      <c r="A9" s="3" t="inlineStr">
        <is>
          <t>OWNER FREE CASH FLOW</t>
        </is>
      </c>
      <c r="B9" s="17">
        <f>B6+B7+B8</f>
        <v/>
      </c>
      <c r="C9" s="17">
        <f>C6+C7+C8</f>
        <v/>
      </c>
      <c r="D9" s="17">
        <f>D6+D7+D8</f>
        <v/>
      </c>
      <c r="E9" s="17">
        <f>E6+E7+E8</f>
        <v/>
      </c>
      <c r="F9" s="17">
        <f>F6+F7+F8</f>
        <v/>
      </c>
      <c r="G9" s="17">
        <f>G6+G7+G8</f>
        <v/>
      </c>
      <c r="H9" s="17">
        <f>H6+H7+H8</f>
        <v/>
      </c>
      <c r="I9" s="17">
        <f>I6+I7+I8</f>
        <v/>
      </c>
      <c r="J9" s="17">
        <f>J6+J7+J8</f>
        <v/>
      </c>
      <c r="K9" s="17">
        <f>K6+K7+K8</f>
        <v/>
      </c>
    </row>
    <row r="10">
      <c r="A10" t="inlineStr">
        <is>
          <t>Revenue</t>
        </is>
      </c>
      <c r="B10" s="6" t="n">
        <v>210.322</v>
      </c>
      <c r="C10" s="6" t="n">
        <v>240.408</v>
      </c>
      <c r="D10" s="6" t="n">
        <v>245.792</v>
      </c>
      <c r="E10" s="6" t="n">
        <v>251.389</v>
      </c>
      <c r="F10" s="6" t="n">
        <v>279.515</v>
      </c>
      <c r="G10" s="6" t="n">
        <v>316.829</v>
      </c>
      <c r="H10" s="6" t="n">
        <v>333.537</v>
      </c>
      <c r="I10" s="6" t="n">
        <v>330.578</v>
      </c>
      <c r="J10" s="6" t="n">
        <v>353.478</v>
      </c>
      <c r="K10" s="6" t="n">
        <v>390.1</v>
      </c>
    </row>
    <row r="11">
      <c r="A11" t="inlineStr">
        <is>
          <t>Reported FCF margin</t>
        </is>
      </c>
      <c r="B11" s="8">
        <f>B6/B10</f>
        <v/>
      </c>
      <c r="C11" s="8">
        <f>C6/C10</f>
        <v/>
      </c>
      <c r="D11" s="8">
        <f>D6/D10</f>
        <v/>
      </c>
      <c r="E11" s="8">
        <f>E6/E10</f>
        <v/>
      </c>
      <c r="F11" s="8">
        <f>F6/F10</f>
        <v/>
      </c>
      <c r="G11" s="8">
        <f>G6/G10</f>
        <v/>
      </c>
      <c r="H11" s="8">
        <f>H6/H10</f>
        <v/>
      </c>
      <c r="I11" s="8">
        <f>I6/I10</f>
        <v/>
      </c>
      <c r="J11" s="8">
        <f>J6/J10</f>
        <v/>
      </c>
      <c r="K11" s="8">
        <f>K6/K10</f>
        <v/>
      </c>
    </row>
    <row r="12">
      <c r="A12" t="inlineStr">
        <is>
          <t>Owner FCF margin</t>
        </is>
      </c>
      <c r="B12" s="8">
        <f>B9/B10</f>
        <v/>
      </c>
      <c r="C12" s="8">
        <f>C9/C10</f>
        <v/>
      </c>
      <c r="D12" s="8">
        <f>D9/D10</f>
        <v/>
      </c>
      <c r="E12" s="8">
        <f>E9/E10</f>
        <v/>
      </c>
      <c r="F12" s="8">
        <f>F9/F10</f>
        <v/>
      </c>
      <c r="G12" s="8">
        <f>G9/G10</f>
        <v/>
      </c>
      <c r="H12" s="8">
        <f>H9/H10</f>
        <v/>
      </c>
      <c r="I12" s="8">
        <f>I9/I10</f>
        <v/>
      </c>
      <c r="J12" s="8">
        <f>J9/J10</f>
        <v/>
      </c>
      <c r="K12" s="8">
        <f>K9/K10</f>
        <v/>
      </c>
    </row>
    <row r="13">
      <c r="A13" t="inlineStr">
        <is>
          <t>Normalised NPAT</t>
        </is>
      </c>
      <c r="B13" s="6" t="n">
        <v>22.11</v>
      </c>
      <c r="C13" s="6" t="n">
        <v>27.277</v>
      </c>
      <c r="D13" s="6" t="n">
        <v>29.063</v>
      </c>
      <c r="E13" s="6" t="n">
        <v>29.064</v>
      </c>
      <c r="F13" s="6" t="n">
        <v>40.175</v>
      </c>
      <c r="G13" s="6" t="n">
        <v>47.813</v>
      </c>
      <c r="H13" s="6" t="n">
        <v>50.941</v>
      </c>
      <c r="I13" s="6" t="n">
        <v>50.014</v>
      </c>
      <c r="J13" s="6" t="n">
        <v>54.549</v>
      </c>
      <c r="K13" s="6" t="n">
        <v>64.2</v>
      </c>
    </row>
    <row r="14">
      <c r="A14" t="inlineStr">
        <is>
          <t>Memo: OCF less (normalised NPAT + D&amp;A)</t>
        </is>
      </c>
      <c r="B14" s="7">
        <f>B4-(B13+B15)</f>
        <v/>
      </c>
      <c r="C14" s="7">
        <f>C4-(C13+C15)</f>
        <v/>
      </c>
      <c r="D14" s="7">
        <f>D4-(D13+D15)</f>
        <v/>
      </c>
      <c r="E14" s="7">
        <f>E4-(E13+E15)</f>
        <v/>
      </c>
      <c r="F14" s="7">
        <f>F4-(F13+F15)</f>
        <v/>
      </c>
      <c r="G14" s="7">
        <f>G4-(G13+G15)</f>
        <v/>
      </c>
      <c r="H14" s="7">
        <f>H4-(H13+H15)</f>
        <v/>
      </c>
      <c r="I14" s="7">
        <f>I4-(I13+I15)</f>
        <v/>
      </c>
      <c r="J14" s="7">
        <f>J4-(J13+J15)</f>
        <v/>
      </c>
      <c r="K14" s="7">
        <f>K4-(K13+K15)</f>
        <v/>
      </c>
    </row>
    <row r="15">
      <c r="A15" t="inlineStr">
        <is>
          <t>Depreciation and amortisation</t>
        </is>
      </c>
      <c r="B15" s="6" t="n">
        <v>7.789</v>
      </c>
      <c r="C15" s="6" t="n">
        <v>7.456</v>
      </c>
      <c r="D15" s="6" t="n">
        <v>7.132</v>
      </c>
      <c r="E15" s="6" t="n">
        <v>12.767</v>
      </c>
      <c r="F15" s="6" t="n">
        <v>12.373</v>
      </c>
      <c r="G15" s="6" t="n">
        <v>13.763</v>
      </c>
      <c r="H15" s="6" t="n">
        <v>15.233</v>
      </c>
      <c r="I15" s="6" t="n">
        <v>15.832</v>
      </c>
      <c r="J15" s="6" t="n">
        <v>16.907</v>
      </c>
      <c r="K15" s="6" t="n">
        <v>18</v>
      </c>
    </row>
    <row r="17" ht="42" customHeight="1">
      <c r="A17" s="3" t="inlineStr">
        <is>
          <t>SBC memo</t>
        </is>
      </c>
      <c r="B17" s="4" t="inlineStr">
        <is>
          <t>Zero in every year -- verified against the cash flow statements FY2015-FY2026. There is no SBC adjustment and the owner FCF series equals the reported FCF series.</t>
        </is>
      </c>
    </row>
    <row r="18" ht="42" customHeight="1">
      <c r="A18" s="3" t="inlineStr">
        <is>
          <t>Working capital memo</t>
        </is>
      </c>
      <c r="B18" s="4" t="inlineStr">
        <is>
          <t>Row 14 is the test the method file demands: FY2026 OCF of 83.6 against normalised NPAT plus D&amp;A of 82.2 leaves only +1.4. There is NO deferred-revenue or working-capital windfall inflating the FY2026 base -- unlike the subscription-business trap this engine was built to catch. The base is clean.</t>
        </is>
      </c>
    </row>
    <row r="19" ht="42" customHeight="1">
      <c r="A19" s="3" t="inlineStr">
        <is>
          <t>Cash tax memo</t>
        </is>
      </c>
      <c r="B19" s="4" t="inlineStr">
        <is>
          <t>FY2026 implied cash tax rate on normalised earnings is ~25.6%, close to the 28% NZ statutory rate and not abnormal. No ramp is required; the model holds 26% flat.</t>
        </is>
      </c>
    </row>
    <row r="20" ht="42" customHeight="1">
      <c r="A20" s="3" t="inlineStr">
        <is>
          <t>Capex memo</t>
        </is>
      </c>
      <c r="B20" s="4" t="inlineStr">
        <is>
          <t>FY2026 capex of 15.1 is BELOW D&amp;A of ~18.0. The model raises capex toward D&amp;A (4.6% of revenue) over the forecast, because an asset-heavy manufacturer part-way through a modernisation programme and a Wigram CV-line rebuild cannot under-invest against depreciation indefinitely.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SKL.NZ  valuation summary, entry prices, required returns and sensitivity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5" t="inlineStr">
        <is>
          <t>Scenario</t>
        </is>
      </c>
      <c r="B3" s="5" t="inlineStr">
        <is>
          <t>Value per share</t>
        </is>
      </c>
      <c r="C3" s="5" t="inlineStr">
        <is>
          <t>Upside vs price</t>
        </is>
      </c>
      <c r="D3" s="5" t="inlineStr">
        <is>
          <t>Probability</t>
        </is>
      </c>
      <c r="E3" s="5" t="inlineStr">
        <is>
          <t>Street value/sh</t>
        </is>
      </c>
      <c r="F3" s="5" t="inlineStr">
        <is>
          <t>Terminal % of EV</t>
        </is>
      </c>
    </row>
    <row r="4">
      <c r="A4" s="3" t="inlineStr">
        <is>
          <t>Bear</t>
        </is>
      </c>
      <c r="B4" s="25">
        <f>DCF_Bear!$B$39</f>
        <v/>
      </c>
      <c r="C4" s="8">
        <f>B4/Assumptions!$B$10-1</f>
        <v/>
      </c>
      <c r="D4" s="8">
        <f>Assumptions!$C$15</f>
        <v/>
      </c>
      <c r="E4" s="23">
        <f>DCF_Bear!$B$46</f>
        <v/>
      </c>
      <c r="F4" s="8">
        <f>DCF_Bear!$B$41</f>
        <v/>
      </c>
    </row>
    <row r="5">
      <c r="A5" s="3" t="inlineStr">
        <is>
          <t>Base</t>
        </is>
      </c>
      <c r="B5" s="25">
        <f>DCF_Base!$B$39</f>
        <v/>
      </c>
      <c r="C5" s="8">
        <f>B5/Assumptions!$B$10-1</f>
        <v/>
      </c>
      <c r="D5" s="8">
        <f>Assumptions!$C$16</f>
        <v/>
      </c>
      <c r="E5" s="23">
        <f>DCF_Base!$B$46</f>
        <v/>
      </c>
      <c r="F5" s="8">
        <f>DCF_Base!$B$41</f>
        <v/>
      </c>
    </row>
    <row r="6">
      <c r="A6" s="3" t="inlineStr">
        <is>
          <t>Bull</t>
        </is>
      </c>
      <c r="B6" s="25">
        <f>DCF_Bull!$B$39</f>
        <v/>
      </c>
      <c r="C6" s="8">
        <f>B6/Assumptions!$B$10-1</f>
        <v/>
      </c>
      <c r="D6" s="8">
        <f>Assumptions!$C$17</f>
        <v/>
      </c>
      <c r="E6" s="23">
        <f>DCF_Bull!$B$46</f>
        <v/>
      </c>
      <c r="F6" s="8">
        <f>DCF_Bull!$B$41</f>
        <v/>
      </c>
    </row>
    <row r="7">
      <c r="A7" s="3" t="inlineStr">
        <is>
          <t>PROBABILITY-WEIGHTED VALUE</t>
        </is>
      </c>
      <c r="B7" s="22">
        <f>SUMPRODUCT(B4:B6,D4:D6)</f>
        <v/>
      </c>
      <c r="C7" s="8">
        <f>B7/Assumptions!$B$10-1</f>
        <v/>
      </c>
      <c r="E7" s="23">
        <f>SUMPRODUCT(E4:E6,D4:D6)</f>
        <v/>
      </c>
    </row>
    <row r="8">
      <c r="A8" s="3" t="inlineStr">
        <is>
          <t>Margin of safety at current price</t>
        </is>
      </c>
      <c r="B8" s="8">
        <f>1-Assumptions!$B$10/B7</f>
        <v/>
      </c>
      <c r="D8" t="inlineStr">
        <is>
          <t>Negative means the price is ABOVE the weighted value.</t>
        </is>
      </c>
    </row>
    <row r="9">
      <c r="A9" s="3" t="inlineStr">
        <is>
          <t>Band position (house to street)</t>
        </is>
      </c>
      <c r="B9" t="inlineStr">
        <is>
          <t>n/a -- SBC is zero, so house and street coincide and the band collapses to a point.</t>
        </is>
      </c>
    </row>
    <row r="11">
      <c r="A11" s="3" t="inlineStr">
        <is>
          <t>15% hurdle entry prices</t>
        </is>
      </c>
    </row>
    <row r="12">
      <c r="A12" s="5" t="inlineStr">
        <is>
          <t>Scenario</t>
        </is>
      </c>
      <c r="B12" s="5" t="inlineStr">
        <is>
          <t>Entry price</t>
        </is>
      </c>
      <c r="C12" s="5" t="inlineStr">
        <is>
          <t>Discount vs price</t>
        </is>
      </c>
    </row>
    <row r="13">
      <c r="A13" s="3" t="inlineStr">
        <is>
          <t>Bear</t>
        </is>
      </c>
      <c r="B13" s="23">
        <f>(SUMPRODUCT(DCF_Bear!C20:L20,1/(1+Assumptions!$B$11)^DCF_Bear!C4:L4)+DCF_Bear!$B$31/(1+Assumptions!$B$11)^10-Assumptions!$B$8)/Assumptions!$B$9</f>
        <v/>
      </c>
      <c r="C13" s="8">
        <f>B13/Assumptions!$B$10-1</f>
        <v/>
      </c>
    </row>
    <row r="14">
      <c r="A14" s="3" t="inlineStr">
        <is>
          <t>Base</t>
        </is>
      </c>
      <c r="B14" s="23">
        <f>(SUMPRODUCT(DCF_Base!C20:L20,1/(1+Assumptions!$B$11)^DCF_Base!C4:L4)+DCF_Base!$B$31/(1+Assumptions!$B$11)^10-Assumptions!$B$8)/Assumptions!$B$9</f>
        <v/>
      </c>
      <c r="C14" s="8">
        <f>B14/Assumptions!$B$10-1</f>
        <v/>
      </c>
    </row>
    <row r="15">
      <c r="A15" s="3" t="inlineStr">
        <is>
          <t>Bull</t>
        </is>
      </c>
      <c r="B15" s="23">
        <f>(SUMPRODUCT(DCF_Bull!C20:L20,1/(1+Assumptions!$B$11)^DCF_Bull!C4:L4)+DCF_Bull!$B$31/(1+Assumptions!$B$11)^10-Assumptions!$B$8)/Assumptions!$B$9</f>
        <v/>
      </c>
      <c r="C15" s="8">
        <f>B15/Assumptions!$B$10-1</f>
        <v/>
      </c>
    </row>
    <row r="16">
      <c r="A16" s="3" t="inlineStr">
        <is>
          <t>WEIGHTED ENTRY PRICE (buy below)</t>
        </is>
      </c>
      <c r="B16" s="22">
        <f>SUMPRODUCT(B13:B15,D4:D6)</f>
        <v/>
      </c>
    </row>
    <row r="18">
      <c r="A18" s="3" t="inlineStr">
        <is>
          <t>Required-return table (base case)</t>
        </is>
      </c>
    </row>
    <row r="19">
      <c r="A19" s="3" t="inlineStr">
        <is>
          <t>Required return</t>
        </is>
      </c>
      <c r="B19" s="26" t="n">
        <v>0.09</v>
      </c>
      <c r="C19" s="26" t="n">
        <v>0.1</v>
      </c>
      <c r="D19" s="26" t="n">
        <v>0.105</v>
      </c>
      <c r="E19" s="26" t="n">
        <v>0.11</v>
      </c>
      <c r="F19" s="26" t="n">
        <v>0.12</v>
      </c>
      <c r="G19" s="26" t="n">
        <v>0.15</v>
      </c>
    </row>
    <row r="20">
      <c r="A20" s="3" t="inlineStr">
        <is>
          <t>Value per share (NZ$)</t>
        </is>
      </c>
      <c r="B20" s="23">
        <f>(SUMPRODUCT(DCF_Base!C20:L20,1/(1+B$19)^DCF_Base!C4:L4)+DCF_Base!$B$31/(1+B$19)^10-Assumptions!$B$8)/Assumptions!$B$9</f>
        <v/>
      </c>
      <c r="C20" s="23">
        <f>(SUMPRODUCT(DCF_Base!C20:L20,1/(1+C$19)^DCF_Base!C4:L4)+DCF_Base!$B$31/(1+C$19)^10-Assumptions!$B$8)/Assumptions!$B$9</f>
        <v/>
      </c>
      <c r="D20" s="23">
        <f>(SUMPRODUCT(DCF_Base!C20:L20,1/(1+D$19)^DCF_Base!C4:L4)+DCF_Base!$B$31/(1+D$19)^10-Assumptions!$B$8)/Assumptions!$B$9</f>
        <v/>
      </c>
      <c r="E20" s="23">
        <f>(SUMPRODUCT(DCF_Base!C20:L20,1/(1+E$19)^DCF_Base!C4:L4)+DCF_Base!$B$31/(1+E$19)^10-Assumptions!$B$8)/Assumptions!$B$9</f>
        <v/>
      </c>
      <c r="F20" s="23">
        <f>(SUMPRODUCT(DCF_Base!C20:L20,1/(1+F$19)^DCF_Base!C4:L4)+DCF_Base!$B$31/(1+F$19)^10-Assumptions!$B$8)/Assumptions!$B$9</f>
        <v/>
      </c>
      <c r="G20" s="23">
        <f>(SUMPRODUCT(DCF_Base!C20:L20,1/(1+G$19)^DCF_Base!C4:L4)+DCF_Base!$B$31/(1+G$19)^10-Assumptions!$B$8)/Assumptions!$B$9</f>
        <v/>
      </c>
    </row>
    <row r="21">
      <c r="A21" s="3" t="inlineStr">
        <is>
          <t>Note</t>
        </is>
      </c>
      <c r="B21" t="inlineStr">
        <is>
          <t>At NZ$7.48 the base-case flows do not deliver even a 9% return. The price implies a required return below 6%.</t>
        </is>
      </c>
    </row>
    <row r="23">
      <c r="A23" s="3" t="inlineStr">
        <is>
          <t>Sensitivity: WACC (rows) x terminal growth (columns), base case</t>
        </is>
      </c>
    </row>
    <row r="24">
      <c r="A24" s="3" t="inlineStr">
        <is>
          <t>WACC \ terminal g</t>
        </is>
      </c>
      <c r="B24" s="27" t="n">
        <v>0.0125</v>
      </c>
      <c r="C24" s="27" t="n">
        <v>0.0175</v>
      </c>
      <c r="D24" s="27" t="n">
        <v>0.0225</v>
      </c>
      <c r="E24" s="27" t="n">
        <v>0.0275</v>
      </c>
      <c r="F24" s="27" t="n">
        <v>0.0325</v>
      </c>
    </row>
    <row r="25">
      <c r="A25" s="26" t="n">
        <v>0.08500000000000001</v>
      </c>
      <c r="B25" s="23">
        <f>IF($A25&lt;=B$24,"n/a",(SUMPRODUCT(DCF_Base!C20:L20,1/(1+$A25)^DCF_Base!C4:L4)+MAX(0,MIN(DCF_Base!$L$20*(1+B$24)/($A25-B$24),Assumptions!$B$7*DCF_Base!$L$20))/(1+$A25)^10-Assumptions!$B$8)/Assumptions!$B$9)</f>
        <v/>
      </c>
      <c r="C25" s="23">
        <f>IF($A25&lt;=C$24,"n/a",(SUMPRODUCT(DCF_Base!C20:L20,1/(1+$A25)^DCF_Base!C4:L4)+MAX(0,MIN(DCF_Base!$L$20*(1+C$24)/($A25-C$24),Assumptions!$B$7*DCF_Base!$L$20))/(1+$A25)^10-Assumptions!$B$8)/Assumptions!$B$9)</f>
        <v/>
      </c>
      <c r="D25" s="23">
        <f>IF($A25&lt;=D$24,"n/a",(SUMPRODUCT(DCF_Base!C20:L20,1/(1+$A25)^DCF_Base!C4:L4)+MAX(0,MIN(DCF_Base!$L$20*(1+D$24)/($A25-D$24),Assumptions!$B$7*DCF_Base!$L$20))/(1+$A25)^10-Assumptions!$B$8)/Assumptions!$B$9)</f>
        <v/>
      </c>
      <c r="E25" s="23">
        <f>IF($A25&lt;=E$24,"n/a",(SUMPRODUCT(DCF_Base!C20:L20,1/(1+$A25)^DCF_Base!C4:L4)+MAX(0,MIN(DCF_Base!$L$20*(1+E$24)/($A25-E$24),Assumptions!$B$7*DCF_Base!$L$20))/(1+$A25)^10-Assumptions!$B$8)/Assumptions!$B$9)</f>
        <v/>
      </c>
      <c r="F25" s="23">
        <f>IF($A25&lt;=F$24,"n/a",(SUMPRODUCT(DCF_Base!C20:L20,1/(1+$A25)^DCF_Base!C4:L4)+MAX(0,MIN(DCF_Base!$L$20*(1+F$24)/($A25-F$24),Assumptions!$B$7*DCF_Base!$L$20))/(1+$A25)^10-Assumptions!$B$8)/Assumptions!$B$9)</f>
        <v/>
      </c>
    </row>
    <row r="26">
      <c r="A26" s="26" t="n">
        <v>0.095</v>
      </c>
      <c r="B26" s="23">
        <f>IF($A26&lt;=B$24,"n/a",(SUMPRODUCT(DCF_Base!C20:L20,1/(1+$A26)^DCF_Base!C4:L4)+MAX(0,MIN(DCF_Base!$L$20*(1+B$24)/($A26-B$24),Assumptions!$B$7*DCF_Base!$L$20))/(1+$A26)^10-Assumptions!$B$8)/Assumptions!$B$9)</f>
        <v/>
      </c>
      <c r="C26" s="23">
        <f>IF($A26&lt;=C$24,"n/a",(SUMPRODUCT(DCF_Base!C20:L20,1/(1+$A26)^DCF_Base!C4:L4)+MAX(0,MIN(DCF_Base!$L$20*(1+C$24)/($A26-C$24),Assumptions!$B$7*DCF_Base!$L$20))/(1+$A26)^10-Assumptions!$B$8)/Assumptions!$B$9)</f>
        <v/>
      </c>
      <c r="D26" s="23">
        <f>IF($A26&lt;=D$24,"n/a",(SUMPRODUCT(DCF_Base!C20:L20,1/(1+$A26)^DCF_Base!C4:L4)+MAX(0,MIN(DCF_Base!$L$20*(1+D$24)/($A26-D$24),Assumptions!$B$7*DCF_Base!$L$20))/(1+$A26)^10-Assumptions!$B$8)/Assumptions!$B$9)</f>
        <v/>
      </c>
      <c r="E26" s="23">
        <f>IF($A26&lt;=E$24,"n/a",(SUMPRODUCT(DCF_Base!C20:L20,1/(1+$A26)^DCF_Base!C4:L4)+MAX(0,MIN(DCF_Base!$L$20*(1+E$24)/($A26-E$24),Assumptions!$B$7*DCF_Base!$L$20))/(1+$A26)^10-Assumptions!$B$8)/Assumptions!$B$9)</f>
        <v/>
      </c>
      <c r="F26" s="23">
        <f>IF($A26&lt;=F$24,"n/a",(SUMPRODUCT(DCF_Base!C20:L20,1/(1+$A26)^DCF_Base!C4:L4)+MAX(0,MIN(DCF_Base!$L$20*(1+F$24)/($A26-F$24),Assumptions!$B$7*DCF_Base!$L$20))/(1+$A26)^10-Assumptions!$B$8)/Assumptions!$B$9)</f>
        <v/>
      </c>
    </row>
    <row r="27">
      <c r="A27" s="26" t="n">
        <v>0.105</v>
      </c>
      <c r="B27" s="23">
        <f>IF($A27&lt;=B$24,"n/a",(SUMPRODUCT(DCF_Base!C20:L20,1/(1+$A27)^DCF_Base!C4:L4)+MAX(0,MIN(DCF_Base!$L$20*(1+B$24)/($A27-B$24),Assumptions!$B$7*DCF_Base!$L$20))/(1+$A27)^10-Assumptions!$B$8)/Assumptions!$B$9)</f>
        <v/>
      </c>
      <c r="C27" s="23">
        <f>IF($A27&lt;=C$24,"n/a",(SUMPRODUCT(DCF_Base!C20:L20,1/(1+$A27)^DCF_Base!C4:L4)+MAX(0,MIN(DCF_Base!$L$20*(1+C$24)/($A27-C$24),Assumptions!$B$7*DCF_Base!$L$20))/(1+$A27)^10-Assumptions!$B$8)/Assumptions!$B$9)</f>
        <v/>
      </c>
      <c r="D27" s="28">
        <f>IF($A27&lt;=D$24,"n/a",(SUMPRODUCT(DCF_Base!C20:L20,1/(1+$A27)^DCF_Base!C4:L4)+MAX(0,MIN(DCF_Base!$L$20*(1+D$24)/($A27-D$24),Assumptions!$B$7*DCF_Base!$L$20))/(1+$A27)^10-Assumptions!$B$8)/Assumptions!$B$9)</f>
        <v/>
      </c>
      <c r="E27" s="23">
        <f>IF($A27&lt;=E$24,"n/a",(SUMPRODUCT(DCF_Base!C20:L20,1/(1+$A27)^DCF_Base!C4:L4)+MAX(0,MIN(DCF_Base!$L$20*(1+E$24)/($A27-E$24),Assumptions!$B$7*DCF_Base!$L$20))/(1+$A27)^10-Assumptions!$B$8)/Assumptions!$B$9)</f>
        <v/>
      </c>
      <c r="F27" s="23">
        <f>IF($A27&lt;=F$24,"n/a",(SUMPRODUCT(DCF_Base!C20:L20,1/(1+$A27)^DCF_Base!C4:L4)+MAX(0,MIN(DCF_Base!$L$20*(1+F$24)/($A27-F$24),Assumptions!$B$7*DCF_Base!$L$20))/(1+$A27)^10-Assumptions!$B$8)/Assumptions!$B$9)</f>
        <v/>
      </c>
    </row>
    <row r="28">
      <c r="A28" s="26" t="n">
        <v>0.115</v>
      </c>
      <c r="B28" s="23">
        <f>IF($A28&lt;=B$24,"n/a",(SUMPRODUCT(DCF_Base!C20:L20,1/(1+$A28)^DCF_Base!C4:L4)+MAX(0,MIN(DCF_Base!$L$20*(1+B$24)/($A28-B$24),Assumptions!$B$7*DCF_Base!$L$20))/(1+$A28)^10-Assumptions!$B$8)/Assumptions!$B$9)</f>
        <v/>
      </c>
      <c r="C28" s="23">
        <f>IF($A28&lt;=C$24,"n/a",(SUMPRODUCT(DCF_Base!C20:L20,1/(1+$A28)^DCF_Base!C4:L4)+MAX(0,MIN(DCF_Base!$L$20*(1+C$24)/($A28-C$24),Assumptions!$B$7*DCF_Base!$L$20))/(1+$A28)^10-Assumptions!$B$8)/Assumptions!$B$9)</f>
        <v/>
      </c>
      <c r="D28" s="23">
        <f>IF($A28&lt;=D$24,"n/a",(SUMPRODUCT(DCF_Base!C20:L20,1/(1+$A28)^DCF_Base!C4:L4)+MAX(0,MIN(DCF_Base!$L$20*(1+D$24)/($A28-D$24),Assumptions!$B$7*DCF_Base!$L$20))/(1+$A28)^10-Assumptions!$B$8)/Assumptions!$B$9)</f>
        <v/>
      </c>
      <c r="E28" s="23">
        <f>IF($A28&lt;=E$24,"n/a",(SUMPRODUCT(DCF_Base!C20:L20,1/(1+$A28)^DCF_Base!C4:L4)+MAX(0,MIN(DCF_Base!$L$20*(1+E$24)/($A28-E$24),Assumptions!$B$7*DCF_Base!$L$20))/(1+$A28)^10-Assumptions!$B$8)/Assumptions!$B$9)</f>
        <v/>
      </c>
      <c r="F28" s="23">
        <f>IF($A28&lt;=F$24,"n/a",(SUMPRODUCT(DCF_Base!C20:L20,1/(1+$A28)^DCF_Base!C4:L4)+MAX(0,MIN(DCF_Base!$L$20*(1+F$24)/($A28-F$24),Assumptions!$B$7*DCF_Base!$L$20))/(1+$A28)^10-Assumptions!$B$8)/Assumptions!$B$9)</f>
        <v/>
      </c>
    </row>
    <row r="29">
      <c r="A29" s="26" t="n">
        <v>0.125</v>
      </c>
      <c r="B29" s="23">
        <f>IF($A29&lt;=B$24,"n/a",(SUMPRODUCT(DCF_Base!C20:L20,1/(1+$A29)^DCF_Base!C4:L4)+MAX(0,MIN(DCF_Base!$L$20*(1+B$24)/($A29-B$24),Assumptions!$B$7*DCF_Base!$L$20))/(1+$A29)^10-Assumptions!$B$8)/Assumptions!$B$9)</f>
        <v/>
      </c>
      <c r="C29" s="23">
        <f>IF($A29&lt;=C$24,"n/a",(SUMPRODUCT(DCF_Base!C20:L20,1/(1+$A29)^DCF_Base!C4:L4)+MAX(0,MIN(DCF_Base!$L$20*(1+C$24)/($A29-C$24),Assumptions!$B$7*DCF_Base!$L$20))/(1+$A29)^10-Assumptions!$B$8)/Assumptions!$B$9)</f>
        <v/>
      </c>
      <c r="D29" s="23">
        <f>IF($A29&lt;=D$24,"n/a",(SUMPRODUCT(DCF_Base!C20:L20,1/(1+$A29)^DCF_Base!C4:L4)+MAX(0,MIN(DCF_Base!$L$20*(1+D$24)/($A29-D$24),Assumptions!$B$7*DCF_Base!$L$20))/(1+$A29)^10-Assumptions!$B$8)/Assumptions!$B$9)</f>
        <v/>
      </c>
      <c r="E29" s="23">
        <f>IF($A29&lt;=E$24,"n/a",(SUMPRODUCT(DCF_Base!C20:L20,1/(1+$A29)^DCF_Base!C4:L4)+MAX(0,MIN(DCF_Base!$L$20*(1+E$24)/($A29-E$24),Assumptions!$B$7*DCF_Base!$L$20))/(1+$A29)^10-Assumptions!$B$8)/Assumptions!$B$9)</f>
        <v/>
      </c>
      <c r="F29" s="23">
        <f>IF($A29&lt;=F$24,"n/a",(SUMPRODUCT(DCF_Base!C20:L20,1/(1+$A29)^DCF_Base!C4:L4)+MAX(0,MIN(DCF_Base!$L$20*(1+F$24)/($A29-F$24),Assumptions!$B$7*DCF_Base!$L$20))/(1+$A29)^10-Assumptions!$B$8)/Assumptions!$B$9)</f>
        <v/>
      </c>
    </row>
    <row r="31">
      <c r="A31" s="3" t="inlineStr">
        <is>
          <t>Sensitivity note</t>
        </is>
      </c>
      <c r="B31" s="24" t="inlineStr">
        <is>
          <t>Every cell in the grid sits below the NZ$7.48 market price. Rows flatten at 8.5% WACC because the 15x terminal cap binds there -- correct behaviour for a cyclical.</t>
        </is>
      </c>
    </row>
    <row r="33" ht="44" customHeight="1">
      <c r="A33" s="3" t="inlineStr">
        <is>
          <t>VERDICT</t>
        </is>
      </c>
      <c r="B33" s="4" t="inlineStr">
        <is>
          <t>Skellerup is a genuinely high-quality business trading at a price that already pays for its quality and then some. The verdict is OVERVALUED at NZ$7.48, on a weighted IV of NZ$4.51 -- and the reason is arithmetic, not pessimism about the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2026-08-28T08:54:55Z</dcterms:created>
  <dcterms:modified xsi:type="dcterms:W3CDTF">2026-08-28T08:54:55Z</dcterms:modified>
</cp:coreProperties>
</file>