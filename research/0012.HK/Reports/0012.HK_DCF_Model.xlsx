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<sst xmlns="http://schemas.openxmlformats.org/spreadsheetml/2006/main" count="361" uniqueCount="168">
  <si>
    <t xml:space="preserve">Ticker</t>
  </si>
  <si>
    <t xml:space="preserve">0012.HK</t>
  </si>
  <si>
    <t xml:space="preserve">Company</t>
  </si>
  <si>
    <t xml:space="preserve">Henderson Land Development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</si>
  <si>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</si>
  <si>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</si>
  <si>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</si>
  <si>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</si>
  <si>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(Yahoo regularMarketTime, Friday regular-session close; HKEX shut over the weekend)</t>
  </si>
  <si>
    <t xml:space="preserve">Balance sheet date</t>
  </si>
  <si>
    <t xml:space="preserve">2026-06-30</t>
  </si>
  <si>
    <t xml:space="preserve">Model</t>
  </si>
  <si>
    <t xml:space="preserve">Underlying profit capitalisation at cost of equity (engine route), with blended exit P/E and exit P/B terminal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</si>
  <si>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</si>
  <si>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</si>
  <si>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</si>
  <si>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</si>
  <si>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</si>
  <si>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</si>
  <si>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</si>
  <si>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</si>
  <si>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2026-10-10T11:37:00Z</t>
  </si>
  <si>
    <t xml:space="preserve">Drivers file</t>
  </si>
  <si>
    <t xml:space="preserve">0012.HK_Drivers.json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</si>
  <si>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</si>
  <si>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</si>
  <si>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</si>
  <si>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a minority shareholder actually receives: an underlying-profit stream that has been fully paid out for eight years, capitalised at a 9.5% HKD cost of equity, with the exit set by how HK developers are actually priced (P/E and a deep discount to book), not by book NAV that the controlling family has never realised. Book NAV (HK$67.25) is the ceiling reference, not the estimate.
key_risks_to_valuation: Related-party funding: the HK$77bn amount due to a fellow subsidiary is interest-bearing, has no fixed repayment terms and is at the controlling family's discretion; it is treated as debt and charged through interest. Reclassifying it as equity-like would overstate value.; HIBOR: ~84% of the family loan and ~75% of bank loans float; +100bp is ~11% of base-case underlying EPS.; Sales timing: development profit is recognised on handover, so single years swing by 50%+ (FY2024 HK$5.6bn vs FY2025 HK$1.3bn pre-tax development contribution).; Mainland China development losses and rental oversupply (H1 FY2026 mainland contracted sales -74%).; Upside not in the base: the ~38.4m sq ft NT farmland bank at historical cost and the ~HK$12bn mark-to-market gain on the HK&amp;China Gas stake; a privatisation by the controlling family at a NAV discount narrower than today's 0.40x would also crystallise value.; Convertible bond (conversion HK$35.35) dilutes ~4.6% only if the share price passes the bull-case value.</t>
  </si>
  <si>
    <t xml:space="preserve">Data sources</t>
  </si>
  <si>
    <t xml:space="preserve">price: Yahoo Finance chart API at inputs.price_as_of; 52-week range 24.58-35.66 HKD.
financials: 0012.HK_Metrics.csv (core_metrics) and kpis; Henderson Land Annual Reports FY2018-FY2025 and Interim Report 2026 (underlying profit five-year summary, note 20 associates, note 33 amount due to a fellow subsidiary, note 42 related-party interest, interest-rate risk table, H1 FY2026 statement of financial position).
qualitative: 0012.HK_Analysis.json; H1 FY2026 Chairmen's Statement and Prospects (contracted sales, Central Yards pre-leasing, NT land bank).</t>
  </si>
  <si>
    <t xml:space="preserve">Scenario narrative: bear</t>
  </si>
  <si>
    <t xml:space="preserve">The H1 FY2026 rebound proves a one-off (it included a land-resumption gain), earnings settle back at the FY2025 level and stay there as mainland losses, mainland rental oversupply and higher HIBOR on ~84%-floating related-party borrowings bite; the family-controlled structure keeps the stock at a 10x P/E and a ~0.2-0.3x book multiple.</t>
  </si>
  <si>
    <t xml:space="preserve">Scenario narrative: base</t>
  </si>
  <si>
    <t xml:space="preserve">Henderson's earnings recover from the FY2025 trough (underlying EPS HK$1.25) to roughly the FY2022-24 level (~HK$1.9-2.1) on the H1 FY2026 sales rebound (HK contracted sales +188%, HK$17.1bn unrecognised) and new Central rental assets (The Henderson, Central Yards Phase 1 70% pre-let), offset by mainland drag and ~HK$4.4bn/yr gross interest on bank and related-party debt. The market continues to price HK developers on earnings, not NAV: exit at 12x P/E / 0.45x book.</t>
  </si>
  <si>
    <t xml:space="preserve">Scenario narrative: bull</t>
  </si>
  <si>
    <t xml:space="preserve">A durable HK housing upcycle plus Northern Metropolis monetisation of the 38.4m sq ft NT farmland bank, Central Yards fully let and lower HIBOR lift underlying EPS toward HK$2.6 by FY2029, and the NAV discount narrows to ~0.55x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</si>
  <si>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</si>
  <si>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</si>
  <si>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</si>
  <si>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</si>
  <si>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</si>
  <si>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</si>
  <si>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</si>
  <si>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</si>
  <si>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</si>
  <si>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</si>
  <si>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</si>
  <si>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</si>
  <si>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</si>
  <si>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</si>
  <si>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</si>
  <si>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</si>
  <si>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</si>
  <si>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</si>
  <si>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</si>
  <si>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</si>
  <si>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</si>
  <si>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</si>
  <si>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</si>
  <si>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</si>
  <si>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</si>
  <si>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</si>
  <si>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</si>
  <si>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</si>
  <si>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</si>
  <si>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UnderlyingEPS</t>
  </si>
  <si>
    <t xml:space="preserve">UnderlyingNPAT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</si>
  <si>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</si>
  <si>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</si>
  <si>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</si>
  <si>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</si>
  <si>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</si>
  <si>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</si>
  <si>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</si>
  <si>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</si>
  <si>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</si>
  <si>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</si>
  <si>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</si>
  <si>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</si>
  <si>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</si>
  <si>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</si>
  <si>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</si>
  <si>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</si>
  <si>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</si>
  <si>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</si>
  <si>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</si>
  <si>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</si>
  <si>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</si>
  <si>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</si>
  <si>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</si>
  <si>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</si>
  <si>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</si>
  <si>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</si>
  <si>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</si>
  <si>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</si>
  <si>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</si>
  <si>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</si>
  <si>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</si>
  <si>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</si>
  <si>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</si>
  <si>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</si>
  <si>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</si>
  <si>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</si>
  <si>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</si>
  <si>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</si>
  <si>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</si>
  <si>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</si>
  <si>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</si>
  <si>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</si>
  <si>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</si>
  <si>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</si>
  <si>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</si>
  <si>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</si>
  <si>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0012.HK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</si>
  <si>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</si>
  <si>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</si>
  <si>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</si>
  <si>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</si>
  <si>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</si>
  <si>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</si>
  <si>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</si>
  <si>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</si>
  <si>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</si>
  <si>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</si>
  <si>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</si>
  <si>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</si>
  <si>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</si>
  <si>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</si>
  <si>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</si>
  <si>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</si>
  <si>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</si>
  <si>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</si>
  <si>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</si>
  <si>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</si>
  <si>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</si>
  <si>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</si>
  <si>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</si>
  <si>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</si>
  <si>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</si>
  <si>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</si>
  <si>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</si>
  <si>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</si>
  <si>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</si>
  <si>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</si>
  <si>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0012.HK owner-FCF component DCF: base case (millions, HKD)</t>
  </si>
  <si>
    <t xml:space="preserve">0012.HK owner-FCF component DCF: bull case (millions, HKD)</t>
  </si>
  <si>
    <t xml:space="preserve">0012.HK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</si>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</sst>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27960</v>
      </c>
      <c r="F2" s="0" t="n">
        <v>14342</v>
      </c>
      <c r="G2" s="0" t="n">
        <v>51.3</v>
      </c>
      <c r="I2" s="0" t="n">
        <v>30809</v>
      </c>
      <c r="J2" s="0" t="n">
        <v>110.2</v>
      </c>
      <c r="L2" s="0" t="n">
        <v>-797</v>
      </c>
      <c r="M2" s="0" t="n">
        <v>28000</v>
      </c>
      <c r="N2" s="0" t="n">
        <v>-28797</v>
      </c>
      <c r="O2" s="0" t="n">
        <v>292574</v>
      </c>
      <c r="R2" s="0" t="n">
        <v>78550</v>
      </c>
      <c r="S2" s="0" t="n">
        <v>24673</v>
      </c>
      <c r="AA2" s="0" t="s">
        <v>17</v>
      </c>
      <c r="AB2" s="0" t="s">
        <v>14</v>
      </c>
      <c r="AC2" s="0" t="n">
        <v>31165</v>
      </c>
      <c r="AD2" s="0" t="n">
        <v>297943</v>
      </c>
    </row>
    <row r="3" customFormat="false" ht="15" hidden="false" customHeight="false" outlineLevel="0" collapsed="false">
      <c r="A3" s="0" t="s">
        <v>68</v>
      </c>
      <c r="B3" s="0" t="n">
        <v>21982</v>
      </c>
      <c r="F3" s="0" t="n">
        <v>10968</v>
      </c>
      <c r="G3" s="0" t="n">
        <v>49.9</v>
      </c>
      <c r="I3" s="0" t="n">
        <v>31157</v>
      </c>
      <c r="J3" s="0" t="n">
        <v>141.7</v>
      </c>
      <c r="K3" s="0" t="n">
        <v>6.44</v>
      </c>
      <c r="L3" s="0" t="n">
        <v>3824</v>
      </c>
      <c r="M3" s="0" t="n">
        <v>2134</v>
      </c>
      <c r="N3" s="0" t="n">
        <v>1690</v>
      </c>
      <c r="O3" s="0" t="n">
        <v>313153</v>
      </c>
      <c r="R3" s="0" t="n">
        <v>85530</v>
      </c>
      <c r="S3" s="0" t="n">
        <v>16507</v>
      </c>
      <c r="T3" s="0" t="n">
        <v>4841</v>
      </c>
      <c r="AA3" s="0" t="s">
        <v>17</v>
      </c>
      <c r="AB3" s="0" t="s">
        <v>14</v>
      </c>
      <c r="AC3" s="0" t="n">
        <v>31372</v>
      </c>
      <c r="AD3" s="0" t="n">
        <v>317992</v>
      </c>
      <c r="AE3" s="0" t="n">
        <v>4.08</v>
      </c>
    </row>
    <row r="4" customFormat="false" ht="15" hidden="false" customHeight="false" outlineLevel="0" collapsed="false">
      <c r="A4" s="0" t="s">
        <v>69</v>
      </c>
      <c r="B4" s="0" t="n">
        <v>24184</v>
      </c>
      <c r="F4" s="0" t="n">
        <v>10701</v>
      </c>
      <c r="G4" s="0" t="n">
        <v>44.2</v>
      </c>
      <c r="I4" s="0" t="n">
        <v>16994</v>
      </c>
      <c r="J4" s="0" t="n">
        <v>70.3</v>
      </c>
      <c r="K4" s="0" t="n">
        <v>3.51</v>
      </c>
      <c r="L4" s="0" t="n">
        <v>6744</v>
      </c>
      <c r="M4" s="0" t="n">
        <v>3569</v>
      </c>
      <c r="N4" s="0" t="n">
        <v>3175</v>
      </c>
      <c r="O4" s="0" t="n">
        <v>320851</v>
      </c>
      <c r="R4" s="0" t="n">
        <v>91652</v>
      </c>
      <c r="S4" s="0" t="n">
        <v>10734</v>
      </c>
      <c r="T4" s="0" t="n">
        <v>4841</v>
      </c>
      <c r="AA4" s="0" t="s">
        <v>17</v>
      </c>
      <c r="AB4" s="0" t="s">
        <v>14</v>
      </c>
      <c r="AC4" s="0" t="n">
        <v>17049</v>
      </c>
      <c r="AD4" s="0" t="n">
        <v>325393</v>
      </c>
      <c r="AE4" s="0" t="n">
        <v>3.02</v>
      </c>
    </row>
    <row r="5" customFormat="false" ht="15" hidden="false" customHeight="false" outlineLevel="0" collapsed="false">
      <c r="A5" s="0" t="s">
        <v>70</v>
      </c>
      <c r="B5" s="0" t="n">
        <v>25020</v>
      </c>
      <c r="F5" s="0" t="n">
        <v>12171</v>
      </c>
      <c r="G5" s="0" t="n">
        <v>48.6</v>
      </c>
      <c r="I5" s="0" t="n">
        <v>10192</v>
      </c>
      <c r="J5" s="0" t="n">
        <v>40.7</v>
      </c>
      <c r="K5" s="0" t="n">
        <v>2.11</v>
      </c>
      <c r="L5" s="0" t="n">
        <v>7072</v>
      </c>
      <c r="M5" s="0" t="n">
        <v>2562</v>
      </c>
      <c r="N5" s="0" t="n">
        <v>4510</v>
      </c>
      <c r="O5" s="0" t="n">
        <v>327607</v>
      </c>
      <c r="R5" s="0" t="n">
        <v>89556</v>
      </c>
      <c r="S5" s="0" t="n">
        <v>5807</v>
      </c>
      <c r="T5" s="0" t="n">
        <v>4841</v>
      </c>
      <c r="AA5" s="0" t="s">
        <v>17</v>
      </c>
      <c r="AB5" s="0" t="s">
        <v>14</v>
      </c>
      <c r="AC5" s="0" t="n">
        <v>10283</v>
      </c>
      <c r="AD5" s="0" t="n">
        <v>332192</v>
      </c>
      <c r="AE5" s="0" t="n">
        <v>3.08</v>
      </c>
    </row>
    <row r="6" customFormat="false" ht="15" hidden="false" customHeight="false" outlineLevel="0" collapsed="false">
      <c r="A6" s="0" t="s">
        <v>71</v>
      </c>
      <c r="B6" s="0" t="n">
        <v>23527</v>
      </c>
      <c r="F6" s="0" t="n">
        <v>11990</v>
      </c>
      <c r="G6" s="0" t="n">
        <v>51</v>
      </c>
      <c r="I6" s="0" t="n">
        <v>13195</v>
      </c>
      <c r="J6" s="0" t="n">
        <v>56.1</v>
      </c>
      <c r="K6" s="0" t="n">
        <v>2.73</v>
      </c>
      <c r="L6" s="0" t="n">
        <v>685</v>
      </c>
      <c r="M6" s="0" t="n">
        <v>54850</v>
      </c>
      <c r="N6" s="0" t="n">
        <v>-54165</v>
      </c>
      <c r="O6" s="0" t="n">
        <v>335020</v>
      </c>
      <c r="R6" s="0" t="n">
        <v>102915</v>
      </c>
      <c r="S6" s="0" t="n">
        <v>10947</v>
      </c>
      <c r="T6" s="0" t="n">
        <v>4841</v>
      </c>
      <c r="AA6" s="0" t="s">
        <v>17</v>
      </c>
      <c r="AB6" s="0" t="s">
        <v>14</v>
      </c>
      <c r="AC6" s="0" t="n">
        <v>13360</v>
      </c>
      <c r="AD6" s="0" t="n">
        <v>352179</v>
      </c>
      <c r="AE6" s="0" t="n">
        <v>2.81</v>
      </c>
    </row>
    <row r="7" customFormat="false" ht="15" hidden="false" customHeight="false" outlineLevel="0" collapsed="false">
      <c r="A7" s="0" t="s">
        <v>72</v>
      </c>
      <c r="B7" s="0" t="n">
        <v>25551</v>
      </c>
      <c r="F7" s="0" t="n">
        <v>7207</v>
      </c>
      <c r="G7" s="0" t="n">
        <v>28.2</v>
      </c>
      <c r="I7" s="0" t="n">
        <v>9239</v>
      </c>
      <c r="J7" s="0" t="n">
        <v>36.2</v>
      </c>
      <c r="K7" s="0" t="n">
        <v>1.91</v>
      </c>
      <c r="L7" s="0" t="n">
        <v>11131</v>
      </c>
      <c r="M7" s="0" t="n">
        <v>3186</v>
      </c>
      <c r="N7" s="0" t="n">
        <v>7945</v>
      </c>
      <c r="O7" s="0" t="n">
        <v>327948</v>
      </c>
      <c r="R7" s="0" t="n">
        <v>90381</v>
      </c>
      <c r="S7" s="0" t="n">
        <v>11295</v>
      </c>
      <c r="T7" s="0" t="n">
        <v>4841</v>
      </c>
      <c r="AA7" s="0" t="s">
        <v>17</v>
      </c>
      <c r="AB7" s="0" t="s">
        <v>14</v>
      </c>
      <c r="AC7" s="0" t="n">
        <v>9503</v>
      </c>
      <c r="AD7" s="0" t="n">
        <v>345152</v>
      </c>
      <c r="AE7" s="0" t="n">
        <v>1.99</v>
      </c>
    </row>
    <row r="8" customFormat="false" ht="15" hidden="false" customHeight="false" outlineLevel="0" collapsed="false">
      <c r="A8" s="0" t="s">
        <v>73</v>
      </c>
      <c r="B8" s="0" t="n">
        <v>27570</v>
      </c>
      <c r="F8" s="0" t="n">
        <v>7907</v>
      </c>
      <c r="G8" s="0" t="n">
        <v>28.7</v>
      </c>
      <c r="I8" s="0" t="n">
        <v>9261</v>
      </c>
      <c r="J8" s="0" t="n">
        <v>33.6</v>
      </c>
      <c r="K8" s="0" t="n">
        <v>1.91</v>
      </c>
      <c r="L8" s="0" t="n">
        <v>14460</v>
      </c>
      <c r="M8" s="0" t="n">
        <v>4568</v>
      </c>
      <c r="N8" s="0" t="n">
        <v>9892</v>
      </c>
      <c r="O8" s="0" t="n">
        <v>326542</v>
      </c>
      <c r="R8" s="0" t="n">
        <v>95492</v>
      </c>
      <c r="S8" s="0" t="n">
        <v>21623</v>
      </c>
      <c r="T8" s="0" t="n">
        <v>4841</v>
      </c>
      <c r="AA8" s="0" t="s">
        <v>17</v>
      </c>
      <c r="AB8" s="0" t="s">
        <v>14</v>
      </c>
      <c r="AC8" s="0" t="n">
        <v>9778</v>
      </c>
      <c r="AD8" s="0" t="n">
        <v>344100</v>
      </c>
      <c r="AE8" s="0" t="n">
        <v>2</v>
      </c>
    </row>
    <row r="9" customFormat="false" ht="15" hidden="false" customHeight="false" outlineLevel="0" collapsed="false">
      <c r="A9" s="0" t="s">
        <v>74</v>
      </c>
      <c r="B9" s="0" t="n">
        <v>25256</v>
      </c>
      <c r="F9" s="0" t="n">
        <v>8533</v>
      </c>
      <c r="G9" s="0" t="n">
        <v>33.8</v>
      </c>
      <c r="I9" s="0" t="n">
        <v>6296</v>
      </c>
      <c r="J9" s="0" t="n">
        <v>24.9</v>
      </c>
      <c r="K9" s="0" t="n">
        <v>1.3</v>
      </c>
      <c r="L9" s="0" t="n">
        <v>15297</v>
      </c>
      <c r="M9" s="0" t="n">
        <v>2815</v>
      </c>
      <c r="N9" s="0" t="n">
        <v>12482</v>
      </c>
      <c r="O9" s="0" t="n">
        <v>322147</v>
      </c>
      <c r="R9" s="0" t="n">
        <v>85908</v>
      </c>
      <c r="S9" s="0" t="n">
        <v>17919</v>
      </c>
      <c r="T9" s="0" t="n">
        <v>4841</v>
      </c>
      <c r="AA9" s="0" t="s">
        <v>17</v>
      </c>
      <c r="AB9" s="0" t="s">
        <v>14</v>
      </c>
      <c r="AC9" s="0" t="n">
        <v>7283</v>
      </c>
      <c r="AD9" s="0" t="n">
        <v>340577</v>
      </c>
      <c r="AE9" s="0" t="n">
        <v>2.02</v>
      </c>
    </row>
    <row r="10" customFormat="false" ht="15" hidden="false" customHeight="false" outlineLevel="0" collapsed="false">
      <c r="A10" s="0" t="s">
        <v>75</v>
      </c>
      <c r="B10" s="0" t="n">
        <v>25741</v>
      </c>
      <c r="F10" s="0" t="n">
        <v>5575</v>
      </c>
      <c r="G10" s="0" t="n">
        <v>21.7</v>
      </c>
      <c r="I10" s="0" t="n">
        <v>5653</v>
      </c>
      <c r="J10" s="0" t="n">
        <v>22</v>
      </c>
      <c r="K10" s="0" t="n">
        <v>1.17</v>
      </c>
      <c r="L10" s="0" t="n">
        <v>12325</v>
      </c>
      <c r="M10" s="0" t="n">
        <v>3722</v>
      </c>
      <c r="N10" s="0" t="n">
        <v>8603</v>
      </c>
      <c r="O10" s="0" t="n">
        <v>322464</v>
      </c>
      <c r="R10" s="0" t="n">
        <v>82417</v>
      </c>
      <c r="S10" s="0" t="n">
        <v>22198</v>
      </c>
      <c r="T10" s="0" t="n">
        <v>4841</v>
      </c>
      <c r="AA10" s="0" t="s">
        <v>17</v>
      </c>
      <c r="AB10" s="0" t="s">
        <v>14</v>
      </c>
      <c r="AC10" s="0" t="n">
        <v>6518</v>
      </c>
      <c r="AD10" s="0" t="n">
        <v>340886</v>
      </c>
      <c r="AE10" s="0" t="n">
        <v>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26.9</v>
      </c>
    </row>
    <row r="3" customFormat="false" ht="15" hidden="false" customHeight="false" outlineLevel="0" collapsed="false">
      <c r="A3" s="0" t="s">
        <v>79</v>
      </c>
      <c r="B3" s="3" t="n">
        <v>4841</v>
      </c>
    </row>
    <row r="4" customFormat="false" ht="15" hidden="false" customHeight="false" outlineLevel="0" collapsed="false">
      <c r="A4" s="0" t="s">
        <v>80</v>
      </c>
      <c r="B4" s="3" t="n">
        <v>0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6063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35.2</v>
      </c>
      <c r="D13" s="3" t="n">
        <v>-20.7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104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106</v>
      </c>
      <c r="B20" s="3" t="n">
        <v>9.5</v>
      </c>
    </row>
    <row r="21" customFormat="false" ht="15" hidden="false" customHeight="false" outlineLevel="0" collapsed="false">
      <c r="A21" s="0" t="s">
        <v>107</v>
      </c>
      <c r="B21" s="3" t="n">
        <v>1</v>
      </c>
    </row>
    <row r="22" customFormat="false" ht="15" hidden="false" customHeight="false" outlineLevel="0" collapsed="false">
      <c r="A22" s="0" t="s">
        <v>108</v>
      </c>
      <c r="B22" s="3" t="n">
        <v>10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48.4</v>
      </c>
      <c r="D27" s="3" t="n">
        <v>3.3</v>
      </c>
      <c r="E27" s="3" t="n">
        <v>4.3</v>
      </c>
      <c r="F27" s="3" t="n">
        <v>3.1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106</v>
      </c>
      <c r="B34" s="3" t="n">
        <v>9.5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13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56.7</v>
      </c>
      <c r="D41" s="3" t="n">
        <v>15.8</v>
      </c>
      <c r="E41" s="3" t="n">
        <v>9.1</v>
      </c>
      <c r="F41" s="3" t="n">
        <v>4.2</v>
      </c>
      <c r="G41" s="3" t="n">
        <v>3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104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106</v>
      </c>
      <c r="B48" s="3" t="n">
        <v>9.5</v>
      </c>
    </row>
    <row r="49" customFormat="false" ht="15" hidden="false" customHeight="false" outlineLevel="0" collapsed="false">
      <c r="A49" s="0" t="s">
        <v>107</v>
      </c>
      <c r="B49" s="3" t="n">
        <v>3</v>
      </c>
    </row>
    <row r="50" customFormat="false" ht="15" hidden="false" customHeight="false" outlineLevel="0" collapsed="false">
      <c r="A50" s="0" t="s">
        <v>108</v>
      </c>
      <c r="B50" s="3" t="n">
        <v>14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35.2</v>
      </c>
      <c r="D5" s="4" t="n">
        <f aca="false">Assumptions!D13</f>
        <v>-20.7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6063</v>
      </c>
      <c r="C6" s="0" t="n">
        <f aca="false">B6*(1+C5/100)</f>
        <v>8197.176</v>
      </c>
      <c r="D6" s="0" t="n">
        <f aca="false">C6*(1+D5/100)</f>
        <v>6500.360568</v>
      </c>
      <c r="E6" s="0" t="n">
        <f aca="false">D6*(1+E5/100)</f>
        <v>6500.360568</v>
      </c>
      <c r="F6" s="0" t="n">
        <f aca="false">E6*(1+F5/100)</f>
        <v>6500.360568</v>
      </c>
      <c r="G6" s="0" t="n">
        <f aca="false">F6*(1+G5/100)</f>
        <v>6565.36417368</v>
      </c>
      <c r="H6" s="0" t="n">
        <f aca="false">G6*(1+H5/100)</f>
        <v>6631.0178154168</v>
      </c>
      <c r="I6" s="0" t="n">
        <f aca="false">H6*(1+I5/100)</f>
        <v>6697.32799357097</v>
      </c>
      <c r="J6" s="0" t="n">
        <f aca="false">I6*(1+J5/100)</f>
        <v>6764.30127350668</v>
      </c>
      <c r="K6" s="0" t="n">
        <f aca="false">J6*(1+K5/100)</f>
        <v>6831.94428624175</v>
      </c>
      <c r="L6" s="0" t="n">
        <f aca="false">K6*(1+L5/100)</f>
        <v>6900.26372910416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8197.176</v>
      </c>
      <c r="D8" s="0" t="n">
        <f aca="false">D6*D7/100</f>
        <v>6500.360568</v>
      </c>
      <c r="E8" s="0" t="n">
        <f aca="false">E6*E7/100</f>
        <v>6500.360568</v>
      </c>
      <c r="F8" s="0" t="n">
        <f aca="false">F6*F7/100</f>
        <v>6500.360568</v>
      </c>
      <c r="G8" s="0" t="n">
        <f aca="false">G6*G7/100</f>
        <v>6565.36417368</v>
      </c>
      <c r="H8" s="0" t="n">
        <f aca="false">H6*H7/100</f>
        <v>6631.0178154168</v>
      </c>
      <c r="I8" s="0" t="n">
        <f aca="false">I6*I7/100</f>
        <v>6697.32799357097</v>
      </c>
      <c r="J8" s="0" t="n">
        <f aca="false">J6*J7/100</f>
        <v>6764.30127350668</v>
      </c>
      <c r="K8" s="0" t="n">
        <f aca="false">K6*K7/100</f>
        <v>6831.94428624175</v>
      </c>
      <c r="L8" s="0" t="n">
        <f aca="false">L6*L7/100</f>
        <v>6900.26372910416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8197.176</v>
      </c>
      <c r="D11" s="0" t="n">
        <f aca="false">D8+D10+D24</f>
        <v>6500.360568</v>
      </c>
      <c r="E11" s="0" t="n">
        <f aca="false">E8+E10+E24</f>
        <v>6500.360568</v>
      </c>
      <c r="F11" s="0" t="n">
        <f aca="false">F8+F10+F24</f>
        <v>6500.360568</v>
      </c>
      <c r="G11" s="0" t="n">
        <f aca="false">G8+G10+G24</f>
        <v>6565.36417368</v>
      </c>
      <c r="H11" s="0" t="n">
        <f aca="false">H8+H10+H24</f>
        <v>6631.0178154168</v>
      </c>
      <c r="I11" s="0" t="n">
        <f aca="false">I8+I10+I24</f>
        <v>6697.32799357097</v>
      </c>
      <c r="J11" s="0" t="n">
        <f aca="false">J8+J10+J24</f>
        <v>6764.30127350668</v>
      </c>
      <c r="K11" s="0" t="n">
        <f aca="false">K8+K10+K24</f>
        <v>6831.94428624175</v>
      </c>
      <c r="L11" s="0" t="n">
        <f aca="false">L8+L10+L24</f>
        <v>6900.26372910416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8197.176</v>
      </c>
      <c r="D13" s="0" t="n">
        <f aca="false">D11+D12</f>
        <v>6500.360568</v>
      </c>
      <c r="E13" s="0" t="n">
        <f aca="false">E11+E12</f>
        <v>6500.360568</v>
      </c>
      <c r="F13" s="0" t="n">
        <f aca="false">F11+F12</f>
        <v>6500.360568</v>
      </c>
      <c r="G13" s="0" t="n">
        <f aca="false">G11+G12</f>
        <v>6565.36417368</v>
      </c>
      <c r="H13" s="0" t="n">
        <f aca="false">H11+H12</f>
        <v>6631.0178154168</v>
      </c>
      <c r="I13" s="0" t="n">
        <f aca="false">I11+I12</f>
        <v>6697.32799357097</v>
      </c>
      <c r="J13" s="0" t="n">
        <f aca="false">J11+J12</f>
        <v>6764.30127350668</v>
      </c>
      <c r="K13" s="0" t="n">
        <f aca="false">K11+K12</f>
        <v>6831.94428624175</v>
      </c>
      <c r="L13" s="0" t="n">
        <f aca="false">L11+L12</f>
        <v>6900.26372910416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8197.176</v>
      </c>
      <c r="D15" s="0" t="n">
        <f aca="false">D13-MAX(0,D13)*D14/100</f>
        <v>6500.360568</v>
      </c>
      <c r="E15" s="0" t="n">
        <f aca="false">E13-MAX(0,E13)*E14/100</f>
        <v>6500.360568</v>
      </c>
      <c r="F15" s="0" t="n">
        <f aca="false">F13-MAX(0,F13)*F14/100</f>
        <v>6500.360568</v>
      </c>
      <c r="G15" s="0" t="n">
        <f aca="false">G13-MAX(0,G13)*G14/100</f>
        <v>6565.36417368</v>
      </c>
      <c r="H15" s="0" t="n">
        <f aca="false">H13-MAX(0,H13)*H14/100</f>
        <v>6631.0178154168</v>
      </c>
      <c r="I15" s="0" t="n">
        <f aca="false">I13-MAX(0,I13)*I14/100</f>
        <v>6697.32799357097</v>
      </c>
      <c r="J15" s="0" t="n">
        <f aca="false">J13-MAX(0,J13)*J14/100</f>
        <v>6764.30127350668</v>
      </c>
      <c r="K15" s="0" t="n">
        <f aca="false">K13-MAX(0,K13)*K14/100</f>
        <v>6831.94428624175</v>
      </c>
      <c r="L15" s="0" t="n">
        <f aca="false">L13-MAX(0,L13)*L14/100</f>
        <v>6900.26372910416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8197.176</v>
      </c>
      <c r="D19" s="0" t="n">
        <f aca="false">D15+D16+D17+D18</f>
        <v>6500.360568</v>
      </c>
      <c r="E19" s="0" t="n">
        <f aca="false">E15+E16+E17+E18</f>
        <v>6500.360568</v>
      </c>
      <c r="F19" s="0" t="n">
        <f aca="false">F15+F16+F17+F18</f>
        <v>6500.360568</v>
      </c>
      <c r="G19" s="0" t="n">
        <f aca="false">G15+G16+G17+G18</f>
        <v>6565.36417368</v>
      </c>
      <c r="H19" s="0" t="n">
        <f aca="false">H15+H16+H17+H18</f>
        <v>6631.0178154168</v>
      </c>
      <c r="I19" s="0" t="n">
        <f aca="false">I15+I16+I17+I18</f>
        <v>6697.32799357097</v>
      </c>
      <c r="J19" s="0" t="n">
        <f aca="false">J15+J16+J17+J18</f>
        <v>6764.30127350668</v>
      </c>
      <c r="K19" s="0" t="n">
        <f aca="false">K15+K16+K17+K18</f>
        <v>6831.94428624175</v>
      </c>
      <c r="L19" s="0" t="n">
        <f aca="false">L15+L16+L17+L18</f>
        <v>6900.26372910416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7486.00547945206</v>
      </c>
      <c r="D21" s="0" t="n">
        <f aca="false">D19*D20</f>
        <v>5421.37200475386</v>
      </c>
      <c r="E21" s="0" t="n">
        <f aca="false">E19*E20</f>
        <v>4951.02466187568</v>
      </c>
      <c r="F21" s="0" t="n">
        <f aca="false">F19*F20</f>
        <v>4521.4837094755</v>
      </c>
      <c r="G21" s="0" t="n">
        <f aca="false">G19*G20</f>
        <v>4170.50095577193</v>
      </c>
      <c r="H21" s="0" t="n">
        <f aca="false">H19*H20</f>
        <v>3846.76343865721</v>
      </c>
      <c r="I21" s="0" t="n">
        <f aca="false">I19*I20</f>
        <v>3548.15623109021</v>
      </c>
      <c r="J21" s="0" t="n">
        <f aca="false">J19*J20</f>
        <v>3272.72857844851</v>
      </c>
      <c r="K21" s="0" t="n">
        <f aca="false">K19*K20</f>
        <v>3018.68115455068</v>
      </c>
      <c r="L21" s="0" t="n">
        <f aca="false">L19*L20</f>
        <v>2784.35430693715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43021.0705210128</v>
      </c>
    </row>
    <row r="31" customFormat="false" ht="15" hidden="false" customHeight="false" outlineLevel="0" collapsed="false">
      <c r="A31" s="0" t="s">
        <v>130</v>
      </c>
      <c r="B31" s="0" t="n">
        <f aca="false">L19</f>
        <v>6900.26372910416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81991.3690164142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69002.6372910416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69002.6372910416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27843.5430693715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70864.6135903843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70864.6135903843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14.6384246210255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-0.455820646058533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14.6384246210255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49780.47404568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9.67703180867008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48.4</v>
      </c>
      <c r="D5" s="4" t="n">
        <f aca="false">Assumptions!D27</f>
        <v>3.3</v>
      </c>
      <c r="E5" s="4" t="n">
        <f aca="false">Assumptions!E27</f>
        <v>4.3</v>
      </c>
      <c r="F5" s="4" t="n">
        <f aca="false">Assumptions!F27</f>
        <v>3.1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6063</v>
      </c>
      <c r="C6" s="0" t="n">
        <f aca="false">B6*(1+C5/100)</f>
        <v>8997.492</v>
      </c>
      <c r="D6" s="0" t="n">
        <f aca="false">C6*(1+D5/100)</f>
        <v>9294.409236</v>
      </c>
      <c r="E6" s="0" t="n">
        <f aca="false">D6*(1+E5/100)</f>
        <v>9694.068833148</v>
      </c>
      <c r="F6" s="0" t="n">
        <f aca="false">E6*(1+F5/100)</f>
        <v>9994.58496697559</v>
      </c>
      <c r="G6" s="0" t="n">
        <f aca="false">F6*(1+G5/100)</f>
        <v>10194.4766663151</v>
      </c>
      <c r="H6" s="0" t="n">
        <f aca="false">G6*(1+H5/100)</f>
        <v>10398.3661996414</v>
      </c>
      <c r="I6" s="0" t="n">
        <f aca="false">H6*(1+I5/100)</f>
        <v>10606.3335236342</v>
      </c>
      <c r="J6" s="0" t="n">
        <f aca="false">I6*(1+J5/100)</f>
        <v>10818.4601941069</v>
      </c>
      <c r="K6" s="0" t="n">
        <f aca="false">J6*(1+K5/100)</f>
        <v>11034.8293979891</v>
      </c>
      <c r="L6" s="0" t="n">
        <f aca="false">K6*(1+L5/100)</f>
        <v>11255.5259859488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8997.492</v>
      </c>
      <c r="D8" s="0" t="n">
        <f aca="false">D6*D7/100</f>
        <v>9294.409236</v>
      </c>
      <c r="E8" s="0" t="n">
        <f aca="false">E6*E7/100</f>
        <v>9694.068833148</v>
      </c>
      <c r="F8" s="0" t="n">
        <f aca="false">F6*F7/100</f>
        <v>9994.58496697559</v>
      </c>
      <c r="G8" s="0" t="n">
        <f aca="false">G6*G7/100</f>
        <v>10194.4766663151</v>
      </c>
      <c r="H8" s="0" t="n">
        <f aca="false">H6*H7/100</f>
        <v>10398.3661996414</v>
      </c>
      <c r="I8" s="0" t="n">
        <f aca="false">I6*I7/100</f>
        <v>10606.3335236342</v>
      </c>
      <c r="J8" s="0" t="n">
        <f aca="false">J6*J7/100</f>
        <v>10818.4601941069</v>
      </c>
      <c r="K8" s="0" t="n">
        <f aca="false">K6*K7/100</f>
        <v>11034.8293979891</v>
      </c>
      <c r="L8" s="0" t="n">
        <f aca="false">L6*L7/100</f>
        <v>11255.5259859488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8997.492</v>
      </c>
      <c r="D11" s="0" t="n">
        <f aca="false">D8+D10+D24</f>
        <v>9294.409236</v>
      </c>
      <c r="E11" s="0" t="n">
        <f aca="false">E8+E10+E24</f>
        <v>9694.068833148</v>
      </c>
      <c r="F11" s="0" t="n">
        <f aca="false">F8+F10+F24</f>
        <v>9994.58496697559</v>
      </c>
      <c r="G11" s="0" t="n">
        <f aca="false">G8+G10+G24</f>
        <v>10194.4766663151</v>
      </c>
      <c r="H11" s="0" t="n">
        <f aca="false">H8+H10+H24</f>
        <v>10398.3661996414</v>
      </c>
      <c r="I11" s="0" t="n">
        <f aca="false">I8+I10+I24</f>
        <v>10606.3335236342</v>
      </c>
      <c r="J11" s="0" t="n">
        <f aca="false">J8+J10+J24</f>
        <v>10818.4601941069</v>
      </c>
      <c r="K11" s="0" t="n">
        <f aca="false">K8+K10+K24</f>
        <v>11034.8293979891</v>
      </c>
      <c r="L11" s="0" t="n">
        <f aca="false">L8+L10+L24</f>
        <v>11255.5259859488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8997.492</v>
      </c>
      <c r="D13" s="0" t="n">
        <f aca="false">D11+D12</f>
        <v>9294.409236</v>
      </c>
      <c r="E13" s="0" t="n">
        <f aca="false">E11+E12</f>
        <v>9694.068833148</v>
      </c>
      <c r="F13" s="0" t="n">
        <f aca="false">F11+F12</f>
        <v>9994.58496697559</v>
      </c>
      <c r="G13" s="0" t="n">
        <f aca="false">G11+G12</f>
        <v>10194.4766663151</v>
      </c>
      <c r="H13" s="0" t="n">
        <f aca="false">H11+H12</f>
        <v>10398.3661996414</v>
      </c>
      <c r="I13" s="0" t="n">
        <f aca="false">I11+I12</f>
        <v>10606.3335236342</v>
      </c>
      <c r="J13" s="0" t="n">
        <f aca="false">J11+J12</f>
        <v>10818.4601941069</v>
      </c>
      <c r="K13" s="0" t="n">
        <f aca="false">K11+K12</f>
        <v>11034.8293979891</v>
      </c>
      <c r="L13" s="0" t="n">
        <f aca="false">L11+L12</f>
        <v>11255.5259859488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8997.492</v>
      </c>
      <c r="D15" s="0" t="n">
        <f aca="false">D13-MAX(0,D13)*D14/100</f>
        <v>9294.409236</v>
      </c>
      <c r="E15" s="0" t="n">
        <f aca="false">E13-MAX(0,E13)*E14/100</f>
        <v>9694.068833148</v>
      </c>
      <c r="F15" s="0" t="n">
        <f aca="false">F13-MAX(0,F13)*F14/100</f>
        <v>9994.58496697559</v>
      </c>
      <c r="G15" s="0" t="n">
        <f aca="false">G13-MAX(0,G13)*G14/100</f>
        <v>10194.4766663151</v>
      </c>
      <c r="H15" s="0" t="n">
        <f aca="false">H13-MAX(0,H13)*H14/100</f>
        <v>10398.3661996414</v>
      </c>
      <c r="I15" s="0" t="n">
        <f aca="false">I13-MAX(0,I13)*I14/100</f>
        <v>10606.3335236342</v>
      </c>
      <c r="J15" s="0" t="n">
        <f aca="false">J13-MAX(0,J13)*J14/100</f>
        <v>10818.4601941069</v>
      </c>
      <c r="K15" s="0" t="n">
        <f aca="false">K13-MAX(0,K13)*K14/100</f>
        <v>11034.8293979891</v>
      </c>
      <c r="L15" s="0" t="n">
        <f aca="false">L13-MAX(0,L13)*L14/100</f>
        <v>11255.5259859488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8997.492</v>
      </c>
      <c r="D19" s="0" t="n">
        <f aca="false">D15+D16+D17+D18</f>
        <v>9294.409236</v>
      </c>
      <c r="E19" s="0" t="n">
        <f aca="false">E15+E16+E17+E18</f>
        <v>9694.068833148</v>
      </c>
      <c r="F19" s="0" t="n">
        <f aca="false">F15+F16+F17+F18</f>
        <v>9994.58496697559</v>
      </c>
      <c r="G19" s="0" t="n">
        <f aca="false">G15+G16+G17+G18</f>
        <v>10194.4766663151</v>
      </c>
      <c r="H19" s="0" t="n">
        <f aca="false">H15+H16+H17+H18</f>
        <v>10398.3661996414</v>
      </c>
      <c r="I19" s="0" t="n">
        <f aca="false">I15+I16+I17+I18</f>
        <v>10606.3335236342</v>
      </c>
      <c r="J19" s="0" t="n">
        <f aca="false">J15+J16+J17+J18</f>
        <v>10818.4601941069</v>
      </c>
      <c r="K19" s="0" t="n">
        <f aca="false">K15+K16+K17+K18</f>
        <v>11034.8293979891</v>
      </c>
      <c r="L19" s="0" t="n">
        <f aca="false">L15+L16+L17+L18</f>
        <v>11255.5259859488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8216.88767123288</v>
      </c>
      <c r="D21" s="0" t="n">
        <f aca="false">D19*D20</f>
        <v>7751.63923687997</v>
      </c>
      <c r="E21" s="0" t="n">
        <f aca="false">E19*E20</f>
        <v>7383.52486216055</v>
      </c>
      <c r="F21" s="0" t="n">
        <f aca="false">F19*F20</f>
        <v>6951.97637706624</v>
      </c>
      <c r="G21" s="0" t="n">
        <f aca="false">G19*G20</f>
        <v>6475.81361151375</v>
      </c>
      <c r="H21" s="0" t="n">
        <f aca="false">H19*H20</f>
        <v>6032.26473401281</v>
      </c>
      <c r="I21" s="0" t="n">
        <f aca="false">I19*I20</f>
        <v>5619.09591661468</v>
      </c>
      <c r="J21" s="0" t="n">
        <f aca="false">J19*J20</f>
        <v>5234.2263332849</v>
      </c>
      <c r="K21" s="0" t="n">
        <f aca="false">K19*K20</f>
        <v>4875.71768032018</v>
      </c>
      <c r="L21" s="0" t="n">
        <f aca="false">L19*L20</f>
        <v>4541.76441454483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63082.9108376308</v>
      </c>
    </row>
    <row r="31" customFormat="false" ht="15" hidden="false" customHeight="false" outlineLevel="0" collapsed="false">
      <c r="A31" s="0" t="s">
        <v>130</v>
      </c>
      <c r="B31" s="0" t="n">
        <f aca="false">L19</f>
        <v>11255.5259859488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153075.153408904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146321.837817335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146321.837817335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59042.9373890828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122125.848226714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122125.848226714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25.2274009970489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-0.0621784015966964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25.2274009970489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88312.588505137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14.8268138538829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56.7</v>
      </c>
      <c r="D5" s="4" t="n">
        <f aca="false">Assumptions!D41</f>
        <v>15.8</v>
      </c>
      <c r="E5" s="4" t="n">
        <f aca="false">Assumptions!E41</f>
        <v>9.1</v>
      </c>
      <c r="F5" s="4" t="n">
        <f aca="false">Assumptions!F41</f>
        <v>4.2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6063</v>
      </c>
      <c r="C6" s="0" t="n">
        <f aca="false">B6*(1+C5/100)</f>
        <v>9500.721</v>
      </c>
      <c r="D6" s="0" t="n">
        <f aca="false">C6*(1+D5/100)</f>
        <v>11001.834918</v>
      </c>
      <c r="E6" s="0" t="n">
        <f aca="false">D6*(1+E5/100)</f>
        <v>12003.001895538</v>
      </c>
      <c r="F6" s="0" t="n">
        <f aca="false">E6*(1+F5/100)</f>
        <v>12507.1279751506</v>
      </c>
      <c r="G6" s="0" t="n">
        <f aca="false">F6*(1+G5/100)</f>
        <v>12882.3418144051</v>
      </c>
      <c r="H6" s="0" t="n">
        <f aca="false">G6*(1+H5/100)</f>
        <v>13268.8120688373</v>
      </c>
      <c r="I6" s="0" t="n">
        <f aca="false">H6*(1+I5/100)</f>
        <v>13666.8764309024</v>
      </c>
      <c r="J6" s="0" t="n">
        <f aca="false">I6*(1+J5/100)</f>
        <v>14076.8827238295</v>
      </c>
      <c r="K6" s="0" t="n">
        <f aca="false">J6*(1+K5/100)</f>
        <v>14499.1892055443</v>
      </c>
      <c r="L6" s="0" t="n">
        <f aca="false">K6*(1+L5/100)</f>
        <v>14934.1648817107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9500.721</v>
      </c>
      <c r="D8" s="0" t="n">
        <f aca="false">D6*D7/100</f>
        <v>11001.834918</v>
      </c>
      <c r="E8" s="0" t="n">
        <f aca="false">E6*E7/100</f>
        <v>12003.001895538</v>
      </c>
      <c r="F8" s="0" t="n">
        <f aca="false">F6*F7/100</f>
        <v>12507.1279751506</v>
      </c>
      <c r="G8" s="0" t="n">
        <f aca="false">G6*G7/100</f>
        <v>12882.3418144051</v>
      </c>
      <c r="H8" s="0" t="n">
        <f aca="false">H6*H7/100</f>
        <v>13268.8120688373</v>
      </c>
      <c r="I8" s="0" t="n">
        <f aca="false">I6*I7/100</f>
        <v>13666.8764309024</v>
      </c>
      <c r="J8" s="0" t="n">
        <f aca="false">J6*J7/100</f>
        <v>14076.8827238295</v>
      </c>
      <c r="K8" s="0" t="n">
        <f aca="false">K6*K7/100</f>
        <v>14499.1892055443</v>
      </c>
      <c r="L8" s="0" t="n">
        <f aca="false">L6*L7/100</f>
        <v>14934.1648817107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9500.721</v>
      </c>
      <c r="D11" s="0" t="n">
        <f aca="false">D8+D10+D24</f>
        <v>11001.834918</v>
      </c>
      <c r="E11" s="0" t="n">
        <f aca="false">E8+E10+E24</f>
        <v>12003.001895538</v>
      </c>
      <c r="F11" s="0" t="n">
        <f aca="false">F8+F10+F24</f>
        <v>12507.1279751506</v>
      </c>
      <c r="G11" s="0" t="n">
        <f aca="false">G8+G10+G24</f>
        <v>12882.3418144051</v>
      </c>
      <c r="H11" s="0" t="n">
        <f aca="false">H8+H10+H24</f>
        <v>13268.8120688373</v>
      </c>
      <c r="I11" s="0" t="n">
        <f aca="false">I8+I10+I24</f>
        <v>13666.8764309024</v>
      </c>
      <c r="J11" s="0" t="n">
        <f aca="false">J8+J10+J24</f>
        <v>14076.8827238295</v>
      </c>
      <c r="K11" s="0" t="n">
        <f aca="false">K8+K10+K24</f>
        <v>14499.1892055443</v>
      </c>
      <c r="L11" s="0" t="n">
        <f aca="false">L8+L10+L24</f>
        <v>14934.1648817107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9500.721</v>
      </c>
      <c r="D13" s="0" t="n">
        <f aca="false">D11+D12</f>
        <v>11001.834918</v>
      </c>
      <c r="E13" s="0" t="n">
        <f aca="false">E11+E12</f>
        <v>12003.001895538</v>
      </c>
      <c r="F13" s="0" t="n">
        <f aca="false">F11+F12</f>
        <v>12507.1279751506</v>
      </c>
      <c r="G13" s="0" t="n">
        <f aca="false">G11+G12</f>
        <v>12882.3418144051</v>
      </c>
      <c r="H13" s="0" t="n">
        <f aca="false">H11+H12</f>
        <v>13268.8120688373</v>
      </c>
      <c r="I13" s="0" t="n">
        <f aca="false">I11+I12</f>
        <v>13666.8764309024</v>
      </c>
      <c r="J13" s="0" t="n">
        <f aca="false">J11+J12</f>
        <v>14076.8827238295</v>
      </c>
      <c r="K13" s="0" t="n">
        <f aca="false">K11+K12</f>
        <v>14499.1892055443</v>
      </c>
      <c r="L13" s="0" t="n">
        <f aca="false">L11+L12</f>
        <v>14934.1648817107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9500.721</v>
      </c>
      <c r="D15" s="0" t="n">
        <f aca="false">D13-MAX(0,D13)*D14/100</f>
        <v>11001.834918</v>
      </c>
      <c r="E15" s="0" t="n">
        <f aca="false">E13-MAX(0,E13)*E14/100</f>
        <v>12003.001895538</v>
      </c>
      <c r="F15" s="0" t="n">
        <f aca="false">F13-MAX(0,F13)*F14/100</f>
        <v>12507.1279751506</v>
      </c>
      <c r="G15" s="0" t="n">
        <f aca="false">G13-MAX(0,G13)*G14/100</f>
        <v>12882.3418144051</v>
      </c>
      <c r="H15" s="0" t="n">
        <f aca="false">H13-MAX(0,H13)*H14/100</f>
        <v>13268.8120688373</v>
      </c>
      <c r="I15" s="0" t="n">
        <f aca="false">I13-MAX(0,I13)*I14/100</f>
        <v>13666.8764309024</v>
      </c>
      <c r="J15" s="0" t="n">
        <f aca="false">J13-MAX(0,J13)*J14/100</f>
        <v>14076.8827238295</v>
      </c>
      <c r="K15" s="0" t="n">
        <f aca="false">K13-MAX(0,K13)*K14/100</f>
        <v>14499.1892055443</v>
      </c>
      <c r="L15" s="0" t="n">
        <f aca="false">L13-MAX(0,L13)*L14/100</f>
        <v>14934.1648817107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9500.721</v>
      </c>
      <c r="D19" s="0" t="n">
        <f aca="false">D15+D16+D17+D18</f>
        <v>11001.834918</v>
      </c>
      <c r="E19" s="0" t="n">
        <f aca="false">E15+E16+E17+E18</f>
        <v>12003.001895538</v>
      </c>
      <c r="F19" s="0" t="n">
        <f aca="false">F15+F16+F17+F18</f>
        <v>12507.1279751506</v>
      </c>
      <c r="G19" s="0" t="n">
        <f aca="false">G15+G16+G17+G18</f>
        <v>12882.3418144051</v>
      </c>
      <c r="H19" s="0" t="n">
        <f aca="false">H15+H16+H17+H18</f>
        <v>13268.8120688373</v>
      </c>
      <c r="I19" s="0" t="n">
        <f aca="false">I15+I16+I17+I18</f>
        <v>13666.8764309024</v>
      </c>
      <c r="J19" s="0" t="n">
        <f aca="false">J15+J16+J17+J18</f>
        <v>14076.8827238295</v>
      </c>
      <c r="K19" s="0" t="n">
        <f aca="false">K15+K16+K17+K18</f>
        <v>14499.1892055443</v>
      </c>
      <c r="L19" s="0" t="n">
        <f aca="false">L15+L16+L17+L18</f>
        <v>14934.1648817107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8676.45753424658</v>
      </c>
      <c r="D21" s="0" t="n">
        <f aca="false">D19*D20</f>
        <v>9175.65098142241</v>
      </c>
      <c r="E21" s="0" t="n">
        <f aca="false">E19*E20</f>
        <v>9142.13262167292</v>
      </c>
      <c r="F21" s="0" t="n">
        <f aca="false">F19*F20</f>
        <v>8699.63670482483</v>
      </c>
      <c r="G21" s="0" t="n">
        <f aca="false">G19*G20</f>
        <v>8183.21991412746</v>
      </c>
      <c r="H21" s="0" t="n">
        <f aca="false">H19*H20</f>
        <v>7697.4580014167</v>
      </c>
      <c r="I21" s="0" t="n">
        <f aca="false">I19*I20</f>
        <v>7240.531270739</v>
      </c>
      <c r="J21" s="0" t="n">
        <f aca="false">J19*J20</f>
        <v>6810.72804462207</v>
      </c>
      <c r="K21" s="0" t="n">
        <f aca="false">K19*K20</f>
        <v>6406.43825201893</v>
      </c>
      <c r="L21" s="0" t="n">
        <f aca="false">L19*L20</f>
        <v>6026.14739687626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78058.4007219671</v>
      </c>
    </row>
    <row r="31" customFormat="false" ht="15" hidden="false" customHeight="false" outlineLevel="0" collapsed="false">
      <c r="A31" s="0" t="s">
        <v>130</v>
      </c>
      <c r="B31" s="0" t="n">
        <f aca="false">L19</f>
        <v>14934.1648817107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236649.074279415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209078.308343949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209078.308343949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84366.0635562676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162424.464278235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162424.464278235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33.5518414125666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0.247280349909537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33.5518414125666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128184.915234683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19.211518993508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14.6384246210255</v>
      </c>
      <c r="C4" s="0" t="n">
        <f aca="false">B4/Assumptions!$B$2-1</f>
        <v>-0.455820646058533</v>
      </c>
      <c r="D4" s="4" t="n">
        <f aca="false">Assumptions!$B$24</f>
        <v>0.25</v>
      </c>
      <c r="E4" s="4" t="n">
        <f aca="false">DCF_Bear!$B$43</f>
        <v>14.6384246210255</v>
      </c>
      <c r="F4" s="4" t="n">
        <f aca="false">DCF_Bear!$B$47</f>
        <v>9.67703180867008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25.2274009970489</v>
      </c>
      <c r="C5" s="0" t="n">
        <f aca="false">B5/Assumptions!$B$2-1</f>
        <v>-0.0621784015966964</v>
      </c>
      <c r="D5" s="4" t="n">
        <f aca="false">Assumptions!$B$38</f>
        <v>0.5</v>
      </c>
      <c r="E5" s="4" t="n">
        <f aca="false">DCF_Base!$B$43</f>
        <v>25.2274009970489</v>
      </c>
      <c r="F5" s="4" t="n">
        <f aca="false">DCF_Base!$B$47</f>
        <v>14.8268138538829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33.5518414125666</v>
      </c>
      <c r="C6" s="0" t="n">
        <f aca="false">B6/Assumptions!$B$2-1</f>
        <v>0.247280349909537</v>
      </c>
      <c r="D6" s="4" t="n">
        <f aca="false">Assumptions!$B$52</f>
        <v>0.25</v>
      </c>
      <c r="E6" s="4" t="n">
        <f aca="false">DCF_Bull!$B$43</f>
        <v>33.5518414125666</v>
      </c>
      <c r="F6" s="4" t="n">
        <f aca="false">DCF_Bull!$B$47</f>
        <v>19.211518993508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24.6612670069224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24.6612670069224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-0.090779317723179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14.635544627486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26.0987402749045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25.2274009970489</v>
      </c>
      <c r="C16" s="3" t="n">
        <v>9.5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24.1701426784121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21.4701740267878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19.3105658956067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14.8268138538829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28.9627597783479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28.9627597783479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28.9627597783479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28.9627597783479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28.9627597783479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27.0102915835808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27.0102915835808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27.0102915835808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27.0102915835808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27.0102915835808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24.1788387909374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24.9342174854717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25.2274009970489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25.2274009970489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25.2274009970489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21.5684224351792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22.1219944155803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22.7406925113228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23.4367278690332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23.5973514131201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19.4584184116373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19.8740778162041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20.3334908423042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20.8439497601933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21.4144626684222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2026-10-10T11:37:00Z</dcterms:created>
  <dc:creator>openpyxl</dc:creator>
  <dc:description/>
  <dc:language>en-NZ</dc:language>
  <cp:lastModifiedBy/>
  <dcterms:modified xsi:type="dcterms:W3CDTF">2026-10-10T11:37:00Z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