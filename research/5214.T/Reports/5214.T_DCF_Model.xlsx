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<sst xmlns="http://schemas.openxmlformats.org/spreadsheetml/2006/main" count="364" uniqueCount="167">
  <si>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</si>
  <si>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5214.T</t>
  </si>
  <si>
    <t xml:space="preserve">Company</t>
  </si>
  <si>
    <t xml:space="preserve">Nippon Electric Glass Co., Ltd.</t>
  </si>
  <si>
    <t xml:space="preserve">Valuation date</t>
  </si>
  <si>
    <t xml:space="preserve">2026-10-31</t>
  </si>
  <si>
    <t xml:space="preserve">Current price</t>
  </si>
  <si>
    <t xml:space="preserve">Price as of</t>
  </si>
  <si>
    <t xml:space="preserve">2026-10-30T06:30:00Z (TSE regular close 30-Oct-2026, 15:30 JST; last close before the 31-Oct valuation date, not an after-hours print)</t>
  </si>
  <si>
    <t xml:space="preserve">Balance sheet date</t>
  </si>
  <si>
    <t xml:space="preserve">2026-09-30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</si>
  <si>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</si>
  <si>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</si>
  <si>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</si>
  <si>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</si>
  <si>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</si>
  <si>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</si>
  <si>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</si>
  <si>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</si>
  <si>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</si>
  <si>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</si>
  <si>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2026-10-31T07:37:53Z</t>
  </si>
  <si>
    <t xml:space="preserve">Drivers file</t>
  </si>
  <si>
    <t xml:space="preserve">5214.T_Drivers.json</t>
  </si>
  <si>
    <t xml:space="preserve">Convention</t>
  </si>
  <si>
    <t xml:space="preserve">Percents stored as percents; formulas divide by 100. Blue = input, green = link, black = formula.</t>
  </si>
  <si>
    <t xml:space="preserve">Methodology</t>
  </si>
  <si>
    <t xml:space="preserve">summary: A furnace-capex-heavy specialty-glass cyclical valued on mid-cycle owner FCF, not on FY2025 peak earnings and not on book value. The engine charges SBC (immaterial), strips interest and dividend income from the flows and adds net cash and the cross-shareholding portfolio back in the bridge, deducts NCI once, discounts JPY flows at a JPY rate (8.5%), and caps the terminal value at 13x owner FCF. The price sits at ~0.74x book; the DCF explains the discount as a sub-cost-of-capital return on the asset base rather than a mispricing. Buybacks (JPY20bn/yr, JPY100bn EGP2028 plan) are value-neutral in the engine but would raise per-share value if executed below intrinsic value.
key_risks_to_valuation: Display glass pricing and panel-maker utilisation -- ~45% of sales, the swing factor in every cycle since FY2015; Chinese substrate makers (Tunghsu, CGC) reaching G8.5/G10.5 quality and Corning's price response; Capex intensity: all-electric melting conversion and furnace rebuilds; terminal capex is set roughly equal to D&amp;A, which is the assumption that most moves the terminal value; Energy and raw-material cost pass-through; FX (yen weakness helps overseas sales, hurts imported energy); US composites restructuring duration and any further impairment of the display asset base (FY2023 precedent); Execution of EGP2028 growth businesses (WSG, low-dielectric glass fiber, pharma tubing) -- upside only in the bull case; Realisability of the JPY39bn cross-shareholding portfolio carried in the bridge at book</t>
  </si>
  <si>
    <t xml:space="preserve">Data sources</t>
  </si>
  <si>
    <t xml:space="preserve">price: Yahoo Finance chart API at inputs.price_as_of; 52-week range 4323-8377 JPY
financials: 5214.T_Metrics.csv (FY2015-FY2025 annual, quarterlies to 9M FY2026, JPY millions, share counts normalised for the 5-for-1 consolidation of 2017-07-01); Q3 FY2026 tanshin (5214.T_Quarterly_Q3-2026.txt) for the 2026-09-30 balance sheet, share counts and reaffirmed FY2026 forecast; FY2025 tanshin and results presentation for segment split, capex/D&amp;A plan and EGP2028 targets; FY2025 annual report for the buyback program
qualitative: No Analysis.json at build time; business context from info.json profile, the FY2025 results presentation (EGP2028 progress), and the Q3 FY2026 presentation (display demand, composites restructuring, low-dielectric fiber start-up)</t>
  </si>
  <si>
    <t xml:space="preserve">Scenario narrative: bear</t>
  </si>
  <si>
    <t xml:space="preserve">The structural-decline reading of display glass. Chinese substrate makers close the quality gap at G8.5/G10.5, Corning defends share on price, panel utilisation stays sub-80%, and NEG's electric-melting investment buys cost parity rather than margin. Composites keep losing money in the US, energy/raw-material inflation is absorbed. OP margin settles ~4.7% (the FY2019/FY2024 level) on flat sales; because capex cannot fall below D&amp;A for long, owner FCF is near zero through the explicit period and the equity is worth little more than net cash plus the securities portfolio.</t>
  </si>
  <si>
    <t xml:space="preserve">Scenario narrative: base</t>
  </si>
  <si>
    <t xml:space="preserve">Mid-cycle normalisation, not a rebound to FY2025. FY2026 lands on the cut guidance (sales JPY300bn, OP JPY20bn) as electric-melting conversion, periodic repairs and the US composites restructuring depress the year. From FY2027 the restructuring laps, semiconductor/data-centre electronics and low-dielectric fiber grow, displays follow panel-area growth at flat-to-falling prices, and margins climb to a 17.5% EBITDA / ~7.7% OP mid-cycle -- the FY2015-FY2025 average, not the 12.5% EGP2028 target. Capex stays at the 10-11% of sales the furnace fleet has historically required, so owner FCF is ~4-5% of sales at maturity. Terminal value capped at 13x year-10 owner FCF (cyclical cap).</t>
  </si>
  <si>
    <t xml:space="preserve">Scenario narrative: bull</t>
  </si>
  <si>
    <t xml:space="preserve">EGP2028 delivered late. All-electric melting cuts display unit cost, G10.5 share grows, WSG glass wafers, probe-card substrates and low-dielectric glass fiber scale into AI/data-centre demand, pharma tubing moves past start-up losses. Sales ~JPY360bn by FY2030 with 21% EBITDA (~11% OP) held rather than visited, i.e. the FY2017/FY2021/FY2025 peak margin becomes the run-rate. Even so, the JPY400bn FY2028 target is not reached.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</si>
  <si>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</si>
  <si>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</si>
  <si>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</si>
  <si>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</si>
  <si>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</si>
  <si>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</si>
  <si>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</si>
  <si>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</si>
  <si>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</si>
  <si>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</si>
  <si>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</si>
  <si>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</si>
  <si>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</si>
  <si>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</si>
  <si>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</si>
  <si>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</si>
  <si>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</si>
  <si>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</si>
  <si>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</si>
  <si>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</si>
  <si>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</si>
  <si>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</si>
  <si>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</si>
  <si>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</si>
  <si>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</si>
  <si>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</si>
  <si>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</si>
  <si>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NetAssets</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</si>
  <si>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</si>
  <si>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</si>
  <si>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</si>
  <si>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</si>
  <si>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</si>
  <si>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</si>
  <si>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</si>
  <si>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</si>
  <si>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</si>
  <si>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</si>
  <si>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</si>
  <si>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</si>
  <si>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</si>
  <si>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</si>
  <si>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</si>
  <si>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</si>
  <si>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</si>
  <si>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</si>
  <si>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</si>
  <si>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</si>
  <si>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</si>
  <si>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</si>
  <si>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</si>
  <si>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</si>
  <si>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</si>
  <si>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</si>
  <si>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</si>
  <si>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</si>
  <si>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</si>
  <si>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</si>
  <si>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</si>
  <si>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</si>
  <si>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</si>
  <si>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</si>
  <si>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</si>
  <si>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</si>
  <si>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</si>
  <si>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</si>
  <si>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</si>
  <si>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</si>
  <si>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</si>
  <si>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</si>
  <si>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</si>
  <si>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</si>
  <si>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</si>
  <si>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</si>
  <si>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</si>
  <si>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</si>
  <si>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5214.T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</si>
  <si>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</si>
  <si>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</si>
  <si>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</si>
  <si>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</si>
  <si>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</si>
  <si>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</si>
  <si>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</si>
  <si>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</si>
  <si>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</si>
  <si>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</si>
  <si>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</si>
  <si>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</si>
  <si>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</si>
  <si>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</si>
  <si>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</si>
  <si>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</si>
  <si>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</si>
  <si>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</si>
  <si>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</si>
  <si>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</si>
  <si>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</si>
  <si>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</si>
  <si>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</si>
  <si>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</si>
  <si>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</si>
  <si>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</si>
  <si>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</si>
  <si>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</si>
  <si>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</si>
  <si>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</si>
  <si>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5214.T owner-FCF component DCF: base case (millions, JPY)</t>
  </si>
  <si>
    <t xml:space="preserve">5214.T owner-FCF component DCF: bull case (millions, JPY)</t>
  </si>
  <si>
    <t xml:space="preserve">5214.T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</si>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</sst>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4979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251177</v>
      </c>
      <c r="C2" s="0" t="n">
        <v>198171</v>
      </c>
      <c r="D2" s="0" t="n">
        <v>53005</v>
      </c>
      <c r="E2" s="0" t="n">
        <v>21.1</v>
      </c>
      <c r="F2" s="0" t="n">
        <v>22034</v>
      </c>
      <c r="G2" s="0" t="n">
        <v>8.8</v>
      </c>
      <c r="H2" s="0" t="n">
        <v>59187</v>
      </c>
      <c r="I2" s="0" t="n">
        <v>9636</v>
      </c>
      <c r="J2" s="0" t="n">
        <v>3.8</v>
      </c>
      <c r="K2" s="0" t="n">
        <v>96.9</v>
      </c>
      <c r="L2" s="0" t="n">
        <v>46797</v>
      </c>
      <c r="M2" s="0" t="n">
        <v>44599</v>
      </c>
      <c r="N2" s="0" t="n">
        <v>2198</v>
      </c>
      <c r="O2" s="0" t="n">
        <v>513218</v>
      </c>
      <c r="P2" s="0" t="n">
        <v>726937</v>
      </c>
      <c r="Q2" s="0" t="n">
        <v>207136</v>
      </c>
      <c r="R2" s="0" t="n">
        <v>106730</v>
      </c>
      <c r="S2" s="0" t="n">
        <v>144345</v>
      </c>
      <c r="T2" s="0" t="n">
        <v>99.474</v>
      </c>
      <c r="V2" s="0" t="n">
        <v>80</v>
      </c>
      <c r="AA2" s="0" t="s">
        <v>17</v>
      </c>
      <c r="AB2" s="0" t="s">
        <v>14</v>
      </c>
      <c r="AC2" s="0" t="n">
        <v>519801</v>
      </c>
    </row>
    <row r="3" customFormat="false" ht="15" hidden="false" customHeight="false" outlineLevel="0" collapsed="false">
      <c r="A3" s="0" t="s">
        <v>65</v>
      </c>
      <c r="B3" s="0" t="n">
        <v>239411</v>
      </c>
      <c r="C3" s="0" t="n">
        <v>187903</v>
      </c>
      <c r="D3" s="0" t="n">
        <v>51508</v>
      </c>
      <c r="E3" s="0" t="n">
        <v>21.5</v>
      </c>
      <c r="F3" s="0" t="n">
        <v>19571</v>
      </c>
      <c r="G3" s="0" t="n">
        <v>8.2</v>
      </c>
      <c r="H3" s="0" t="n">
        <v>50826</v>
      </c>
      <c r="I3" s="0" t="n">
        <v>4968</v>
      </c>
      <c r="J3" s="0" t="n">
        <v>2.1</v>
      </c>
      <c r="K3" s="0" t="n">
        <v>49.95</v>
      </c>
      <c r="L3" s="0" t="n">
        <v>48261</v>
      </c>
      <c r="M3" s="0" t="n">
        <v>27687</v>
      </c>
      <c r="N3" s="0" t="n">
        <v>20574</v>
      </c>
      <c r="O3" s="0" t="n">
        <v>504287</v>
      </c>
      <c r="P3" s="0" t="n">
        <v>693917</v>
      </c>
      <c r="Q3" s="0" t="n">
        <v>184353</v>
      </c>
      <c r="R3" s="0" t="n">
        <v>99997</v>
      </c>
      <c r="S3" s="0" t="n">
        <v>132001</v>
      </c>
      <c r="T3" s="0" t="n">
        <v>99.473</v>
      </c>
      <c r="V3" s="0" t="n">
        <v>80</v>
      </c>
      <c r="AA3" s="0" t="s">
        <v>17</v>
      </c>
      <c r="AB3" s="0" t="s">
        <v>14</v>
      </c>
      <c r="AC3" s="0" t="n">
        <v>509564</v>
      </c>
    </row>
    <row r="4" customFormat="false" ht="15" hidden="false" customHeight="false" outlineLevel="0" collapsed="false">
      <c r="A4" s="0" t="s">
        <v>66</v>
      </c>
      <c r="B4" s="0" t="n">
        <v>282447</v>
      </c>
      <c r="C4" s="0" t="n">
        <v>211787</v>
      </c>
      <c r="D4" s="0" t="n">
        <v>70659</v>
      </c>
      <c r="E4" s="0" t="n">
        <v>25</v>
      </c>
      <c r="F4" s="0" t="n">
        <v>32201</v>
      </c>
      <c r="G4" s="0" t="n">
        <v>11.4</v>
      </c>
      <c r="H4" s="0" t="n">
        <v>60935</v>
      </c>
      <c r="I4" s="0" t="n">
        <v>27184</v>
      </c>
      <c r="J4" s="0" t="n">
        <v>9.6</v>
      </c>
      <c r="K4" s="0" t="n">
        <v>273.29</v>
      </c>
      <c r="L4" s="0" t="n">
        <v>46159</v>
      </c>
      <c r="M4" s="0" t="n">
        <v>16516</v>
      </c>
      <c r="N4" s="0" t="n">
        <v>29643</v>
      </c>
      <c r="O4" s="0" t="n">
        <v>538819</v>
      </c>
      <c r="P4" s="0" t="n">
        <v>764420</v>
      </c>
      <c r="Q4" s="0" t="n">
        <v>220631</v>
      </c>
      <c r="R4" s="0" t="n">
        <v>118660</v>
      </c>
      <c r="S4" s="0" t="n">
        <v>117068</v>
      </c>
      <c r="T4" s="0" t="n">
        <v>99.47</v>
      </c>
      <c r="V4" s="0" t="n">
        <v>90</v>
      </c>
      <c r="AA4" s="0" t="s">
        <v>17</v>
      </c>
      <c r="AB4" s="0" t="s">
        <v>14</v>
      </c>
      <c r="AC4" s="0" t="n">
        <v>543789</v>
      </c>
    </row>
    <row r="5" customFormat="false" ht="15" hidden="false" customHeight="false" outlineLevel="0" collapsed="false">
      <c r="A5" s="0" t="s">
        <v>67</v>
      </c>
      <c r="B5" s="0" t="n">
        <v>300326</v>
      </c>
      <c r="C5" s="0" t="n">
        <v>233234</v>
      </c>
      <c r="D5" s="0" t="n">
        <v>67092</v>
      </c>
      <c r="E5" s="0" t="n">
        <v>22.3</v>
      </c>
      <c r="F5" s="0" t="n">
        <v>24865</v>
      </c>
      <c r="G5" s="0" t="n">
        <v>8.3</v>
      </c>
      <c r="H5" s="0" t="n">
        <v>54640</v>
      </c>
      <c r="I5" s="0" t="n">
        <v>15199</v>
      </c>
      <c r="J5" s="0" t="n">
        <v>5.1</v>
      </c>
      <c r="K5" s="0" t="n">
        <v>154.26</v>
      </c>
      <c r="L5" s="0" t="n">
        <v>52002</v>
      </c>
      <c r="M5" s="0" t="n">
        <v>25476</v>
      </c>
      <c r="N5" s="0" t="n">
        <v>26526</v>
      </c>
      <c r="O5" s="0" t="n">
        <v>516451</v>
      </c>
      <c r="P5" s="0" t="n">
        <v>725575</v>
      </c>
      <c r="Q5" s="0" t="n">
        <v>204027</v>
      </c>
      <c r="R5" s="0" t="n">
        <v>110004</v>
      </c>
      <c r="S5" s="0" t="n">
        <v>116785</v>
      </c>
      <c r="T5" s="0" t="n">
        <v>96.605</v>
      </c>
      <c r="V5" s="0" t="n">
        <v>100</v>
      </c>
      <c r="AA5" s="0" t="s">
        <v>17</v>
      </c>
      <c r="AB5" s="0" t="s">
        <v>14</v>
      </c>
      <c r="AC5" s="0" t="n">
        <v>521547</v>
      </c>
    </row>
    <row r="6" customFormat="false" ht="15" hidden="false" customHeight="false" outlineLevel="0" collapsed="false">
      <c r="A6" s="0" t="s">
        <v>68</v>
      </c>
      <c r="B6" s="0" t="n">
        <v>257189</v>
      </c>
      <c r="C6" s="0" t="n">
        <v>202622</v>
      </c>
      <c r="D6" s="0" t="n">
        <v>54566</v>
      </c>
      <c r="E6" s="0" t="n">
        <v>21.2</v>
      </c>
      <c r="F6" s="0" t="n">
        <v>15937</v>
      </c>
      <c r="G6" s="0" t="n">
        <v>6.2</v>
      </c>
      <c r="H6" s="0" t="n">
        <v>44513</v>
      </c>
      <c r="I6" s="0" t="n">
        <v>-33669</v>
      </c>
      <c r="J6" s="0" t="n">
        <v>-13.1</v>
      </c>
      <c r="K6" s="0" t="n">
        <v>-348.5</v>
      </c>
      <c r="L6" s="0" t="n">
        <v>21637</v>
      </c>
      <c r="M6" s="0" t="n">
        <v>13962</v>
      </c>
      <c r="N6" s="0" t="n">
        <v>7675</v>
      </c>
      <c r="O6" s="0" t="n">
        <v>472030</v>
      </c>
      <c r="P6" s="0" t="n">
        <v>664800</v>
      </c>
      <c r="Q6" s="0" t="n">
        <v>187645</v>
      </c>
      <c r="R6" s="0" t="n">
        <v>98478</v>
      </c>
      <c r="S6" s="0" t="n">
        <v>101509</v>
      </c>
      <c r="T6" s="0" t="n">
        <v>96.619</v>
      </c>
      <c r="V6" s="0" t="n">
        <v>100</v>
      </c>
      <c r="AA6" s="0" t="s">
        <v>17</v>
      </c>
      <c r="AB6" s="0" t="s">
        <v>14</v>
      </c>
      <c r="AC6" s="0" t="n">
        <v>477154</v>
      </c>
    </row>
    <row r="7" customFormat="false" ht="15" hidden="false" customHeight="false" outlineLevel="0" collapsed="false">
      <c r="A7" s="0" t="s">
        <v>69</v>
      </c>
      <c r="B7" s="0" t="n">
        <v>242886</v>
      </c>
      <c r="C7" s="0" t="n">
        <v>191429</v>
      </c>
      <c r="D7" s="0" t="n">
        <v>51456</v>
      </c>
      <c r="E7" s="0" t="n">
        <v>21.2</v>
      </c>
      <c r="F7" s="0" t="n">
        <v>17660</v>
      </c>
      <c r="G7" s="0" t="n">
        <v>7.3</v>
      </c>
      <c r="H7" s="0" t="n">
        <v>42591</v>
      </c>
      <c r="I7" s="0" t="n">
        <v>15252</v>
      </c>
      <c r="J7" s="0" t="n">
        <v>6.3</v>
      </c>
      <c r="K7" s="0" t="n">
        <v>157.84</v>
      </c>
      <c r="L7" s="0" t="n">
        <v>47861</v>
      </c>
      <c r="M7" s="0" t="n">
        <v>25171</v>
      </c>
      <c r="N7" s="0" t="n">
        <v>22690</v>
      </c>
      <c r="O7" s="0" t="n">
        <v>472198</v>
      </c>
      <c r="P7" s="0" t="n">
        <v>658139</v>
      </c>
      <c r="Q7" s="0" t="n">
        <v>181219</v>
      </c>
      <c r="R7" s="0" t="n">
        <v>101687</v>
      </c>
      <c r="S7" s="0" t="n">
        <v>121440</v>
      </c>
      <c r="T7" s="0" t="n">
        <v>96.641</v>
      </c>
      <c r="V7" s="0" t="n">
        <v>100</v>
      </c>
      <c r="AA7" s="0" t="s">
        <v>17</v>
      </c>
      <c r="AB7" s="0" t="s">
        <v>14</v>
      </c>
      <c r="AC7" s="0" t="n">
        <v>476920</v>
      </c>
    </row>
    <row r="8" customFormat="false" ht="15" hidden="false" customHeight="false" outlineLevel="0" collapsed="false">
      <c r="A8" s="0" t="s">
        <v>70</v>
      </c>
      <c r="B8" s="0" t="n">
        <v>292033</v>
      </c>
      <c r="C8" s="0" t="n">
        <v>209781</v>
      </c>
      <c r="D8" s="0" t="n">
        <v>82252</v>
      </c>
      <c r="E8" s="0" t="n">
        <v>28.2</v>
      </c>
      <c r="F8" s="0" t="n">
        <v>32779</v>
      </c>
      <c r="G8" s="0" t="n">
        <v>11.2</v>
      </c>
      <c r="H8" s="0" t="n">
        <v>59500</v>
      </c>
      <c r="I8" s="0" t="n">
        <v>27904</v>
      </c>
      <c r="J8" s="0" t="n">
        <v>9.6</v>
      </c>
      <c r="K8" s="0" t="n">
        <v>290.98</v>
      </c>
      <c r="L8" s="0" t="n">
        <v>69881</v>
      </c>
      <c r="M8" s="0" t="n">
        <v>35058</v>
      </c>
      <c r="N8" s="0" t="n">
        <v>34823</v>
      </c>
      <c r="O8" s="0" t="n">
        <v>495070</v>
      </c>
      <c r="P8" s="0" t="n">
        <v>698129</v>
      </c>
      <c r="Q8" s="0" t="n">
        <v>198386</v>
      </c>
      <c r="R8" s="0" t="n">
        <v>94821</v>
      </c>
      <c r="S8" s="0" t="n">
        <v>134974</v>
      </c>
      <c r="T8" s="0" t="n">
        <v>93.027</v>
      </c>
      <c r="V8" s="0" t="n">
        <v>110</v>
      </c>
      <c r="AA8" s="0" t="s">
        <v>17</v>
      </c>
      <c r="AB8" s="0" t="s">
        <v>14</v>
      </c>
      <c r="AC8" s="0" t="n">
        <v>499742</v>
      </c>
    </row>
    <row r="9" customFormat="false" ht="15" hidden="false" customHeight="false" outlineLevel="0" collapsed="false">
      <c r="A9" s="0" t="s">
        <v>71</v>
      </c>
      <c r="B9" s="0" t="n">
        <v>324634</v>
      </c>
      <c r="C9" s="0" t="n">
        <v>239065</v>
      </c>
      <c r="D9" s="0" t="n">
        <v>85569</v>
      </c>
      <c r="E9" s="0" t="n">
        <v>26.4</v>
      </c>
      <c r="F9" s="0" t="n">
        <v>26184</v>
      </c>
      <c r="G9" s="0" t="n">
        <v>8.1</v>
      </c>
      <c r="H9" s="0" t="n">
        <v>55146</v>
      </c>
      <c r="I9" s="0" t="n">
        <v>28167</v>
      </c>
      <c r="J9" s="0" t="n">
        <v>8.7</v>
      </c>
      <c r="K9" s="0" t="n">
        <v>302.76</v>
      </c>
      <c r="L9" s="0" t="n">
        <v>31563</v>
      </c>
      <c r="M9" s="0" t="n">
        <v>60002</v>
      </c>
      <c r="N9" s="0" t="n">
        <v>-28439</v>
      </c>
      <c r="O9" s="0" t="n">
        <v>524344</v>
      </c>
      <c r="P9" s="0" t="n">
        <v>747907</v>
      </c>
      <c r="Q9" s="0" t="n">
        <v>218995</v>
      </c>
      <c r="R9" s="0" t="n">
        <v>103525</v>
      </c>
      <c r="S9" s="0" t="n">
        <v>107151</v>
      </c>
      <c r="T9" s="0" t="n">
        <v>93.043</v>
      </c>
      <c r="U9" s="0" t="n">
        <v>33</v>
      </c>
      <c r="V9" s="0" t="n">
        <v>120</v>
      </c>
      <c r="AA9" s="0" t="s">
        <v>17</v>
      </c>
      <c r="AB9" s="0" t="s">
        <v>14</v>
      </c>
      <c r="AC9" s="0" t="n">
        <v>528912</v>
      </c>
    </row>
    <row r="10" customFormat="false" ht="15" hidden="false" customHeight="false" outlineLevel="0" collapsed="false">
      <c r="A10" s="0" t="s">
        <v>72</v>
      </c>
      <c r="B10" s="0" t="n">
        <v>279974</v>
      </c>
      <c r="C10" s="0" t="n">
        <v>246764</v>
      </c>
      <c r="D10" s="0" t="n">
        <v>33210</v>
      </c>
      <c r="E10" s="0" t="n">
        <v>11.9</v>
      </c>
      <c r="F10" s="0" t="n">
        <v>-10420</v>
      </c>
      <c r="G10" s="0" t="n">
        <v>-3.7</v>
      </c>
      <c r="H10" s="0" t="n">
        <v>26765</v>
      </c>
      <c r="I10" s="0" t="n">
        <v>-26188</v>
      </c>
      <c r="J10" s="0" t="n">
        <v>-9.4</v>
      </c>
      <c r="K10" s="0" t="n">
        <v>-282.9</v>
      </c>
      <c r="L10" s="0" t="n">
        <v>-1360</v>
      </c>
      <c r="M10" s="0" t="n">
        <v>29095</v>
      </c>
      <c r="N10" s="0" t="n">
        <v>-30455</v>
      </c>
      <c r="O10" s="0" t="n">
        <v>487045</v>
      </c>
      <c r="P10" s="0" t="n">
        <v>703917</v>
      </c>
      <c r="Q10" s="0" t="n">
        <v>213786</v>
      </c>
      <c r="R10" s="0" t="n">
        <v>118343</v>
      </c>
      <c r="S10" s="0" t="n">
        <v>75401</v>
      </c>
      <c r="T10" s="0" t="n">
        <v>89.145</v>
      </c>
      <c r="U10" s="0" t="n">
        <v>35</v>
      </c>
      <c r="V10" s="0" t="n">
        <v>120</v>
      </c>
      <c r="AA10" s="0" t="s">
        <v>17</v>
      </c>
      <c r="AB10" s="0" t="s">
        <v>14</v>
      </c>
      <c r="AC10" s="0" t="n">
        <v>490130</v>
      </c>
    </row>
    <row r="11" customFormat="false" ht="15" hidden="false" customHeight="false" outlineLevel="0" collapsed="false">
      <c r="A11" s="0" t="s">
        <v>73</v>
      </c>
      <c r="B11" s="0" t="n">
        <v>299237</v>
      </c>
      <c r="C11" s="0" t="n">
        <v>244914</v>
      </c>
      <c r="D11" s="0" t="n">
        <v>54322</v>
      </c>
      <c r="E11" s="0" t="n">
        <v>18.2</v>
      </c>
      <c r="F11" s="0" t="n">
        <v>6120</v>
      </c>
      <c r="G11" s="0" t="n">
        <v>2</v>
      </c>
      <c r="H11" s="0" t="n">
        <v>35057</v>
      </c>
      <c r="I11" s="0" t="n">
        <v>12091</v>
      </c>
      <c r="J11" s="0" t="n">
        <v>4</v>
      </c>
      <c r="K11" s="0" t="n">
        <v>141.67</v>
      </c>
      <c r="L11" s="0" t="n">
        <v>52200</v>
      </c>
      <c r="M11" s="0" t="n">
        <v>17136</v>
      </c>
      <c r="N11" s="0" t="n">
        <v>35064</v>
      </c>
      <c r="O11" s="0" t="n">
        <v>484020</v>
      </c>
      <c r="P11" s="0" t="n">
        <v>695163</v>
      </c>
      <c r="Q11" s="0" t="n">
        <v>207604</v>
      </c>
      <c r="R11" s="0" t="n">
        <v>111265</v>
      </c>
      <c r="S11" s="0" t="n">
        <v>123964</v>
      </c>
      <c r="T11" s="0" t="n">
        <v>80.716</v>
      </c>
      <c r="U11" s="0" t="n">
        <v>36</v>
      </c>
      <c r="V11" s="0" t="n">
        <v>130</v>
      </c>
      <c r="AA11" s="0" t="s">
        <v>17</v>
      </c>
      <c r="AB11" s="0" t="s">
        <v>14</v>
      </c>
      <c r="AC11" s="0" t="n">
        <v>487559</v>
      </c>
    </row>
    <row r="12" customFormat="false" ht="15" hidden="false" customHeight="false" outlineLevel="0" collapsed="false">
      <c r="A12" s="0" t="s">
        <v>74</v>
      </c>
      <c r="B12" s="0" t="n">
        <v>311402</v>
      </c>
      <c r="C12" s="0" t="n">
        <v>231392</v>
      </c>
      <c r="D12" s="0" t="n">
        <v>80010</v>
      </c>
      <c r="E12" s="0" t="n">
        <v>25.7</v>
      </c>
      <c r="F12" s="0" t="n">
        <v>34131</v>
      </c>
      <c r="G12" s="0" t="n">
        <v>11</v>
      </c>
      <c r="H12" s="0" t="n">
        <v>58337</v>
      </c>
      <c r="I12" s="0" t="n">
        <v>29616</v>
      </c>
      <c r="J12" s="0" t="n">
        <v>9.5</v>
      </c>
      <c r="K12" s="0" t="n">
        <v>382.33</v>
      </c>
      <c r="L12" s="0" t="n">
        <v>52029</v>
      </c>
      <c r="M12" s="0" t="n">
        <v>28951</v>
      </c>
      <c r="N12" s="0" t="n">
        <v>23078</v>
      </c>
      <c r="O12" s="0" t="n">
        <v>492371</v>
      </c>
      <c r="P12" s="0" t="n">
        <v>701413</v>
      </c>
      <c r="Q12" s="0" t="n">
        <v>205231</v>
      </c>
      <c r="R12" s="0" t="n">
        <v>97394</v>
      </c>
      <c r="S12" s="0" t="n">
        <v>120706</v>
      </c>
      <c r="T12" s="0" t="n">
        <v>75.228</v>
      </c>
      <c r="U12" s="0" t="n">
        <v>39</v>
      </c>
      <c r="V12" s="0" t="n">
        <v>150</v>
      </c>
      <c r="AA12" s="0" t="s">
        <v>17</v>
      </c>
      <c r="AB12" s="0" t="s">
        <v>14</v>
      </c>
      <c r="AC12" s="0" t="n">
        <v>496181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4979</v>
      </c>
    </row>
    <row r="3" customFormat="false" ht="15" hidden="false" customHeight="false" outlineLevel="0" collapsed="false">
      <c r="A3" s="0" t="s">
        <v>78</v>
      </c>
      <c r="B3" s="3" t="n">
        <v>72.454</v>
      </c>
    </row>
    <row r="4" customFormat="false" ht="15" hidden="false" customHeight="false" outlineLevel="0" collapsed="false">
      <c r="A4" s="0" t="s">
        <v>79</v>
      </c>
      <c r="B4" s="3" t="n">
        <v>-29724</v>
      </c>
    </row>
    <row r="5" customFormat="false" ht="15" hidden="false" customHeight="false" outlineLevel="0" collapsed="false">
      <c r="A5" s="0" t="s">
        <v>80</v>
      </c>
      <c r="B5" s="3" t="n">
        <v>35243</v>
      </c>
    </row>
    <row r="6" customFormat="false" ht="15" hidden="false" customHeight="false" outlineLevel="0" collapsed="false">
      <c r="A6" s="0" t="s">
        <v>81</v>
      </c>
      <c r="B6" s="3" t="n">
        <v>15</v>
      </c>
    </row>
    <row r="7" customFormat="false" ht="15" hidden="false" customHeight="false" outlineLevel="0" collapsed="false">
      <c r="A7" s="0" t="s">
        <v>82</v>
      </c>
      <c r="B7" s="3" t="n">
        <v>311402</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-3.7</v>
      </c>
      <c r="D13" s="3" t="n">
        <v>-2</v>
      </c>
      <c r="E13" s="3" t="n">
        <v>0</v>
      </c>
      <c r="F13" s="3" t="n">
        <v>1</v>
      </c>
      <c r="G13" s="3" t="n">
        <v>1</v>
      </c>
      <c r="H13" s="3" t="n">
        <v>1</v>
      </c>
      <c r="I13" s="3" t="n">
        <v>1</v>
      </c>
      <c r="J13" s="3" t="n">
        <v>1</v>
      </c>
      <c r="K13" s="3" t="n">
        <v>1</v>
      </c>
      <c r="L13" s="3" t="n">
        <v>1</v>
      </c>
    </row>
    <row r="14" customFormat="false" ht="15" hidden="false" customHeight="false" outlineLevel="0" collapsed="false">
      <c r="A14" s="0" t="s">
        <v>99</v>
      </c>
      <c r="C14" s="3" t="n">
        <v>14.5</v>
      </c>
      <c r="D14" s="3" t="n">
        <v>13.5</v>
      </c>
      <c r="E14" s="3" t="n">
        <v>13.5</v>
      </c>
      <c r="F14" s="3" t="n">
        <v>14</v>
      </c>
      <c r="G14" s="3" t="n">
        <v>14.5</v>
      </c>
      <c r="H14" s="3" t="n">
        <v>14.5</v>
      </c>
      <c r="I14" s="3" t="n">
        <v>14.5</v>
      </c>
      <c r="J14" s="3" t="n">
        <v>14.5</v>
      </c>
      <c r="K14" s="3" t="n">
        <v>14.5</v>
      </c>
      <c r="L14" s="3" t="n">
        <v>14.5</v>
      </c>
    </row>
    <row r="15" customFormat="false" ht="15" hidden="false" customHeight="false" outlineLevel="0" collapsed="false">
      <c r="A15" s="0" t="s">
        <v>100</v>
      </c>
      <c r="C15" s="3" t="n">
        <v>0.01</v>
      </c>
      <c r="D15" s="3" t="n">
        <v>0.01</v>
      </c>
      <c r="E15" s="3" t="n">
        <v>0.01</v>
      </c>
      <c r="F15" s="3" t="n">
        <v>0.01</v>
      </c>
      <c r="G15" s="3" t="n">
        <v>0.01</v>
      </c>
      <c r="H15" s="3" t="n">
        <v>0.01</v>
      </c>
      <c r="I15" s="3" t="n">
        <v>0.01</v>
      </c>
      <c r="J15" s="3" t="n">
        <v>0.01</v>
      </c>
      <c r="K15" s="3" t="n">
        <v>0.01</v>
      </c>
      <c r="L15" s="3" t="n">
        <v>0.01</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8.7</v>
      </c>
      <c r="D17" s="3" t="n">
        <v>8.8</v>
      </c>
      <c r="E17" s="3" t="n">
        <v>9</v>
      </c>
      <c r="F17" s="3" t="n">
        <v>9.3</v>
      </c>
      <c r="G17" s="3" t="n">
        <v>9.5</v>
      </c>
      <c r="H17" s="3" t="n">
        <v>9.6</v>
      </c>
      <c r="I17" s="3" t="n">
        <v>9.7</v>
      </c>
      <c r="J17" s="3" t="n">
        <v>9.8</v>
      </c>
      <c r="K17" s="3" t="n">
        <v>9.8</v>
      </c>
      <c r="L17" s="3" t="n">
        <v>9.8</v>
      </c>
    </row>
    <row r="18" customFormat="false" ht="15" hidden="false" customHeight="false" outlineLevel="0" collapsed="false">
      <c r="A18" s="0" t="s">
        <v>103</v>
      </c>
      <c r="C18" s="3" t="n">
        <v>13</v>
      </c>
      <c r="D18" s="3" t="n">
        <v>11.5</v>
      </c>
      <c r="E18" s="3" t="n">
        <v>11</v>
      </c>
      <c r="F18" s="3" t="n">
        <v>10.5</v>
      </c>
      <c r="G18" s="3" t="n">
        <v>10.5</v>
      </c>
      <c r="H18" s="3" t="n">
        <v>10</v>
      </c>
      <c r="I18" s="3" t="n">
        <v>10</v>
      </c>
      <c r="J18" s="3" t="n">
        <v>10</v>
      </c>
      <c r="K18" s="3" t="n">
        <v>10</v>
      </c>
      <c r="L18" s="3" t="n">
        <v>10</v>
      </c>
    </row>
    <row r="19" customFormat="false" ht="15" hidden="false" customHeight="false" outlineLevel="0" collapsed="false">
      <c r="A19" s="0" t="s">
        <v>104</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105</v>
      </c>
      <c r="B20" s="3" t="n">
        <v>8.5</v>
      </c>
    </row>
    <row r="21" customFormat="false" ht="15" hidden="false" customHeight="false" outlineLevel="0" collapsed="false">
      <c r="A21" s="0" t="s">
        <v>106</v>
      </c>
      <c r="B21" s="3" t="n">
        <v>0.5</v>
      </c>
    </row>
    <row r="22" customFormat="false" ht="15" hidden="false" customHeight="false" outlineLevel="0" collapsed="false">
      <c r="A22" s="0" t="s">
        <v>107</v>
      </c>
      <c r="B22" s="3" t="n">
        <v>13</v>
      </c>
    </row>
    <row r="23" customFormat="false" ht="15" hidden="false" customHeight="false" outlineLevel="0" collapsed="false">
      <c r="A23" s="0" t="s">
        <v>108</v>
      </c>
      <c r="B23" s="3" t="n">
        <v>-30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-3.7</v>
      </c>
      <c r="D27" s="3" t="n">
        <v>3</v>
      </c>
      <c r="E27" s="3" t="n">
        <v>4</v>
      </c>
      <c r="F27" s="3" t="n">
        <v>3.5</v>
      </c>
      <c r="G27" s="3" t="n">
        <v>3</v>
      </c>
      <c r="H27" s="3" t="n">
        <v>2.5</v>
      </c>
      <c r="I27" s="3" t="n">
        <v>2</v>
      </c>
      <c r="J27" s="3" t="n">
        <v>1.5</v>
      </c>
      <c r="K27" s="3" t="n">
        <v>1.5</v>
      </c>
      <c r="L27" s="3" t="n">
        <v>1.5</v>
      </c>
    </row>
    <row r="28" customFormat="false" ht="15" hidden="false" customHeight="false" outlineLevel="0" collapsed="false">
      <c r="A28" s="0" t="s">
        <v>99</v>
      </c>
      <c r="C28" s="3" t="n">
        <v>15.3</v>
      </c>
      <c r="D28" s="3" t="n">
        <v>16</v>
      </c>
      <c r="E28" s="3" t="n">
        <v>16.5</v>
      </c>
      <c r="F28" s="3" t="n">
        <v>17</v>
      </c>
      <c r="G28" s="3" t="n">
        <v>17.5</v>
      </c>
      <c r="H28" s="3" t="n">
        <v>17.5</v>
      </c>
      <c r="I28" s="3" t="n">
        <v>17.5</v>
      </c>
      <c r="J28" s="3" t="n">
        <v>17.5</v>
      </c>
      <c r="K28" s="3" t="n">
        <v>17.5</v>
      </c>
      <c r="L28" s="3" t="n">
        <v>17.5</v>
      </c>
    </row>
    <row r="29" customFormat="false" ht="15" hidden="false" customHeight="false" outlineLevel="0" collapsed="false">
      <c r="A29" s="0" t="s">
        <v>100</v>
      </c>
      <c r="C29" s="3" t="n">
        <v>0.01</v>
      </c>
      <c r="D29" s="3" t="n">
        <v>0.01</v>
      </c>
      <c r="E29" s="3" t="n">
        <v>0.01</v>
      </c>
      <c r="F29" s="3" t="n">
        <v>0.01</v>
      </c>
      <c r="G29" s="3" t="n">
        <v>0.01</v>
      </c>
      <c r="H29" s="3" t="n">
        <v>0.01</v>
      </c>
      <c r="I29" s="3" t="n">
        <v>0.01</v>
      </c>
      <c r="J29" s="3" t="n">
        <v>0.01</v>
      </c>
      <c r="K29" s="3" t="n">
        <v>0.01</v>
      </c>
      <c r="L29" s="3" t="n">
        <v>0.01</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8.7</v>
      </c>
      <c r="D31" s="3" t="n">
        <v>8.8</v>
      </c>
      <c r="E31" s="3" t="n">
        <v>9</v>
      </c>
      <c r="F31" s="3" t="n">
        <v>9.3</v>
      </c>
      <c r="G31" s="3" t="n">
        <v>9.5</v>
      </c>
      <c r="H31" s="3" t="n">
        <v>9.6</v>
      </c>
      <c r="I31" s="3" t="n">
        <v>9.7</v>
      </c>
      <c r="J31" s="3" t="n">
        <v>9.8</v>
      </c>
      <c r="K31" s="3" t="n">
        <v>9.8</v>
      </c>
      <c r="L31" s="3" t="n">
        <v>9.8</v>
      </c>
    </row>
    <row r="32" customFormat="false" ht="15" hidden="false" customHeight="false" outlineLevel="0" collapsed="false">
      <c r="A32" s="0" t="s">
        <v>103</v>
      </c>
      <c r="C32" s="3" t="n">
        <v>13</v>
      </c>
      <c r="D32" s="3" t="n">
        <v>12</v>
      </c>
      <c r="E32" s="3" t="n">
        <v>11</v>
      </c>
      <c r="F32" s="3" t="n">
        <v>10.5</v>
      </c>
      <c r="G32" s="3" t="n">
        <v>10.5</v>
      </c>
      <c r="H32" s="3" t="n">
        <v>10</v>
      </c>
      <c r="I32" s="3" t="n">
        <v>10</v>
      </c>
      <c r="J32" s="3" t="n">
        <v>10</v>
      </c>
      <c r="K32" s="3" t="n">
        <v>10</v>
      </c>
      <c r="L32" s="3" t="n">
        <v>10</v>
      </c>
    </row>
    <row r="33" customFormat="false" ht="15" hidden="false" customHeight="false" outlineLevel="0" collapsed="false">
      <c r="A33" s="0" t="s">
        <v>104</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105</v>
      </c>
      <c r="B34" s="3" t="n">
        <v>8.5</v>
      </c>
    </row>
    <row r="35" customFormat="false" ht="15" hidden="false" customHeight="false" outlineLevel="0" collapsed="false">
      <c r="A35" s="0" t="s">
        <v>106</v>
      </c>
      <c r="B35" s="3" t="n">
        <v>1</v>
      </c>
    </row>
    <row r="36" customFormat="false" ht="15" hidden="false" customHeight="false" outlineLevel="0" collapsed="false">
      <c r="A36" s="0" t="s">
        <v>107</v>
      </c>
      <c r="B36" s="3" t="n">
        <v>13</v>
      </c>
    </row>
    <row r="37" customFormat="false" ht="15" hidden="false" customHeight="false" outlineLevel="0" collapsed="false">
      <c r="A37" s="0" t="s">
        <v>108</v>
      </c>
      <c r="B37" s="3" t="n">
        <v>-30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-3.7</v>
      </c>
      <c r="D41" s="3" t="n">
        <v>6</v>
      </c>
      <c r="E41" s="3" t="n">
        <v>7</v>
      </c>
      <c r="F41" s="3" t="n">
        <v>6</v>
      </c>
      <c r="G41" s="3" t="n">
        <v>5</v>
      </c>
      <c r="H41" s="3" t="n">
        <v>4</v>
      </c>
      <c r="I41" s="3" t="n">
        <v>3</v>
      </c>
      <c r="J41" s="3" t="n">
        <v>2.5</v>
      </c>
      <c r="K41" s="3" t="n">
        <v>2</v>
      </c>
      <c r="L41" s="3" t="n">
        <v>2</v>
      </c>
    </row>
    <row r="42" customFormat="false" ht="15" hidden="false" customHeight="false" outlineLevel="0" collapsed="false">
      <c r="A42" s="0" t="s">
        <v>99</v>
      </c>
      <c r="C42" s="3" t="n">
        <v>15.5</v>
      </c>
      <c r="D42" s="3" t="n">
        <v>18</v>
      </c>
      <c r="E42" s="3" t="n">
        <v>19.5</v>
      </c>
      <c r="F42" s="3" t="n">
        <v>20.5</v>
      </c>
      <c r="G42" s="3" t="n">
        <v>21</v>
      </c>
      <c r="H42" s="3" t="n">
        <v>21</v>
      </c>
      <c r="I42" s="3" t="n">
        <v>21</v>
      </c>
      <c r="J42" s="3" t="n">
        <v>21</v>
      </c>
      <c r="K42" s="3" t="n">
        <v>21</v>
      </c>
      <c r="L42" s="3" t="n">
        <v>21</v>
      </c>
    </row>
    <row r="43" customFormat="false" ht="15" hidden="false" customHeight="false" outlineLevel="0" collapsed="false">
      <c r="A43" s="0" t="s">
        <v>100</v>
      </c>
      <c r="C43" s="3" t="n">
        <v>0.01</v>
      </c>
      <c r="D43" s="3" t="n">
        <v>0.01</v>
      </c>
      <c r="E43" s="3" t="n">
        <v>0.01</v>
      </c>
      <c r="F43" s="3" t="n">
        <v>0.01</v>
      </c>
      <c r="G43" s="3" t="n">
        <v>0.01</v>
      </c>
      <c r="H43" s="3" t="n">
        <v>0.01</v>
      </c>
      <c r="I43" s="3" t="n">
        <v>0.01</v>
      </c>
      <c r="J43" s="3" t="n">
        <v>0.01</v>
      </c>
      <c r="K43" s="3" t="n">
        <v>0.01</v>
      </c>
      <c r="L43" s="3" t="n">
        <v>0.01</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8.7</v>
      </c>
      <c r="D45" s="3" t="n">
        <v>8.8</v>
      </c>
      <c r="E45" s="3" t="n">
        <v>9</v>
      </c>
      <c r="F45" s="3" t="n">
        <v>9.3</v>
      </c>
      <c r="G45" s="3" t="n">
        <v>9.5</v>
      </c>
      <c r="H45" s="3" t="n">
        <v>9.6</v>
      </c>
      <c r="I45" s="3" t="n">
        <v>9.7</v>
      </c>
      <c r="J45" s="3" t="n">
        <v>9.8</v>
      </c>
      <c r="K45" s="3" t="n">
        <v>9.8</v>
      </c>
      <c r="L45" s="3" t="n">
        <v>9.8</v>
      </c>
    </row>
    <row r="46" customFormat="false" ht="15" hidden="false" customHeight="false" outlineLevel="0" collapsed="false">
      <c r="A46" s="0" t="s">
        <v>103</v>
      </c>
      <c r="C46" s="3" t="n">
        <v>13</v>
      </c>
      <c r="D46" s="3" t="n">
        <v>12</v>
      </c>
      <c r="E46" s="3" t="n">
        <v>11</v>
      </c>
      <c r="F46" s="3" t="n">
        <v>10.5</v>
      </c>
      <c r="G46" s="3" t="n">
        <v>10.5</v>
      </c>
      <c r="H46" s="3" t="n">
        <v>10</v>
      </c>
      <c r="I46" s="3" t="n">
        <v>10</v>
      </c>
      <c r="J46" s="3" t="n">
        <v>10</v>
      </c>
      <c r="K46" s="3" t="n">
        <v>10</v>
      </c>
      <c r="L46" s="3" t="n">
        <v>10</v>
      </c>
    </row>
    <row r="47" customFormat="false" ht="15" hidden="false" customHeight="false" outlineLevel="0" collapsed="false">
      <c r="A47" s="0" t="s">
        <v>104</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105</v>
      </c>
      <c r="B48" s="3" t="n">
        <v>8.5</v>
      </c>
    </row>
    <row r="49" customFormat="false" ht="15" hidden="false" customHeight="false" outlineLevel="0" collapsed="false">
      <c r="A49" s="0" t="s">
        <v>106</v>
      </c>
      <c r="B49" s="3" t="n">
        <v>1.5</v>
      </c>
    </row>
    <row r="50" customFormat="false" ht="15" hidden="false" customHeight="false" outlineLevel="0" collapsed="false">
      <c r="A50" s="0" t="s">
        <v>107</v>
      </c>
      <c r="B50" s="3" t="n">
        <v>13</v>
      </c>
    </row>
    <row r="51" customFormat="false" ht="15" hidden="false" customHeight="false" outlineLevel="0" collapsed="false">
      <c r="A51" s="0" t="s">
        <v>108</v>
      </c>
      <c r="B51" s="3" t="n">
        <v>-30</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-3.7</v>
      </c>
      <c r="D5" s="4" t="n">
        <f aca="false">Assumptions!D13</f>
        <v>-2</v>
      </c>
      <c r="E5" s="4" t="n">
        <f aca="false">Assumptions!E13</f>
        <v>0</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311402</v>
      </c>
      <c r="C6" s="0" t="n">
        <f aca="false">B6*(1+C5/100)</f>
        <v>299880.126</v>
      </c>
      <c r="D6" s="0" t="n">
        <f aca="false">C6*(1+D5/100)</f>
        <v>293882.52348</v>
      </c>
      <c r="E6" s="0" t="n">
        <f aca="false">D6*(1+E5/100)</f>
        <v>293882.52348</v>
      </c>
      <c r="F6" s="0" t="n">
        <f aca="false">E6*(1+F5/100)</f>
        <v>296821.3487148</v>
      </c>
      <c r="G6" s="0" t="n">
        <f aca="false">F6*(1+G5/100)</f>
        <v>299789.562201948</v>
      </c>
      <c r="H6" s="0" t="n">
        <f aca="false">G6*(1+H5/100)</f>
        <v>302787.457823967</v>
      </c>
      <c r="I6" s="0" t="n">
        <f aca="false">H6*(1+I5/100)</f>
        <v>305815.332402207</v>
      </c>
      <c r="J6" s="0" t="n">
        <f aca="false">I6*(1+J5/100)</f>
        <v>308873.485726229</v>
      </c>
      <c r="K6" s="0" t="n">
        <f aca="false">J6*(1+K5/100)</f>
        <v>311962.220583492</v>
      </c>
      <c r="L6" s="0" t="n">
        <f aca="false">K6*(1+L5/100)</f>
        <v>315081.842789326</v>
      </c>
    </row>
    <row r="7" customFormat="false" ht="15" hidden="false" customHeight="false" outlineLevel="0" collapsed="false">
      <c r="A7" s="0" t="s">
        <v>99</v>
      </c>
      <c r="C7" s="4" t="n">
        <f aca="false">Assumptions!C14</f>
        <v>14.5</v>
      </c>
      <c r="D7" s="4" t="n">
        <f aca="false">Assumptions!D14</f>
        <v>13.5</v>
      </c>
      <c r="E7" s="4" t="n">
        <f aca="false">Assumptions!E14</f>
        <v>13.5</v>
      </c>
      <c r="F7" s="4" t="n">
        <f aca="false">Assumptions!F14</f>
        <v>14</v>
      </c>
      <c r="G7" s="4" t="n">
        <f aca="false">Assumptions!G14</f>
        <v>14.5</v>
      </c>
      <c r="H7" s="4" t="n">
        <f aca="false">Assumptions!H14</f>
        <v>14.5</v>
      </c>
      <c r="I7" s="4" t="n">
        <f aca="false">Assumptions!I14</f>
        <v>14.5</v>
      </c>
      <c r="J7" s="4" t="n">
        <f aca="false">Assumptions!J14</f>
        <v>14.5</v>
      </c>
      <c r="K7" s="4" t="n">
        <f aca="false">Assumptions!K14</f>
        <v>14.5</v>
      </c>
      <c r="L7" s="4" t="n">
        <f aca="false">Assumptions!L14</f>
        <v>14.5</v>
      </c>
    </row>
    <row r="8" customFormat="false" ht="15" hidden="false" customHeight="false" outlineLevel="0" collapsed="false">
      <c r="A8" s="0" t="s">
        <v>43</v>
      </c>
      <c r="C8" s="0" t="n">
        <f aca="false">C6*C7/100</f>
        <v>43482.61827</v>
      </c>
      <c r="D8" s="0" t="n">
        <f aca="false">D6*D7/100</f>
        <v>39674.1406698</v>
      </c>
      <c r="E8" s="0" t="n">
        <f aca="false">E6*E7/100</f>
        <v>39674.1406698</v>
      </c>
      <c r="F8" s="0" t="n">
        <f aca="false">F6*F7/100</f>
        <v>41554.988820072</v>
      </c>
      <c r="G8" s="0" t="n">
        <f aca="false">G6*G7/100</f>
        <v>43469.4865192825</v>
      </c>
      <c r="H8" s="0" t="n">
        <f aca="false">H6*H7/100</f>
        <v>43904.1813844753</v>
      </c>
      <c r="I8" s="0" t="n">
        <f aca="false">I6*I7/100</f>
        <v>44343.22319832</v>
      </c>
      <c r="J8" s="0" t="n">
        <f aca="false">J6*J7/100</f>
        <v>44786.6554303032</v>
      </c>
      <c r="K8" s="0" t="n">
        <f aca="false">K6*K7/100</f>
        <v>45234.5219846063</v>
      </c>
      <c r="L8" s="0" t="n">
        <f aca="false">L6*L7/100</f>
        <v>45686.8672044523</v>
      </c>
    </row>
    <row r="9" customFormat="false" ht="15" hidden="false" customHeight="false" outlineLevel="0" collapsed="false">
      <c r="A9" s="0" t="s">
        <v>100</v>
      </c>
      <c r="C9" s="4" t="n">
        <f aca="false">Assumptions!C15</f>
        <v>0.01</v>
      </c>
      <c r="D9" s="4" t="n">
        <f aca="false">Assumptions!D15</f>
        <v>0.01</v>
      </c>
      <c r="E9" s="4" t="n">
        <f aca="false">Assumptions!E15</f>
        <v>0.01</v>
      </c>
      <c r="F9" s="4" t="n">
        <f aca="false">Assumptions!F15</f>
        <v>0.01</v>
      </c>
      <c r="G9" s="4" t="n">
        <f aca="false">Assumptions!G15</f>
        <v>0.01</v>
      </c>
      <c r="H9" s="4" t="n">
        <f aca="false">Assumptions!H15</f>
        <v>0.01</v>
      </c>
      <c r="I9" s="4" t="n">
        <f aca="false">Assumptions!I15</f>
        <v>0.01</v>
      </c>
      <c r="J9" s="4" t="n">
        <f aca="false">Assumptions!J15</f>
        <v>0.01</v>
      </c>
      <c r="K9" s="4" t="n">
        <f aca="false">Assumptions!K15</f>
        <v>0.01</v>
      </c>
      <c r="L9" s="4" t="n">
        <f aca="false">Assumptions!L15</f>
        <v>0.01</v>
      </c>
    </row>
    <row r="10" customFormat="false" ht="15" hidden="false" customHeight="false" outlineLevel="0" collapsed="false">
      <c r="A10" s="0" t="s">
        <v>115</v>
      </c>
      <c r="C10" s="0" t="n">
        <f aca="false">-C6*C9/100</f>
        <v>-29.9880126</v>
      </c>
      <c r="D10" s="0" t="n">
        <f aca="false">-D6*D9/100</f>
        <v>-29.388252348</v>
      </c>
      <c r="E10" s="0" t="n">
        <f aca="false">-E6*E9/100</f>
        <v>-29.388252348</v>
      </c>
      <c r="F10" s="0" t="n">
        <f aca="false">-F6*F9/100</f>
        <v>-29.68213487148</v>
      </c>
      <c r="G10" s="0" t="n">
        <f aca="false">-G6*G9/100</f>
        <v>-29.9789562201948</v>
      </c>
      <c r="H10" s="0" t="n">
        <f aca="false">-H6*H9/100</f>
        <v>-30.2787457823967</v>
      </c>
      <c r="I10" s="0" t="n">
        <f aca="false">-I6*I9/100</f>
        <v>-30.5815332402207</v>
      </c>
      <c r="J10" s="0" t="n">
        <f aca="false">-J6*J9/100</f>
        <v>-30.8873485726229</v>
      </c>
      <c r="K10" s="0" t="n">
        <f aca="false">-K6*K9/100</f>
        <v>-31.1962220583492</v>
      </c>
      <c r="L10" s="0" t="n">
        <f aca="false">-L6*L9/100</f>
        <v>-31.5081842789326</v>
      </c>
    </row>
    <row r="11" customFormat="false" ht="15" hidden="false" customHeight="false" outlineLevel="0" collapsed="false">
      <c r="A11" s="0" t="s">
        <v>116</v>
      </c>
      <c r="C11" s="0" t="n">
        <f aca="false">C8+C10+C24</f>
        <v>43452.6302574</v>
      </c>
      <c r="D11" s="0" t="n">
        <f aca="false">D8+D10+D24</f>
        <v>39644.752417452</v>
      </c>
      <c r="E11" s="0" t="n">
        <f aca="false">E8+E10+E24</f>
        <v>39644.752417452</v>
      </c>
      <c r="F11" s="0" t="n">
        <f aca="false">F8+F10+F24</f>
        <v>41525.3066852005</v>
      </c>
      <c r="G11" s="0" t="n">
        <f aca="false">G8+G10+G24</f>
        <v>43439.5075630623</v>
      </c>
      <c r="H11" s="0" t="n">
        <f aca="false">H8+H10+H24</f>
        <v>43873.9026386929</v>
      </c>
      <c r="I11" s="0" t="n">
        <f aca="false">I8+I10+I24</f>
        <v>44312.6416650798</v>
      </c>
      <c r="J11" s="0" t="n">
        <f aca="false">J8+J10+J24</f>
        <v>44755.7680817306</v>
      </c>
      <c r="K11" s="0" t="n">
        <f aca="false">K8+K10+K24</f>
        <v>45203.3257625479</v>
      </c>
      <c r="L11" s="0" t="n">
        <f aca="false">L8+L10+L24</f>
        <v>45655.3590201734</v>
      </c>
    </row>
    <row r="12" customFormat="false" ht="15" hidden="false" customHeight="false" outlineLevel="0" collapsed="false">
      <c r="A12" s="0" t="s">
        <v>117</v>
      </c>
      <c r="C12" s="4" t="n">
        <f aca="false">-C6*Assumptions!C17/100</f>
        <v>-26089.570962</v>
      </c>
      <c r="D12" s="4" t="n">
        <f aca="false">-D6*Assumptions!D17/100</f>
        <v>-25861.66206624</v>
      </c>
      <c r="E12" s="4" t="n">
        <f aca="false">-E6*Assumptions!E17/100</f>
        <v>-26449.4271132</v>
      </c>
      <c r="F12" s="4" t="n">
        <f aca="false">-F6*Assumptions!F17/100</f>
        <v>-27604.3854304764</v>
      </c>
      <c r="G12" s="4" t="n">
        <f aca="false">-G6*Assumptions!G17/100</f>
        <v>-28480.0084091851</v>
      </c>
      <c r="H12" s="4" t="n">
        <f aca="false">-H6*Assumptions!H17/100</f>
        <v>-29067.5959511009</v>
      </c>
      <c r="I12" s="4" t="n">
        <f aca="false">-I6*Assumptions!I17/100</f>
        <v>-29664.0872430141</v>
      </c>
      <c r="J12" s="4" t="n">
        <f aca="false">-J6*Assumptions!J17/100</f>
        <v>-30269.6016011705</v>
      </c>
      <c r="K12" s="4" t="n">
        <f aca="false">-K6*Assumptions!K17/100</f>
        <v>-30572.2976171822</v>
      </c>
      <c r="L12" s="4" t="n">
        <f aca="false">-L6*Assumptions!L17/100</f>
        <v>-30878.020593354</v>
      </c>
    </row>
    <row r="13" customFormat="false" ht="15" hidden="false" customHeight="false" outlineLevel="0" collapsed="false">
      <c r="A13" s="0" t="s">
        <v>118</v>
      </c>
      <c r="C13" s="0" t="n">
        <f aca="false">C11+C12</f>
        <v>17363.0592954</v>
      </c>
      <c r="D13" s="0" t="n">
        <f aca="false">D11+D12</f>
        <v>13783.090351212</v>
      </c>
      <c r="E13" s="0" t="n">
        <f aca="false">E11+E12</f>
        <v>13195.325304252</v>
      </c>
      <c r="F13" s="0" t="n">
        <f aca="false">F11+F12</f>
        <v>13920.9212547241</v>
      </c>
      <c r="G13" s="0" t="n">
        <f aca="false">G11+G12</f>
        <v>14959.4991538772</v>
      </c>
      <c r="H13" s="0" t="n">
        <f aca="false">H11+H12</f>
        <v>14806.306687592</v>
      </c>
      <c r="I13" s="0" t="n">
        <f aca="false">I11+I12</f>
        <v>14648.5544220657</v>
      </c>
      <c r="J13" s="0" t="n">
        <f aca="false">J11+J12</f>
        <v>14486.1664805601</v>
      </c>
      <c r="K13" s="0" t="n">
        <f aca="false">K11+K12</f>
        <v>14631.0281453657</v>
      </c>
      <c r="L13" s="0" t="n">
        <f aca="false">L11+L12</f>
        <v>14777.3384268194</v>
      </c>
    </row>
    <row r="14" customFormat="false" ht="15" hidden="false" customHeight="false" outlineLevel="0" collapsed="false">
      <c r="A14" s="0" t="s">
        <v>104</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119</v>
      </c>
      <c r="C15" s="0" t="n">
        <f aca="false">C13-MAX(0,C13)*C14/100</f>
        <v>12154.14150678</v>
      </c>
      <c r="D15" s="0" t="n">
        <f aca="false">D13-MAX(0,D13)*D14/100</f>
        <v>9648.1632458484</v>
      </c>
      <c r="E15" s="0" t="n">
        <f aca="false">E13-MAX(0,E13)*E14/100</f>
        <v>9236.7277129764</v>
      </c>
      <c r="F15" s="0" t="n">
        <f aca="false">F13-MAX(0,F13)*F14/100</f>
        <v>9744.64487830688</v>
      </c>
      <c r="G15" s="0" t="n">
        <f aca="false">G13-MAX(0,G13)*G14/100</f>
        <v>10471.649407714</v>
      </c>
      <c r="H15" s="0" t="n">
        <f aca="false">H13-MAX(0,H13)*H14/100</f>
        <v>10364.4146813144</v>
      </c>
      <c r="I15" s="0" t="n">
        <f aca="false">I13-MAX(0,I13)*I14/100</f>
        <v>10253.988095446</v>
      </c>
      <c r="J15" s="0" t="n">
        <f aca="false">J13-MAX(0,J13)*J14/100</f>
        <v>10140.3165363921</v>
      </c>
      <c r="K15" s="0" t="n">
        <f aca="false">K13-MAX(0,K13)*K14/100</f>
        <v>10241.719701756</v>
      </c>
      <c r="L15" s="0" t="n">
        <f aca="false">L13-MAX(0,L13)*L14/100</f>
        <v>10344.1368987736</v>
      </c>
    </row>
    <row r="16" customFormat="false" ht="15" hidden="false" customHeight="false" outlineLevel="0" collapsed="false">
      <c r="A16" s="0" t="s">
        <v>120</v>
      </c>
      <c r="C16" s="0" t="n">
        <f aca="false">-C12</f>
        <v>26089.570962</v>
      </c>
      <c r="D16" s="0" t="n">
        <f aca="false">-D12</f>
        <v>25861.66206624</v>
      </c>
      <c r="E16" s="0" t="n">
        <f aca="false">-E12</f>
        <v>26449.4271132</v>
      </c>
      <c r="F16" s="0" t="n">
        <f aca="false">-F12</f>
        <v>27604.3854304764</v>
      </c>
      <c r="G16" s="0" t="n">
        <f aca="false">-G12</f>
        <v>28480.0084091851</v>
      </c>
      <c r="H16" s="0" t="n">
        <f aca="false">-H12</f>
        <v>29067.5959511009</v>
      </c>
      <c r="I16" s="0" t="n">
        <f aca="false">-I12</f>
        <v>29664.0872430141</v>
      </c>
      <c r="J16" s="0" t="n">
        <f aca="false">-J12</f>
        <v>30269.6016011705</v>
      </c>
      <c r="K16" s="0" t="n">
        <f aca="false">-K12</f>
        <v>30572.2976171822</v>
      </c>
      <c r="L16" s="0" t="n">
        <f aca="false">-L12</f>
        <v>30878.020593354</v>
      </c>
    </row>
    <row r="17" customFormat="false" ht="15" hidden="false" customHeight="false" outlineLevel="0" collapsed="false">
      <c r="A17" s="0" t="s">
        <v>121</v>
      </c>
      <c r="C17" s="4" t="n">
        <f aca="false">-C6*Assumptions!C18/100</f>
        <v>-38984.41638</v>
      </c>
      <c r="D17" s="4" t="n">
        <f aca="false">-D6*Assumptions!D18/100</f>
        <v>-33796.4902002</v>
      </c>
      <c r="E17" s="4" t="n">
        <f aca="false">-E6*Assumptions!E18/100</f>
        <v>-32327.0775828</v>
      </c>
      <c r="F17" s="4" t="n">
        <f aca="false">-F6*Assumptions!F18/100</f>
        <v>-31166.241615054</v>
      </c>
      <c r="G17" s="4" t="n">
        <f aca="false">-G6*Assumptions!G18/100</f>
        <v>-31477.9040312045</v>
      </c>
      <c r="H17" s="4" t="n">
        <f aca="false">-H6*Assumptions!H18/100</f>
        <v>-30278.7457823967</v>
      </c>
      <c r="I17" s="4" t="n">
        <f aca="false">-I6*Assumptions!I18/100</f>
        <v>-30581.5332402207</v>
      </c>
      <c r="J17" s="4" t="n">
        <f aca="false">-J6*Assumptions!J18/100</f>
        <v>-30887.3485726229</v>
      </c>
      <c r="K17" s="4" t="n">
        <f aca="false">-K6*Assumptions!K18/100</f>
        <v>-31196.2220583492</v>
      </c>
      <c r="L17" s="4" t="n">
        <f aca="false">-L6*Assumptions!L18/100</f>
        <v>-31508.1842789326</v>
      </c>
    </row>
    <row r="18" customFormat="false" ht="15" hidden="false" customHeight="false" outlineLevel="0" collapsed="false">
      <c r="A18" s="0" t="s">
        <v>122</v>
      </c>
      <c r="C18" s="4" t="n">
        <f aca="false">(C6-B6)*Assumptions!$B$23/100</f>
        <v>3456.5622</v>
      </c>
      <c r="D18" s="4" t="n">
        <f aca="false">(D6-C6)*Assumptions!$B$23/100</f>
        <v>1799.280756</v>
      </c>
      <c r="E18" s="4" t="n">
        <f aca="false">(E6-D6)*Assumptions!$B$23/100</f>
        <v>-0</v>
      </c>
      <c r="F18" s="4" t="n">
        <f aca="false">(F6-E6)*Assumptions!$B$23/100</f>
        <v>-881.647570439999</v>
      </c>
      <c r="G18" s="4" t="n">
        <f aca="false">(G6-F6)*Assumptions!$B$23/100</f>
        <v>-890.464046144398</v>
      </c>
      <c r="H18" s="4" t="n">
        <f aca="false">(H6-G6)*Assumptions!$B$23/100</f>
        <v>-899.368686605845</v>
      </c>
      <c r="I18" s="4" t="n">
        <f aca="false">(I6-H6)*Assumptions!$B$23/100</f>
        <v>-908.362373471906</v>
      </c>
      <c r="J18" s="4" t="n">
        <f aca="false">(J6-I6)*Assumptions!$B$23/100</f>
        <v>-917.445997206622</v>
      </c>
      <c r="K18" s="4" t="n">
        <f aca="false">(K6-J6)*Assumptions!$B$23/100</f>
        <v>-926.620457178686</v>
      </c>
      <c r="L18" s="4" t="n">
        <f aca="false">(L6-K6)*Assumptions!$B$23/100</f>
        <v>-935.886661750468</v>
      </c>
    </row>
    <row r="19" customFormat="false" ht="15" hidden="false" customHeight="false" outlineLevel="0" collapsed="false">
      <c r="A19" s="0" t="s">
        <v>123</v>
      </c>
      <c r="C19" s="0" t="n">
        <f aca="false">C15+C16+C17+C18</f>
        <v>2715.85828878</v>
      </c>
      <c r="D19" s="0" t="n">
        <f aca="false">D15+D16+D17+D18</f>
        <v>3512.61586788841</v>
      </c>
      <c r="E19" s="0" t="n">
        <f aca="false">E15+E16+E17+E18</f>
        <v>3359.0772433764</v>
      </c>
      <c r="F19" s="0" t="n">
        <f aca="false">F15+F16+F17+F18</f>
        <v>5301.14112328928</v>
      </c>
      <c r="G19" s="0" t="n">
        <f aca="false">G15+G16+G17+G18</f>
        <v>6583.28973955016</v>
      </c>
      <c r="H19" s="0" t="n">
        <f aca="false">H15+H16+H17+H18</f>
        <v>8253.89616341269</v>
      </c>
      <c r="I19" s="0" t="n">
        <f aca="false">I15+I16+I17+I18</f>
        <v>8428.17972476748</v>
      </c>
      <c r="J19" s="0" t="n">
        <f aca="false">J15+J16+J17+J18</f>
        <v>8605.12356773302</v>
      </c>
      <c r="K19" s="0" t="n">
        <f aca="false">K15+K16+K17+K18</f>
        <v>8691.17480341035</v>
      </c>
      <c r="L19" s="0" t="n">
        <f aca="false">L15+L16+L17+L18</f>
        <v>8778.08655144447</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2503.09519703226</v>
      </c>
      <c r="D21" s="0" t="n">
        <f aca="false">D19*D20</f>
        <v>2983.81011946604</v>
      </c>
      <c r="E21" s="0" t="n">
        <f aca="false">E19*E20</f>
        <v>2629.84877709375</v>
      </c>
      <c r="F21" s="0" t="n">
        <f aca="false">F19*F20</f>
        <v>3825.16711184088</v>
      </c>
      <c r="G21" s="0" t="n">
        <f aca="false">G19*G20</f>
        <v>4378.18671146956</v>
      </c>
      <c r="H21" s="0" t="n">
        <f aca="false">H19*H20</f>
        <v>5059.18513159041</v>
      </c>
      <c r="I21" s="0" t="n">
        <f aca="false">I19*I20</f>
        <v>4761.30081556967</v>
      </c>
      <c r="J21" s="0" t="n">
        <f aca="false">J19*J20</f>
        <v>4480.42493554645</v>
      </c>
      <c r="K21" s="0" t="n">
        <f aca="false">K19*K20</f>
        <v>4170.71814276674</v>
      </c>
      <c r="L21" s="0" t="n">
        <f aca="false">L19*L20</f>
        <v>3882.41965363541</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8.5</v>
      </c>
    </row>
    <row r="28" customFormat="false" ht="15" hidden="false" customHeight="false" outlineLevel="0" collapsed="false">
      <c r="A28" s="0" t="s">
        <v>106</v>
      </c>
      <c r="B28" s="4" t="n">
        <f aca="false">Assumptions!$B$21</f>
        <v>0.5</v>
      </c>
    </row>
    <row r="29" customFormat="false" ht="15" hidden="false" customHeight="false" outlineLevel="0" collapsed="false">
      <c r="A29" s="0" t="s">
        <v>107</v>
      </c>
      <c r="B29" s="4" t="n">
        <f aca="false">Assumptions!$B$22</f>
        <v>13</v>
      </c>
    </row>
    <row r="30" customFormat="false" ht="15" hidden="false" customHeight="false" outlineLevel="0" collapsed="false">
      <c r="A30" s="0" t="s">
        <v>128</v>
      </c>
      <c r="B30" s="0" t="n">
        <f aca="false">SUM(C21:L21)</f>
        <v>38674.1565960112</v>
      </c>
    </row>
    <row r="31" customFormat="false" ht="15" hidden="false" customHeight="false" outlineLevel="0" collapsed="false">
      <c r="A31" s="0" t="s">
        <v>129</v>
      </c>
      <c r="B31" s="0" t="n">
        <f aca="false">L19</f>
        <v>8778.08655144447</v>
      </c>
    </row>
    <row r="32" customFormat="false" ht="15" hidden="false" customHeight="false" outlineLevel="0" collapsed="false">
      <c r="A32" s="0" t="s">
        <v>130</v>
      </c>
      <c r="B32" s="0" t="n">
        <f aca="false">IF(B27&gt;B28,B31*(1+B28/100)/((B27-B28)/100),B31*B29)</f>
        <v>110274.712302521</v>
      </c>
    </row>
    <row r="33" customFormat="false" ht="15" hidden="false" customHeight="false" outlineLevel="0" collapsed="false">
      <c r="A33" s="0" t="s">
        <v>131</v>
      </c>
      <c r="B33" s="0" t="n">
        <f aca="false">B31*B29</f>
        <v>114115.125168778</v>
      </c>
    </row>
    <row r="34" customFormat="false" ht="15" hidden="false" customHeight="false" outlineLevel="0" collapsed="false">
      <c r="A34" s="0" t="s">
        <v>132</v>
      </c>
      <c r="B34" s="0" t="n">
        <f aca="false">MAX(0,MIN(B32,B33))</f>
        <v>110274.712302521</v>
      </c>
    </row>
    <row r="35" customFormat="false" ht="15" hidden="false" customHeight="false" outlineLevel="0" collapsed="false">
      <c r="A35" s="0" t="s">
        <v>133</v>
      </c>
      <c r="B35" s="0" t="n">
        <f aca="false">B34/(1+B27/100)^L4</f>
        <v>48772.8968987948</v>
      </c>
    </row>
    <row r="36" customFormat="false" ht="15" hidden="false" customHeight="false" outlineLevel="0" collapsed="false">
      <c r="A36" s="0" t="s">
        <v>134</v>
      </c>
      <c r="B36" s="0" t="n">
        <f aca="false">B30+B35</f>
        <v>87447.053494806</v>
      </c>
    </row>
    <row r="37" customFormat="false" ht="15" hidden="false" customHeight="false" outlineLevel="0" collapsed="false">
      <c r="A37" s="0" t="s">
        <v>135</v>
      </c>
      <c r="B37" s="0" t="n">
        <f aca="false">B36+Assumptions!$B$5-Assumptions!$B$4</f>
        <v>152414.053494806</v>
      </c>
    </row>
    <row r="38" customFormat="false" ht="15" hidden="false" customHeight="false" outlineLevel="0" collapsed="false">
      <c r="A38" s="0" t="s">
        <v>136</v>
      </c>
      <c r="B38" s="0" t="n">
        <f aca="false">B37/Assumptions!$B$3*Assumptions!$B$10</f>
        <v>2103.59750317175</v>
      </c>
    </row>
    <row r="39" customFormat="false" ht="15" hidden="false" customHeight="false" outlineLevel="0" collapsed="false">
      <c r="A39" s="0" t="s">
        <v>137</v>
      </c>
      <c r="B39" s="4" t="n">
        <f aca="false">B38/Assumptions!$B$2-1</f>
        <v>-0.577506024669261</v>
      </c>
    </row>
    <row r="41" customFormat="false" ht="15" hidden="false" customHeight="false" outlineLevel="0" collapsed="false">
      <c r="A41" s="0" t="s">
        <v>138</v>
      </c>
      <c r="B41" s="0" t="n">
        <f aca="false">SUMPRODUCT(-C10:L10/(1+$B$27/100)^C4:L4)</f>
        <v>197.789925780634</v>
      </c>
    </row>
    <row r="42" customFormat="false" ht="15" hidden="false" customHeight="false" outlineLevel="0" collapsed="false">
      <c r="A42" s="0" t="s">
        <v>139</v>
      </c>
      <c r="B42" s="0" t="n">
        <f aca="false">IF(B27&gt;B28,-L10*(1+B28/100)/((B27-B28)/100),-L10*20)/(1+B27/100)^L4</f>
        <v>175.066105158388</v>
      </c>
    </row>
    <row r="43" customFormat="false" ht="15" hidden="false" customHeight="false" outlineLevel="0" collapsed="false">
      <c r="A43" s="0" t="s">
        <v>140</v>
      </c>
      <c r="B43" s="0" t="n">
        <f aca="false">(B37+B41+B42)/Assumptions!$B$3*Assumptions!$B$10</f>
        <v>2108.74361009392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60841.2205807013</v>
      </c>
    </row>
    <row r="47" customFormat="false" ht="15" hidden="false" customHeight="false" outlineLevel="0" collapsed="false">
      <c r="A47" s="0" t="s">
        <v>142</v>
      </c>
      <c r="B47" s="0" t="n">
        <f aca="false">(SUMPRODUCT(C19:L19/(1+B45/100)^C4:L4)+B46/(1+B45/100)^L4+Assumptions!$B$5-Assumptions!$B$4)/Assumptions!$B$3*Assumptions!$B$10</f>
        <v>1486.82741563026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-3.7</v>
      </c>
      <c r="D5" s="4" t="n">
        <f aca="false">Assumptions!D27</f>
        <v>3</v>
      </c>
      <c r="E5" s="4" t="n">
        <f aca="false">Assumptions!E27</f>
        <v>4</v>
      </c>
      <c r="F5" s="4" t="n">
        <f aca="false">Assumptions!F27</f>
        <v>3.5</v>
      </c>
      <c r="G5" s="4" t="n">
        <f aca="false">Assumptions!G27</f>
        <v>3</v>
      </c>
      <c r="H5" s="4" t="n">
        <f aca="false">Assumptions!H27</f>
        <v>2.5</v>
      </c>
      <c r="I5" s="4" t="n">
        <f aca="false">Assumptions!I27</f>
        <v>2</v>
      </c>
      <c r="J5" s="4" t="n">
        <f aca="false">Assumptions!J27</f>
        <v>1.5</v>
      </c>
      <c r="K5" s="4" t="n">
        <f aca="false">Assumptions!K27</f>
        <v>1.5</v>
      </c>
      <c r="L5" s="4" t="n">
        <f aca="false">Assumptions!L27</f>
        <v>1.5</v>
      </c>
    </row>
    <row r="6" customFormat="false" ht="15" hidden="false" customHeight="false" outlineLevel="0" collapsed="false">
      <c r="A6" s="0" t="s">
        <v>37</v>
      </c>
      <c r="B6" s="3" t="n">
        <v>311402</v>
      </c>
      <c r="C6" s="0" t="n">
        <f aca="false">B6*(1+C5/100)</f>
        <v>299880.126</v>
      </c>
      <c r="D6" s="0" t="n">
        <f aca="false">C6*(1+D5/100)</f>
        <v>308876.52978</v>
      </c>
      <c r="E6" s="0" t="n">
        <f aca="false">D6*(1+E5/100)</f>
        <v>321231.5909712</v>
      </c>
      <c r="F6" s="0" t="n">
        <f aca="false">E6*(1+F5/100)</f>
        <v>332474.696655192</v>
      </c>
      <c r="G6" s="0" t="n">
        <f aca="false">F6*(1+G5/100)</f>
        <v>342448.937554848</v>
      </c>
      <c r="H6" s="0" t="n">
        <f aca="false">G6*(1+H5/100)</f>
        <v>351010.160993719</v>
      </c>
      <c r="I6" s="0" t="n">
        <f aca="false">H6*(1+I5/100)</f>
        <v>358030.364213593</v>
      </c>
      <c r="J6" s="0" t="n">
        <f aca="false">I6*(1+J5/100)</f>
        <v>363400.819676797</v>
      </c>
      <c r="K6" s="0" t="n">
        <f aca="false">J6*(1+K5/100)</f>
        <v>368851.831971949</v>
      </c>
      <c r="L6" s="0" t="n">
        <f aca="false">K6*(1+L5/100)</f>
        <v>374384.609451528</v>
      </c>
    </row>
    <row r="7" customFormat="false" ht="15" hidden="false" customHeight="false" outlineLevel="0" collapsed="false">
      <c r="A7" s="0" t="s">
        <v>99</v>
      </c>
      <c r="C7" s="4" t="n">
        <f aca="false">Assumptions!C28</f>
        <v>15.3</v>
      </c>
      <c r="D7" s="4" t="n">
        <f aca="false">Assumptions!D28</f>
        <v>16</v>
      </c>
      <c r="E7" s="4" t="n">
        <f aca="false">Assumptions!E28</f>
        <v>16.5</v>
      </c>
      <c r="F7" s="4" t="n">
        <f aca="false">Assumptions!F28</f>
        <v>17</v>
      </c>
      <c r="G7" s="4" t="n">
        <f aca="false">Assumptions!G28</f>
        <v>17.5</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43</v>
      </c>
      <c r="C8" s="0" t="n">
        <f aca="false">C6*C7/100</f>
        <v>45881.659278</v>
      </c>
      <c r="D8" s="0" t="n">
        <f aca="false">D6*D7/100</f>
        <v>49420.2447648</v>
      </c>
      <c r="E8" s="0" t="n">
        <f aca="false">E6*E7/100</f>
        <v>53003.212510248</v>
      </c>
      <c r="F8" s="0" t="n">
        <f aca="false">F6*F7/100</f>
        <v>56520.6984313826</v>
      </c>
      <c r="G8" s="0" t="n">
        <f aca="false">G6*G7/100</f>
        <v>59928.5640720984</v>
      </c>
      <c r="H8" s="0" t="n">
        <f aca="false">H6*H7/100</f>
        <v>61426.7781739008</v>
      </c>
      <c r="I8" s="0" t="n">
        <f aca="false">I6*I7/100</f>
        <v>62655.3137373788</v>
      </c>
      <c r="J8" s="0" t="n">
        <f aca="false">J6*J7/100</f>
        <v>63595.1434434395</v>
      </c>
      <c r="K8" s="0" t="n">
        <f aca="false">K6*K7/100</f>
        <v>64549.0705950911</v>
      </c>
      <c r="L8" s="0" t="n">
        <f aca="false">L6*L7/100</f>
        <v>65517.3066540175</v>
      </c>
    </row>
    <row r="9" customFormat="false" ht="15" hidden="false" customHeight="false" outlineLevel="0" collapsed="false">
      <c r="A9" s="0" t="s">
        <v>100</v>
      </c>
      <c r="C9" s="4" t="n">
        <f aca="false">Assumptions!C29</f>
        <v>0.01</v>
      </c>
      <c r="D9" s="4" t="n">
        <f aca="false">Assumptions!D29</f>
        <v>0.01</v>
      </c>
      <c r="E9" s="4" t="n">
        <f aca="false">Assumptions!E29</f>
        <v>0.01</v>
      </c>
      <c r="F9" s="4" t="n">
        <f aca="false">Assumptions!F29</f>
        <v>0.01</v>
      </c>
      <c r="G9" s="4" t="n">
        <f aca="false">Assumptions!G29</f>
        <v>0.01</v>
      </c>
      <c r="H9" s="4" t="n">
        <f aca="false">Assumptions!H29</f>
        <v>0.01</v>
      </c>
      <c r="I9" s="4" t="n">
        <f aca="false">Assumptions!I29</f>
        <v>0.01</v>
      </c>
      <c r="J9" s="4" t="n">
        <f aca="false">Assumptions!J29</f>
        <v>0.01</v>
      </c>
      <c r="K9" s="4" t="n">
        <f aca="false">Assumptions!K29</f>
        <v>0.01</v>
      </c>
      <c r="L9" s="4" t="n">
        <f aca="false">Assumptions!L29</f>
        <v>0.01</v>
      </c>
    </row>
    <row r="10" customFormat="false" ht="15" hidden="false" customHeight="false" outlineLevel="0" collapsed="false">
      <c r="A10" s="0" t="s">
        <v>115</v>
      </c>
      <c r="C10" s="0" t="n">
        <f aca="false">-C6*C9/100</f>
        <v>-29.9880126</v>
      </c>
      <c r="D10" s="0" t="n">
        <f aca="false">-D6*D9/100</f>
        <v>-30.887652978</v>
      </c>
      <c r="E10" s="0" t="n">
        <f aca="false">-E6*E9/100</f>
        <v>-32.12315909712</v>
      </c>
      <c r="F10" s="0" t="n">
        <f aca="false">-F6*F9/100</f>
        <v>-33.2474696655192</v>
      </c>
      <c r="G10" s="0" t="n">
        <f aca="false">-G6*G9/100</f>
        <v>-34.2448937554848</v>
      </c>
      <c r="H10" s="0" t="n">
        <f aca="false">-H6*H9/100</f>
        <v>-35.1010160993719</v>
      </c>
      <c r="I10" s="0" t="n">
        <f aca="false">-I6*I9/100</f>
        <v>-35.8030364213593</v>
      </c>
      <c r="J10" s="0" t="n">
        <f aca="false">-J6*J9/100</f>
        <v>-36.3400819676797</v>
      </c>
      <c r="K10" s="0" t="n">
        <f aca="false">-K6*K9/100</f>
        <v>-36.8851831971949</v>
      </c>
      <c r="L10" s="0" t="n">
        <f aca="false">-L6*L9/100</f>
        <v>-37.4384609451528</v>
      </c>
    </row>
    <row r="11" customFormat="false" ht="15" hidden="false" customHeight="false" outlineLevel="0" collapsed="false">
      <c r="A11" s="0" t="s">
        <v>116</v>
      </c>
      <c r="C11" s="0" t="n">
        <f aca="false">C8+C10+C24</f>
        <v>45851.6712654</v>
      </c>
      <c r="D11" s="0" t="n">
        <f aca="false">D8+D10+D24</f>
        <v>49389.357111822</v>
      </c>
      <c r="E11" s="0" t="n">
        <f aca="false">E8+E10+E24</f>
        <v>52971.0893511509</v>
      </c>
      <c r="F11" s="0" t="n">
        <f aca="false">F8+F10+F24</f>
        <v>56487.4509617171</v>
      </c>
      <c r="G11" s="0" t="n">
        <f aca="false">G8+G10+G24</f>
        <v>59894.3191783429</v>
      </c>
      <c r="H11" s="0" t="n">
        <f aca="false">H8+H10+H24</f>
        <v>61391.6771578014</v>
      </c>
      <c r="I11" s="0" t="n">
        <f aca="false">I8+I10+I24</f>
        <v>62619.5107009575</v>
      </c>
      <c r="J11" s="0" t="n">
        <f aca="false">J8+J10+J24</f>
        <v>63558.8033614718</v>
      </c>
      <c r="K11" s="0" t="n">
        <f aca="false">K8+K10+K24</f>
        <v>64512.1854118939</v>
      </c>
      <c r="L11" s="0" t="n">
        <f aca="false">L8+L10+L24</f>
        <v>65479.8681930723</v>
      </c>
    </row>
    <row r="12" customFormat="false" ht="15" hidden="false" customHeight="false" outlineLevel="0" collapsed="false">
      <c r="A12" s="0" t="s">
        <v>117</v>
      </c>
      <c r="C12" s="4" t="n">
        <f aca="false">-C6*Assumptions!C31/100</f>
        <v>-26089.570962</v>
      </c>
      <c r="D12" s="4" t="n">
        <f aca="false">-D6*Assumptions!D31/100</f>
        <v>-27181.13462064</v>
      </c>
      <c r="E12" s="4" t="n">
        <f aca="false">-E6*Assumptions!E31/100</f>
        <v>-28910.843187408</v>
      </c>
      <c r="F12" s="4" t="n">
        <f aca="false">-F6*Assumptions!F31/100</f>
        <v>-30920.1467889329</v>
      </c>
      <c r="G12" s="4" t="n">
        <f aca="false">-G6*Assumptions!G31/100</f>
        <v>-32532.6490677105</v>
      </c>
      <c r="H12" s="4" t="n">
        <f aca="false">-H6*Assumptions!H31/100</f>
        <v>-33696.975455397</v>
      </c>
      <c r="I12" s="4" t="n">
        <f aca="false">-I6*Assumptions!I31/100</f>
        <v>-34728.9453287185</v>
      </c>
      <c r="J12" s="4" t="n">
        <f aca="false">-J6*Assumptions!J31/100</f>
        <v>-35613.2803283261</v>
      </c>
      <c r="K12" s="4" t="n">
        <f aca="false">-K6*Assumptions!K31/100</f>
        <v>-36147.479533251</v>
      </c>
      <c r="L12" s="4" t="n">
        <f aca="false">-L6*Assumptions!L31/100</f>
        <v>-36689.6917262498</v>
      </c>
    </row>
    <row r="13" customFormat="false" ht="15" hidden="false" customHeight="false" outlineLevel="0" collapsed="false">
      <c r="A13" s="0" t="s">
        <v>118</v>
      </c>
      <c r="C13" s="0" t="n">
        <f aca="false">C11+C12</f>
        <v>19762.1003034</v>
      </c>
      <c r="D13" s="0" t="n">
        <f aca="false">D11+D12</f>
        <v>22208.222491182</v>
      </c>
      <c r="E13" s="0" t="n">
        <f aca="false">E11+E12</f>
        <v>24060.2461637429</v>
      </c>
      <c r="F13" s="0" t="n">
        <f aca="false">F11+F12</f>
        <v>25567.3041727843</v>
      </c>
      <c r="G13" s="0" t="n">
        <f aca="false">G11+G12</f>
        <v>27361.6701106323</v>
      </c>
      <c r="H13" s="0" t="n">
        <f aca="false">H11+H12</f>
        <v>27694.7017024044</v>
      </c>
      <c r="I13" s="0" t="n">
        <f aca="false">I11+I12</f>
        <v>27890.5653722389</v>
      </c>
      <c r="J13" s="0" t="n">
        <f aca="false">J11+J12</f>
        <v>27945.5230331457</v>
      </c>
      <c r="K13" s="0" t="n">
        <f aca="false">K11+K12</f>
        <v>28364.7058786429</v>
      </c>
      <c r="L13" s="0" t="n">
        <f aca="false">L11+L12</f>
        <v>28790.1764668225</v>
      </c>
    </row>
    <row r="14" customFormat="false" ht="15" hidden="false" customHeight="false" outlineLevel="0" collapsed="false">
      <c r="A14" s="0" t="s">
        <v>104</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119</v>
      </c>
      <c r="C15" s="0" t="n">
        <f aca="false">C13-MAX(0,C13)*C14/100</f>
        <v>13833.47021238</v>
      </c>
      <c r="D15" s="0" t="n">
        <f aca="false">D13-MAX(0,D13)*D14/100</f>
        <v>15545.7557438274</v>
      </c>
      <c r="E15" s="0" t="n">
        <f aca="false">E13-MAX(0,E13)*E14/100</f>
        <v>16842.17231462</v>
      </c>
      <c r="F15" s="0" t="n">
        <f aca="false">F13-MAX(0,F13)*F14/100</f>
        <v>17897.112920949</v>
      </c>
      <c r="G15" s="0" t="n">
        <f aca="false">G13-MAX(0,G13)*G14/100</f>
        <v>19153.1690774426</v>
      </c>
      <c r="H15" s="0" t="n">
        <f aca="false">H13-MAX(0,H13)*H14/100</f>
        <v>19386.2911916831</v>
      </c>
      <c r="I15" s="0" t="n">
        <f aca="false">I13-MAX(0,I13)*I14/100</f>
        <v>19523.3957605672</v>
      </c>
      <c r="J15" s="0" t="n">
        <f aca="false">J13-MAX(0,J13)*J14/100</f>
        <v>19561.866123202</v>
      </c>
      <c r="K15" s="0" t="n">
        <f aca="false">K13-MAX(0,K13)*K14/100</f>
        <v>19855.29411505</v>
      </c>
      <c r="L15" s="0" t="n">
        <f aca="false">L13-MAX(0,L13)*L14/100</f>
        <v>20153.1235267758</v>
      </c>
    </row>
    <row r="16" customFormat="false" ht="15" hidden="false" customHeight="false" outlineLevel="0" collapsed="false">
      <c r="A16" s="0" t="s">
        <v>120</v>
      </c>
      <c r="C16" s="0" t="n">
        <f aca="false">-C12</f>
        <v>26089.570962</v>
      </c>
      <c r="D16" s="0" t="n">
        <f aca="false">-D12</f>
        <v>27181.13462064</v>
      </c>
      <c r="E16" s="0" t="n">
        <f aca="false">-E12</f>
        <v>28910.843187408</v>
      </c>
      <c r="F16" s="0" t="n">
        <f aca="false">-F12</f>
        <v>30920.1467889329</v>
      </c>
      <c r="G16" s="0" t="n">
        <f aca="false">-G12</f>
        <v>32532.6490677105</v>
      </c>
      <c r="H16" s="0" t="n">
        <f aca="false">-H12</f>
        <v>33696.975455397</v>
      </c>
      <c r="I16" s="0" t="n">
        <f aca="false">-I12</f>
        <v>34728.9453287185</v>
      </c>
      <c r="J16" s="0" t="n">
        <f aca="false">-J12</f>
        <v>35613.2803283261</v>
      </c>
      <c r="K16" s="0" t="n">
        <f aca="false">-K12</f>
        <v>36147.479533251</v>
      </c>
      <c r="L16" s="0" t="n">
        <f aca="false">-L12</f>
        <v>36689.6917262498</v>
      </c>
    </row>
    <row r="17" customFormat="false" ht="15" hidden="false" customHeight="false" outlineLevel="0" collapsed="false">
      <c r="A17" s="0" t="s">
        <v>121</v>
      </c>
      <c r="C17" s="4" t="n">
        <f aca="false">-C6*Assumptions!C32/100</f>
        <v>-38984.41638</v>
      </c>
      <c r="D17" s="4" t="n">
        <f aca="false">-D6*Assumptions!D32/100</f>
        <v>-37065.1835736</v>
      </c>
      <c r="E17" s="4" t="n">
        <f aca="false">-E6*Assumptions!E32/100</f>
        <v>-35335.475006832</v>
      </c>
      <c r="F17" s="4" t="n">
        <f aca="false">-F6*Assumptions!F32/100</f>
        <v>-34909.8431487952</v>
      </c>
      <c r="G17" s="4" t="n">
        <f aca="false">-G6*Assumptions!G32/100</f>
        <v>-35957.138443259</v>
      </c>
      <c r="H17" s="4" t="n">
        <f aca="false">-H6*Assumptions!H32/100</f>
        <v>-35101.0160993719</v>
      </c>
      <c r="I17" s="4" t="n">
        <f aca="false">-I6*Assumptions!I32/100</f>
        <v>-35803.0364213593</v>
      </c>
      <c r="J17" s="4" t="n">
        <f aca="false">-J6*Assumptions!J32/100</f>
        <v>-36340.0819676797</v>
      </c>
      <c r="K17" s="4" t="n">
        <f aca="false">-K6*Assumptions!K32/100</f>
        <v>-36885.1831971949</v>
      </c>
      <c r="L17" s="4" t="n">
        <f aca="false">-L6*Assumptions!L32/100</f>
        <v>-37438.4609451528</v>
      </c>
    </row>
    <row r="18" customFormat="false" ht="15" hidden="false" customHeight="false" outlineLevel="0" collapsed="false">
      <c r="A18" s="0" t="s">
        <v>122</v>
      </c>
      <c r="C18" s="4" t="n">
        <f aca="false">(C6-B6)*Assumptions!$B$37/100</f>
        <v>3456.5622</v>
      </c>
      <c r="D18" s="4" t="n">
        <f aca="false">(D6-C6)*Assumptions!$B$37/100</f>
        <v>-2698.921134</v>
      </c>
      <c r="E18" s="4" t="n">
        <f aca="false">(E6-D6)*Assumptions!$B$37/100</f>
        <v>-3706.51835736</v>
      </c>
      <c r="F18" s="4" t="n">
        <f aca="false">(F6-E6)*Assumptions!$B$37/100</f>
        <v>-3372.93170519759</v>
      </c>
      <c r="G18" s="4" t="n">
        <f aca="false">(G6-F6)*Assumptions!$B$37/100</f>
        <v>-2992.27226989674</v>
      </c>
      <c r="H18" s="4" t="n">
        <f aca="false">(H6-G6)*Assumptions!$B$37/100</f>
        <v>-2568.36703166135</v>
      </c>
      <c r="I18" s="4" t="n">
        <f aca="false">(I6-H6)*Assumptions!$B$37/100</f>
        <v>-2106.06096596232</v>
      </c>
      <c r="J18" s="4" t="n">
        <f aca="false">(J6-I6)*Assumptions!$B$37/100</f>
        <v>-1611.13663896117</v>
      </c>
      <c r="K18" s="4" t="n">
        <f aca="false">(K6-J6)*Assumptions!$B$37/100</f>
        <v>-1635.30368854558</v>
      </c>
      <c r="L18" s="4" t="n">
        <f aca="false">(L6-K6)*Assumptions!$B$37/100</f>
        <v>-1659.83324387376</v>
      </c>
    </row>
    <row r="19" customFormat="false" ht="15" hidden="false" customHeight="false" outlineLevel="0" collapsed="false">
      <c r="A19" s="0" t="s">
        <v>123</v>
      </c>
      <c r="C19" s="0" t="n">
        <f aca="false">C15+C16+C17+C18</f>
        <v>4395.18699438001</v>
      </c>
      <c r="D19" s="0" t="n">
        <f aca="false">D15+D16+D17+D18</f>
        <v>2962.78565686739</v>
      </c>
      <c r="E19" s="0" t="n">
        <f aca="false">E15+E16+E17+E18</f>
        <v>6711.02213783601</v>
      </c>
      <c r="F19" s="0" t="n">
        <f aca="false">F15+F16+F17+F18</f>
        <v>10534.4848558891</v>
      </c>
      <c r="G19" s="0" t="n">
        <f aca="false">G15+G16+G17+G18</f>
        <v>12736.4074319974</v>
      </c>
      <c r="H19" s="0" t="n">
        <f aca="false">H15+H16+H17+H18</f>
        <v>15413.8835160469</v>
      </c>
      <c r="I19" s="0" t="n">
        <f aca="false">I15+I16+I17+I18</f>
        <v>16343.2437019641</v>
      </c>
      <c r="J19" s="0" t="n">
        <f aca="false">J15+J16+J17+J18</f>
        <v>17223.9278448872</v>
      </c>
      <c r="K19" s="0" t="n">
        <f aca="false">K15+K16+K17+K18</f>
        <v>17482.2867625605</v>
      </c>
      <c r="L19" s="0" t="n">
        <f aca="false">L15+L16+L17+L18</f>
        <v>17744.521063999</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4050.86358929033</v>
      </c>
      <c r="D21" s="0" t="n">
        <f aca="false">D19*D20</f>
        <v>2516.75393987334</v>
      </c>
      <c r="E21" s="0" t="n">
        <f aca="false">E19*E20</f>
        <v>5254.11358045972</v>
      </c>
      <c r="F21" s="0" t="n">
        <f aca="false">F19*F20</f>
        <v>7601.41337001976</v>
      </c>
      <c r="G21" s="0" t="n">
        <f aca="false">G19*G20</f>
        <v>8470.2894717867</v>
      </c>
      <c r="H21" s="0" t="n">
        <f aca="false">H19*H20</f>
        <v>9447.86422806272</v>
      </c>
      <c r="I21" s="0" t="n">
        <f aca="false">I19*I20</f>
        <v>9232.72902434013</v>
      </c>
      <c r="J21" s="0" t="n">
        <f aca="false">J19*J20</f>
        <v>8967.9729985116</v>
      </c>
      <c r="K21" s="0" t="n">
        <f aca="false">K19*K20</f>
        <v>8389.39409538182</v>
      </c>
      <c r="L21" s="0" t="n">
        <f aca="false">L19*L20</f>
        <v>7848.14286342171</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8.5</v>
      </c>
    </row>
    <row r="28" customFormat="false" ht="15" hidden="false" customHeight="false" outlineLevel="0" collapsed="false">
      <c r="A28" s="0" t="s">
        <v>106</v>
      </c>
      <c r="B28" s="4" t="n">
        <f aca="false">Assumptions!$B$35</f>
        <v>1</v>
      </c>
    </row>
    <row r="29" customFormat="false" ht="15" hidden="false" customHeight="false" outlineLevel="0" collapsed="false">
      <c r="A29" s="0" t="s">
        <v>107</v>
      </c>
      <c r="B29" s="4" t="n">
        <f aca="false">Assumptions!$B$36</f>
        <v>13</v>
      </c>
    </row>
    <row r="30" customFormat="false" ht="15" hidden="false" customHeight="false" outlineLevel="0" collapsed="false">
      <c r="A30" s="0" t="s">
        <v>128</v>
      </c>
      <c r="B30" s="0" t="n">
        <f aca="false">SUM(C21:L21)</f>
        <v>71779.5371611478</v>
      </c>
    </row>
    <row r="31" customFormat="false" ht="15" hidden="false" customHeight="false" outlineLevel="0" collapsed="false">
      <c r="A31" s="0" t="s">
        <v>129</v>
      </c>
      <c r="B31" s="0" t="n">
        <f aca="false">L19</f>
        <v>17744.521063999</v>
      </c>
    </row>
    <row r="32" customFormat="false" ht="15" hidden="false" customHeight="false" outlineLevel="0" collapsed="false">
      <c r="A32" s="0" t="s">
        <v>130</v>
      </c>
      <c r="B32" s="0" t="n">
        <f aca="false">IF(B27&gt;B28,B31*(1+B28/100)/((B27-B28)/100),B31*B29)</f>
        <v>238959.550328519</v>
      </c>
    </row>
    <row r="33" customFormat="false" ht="15" hidden="false" customHeight="false" outlineLevel="0" collapsed="false">
      <c r="A33" s="0" t="s">
        <v>131</v>
      </c>
      <c r="B33" s="0" t="n">
        <f aca="false">B31*B29</f>
        <v>230678.773831986</v>
      </c>
    </row>
    <row r="34" customFormat="false" ht="15" hidden="false" customHeight="false" outlineLevel="0" collapsed="false">
      <c r="A34" s="0" t="s">
        <v>132</v>
      </c>
      <c r="B34" s="0" t="n">
        <f aca="false">MAX(0,MIN(B32,B33))</f>
        <v>230678.773831986</v>
      </c>
    </row>
    <row r="35" customFormat="false" ht="15" hidden="false" customHeight="false" outlineLevel="0" collapsed="false">
      <c r="A35" s="0" t="s">
        <v>133</v>
      </c>
      <c r="B35" s="0" t="n">
        <f aca="false">B34/(1+B27/100)^L4</f>
        <v>102025.857224482</v>
      </c>
    </row>
    <row r="36" customFormat="false" ht="15" hidden="false" customHeight="false" outlineLevel="0" collapsed="false">
      <c r="A36" s="0" t="s">
        <v>134</v>
      </c>
      <c r="B36" s="0" t="n">
        <f aca="false">B30+B35</f>
        <v>173805.39438563</v>
      </c>
    </row>
    <row r="37" customFormat="false" ht="15" hidden="false" customHeight="false" outlineLevel="0" collapsed="false">
      <c r="A37" s="0" t="s">
        <v>135</v>
      </c>
      <c r="B37" s="0" t="n">
        <f aca="false">B36+Assumptions!$B$5-Assumptions!$B$4</f>
        <v>238772.39438563</v>
      </c>
    </row>
    <row r="38" customFormat="false" ht="15" hidden="false" customHeight="false" outlineLevel="0" collapsed="false">
      <c r="A38" s="0" t="s">
        <v>136</v>
      </c>
      <c r="B38" s="0" t="n">
        <f aca="false">B37/Assumptions!$B$3*Assumptions!$B$10</f>
        <v>3295.50327636335</v>
      </c>
    </row>
    <row r="39" customFormat="false" ht="15" hidden="false" customHeight="false" outlineLevel="0" collapsed="false">
      <c r="A39" s="0" t="s">
        <v>137</v>
      </c>
      <c r="B39" s="4" t="n">
        <f aca="false">B38/Assumptions!$B$2-1</f>
        <v>-0.33811944640222</v>
      </c>
    </row>
    <row r="41" customFormat="false" ht="15" hidden="false" customHeight="false" outlineLevel="0" collapsed="false">
      <c r="A41" s="0" t="s">
        <v>138</v>
      </c>
      <c r="B41" s="0" t="n">
        <f aca="false">SUMPRODUCT(-C10:L10/(1+$B$27/100)^C4:L4)</f>
        <v>220.711991391309</v>
      </c>
    </row>
    <row r="42" customFormat="false" ht="15" hidden="false" customHeight="false" outlineLevel="0" collapsed="false">
      <c r="A42" s="0" t="s">
        <v>139</v>
      </c>
      <c r="B42" s="0" t="n">
        <f aca="false">IF(B27&gt;B28,-L10*(1+B28/100)/((B27-B28)/100),-L10*20)/(1+B27/100)^L4</f>
        <v>222.987601197923</v>
      </c>
    </row>
    <row r="43" customFormat="false" ht="15" hidden="false" customHeight="false" outlineLevel="0" collapsed="false">
      <c r="A43" s="0" t="s">
        <v>140</v>
      </c>
      <c r="B43" s="0" t="n">
        <f aca="false">(B37+B41+B42)/Assumptions!$B$3*Assumptions!$B$10</f>
        <v>3301.62715624009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128014.04481885</v>
      </c>
    </row>
    <row r="47" customFormat="false" ht="15" hidden="false" customHeight="false" outlineLevel="0" collapsed="false">
      <c r="A47" s="0" t="s">
        <v>142</v>
      </c>
      <c r="B47" s="0" t="n">
        <f aca="false">(SUMPRODUCT(C19:L19/(1+B45/100)^C4:L4)+B46/(1+B45/100)^L4+Assumptions!$B$5-Assumptions!$B$4)/Assumptions!$B$3*Assumptions!$B$10</f>
        <v>2032.10901284203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-3.7</v>
      </c>
      <c r="D5" s="4" t="n">
        <f aca="false">Assumptions!D41</f>
        <v>6</v>
      </c>
      <c r="E5" s="4" t="n">
        <f aca="false">Assumptions!E41</f>
        <v>7</v>
      </c>
      <c r="F5" s="4" t="n">
        <f aca="false">Assumptions!F41</f>
        <v>6</v>
      </c>
      <c r="G5" s="4" t="n">
        <f aca="false">Assumptions!G41</f>
        <v>5</v>
      </c>
      <c r="H5" s="4" t="n">
        <f aca="false">Assumptions!H41</f>
        <v>4</v>
      </c>
      <c r="I5" s="4" t="n">
        <f aca="false">Assumptions!I41</f>
        <v>3</v>
      </c>
      <c r="J5" s="4" t="n">
        <f aca="false">Assumptions!J41</f>
        <v>2.5</v>
      </c>
      <c r="K5" s="4" t="n">
        <f aca="false">Assumptions!K41</f>
        <v>2</v>
      </c>
      <c r="L5" s="4" t="n">
        <f aca="false">Assumptions!L41</f>
        <v>2</v>
      </c>
    </row>
    <row r="6" customFormat="false" ht="15" hidden="false" customHeight="false" outlineLevel="0" collapsed="false">
      <c r="A6" s="0" t="s">
        <v>37</v>
      </c>
      <c r="B6" s="3" t="n">
        <v>311402</v>
      </c>
      <c r="C6" s="0" t="n">
        <f aca="false">B6*(1+C5/100)</f>
        <v>299880.126</v>
      </c>
      <c r="D6" s="0" t="n">
        <f aca="false">C6*(1+D5/100)</f>
        <v>317872.93356</v>
      </c>
      <c r="E6" s="0" t="n">
        <f aca="false">D6*(1+E5/100)</f>
        <v>340124.0389092</v>
      </c>
      <c r="F6" s="0" t="n">
        <f aca="false">E6*(1+F5/100)</f>
        <v>360531.481243752</v>
      </c>
      <c r="G6" s="0" t="n">
        <f aca="false">F6*(1+G5/100)</f>
        <v>378558.05530594</v>
      </c>
      <c r="H6" s="0" t="n">
        <f aca="false">G6*(1+H5/100)</f>
        <v>393700.377518177</v>
      </c>
      <c r="I6" s="0" t="n">
        <f aca="false">H6*(1+I5/100)</f>
        <v>405511.388843723</v>
      </c>
      <c r="J6" s="0" t="n">
        <f aca="false">I6*(1+J5/100)</f>
        <v>415649.173564816</v>
      </c>
      <c r="K6" s="0" t="n">
        <f aca="false">J6*(1+K5/100)</f>
        <v>423962.157036112</v>
      </c>
      <c r="L6" s="0" t="n">
        <f aca="false">K6*(1+L5/100)</f>
        <v>432441.400176834</v>
      </c>
    </row>
    <row r="7" customFormat="false" ht="15" hidden="false" customHeight="false" outlineLevel="0" collapsed="false">
      <c r="A7" s="0" t="s">
        <v>99</v>
      </c>
      <c r="C7" s="4" t="n">
        <f aca="false">Assumptions!C42</f>
        <v>15.5</v>
      </c>
      <c r="D7" s="4" t="n">
        <f aca="false">Assumptions!D42</f>
        <v>18</v>
      </c>
      <c r="E7" s="4" t="n">
        <f aca="false">Assumptions!E42</f>
        <v>19.5</v>
      </c>
      <c r="F7" s="4" t="n">
        <f aca="false">Assumptions!F42</f>
        <v>20.5</v>
      </c>
      <c r="G7" s="4" t="n">
        <f aca="false">Assumptions!G42</f>
        <v>21</v>
      </c>
      <c r="H7" s="4" t="n">
        <f aca="false">Assumptions!H42</f>
        <v>21</v>
      </c>
      <c r="I7" s="4" t="n">
        <f aca="false">Assumptions!I42</f>
        <v>21</v>
      </c>
      <c r="J7" s="4" t="n">
        <f aca="false">Assumptions!J42</f>
        <v>21</v>
      </c>
      <c r="K7" s="4" t="n">
        <f aca="false">Assumptions!K42</f>
        <v>21</v>
      </c>
      <c r="L7" s="4" t="n">
        <f aca="false">Assumptions!L42</f>
        <v>21</v>
      </c>
    </row>
    <row r="8" customFormat="false" ht="15" hidden="false" customHeight="false" outlineLevel="0" collapsed="false">
      <c r="A8" s="0" t="s">
        <v>43</v>
      </c>
      <c r="C8" s="0" t="n">
        <f aca="false">C6*C7/100</f>
        <v>46481.41953</v>
      </c>
      <c r="D8" s="0" t="n">
        <f aca="false">D6*D7/100</f>
        <v>57217.1280408</v>
      </c>
      <c r="E8" s="0" t="n">
        <f aca="false">E6*E7/100</f>
        <v>66324.187587294</v>
      </c>
      <c r="F8" s="0" t="n">
        <f aca="false">F6*F7/100</f>
        <v>73908.9536549692</v>
      </c>
      <c r="G8" s="0" t="n">
        <f aca="false">G6*G7/100</f>
        <v>79497.1916142473</v>
      </c>
      <c r="H8" s="0" t="n">
        <f aca="false">H6*H7/100</f>
        <v>82677.0792788172</v>
      </c>
      <c r="I8" s="0" t="n">
        <f aca="false">I6*I7/100</f>
        <v>85157.3916571817</v>
      </c>
      <c r="J8" s="0" t="n">
        <f aca="false">J6*J7/100</f>
        <v>87286.3264486113</v>
      </c>
      <c r="K8" s="0" t="n">
        <f aca="false">K6*K7/100</f>
        <v>89032.0529775835</v>
      </c>
      <c r="L8" s="0" t="n">
        <f aca="false">L6*L7/100</f>
        <v>90812.6940371352</v>
      </c>
    </row>
    <row r="9" customFormat="false" ht="15" hidden="false" customHeight="false" outlineLevel="0" collapsed="false">
      <c r="A9" s="0" t="s">
        <v>100</v>
      </c>
      <c r="C9" s="4" t="n">
        <f aca="false">Assumptions!C43</f>
        <v>0.01</v>
      </c>
      <c r="D9" s="4" t="n">
        <f aca="false">Assumptions!D43</f>
        <v>0.01</v>
      </c>
      <c r="E9" s="4" t="n">
        <f aca="false">Assumptions!E43</f>
        <v>0.01</v>
      </c>
      <c r="F9" s="4" t="n">
        <f aca="false">Assumptions!F43</f>
        <v>0.01</v>
      </c>
      <c r="G9" s="4" t="n">
        <f aca="false">Assumptions!G43</f>
        <v>0.01</v>
      </c>
      <c r="H9" s="4" t="n">
        <f aca="false">Assumptions!H43</f>
        <v>0.01</v>
      </c>
      <c r="I9" s="4" t="n">
        <f aca="false">Assumptions!I43</f>
        <v>0.01</v>
      </c>
      <c r="J9" s="4" t="n">
        <f aca="false">Assumptions!J43</f>
        <v>0.01</v>
      </c>
      <c r="K9" s="4" t="n">
        <f aca="false">Assumptions!K43</f>
        <v>0.01</v>
      </c>
      <c r="L9" s="4" t="n">
        <f aca="false">Assumptions!L43</f>
        <v>0.01</v>
      </c>
    </row>
    <row r="10" customFormat="false" ht="15" hidden="false" customHeight="false" outlineLevel="0" collapsed="false">
      <c r="A10" s="0" t="s">
        <v>115</v>
      </c>
      <c r="C10" s="0" t="n">
        <f aca="false">-C6*C9/100</f>
        <v>-29.9880126</v>
      </c>
      <c r="D10" s="0" t="n">
        <f aca="false">-D6*D9/100</f>
        <v>-31.787293356</v>
      </c>
      <c r="E10" s="0" t="n">
        <f aca="false">-E6*E9/100</f>
        <v>-34.01240389092</v>
      </c>
      <c r="F10" s="0" t="n">
        <f aca="false">-F6*F9/100</f>
        <v>-36.0531481243752</v>
      </c>
      <c r="G10" s="0" t="n">
        <f aca="false">-G6*G9/100</f>
        <v>-37.855805530594</v>
      </c>
      <c r="H10" s="0" t="n">
        <f aca="false">-H6*H9/100</f>
        <v>-39.3700377518177</v>
      </c>
      <c r="I10" s="0" t="n">
        <f aca="false">-I6*I9/100</f>
        <v>-40.5511388843723</v>
      </c>
      <c r="J10" s="0" t="n">
        <f aca="false">-J6*J9/100</f>
        <v>-41.5649173564816</v>
      </c>
      <c r="K10" s="0" t="n">
        <f aca="false">-K6*K9/100</f>
        <v>-42.3962157036112</v>
      </c>
      <c r="L10" s="0" t="n">
        <f aca="false">-L6*L9/100</f>
        <v>-43.2441400176834</v>
      </c>
    </row>
    <row r="11" customFormat="false" ht="15" hidden="false" customHeight="false" outlineLevel="0" collapsed="false">
      <c r="A11" s="0" t="s">
        <v>116</v>
      </c>
      <c r="C11" s="0" t="n">
        <f aca="false">C8+C10+C24</f>
        <v>46451.4315174</v>
      </c>
      <c r="D11" s="0" t="n">
        <f aca="false">D8+D10+D24</f>
        <v>57185.340747444</v>
      </c>
      <c r="E11" s="0" t="n">
        <f aca="false">E8+E10+E24</f>
        <v>66290.1751834031</v>
      </c>
      <c r="F11" s="0" t="n">
        <f aca="false">F8+F10+F24</f>
        <v>73872.9005068448</v>
      </c>
      <c r="G11" s="0" t="n">
        <f aca="false">G8+G10+G24</f>
        <v>79459.3358087167</v>
      </c>
      <c r="H11" s="0" t="n">
        <f aca="false">H8+H10+H24</f>
        <v>82637.7092410654</v>
      </c>
      <c r="I11" s="0" t="n">
        <f aca="false">I8+I10+I24</f>
        <v>85116.8405182974</v>
      </c>
      <c r="J11" s="0" t="n">
        <f aca="false">J8+J10+J24</f>
        <v>87244.7615312548</v>
      </c>
      <c r="K11" s="0" t="n">
        <f aca="false">K8+K10+K24</f>
        <v>88989.6567618799</v>
      </c>
      <c r="L11" s="0" t="n">
        <f aca="false">L8+L10+L24</f>
        <v>90769.4498971175</v>
      </c>
    </row>
    <row r="12" customFormat="false" ht="15" hidden="false" customHeight="false" outlineLevel="0" collapsed="false">
      <c r="A12" s="0" t="s">
        <v>117</v>
      </c>
      <c r="C12" s="4" t="n">
        <f aca="false">-C6*Assumptions!C45/100</f>
        <v>-26089.570962</v>
      </c>
      <c r="D12" s="4" t="n">
        <f aca="false">-D6*Assumptions!D45/100</f>
        <v>-27972.81815328</v>
      </c>
      <c r="E12" s="4" t="n">
        <f aca="false">-E6*Assumptions!E45/100</f>
        <v>-30611.163501828</v>
      </c>
      <c r="F12" s="4" t="n">
        <f aca="false">-F6*Assumptions!F45/100</f>
        <v>-33529.4277556689</v>
      </c>
      <c r="G12" s="4" t="n">
        <f aca="false">-G6*Assumptions!G45/100</f>
        <v>-35963.0152540643</v>
      </c>
      <c r="H12" s="4" t="n">
        <f aca="false">-H6*Assumptions!H45/100</f>
        <v>-37795.236241745</v>
      </c>
      <c r="I12" s="4" t="n">
        <f aca="false">-I6*Assumptions!I45/100</f>
        <v>-39334.6047178411</v>
      </c>
      <c r="J12" s="4" t="n">
        <f aca="false">-J6*Assumptions!J45/100</f>
        <v>-40733.6190093519</v>
      </c>
      <c r="K12" s="4" t="n">
        <f aca="false">-K6*Assumptions!K45/100</f>
        <v>-41548.291389539</v>
      </c>
      <c r="L12" s="4" t="n">
        <f aca="false">-L6*Assumptions!L45/100</f>
        <v>-42379.2572173297</v>
      </c>
    </row>
    <row r="13" customFormat="false" ht="15" hidden="false" customHeight="false" outlineLevel="0" collapsed="false">
      <c r="A13" s="0" t="s">
        <v>118</v>
      </c>
      <c r="C13" s="0" t="n">
        <f aca="false">C11+C12</f>
        <v>20361.8605554</v>
      </c>
      <c r="D13" s="0" t="n">
        <f aca="false">D11+D12</f>
        <v>29212.522594164</v>
      </c>
      <c r="E13" s="0" t="n">
        <f aca="false">E11+E12</f>
        <v>35679.0116815751</v>
      </c>
      <c r="F13" s="0" t="n">
        <f aca="false">F11+F12</f>
        <v>40343.4727511758</v>
      </c>
      <c r="G13" s="0" t="n">
        <f aca="false">G11+G12</f>
        <v>43496.3205546525</v>
      </c>
      <c r="H13" s="0" t="n">
        <f aca="false">H11+H12</f>
        <v>44842.4729993204</v>
      </c>
      <c r="I13" s="0" t="n">
        <f aca="false">I11+I12</f>
        <v>45782.2358004563</v>
      </c>
      <c r="J13" s="0" t="n">
        <f aca="false">J11+J12</f>
        <v>46511.1425219029</v>
      </c>
      <c r="K13" s="0" t="n">
        <f aca="false">K11+K12</f>
        <v>47441.3653723409</v>
      </c>
      <c r="L13" s="0" t="n">
        <f aca="false">L11+L12</f>
        <v>48390.1926797877</v>
      </c>
    </row>
    <row r="14" customFormat="false" ht="15" hidden="false" customHeight="false" outlineLevel="0" collapsed="false">
      <c r="A14" s="0" t="s">
        <v>104</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119</v>
      </c>
      <c r="C15" s="0" t="n">
        <f aca="false">C13-MAX(0,C13)*C14/100</f>
        <v>14253.30238878</v>
      </c>
      <c r="D15" s="0" t="n">
        <f aca="false">D13-MAX(0,D13)*D14/100</f>
        <v>20448.7658159148</v>
      </c>
      <c r="E15" s="0" t="n">
        <f aca="false">E13-MAX(0,E13)*E14/100</f>
        <v>24975.3081771026</v>
      </c>
      <c r="F15" s="0" t="n">
        <f aca="false">F13-MAX(0,F13)*F14/100</f>
        <v>28240.4309258231</v>
      </c>
      <c r="G15" s="0" t="n">
        <f aca="false">G13-MAX(0,G13)*G14/100</f>
        <v>30447.4243882567</v>
      </c>
      <c r="H15" s="0" t="n">
        <f aca="false">H13-MAX(0,H13)*H14/100</f>
        <v>31389.7310995243</v>
      </c>
      <c r="I15" s="0" t="n">
        <f aca="false">I13-MAX(0,I13)*I14/100</f>
        <v>32047.5650603194</v>
      </c>
      <c r="J15" s="0" t="n">
        <f aca="false">J13-MAX(0,J13)*J14/100</f>
        <v>32557.799765332</v>
      </c>
      <c r="K15" s="0" t="n">
        <f aca="false">K13-MAX(0,K13)*K14/100</f>
        <v>33208.9557606386</v>
      </c>
      <c r="L15" s="0" t="n">
        <f aca="false">L13-MAX(0,L13)*L14/100</f>
        <v>33873.1348758514</v>
      </c>
    </row>
    <row r="16" customFormat="false" ht="15" hidden="false" customHeight="false" outlineLevel="0" collapsed="false">
      <c r="A16" s="0" t="s">
        <v>120</v>
      </c>
      <c r="C16" s="0" t="n">
        <f aca="false">-C12</f>
        <v>26089.570962</v>
      </c>
      <c r="D16" s="0" t="n">
        <f aca="false">-D12</f>
        <v>27972.81815328</v>
      </c>
      <c r="E16" s="0" t="n">
        <f aca="false">-E12</f>
        <v>30611.163501828</v>
      </c>
      <c r="F16" s="0" t="n">
        <f aca="false">-F12</f>
        <v>33529.4277556689</v>
      </c>
      <c r="G16" s="0" t="n">
        <f aca="false">-G12</f>
        <v>35963.0152540643</v>
      </c>
      <c r="H16" s="0" t="n">
        <f aca="false">-H12</f>
        <v>37795.236241745</v>
      </c>
      <c r="I16" s="0" t="n">
        <f aca="false">-I12</f>
        <v>39334.6047178411</v>
      </c>
      <c r="J16" s="0" t="n">
        <f aca="false">-J12</f>
        <v>40733.6190093519</v>
      </c>
      <c r="K16" s="0" t="n">
        <f aca="false">-K12</f>
        <v>41548.291389539</v>
      </c>
      <c r="L16" s="0" t="n">
        <f aca="false">-L12</f>
        <v>42379.2572173297</v>
      </c>
    </row>
    <row r="17" customFormat="false" ht="15" hidden="false" customHeight="false" outlineLevel="0" collapsed="false">
      <c r="A17" s="0" t="s">
        <v>121</v>
      </c>
      <c r="C17" s="4" t="n">
        <f aca="false">-C6*Assumptions!C46/100</f>
        <v>-38984.41638</v>
      </c>
      <c r="D17" s="4" t="n">
        <f aca="false">-D6*Assumptions!D46/100</f>
        <v>-38144.7520272</v>
      </c>
      <c r="E17" s="4" t="n">
        <f aca="false">-E6*Assumptions!E46/100</f>
        <v>-37413.644280012</v>
      </c>
      <c r="F17" s="4" t="n">
        <f aca="false">-F6*Assumptions!F46/100</f>
        <v>-37855.805530594</v>
      </c>
      <c r="G17" s="4" t="n">
        <f aca="false">-G6*Assumptions!G46/100</f>
        <v>-39748.5958071237</v>
      </c>
      <c r="H17" s="4" t="n">
        <f aca="false">-H6*Assumptions!H46/100</f>
        <v>-39370.0377518177</v>
      </c>
      <c r="I17" s="4" t="n">
        <f aca="false">-I6*Assumptions!I46/100</f>
        <v>-40551.1388843723</v>
      </c>
      <c r="J17" s="4" t="n">
        <f aca="false">-J6*Assumptions!J46/100</f>
        <v>-41564.9173564816</v>
      </c>
      <c r="K17" s="4" t="n">
        <f aca="false">-K6*Assumptions!K46/100</f>
        <v>-42396.2157036112</v>
      </c>
      <c r="L17" s="4" t="n">
        <f aca="false">-L6*Assumptions!L46/100</f>
        <v>-43244.1400176834</v>
      </c>
    </row>
    <row r="18" customFormat="false" ht="15" hidden="false" customHeight="false" outlineLevel="0" collapsed="false">
      <c r="A18" s="0" t="s">
        <v>122</v>
      </c>
      <c r="C18" s="4" t="n">
        <f aca="false">(C6-B6)*Assumptions!$B$51/100</f>
        <v>3456.5622</v>
      </c>
      <c r="D18" s="4" t="n">
        <f aca="false">(D6-C6)*Assumptions!$B$51/100</f>
        <v>-5397.842268</v>
      </c>
      <c r="E18" s="4" t="n">
        <f aca="false">(E6-D6)*Assumptions!$B$51/100</f>
        <v>-6675.33160476001</v>
      </c>
      <c r="F18" s="4" t="n">
        <f aca="false">(F6-E6)*Assumptions!$B$51/100</f>
        <v>-6122.2327003656</v>
      </c>
      <c r="G18" s="4" t="n">
        <f aca="false">(G6-F6)*Assumptions!$B$51/100</f>
        <v>-5407.97221865629</v>
      </c>
      <c r="H18" s="4" t="n">
        <f aca="false">(H6-G6)*Assumptions!$B$51/100</f>
        <v>-4542.69666367127</v>
      </c>
      <c r="I18" s="4" t="n">
        <f aca="false">(I6-H6)*Assumptions!$B$51/100</f>
        <v>-3543.3033976636</v>
      </c>
      <c r="J18" s="4" t="n">
        <f aca="false">(J6-I6)*Assumptions!$B$51/100</f>
        <v>-3041.33541632791</v>
      </c>
      <c r="K18" s="4" t="n">
        <f aca="false">(K6-J6)*Assumptions!$B$51/100</f>
        <v>-2493.8950413889</v>
      </c>
      <c r="L18" s="4" t="n">
        <f aca="false">(L6-K6)*Assumptions!$B$51/100</f>
        <v>-2543.77294221667</v>
      </c>
    </row>
    <row r="19" customFormat="false" ht="15" hidden="false" customHeight="false" outlineLevel="0" collapsed="false">
      <c r="A19" s="0" t="s">
        <v>123</v>
      </c>
      <c r="C19" s="0" t="n">
        <f aca="false">C15+C16+C17+C18</f>
        <v>4815.01917078001</v>
      </c>
      <c r="D19" s="0" t="n">
        <f aca="false">D15+D16+D17+D18</f>
        <v>4878.98967399481</v>
      </c>
      <c r="E19" s="0" t="n">
        <f aca="false">E15+E16+E17+E18</f>
        <v>11497.4957941585</v>
      </c>
      <c r="F19" s="0" t="n">
        <f aca="false">F15+F16+F17+F18</f>
        <v>17791.8204505325</v>
      </c>
      <c r="G19" s="0" t="n">
        <f aca="false">G15+G16+G17+G18</f>
        <v>21253.871616541</v>
      </c>
      <c r="H19" s="0" t="n">
        <f aca="false">H15+H16+H17+H18</f>
        <v>25272.2329257803</v>
      </c>
      <c r="I19" s="0" t="n">
        <f aca="false">I15+I16+I17+I18</f>
        <v>27287.7274961246</v>
      </c>
      <c r="J19" s="0" t="n">
        <f aca="false">J15+J16+J17+J18</f>
        <v>28685.1660018745</v>
      </c>
      <c r="K19" s="0" t="n">
        <f aca="false">K15+K16+K17+K18</f>
        <v>29867.1364051775</v>
      </c>
      <c r="L19" s="0" t="n">
        <f aca="false">L15+L16+L17+L18</f>
        <v>30464.4791332811</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4437.80568735485</v>
      </c>
      <c r="D21" s="0" t="n">
        <f aca="false">D19*D20</f>
        <v>4144.48357280453</v>
      </c>
      <c r="E21" s="0" t="n">
        <f aca="false">E19*E20</f>
        <v>9001.48256891998</v>
      </c>
      <c r="F21" s="0" t="n">
        <f aca="false">F19*F20</f>
        <v>12838.1201074169</v>
      </c>
      <c r="G21" s="0" t="n">
        <f aca="false">G19*G20</f>
        <v>14134.7900457406</v>
      </c>
      <c r="H21" s="0" t="n">
        <f aca="false">H19*H20</f>
        <v>15490.4911000641</v>
      </c>
      <c r="I21" s="0" t="n">
        <f aca="false">I19*I20</f>
        <v>15415.5563152666</v>
      </c>
      <c r="J21" s="0" t="n">
        <f aca="false">J19*J20</f>
        <v>14935.489539861</v>
      </c>
      <c r="K21" s="0" t="n">
        <f aca="false">K19*K20</f>
        <v>14332.6317207063</v>
      </c>
      <c r="L21" s="0" t="n">
        <f aca="false">L19*L20</f>
        <v>13473.9947973461</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8.5</v>
      </c>
    </row>
    <row r="28" customFormat="false" ht="15" hidden="false" customHeight="false" outlineLevel="0" collapsed="false">
      <c r="A28" s="0" t="s">
        <v>106</v>
      </c>
      <c r="B28" s="4" t="n">
        <f aca="false">Assumptions!$B$49</f>
        <v>1.5</v>
      </c>
    </row>
    <row r="29" customFormat="false" ht="15" hidden="false" customHeight="false" outlineLevel="0" collapsed="false">
      <c r="A29" s="0" t="s">
        <v>107</v>
      </c>
      <c r="B29" s="4" t="n">
        <f aca="false">Assumptions!$B$50</f>
        <v>13</v>
      </c>
    </row>
    <row r="30" customFormat="false" ht="15" hidden="false" customHeight="false" outlineLevel="0" collapsed="false">
      <c r="A30" s="0" t="s">
        <v>128</v>
      </c>
      <c r="B30" s="0" t="n">
        <f aca="false">SUM(C21:L21)</f>
        <v>118204.845455481</v>
      </c>
    </row>
    <row r="31" customFormat="false" ht="15" hidden="false" customHeight="false" outlineLevel="0" collapsed="false">
      <c r="A31" s="0" t="s">
        <v>129</v>
      </c>
      <c r="B31" s="0" t="n">
        <f aca="false">L19</f>
        <v>30464.4791332811</v>
      </c>
    </row>
    <row r="32" customFormat="false" ht="15" hidden="false" customHeight="false" outlineLevel="0" collapsed="false">
      <c r="A32" s="0" t="s">
        <v>130</v>
      </c>
      <c r="B32" s="0" t="n">
        <f aca="false">IF(B27&gt;B28,B31*(1+B28/100)/((B27-B28)/100),B31*B29)</f>
        <v>441734.947432575</v>
      </c>
    </row>
    <row r="33" customFormat="false" ht="15" hidden="false" customHeight="false" outlineLevel="0" collapsed="false">
      <c r="A33" s="0" t="s">
        <v>131</v>
      </c>
      <c r="B33" s="0" t="n">
        <f aca="false">B31*B29</f>
        <v>396038.228732654</v>
      </c>
    </row>
    <row r="34" customFormat="false" ht="15" hidden="false" customHeight="false" outlineLevel="0" collapsed="false">
      <c r="A34" s="0" t="s">
        <v>132</v>
      </c>
      <c r="B34" s="0" t="n">
        <f aca="false">MAX(0,MIN(B32,B33))</f>
        <v>396038.228732654</v>
      </c>
    </row>
    <row r="35" customFormat="false" ht="15" hidden="false" customHeight="false" outlineLevel="0" collapsed="false">
      <c r="A35" s="0" t="s">
        <v>133</v>
      </c>
      <c r="B35" s="0" t="n">
        <f aca="false">B34/(1+B27/100)^L4</f>
        <v>175161.932365499</v>
      </c>
    </row>
    <row r="36" customFormat="false" ht="15" hidden="false" customHeight="false" outlineLevel="0" collapsed="false">
      <c r="A36" s="0" t="s">
        <v>134</v>
      </c>
      <c r="B36" s="0" t="n">
        <f aca="false">B30+B35</f>
        <v>293366.77782098</v>
      </c>
    </row>
    <row r="37" customFormat="false" ht="15" hidden="false" customHeight="false" outlineLevel="0" collapsed="false">
      <c r="A37" s="0" t="s">
        <v>135</v>
      </c>
      <c r="B37" s="0" t="n">
        <f aca="false">B36+Assumptions!$B$5-Assumptions!$B$4</f>
        <v>358333.77782098</v>
      </c>
    </row>
    <row r="38" customFormat="false" ht="15" hidden="false" customHeight="false" outlineLevel="0" collapsed="false">
      <c r="A38" s="0" t="s">
        <v>136</v>
      </c>
      <c r="B38" s="0" t="n">
        <f aca="false">B37/Assumptions!$B$3*Assumptions!$B$10</f>
        <v>4945.67281062439</v>
      </c>
    </row>
    <row r="39" customFormat="false" ht="15" hidden="false" customHeight="false" outlineLevel="0" collapsed="false">
      <c r="A39" s="0" t="s">
        <v>137</v>
      </c>
      <c r="B39" s="4" t="n">
        <f aca="false">B38/Assumptions!$B$2-1</f>
        <v>-0.00669355078843326</v>
      </c>
    </row>
    <row r="41" customFormat="false" ht="15" hidden="false" customHeight="false" outlineLevel="0" collapsed="false">
      <c r="A41" s="0" t="s">
        <v>138</v>
      </c>
      <c r="B41" s="0" t="n">
        <f aca="false">SUMPRODUCT(-C10:L10/(1+$B$27/100)^C4:L4)</f>
        <v>240.613042376672</v>
      </c>
    </row>
    <row r="42" customFormat="false" ht="15" hidden="false" customHeight="false" outlineLevel="0" collapsed="false">
      <c r="A42" s="0" t="s">
        <v>139</v>
      </c>
      <c r="B42" s="0" t="n">
        <f aca="false">IF(B27&gt;B28,-L10*(1+B28/100)/((B27-B28)/100),-L10*20)/(1+B27/100)^L4</f>
        <v>277.330660026703</v>
      </c>
    </row>
    <row r="43" customFormat="false" ht="15" hidden="false" customHeight="false" outlineLevel="0" collapsed="false">
      <c r="A43" s="0" t="s">
        <v>140</v>
      </c>
      <c r="B43" s="0" t="n">
        <f aca="false">(B37+B41+B42)/Assumptions!$B$3*Assumptions!$B$10</f>
        <v>4952.82139734705</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229047.750520595</v>
      </c>
    </row>
    <row r="47" customFormat="false" ht="15" hidden="false" customHeight="false" outlineLevel="0" collapsed="false">
      <c r="A47" s="0" t="s">
        <v>142</v>
      </c>
      <c r="B47" s="0" t="n">
        <f aca="false">(SUMPRODUCT(C19:L19/(1+B45/100)^C4:L4)+B46/(1+B45/100)^L4+Assumptions!$B$5-Assumptions!$B$4)/Assumptions!$B$3*Assumptions!$B$10</f>
        <v>2820.29402594385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2103.59750317175</v>
      </c>
      <c r="C4" s="0" t="n">
        <f aca="false">B4/Assumptions!$B$2-1</f>
        <v>-0.577506024669261</v>
      </c>
      <c r="D4" s="4" t="n">
        <f aca="false">Assumptions!$B$24</f>
        <v>0.3</v>
      </c>
      <c r="E4" s="4" t="n">
        <f aca="false">DCF_Bear!$B$43</f>
        <v>2108.74361009392</v>
      </c>
      <c r="F4" s="4" t="n">
        <f aca="false">DCF_Bear!$B$47</f>
        <v>1486.82741563026</v>
      </c>
    </row>
    <row r="5" customFormat="false" ht="15" hidden="false" customHeight="false" outlineLevel="0" collapsed="false">
      <c r="A5" s="0" t="s">
        <v>151</v>
      </c>
      <c r="B5" s="4" t="n">
        <f aca="false">DCF_Base!$B$38</f>
        <v>3295.50327636335</v>
      </c>
      <c r="C5" s="0" t="n">
        <f aca="false">B5/Assumptions!$B$2-1</f>
        <v>-0.33811944640222</v>
      </c>
      <c r="D5" s="4" t="n">
        <f aca="false">Assumptions!$B$38</f>
        <v>0.5</v>
      </c>
      <c r="E5" s="4" t="n">
        <f aca="false">DCF_Base!$B$43</f>
        <v>3301.62715624009</v>
      </c>
      <c r="F5" s="4" t="n">
        <f aca="false">DCF_Base!$B$47</f>
        <v>2032.10901284203</v>
      </c>
    </row>
    <row r="6" customFormat="false" ht="15" hidden="false" customHeight="false" outlineLevel="0" collapsed="false">
      <c r="A6" s="0" t="s">
        <v>152</v>
      </c>
      <c r="B6" s="4" t="n">
        <f aca="false">DCF_Bull!$B$38</f>
        <v>4945.67281062439</v>
      </c>
      <c r="C6" s="0" t="n">
        <f aca="false">B6/Assumptions!$B$2-1</f>
        <v>-0.00669355078843326</v>
      </c>
      <c r="D6" s="4" t="n">
        <f aca="false">Assumptions!$B$52</f>
        <v>0.2</v>
      </c>
      <c r="E6" s="4" t="n">
        <f aca="false">DCF_Bull!$B$43</f>
        <v>4952.82139734705</v>
      </c>
      <c r="F6" s="4" t="n">
        <f aca="false">DCF_Bull!$B$47</f>
        <v>2820.29402594385</v>
      </c>
    </row>
    <row r="8" customFormat="false" ht="15" hidden="false" customHeight="false" outlineLevel="0" collapsed="false">
      <c r="A8" s="0" t="s">
        <v>153</v>
      </c>
      <c r="B8" s="0" t="n">
        <f aca="false">SUMPRODUCT(B4:B6,D4:D6)</f>
        <v>3267.96545125808</v>
      </c>
    </row>
    <row r="9" customFormat="false" ht="15" hidden="false" customHeight="false" outlineLevel="0" collapsed="false">
      <c r="A9" s="0" t="s">
        <v>154</v>
      </c>
      <c r="B9" s="0" t="n">
        <f aca="false">SUMPRODUCT(E4:E6,D4:D6)</f>
        <v>3274.00094061763</v>
      </c>
    </row>
    <row r="10" customFormat="false" ht="15" hidden="false" customHeight="false" outlineLevel="0" collapsed="false">
      <c r="A10" s="0" t="s">
        <v>155</v>
      </c>
      <c r="B10" s="0" t="n">
        <f aca="false">1-Assumptions!$B$2/B8</f>
        <v>-0.523577918512945</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2026.16153629887</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3295.50327636335</v>
      </c>
      <c r="C15" s="3" t="n">
        <v>8.5</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3165.68103411624</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2866.77265555373</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2629.59699316158</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2437.21437561413</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2032.10901284203</v>
      </c>
      <c r="C20" s="3" t="n">
        <v>15</v>
      </c>
    </row>
    <row r="22" customFormat="false" ht="15" hidden="false" customHeight="false" outlineLevel="0" collapsed="false">
      <c r="A22" s="2" t="s">
        <v>166</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3705.72553118477</v>
      </c>
      <c r="C24" s="0" t="n">
        <f aca="false">(SUMPRODUCT(DCF_Base!$C$19:$L$19/(1+$A$24/100)^DCF_Base!$C$4:$L$4)+MAX(0,MIN(IF($A$24&gt;$C$23,DCF_Base!$L$19*(1+$C$23/100)/(($A$24-$C$23)/100),DCF_Base!$L$19*DCF_Base!$B$29),DCF_Base!$L$19*DCF_Base!$B$29))/(1+$A$24/100)^DCF_Base!$L$4+Assumptions!$B$5-Assumptions!$B$4)/Assumptions!$B$3*Assumptions!$B$10</f>
        <v>3705.72553118477</v>
      </c>
      <c r="D24" s="0" t="n">
        <f aca="false">(SUMPRODUCT(DCF_Base!$C$19:$L$19/(1+$A$24/100)^DCF_Base!$C$4:$L$4)+MAX(0,MIN(IF($A$24&gt;$D$23,DCF_Base!$L$19*(1+$D$23/100)/(($A$24-$D$23)/100),DCF_Base!$L$19*DCF_Base!$B$29),DCF_Base!$L$19*DCF_Base!$B$29))/(1+$A$24/100)^DCF_Base!$L$4+Assumptions!$B$5-Assumptions!$B$4)/Assumptions!$B$3*Assumptions!$B$10</f>
        <v>3705.72553118477</v>
      </c>
      <c r="E24" s="0" t="n">
        <f aca="false">(SUMPRODUCT(DCF_Base!$C$19:$L$19/(1+$A$24/100)^DCF_Base!$C$4:$L$4)+MAX(0,MIN(IF($A$24&gt;$E$23,DCF_Base!$L$19*(1+$E$23/100)/(($A$24-$E$23)/100),DCF_Base!$L$19*DCF_Base!$B$29),DCF_Base!$L$19*DCF_Base!$B$29))/(1+$A$24/100)^DCF_Base!$L$4+Assumptions!$B$5-Assumptions!$B$4)/Assumptions!$B$3*Assumptions!$B$10</f>
        <v>3705.72553118477</v>
      </c>
      <c r="F24" s="0" t="n">
        <f aca="false">(SUMPRODUCT(DCF_Base!$C$19:$L$19/(1+$A$24/100)^DCF_Base!$C$4:$L$4)+MAX(0,MIN(IF($A$24&gt;$F$23,DCF_Base!$L$19*(1+$F$23/100)/(($A$24-$F$23)/100),DCF_Base!$L$19*DCF_Base!$B$29),DCF_Base!$L$19*DCF_Base!$B$29))/(1+$A$24/100)^DCF_Base!$L$4+Assumptions!$B$5-Assumptions!$B$4)/Assumptions!$B$3*Assumptions!$B$10</f>
        <v>3705.72553118477</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3490.89555126661</v>
      </c>
      <c r="C25" s="0" t="n">
        <f aca="false">(SUMPRODUCT(DCF_Base!$C$19:$L$19/(1+$A$25/100)^DCF_Base!$C$4:$L$4)+MAX(0,MIN(IF($A$25&gt;$C$23,DCF_Base!$L$19*(1+$C$23/100)/(($A$25-$C$23)/100),DCF_Base!$L$19*DCF_Base!$B$29),DCF_Base!$L$19*DCF_Base!$B$29))/(1+$A$25/100)^DCF_Base!$L$4+Assumptions!$B$5-Assumptions!$B$4)/Assumptions!$B$3*Assumptions!$B$10</f>
        <v>3490.89555126661</v>
      </c>
      <c r="D25" s="0" t="n">
        <f aca="false">(SUMPRODUCT(DCF_Base!$C$19:$L$19/(1+$A$25/100)^DCF_Base!$C$4:$L$4)+MAX(0,MIN(IF($A$25&gt;$D$23,DCF_Base!$L$19*(1+$D$23/100)/(($A$25-$D$23)/100),DCF_Base!$L$19*DCF_Base!$B$29),DCF_Base!$L$19*DCF_Base!$B$29))/(1+$A$25/100)^DCF_Base!$L$4+Assumptions!$B$5-Assumptions!$B$4)/Assumptions!$B$3*Assumptions!$B$10</f>
        <v>3490.89555126661</v>
      </c>
      <c r="E25" s="0" t="n">
        <f aca="false">(SUMPRODUCT(DCF_Base!$C$19:$L$19/(1+$A$25/100)^DCF_Base!$C$4:$L$4)+MAX(0,MIN(IF($A$25&gt;$E$23,DCF_Base!$L$19*(1+$E$23/100)/(($A$25-$E$23)/100),DCF_Base!$L$19*DCF_Base!$B$29),DCF_Base!$L$19*DCF_Base!$B$29))/(1+$A$25/100)^DCF_Base!$L$4+Assumptions!$B$5-Assumptions!$B$4)/Assumptions!$B$3*Assumptions!$B$10</f>
        <v>3490.89555126661</v>
      </c>
      <c r="F25" s="0" t="n">
        <f aca="false">(SUMPRODUCT(DCF_Base!$C$19:$L$19/(1+$A$25/100)^DCF_Base!$C$4:$L$4)+MAX(0,MIN(IF($A$25&gt;$F$23,DCF_Base!$L$19*(1+$F$23/100)/(($A$25-$F$23)/100),DCF_Base!$L$19*DCF_Base!$B$29),DCF_Base!$L$19*DCF_Base!$B$29))/(1+$A$25/100)^DCF_Base!$L$4+Assumptions!$B$5-Assumptions!$B$4)/Assumptions!$B$3*Assumptions!$B$10</f>
        <v>3490.89555126661</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3161.69748629464</v>
      </c>
      <c r="C26" s="0" t="n">
        <f aca="false">(SUMPRODUCT(DCF_Base!$C$19:$L$19/(1+$A$26/100)^DCF_Base!$C$4:$L$4)+MAX(0,MIN(IF($A$26&gt;$C$23,DCF_Base!$L$19*(1+$C$23/100)/(($A$26-$C$23)/100),DCF_Base!$L$19*DCF_Base!$B$29),DCF_Base!$L$19*DCF_Base!$B$29))/(1+$A$26/100)^DCF_Base!$L$4+Assumptions!$B$5-Assumptions!$B$4)/Assumptions!$B$3*Assumptions!$B$10</f>
        <v>3248.11372571401</v>
      </c>
      <c r="D26" s="0" t="n">
        <f aca="false">(SUMPRODUCT(DCF_Base!$C$19:$L$19/(1+$A$26/100)^DCF_Base!$C$4:$L$4)+MAX(0,MIN(IF($A$26&gt;$D$23,DCF_Base!$L$19*(1+$D$23/100)/(($A$26-$D$23)/100),DCF_Base!$L$19*DCF_Base!$B$29),DCF_Base!$L$19*DCF_Base!$B$29))/(1+$A$26/100)^DCF_Base!$L$4+Assumptions!$B$5-Assumptions!$B$4)/Assumptions!$B$3*Assumptions!$B$10</f>
        <v>3295.50327636335</v>
      </c>
      <c r="E26" s="0" t="n">
        <f aca="false">(SUMPRODUCT(DCF_Base!$C$19:$L$19/(1+$A$26/100)^DCF_Base!$C$4:$L$4)+MAX(0,MIN(IF($A$26&gt;$E$23,DCF_Base!$L$19*(1+$E$23/100)/(($A$26-$E$23)/100),DCF_Base!$L$19*DCF_Base!$B$29),DCF_Base!$L$19*DCF_Base!$B$29))/(1+$A$26/100)^DCF_Base!$L$4+Assumptions!$B$5-Assumptions!$B$4)/Assumptions!$B$3*Assumptions!$B$10</f>
        <v>3295.50327636335</v>
      </c>
      <c r="F26" s="0" t="n">
        <f aca="false">(SUMPRODUCT(DCF_Base!$C$19:$L$19/(1+$A$26/100)^DCF_Base!$C$4:$L$4)+MAX(0,MIN(IF($A$26&gt;$F$23,DCF_Base!$L$19*(1+$F$23/100)/(($A$26-$F$23)/100),DCF_Base!$L$19*DCF_Base!$B$29),DCF_Base!$L$19*DCF_Base!$B$29))/(1+$A$26/100)^DCF_Base!$L$4+Assumptions!$B$5-Assumptions!$B$4)/Assumptions!$B$3*Assumptions!$B$10</f>
        <v>3295.50327636335</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2873.13125865071</v>
      </c>
      <c r="C27" s="0" t="n">
        <f aca="false">(SUMPRODUCT(DCF_Base!$C$19:$L$19/(1+$A$27/100)^DCF_Base!$C$4:$L$4)+MAX(0,MIN(IF($A$27&gt;$C$23,DCF_Base!$L$19*(1+$C$23/100)/(($A$27-$C$23)/100),DCF_Base!$L$19*DCF_Base!$B$29),DCF_Base!$L$19*DCF_Base!$B$29))/(1+$A$27/100)^DCF_Base!$L$4+Assumptions!$B$5-Assumptions!$B$4)/Assumptions!$B$3*Assumptions!$B$10</f>
        <v>2936.41304530326</v>
      </c>
      <c r="D27" s="0" t="n">
        <f aca="false">(SUMPRODUCT(DCF_Base!$C$19:$L$19/(1+$A$27/100)^DCF_Base!$C$4:$L$4)+MAX(0,MIN(IF($A$27&gt;$D$23,DCF_Base!$L$19*(1+$D$23/100)/(($A$27-$D$23)/100),DCF_Base!$L$19*DCF_Base!$B$29),DCF_Base!$L$19*DCF_Base!$B$29))/(1+$A$27/100)^DCF_Base!$L$4+Assumptions!$B$5-Assumptions!$B$4)/Assumptions!$B$3*Assumptions!$B$10</f>
        <v>3007.13974803257</v>
      </c>
      <c r="E27" s="0" t="n">
        <f aca="false">(SUMPRODUCT(DCF_Base!$C$19:$L$19/(1+$A$27/100)^DCF_Base!$C$4:$L$4)+MAX(0,MIN(IF($A$27&gt;$E$23,DCF_Base!$L$19*(1+$E$23/100)/(($A$27-$E$23)/100),DCF_Base!$L$19*DCF_Base!$B$29),DCF_Base!$L$19*DCF_Base!$B$29))/(1+$A$27/100)^DCF_Base!$L$4+Assumptions!$B$5-Assumptions!$B$4)/Assumptions!$B$3*Assumptions!$B$10</f>
        <v>3086.70728860305</v>
      </c>
      <c r="F27" s="0" t="n">
        <f aca="false">(SUMPRODUCT(DCF_Base!$C$19:$L$19/(1+$A$27/100)^DCF_Base!$C$4:$L$4)+MAX(0,MIN(IF($A$27&gt;$F$23,DCF_Base!$L$19*(1+$F$23/100)/(($A$27-$F$23)/100),DCF_Base!$L$19*DCF_Base!$B$29),DCF_Base!$L$19*DCF_Base!$B$29))/(1+$A$27/100)^DCF_Base!$L$4+Assumptions!$B$5-Assumptions!$B$4)/Assumptions!$B$3*Assumptions!$B$10</f>
        <v>3117.58966736329</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2641.73381578485</v>
      </c>
      <c r="C28" s="0" t="n">
        <f aca="false">(SUMPRODUCT(DCF_Base!$C$19:$L$19/(1+$A$28/100)^DCF_Base!$C$4:$L$4)+MAX(0,MIN(IF($A$28&gt;$C$23,DCF_Base!$L$19*(1+$C$23/100)/(($A$28-$C$23)/100),DCF_Base!$L$19*DCF_Base!$B$29),DCF_Base!$L$19*DCF_Base!$B$29))/(1+$A$28/100)^DCF_Base!$L$4+Assumptions!$B$5-Assumptions!$B$4)/Assumptions!$B$3*Assumptions!$B$10</f>
        <v>2689.21506299982</v>
      </c>
      <c r="D28" s="0" t="n">
        <f aca="false">(SUMPRODUCT(DCF_Base!$C$19:$L$19/(1+$A$28/100)^DCF_Base!$C$4:$L$4)+MAX(0,MIN(IF($A$28&gt;$D$23,DCF_Base!$L$19*(1+$D$23/100)/(($A$28-$D$23)/100),DCF_Base!$L$19*DCF_Base!$B$29),DCF_Base!$L$19*DCF_Base!$B$29))/(1+$A$28/100)^DCF_Base!$L$4+Assumptions!$B$5-Assumptions!$B$4)/Assumptions!$B$3*Assumptions!$B$10</f>
        <v>2741.69433623743</v>
      </c>
      <c r="E28" s="0" t="n">
        <f aca="false">(SUMPRODUCT(DCF_Base!$C$19:$L$19/(1+$A$28/100)^DCF_Base!$C$4:$L$4)+MAX(0,MIN(IF($A$28&gt;$E$23,DCF_Base!$L$19*(1+$E$23/100)/(($A$28-$E$23)/100),DCF_Base!$L$19*DCF_Base!$B$29),DCF_Base!$L$19*DCF_Base!$B$29))/(1+$A$28/100)^DCF_Base!$L$4+Assumptions!$B$5-Assumptions!$B$4)/Assumptions!$B$3*Assumptions!$B$10</f>
        <v>2800.00463983477</v>
      </c>
      <c r="F28" s="0" t="n">
        <f aca="false">(SUMPRODUCT(DCF_Base!$C$19:$L$19/(1+$A$28/100)^DCF_Base!$C$4:$L$4)+MAX(0,MIN(IF($A$28&gt;$F$23,DCF_Base!$L$19*(1+$F$23/100)/(($A$28-$F$23)/100),DCF_Base!$L$19*DCF_Base!$B$29),DCF_Base!$L$19*DCF_Base!$B$29))/(1+$A$28/100)^DCF_Base!$L$4+Assumptions!$B$5-Assumptions!$B$4)/Assumptions!$B$3*Assumptions!$B$10</f>
        <v>2865.17497914945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2026-10-31T07:37:53Z</dcterms:created>
  <dc:creator>openpyxl</dc:creator>
  <dc:description/>
  <dc:language>en-NZ</dc:language>
  <cp:lastModifiedBy/>
  <dcterms:modified xsi:type="dcterms:W3CDTF">2026-10-31T07:37:53Z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