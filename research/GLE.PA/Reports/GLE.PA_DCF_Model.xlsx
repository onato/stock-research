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<sst xmlns="http://schemas.openxmlformats.org/spreadsheetml/2006/main" count="368" uniqueCount="177">
  <si>
    <t xml:space="preserve">Ticker</t>
  </si>
  <si>
    <t xml:space="preserve">GLE.PA</t>
  </si>
  <si>
    <t xml:space="preserve">Company</t>
  </si>
  <si>
    <t xml:space="preserve">Societe Generale SA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</si>
  <si>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</si>
  <si>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</si>
  <si>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</si>
  <si>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</si>
  <si>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2026-10-23T15:35:29Z</t>
  </si>
  <si>
    <t xml:space="preserve">Balance sheet date</t>
  </si>
  <si>
    <t xml:space="preserve">2026-06-30</t>
  </si>
  <si>
    <t xml:space="preserve">Model</t>
  </si>
  <si>
    <t xml:space="preserve">Bank FCFE at cost of equity (engine route)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</si>
  <si>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</si>
  <si>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</si>
  <si>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</si>
  <si>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</si>
  <si>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</si>
  <si>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</si>
  <si>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</si>
  <si>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</si>
  <si>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2026-10-25T14:44:05Z</t>
  </si>
  <si>
    <t xml:space="preserve">Drivers file</t>
  </si>
  <si>
    <t xml:space="preserve">GLE.PA_Drivers.json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</si>
  <si>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</si>
  <si>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</si>
  <si>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</si>
  <si>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universal bank is valued on the cash it can distribute to ordinary shareholders after keeping capital at the regulatory target, discounted at the cost of equity -- never on owner FCF, EV/EBITDA or net debt, none of which mean anything for a deposit-funded balance sheet. SG's investment case is a profitability inflection (ROTE 2.5% in 2022 -&gt; 10.2% FY2025 -&gt; 12.0% H1 2026) that the market, at ~0.8x tangible book, only partly believes because of French sovereign risk. The model prices that risk explicitly through a 1pt CoE premium and a 30% bear weight rather than by shading the earnings path, so that the gap between base and market is attributable.
key_risks_to_valuation: French sovereign spread / political instability widening SG's CDS and the equity cost of capital; a sovereign stress scenario (S&amp;P, June 2026) would impair senior debt and the equity story with it; Global Markets cyclicality: ~38% of revenue is GBIS; a volatility/issuance drought compresses the earnings-to-common margin by several points quickly; French bank-specific taxation: the 2026 Finance Act surtax extension and buyback tax reduce distributable earnings; further fiscal tightening is plausible given a ~5% of GDP deficit; Execution across Bernstein consolidation, Ayvens/LeasePlan integration and the SG/Credit du Nord network merger; the base case already assumes ROTE short of the CMD target; Regulatory capital drift: FRTB (Jan 2027) and Basel IV output-floor phase-in could raise RWAs faster than the assumed 2%, increasing retention and cutting FCFE; Cost of risk: modelled inside the 25-30bps guidance in base; a eurozone/French SME downturn to 40-50bps is the bear path</t>
  </si>
  <si>
    <t xml:space="preserve">Data sources</t>
  </si>
  <si>
    <t xml:space="preserve">price: Yahoo Finance chart API regular-session print at inputs.price_as_of; 52-week range 52.02-84.82 EUR
financials: GLE.PA_Metrics.csv (core_metrics / metrics_normalized, EUR millions) FY2018-FY2025 plus H1 2026; bank KPIs (CET1, ROTE, ROE, cost/income, cost of risk, NAV and NTA per share, NCI, total equity) from the kpis table; FY2025 Universal Registration Document for the EPS-basis share counts and AT1 deduction (lines 2601, 2640, 35779-35786)
qualitative: GLE.PA_Analysis.json (2026-10-26): Q2/H1 2026 results (30 July 2026) guidance upgrade, 21 Sept 2026 Capital Markets Day targets (ROTE 13-14% by 2029, &gt;15% 2030+, C/I &lt;55%, CET1 &gt;13%, CoR 25-30bps), S&amp;P positive outlook (June 2026), 2026 Finance Act</t>
  </si>
  <si>
    <t xml:space="preserve">Scenario narrative: bear</t>
  </si>
  <si>
    <t xml:space="preserve">Earnings normalise down: a markets downturn, cost of risk drifting to the top of or above the 25-30bps range, continued French surtaxes, and revenue ex-disposals roughly flat take ROTE back to ~9% against a 12.5% cost of equity, holding the stock near 0.7x tangible book -- roughly where it trades today.</t>
  </si>
  <si>
    <t xml:space="preserve">Scenario narrative: base</t>
  </si>
  <si>
    <t xml:space="preserve">Transformation holds but the market is right to haircut the CMD: ROTE settles ~12.5% rather than 13-14%, revenue grows ~3% to FY2029 then ~2%, and SG distributes everything above a 13% CET1 on 2% RWA growth. Discounted at an 11% EUR cost of equity with a 1pt French-sovereign premium; terminal value at 11.3x FCFE, i.e. ~1.2x tangible book.</t>
  </si>
  <si>
    <t xml:space="preserve">Scenario narrative: bull</t>
  </si>
  <si>
    <t xml:space="preserve">The 2029/2030+ CMD targets (ROTE 13-14% then &gt;15%, cost/income &lt;55%) are met on 4% revenue growth with Bernstein, BoursoBank and Ayvens all contributing, the French spread normalises and SG re-rates to a 10% cost of equity, ~1.5x tangible book.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</si>
  <si>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</si>
  <si>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</si>
  <si>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</si>
  <si>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</si>
  <si>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</si>
  <si>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</si>
  <si>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</si>
  <si>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</si>
  <si>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</si>
  <si>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</si>
  <si>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</si>
  <si>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</si>
  <si>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</si>
  <si>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</si>
  <si>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</si>
  <si>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</si>
  <si>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</si>
  <si>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</si>
  <si>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</si>
  <si>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</si>
  <si>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</si>
  <si>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</si>
  <si>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</si>
  <si>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</si>
  <si>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</si>
  <si>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</si>
  <si>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</si>
  <si>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CET1Ratio</t>
  </si>
  <si>
    <t xml:space="preserve">CostOfRisk</t>
  </si>
  <si>
    <t xml:space="preserve">CostToIncomeRatio</t>
  </si>
  <si>
    <t xml:space="preserve">CustomerDeposits</t>
  </si>
  <si>
    <t xml:space="preserve">GrossOperatingIncome</t>
  </si>
  <si>
    <t xml:space="preserve">NAVPerShare</t>
  </si>
  <si>
    <t xml:space="preserve">NTAPerShare</t>
  </si>
  <si>
    <t xml:space="preserve">NetIncomeInclNCI</t>
  </si>
  <si>
    <t xml:space="preserve">NetInterestIncome</t>
  </si>
  <si>
    <t xml:space="preserve">NetLoans</t>
  </si>
  <si>
    <t xml:space="preserve">NonControllingInterests</t>
  </si>
  <si>
    <t xml:space="preserve">OperatingExpenses</t>
  </si>
  <si>
    <t xml:space="preserve">ROE</t>
  </si>
  <si>
    <t xml:space="preserve">ROTE</t>
  </si>
  <si>
    <t xml:space="preserve">TotalEquity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</si>
  <si>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</si>
  <si>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</si>
  <si>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</si>
  <si>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</si>
  <si>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</si>
  <si>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</si>
  <si>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</si>
  <si>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</si>
  <si>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</si>
  <si>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</si>
  <si>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</si>
  <si>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</si>
  <si>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</si>
  <si>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</si>
  <si>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</si>
  <si>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</si>
  <si>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</si>
  <si>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</si>
  <si>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</si>
  <si>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</si>
  <si>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</si>
  <si>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</si>
  <si>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</si>
  <si>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</si>
  <si>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</si>
  <si>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</si>
  <si>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</si>
  <si>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</si>
  <si>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</si>
  <si>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</si>
  <si>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</si>
  <si>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</si>
  <si>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</si>
  <si>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</si>
  <si>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</si>
  <si>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</si>
  <si>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</si>
  <si>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</si>
  <si>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</si>
  <si>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</si>
  <si>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</si>
  <si>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</si>
  <si>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</si>
  <si>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</si>
  <si>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</si>
  <si>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GLE.PA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</si>
  <si>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</si>
  <si>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</si>
  <si>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</si>
  <si>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</si>
  <si>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</si>
  <si>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</si>
  <si>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</si>
  <si>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</si>
  <si>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</si>
  <si>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</si>
  <si>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</si>
  <si>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</si>
  <si>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</si>
  <si>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</si>
  <si>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</si>
  <si>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</si>
  <si>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</si>
  <si>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</si>
  <si>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</si>
  <si>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</si>
  <si>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</si>
  <si>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</si>
  <si>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</si>
  <si>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</si>
  <si>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</si>
  <si>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</si>
  <si>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</si>
  <si>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</si>
  <si>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</si>
  <si>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</si>
  <si>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GLE.PA owner-FCF component DCF: base case (millions, EUR)</t>
  </si>
  <si>
    <t xml:space="preserve">GLE.PA owner-FCF component DCF: bull case (millions, EUR)</t>
  </si>
  <si>
    <t xml:space="preserve">GLE.PA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</si>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</sst>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59.66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  <c r="AQ1" s="2" t="s">
        <v>77</v>
      </c>
    </row>
    <row r="2" customFormat="false" ht="15" hidden="false" customHeight="false" outlineLevel="0" collapsed="false">
      <c r="A2" s="0" t="s">
        <v>78</v>
      </c>
      <c r="B2" s="0" t="n">
        <v>25205</v>
      </c>
      <c r="F2" s="0" t="n">
        <v>6269</v>
      </c>
      <c r="G2" s="0" t="n">
        <v>24.9</v>
      </c>
      <c r="I2" s="0" t="n">
        <v>4121</v>
      </c>
      <c r="J2" s="0" t="n">
        <v>16.3</v>
      </c>
      <c r="K2" s="0" t="n">
        <v>4.24</v>
      </c>
      <c r="O2" s="0" t="n">
        <v>61026</v>
      </c>
      <c r="P2" s="0" t="n">
        <v>1309428</v>
      </c>
      <c r="Q2" s="0" t="n">
        <v>1243619</v>
      </c>
      <c r="R2" s="0" t="n">
        <v>129653</v>
      </c>
      <c r="S2" s="0" t="n">
        <v>96585</v>
      </c>
      <c r="T2" s="0" t="n">
        <v>816.726</v>
      </c>
      <c r="AA2" s="0" t="s">
        <v>17</v>
      </c>
      <c r="AB2" s="0" t="s">
        <v>14</v>
      </c>
      <c r="AD2" s="0" t="n">
        <v>-1005</v>
      </c>
      <c r="AF2" s="0" t="n">
        <v>416818</v>
      </c>
      <c r="AG2" s="0" t="n">
        <v>7274</v>
      </c>
      <c r="AJ2" s="0" t="n">
        <v>4813</v>
      </c>
      <c r="AK2" s="0" t="n">
        <v>11019</v>
      </c>
      <c r="AL2" s="0" t="n">
        <v>447229</v>
      </c>
      <c r="AM2" s="0" t="n">
        <v>4783</v>
      </c>
      <c r="AQ2" s="0" t="n">
        <v>65809</v>
      </c>
    </row>
    <row r="3" customFormat="false" ht="15" hidden="false" customHeight="false" outlineLevel="0" collapsed="false">
      <c r="A3" s="0" t="s">
        <v>79</v>
      </c>
      <c r="B3" s="0" t="n">
        <v>24671</v>
      </c>
      <c r="F3" s="0" t="n">
        <v>5666</v>
      </c>
      <c r="G3" s="0" t="n">
        <v>23</v>
      </c>
      <c r="I3" s="0" t="n">
        <v>3248</v>
      </c>
      <c r="J3" s="0" t="n">
        <v>13.2</v>
      </c>
      <c r="K3" s="0" t="n">
        <v>3.05</v>
      </c>
      <c r="O3" s="0" t="n">
        <v>63527</v>
      </c>
      <c r="P3" s="0" t="n">
        <v>1356303</v>
      </c>
      <c r="Q3" s="0" t="n">
        <v>1287733</v>
      </c>
      <c r="R3" s="0" t="n">
        <v>139633</v>
      </c>
      <c r="S3" s="0" t="n">
        <v>102311</v>
      </c>
      <c r="T3" s="0" t="n">
        <v>849.665</v>
      </c>
      <c r="AA3" s="0" t="s">
        <v>17</v>
      </c>
      <c r="AB3" s="0" t="s">
        <v>14</v>
      </c>
      <c r="AD3" s="0" t="n">
        <v>-1278</v>
      </c>
      <c r="AF3" s="0" t="n">
        <v>418612</v>
      </c>
      <c r="AG3" s="0" t="n">
        <v>6944</v>
      </c>
      <c r="AI3" s="0" t="n">
        <v>55.6</v>
      </c>
      <c r="AJ3" s="0" t="n">
        <v>3946</v>
      </c>
      <c r="AK3" s="0" t="n">
        <v>11185</v>
      </c>
      <c r="AL3" s="0" t="n">
        <v>450244</v>
      </c>
      <c r="AM3" s="0" t="n">
        <v>5043</v>
      </c>
      <c r="AQ3" s="0" t="n">
        <v>68570</v>
      </c>
    </row>
    <row r="4" customFormat="false" ht="15" hidden="false" customHeight="false" outlineLevel="0" collapsed="false">
      <c r="A4" s="0" t="s">
        <v>80</v>
      </c>
      <c r="B4" s="0" t="n">
        <v>22113</v>
      </c>
      <c r="F4" s="0" t="n">
        <v>2093</v>
      </c>
      <c r="G4" s="0" t="n">
        <v>9.5</v>
      </c>
      <c r="I4" s="0" t="n">
        <v>-258</v>
      </c>
      <c r="J4" s="0" t="n">
        <v>-1.2</v>
      </c>
      <c r="K4" s="0" t="n">
        <v>-1.02</v>
      </c>
      <c r="O4" s="0" t="n">
        <v>61684</v>
      </c>
      <c r="P4" s="0" t="n">
        <v>1461952</v>
      </c>
      <c r="Q4" s="0" t="n">
        <v>1394973</v>
      </c>
      <c r="R4" s="0" t="n">
        <v>154389</v>
      </c>
      <c r="S4" s="0" t="n">
        <v>168179</v>
      </c>
      <c r="T4" s="0" t="n">
        <v>848.859</v>
      </c>
      <c r="AA4" s="0" t="s">
        <v>17</v>
      </c>
      <c r="AB4" s="0" t="s">
        <v>14</v>
      </c>
      <c r="AD4" s="0" t="n">
        <v>-3306</v>
      </c>
      <c r="AF4" s="0" t="n">
        <v>456059</v>
      </c>
      <c r="AG4" s="0" t="n">
        <v>5399</v>
      </c>
      <c r="AI4" s="0" t="n">
        <v>54.8</v>
      </c>
      <c r="AJ4" s="0" t="n">
        <v>196</v>
      </c>
      <c r="AK4" s="0" t="n">
        <v>10473</v>
      </c>
      <c r="AL4" s="0" t="n">
        <v>448761</v>
      </c>
      <c r="AM4" s="0" t="n">
        <v>5295</v>
      </c>
      <c r="AQ4" s="0" t="n">
        <v>66979</v>
      </c>
    </row>
    <row r="5" customFormat="false" ht="15" hidden="false" customHeight="false" outlineLevel="0" collapsed="false">
      <c r="A5" s="0" t="s">
        <v>81</v>
      </c>
      <c r="B5" s="0" t="n">
        <v>25798</v>
      </c>
      <c r="F5" s="0" t="n">
        <v>7508</v>
      </c>
      <c r="G5" s="0" t="n">
        <v>29.1</v>
      </c>
      <c r="I5" s="0" t="n">
        <v>5641</v>
      </c>
      <c r="J5" s="0" t="n">
        <v>21.9</v>
      </c>
      <c r="K5" s="0" t="n">
        <v>5.97</v>
      </c>
      <c r="O5" s="0" t="n">
        <v>65067</v>
      </c>
      <c r="P5" s="0" t="n">
        <v>1464449</v>
      </c>
      <c r="Q5" s="0" t="n">
        <v>1393586</v>
      </c>
      <c r="R5" s="0" t="n">
        <v>151283</v>
      </c>
      <c r="S5" s="0" t="n">
        <v>179969</v>
      </c>
      <c r="T5" s="0" t="n">
        <v>831.162</v>
      </c>
      <c r="AA5" s="0" t="s">
        <v>17</v>
      </c>
      <c r="AB5" s="0" t="s">
        <v>14</v>
      </c>
      <c r="AD5" s="0" t="n">
        <v>-700</v>
      </c>
      <c r="AE5" s="0" t="n">
        <v>68.2</v>
      </c>
      <c r="AF5" s="0" t="n">
        <v>509133</v>
      </c>
      <c r="AG5" s="0" t="n">
        <v>8208</v>
      </c>
      <c r="AH5" s="0" t="n">
        <v>68.7</v>
      </c>
      <c r="AI5" s="0" t="n">
        <v>61.1</v>
      </c>
      <c r="AJ5" s="0" t="n">
        <v>6338</v>
      </c>
      <c r="AK5" s="0" t="n">
        <v>10718</v>
      </c>
      <c r="AL5" s="0" t="n">
        <v>497164</v>
      </c>
      <c r="AM5" s="0" t="n">
        <v>5796</v>
      </c>
      <c r="AN5" s="0" t="n">
        <v>-17590</v>
      </c>
      <c r="AO5" s="0" t="n">
        <v>9.6</v>
      </c>
      <c r="AP5" s="0" t="n">
        <v>11.7</v>
      </c>
      <c r="AQ5" s="0" t="n">
        <v>70863</v>
      </c>
    </row>
    <row r="6" customFormat="false" ht="15" hidden="false" customHeight="false" outlineLevel="0" collapsed="false">
      <c r="A6" s="0" t="s">
        <v>82</v>
      </c>
      <c r="B6" s="0" t="n">
        <v>28059</v>
      </c>
      <c r="F6" s="0" t="n">
        <v>7782</v>
      </c>
      <c r="G6" s="0" t="n">
        <v>27.7</v>
      </c>
      <c r="I6" s="0" t="n">
        <v>2018</v>
      </c>
      <c r="J6" s="0" t="n">
        <v>7.2</v>
      </c>
      <c r="K6" s="0" t="n">
        <v>1.73</v>
      </c>
      <c r="O6" s="0" t="n">
        <v>66451</v>
      </c>
      <c r="P6" s="0" t="n">
        <v>1486818</v>
      </c>
      <c r="Q6" s="0" t="n">
        <v>1414036</v>
      </c>
      <c r="R6" s="0" t="n">
        <v>149122</v>
      </c>
      <c r="S6" s="0" t="n">
        <v>207013</v>
      </c>
      <c r="T6" s="0" t="n">
        <v>801.147</v>
      </c>
      <c r="V6" s="0" t="n">
        <v>1.7</v>
      </c>
      <c r="AA6" s="0" t="s">
        <v>17</v>
      </c>
      <c r="AB6" s="0" t="s">
        <v>14</v>
      </c>
      <c r="AC6" s="0" t="n">
        <v>13.5</v>
      </c>
      <c r="AD6" s="0" t="n">
        <v>-1647</v>
      </c>
      <c r="AE6" s="0" t="n">
        <v>66.4</v>
      </c>
      <c r="AF6" s="0" t="n">
        <v>530764</v>
      </c>
      <c r="AG6" s="0" t="n">
        <v>9429</v>
      </c>
      <c r="AI6" s="0" t="n">
        <v>62.3</v>
      </c>
      <c r="AJ6" s="0" t="n">
        <v>2947</v>
      </c>
      <c r="AL6" s="0" t="n">
        <v>506529</v>
      </c>
      <c r="AM6" s="0" t="n">
        <v>6331</v>
      </c>
      <c r="AN6" s="0" t="n">
        <v>-18630</v>
      </c>
      <c r="AO6" s="0" t="n">
        <v>2.6</v>
      </c>
      <c r="AP6" s="0" t="n">
        <v>2.9</v>
      </c>
      <c r="AQ6" s="0" t="n">
        <v>72782</v>
      </c>
    </row>
    <row r="7" customFormat="false" ht="15" hidden="false" customHeight="false" outlineLevel="0" collapsed="false">
      <c r="A7" s="0" t="s">
        <v>83</v>
      </c>
      <c r="B7" s="0" t="n">
        <v>25104</v>
      </c>
      <c r="F7" s="0" t="n">
        <v>5555</v>
      </c>
      <c r="G7" s="0" t="n">
        <v>22.1</v>
      </c>
      <c r="I7" s="0" t="n">
        <v>2493</v>
      </c>
      <c r="J7" s="0" t="n">
        <v>9.9</v>
      </c>
      <c r="K7" s="0" t="n">
        <v>2.17</v>
      </c>
      <c r="O7" s="0" t="n">
        <v>65975</v>
      </c>
      <c r="P7" s="0" t="n">
        <v>1554045</v>
      </c>
      <c r="Q7" s="0" t="n">
        <v>1477798</v>
      </c>
      <c r="R7" s="0" t="n">
        <v>176400</v>
      </c>
      <c r="S7" s="0" t="n">
        <v>223048</v>
      </c>
      <c r="T7" s="0" t="n">
        <v>796.244</v>
      </c>
      <c r="V7" s="0" t="n">
        <v>0.9</v>
      </c>
      <c r="AA7" s="0" t="s">
        <v>17</v>
      </c>
      <c r="AB7" s="0" t="s">
        <v>14</v>
      </c>
      <c r="AC7" s="0" t="n">
        <v>13.1</v>
      </c>
      <c r="AD7" s="0" t="n">
        <v>-1025</v>
      </c>
      <c r="AE7" s="0" t="n">
        <v>73.8</v>
      </c>
      <c r="AF7" s="0" t="n">
        <v>541677</v>
      </c>
      <c r="AG7" s="0" t="n">
        <v>6580</v>
      </c>
      <c r="AH7" s="0" t="n">
        <v>71.5</v>
      </c>
      <c r="AI7" s="0" t="n">
        <v>62.7</v>
      </c>
      <c r="AJ7" s="0" t="n">
        <v>3449</v>
      </c>
      <c r="AK7" s="0" t="n">
        <v>10310</v>
      </c>
      <c r="AL7" s="0" t="n">
        <v>485449</v>
      </c>
      <c r="AM7" s="0" t="n">
        <v>10272</v>
      </c>
      <c r="AN7" s="0" t="n">
        <v>-18524</v>
      </c>
      <c r="AO7" s="0" t="n">
        <v>3.1</v>
      </c>
      <c r="AP7" s="0" t="n">
        <v>4.2</v>
      </c>
      <c r="AQ7" s="0" t="n">
        <v>76247</v>
      </c>
    </row>
    <row r="8" customFormat="false" ht="15" hidden="false" customHeight="false" outlineLevel="0" collapsed="false">
      <c r="A8" s="0" t="s">
        <v>84</v>
      </c>
      <c r="B8" s="0" t="n">
        <v>26788</v>
      </c>
      <c r="F8" s="0" t="n">
        <v>6786</v>
      </c>
      <c r="G8" s="0" t="n">
        <v>25.3</v>
      </c>
      <c r="I8" s="0" t="n">
        <v>4200</v>
      </c>
      <c r="J8" s="0" t="n">
        <v>15.7</v>
      </c>
      <c r="K8" s="0" t="n">
        <v>4.38</v>
      </c>
      <c r="O8" s="0" t="n">
        <v>70256</v>
      </c>
      <c r="P8" s="0" t="n">
        <v>1573545</v>
      </c>
      <c r="Q8" s="0" t="n">
        <v>1493957</v>
      </c>
      <c r="R8" s="0" t="n">
        <v>179209</v>
      </c>
      <c r="S8" s="0" t="n">
        <v>201680</v>
      </c>
      <c r="T8" s="0" t="n">
        <v>796.498</v>
      </c>
      <c r="V8" s="0" t="n">
        <v>1.09</v>
      </c>
      <c r="AA8" s="0" t="s">
        <v>17</v>
      </c>
      <c r="AB8" s="0" t="s">
        <v>14</v>
      </c>
      <c r="AC8" s="0" t="n">
        <v>13.3</v>
      </c>
      <c r="AD8" s="0" t="n">
        <v>-1530</v>
      </c>
      <c r="AE8" s="0" t="n">
        <v>69</v>
      </c>
      <c r="AF8" s="0" t="n">
        <v>531675</v>
      </c>
      <c r="AG8" s="0" t="n">
        <v>8316</v>
      </c>
      <c r="AH8" s="0" t="n">
        <v>75</v>
      </c>
      <c r="AI8" s="0" t="n">
        <v>66.1</v>
      </c>
      <c r="AJ8" s="0" t="n">
        <v>5129</v>
      </c>
      <c r="AK8" s="0" t="n">
        <v>9892</v>
      </c>
      <c r="AL8" s="0" t="n">
        <v>454622</v>
      </c>
      <c r="AM8" s="0" t="n">
        <v>9332</v>
      </c>
      <c r="AN8" s="0" t="n">
        <v>-18472</v>
      </c>
      <c r="AO8" s="0" t="n">
        <v>6.1</v>
      </c>
      <c r="AP8" s="0" t="n">
        <v>6.9</v>
      </c>
      <c r="AQ8" s="0" t="n">
        <v>79588</v>
      </c>
    </row>
    <row r="9" customFormat="false" ht="15" hidden="false" customHeight="false" outlineLevel="0" collapsed="false">
      <c r="A9" s="0" t="s">
        <v>85</v>
      </c>
      <c r="B9" s="0" t="n">
        <v>27254</v>
      </c>
      <c r="F9" s="0" t="n">
        <v>8439</v>
      </c>
      <c r="G9" s="0" t="n">
        <v>31</v>
      </c>
      <c r="I9" s="0" t="n">
        <v>6002</v>
      </c>
      <c r="J9" s="0" t="n">
        <v>22</v>
      </c>
      <c r="K9" s="0" t="n">
        <v>6.8</v>
      </c>
      <c r="O9" s="0" t="n">
        <v>70144</v>
      </c>
      <c r="P9" s="0" t="n">
        <v>1546641</v>
      </c>
      <c r="Q9" s="0" t="n">
        <v>1467114</v>
      </c>
      <c r="R9" s="0" t="n">
        <v>164005</v>
      </c>
      <c r="S9" s="0" t="n">
        <v>133322</v>
      </c>
      <c r="T9" s="0" t="n">
        <v>754.887</v>
      </c>
      <c r="V9" s="0" t="n">
        <v>1.61</v>
      </c>
      <c r="AA9" s="0" t="s">
        <v>17</v>
      </c>
      <c r="AB9" s="0" t="s">
        <v>14</v>
      </c>
      <c r="AC9" s="0" t="n">
        <v>13.5</v>
      </c>
      <c r="AD9" s="0" t="n">
        <v>-1477</v>
      </c>
      <c r="AE9" s="0" t="n">
        <v>63.6</v>
      </c>
      <c r="AF9" s="0" t="n">
        <v>525810</v>
      </c>
      <c r="AG9" s="0" t="n">
        <v>9916</v>
      </c>
      <c r="AH9" s="0" t="n">
        <v>80.5</v>
      </c>
      <c r="AI9" s="0" t="n">
        <v>71.4</v>
      </c>
      <c r="AJ9" s="0" t="n">
        <v>7032</v>
      </c>
      <c r="AL9" s="0" t="n">
        <v>454504</v>
      </c>
      <c r="AM9" s="0" t="n">
        <v>9383</v>
      </c>
      <c r="AN9" s="0" t="n">
        <v>-17338</v>
      </c>
      <c r="AO9" s="0" t="n">
        <v>9</v>
      </c>
      <c r="AP9" s="0" t="n">
        <v>10.2</v>
      </c>
      <c r="AQ9" s="0" t="n">
        <v>79527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86</v>
      </c>
      <c r="B1" s="2" t="s">
        <v>87</v>
      </c>
    </row>
    <row r="2" customFormat="false" ht="15" hidden="false" customHeight="false" outlineLevel="0" collapsed="false">
      <c r="A2" s="0" t="s">
        <v>88</v>
      </c>
      <c r="B2" s="3" t="n">
        <v>59.66</v>
      </c>
    </row>
    <row r="3" customFormat="false" ht="15" hidden="false" customHeight="false" outlineLevel="0" collapsed="false">
      <c r="A3" s="0" t="s">
        <v>89</v>
      </c>
      <c r="B3" s="3" t="n">
        <v>730.035</v>
      </c>
    </row>
    <row r="4" customFormat="false" ht="15" hidden="false" customHeight="false" outlineLevel="0" collapsed="false">
      <c r="A4" s="0" t="s">
        <v>90</v>
      </c>
      <c r="B4" s="3" t="n">
        <v>0</v>
      </c>
    </row>
    <row r="5" customFormat="false" ht="15" hidden="false" customHeight="false" outlineLevel="0" collapsed="false">
      <c r="A5" s="0" t="s">
        <v>91</v>
      </c>
      <c r="B5" s="3" t="n">
        <v>0</v>
      </c>
    </row>
    <row r="6" customFormat="false" ht="15" hidden="false" customHeight="false" outlineLevel="0" collapsed="false">
      <c r="A6" s="0" t="s">
        <v>92</v>
      </c>
      <c r="B6" s="3" t="n">
        <v>15</v>
      </c>
    </row>
    <row r="7" customFormat="false" ht="15" hidden="false" customHeight="false" outlineLevel="0" collapsed="false">
      <c r="A7" s="0" t="s">
        <v>93</v>
      </c>
      <c r="B7" s="3" t="n">
        <v>27254</v>
      </c>
    </row>
    <row r="8" customFormat="false" ht="15" hidden="false" customHeight="false" outlineLevel="0" collapsed="false">
      <c r="A8" s="0" t="s">
        <v>94</v>
      </c>
      <c r="B8" s="3" t="s">
        <v>85</v>
      </c>
    </row>
    <row r="9" customFormat="false" ht="15" hidden="false" customHeight="false" outlineLevel="0" collapsed="false">
      <c r="A9" s="0" t="s">
        <v>95</v>
      </c>
      <c r="B9" s="3" t="s">
        <v>96</v>
      </c>
    </row>
    <row r="10" customFormat="false" ht="15" hidden="false" customHeight="false" outlineLevel="0" collapsed="false">
      <c r="A10" s="0" t="s">
        <v>97</v>
      </c>
      <c r="B10" s="3" t="n">
        <v>1</v>
      </c>
    </row>
    <row r="12" customFormat="false" ht="15" hidden="false" customHeight="false" outlineLevel="0" collapsed="false">
      <c r="A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105</v>
      </c>
      <c r="J12" s="2" t="s">
        <v>106</v>
      </c>
      <c r="K12" s="2" t="s">
        <v>107</v>
      </c>
      <c r="L12" s="2" t="s">
        <v>108</v>
      </c>
    </row>
    <row r="13" customFormat="false" ht="15" hidden="false" customHeight="false" outlineLevel="0" collapsed="false">
      <c r="A13" s="0" t="s">
        <v>109</v>
      </c>
      <c r="C13" s="3" t="n">
        <v>2</v>
      </c>
      <c r="D13" s="3" t="n">
        <v>0.5</v>
      </c>
      <c r="E13" s="3" t="n">
        <v>0.5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110</v>
      </c>
      <c r="C14" s="3" t="n">
        <v>16.5</v>
      </c>
      <c r="D14" s="3" t="n">
        <v>15</v>
      </c>
      <c r="E14" s="3" t="n">
        <v>14.5</v>
      </c>
      <c r="F14" s="3" t="n">
        <v>14.5</v>
      </c>
      <c r="G14" s="3" t="n">
        <v>14.5</v>
      </c>
      <c r="H14" s="3" t="n">
        <v>14.5</v>
      </c>
      <c r="I14" s="3" t="n">
        <v>14.5</v>
      </c>
      <c r="J14" s="3" t="n">
        <v>14.5</v>
      </c>
      <c r="K14" s="3" t="n">
        <v>14.5</v>
      </c>
      <c r="L14" s="3" t="n">
        <v>14.5</v>
      </c>
    </row>
    <row r="15" customFormat="false" ht="15" hidden="false" customHeight="false" outlineLevel="0" collapsed="false">
      <c r="A15" s="0" t="s">
        <v>111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113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114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115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116</v>
      </c>
      <c r="B20" s="3" t="n">
        <v>12.5</v>
      </c>
    </row>
    <row r="21" customFormat="false" ht="15" hidden="false" customHeight="false" outlineLevel="0" collapsed="false">
      <c r="A21" s="0" t="s">
        <v>117</v>
      </c>
      <c r="B21" s="3" t="n">
        <v>1.5</v>
      </c>
    </row>
    <row r="22" customFormat="false" ht="15" hidden="false" customHeight="false" outlineLevel="0" collapsed="false">
      <c r="A22" s="0" t="s">
        <v>118</v>
      </c>
      <c r="B22" s="3" t="n">
        <v>12</v>
      </c>
    </row>
    <row r="23" customFormat="false" ht="15" hidden="false" customHeight="false" outlineLevel="0" collapsed="false">
      <c r="A23" s="0" t="s">
        <v>119</v>
      </c>
      <c r="B23" s="3" t="n">
        <v>0</v>
      </c>
    </row>
    <row r="24" customFormat="false" ht="15" hidden="false" customHeight="false" outlineLevel="0" collapsed="false">
      <c r="A24" s="0" t="s">
        <v>120</v>
      </c>
      <c r="B24" s="3" t="n">
        <v>0.3</v>
      </c>
    </row>
    <row r="26" customFormat="false" ht="15" hidden="false" customHeight="false" outlineLevel="0" collapsed="false">
      <c r="A26" s="2" t="s">
        <v>121</v>
      </c>
      <c r="C26" s="2" t="s">
        <v>99</v>
      </c>
      <c r="D26" s="2" t="s">
        <v>100</v>
      </c>
      <c r="E26" s="2" t="s">
        <v>101</v>
      </c>
      <c r="F26" s="2" t="s">
        <v>102</v>
      </c>
      <c r="G26" s="2" t="s">
        <v>103</v>
      </c>
      <c r="H26" s="2" t="s">
        <v>104</v>
      </c>
      <c r="I26" s="2" t="s">
        <v>105</v>
      </c>
      <c r="J26" s="2" t="s">
        <v>106</v>
      </c>
      <c r="K26" s="2" t="s">
        <v>107</v>
      </c>
      <c r="L26" s="2" t="s">
        <v>108</v>
      </c>
    </row>
    <row r="27" customFormat="false" ht="15" hidden="false" customHeight="false" outlineLevel="0" collapsed="false">
      <c r="A27" s="0" t="s">
        <v>109</v>
      </c>
      <c r="C27" s="3" t="n">
        <v>2.5</v>
      </c>
      <c r="D27" s="3" t="n">
        <v>3</v>
      </c>
      <c r="E27" s="3" t="n">
        <v>3</v>
      </c>
      <c r="F27" s="3" t="n">
        <v>3</v>
      </c>
      <c r="G27" s="3" t="n">
        <v>2.5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110</v>
      </c>
      <c r="C28" s="3" t="n">
        <v>17.5</v>
      </c>
      <c r="D28" s="3" t="n">
        <v>18.3</v>
      </c>
      <c r="E28" s="3" t="n">
        <v>19</v>
      </c>
      <c r="F28" s="3" t="n">
        <v>19.5</v>
      </c>
      <c r="G28" s="3" t="n">
        <v>19.5</v>
      </c>
      <c r="H28" s="3" t="n">
        <v>19.5</v>
      </c>
      <c r="I28" s="3" t="n">
        <v>19</v>
      </c>
      <c r="J28" s="3" t="n">
        <v>19</v>
      </c>
      <c r="K28" s="3" t="n">
        <v>19</v>
      </c>
      <c r="L28" s="3" t="n">
        <v>19</v>
      </c>
    </row>
    <row r="29" customFormat="false" ht="15" hidden="false" customHeight="false" outlineLevel="0" collapsed="false">
      <c r="A29" s="0" t="s">
        <v>111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114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115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116</v>
      </c>
      <c r="B34" s="3" t="n">
        <v>11</v>
      </c>
    </row>
    <row r="35" customFormat="false" ht="15" hidden="false" customHeight="false" outlineLevel="0" collapsed="false">
      <c r="A35" s="0" t="s">
        <v>117</v>
      </c>
      <c r="B35" s="3" t="n">
        <v>2</v>
      </c>
    </row>
    <row r="36" customFormat="false" ht="15" hidden="false" customHeight="false" outlineLevel="0" collapsed="false">
      <c r="A36" s="0" t="s">
        <v>118</v>
      </c>
      <c r="B36" s="3" t="n">
        <v>14</v>
      </c>
    </row>
    <row r="37" customFormat="false" ht="15" hidden="false" customHeight="false" outlineLevel="0" collapsed="false">
      <c r="A37" s="0" t="s">
        <v>119</v>
      </c>
      <c r="B37" s="3" t="n">
        <v>0</v>
      </c>
    </row>
    <row r="38" customFormat="false" ht="15" hidden="false" customHeight="false" outlineLevel="0" collapsed="false">
      <c r="A38" s="0" t="s">
        <v>120</v>
      </c>
      <c r="B38" s="3" t="n">
        <v>0.5</v>
      </c>
    </row>
    <row r="40" customFormat="false" ht="15" hidden="false" customHeight="false" outlineLevel="0" collapsed="false">
      <c r="A40" s="2" t="s">
        <v>122</v>
      </c>
      <c r="C40" s="2" t="s">
        <v>99</v>
      </c>
      <c r="D40" s="2" t="s">
        <v>100</v>
      </c>
      <c r="E40" s="2" t="s">
        <v>101</v>
      </c>
      <c r="F40" s="2" t="s">
        <v>102</v>
      </c>
      <c r="G40" s="2" t="s">
        <v>103</v>
      </c>
      <c r="H40" s="2" t="s">
        <v>104</v>
      </c>
      <c r="I40" s="2" t="s">
        <v>105</v>
      </c>
      <c r="J40" s="2" t="s">
        <v>106</v>
      </c>
      <c r="K40" s="2" t="s">
        <v>107</v>
      </c>
      <c r="L40" s="2" t="s">
        <v>108</v>
      </c>
    </row>
    <row r="41" customFormat="false" ht="15" hidden="false" customHeight="false" outlineLevel="0" collapsed="false">
      <c r="A41" s="0" t="s">
        <v>109</v>
      </c>
      <c r="C41" s="3" t="n">
        <v>3</v>
      </c>
      <c r="D41" s="3" t="n">
        <v>4</v>
      </c>
      <c r="E41" s="3" t="n">
        <v>4</v>
      </c>
      <c r="F41" s="3" t="n">
        <v>4</v>
      </c>
      <c r="G41" s="3" t="n">
        <v>3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110</v>
      </c>
      <c r="C42" s="3" t="n">
        <v>18</v>
      </c>
      <c r="D42" s="3" t="n">
        <v>19.5</v>
      </c>
      <c r="E42" s="3" t="n">
        <v>21</v>
      </c>
      <c r="F42" s="3" t="n">
        <v>22</v>
      </c>
      <c r="G42" s="3" t="n">
        <v>22</v>
      </c>
      <c r="H42" s="3" t="n">
        <v>22</v>
      </c>
      <c r="I42" s="3" t="n">
        <v>22</v>
      </c>
      <c r="J42" s="3" t="n">
        <v>22</v>
      </c>
      <c r="K42" s="3" t="n">
        <v>22</v>
      </c>
      <c r="L42" s="3" t="n">
        <v>22</v>
      </c>
    </row>
    <row r="43" customFormat="false" ht="15" hidden="false" customHeight="false" outlineLevel="0" collapsed="false">
      <c r="A43" s="0" t="s">
        <v>111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113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114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115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116</v>
      </c>
      <c r="B48" s="3" t="n">
        <v>10</v>
      </c>
    </row>
    <row r="49" customFormat="false" ht="15" hidden="false" customHeight="false" outlineLevel="0" collapsed="false">
      <c r="A49" s="0" t="s">
        <v>117</v>
      </c>
      <c r="B49" s="3" t="n">
        <v>2.5</v>
      </c>
    </row>
    <row r="50" customFormat="false" ht="15" hidden="false" customHeight="false" outlineLevel="0" collapsed="false">
      <c r="A50" s="0" t="s">
        <v>118</v>
      </c>
      <c r="B50" s="3" t="n">
        <v>16</v>
      </c>
    </row>
    <row r="51" customFormat="false" ht="15" hidden="false" customHeight="false" outlineLevel="0" collapsed="false">
      <c r="A51" s="0" t="s">
        <v>119</v>
      </c>
      <c r="B51" s="3" t="n">
        <v>0</v>
      </c>
    </row>
    <row r="52" customFormat="false" ht="15" hidden="false" customHeight="false" outlineLevel="0" collapsed="false">
      <c r="A52" s="0" t="s">
        <v>120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123</v>
      </c>
    </row>
    <row r="3" customFormat="false" ht="15" hidden="false" customHeight="false" outlineLevel="0" collapsed="false">
      <c r="A3" s="0" t="s">
        <v>124</v>
      </c>
      <c r="B3" s="0" t="s">
        <v>85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Assumptions!C13</f>
        <v>2</v>
      </c>
      <c r="D5" s="4" t="n">
        <f aca="false">Assumptions!D13</f>
        <v>0.5</v>
      </c>
      <c r="E5" s="4" t="n">
        <f aca="false">Assumptions!E13</f>
        <v>0.5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27254</v>
      </c>
      <c r="C6" s="0" t="n">
        <f aca="false">B6*(1+C5/100)</f>
        <v>27799.08</v>
      </c>
      <c r="D6" s="0" t="n">
        <f aca="false">C6*(1+D5/100)</f>
        <v>27938.0754</v>
      </c>
      <c r="E6" s="0" t="n">
        <f aca="false">D6*(1+E5/100)</f>
        <v>28077.765777</v>
      </c>
      <c r="F6" s="0" t="n">
        <f aca="false">E6*(1+F5/100)</f>
        <v>28358.54343477</v>
      </c>
      <c r="G6" s="0" t="n">
        <f aca="false">F6*(1+G5/100)</f>
        <v>28642.1288691177</v>
      </c>
      <c r="H6" s="0" t="n">
        <f aca="false">G6*(1+H5/100)</f>
        <v>28928.5501578089</v>
      </c>
      <c r="I6" s="0" t="n">
        <f aca="false">H6*(1+I5/100)</f>
        <v>29217.835659387</v>
      </c>
      <c r="J6" s="0" t="n">
        <f aca="false">I6*(1+J5/100)</f>
        <v>29510.0140159808</v>
      </c>
      <c r="K6" s="0" t="n">
        <f aca="false">J6*(1+K5/100)</f>
        <v>29805.1141561406</v>
      </c>
      <c r="L6" s="0" t="n">
        <f aca="false">K6*(1+L5/100)</f>
        <v>30103.165297702</v>
      </c>
    </row>
    <row r="7" customFormat="false" ht="15" hidden="false" customHeight="false" outlineLevel="0" collapsed="false">
      <c r="A7" s="0" t="s">
        <v>110</v>
      </c>
      <c r="C7" s="4" t="n">
        <f aca="false">Assumptions!C14</f>
        <v>16.5</v>
      </c>
      <c r="D7" s="4" t="n">
        <f aca="false">Assumptions!D14</f>
        <v>15</v>
      </c>
      <c r="E7" s="4" t="n">
        <f aca="false">Assumptions!E14</f>
        <v>14.5</v>
      </c>
      <c r="F7" s="4" t="n">
        <f aca="false">Assumptions!F14</f>
        <v>14.5</v>
      </c>
      <c r="G7" s="4" t="n">
        <f aca="false">Assumptions!G14</f>
        <v>14.5</v>
      </c>
      <c r="H7" s="4" t="n">
        <f aca="false">Assumptions!H14</f>
        <v>14.5</v>
      </c>
      <c r="I7" s="4" t="n">
        <f aca="false">Assumptions!I14</f>
        <v>14.5</v>
      </c>
      <c r="J7" s="4" t="n">
        <f aca="false">Assumptions!J14</f>
        <v>14.5</v>
      </c>
      <c r="K7" s="4" t="n">
        <f aca="false">Assumptions!K14</f>
        <v>14.5</v>
      </c>
      <c r="L7" s="4" t="n">
        <f aca="false">Assumptions!L14</f>
        <v>14.5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4586.8482</v>
      </c>
      <c r="D8" s="0" t="n">
        <f aca="false">D6*D7/100</f>
        <v>4190.71131</v>
      </c>
      <c r="E8" s="0" t="n">
        <f aca="false">E6*E7/100</f>
        <v>4071.276037665</v>
      </c>
      <c r="F8" s="0" t="n">
        <f aca="false">F6*F7/100</f>
        <v>4111.98879804165</v>
      </c>
      <c r="G8" s="0" t="n">
        <f aca="false">G6*G7/100</f>
        <v>4153.10868602207</v>
      </c>
      <c r="H8" s="0" t="n">
        <f aca="false">H6*H7/100</f>
        <v>4194.63977288229</v>
      </c>
      <c r="I8" s="0" t="n">
        <f aca="false">I6*I7/100</f>
        <v>4236.58617061111</v>
      </c>
      <c r="J8" s="0" t="n">
        <f aca="false">J6*J7/100</f>
        <v>4278.95203231722</v>
      </c>
      <c r="K8" s="0" t="n">
        <f aca="false">K6*K7/100</f>
        <v>4321.74155264039</v>
      </c>
      <c r="L8" s="0" t="n">
        <f aca="false">L6*L7/100</f>
        <v>4364.9589681668</v>
      </c>
    </row>
    <row r="9" customFormat="false" ht="15" hidden="false" customHeight="false" outlineLevel="0" collapsed="false">
      <c r="A9" s="0" t="s">
        <v>111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4586.8482</v>
      </c>
      <c r="D11" s="0" t="n">
        <f aca="false">D8+D10+D24</f>
        <v>4190.71131</v>
      </c>
      <c r="E11" s="0" t="n">
        <f aca="false">E8+E10+E24</f>
        <v>4071.276037665</v>
      </c>
      <c r="F11" s="0" t="n">
        <f aca="false">F8+F10+F24</f>
        <v>4111.98879804165</v>
      </c>
      <c r="G11" s="0" t="n">
        <f aca="false">G8+G10+G24</f>
        <v>4153.10868602207</v>
      </c>
      <c r="H11" s="0" t="n">
        <f aca="false">H8+H10+H24</f>
        <v>4194.63977288229</v>
      </c>
      <c r="I11" s="0" t="n">
        <f aca="false">I8+I10+I24</f>
        <v>4236.58617061111</v>
      </c>
      <c r="J11" s="0" t="n">
        <f aca="false">J8+J10+J24</f>
        <v>4278.95203231722</v>
      </c>
      <c r="K11" s="0" t="n">
        <f aca="false">K8+K10+K24</f>
        <v>4321.74155264039</v>
      </c>
      <c r="L11" s="0" t="n">
        <f aca="false">L8+L10+L24</f>
        <v>4364.9589681668</v>
      </c>
    </row>
    <row r="12" customFormat="false" ht="15" hidden="false" customHeight="false" outlineLevel="0" collapsed="false">
      <c r="A12" s="0" t="s">
        <v>128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4586.8482</v>
      </c>
      <c r="D13" s="0" t="n">
        <f aca="false">D11+D12</f>
        <v>4190.71131</v>
      </c>
      <c r="E13" s="0" t="n">
        <f aca="false">E11+E12</f>
        <v>4071.276037665</v>
      </c>
      <c r="F13" s="0" t="n">
        <f aca="false">F11+F12</f>
        <v>4111.98879804165</v>
      </c>
      <c r="G13" s="0" t="n">
        <f aca="false">G11+G12</f>
        <v>4153.10868602207</v>
      </c>
      <c r="H13" s="0" t="n">
        <f aca="false">H11+H12</f>
        <v>4194.63977288229</v>
      </c>
      <c r="I13" s="0" t="n">
        <f aca="false">I11+I12</f>
        <v>4236.58617061111</v>
      </c>
      <c r="J13" s="0" t="n">
        <f aca="false">J11+J12</f>
        <v>4278.95203231722</v>
      </c>
      <c r="K13" s="0" t="n">
        <f aca="false">K11+K12</f>
        <v>4321.74155264039</v>
      </c>
      <c r="L13" s="0" t="n">
        <f aca="false">L11+L12</f>
        <v>4364.9589681668</v>
      </c>
    </row>
    <row r="14" customFormat="false" ht="15" hidden="false" customHeight="false" outlineLevel="0" collapsed="false">
      <c r="A14" s="0" t="s">
        <v>115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4586.8482</v>
      </c>
      <c r="D15" s="0" t="n">
        <f aca="false">D13-MAX(0,D13)*D14/100</f>
        <v>4190.71131</v>
      </c>
      <c r="E15" s="0" t="n">
        <f aca="false">E13-MAX(0,E13)*E14/100</f>
        <v>4071.276037665</v>
      </c>
      <c r="F15" s="0" t="n">
        <f aca="false">F13-MAX(0,F13)*F14/100</f>
        <v>4111.98879804165</v>
      </c>
      <c r="G15" s="0" t="n">
        <f aca="false">G13-MAX(0,G13)*G14/100</f>
        <v>4153.10868602207</v>
      </c>
      <c r="H15" s="0" t="n">
        <f aca="false">H13-MAX(0,H13)*H14/100</f>
        <v>4194.63977288229</v>
      </c>
      <c r="I15" s="0" t="n">
        <f aca="false">I13-MAX(0,I13)*I14/100</f>
        <v>4236.58617061111</v>
      </c>
      <c r="J15" s="0" t="n">
        <f aca="false">J13-MAX(0,J13)*J14/100</f>
        <v>4278.95203231722</v>
      </c>
      <c r="K15" s="0" t="n">
        <f aca="false">K13-MAX(0,K13)*K14/100</f>
        <v>4321.74155264039</v>
      </c>
      <c r="L15" s="0" t="n">
        <f aca="false">L13-MAX(0,L13)*L14/100</f>
        <v>4364.9589681668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4586.8482</v>
      </c>
      <c r="D19" s="0" t="n">
        <f aca="false">D15+D16+D17+D18</f>
        <v>4190.71131</v>
      </c>
      <c r="E19" s="0" t="n">
        <f aca="false">E15+E16+E17+E18</f>
        <v>4071.276037665</v>
      </c>
      <c r="F19" s="0" t="n">
        <f aca="false">F15+F16+F17+F18</f>
        <v>4111.98879804165</v>
      </c>
      <c r="G19" s="0" t="n">
        <f aca="false">G15+G16+G17+G18</f>
        <v>4153.10868602207</v>
      </c>
      <c r="H19" s="0" t="n">
        <f aca="false">H15+H16+H17+H18</f>
        <v>4194.63977288229</v>
      </c>
      <c r="I19" s="0" t="n">
        <f aca="false">I15+I16+I17+I18</f>
        <v>4236.58617061111</v>
      </c>
      <c r="J19" s="0" t="n">
        <f aca="false">J15+J16+J17+J18</f>
        <v>4278.95203231722</v>
      </c>
      <c r="K19" s="0" t="n">
        <f aca="false">K15+K16+K17+K18</f>
        <v>4321.74155264039</v>
      </c>
      <c r="L19" s="0" t="n">
        <f aca="false">L15+L16+L17+L18</f>
        <v>4364.9589681668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4077.1984</v>
      </c>
      <c r="D21" s="0" t="n">
        <f aca="false">D19*D20</f>
        <v>3311.17930666667</v>
      </c>
      <c r="E21" s="0" t="n">
        <f aca="false">E19*E20</f>
        <v>2859.38728571259</v>
      </c>
      <c r="F21" s="0" t="n">
        <f aca="false">F19*F20</f>
        <v>2567.09436317308</v>
      </c>
      <c r="G21" s="0" t="n">
        <f aca="false">G19*G20</f>
        <v>2304.68027271539</v>
      </c>
      <c r="H21" s="0" t="n">
        <f aca="false">H19*H20</f>
        <v>2069.09073372671</v>
      </c>
      <c r="I21" s="0" t="n">
        <f aca="false">I19*I20</f>
        <v>1857.58368094575</v>
      </c>
      <c r="J21" s="0" t="n">
        <f aca="false">J19*J20</f>
        <v>1667.69734911574</v>
      </c>
      <c r="K21" s="0" t="n">
        <f aca="false">K19*K20</f>
        <v>1497.22162009502</v>
      </c>
      <c r="L21" s="0" t="n">
        <f aca="false">L19*L20</f>
        <v>1344.17229892975</v>
      </c>
    </row>
    <row r="23" customFormat="false" ht="15" hidden="false" customHeight="false" outlineLevel="0" collapsed="false">
      <c r="A23" s="0" t="s">
        <v>112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Assumptions!$B$20</f>
        <v>12.5</v>
      </c>
    </row>
    <row r="28" customFormat="false" ht="15" hidden="false" customHeight="false" outlineLevel="0" collapsed="false">
      <c r="A28" s="0" t="s">
        <v>117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118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23555.3053110807</v>
      </c>
    </row>
    <row r="31" customFormat="false" ht="15" hidden="false" customHeight="false" outlineLevel="0" collapsed="false">
      <c r="A31" s="0" t="s">
        <v>140</v>
      </c>
      <c r="B31" s="0" t="n">
        <f aca="false">L19</f>
        <v>4364.9589681668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40276.66684263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52379.5076180016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40276.66684263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12403.04439467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35958.3497057507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35958.3497057507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49.255651723206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-0.174394037492356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49.255651723206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32818.0248347355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40.374316732522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0" t="s">
        <v>124</v>
      </c>
      <c r="B3" s="0" t="s">
        <v>85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Assumptions!C27</f>
        <v>2.5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27254</v>
      </c>
      <c r="C6" s="0" t="n">
        <f aca="false">B6*(1+C5/100)</f>
        <v>27935.35</v>
      </c>
      <c r="D6" s="0" t="n">
        <f aca="false">C6*(1+D5/100)</f>
        <v>28773.4105</v>
      </c>
      <c r="E6" s="0" t="n">
        <f aca="false">D6*(1+E5/100)</f>
        <v>29636.612815</v>
      </c>
      <c r="F6" s="0" t="n">
        <f aca="false">E6*(1+F5/100)</f>
        <v>30525.71119945</v>
      </c>
      <c r="G6" s="0" t="n">
        <f aca="false">F6*(1+G5/100)</f>
        <v>31288.8539794362</v>
      </c>
      <c r="H6" s="0" t="n">
        <f aca="false">G6*(1+H5/100)</f>
        <v>32071.0753289222</v>
      </c>
      <c r="I6" s="0" t="n">
        <f aca="false">H6*(1+I5/100)</f>
        <v>32872.8522121452</v>
      </c>
      <c r="J6" s="0" t="n">
        <f aca="false">I6*(1+J5/100)</f>
        <v>33530.3092563881</v>
      </c>
      <c r="K6" s="0" t="n">
        <f aca="false">J6*(1+K5/100)</f>
        <v>34200.9154415159</v>
      </c>
      <c r="L6" s="0" t="n">
        <f aca="false">K6*(1+L5/100)</f>
        <v>34884.9337503462</v>
      </c>
    </row>
    <row r="7" customFormat="false" ht="15" hidden="false" customHeight="false" outlineLevel="0" collapsed="false">
      <c r="A7" s="0" t="s">
        <v>110</v>
      </c>
      <c r="C7" s="4" t="n">
        <f aca="false">Assumptions!C28</f>
        <v>17.5</v>
      </c>
      <c r="D7" s="4" t="n">
        <f aca="false">Assumptions!D28</f>
        <v>18.3</v>
      </c>
      <c r="E7" s="4" t="n">
        <f aca="false">Assumptions!E28</f>
        <v>19</v>
      </c>
      <c r="F7" s="4" t="n">
        <f aca="false">Assumptions!F28</f>
        <v>19.5</v>
      </c>
      <c r="G7" s="4" t="n">
        <f aca="false">Assumptions!G28</f>
        <v>19.5</v>
      </c>
      <c r="H7" s="4" t="n">
        <f aca="false">Assumptions!H28</f>
        <v>19.5</v>
      </c>
      <c r="I7" s="4" t="n">
        <f aca="false">Assumptions!I28</f>
        <v>19</v>
      </c>
      <c r="J7" s="4" t="n">
        <f aca="false">Assumptions!J28</f>
        <v>19</v>
      </c>
      <c r="K7" s="4" t="n">
        <f aca="false">Assumptions!K28</f>
        <v>19</v>
      </c>
      <c r="L7" s="4" t="n">
        <f aca="false">Assumptions!L28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4888.68625</v>
      </c>
      <c r="D8" s="0" t="n">
        <f aca="false">D6*D7/100</f>
        <v>5265.5341215</v>
      </c>
      <c r="E8" s="0" t="n">
        <f aca="false">E6*E7/100</f>
        <v>5630.95643485</v>
      </c>
      <c r="F8" s="0" t="n">
        <f aca="false">F6*F7/100</f>
        <v>5952.51368389275</v>
      </c>
      <c r="G8" s="0" t="n">
        <f aca="false">G6*G7/100</f>
        <v>6101.32652599007</v>
      </c>
      <c r="H8" s="0" t="n">
        <f aca="false">H6*H7/100</f>
        <v>6253.85968913982</v>
      </c>
      <c r="I8" s="0" t="n">
        <f aca="false">I6*I7/100</f>
        <v>6245.84192030759</v>
      </c>
      <c r="J8" s="0" t="n">
        <f aca="false">J6*J7/100</f>
        <v>6370.75875871374</v>
      </c>
      <c r="K8" s="0" t="n">
        <f aca="false">K6*K7/100</f>
        <v>6498.17393388802</v>
      </c>
      <c r="L8" s="0" t="n">
        <f aca="false">L6*L7/100</f>
        <v>6628.13741256578</v>
      </c>
    </row>
    <row r="9" customFormat="false" ht="15" hidden="false" customHeight="false" outlineLevel="0" collapsed="false">
      <c r="A9" s="0" t="s">
        <v>111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4888.68625</v>
      </c>
      <c r="D11" s="0" t="n">
        <f aca="false">D8+D10+D24</f>
        <v>5265.5341215</v>
      </c>
      <c r="E11" s="0" t="n">
        <f aca="false">E8+E10+E24</f>
        <v>5630.95643485</v>
      </c>
      <c r="F11" s="0" t="n">
        <f aca="false">F8+F10+F24</f>
        <v>5952.51368389275</v>
      </c>
      <c r="G11" s="0" t="n">
        <f aca="false">G8+G10+G24</f>
        <v>6101.32652599007</v>
      </c>
      <c r="H11" s="0" t="n">
        <f aca="false">H8+H10+H24</f>
        <v>6253.85968913982</v>
      </c>
      <c r="I11" s="0" t="n">
        <f aca="false">I8+I10+I24</f>
        <v>6245.84192030759</v>
      </c>
      <c r="J11" s="0" t="n">
        <f aca="false">J8+J10+J24</f>
        <v>6370.75875871374</v>
      </c>
      <c r="K11" s="0" t="n">
        <f aca="false">K8+K10+K24</f>
        <v>6498.17393388802</v>
      </c>
      <c r="L11" s="0" t="n">
        <f aca="false">L8+L10+L24</f>
        <v>6628.13741256578</v>
      </c>
    </row>
    <row r="12" customFormat="false" ht="15" hidden="false" customHeight="false" outlineLevel="0" collapsed="false">
      <c r="A12" s="0" t="s">
        <v>128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4888.68625</v>
      </c>
      <c r="D13" s="0" t="n">
        <f aca="false">D11+D12</f>
        <v>5265.5341215</v>
      </c>
      <c r="E13" s="0" t="n">
        <f aca="false">E11+E12</f>
        <v>5630.95643485</v>
      </c>
      <c r="F13" s="0" t="n">
        <f aca="false">F11+F12</f>
        <v>5952.51368389275</v>
      </c>
      <c r="G13" s="0" t="n">
        <f aca="false">G11+G12</f>
        <v>6101.32652599007</v>
      </c>
      <c r="H13" s="0" t="n">
        <f aca="false">H11+H12</f>
        <v>6253.85968913982</v>
      </c>
      <c r="I13" s="0" t="n">
        <f aca="false">I11+I12</f>
        <v>6245.84192030759</v>
      </c>
      <c r="J13" s="0" t="n">
        <f aca="false">J11+J12</f>
        <v>6370.75875871374</v>
      </c>
      <c r="K13" s="0" t="n">
        <f aca="false">K11+K12</f>
        <v>6498.17393388802</v>
      </c>
      <c r="L13" s="0" t="n">
        <f aca="false">L11+L12</f>
        <v>6628.13741256578</v>
      </c>
    </row>
    <row r="14" customFormat="false" ht="15" hidden="false" customHeight="false" outlineLevel="0" collapsed="false">
      <c r="A14" s="0" t="s">
        <v>115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4888.68625</v>
      </c>
      <c r="D15" s="0" t="n">
        <f aca="false">D13-MAX(0,D13)*D14/100</f>
        <v>5265.5341215</v>
      </c>
      <c r="E15" s="0" t="n">
        <f aca="false">E13-MAX(0,E13)*E14/100</f>
        <v>5630.95643485</v>
      </c>
      <c r="F15" s="0" t="n">
        <f aca="false">F13-MAX(0,F13)*F14/100</f>
        <v>5952.51368389275</v>
      </c>
      <c r="G15" s="0" t="n">
        <f aca="false">G13-MAX(0,G13)*G14/100</f>
        <v>6101.32652599007</v>
      </c>
      <c r="H15" s="0" t="n">
        <f aca="false">H13-MAX(0,H13)*H14/100</f>
        <v>6253.85968913982</v>
      </c>
      <c r="I15" s="0" t="n">
        <f aca="false">I13-MAX(0,I13)*I14/100</f>
        <v>6245.84192030759</v>
      </c>
      <c r="J15" s="0" t="n">
        <f aca="false">J13-MAX(0,J13)*J14/100</f>
        <v>6370.75875871374</v>
      </c>
      <c r="K15" s="0" t="n">
        <f aca="false">K13-MAX(0,K13)*K14/100</f>
        <v>6498.17393388802</v>
      </c>
      <c r="L15" s="0" t="n">
        <f aca="false">L13-MAX(0,L13)*L14/100</f>
        <v>6628.13741256578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4888.68625</v>
      </c>
      <c r="D19" s="0" t="n">
        <f aca="false">D15+D16+D17+D18</f>
        <v>5265.5341215</v>
      </c>
      <c r="E19" s="0" t="n">
        <f aca="false">E15+E16+E17+E18</f>
        <v>5630.95643485</v>
      </c>
      <c r="F19" s="0" t="n">
        <f aca="false">F15+F16+F17+F18</f>
        <v>5952.51368389275</v>
      </c>
      <c r="G19" s="0" t="n">
        <f aca="false">G15+G16+G17+G18</f>
        <v>6101.32652599007</v>
      </c>
      <c r="H19" s="0" t="n">
        <f aca="false">H15+H16+H17+H18</f>
        <v>6253.85968913982</v>
      </c>
      <c r="I19" s="0" t="n">
        <f aca="false">I15+I16+I17+I18</f>
        <v>6245.84192030759</v>
      </c>
      <c r="J19" s="0" t="n">
        <f aca="false">J15+J16+J17+J18</f>
        <v>6370.75875871374</v>
      </c>
      <c r="K19" s="0" t="n">
        <f aca="false">K15+K16+K17+K18</f>
        <v>6498.17393388802</v>
      </c>
      <c r="L19" s="0" t="n">
        <f aca="false">L15+L16+L17+L18</f>
        <v>6628.13741256578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4404.22184684685</v>
      </c>
      <c r="D21" s="0" t="n">
        <f aca="false">D19*D20</f>
        <v>4273.62561602143</v>
      </c>
      <c r="E21" s="0" t="n">
        <f aca="false">E19*E20</f>
        <v>4117.30681364345</v>
      </c>
      <c r="F21" s="0" t="n">
        <f aca="false">F19*F20</f>
        <v>3921.10513760211</v>
      </c>
      <c r="G21" s="0" t="n">
        <f aca="false">G19*G20</f>
        <v>3620.84032976772</v>
      </c>
      <c r="H21" s="0" t="n">
        <f aca="false">H19*H20</f>
        <v>3343.5687729837</v>
      </c>
      <c r="I21" s="0" t="n">
        <f aca="false">I19*I20</f>
        <v>3008.36229401051</v>
      </c>
      <c r="J21" s="0" t="n">
        <f aca="false">J19*J20</f>
        <v>2764.44102692858</v>
      </c>
      <c r="K21" s="0" t="n">
        <f aca="false">K19*K20</f>
        <v>2540.29715988032</v>
      </c>
      <c r="L21" s="0" t="n">
        <f aca="false">L19*L20</f>
        <v>2334.32711989002</v>
      </c>
    </row>
    <row r="23" customFormat="false" ht="15" hidden="false" customHeight="false" outlineLevel="0" collapsed="false">
      <c r="A23" s="0" t="s">
        <v>112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117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118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34328.0961175747</v>
      </c>
    </row>
    <row r="31" customFormat="false" ht="15" hidden="false" customHeight="false" outlineLevel="0" collapsed="false">
      <c r="A31" s="0" t="s">
        <v>140</v>
      </c>
      <c r="B31" s="0" t="n">
        <f aca="false">L19</f>
        <v>6628.13741256578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75118.8906757455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92793.9237759209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75118.8906757455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26455.7073587536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60783.8034763283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60783.8034763283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83.2614922247951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0.395599936721339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83.2614922247951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52005.3858524392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57.3214329236348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0" t="s">
        <v>124</v>
      </c>
      <c r="B3" s="0" t="s">
        <v>85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Assumptions!C41</f>
        <v>3</v>
      </c>
      <c r="D5" s="4" t="n">
        <f aca="false">Assumptions!D41</f>
        <v>4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27254</v>
      </c>
      <c r="C6" s="0" t="n">
        <f aca="false">B6*(1+C5/100)</f>
        <v>28071.62</v>
      </c>
      <c r="D6" s="0" t="n">
        <f aca="false">C6*(1+D5/100)</f>
        <v>29194.4848</v>
      </c>
      <c r="E6" s="0" t="n">
        <f aca="false">D6*(1+E5/100)</f>
        <v>30362.264192</v>
      </c>
      <c r="F6" s="0" t="n">
        <f aca="false">E6*(1+F5/100)</f>
        <v>31576.75475968</v>
      </c>
      <c r="G6" s="0" t="n">
        <f aca="false">F6*(1+G5/100)</f>
        <v>32524.0574024704</v>
      </c>
      <c r="H6" s="0" t="n">
        <f aca="false">G6*(1+H5/100)</f>
        <v>33499.7791245445</v>
      </c>
      <c r="I6" s="0" t="n">
        <f aca="false">H6*(1+I5/100)</f>
        <v>34504.7724982809</v>
      </c>
      <c r="J6" s="0" t="n">
        <f aca="false">I6*(1+J5/100)</f>
        <v>35367.3918107379</v>
      </c>
      <c r="K6" s="0" t="n">
        <f aca="false">J6*(1+K5/100)</f>
        <v>36251.5766060063</v>
      </c>
      <c r="L6" s="0" t="n">
        <f aca="false">K6*(1+L5/100)</f>
        <v>37157.8660211565</v>
      </c>
    </row>
    <row r="7" customFormat="false" ht="15" hidden="false" customHeight="false" outlineLevel="0" collapsed="false">
      <c r="A7" s="0" t="s">
        <v>110</v>
      </c>
      <c r="C7" s="4" t="n">
        <f aca="false">Assumptions!C42</f>
        <v>18</v>
      </c>
      <c r="D7" s="4" t="n">
        <f aca="false">Assumptions!D42</f>
        <v>19.5</v>
      </c>
      <c r="E7" s="4" t="n">
        <f aca="false">Assumptions!E42</f>
        <v>21</v>
      </c>
      <c r="F7" s="4" t="n">
        <f aca="false">Assumptions!F42</f>
        <v>22</v>
      </c>
      <c r="G7" s="4" t="n">
        <f aca="false">Assumptions!G42</f>
        <v>22</v>
      </c>
      <c r="H7" s="4" t="n">
        <f aca="false">Assumptions!H42</f>
        <v>22</v>
      </c>
      <c r="I7" s="4" t="n">
        <f aca="false">Assumptions!I42</f>
        <v>22</v>
      </c>
      <c r="J7" s="4" t="n">
        <f aca="false">Assumptions!J42</f>
        <v>22</v>
      </c>
      <c r="K7" s="4" t="n">
        <f aca="false">Assumptions!K42</f>
        <v>22</v>
      </c>
      <c r="L7" s="4" t="n">
        <f aca="false">Assumptions!L42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5052.8916</v>
      </c>
      <c r="D8" s="0" t="n">
        <f aca="false">D6*D7/100</f>
        <v>5692.924536</v>
      </c>
      <c r="E8" s="0" t="n">
        <f aca="false">E6*E7/100</f>
        <v>6376.07548032</v>
      </c>
      <c r="F8" s="0" t="n">
        <f aca="false">F6*F7/100</f>
        <v>6946.8860471296</v>
      </c>
      <c r="G8" s="0" t="n">
        <f aca="false">G6*G7/100</f>
        <v>7155.29262854349</v>
      </c>
      <c r="H8" s="0" t="n">
        <f aca="false">H6*H7/100</f>
        <v>7369.95140739979</v>
      </c>
      <c r="I8" s="0" t="n">
        <f aca="false">I6*I7/100</f>
        <v>7591.04994962179</v>
      </c>
      <c r="J8" s="0" t="n">
        <f aca="false">J6*J7/100</f>
        <v>7780.82619836233</v>
      </c>
      <c r="K8" s="0" t="n">
        <f aca="false">K6*K7/100</f>
        <v>7975.34685332139</v>
      </c>
      <c r="L8" s="0" t="n">
        <f aca="false">L6*L7/100</f>
        <v>8174.73052465442</v>
      </c>
    </row>
    <row r="9" customFormat="false" ht="15" hidden="false" customHeight="false" outlineLevel="0" collapsed="false">
      <c r="A9" s="0" t="s">
        <v>111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5052.8916</v>
      </c>
      <c r="D11" s="0" t="n">
        <f aca="false">D8+D10+D24</f>
        <v>5692.924536</v>
      </c>
      <c r="E11" s="0" t="n">
        <f aca="false">E8+E10+E24</f>
        <v>6376.07548032</v>
      </c>
      <c r="F11" s="0" t="n">
        <f aca="false">F8+F10+F24</f>
        <v>6946.8860471296</v>
      </c>
      <c r="G11" s="0" t="n">
        <f aca="false">G8+G10+G24</f>
        <v>7155.29262854349</v>
      </c>
      <c r="H11" s="0" t="n">
        <f aca="false">H8+H10+H24</f>
        <v>7369.95140739979</v>
      </c>
      <c r="I11" s="0" t="n">
        <f aca="false">I8+I10+I24</f>
        <v>7591.04994962179</v>
      </c>
      <c r="J11" s="0" t="n">
        <f aca="false">J8+J10+J24</f>
        <v>7780.82619836233</v>
      </c>
      <c r="K11" s="0" t="n">
        <f aca="false">K8+K10+K24</f>
        <v>7975.34685332139</v>
      </c>
      <c r="L11" s="0" t="n">
        <f aca="false">L8+L10+L24</f>
        <v>8174.73052465442</v>
      </c>
    </row>
    <row r="12" customFormat="false" ht="15" hidden="false" customHeight="false" outlineLevel="0" collapsed="false">
      <c r="A12" s="0" t="s">
        <v>128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5052.8916</v>
      </c>
      <c r="D13" s="0" t="n">
        <f aca="false">D11+D12</f>
        <v>5692.924536</v>
      </c>
      <c r="E13" s="0" t="n">
        <f aca="false">E11+E12</f>
        <v>6376.07548032</v>
      </c>
      <c r="F13" s="0" t="n">
        <f aca="false">F11+F12</f>
        <v>6946.8860471296</v>
      </c>
      <c r="G13" s="0" t="n">
        <f aca="false">G11+G12</f>
        <v>7155.29262854349</v>
      </c>
      <c r="H13" s="0" t="n">
        <f aca="false">H11+H12</f>
        <v>7369.95140739979</v>
      </c>
      <c r="I13" s="0" t="n">
        <f aca="false">I11+I12</f>
        <v>7591.04994962179</v>
      </c>
      <c r="J13" s="0" t="n">
        <f aca="false">J11+J12</f>
        <v>7780.82619836233</v>
      </c>
      <c r="K13" s="0" t="n">
        <f aca="false">K11+K12</f>
        <v>7975.34685332139</v>
      </c>
      <c r="L13" s="0" t="n">
        <f aca="false">L11+L12</f>
        <v>8174.73052465442</v>
      </c>
    </row>
    <row r="14" customFormat="false" ht="15" hidden="false" customHeight="false" outlineLevel="0" collapsed="false">
      <c r="A14" s="0" t="s">
        <v>115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5052.8916</v>
      </c>
      <c r="D15" s="0" t="n">
        <f aca="false">D13-MAX(0,D13)*D14/100</f>
        <v>5692.924536</v>
      </c>
      <c r="E15" s="0" t="n">
        <f aca="false">E13-MAX(0,E13)*E14/100</f>
        <v>6376.07548032</v>
      </c>
      <c r="F15" s="0" t="n">
        <f aca="false">F13-MAX(0,F13)*F14/100</f>
        <v>6946.8860471296</v>
      </c>
      <c r="G15" s="0" t="n">
        <f aca="false">G13-MAX(0,G13)*G14/100</f>
        <v>7155.29262854349</v>
      </c>
      <c r="H15" s="0" t="n">
        <f aca="false">H13-MAX(0,H13)*H14/100</f>
        <v>7369.95140739979</v>
      </c>
      <c r="I15" s="0" t="n">
        <f aca="false">I13-MAX(0,I13)*I14/100</f>
        <v>7591.04994962179</v>
      </c>
      <c r="J15" s="0" t="n">
        <f aca="false">J13-MAX(0,J13)*J14/100</f>
        <v>7780.82619836233</v>
      </c>
      <c r="K15" s="0" t="n">
        <f aca="false">K13-MAX(0,K13)*K14/100</f>
        <v>7975.34685332139</v>
      </c>
      <c r="L15" s="0" t="n">
        <f aca="false">L13-MAX(0,L13)*L14/100</f>
        <v>8174.73052465442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5052.8916</v>
      </c>
      <c r="D19" s="0" t="n">
        <f aca="false">D15+D16+D17+D18</f>
        <v>5692.924536</v>
      </c>
      <c r="E19" s="0" t="n">
        <f aca="false">E15+E16+E17+E18</f>
        <v>6376.07548032</v>
      </c>
      <c r="F19" s="0" t="n">
        <f aca="false">F15+F16+F17+F18</f>
        <v>6946.8860471296</v>
      </c>
      <c r="G19" s="0" t="n">
        <f aca="false">G15+G16+G17+G18</f>
        <v>7155.29262854349</v>
      </c>
      <c r="H19" s="0" t="n">
        <f aca="false">H15+H16+H17+H18</f>
        <v>7369.95140739979</v>
      </c>
      <c r="I19" s="0" t="n">
        <f aca="false">I15+I16+I17+I18</f>
        <v>7591.04994962179</v>
      </c>
      <c r="J19" s="0" t="n">
        <f aca="false">J15+J16+J17+J18</f>
        <v>7780.82619836233</v>
      </c>
      <c r="K19" s="0" t="n">
        <f aca="false">K15+K16+K17+K18</f>
        <v>7975.34685332139</v>
      </c>
      <c r="L19" s="0" t="n">
        <f aca="false">L15+L16+L17+L18</f>
        <v>8174.73052465442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4593.53781818182</v>
      </c>
      <c r="D21" s="0" t="n">
        <f aca="false">D19*D20</f>
        <v>4704.8963107438</v>
      </c>
      <c r="E21" s="0" t="n">
        <f aca="false">E19*E20</f>
        <v>4790.43988003005</v>
      </c>
      <c r="F21" s="0" t="n">
        <f aca="false">F19*F20</f>
        <v>4744.81664307738</v>
      </c>
      <c r="G21" s="0" t="n">
        <f aca="false">G19*G20</f>
        <v>4442.87376579064</v>
      </c>
      <c r="H21" s="0" t="n">
        <f aca="false">H19*H20</f>
        <v>4160.14543524033</v>
      </c>
      <c r="I21" s="0" t="n">
        <f aca="false">I19*I20</f>
        <v>3895.40890754322</v>
      </c>
      <c r="J21" s="0" t="n">
        <f aca="false">J19*J20</f>
        <v>3629.81284566527</v>
      </c>
      <c r="K21" s="0" t="n">
        <f aca="false">K19*K20</f>
        <v>3382.32560618809</v>
      </c>
      <c r="L21" s="0" t="n">
        <f aca="false">L19*L20</f>
        <v>3151.71249667527</v>
      </c>
    </row>
    <row r="23" customFormat="false" ht="15" hidden="false" customHeight="false" outlineLevel="0" collapsed="false">
      <c r="A23" s="0" t="s">
        <v>112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118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41495.9697091359</v>
      </c>
    </row>
    <row r="31" customFormat="false" ht="15" hidden="false" customHeight="false" outlineLevel="0" collapsed="false">
      <c r="A31" s="0" t="s">
        <v>140</v>
      </c>
      <c r="B31" s="0" t="n">
        <f aca="false">L19</f>
        <v>8174.73052465442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111721.317170277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130795.688394471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111721.317170277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43073.4041212286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84569.3738303645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84569.3738303645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115.842903190072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0.94171812252887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115.842903190072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67032.7903021663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68.2994744019978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156</v>
      </c>
    </row>
    <row r="3" customFormat="false" ht="15" hidden="false" customHeight="false" outlineLevel="0" collapsed="false">
      <c r="A3" s="2" t="s">
        <v>157</v>
      </c>
      <c r="B3" s="2" t="s">
        <v>158</v>
      </c>
      <c r="C3" s="2" t="s">
        <v>148</v>
      </c>
      <c r="D3" s="2" t="s">
        <v>159</v>
      </c>
      <c r="E3" s="2" t="s">
        <v>151</v>
      </c>
      <c r="F3" s="2" t="s">
        <v>160</v>
      </c>
    </row>
    <row r="4" customFormat="false" ht="15" hidden="false" customHeight="false" outlineLevel="0" collapsed="false">
      <c r="A4" s="0" t="s">
        <v>161</v>
      </c>
      <c r="B4" s="4" t="n">
        <f aca="false">DCF_Bear!$B$38</f>
        <v>49.255651723206</v>
      </c>
      <c r="C4" s="0" t="n">
        <f aca="false">B4/Assumptions!$B$2-1</f>
        <v>-0.174394037492356</v>
      </c>
      <c r="D4" s="4" t="n">
        <f aca="false">Assumptions!$B$24</f>
        <v>0.3</v>
      </c>
      <c r="E4" s="4" t="n">
        <f aca="false">DCF_Bear!$B$43</f>
        <v>49.255651723206</v>
      </c>
      <c r="F4" s="4" t="n">
        <f aca="false">DCF_Bear!$B$47</f>
        <v>40.374316732522</v>
      </c>
    </row>
    <row r="5" customFormat="false" ht="15" hidden="false" customHeight="false" outlineLevel="0" collapsed="false">
      <c r="A5" s="0" t="s">
        <v>162</v>
      </c>
      <c r="B5" s="4" t="n">
        <f aca="false">DCF_Base!$B$38</f>
        <v>83.2614922247951</v>
      </c>
      <c r="C5" s="0" t="n">
        <f aca="false">B5/Assumptions!$B$2-1</f>
        <v>0.395599936721339</v>
      </c>
      <c r="D5" s="4" t="n">
        <f aca="false">Assumptions!$B$38</f>
        <v>0.5</v>
      </c>
      <c r="E5" s="4" t="n">
        <f aca="false">DCF_Base!$B$43</f>
        <v>83.2614922247951</v>
      </c>
      <c r="F5" s="4" t="n">
        <f aca="false">DCF_Base!$B$47</f>
        <v>57.3214329236348</v>
      </c>
    </row>
    <row r="6" customFormat="false" ht="15" hidden="false" customHeight="false" outlineLevel="0" collapsed="false">
      <c r="A6" s="0" t="s">
        <v>163</v>
      </c>
      <c r="B6" s="4" t="n">
        <f aca="false">DCF_Bull!$B$38</f>
        <v>115.842903190072</v>
      </c>
      <c r="C6" s="0" t="n">
        <f aca="false">B6/Assumptions!$B$2-1</f>
        <v>0.94171812252887</v>
      </c>
      <c r="D6" s="4" t="n">
        <f aca="false">Assumptions!$B$52</f>
        <v>0.2</v>
      </c>
      <c r="E6" s="4" t="n">
        <f aca="false">DCF_Bull!$B$43</f>
        <v>115.842903190072</v>
      </c>
      <c r="F6" s="4" t="n">
        <f aca="false">DCF_Bull!$B$47</f>
        <v>68.2994744019978</v>
      </c>
    </row>
    <row r="8" customFormat="false" ht="15" hidden="false" customHeight="false" outlineLevel="0" collapsed="false">
      <c r="A8" s="0" t="s">
        <v>164</v>
      </c>
      <c r="B8" s="0" t="n">
        <f aca="false">SUMPRODUCT(B4:B6,D4:D6)</f>
        <v>79.5760222673738</v>
      </c>
    </row>
    <row r="9" customFormat="false" ht="15" hidden="false" customHeight="false" outlineLevel="0" collapsed="false">
      <c r="A9" s="0" t="s">
        <v>165</v>
      </c>
      <c r="B9" s="0" t="n">
        <f aca="false">SUMPRODUCT(E4:E6,D4:D6)</f>
        <v>79.5760222673738</v>
      </c>
    </row>
    <row r="10" customFormat="false" ht="15" hidden="false" customHeight="false" outlineLevel="0" collapsed="false">
      <c r="A10" s="0" t="s">
        <v>166</v>
      </c>
      <c r="B10" s="0" t="n">
        <f aca="false">1-Assumptions!$B$2/B8</f>
        <v>0.250276675057424</v>
      </c>
    </row>
    <row r="11" customFormat="false" ht="15" hidden="false" customHeight="false" outlineLevel="0" collapsed="false">
      <c r="A11" s="0" t="s">
        <v>167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168</v>
      </c>
      <c r="B12" s="0" t="n">
        <f aca="false">SUMPRODUCT(F4:F6,D4:D6)</f>
        <v>54.4329063619736</v>
      </c>
    </row>
    <row r="14" customFormat="false" ht="15" hidden="false" customHeight="false" outlineLevel="0" collapsed="false">
      <c r="A14" s="2" t="s">
        <v>169</v>
      </c>
      <c r="C14" s="0" t="s">
        <v>170</v>
      </c>
    </row>
    <row r="15" customFormat="false" ht="15" hidden="false" customHeight="false" outlineLevel="0" collapsed="false">
      <c r="A15" s="0" t="s">
        <v>171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105.171995023263</v>
      </c>
      <c r="C15" s="3" t="n">
        <v>9</v>
      </c>
    </row>
    <row r="16" customFormat="false" ht="15" hidden="false" customHeight="false" outlineLevel="0" collapsed="false">
      <c r="A16" s="0" t="s">
        <v>172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93.8050646308741</v>
      </c>
      <c r="C16" s="3" t="n">
        <v>10</v>
      </c>
    </row>
    <row r="17" customFormat="false" ht="15" hidden="false" customHeight="false" outlineLevel="0" collapsed="false">
      <c r="A17" s="0" t="s">
        <v>173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83.2614922247951</v>
      </c>
      <c r="C17" s="3" t="n">
        <v>11</v>
      </c>
    </row>
    <row r="18" customFormat="false" ht="15" hidden="false" customHeight="false" outlineLevel="0" collapsed="false">
      <c r="A18" s="0" t="s">
        <v>174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74.828356237787</v>
      </c>
      <c r="C18" s="3" t="n">
        <v>12</v>
      </c>
    </row>
    <row r="19" customFormat="false" ht="15" hidden="false" customHeight="false" outlineLevel="0" collapsed="false">
      <c r="A19" s="0" t="s">
        <v>175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57.3214329236348</v>
      </c>
      <c r="C19" s="3" t="n">
        <v>15</v>
      </c>
    </row>
    <row r="21" customFormat="false" ht="15" hidden="false" customHeight="false" outlineLevel="0" collapsed="false">
      <c r="A21" s="2" t="s">
        <v>176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99.8986578546287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103.382256347848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105.171995023263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105.171995023263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105.171995023263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88.4571907258279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90.9738372693791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93.8050646308741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97.0137889739019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98.180597825912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79.3178409644249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81.1858862982844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83.2614922247951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85.5812870838363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88.1910563002578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71.8519450222267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73.2692836963031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74.828356237787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76.5515416783745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78.4661921679162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65.6404546122206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66.7355015829775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67.9300982783487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69.2384660875648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70.6776706777025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2026-10-25T14:44:05Z</dcterms:created>
  <dc:creator>openpyxl</dc:creator>
  <dc:description/>
  <dc:language>en-NZ</dc:language>
  <cp:lastModifiedBy/>
  <dcterms:modified xsi:type="dcterms:W3CDTF">2026-10-25T14:44:05Z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