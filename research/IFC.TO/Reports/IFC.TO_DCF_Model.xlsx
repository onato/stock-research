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<sst xmlns="http://schemas.openxmlformats.org/spreadsheetml/2006/main" count="375" uniqueCount="174">
  <si>
    <t xml:space="preserve">Ticker</t>
  </si>
  <si>
    <t xml:space="preserve">IFC.TO</t>
  </si>
  <si>
    <t xml:space="preserve">Company</t>
  </si>
  <si>
    <t xml:space="preserve">Intact Financial Corporation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</si>
  <si>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</si>
  <si>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</si>
  <si>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</si>
  <si>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</si>
  <si>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API, regularMarketTime); 52-week range 236.92-305.52, so the price sits within 2% of its 52-week low</t>
  </si>
  <si>
    <t xml:space="preserve">Balance sheet date</t>
  </si>
  <si>
    <t xml:space="preserve">2025-12-31</t>
  </si>
  <si>
    <t xml:space="preserve">Model</t>
  </si>
  <si>
    <t xml:space="preserve">P&amp;C insurer free cash flow to equity capitalisation at cost of equity (engine route; pre-tax operating income after tax and regulatory capital retention, net debt held at zero, preferred and other equity deducted in the bridge)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</si>
  <si>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</si>
  <si>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</si>
  <si>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</si>
  <si>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</si>
  <si>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</si>
  <si>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</si>
  <si>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</si>
  <si>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</si>
  <si>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2026-10-10T08:57:12Z</t>
  </si>
  <si>
    <t xml:space="preserve">Drivers file</t>
  </si>
  <si>
    <t xml:space="preserve">IFC.TO_Drivers.json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</si>
  <si>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</si>
  <si>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</si>
  <si>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</si>
  <si>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P&amp;C insurer is valued on the earnings stream its underwriting and float produce after the capital it must retain to keep writing, not on reported free cash flow. Pre-tax operating income (underwriting + operating net investment income + distribution income - finance costs - other operating) is taxed at the operating rate, less equity retained in proportion to growth, and the remainder is capitalised at a CAD cost of equity with net debt at zero and preferred equity deducted once in the bridge. The anchor is the IFRS 17 period only; FY2025 is treated as a cyclically strong year (CATs 2 points under plan) and normalised to a ~90% combined ratio. Cross-checked against BVPS x sustainable P/B, which at a 16% mid-cycle ROE reproduces the current price.
key_risks_to_valuation: Stale anchors: balance sheet, share count, capital margin and preferred equity are at 31 Dec 2025; Q1/Q2-2026 interims were not in the folder. Price near the 52-week low suggests 2026 evidence the model has not seen.; Catastrophe losses: the $1.2bn annual guidance was undershot by ~$460m in FY2025; a 2024-style year (Q3-2024 combined ratio 103.9%) takes ~$2.5 off NOIPS.; Pricing cycle: Canadian personal lines are in a hard market; commercial/specialty is already softening. Each combined-ratio point is ~$230m pre-tax (~$1.0/share).; Investment income: 2026 guidance &gt;$1.6bn rests on a 3.9% book yield; reinvestment at 3.7% means NII grows only with assets.; UK&amp;I and US specialty execution: UK&amp;I combined ratio 94.8% FY2025 vs Canada 86.8%; the doubling ambition carries integration risk (DLG commercial book).; Capital deployment: the 3.7bn capital margin is treated as distributable; a large acquisition at a high multiple would convert it into goodwill.; Operating tax rate was flattered to 21.4% by UK&amp;I recoveries; the model's 22% could prove low.; Equity-model mechanics: the terminal multiple cap (15x base) binds below Gordon; a re-rating to the 10-year upper range (18x) adds ~10% to the base value.</t>
  </si>
  <si>
    <t xml:space="preserve">Data sources</t>
  </si>
  <si>
    <t xml:space="preserve">price: Yahoo Finance chart API (regularMarketPrice at inputs.price_as_of); 52-week range 236.92-305.52; CAD quote on the TSX, same currency as the filings so no FX bridge.
financials: research/IFC.TO/Reports/IFC.TO_Metrics.csv (core_metrics via export_csv.py) and kpis table; FY2025 operating build from IFC.TO_Annual_FY2025.txt Table 2.1 (lines 2185-2213: underwriting income 2,717, operating NII 1,632, distribution income 546, finance costs -239, other operating -181, PTOI 4,475, NOI to common 3,428, operating ETR 21.4%, BVPS 107.35, OROE 19.5%, total capital margin 3,722, adjusted debt-to-capital 16.5%), Table 28.5 (NOI to shareholders 3,518), share count line 6778, NCIB and subsequent events lines 4558-4568, Section 13 industry outlook lines 3409-3419, CAT guidance line 2971, investment income guidance line 3049.
qualitative: IFC.TO_Analysis.json was not yet written when this valuation was built (the qualitative analyst was running concurrently); the industry and strategy framing come from the FY2025 MD&amp;A and info.json's business summary. Re-read the Analysis JSON on the next refresh and revisit the scenario weights.</t>
  </si>
  <si>
    <t xml:space="preserve">Scenario narrative: bear</t>
  </si>
  <si>
    <t xml:space="preserve">Commercial and specialty pricing softens from 2026, personal auto growth is capped by provincial rate regulation, CAT losses run above the $1.2bn guidance as severity trends worsen, and UK&amp;I stays a mid-90s combined-ratio business. Margin settles ~13% pre-tax, growth ~2%, cost of equity 9.5% and terminal FCFE capped at 12x -- a 2024-style year (combined ratio 92.2%, NOIPS $14.43) becomes the run-rate rather than the trough.</t>
  </si>
  <si>
    <t xml:space="preserve">Scenario narrative: base</t>
  </si>
  <si>
    <t xml:space="preserve">Intact earns a mid-cycle ~90% combined ratio on insurance revenue that grows 5% in 2026 and fades to 2.5% by 2035, with operating investment income above $1.6bn growing with the float and distribution income (BrokerLink, On Side) compounding at ~10%. Pre-tax operating margin normalises from FY2025's low-CAT 16.6% to ~15% and holds there; ~70 cents of equity is retained per dollar of revenue growth and the rest is free cash flow to equity, discounted at an 8.5% CAD cost of equity. The FY2025 NOIPS of $19.21 does not repeat in 2026 on this basis (~$18 after normal CATs), which is the main reason the base value sits near the current price rather than above it.</t>
  </si>
  <si>
    <t xml:space="preserve">Scenario narrative: bull</t>
  </si>
  <si>
    <t xml:space="preserve">The hard market in Canadian personal lines runs through 2027, commercial repositioning finishes without further shrinkage, the UK&amp;I doubling and US specialty ambitions deliver 6-7% organic growth for three years, and the combined ratio holds ~88.5% on better pricing and claims-supply-chain economics. NOIPS compounds at the company's 10% objective, the cost of equity is 8.0% and terminal FCFE is capped at 17x.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</si>
  <si>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</si>
  <si>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</si>
  <si>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</si>
  <si>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</si>
  <si>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</si>
  <si>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</si>
  <si>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</si>
  <si>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</si>
  <si>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</si>
  <si>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</si>
  <si>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</si>
  <si>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</si>
  <si>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</si>
  <si>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</si>
  <si>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</si>
  <si>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</si>
  <si>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</si>
  <si>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</si>
  <si>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</si>
  <si>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</si>
  <si>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</si>
  <si>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</si>
  <si>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</si>
  <si>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</si>
  <si>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</si>
  <si>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</si>
  <si>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</si>
  <si>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</si>
  <si>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CombinedOperatingRatio</t>
  </si>
  <si>
    <t xml:space="preserve">GrossWrittenPremium</t>
  </si>
  <si>
    <t xml:space="preserve">InsuranceServiceResult</t>
  </si>
  <si>
    <t xml:space="preserve">NetEarnedPremium</t>
  </si>
  <si>
    <t xml:space="preserve">NetInsuranceFinancialResult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</si>
  <si>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</si>
  <si>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</si>
  <si>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</si>
  <si>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</si>
  <si>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</si>
  <si>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</si>
  <si>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</si>
  <si>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</si>
  <si>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</si>
  <si>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</si>
  <si>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</si>
  <si>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</si>
  <si>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</si>
  <si>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</si>
  <si>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</si>
  <si>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</si>
  <si>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</si>
  <si>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</si>
  <si>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</si>
  <si>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</si>
  <si>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</si>
  <si>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</si>
  <si>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</si>
  <si>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</si>
  <si>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</si>
  <si>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</si>
  <si>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</si>
  <si>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</si>
  <si>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</si>
  <si>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</si>
  <si>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</si>
  <si>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</si>
  <si>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</si>
  <si>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</si>
  <si>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</si>
  <si>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</si>
  <si>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</si>
  <si>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</si>
  <si>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</si>
  <si>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</si>
  <si>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</si>
  <si>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</si>
  <si>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</si>
  <si>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</si>
  <si>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</si>
  <si>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</si>
  <si>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</si>
  <si>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</si>
  <si>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</si>
  <si>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</si>
  <si>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IFC.TO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</si>
  <si>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</si>
  <si>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</si>
  <si>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</si>
  <si>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</si>
  <si>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</si>
  <si>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</si>
  <si>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</si>
  <si>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</si>
  <si>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</si>
  <si>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</si>
  <si>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</si>
  <si>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</si>
  <si>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</si>
  <si>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</si>
  <si>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</si>
  <si>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</si>
  <si>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</si>
  <si>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</si>
  <si>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</si>
  <si>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</si>
  <si>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</si>
  <si>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</si>
  <si>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</si>
  <si>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</si>
  <si>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</si>
  <si>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</si>
  <si>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</si>
  <si>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</si>
  <si>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</si>
  <si>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</si>
  <si>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IFC.TO owner-FCF component DCF: base case (millions, CAD)</t>
  </si>
  <si>
    <t xml:space="preserve">IFC.TO owner-FCF component DCF: bull case (millions, CAD)</t>
  </si>
  <si>
    <t xml:space="preserve">IFC.TO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</si>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</sst>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242.29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7434</v>
      </c>
      <c r="F2" s="0" t="n">
        <v>529</v>
      </c>
      <c r="G2" s="0" t="n">
        <v>7.1</v>
      </c>
      <c r="I2" s="0" t="n">
        <v>431</v>
      </c>
      <c r="J2" s="0" t="n">
        <v>5.8</v>
      </c>
      <c r="K2" s="0" t="n">
        <v>3.1</v>
      </c>
      <c r="L2" s="0" t="n">
        <v>185</v>
      </c>
      <c r="M2" s="0" t="n">
        <v>98</v>
      </c>
      <c r="N2" s="0" t="n">
        <v>87</v>
      </c>
      <c r="O2" s="0" t="n">
        <v>4954</v>
      </c>
      <c r="P2" s="0" t="n">
        <v>19774</v>
      </c>
      <c r="Q2" s="0" t="n">
        <v>14820</v>
      </c>
      <c r="R2" s="0" t="n">
        <v>1143</v>
      </c>
      <c r="S2" s="0" t="n">
        <v>99</v>
      </c>
      <c r="T2" s="0" t="n">
        <v>132.4</v>
      </c>
      <c r="U2" s="0" t="n">
        <v>16</v>
      </c>
      <c r="V2" s="0" t="n">
        <v>1.76</v>
      </c>
      <c r="AA2" s="0" t="s">
        <v>17</v>
      </c>
      <c r="AB2" s="0" t="s">
        <v>14</v>
      </c>
      <c r="AC2" s="0" t="n">
        <v>33.72</v>
      </c>
      <c r="AG2" s="0" t="n">
        <v>6972</v>
      </c>
    </row>
    <row r="3" customFormat="false" ht="15" hidden="false" customHeight="false" outlineLevel="0" collapsed="false">
      <c r="A3" s="0" t="s">
        <v>70</v>
      </c>
      <c r="B3" s="0" t="n">
        <v>7915</v>
      </c>
      <c r="F3" s="0" t="n">
        <v>1021</v>
      </c>
      <c r="G3" s="0" t="n">
        <v>12.9</v>
      </c>
      <c r="I3" s="0" t="n">
        <v>782</v>
      </c>
      <c r="J3" s="0" t="n">
        <v>9.9</v>
      </c>
      <c r="K3" s="0" t="n">
        <v>5.79</v>
      </c>
      <c r="L3" s="0" t="n">
        <v>1378</v>
      </c>
      <c r="M3" s="0" t="n">
        <v>97</v>
      </c>
      <c r="N3" s="0" t="n">
        <v>1281</v>
      </c>
      <c r="O3" s="0" t="n">
        <v>5455</v>
      </c>
      <c r="P3" s="0" t="n">
        <v>20580</v>
      </c>
      <c r="Q3" s="0" t="n">
        <v>15125</v>
      </c>
      <c r="R3" s="0" t="n">
        <v>1143</v>
      </c>
      <c r="S3" s="0" t="n">
        <v>89</v>
      </c>
      <c r="T3" s="0" t="n">
        <v>131.5</v>
      </c>
      <c r="U3" s="0" t="n">
        <v>18</v>
      </c>
      <c r="V3" s="0" t="n">
        <v>1.92</v>
      </c>
      <c r="AA3" s="0" t="s">
        <v>17</v>
      </c>
      <c r="AB3" s="0" t="s">
        <v>14</v>
      </c>
      <c r="AC3" s="0" t="n">
        <v>37.76</v>
      </c>
      <c r="AD3" s="0" t="n">
        <v>92.8</v>
      </c>
      <c r="AG3" s="0" t="n">
        <v>7164</v>
      </c>
    </row>
    <row r="4" customFormat="false" ht="15" hidden="false" customHeight="false" outlineLevel="0" collapsed="false">
      <c r="A4" s="0" t="s">
        <v>71</v>
      </c>
      <c r="B4" s="0" t="n">
        <v>8032</v>
      </c>
      <c r="F4" s="0" t="n">
        <v>939</v>
      </c>
      <c r="G4" s="0" t="n">
        <v>11.7</v>
      </c>
      <c r="I4" s="0" t="n">
        <v>706</v>
      </c>
      <c r="J4" s="0" t="n">
        <v>8.8</v>
      </c>
      <c r="K4" s="0" t="n">
        <v>5.2</v>
      </c>
      <c r="L4" s="0" t="n">
        <v>889</v>
      </c>
      <c r="M4" s="0" t="n">
        <v>89</v>
      </c>
      <c r="N4" s="0" t="n">
        <v>800</v>
      </c>
      <c r="O4" s="0" t="n">
        <v>5728</v>
      </c>
      <c r="P4" s="0" t="n">
        <v>21236</v>
      </c>
      <c r="Q4" s="0" t="n">
        <v>15508</v>
      </c>
      <c r="R4" s="0" t="n">
        <v>1143</v>
      </c>
      <c r="S4" s="0" t="n">
        <v>141</v>
      </c>
      <c r="T4" s="0" t="n">
        <v>131.5</v>
      </c>
      <c r="U4" s="0" t="n">
        <v>18</v>
      </c>
      <c r="V4" s="0" t="n">
        <v>2.12</v>
      </c>
      <c r="AA4" s="0" t="s">
        <v>17</v>
      </c>
      <c r="AB4" s="0" t="s">
        <v>14</v>
      </c>
      <c r="AC4" s="0" t="n">
        <v>39.84</v>
      </c>
      <c r="AD4" s="0" t="n">
        <v>91.6</v>
      </c>
      <c r="AG4" s="0" t="n">
        <v>7490</v>
      </c>
    </row>
    <row r="5" customFormat="false" ht="15" hidden="false" customHeight="false" outlineLevel="0" collapsed="false">
      <c r="A5" s="0" t="s">
        <v>72</v>
      </c>
      <c r="B5" s="0" t="n">
        <v>8616</v>
      </c>
      <c r="F5" s="0" t="n">
        <v>758</v>
      </c>
      <c r="G5" s="0" t="n">
        <v>8.8</v>
      </c>
      <c r="I5" s="0" t="n">
        <v>541</v>
      </c>
      <c r="J5" s="0" t="n">
        <v>6.3</v>
      </c>
      <c r="K5" s="0" t="n">
        <v>3.97</v>
      </c>
      <c r="L5" s="0" t="n">
        <v>925</v>
      </c>
      <c r="M5" s="0" t="n">
        <v>120</v>
      </c>
      <c r="N5" s="0" t="n">
        <v>805</v>
      </c>
      <c r="O5" s="0" t="n">
        <v>6088</v>
      </c>
      <c r="P5" s="0" t="n">
        <v>22991</v>
      </c>
      <c r="Q5" s="0" t="n">
        <v>16903</v>
      </c>
      <c r="R5" s="0" t="n">
        <v>1393</v>
      </c>
      <c r="S5" s="0" t="n">
        <v>168</v>
      </c>
      <c r="T5" s="0" t="n">
        <v>131.2</v>
      </c>
      <c r="U5" s="0" t="n">
        <v>32</v>
      </c>
      <c r="V5" s="0" t="n">
        <v>2.32</v>
      </c>
      <c r="AA5" s="0" t="s">
        <v>17</v>
      </c>
      <c r="AB5" s="0" t="s">
        <v>14</v>
      </c>
      <c r="AC5" s="0" t="n">
        <v>42.68</v>
      </c>
      <c r="AD5" s="0" t="n">
        <v>95.3</v>
      </c>
      <c r="AG5" s="0" t="n">
        <v>7902</v>
      </c>
    </row>
    <row r="6" customFormat="false" ht="15" hidden="false" customHeight="false" outlineLevel="0" collapsed="false">
      <c r="A6" s="0" t="s">
        <v>73</v>
      </c>
      <c r="B6" s="0" t="n">
        <v>9293</v>
      </c>
      <c r="F6" s="0" t="n">
        <v>1024</v>
      </c>
      <c r="G6" s="0" t="n">
        <v>11</v>
      </c>
      <c r="I6" s="0" t="n">
        <v>792</v>
      </c>
      <c r="J6" s="0" t="n">
        <v>8.5</v>
      </c>
      <c r="K6" s="0" t="n">
        <v>5.75</v>
      </c>
      <c r="L6" s="0" t="n">
        <v>781</v>
      </c>
      <c r="M6" s="0" t="n">
        <v>98</v>
      </c>
      <c r="N6" s="0" t="n">
        <v>683</v>
      </c>
      <c r="O6" s="0" t="n">
        <v>7463</v>
      </c>
      <c r="P6" s="0" t="n">
        <v>27928</v>
      </c>
      <c r="Q6" s="0" t="n">
        <v>20465</v>
      </c>
      <c r="R6" s="0" t="n">
        <v>2241</v>
      </c>
      <c r="S6" s="0" t="n">
        <v>163</v>
      </c>
      <c r="T6" s="0" t="n">
        <v>133.1</v>
      </c>
      <c r="U6" s="0" t="n">
        <v>34</v>
      </c>
      <c r="V6" s="0" t="n">
        <v>2.56</v>
      </c>
      <c r="AA6" s="0" t="s">
        <v>17</v>
      </c>
      <c r="AB6" s="0" t="s">
        <v>14</v>
      </c>
      <c r="AC6" s="0" t="n">
        <v>50.19</v>
      </c>
      <c r="AD6" s="0" t="n">
        <v>94.3</v>
      </c>
      <c r="AE6" s="0" t="n">
        <v>8748</v>
      </c>
      <c r="AG6" s="0" t="n">
        <v>8558</v>
      </c>
    </row>
    <row r="7" customFormat="false" ht="15" hidden="false" customHeight="false" outlineLevel="0" collapsed="false">
      <c r="A7" s="0" t="s">
        <v>74</v>
      </c>
      <c r="B7" s="0" t="n">
        <v>10586</v>
      </c>
      <c r="F7" s="0" t="n">
        <v>989</v>
      </c>
      <c r="G7" s="0" t="n">
        <v>9.3</v>
      </c>
      <c r="I7" s="0" t="n">
        <v>707</v>
      </c>
      <c r="J7" s="0" t="n">
        <v>6.7</v>
      </c>
      <c r="K7" s="0" t="n">
        <v>4.79</v>
      </c>
      <c r="L7" s="0" t="n">
        <v>833</v>
      </c>
      <c r="M7" s="0" t="n">
        <v>117</v>
      </c>
      <c r="N7" s="0" t="n">
        <v>716</v>
      </c>
      <c r="O7" s="0" t="n">
        <v>7810</v>
      </c>
      <c r="P7" s="0" t="n">
        <v>28461</v>
      </c>
      <c r="Q7" s="0" t="n">
        <v>20651</v>
      </c>
      <c r="R7" s="0" t="n">
        <v>2209</v>
      </c>
      <c r="S7" s="0" t="n">
        <v>442</v>
      </c>
      <c r="T7" s="0" t="n">
        <v>139.2</v>
      </c>
      <c r="U7" s="0" t="n">
        <v>59</v>
      </c>
      <c r="V7" s="0" t="n">
        <v>2.8</v>
      </c>
      <c r="AA7" s="0" t="s">
        <v>17</v>
      </c>
      <c r="AB7" s="0" t="s">
        <v>14</v>
      </c>
      <c r="AC7" s="0" t="n">
        <v>48.72</v>
      </c>
      <c r="AD7" s="0" t="n">
        <v>95.1</v>
      </c>
      <c r="AE7" s="0" t="n">
        <v>10125</v>
      </c>
      <c r="AG7" s="0" t="n">
        <v>9765</v>
      </c>
    </row>
    <row r="8" customFormat="false" ht="15" hidden="false" customHeight="false" outlineLevel="0" collapsed="false">
      <c r="A8" s="0" t="s">
        <v>75</v>
      </c>
      <c r="B8" s="0" t="n">
        <v>11207</v>
      </c>
      <c r="F8" s="0" t="n">
        <v>943</v>
      </c>
      <c r="G8" s="0" t="n">
        <v>8.4</v>
      </c>
      <c r="I8" s="0" t="n">
        <v>754</v>
      </c>
      <c r="J8" s="0" t="n">
        <v>6.7</v>
      </c>
      <c r="K8" s="0" t="n">
        <v>5.08</v>
      </c>
      <c r="L8" s="0" t="n">
        <v>1290</v>
      </c>
      <c r="M8" s="0" t="n">
        <v>117</v>
      </c>
      <c r="N8" s="0" t="n">
        <v>1173</v>
      </c>
      <c r="O8" s="0" t="n">
        <v>8747</v>
      </c>
      <c r="P8" s="0" t="n">
        <v>32292</v>
      </c>
      <c r="Q8" s="0" t="n">
        <v>23545</v>
      </c>
      <c r="R8" s="0" t="n">
        <v>2362</v>
      </c>
      <c r="S8" s="0" t="n">
        <v>936</v>
      </c>
      <c r="T8" s="0" t="n">
        <v>139.5</v>
      </c>
      <c r="U8" s="0" t="n">
        <v>72</v>
      </c>
      <c r="V8" s="0" t="n">
        <v>3.04</v>
      </c>
      <c r="AA8" s="0" t="s">
        <v>17</v>
      </c>
      <c r="AB8" s="0" t="s">
        <v>14</v>
      </c>
      <c r="AC8" s="0" t="n">
        <v>55.33</v>
      </c>
      <c r="AE8" s="0" t="n">
        <v>11019</v>
      </c>
      <c r="AG8" s="0" t="n">
        <v>10275</v>
      </c>
    </row>
    <row r="9" customFormat="false" ht="15" hidden="false" customHeight="false" outlineLevel="0" collapsed="false">
      <c r="A9" s="0" t="s">
        <v>76</v>
      </c>
      <c r="B9" s="0" t="n">
        <v>12303</v>
      </c>
      <c r="F9" s="0" t="n">
        <v>1474</v>
      </c>
      <c r="G9" s="0" t="n">
        <v>12</v>
      </c>
      <c r="I9" s="0" t="n">
        <v>1082</v>
      </c>
      <c r="J9" s="0" t="n">
        <v>8.8</v>
      </c>
      <c r="K9" s="0" t="n">
        <v>7.2</v>
      </c>
      <c r="L9" s="0" t="n">
        <v>2352</v>
      </c>
      <c r="M9" s="0" t="n">
        <v>163</v>
      </c>
      <c r="N9" s="0" t="n">
        <v>2189</v>
      </c>
      <c r="O9" s="0" t="n">
        <v>9583</v>
      </c>
      <c r="P9" s="0" t="n">
        <v>35119</v>
      </c>
      <c r="Q9" s="0" t="n">
        <v>25536</v>
      </c>
      <c r="R9" s="0" t="n">
        <v>3041</v>
      </c>
      <c r="S9" s="0" t="n">
        <v>917</v>
      </c>
      <c r="T9" s="0" t="n">
        <v>143</v>
      </c>
      <c r="U9" s="0" t="n">
        <v>65</v>
      </c>
      <c r="V9" s="0" t="n">
        <v>3.32</v>
      </c>
      <c r="AA9" s="0" t="s">
        <v>17</v>
      </c>
      <c r="AB9" s="0" t="s">
        <v>14</v>
      </c>
      <c r="AC9" s="0" t="n">
        <v>58.8</v>
      </c>
      <c r="AE9" s="0" t="n">
        <v>12143</v>
      </c>
      <c r="AG9" s="0" t="n">
        <v>11241</v>
      </c>
    </row>
    <row r="10" customFormat="false" ht="15" hidden="false" customHeight="false" outlineLevel="0" collapsed="false">
      <c r="A10" s="0" t="s">
        <v>77</v>
      </c>
      <c r="B10" s="0" t="n">
        <v>17635</v>
      </c>
      <c r="F10" s="0" t="n">
        <v>2721</v>
      </c>
      <c r="G10" s="0" t="n">
        <v>15.4</v>
      </c>
      <c r="I10" s="0" t="n">
        <v>2088</v>
      </c>
      <c r="J10" s="0" t="n">
        <v>11.8</v>
      </c>
      <c r="K10" s="0" t="n">
        <v>12.4</v>
      </c>
      <c r="L10" s="0" t="n">
        <v>3129</v>
      </c>
      <c r="M10" s="0" t="n">
        <v>327</v>
      </c>
      <c r="N10" s="0" t="n">
        <v>2802</v>
      </c>
      <c r="O10" s="0" t="n">
        <v>15674</v>
      </c>
      <c r="P10" s="0" t="n">
        <v>66349</v>
      </c>
      <c r="Q10" s="0" t="n">
        <v>49566</v>
      </c>
      <c r="R10" s="0" t="n">
        <v>5229</v>
      </c>
      <c r="S10" s="0" t="n">
        <v>2276</v>
      </c>
      <c r="T10" s="0" t="n">
        <v>162.4</v>
      </c>
      <c r="U10" s="0" t="n">
        <v>95</v>
      </c>
      <c r="V10" s="0" t="n">
        <v>3.4</v>
      </c>
      <c r="AA10" s="0" t="s">
        <v>17</v>
      </c>
      <c r="AB10" s="0" t="s">
        <v>14</v>
      </c>
      <c r="AC10" s="0" t="n">
        <v>89.28</v>
      </c>
      <c r="AE10" s="0" t="n">
        <v>17994</v>
      </c>
    </row>
    <row r="11" customFormat="false" ht="15" hidden="false" customHeight="false" outlineLevel="0" collapsed="false">
      <c r="A11" s="0" t="s">
        <v>78</v>
      </c>
      <c r="B11" s="0" t="n">
        <v>27455</v>
      </c>
      <c r="F11" s="0" t="n">
        <v>3184</v>
      </c>
      <c r="G11" s="0" t="n">
        <v>11.6</v>
      </c>
      <c r="I11" s="0" t="n">
        <v>2450</v>
      </c>
      <c r="J11" s="0" t="n">
        <v>8.9</v>
      </c>
      <c r="K11" s="0" t="n">
        <v>13.63</v>
      </c>
      <c r="L11" s="0" t="n">
        <v>3665</v>
      </c>
      <c r="M11" s="0" t="n">
        <v>411</v>
      </c>
      <c r="N11" s="0" t="n">
        <v>3254</v>
      </c>
      <c r="O11" s="0" t="n">
        <v>15843</v>
      </c>
      <c r="P11" s="0" t="n">
        <v>53741</v>
      </c>
      <c r="Q11" s="0" t="n">
        <v>37613</v>
      </c>
      <c r="R11" s="0" t="n">
        <v>4522</v>
      </c>
      <c r="S11" s="0" t="n">
        <v>1010</v>
      </c>
      <c r="T11" s="0" t="n">
        <v>175.6</v>
      </c>
      <c r="U11" s="0" t="n">
        <v>152</v>
      </c>
      <c r="V11" s="0" t="n">
        <v>4</v>
      </c>
      <c r="AA11" s="0" t="s">
        <v>17</v>
      </c>
      <c r="AB11" s="0" t="s">
        <v>14</v>
      </c>
      <c r="AC11" s="0" t="n">
        <v>82.69</v>
      </c>
      <c r="AE11" s="0" t="n">
        <v>21005</v>
      </c>
    </row>
    <row r="12" customFormat="false" ht="15" hidden="false" customHeight="false" outlineLevel="0" collapsed="false">
      <c r="A12" s="0" t="s">
        <v>79</v>
      </c>
      <c r="B12" s="0" t="n">
        <v>27516</v>
      </c>
      <c r="F12" s="0" t="n">
        <v>2026</v>
      </c>
      <c r="G12" s="0" t="n">
        <v>7.4</v>
      </c>
      <c r="I12" s="0" t="n">
        <v>1331</v>
      </c>
      <c r="J12" s="0" t="n">
        <v>4.8</v>
      </c>
      <c r="K12" s="0" t="n">
        <v>6.99</v>
      </c>
      <c r="L12" s="0" t="n">
        <v>1846</v>
      </c>
      <c r="M12" s="0" t="n">
        <v>458</v>
      </c>
      <c r="N12" s="0" t="n">
        <v>1388</v>
      </c>
      <c r="O12" s="0" t="n">
        <v>16190</v>
      </c>
      <c r="P12" s="0" t="n">
        <v>55979</v>
      </c>
      <c r="Q12" s="0" t="n">
        <v>39504</v>
      </c>
      <c r="R12" s="0" t="n">
        <v>5081</v>
      </c>
      <c r="S12" s="0" t="n">
        <v>1171</v>
      </c>
      <c r="T12" s="0" t="n">
        <v>176.2</v>
      </c>
      <c r="U12" s="0" t="n">
        <v>120</v>
      </c>
      <c r="V12" s="0" t="n">
        <v>4.4</v>
      </c>
      <c r="AA12" s="0" t="s">
        <v>17</v>
      </c>
      <c r="AB12" s="0" t="s">
        <v>14</v>
      </c>
      <c r="AC12" s="0" t="n">
        <v>82.7</v>
      </c>
      <c r="AE12" s="0" t="n">
        <v>22370</v>
      </c>
    </row>
    <row r="13" customFormat="false" ht="15" hidden="false" customHeight="false" outlineLevel="0" collapsed="false">
      <c r="A13" s="0" t="s">
        <v>80</v>
      </c>
      <c r="B13" s="0" t="n">
        <v>28796</v>
      </c>
      <c r="F13" s="0" t="n">
        <v>3100</v>
      </c>
      <c r="G13" s="0" t="n">
        <v>10.8</v>
      </c>
      <c r="I13" s="0" t="n">
        <v>2310</v>
      </c>
      <c r="J13" s="0" t="n">
        <v>8</v>
      </c>
      <c r="K13" s="0" t="n">
        <v>12.36</v>
      </c>
      <c r="L13" s="0" t="n">
        <v>3387</v>
      </c>
      <c r="M13" s="0" t="n">
        <v>429</v>
      </c>
      <c r="N13" s="0" t="n">
        <v>2958</v>
      </c>
      <c r="O13" s="0" t="n">
        <v>18148</v>
      </c>
      <c r="P13" s="0" t="n">
        <v>59526</v>
      </c>
      <c r="Q13" s="0" t="n">
        <v>41378</v>
      </c>
      <c r="R13" s="0" t="n">
        <v>4681</v>
      </c>
      <c r="S13" s="0" t="n">
        <v>1145</v>
      </c>
      <c r="T13" s="0" t="n">
        <v>178.4</v>
      </c>
      <c r="U13" s="0" t="n">
        <v>135</v>
      </c>
      <c r="V13" s="0" t="n">
        <v>4.84</v>
      </c>
      <c r="AA13" s="0" t="s">
        <v>17</v>
      </c>
      <c r="AB13" s="0" t="s">
        <v>14</v>
      </c>
      <c r="AC13" s="0" t="n">
        <v>92.65</v>
      </c>
      <c r="AE13" s="0" t="n">
        <v>23727</v>
      </c>
      <c r="AF13" s="0" t="n">
        <v>3186</v>
      </c>
      <c r="AH13" s="0" t="n">
        <v>-899</v>
      </c>
    </row>
    <row r="14" customFormat="false" ht="15" hidden="false" customHeight="false" outlineLevel="0" collapsed="false">
      <c r="A14" s="0" t="s">
        <v>81</v>
      </c>
      <c r="B14" s="0" t="n">
        <v>29400</v>
      </c>
      <c r="F14" s="0" t="n">
        <v>4532</v>
      </c>
      <c r="G14" s="0" t="n">
        <v>15.4</v>
      </c>
      <c r="I14" s="0" t="n">
        <v>3365</v>
      </c>
      <c r="J14" s="0" t="n">
        <v>11.4</v>
      </c>
      <c r="K14" s="0" t="n">
        <v>18.35</v>
      </c>
      <c r="L14" s="0" t="n">
        <v>4388</v>
      </c>
      <c r="M14" s="0" t="n">
        <v>457</v>
      </c>
      <c r="N14" s="0" t="n">
        <v>3931</v>
      </c>
      <c r="O14" s="0" t="n">
        <v>20836</v>
      </c>
      <c r="P14" s="0" t="n">
        <v>62868</v>
      </c>
      <c r="Q14" s="0" t="n">
        <v>42032</v>
      </c>
      <c r="R14" s="0" t="n">
        <v>4426</v>
      </c>
      <c r="S14" s="0" t="n">
        <v>1365</v>
      </c>
      <c r="T14" s="0" t="n">
        <v>178.1</v>
      </c>
      <c r="U14" s="0" t="n">
        <v>147</v>
      </c>
      <c r="V14" s="0" t="n">
        <v>5.32</v>
      </c>
      <c r="AA14" s="0" t="s">
        <v>17</v>
      </c>
      <c r="AB14" s="0" t="s">
        <v>14</v>
      </c>
      <c r="AC14" s="0" t="n">
        <v>107.07</v>
      </c>
      <c r="AE14" s="0" t="n">
        <v>25067</v>
      </c>
      <c r="AF14" s="0" t="n">
        <v>4294</v>
      </c>
      <c r="AH14" s="0" t="n">
        <v>-879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242.29</v>
      </c>
    </row>
    <row r="3" customFormat="false" ht="15" hidden="false" customHeight="false" outlineLevel="0" collapsed="false">
      <c r="A3" s="0" t="s">
        <v>85</v>
      </c>
      <c r="B3" s="3" t="n">
        <v>177.8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-1766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26950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2.5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14</v>
      </c>
      <c r="D14" s="3" t="n">
        <v>13.6</v>
      </c>
      <c r="E14" s="3" t="n">
        <v>13.4</v>
      </c>
      <c r="F14" s="3" t="n">
        <v>13.2</v>
      </c>
      <c r="G14" s="3" t="n">
        <v>13.1</v>
      </c>
      <c r="H14" s="3" t="n">
        <v>13.1</v>
      </c>
      <c r="I14" s="3" t="n">
        <v>13.1</v>
      </c>
      <c r="J14" s="3" t="n">
        <v>13.1</v>
      </c>
      <c r="K14" s="3" t="n">
        <v>13.1</v>
      </c>
      <c r="L14" s="3" t="n">
        <v>13.1</v>
      </c>
    </row>
    <row r="15" customFormat="false" ht="15" hidden="false" customHeight="false" outlineLevel="0" collapsed="false">
      <c r="A15" s="0" t="s">
        <v>107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2.5</v>
      </c>
      <c r="D18" s="3" t="n">
        <v>2.2</v>
      </c>
      <c r="E18" s="3" t="n">
        <v>2</v>
      </c>
      <c r="F18" s="3" t="n">
        <v>1.8</v>
      </c>
      <c r="G18" s="3" t="n">
        <v>1.6</v>
      </c>
      <c r="H18" s="3" t="n">
        <v>1.5</v>
      </c>
      <c r="I18" s="3" t="n">
        <v>1.5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5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15.5</v>
      </c>
      <c r="D28" s="3" t="n">
        <v>15.5</v>
      </c>
      <c r="E28" s="3" t="n">
        <v>15.4</v>
      </c>
      <c r="F28" s="3" t="n">
        <v>15.3</v>
      </c>
      <c r="G28" s="3" t="n">
        <v>15.2</v>
      </c>
      <c r="H28" s="3" t="n">
        <v>15.1</v>
      </c>
      <c r="I28" s="3" t="n">
        <v>15.1</v>
      </c>
      <c r="J28" s="3" t="n">
        <v>15.1</v>
      </c>
      <c r="K28" s="3" t="n">
        <v>15.1</v>
      </c>
      <c r="L28" s="3" t="n">
        <v>15.1</v>
      </c>
    </row>
    <row r="29" customFormat="false" ht="15" hidden="false" customHeight="false" outlineLevel="0" collapsed="false">
      <c r="A29" s="0" t="s">
        <v>107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3.5</v>
      </c>
      <c r="D32" s="3" t="n">
        <v>3.5</v>
      </c>
      <c r="E32" s="3" t="n">
        <v>3.2</v>
      </c>
      <c r="F32" s="3" t="n">
        <v>2.8</v>
      </c>
      <c r="G32" s="3" t="n">
        <v>2.8</v>
      </c>
      <c r="H32" s="3" t="n">
        <v>2.5</v>
      </c>
      <c r="I32" s="3" t="n">
        <v>2.1</v>
      </c>
      <c r="J32" s="3" t="n">
        <v>2.1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16.6</v>
      </c>
      <c r="D42" s="3" t="n">
        <v>16.6</v>
      </c>
      <c r="E42" s="3" t="n">
        <v>16.5</v>
      </c>
      <c r="F42" s="3" t="n">
        <v>16.5</v>
      </c>
      <c r="G42" s="3" t="n">
        <v>16.4</v>
      </c>
      <c r="H42" s="3" t="n">
        <v>16.4</v>
      </c>
      <c r="I42" s="3" t="n">
        <v>16.4</v>
      </c>
      <c r="J42" s="3" t="n">
        <v>16.4</v>
      </c>
      <c r="K42" s="3" t="n">
        <v>16.4</v>
      </c>
      <c r="L42" s="3" t="n">
        <v>16.4</v>
      </c>
    </row>
    <row r="43" customFormat="false" ht="15" hidden="false" customHeight="false" outlineLevel="0" collapsed="false">
      <c r="A43" s="0" t="s">
        <v>107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4.9</v>
      </c>
      <c r="D46" s="3" t="n">
        <v>4.9</v>
      </c>
      <c r="E46" s="3" t="n">
        <v>4.2</v>
      </c>
      <c r="F46" s="3" t="n">
        <v>3.9</v>
      </c>
      <c r="G46" s="3" t="n">
        <v>3.5</v>
      </c>
      <c r="H46" s="3" t="n">
        <v>3.2</v>
      </c>
      <c r="I46" s="3" t="n">
        <v>2.8</v>
      </c>
      <c r="J46" s="3" t="n">
        <v>2.5</v>
      </c>
      <c r="K46" s="3" t="n">
        <v>2.1</v>
      </c>
      <c r="L46" s="3" t="n">
        <v>2.1</v>
      </c>
    </row>
    <row r="47" customFormat="false" ht="15" hidden="false" customHeight="false" outlineLevel="0" collapsed="false">
      <c r="A47" s="0" t="s">
        <v>111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26950</v>
      </c>
      <c r="C6" s="0" t="n">
        <f aca="false">B6*(1+C5/100)</f>
        <v>27758.5</v>
      </c>
      <c r="D6" s="0" t="n">
        <f aca="false">C6*(1+D5/100)</f>
        <v>28452.4625</v>
      </c>
      <c r="E6" s="0" t="n">
        <f aca="false">D6*(1+E5/100)</f>
        <v>29163.7740625</v>
      </c>
      <c r="F6" s="0" t="n">
        <f aca="false">E6*(1+F5/100)</f>
        <v>29747.04954375</v>
      </c>
      <c r="G6" s="0" t="n">
        <f aca="false">F6*(1+G5/100)</f>
        <v>30341.990534625</v>
      </c>
      <c r="H6" s="0" t="n">
        <f aca="false">G6*(1+H5/100)</f>
        <v>30948.8303453175</v>
      </c>
      <c r="I6" s="0" t="n">
        <f aca="false">H6*(1+I5/100)</f>
        <v>31567.8069522239</v>
      </c>
      <c r="J6" s="0" t="n">
        <f aca="false">I6*(1+J5/100)</f>
        <v>32199.1630912683</v>
      </c>
      <c r="K6" s="0" t="n">
        <f aca="false">J6*(1+K5/100)</f>
        <v>32843.1463530937</v>
      </c>
      <c r="L6" s="0" t="n">
        <f aca="false">K6*(1+L5/100)</f>
        <v>33500.0092801556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14</v>
      </c>
      <c r="D7" s="4" t="n">
        <f aca="false">Assumptions!D14</f>
        <v>13.6</v>
      </c>
      <c r="E7" s="4" t="n">
        <f aca="false">Assumptions!E14</f>
        <v>13.4</v>
      </c>
      <c r="F7" s="4" t="n">
        <f aca="false">Assumptions!F14</f>
        <v>13.2</v>
      </c>
      <c r="G7" s="4" t="n">
        <f aca="false">Assumptions!G14</f>
        <v>13.1</v>
      </c>
      <c r="H7" s="4" t="n">
        <f aca="false">Assumptions!H14</f>
        <v>13.1</v>
      </c>
      <c r="I7" s="4" t="n">
        <f aca="false">Assumptions!I14</f>
        <v>13.1</v>
      </c>
      <c r="J7" s="4" t="n">
        <f aca="false">Assumptions!J14</f>
        <v>13.1</v>
      </c>
      <c r="K7" s="4" t="n">
        <f aca="false">Assumptions!K14</f>
        <v>13.1</v>
      </c>
      <c r="L7" s="4" t="n">
        <f aca="false">Assumptions!L14</f>
        <v>13.1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3886.19</v>
      </c>
      <c r="D8" s="0" t="n">
        <f aca="false">D6*D7/100</f>
        <v>3869.5349</v>
      </c>
      <c r="E8" s="0" t="n">
        <f aca="false">E6*E7/100</f>
        <v>3907.945724375</v>
      </c>
      <c r="F8" s="0" t="n">
        <f aca="false">F6*F7/100</f>
        <v>3926.610539775</v>
      </c>
      <c r="G8" s="0" t="n">
        <f aca="false">G6*G7/100</f>
        <v>3974.80076003587</v>
      </c>
      <c r="H8" s="0" t="n">
        <f aca="false">H6*H7/100</f>
        <v>4054.29677523659</v>
      </c>
      <c r="I8" s="0" t="n">
        <f aca="false">I6*I7/100</f>
        <v>4135.38271074132</v>
      </c>
      <c r="J8" s="0" t="n">
        <f aca="false">J6*J7/100</f>
        <v>4218.09036495615</v>
      </c>
      <c r="K8" s="0" t="n">
        <f aca="false">K6*K7/100</f>
        <v>4302.45217225527</v>
      </c>
      <c r="L8" s="0" t="n">
        <f aca="false">L6*L7/100</f>
        <v>4388.50121570038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-152.67175</v>
      </c>
      <c r="D10" s="0" t="n">
        <f aca="false">-D6*D9/100</f>
        <v>-156.48854375</v>
      </c>
      <c r="E10" s="0" t="n">
        <f aca="false">-E6*E9/100</f>
        <v>-160.40075734375</v>
      </c>
      <c r="F10" s="0" t="n">
        <f aca="false">-F6*F9/100</f>
        <v>-163.608772490625</v>
      </c>
      <c r="G10" s="0" t="n">
        <f aca="false">-G6*G9/100</f>
        <v>-166.880947940438</v>
      </c>
      <c r="H10" s="0" t="n">
        <f aca="false">-H6*H9/100</f>
        <v>-170.218566899246</v>
      </c>
      <c r="I10" s="0" t="n">
        <f aca="false">-I6*I9/100</f>
        <v>-173.622938237231</v>
      </c>
      <c r="J10" s="0" t="n">
        <f aca="false">-J6*J9/100</f>
        <v>-177.095397001976</v>
      </c>
      <c r="K10" s="0" t="n">
        <f aca="false">-K6*K9/100</f>
        <v>-180.637304942015</v>
      </c>
      <c r="L10" s="0" t="n">
        <f aca="false">-L6*L9/100</f>
        <v>-184.250051040856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3733.51825</v>
      </c>
      <c r="D11" s="0" t="n">
        <f aca="false">D8+D10+D24</f>
        <v>3713.04635625</v>
      </c>
      <c r="E11" s="0" t="n">
        <f aca="false">E8+E10+E24</f>
        <v>3747.54496703125</v>
      </c>
      <c r="F11" s="0" t="n">
        <f aca="false">F8+F10+F24</f>
        <v>3763.00176728437</v>
      </c>
      <c r="G11" s="0" t="n">
        <f aca="false">G8+G10+G24</f>
        <v>3807.91981209544</v>
      </c>
      <c r="H11" s="0" t="n">
        <f aca="false">H8+H10+H24</f>
        <v>3884.07820833735</v>
      </c>
      <c r="I11" s="0" t="n">
        <f aca="false">I8+I10+I24</f>
        <v>3961.75977250409</v>
      </c>
      <c r="J11" s="0" t="n">
        <f aca="false">J8+J10+J24</f>
        <v>4040.99496795417</v>
      </c>
      <c r="K11" s="0" t="n">
        <f aca="false">K8+K10+K24</f>
        <v>4121.81486731326</v>
      </c>
      <c r="L11" s="0" t="n">
        <f aca="false">L8+L10+L24</f>
        <v>4204.25116465952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3733.51825</v>
      </c>
      <c r="D13" s="0" t="n">
        <f aca="false">D11+D12</f>
        <v>3713.04635625</v>
      </c>
      <c r="E13" s="0" t="n">
        <f aca="false">E11+E12</f>
        <v>3747.54496703125</v>
      </c>
      <c r="F13" s="0" t="n">
        <f aca="false">F11+F12</f>
        <v>3763.00176728437</v>
      </c>
      <c r="G13" s="0" t="n">
        <f aca="false">G11+G12</f>
        <v>3807.91981209544</v>
      </c>
      <c r="H13" s="0" t="n">
        <f aca="false">H11+H12</f>
        <v>3884.07820833735</v>
      </c>
      <c r="I13" s="0" t="n">
        <f aca="false">I11+I12</f>
        <v>3961.75977250409</v>
      </c>
      <c r="J13" s="0" t="n">
        <f aca="false">J11+J12</f>
        <v>4040.99496795417</v>
      </c>
      <c r="K13" s="0" t="n">
        <f aca="false">K11+K12</f>
        <v>4121.81486731326</v>
      </c>
      <c r="L13" s="0" t="n">
        <f aca="false">L11+L12</f>
        <v>4204.25116465952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2874.8090525</v>
      </c>
      <c r="D15" s="0" t="n">
        <f aca="false">D13-MAX(0,D13)*D14/100</f>
        <v>2859.0456943125</v>
      </c>
      <c r="E15" s="0" t="n">
        <f aca="false">E13-MAX(0,E13)*E14/100</f>
        <v>2885.60962461406</v>
      </c>
      <c r="F15" s="0" t="n">
        <f aca="false">F13-MAX(0,F13)*F14/100</f>
        <v>2897.51136080897</v>
      </c>
      <c r="G15" s="0" t="n">
        <f aca="false">G13-MAX(0,G13)*G14/100</f>
        <v>2932.09825531349</v>
      </c>
      <c r="H15" s="0" t="n">
        <f aca="false">H13-MAX(0,H13)*H14/100</f>
        <v>2990.74022041976</v>
      </c>
      <c r="I15" s="0" t="n">
        <f aca="false">I13-MAX(0,I13)*I14/100</f>
        <v>3050.55502482815</v>
      </c>
      <c r="J15" s="0" t="n">
        <f aca="false">J13-MAX(0,J13)*J14/100</f>
        <v>3111.56612532471</v>
      </c>
      <c r="K15" s="0" t="n">
        <f aca="false">K13-MAX(0,K13)*K14/100</f>
        <v>3173.79744783121</v>
      </c>
      <c r="L15" s="0" t="n">
        <f aca="false">L13-MAX(0,L13)*L14/100</f>
        <v>3237.27339678783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-693.9625</v>
      </c>
      <c r="D17" s="4" t="n">
        <f aca="false">-D6*Assumptions!D18/100</f>
        <v>-625.954175</v>
      </c>
      <c r="E17" s="4" t="n">
        <f aca="false">-E6*Assumptions!E18/100</f>
        <v>-583.27548125</v>
      </c>
      <c r="F17" s="4" t="n">
        <f aca="false">-F6*Assumptions!F18/100</f>
        <v>-535.4468917875</v>
      </c>
      <c r="G17" s="4" t="n">
        <f aca="false">-G6*Assumptions!G18/100</f>
        <v>-485.471848554</v>
      </c>
      <c r="H17" s="4" t="n">
        <f aca="false">-H6*Assumptions!H18/100</f>
        <v>-464.232455179763</v>
      </c>
      <c r="I17" s="4" t="n">
        <f aca="false">-I6*Assumptions!I18/100</f>
        <v>-473.517104283358</v>
      </c>
      <c r="J17" s="4" t="n">
        <f aca="false">-J6*Assumptions!J18/100</f>
        <v>-482.987446369025</v>
      </c>
      <c r="K17" s="4" t="n">
        <f aca="false">-K6*Assumptions!K18/100</f>
        <v>-492.647195296405</v>
      </c>
      <c r="L17" s="4" t="n">
        <f aca="false">-L6*Assumptions!L18/100</f>
        <v>-502.500139202334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2180.8465525</v>
      </c>
      <c r="D19" s="0" t="n">
        <f aca="false">D15+D16+D17+D18</f>
        <v>2233.0915193125</v>
      </c>
      <c r="E19" s="0" t="n">
        <f aca="false">E15+E16+E17+E18</f>
        <v>2302.33414336406</v>
      </c>
      <c r="F19" s="0" t="n">
        <f aca="false">F15+F16+F17+F18</f>
        <v>2362.06446902147</v>
      </c>
      <c r="G19" s="0" t="n">
        <f aca="false">G15+G16+G17+G18</f>
        <v>2446.62640675949</v>
      </c>
      <c r="H19" s="0" t="n">
        <f aca="false">H15+H16+H17+H18</f>
        <v>2526.50776523999</v>
      </c>
      <c r="I19" s="0" t="n">
        <f aca="false">I15+I16+I17+I18</f>
        <v>2577.03792054479</v>
      </c>
      <c r="J19" s="0" t="n">
        <f aca="false">J15+J16+J17+J18</f>
        <v>2628.57867895569</v>
      </c>
      <c r="K19" s="0" t="n">
        <f aca="false">K15+K16+K17+K18</f>
        <v>2681.1502525348</v>
      </c>
      <c r="L19" s="0" t="n">
        <f aca="false">L15+L16+L17+L18</f>
        <v>2734.7732575855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1991.64068721461</v>
      </c>
      <c r="D21" s="0" t="n">
        <f aca="false">D19*D20</f>
        <v>1862.42281796668</v>
      </c>
      <c r="E21" s="0" t="n">
        <f aca="false">E19*E20</f>
        <v>1753.58166742142</v>
      </c>
      <c r="F21" s="0" t="n">
        <f aca="false">F19*F20</f>
        <v>1642.99132420241</v>
      </c>
      <c r="G21" s="0" t="n">
        <f aca="false">G19*G20</f>
        <v>1554.16478018278</v>
      </c>
      <c r="H21" s="0" t="n">
        <f aca="false">H19*H20</f>
        <v>1465.66906760721</v>
      </c>
      <c r="I21" s="0" t="n">
        <f aca="false">I19*I20</f>
        <v>1365.28077530535</v>
      </c>
      <c r="J21" s="0" t="n">
        <f aca="false">J19*J20</f>
        <v>1271.76839343512</v>
      </c>
      <c r="K21" s="0" t="n">
        <f aca="false">K19*K20</f>
        <v>1184.66096922723</v>
      </c>
      <c r="L21" s="0" t="n">
        <f aca="false">L19*L20</f>
        <v>1103.51980695139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15195.7002895142</v>
      </c>
    </row>
    <row r="31" customFormat="false" ht="15" hidden="false" customHeight="false" outlineLevel="0" collapsed="false">
      <c r="A31" s="0" t="s">
        <v>136</v>
      </c>
      <c r="B31" s="0" t="n">
        <f aca="false">L19</f>
        <v>2734.7732575855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37192.9163031628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32817.279091026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32817.279091026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13242.2376834167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28437.9379729309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26671.9379729309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150.01089973527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-0.380862191030296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1042.49316526288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1011.12612923335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161.561064496216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21457.4517133632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87.5260993887867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26950</v>
      </c>
      <c r="C6" s="0" t="n">
        <f aca="false">B6*(1+C5/100)</f>
        <v>28297.5</v>
      </c>
      <c r="D6" s="0" t="n">
        <f aca="false">C6*(1+D5/100)</f>
        <v>29712.375</v>
      </c>
      <c r="E6" s="0" t="n">
        <f aca="false">D6*(1+E5/100)</f>
        <v>31049.431875</v>
      </c>
      <c r="F6" s="0" t="n">
        <f aca="false">E6*(1+F5/100)</f>
        <v>32291.40915</v>
      </c>
      <c r="G6" s="0" t="n">
        <f aca="false">F6*(1+G5/100)</f>
        <v>33583.065516</v>
      </c>
      <c r="H6" s="0" t="n">
        <f aca="false">G6*(1+H5/100)</f>
        <v>34758.47280906</v>
      </c>
      <c r="I6" s="0" t="n">
        <f aca="false">H6*(1+I5/100)</f>
        <v>35801.2269933318</v>
      </c>
      <c r="J6" s="0" t="n">
        <f aca="false">I6*(1+J5/100)</f>
        <v>36875.2638031318</v>
      </c>
      <c r="K6" s="0" t="n">
        <f aca="false">J6*(1+K5/100)</f>
        <v>37797.14539821</v>
      </c>
      <c r="L6" s="0" t="n">
        <f aca="false">K6*(1+L5/100)</f>
        <v>38742.0740331653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15.5</v>
      </c>
      <c r="D7" s="4" t="n">
        <f aca="false">Assumptions!D28</f>
        <v>15.5</v>
      </c>
      <c r="E7" s="4" t="n">
        <f aca="false">Assumptions!E28</f>
        <v>15.4</v>
      </c>
      <c r="F7" s="4" t="n">
        <f aca="false">Assumptions!F28</f>
        <v>15.3</v>
      </c>
      <c r="G7" s="4" t="n">
        <f aca="false">Assumptions!G28</f>
        <v>15.2</v>
      </c>
      <c r="H7" s="4" t="n">
        <f aca="false">Assumptions!H28</f>
        <v>15.1</v>
      </c>
      <c r="I7" s="4" t="n">
        <f aca="false">Assumptions!I28</f>
        <v>15.1</v>
      </c>
      <c r="J7" s="4" t="n">
        <f aca="false">Assumptions!J28</f>
        <v>15.1</v>
      </c>
      <c r="K7" s="4" t="n">
        <f aca="false">Assumptions!K28</f>
        <v>15.1</v>
      </c>
      <c r="L7" s="4" t="n">
        <f aca="false">Assumptions!L28</f>
        <v>15.1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4386.1125</v>
      </c>
      <c r="D8" s="0" t="n">
        <f aca="false">D6*D7/100</f>
        <v>4605.418125</v>
      </c>
      <c r="E8" s="0" t="n">
        <f aca="false">E6*E7/100</f>
        <v>4781.61250875</v>
      </c>
      <c r="F8" s="0" t="n">
        <f aca="false">F6*F7/100</f>
        <v>4940.58559995</v>
      </c>
      <c r="G8" s="0" t="n">
        <f aca="false">G6*G7/100</f>
        <v>5104.625958432</v>
      </c>
      <c r="H8" s="0" t="n">
        <f aca="false">H6*H7/100</f>
        <v>5248.52939416806</v>
      </c>
      <c r="I8" s="0" t="n">
        <f aca="false">I6*I7/100</f>
        <v>5405.9852759931</v>
      </c>
      <c r="J8" s="0" t="n">
        <f aca="false">J6*J7/100</f>
        <v>5568.16483427289</v>
      </c>
      <c r="K8" s="0" t="n">
        <f aca="false">K6*K7/100</f>
        <v>5707.36895512972</v>
      </c>
      <c r="L8" s="0" t="n">
        <f aca="false">L6*L7/100</f>
        <v>5850.05317900796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-155.63625</v>
      </c>
      <c r="D10" s="0" t="n">
        <f aca="false">-D6*D9/100</f>
        <v>-163.4180625</v>
      </c>
      <c r="E10" s="0" t="n">
        <f aca="false">-E6*E9/100</f>
        <v>-170.7718753125</v>
      </c>
      <c r="F10" s="0" t="n">
        <f aca="false">-F6*F9/100</f>
        <v>-177.602750325</v>
      </c>
      <c r="G10" s="0" t="n">
        <f aca="false">-G6*G9/100</f>
        <v>-184.706860338</v>
      </c>
      <c r="H10" s="0" t="n">
        <f aca="false">-H6*H9/100</f>
        <v>-191.17160044983</v>
      </c>
      <c r="I10" s="0" t="n">
        <f aca="false">-I6*I9/100</f>
        <v>-196.906748463325</v>
      </c>
      <c r="J10" s="0" t="n">
        <f aca="false">-J6*J9/100</f>
        <v>-202.813950917225</v>
      </c>
      <c r="K10" s="0" t="n">
        <f aca="false">-K6*K9/100</f>
        <v>-207.884299690155</v>
      </c>
      <c r="L10" s="0" t="n">
        <f aca="false">-L6*L9/100</f>
        <v>-213.081407182409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4230.47625</v>
      </c>
      <c r="D11" s="0" t="n">
        <f aca="false">D8+D10+D24</f>
        <v>4442.0000625</v>
      </c>
      <c r="E11" s="0" t="n">
        <f aca="false">E8+E10+E24</f>
        <v>4610.8406334375</v>
      </c>
      <c r="F11" s="0" t="n">
        <f aca="false">F8+F10+F24</f>
        <v>4762.982849625</v>
      </c>
      <c r="G11" s="0" t="n">
        <f aca="false">G8+G10+G24</f>
        <v>4919.919098094</v>
      </c>
      <c r="H11" s="0" t="n">
        <f aca="false">H8+H10+H24</f>
        <v>5057.35779371823</v>
      </c>
      <c r="I11" s="0" t="n">
        <f aca="false">I8+I10+I24</f>
        <v>5209.07852752978</v>
      </c>
      <c r="J11" s="0" t="n">
        <f aca="false">J8+J10+J24</f>
        <v>5365.35088335567</v>
      </c>
      <c r="K11" s="0" t="n">
        <f aca="false">K8+K10+K24</f>
        <v>5499.48465543956</v>
      </c>
      <c r="L11" s="0" t="n">
        <f aca="false">L8+L10+L24</f>
        <v>5636.97177182555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4230.47625</v>
      </c>
      <c r="D13" s="0" t="n">
        <f aca="false">D11+D12</f>
        <v>4442.0000625</v>
      </c>
      <c r="E13" s="0" t="n">
        <f aca="false">E11+E12</f>
        <v>4610.8406334375</v>
      </c>
      <c r="F13" s="0" t="n">
        <f aca="false">F11+F12</f>
        <v>4762.982849625</v>
      </c>
      <c r="G13" s="0" t="n">
        <f aca="false">G11+G12</f>
        <v>4919.919098094</v>
      </c>
      <c r="H13" s="0" t="n">
        <f aca="false">H11+H12</f>
        <v>5057.35779371823</v>
      </c>
      <c r="I13" s="0" t="n">
        <f aca="false">I11+I12</f>
        <v>5209.07852752978</v>
      </c>
      <c r="J13" s="0" t="n">
        <f aca="false">J11+J12</f>
        <v>5365.35088335567</v>
      </c>
      <c r="K13" s="0" t="n">
        <f aca="false">K11+K12</f>
        <v>5499.48465543956</v>
      </c>
      <c r="L13" s="0" t="n">
        <f aca="false">L11+L12</f>
        <v>5636.97177182555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3299.771475</v>
      </c>
      <c r="D15" s="0" t="n">
        <f aca="false">D13-MAX(0,D13)*D14/100</f>
        <v>3464.76004875</v>
      </c>
      <c r="E15" s="0" t="n">
        <f aca="false">E13-MAX(0,E13)*E14/100</f>
        <v>3596.45569408125</v>
      </c>
      <c r="F15" s="0" t="n">
        <f aca="false">F13-MAX(0,F13)*F14/100</f>
        <v>3715.1266227075</v>
      </c>
      <c r="G15" s="0" t="n">
        <f aca="false">G13-MAX(0,G13)*G14/100</f>
        <v>3837.53689651332</v>
      </c>
      <c r="H15" s="0" t="n">
        <f aca="false">H13-MAX(0,H13)*H14/100</f>
        <v>3944.73907910022</v>
      </c>
      <c r="I15" s="0" t="n">
        <f aca="false">I13-MAX(0,I13)*I14/100</f>
        <v>4063.08125147322</v>
      </c>
      <c r="J15" s="0" t="n">
        <f aca="false">J13-MAX(0,J13)*J14/100</f>
        <v>4184.97368901742</v>
      </c>
      <c r="K15" s="0" t="n">
        <f aca="false">K13-MAX(0,K13)*K14/100</f>
        <v>4289.59803124286</v>
      </c>
      <c r="L15" s="0" t="n">
        <f aca="false">L13-MAX(0,L13)*L14/100</f>
        <v>4396.83798202393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-990.4125</v>
      </c>
      <c r="D17" s="4" t="n">
        <f aca="false">-D6*Assumptions!D32/100</f>
        <v>-1039.933125</v>
      </c>
      <c r="E17" s="4" t="n">
        <f aca="false">-E6*Assumptions!E32/100</f>
        <v>-993.58182</v>
      </c>
      <c r="F17" s="4" t="n">
        <f aca="false">-F6*Assumptions!F32/100</f>
        <v>-904.1594562</v>
      </c>
      <c r="G17" s="4" t="n">
        <f aca="false">-G6*Assumptions!G32/100</f>
        <v>-940.325834448</v>
      </c>
      <c r="H17" s="4" t="n">
        <f aca="false">-H6*Assumptions!H32/100</f>
        <v>-868.9618202265</v>
      </c>
      <c r="I17" s="4" t="n">
        <f aca="false">-I6*Assumptions!I32/100</f>
        <v>-751.825766859968</v>
      </c>
      <c r="J17" s="4" t="n">
        <f aca="false">-J6*Assumptions!J32/100</f>
        <v>-774.380539865767</v>
      </c>
      <c r="K17" s="4" t="n">
        <f aca="false">-K6*Assumptions!K32/100</f>
        <v>-680.348617167781</v>
      </c>
      <c r="L17" s="4" t="n">
        <f aca="false">-L6*Assumptions!L32/100</f>
        <v>-697.357332596975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2309.358975</v>
      </c>
      <c r="D19" s="0" t="n">
        <f aca="false">D15+D16+D17+D18</f>
        <v>2424.82692375</v>
      </c>
      <c r="E19" s="0" t="n">
        <f aca="false">E15+E16+E17+E18</f>
        <v>2602.87387408125</v>
      </c>
      <c r="F19" s="0" t="n">
        <f aca="false">F15+F16+F17+F18</f>
        <v>2810.9671665075</v>
      </c>
      <c r="G19" s="0" t="n">
        <f aca="false">G15+G16+G17+G18</f>
        <v>2897.21106206532</v>
      </c>
      <c r="H19" s="0" t="n">
        <f aca="false">H15+H16+H17+H18</f>
        <v>3075.77725887372</v>
      </c>
      <c r="I19" s="0" t="n">
        <f aca="false">I15+I16+I17+I18</f>
        <v>3311.25548461326</v>
      </c>
      <c r="J19" s="0" t="n">
        <f aca="false">J15+J16+J17+J18</f>
        <v>3410.59314915166</v>
      </c>
      <c r="K19" s="0" t="n">
        <f aca="false">K15+K16+K17+K18</f>
        <v>3609.24941407508</v>
      </c>
      <c r="L19" s="0" t="n">
        <f aca="false">L15+L16+L17+L18</f>
        <v>3699.48064942695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2128.4414516129</v>
      </c>
      <c r="D21" s="0" t="n">
        <f aca="false">D19*D20</f>
        <v>2059.78204994797</v>
      </c>
      <c r="E21" s="0" t="n">
        <f aca="false">E19*E20</f>
        <v>2037.81103521198</v>
      </c>
      <c r="F21" s="0" t="n">
        <f aca="false">F19*F20</f>
        <v>2028.32162127337</v>
      </c>
      <c r="G21" s="0" t="n">
        <f aca="false">G19*G20</f>
        <v>1926.77695712717</v>
      </c>
      <c r="H21" s="0" t="n">
        <f aca="false">H19*H20</f>
        <v>1885.28257057016</v>
      </c>
      <c r="I21" s="0" t="n">
        <f aca="false">I19*I20</f>
        <v>1870.61547739878</v>
      </c>
      <c r="J21" s="0" t="n">
        <f aca="false">J19*J20</f>
        <v>1775.79165135553</v>
      </c>
      <c r="K21" s="0" t="n">
        <f aca="false">K19*K20</f>
        <v>1732.00543695732</v>
      </c>
      <c r="L21" s="0" t="n">
        <f aca="false">L19*L20</f>
        <v>1636.22633445276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19081.0545859079</v>
      </c>
    </row>
    <row r="31" customFormat="false" ht="15" hidden="false" customHeight="false" outlineLevel="0" collapsed="false">
      <c r="A31" s="0" t="s">
        <v>136</v>
      </c>
      <c r="B31" s="0" t="n">
        <f aca="false">L19</f>
        <v>3699.48064942695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63199.4610943771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55492.2097414043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55492.2097414043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24543.3950167915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43624.4496026994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41858.4496026994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235.424350971313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-0.0283364935766537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1194.96738074143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1609.98114296042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251.200214434203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30335.741325301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112.278680158906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26950</v>
      </c>
      <c r="C6" s="0" t="n">
        <f aca="false">B6*(1+C5/100)</f>
        <v>28836.5</v>
      </c>
      <c r="D6" s="0" t="n">
        <f aca="false">C6*(1+D5/100)</f>
        <v>30855.055</v>
      </c>
      <c r="E6" s="0" t="n">
        <f aca="false">D6*(1+E5/100)</f>
        <v>32706.3583</v>
      </c>
      <c r="F6" s="0" t="n">
        <f aca="false">E6*(1+F5/100)</f>
        <v>34505.2080065</v>
      </c>
      <c r="G6" s="0" t="n">
        <f aca="false">F6*(1+G5/100)</f>
        <v>36230.468406825</v>
      </c>
      <c r="H6" s="0" t="n">
        <f aca="false">G6*(1+H5/100)</f>
        <v>37860.8394851321</v>
      </c>
      <c r="I6" s="0" t="n">
        <f aca="false">H6*(1+I5/100)</f>
        <v>39375.2730645374</v>
      </c>
      <c r="J6" s="0" t="n">
        <f aca="false">I6*(1+J5/100)</f>
        <v>40753.4076217962</v>
      </c>
      <c r="K6" s="0" t="n">
        <f aca="false">J6*(1+K5/100)</f>
        <v>41976.0098504501</v>
      </c>
      <c r="L6" s="0" t="n">
        <f aca="false">K6*(1+L5/100)</f>
        <v>43235.2901459636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16.6</v>
      </c>
      <c r="D7" s="4" t="n">
        <f aca="false">Assumptions!D42</f>
        <v>16.6</v>
      </c>
      <c r="E7" s="4" t="n">
        <f aca="false">Assumptions!E42</f>
        <v>16.5</v>
      </c>
      <c r="F7" s="4" t="n">
        <f aca="false">Assumptions!F42</f>
        <v>16.5</v>
      </c>
      <c r="G7" s="4" t="n">
        <f aca="false">Assumptions!G42</f>
        <v>16.4</v>
      </c>
      <c r="H7" s="4" t="n">
        <f aca="false">Assumptions!H42</f>
        <v>16.4</v>
      </c>
      <c r="I7" s="4" t="n">
        <f aca="false">Assumptions!I42</f>
        <v>16.4</v>
      </c>
      <c r="J7" s="4" t="n">
        <f aca="false">Assumptions!J42</f>
        <v>16.4</v>
      </c>
      <c r="K7" s="4" t="n">
        <f aca="false">Assumptions!K42</f>
        <v>16.4</v>
      </c>
      <c r="L7" s="4" t="n">
        <f aca="false">Assumptions!L42</f>
        <v>16.4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4786.859</v>
      </c>
      <c r="D8" s="0" t="n">
        <f aca="false">D6*D7/100</f>
        <v>5121.93913</v>
      </c>
      <c r="E8" s="0" t="n">
        <f aca="false">E6*E7/100</f>
        <v>5396.5491195</v>
      </c>
      <c r="F8" s="0" t="n">
        <f aca="false">F6*F7/100</f>
        <v>5693.3593210725</v>
      </c>
      <c r="G8" s="0" t="n">
        <f aca="false">G6*G7/100</f>
        <v>5941.7968187193</v>
      </c>
      <c r="H8" s="0" t="n">
        <f aca="false">H6*H7/100</f>
        <v>6209.17767556167</v>
      </c>
      <c r="I8" s="0" t="n">
        <f aca="false">I6*I7/100</f>
        <v>6457.54478258414</v>
      </c>
      <c r="J8" s="0" t="n">
        <f aca="false">J6*J7/100</f>
        <v>6683.55884997458</v>
      </c>
      <c r="K8" s="0" t="n">
        <f aca="false">K6*K7/100</f>
        <v>6884.06561547382</v>
      </c>
      <c r="L8" s="0" t="n">
        <f aca="false">L6*L7/100</f>
        <v>7090.58758393803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-158.60075</v>
      </c>
      <c r="D10" s="0" t="n">
        <f aca="false">-D6*D9/100</f>
        <v>-169.7028025</v>
      </c>
      <c r="E10" s="0" t="n">
        <f aca="false">-E6*E9/100</f>
        <v>-179.88497065</v>
      </c>
      <c r="F10" s="0" t="n">
        <f aca="false">-F6*F9/100</f>
        <v>-189.77864403575</v>
      </c>
      <c r="G10" s="0" t="n">
        <f aca="false">-G6*G9/100</f>
        <v>-199.267576237538</v>
      </c>
      <c r="H10" s="0" t="n">
        <f aca="false">-H6*H9/100</f>
        <v>-208.234617168227</v>
      </c>
      <c r="I10" s="0" t="n">
        <f aca="false">-I6*I9/100</f>
        <v>-216.564001854956</v>
      </c>
      <c r="J10" s="0" t="n">
        <f aca="false">-J6*J9/100</f>
        <v>-224.143741919879</v>
      </c>
      <c r="K10" s="0" t="n">
        <f aca="false">-K6*K9/100</f>
        <v>-230.868054177476</v>
      </c>
      <c r="L10" s="0" t="n">
        <f aca="false">-L6*L9/100</f>
        <v>-237.7940958028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4628.25825</v>
      </c>
      <c r="D11" s="0" t="n">
        <f aca="false">D8+D10+D24</f>
        <v>4952.2363275</v>
      </c>
      <c r="E11" s="0" t="n">
        <f aca="false">E8+E10+E24</f>
        <v>5216.66414885</v>
      </c>
      <c r="F11" s="0" t="n">
        <f aca="false">F8+F10+F24</f>
        <v>5503.58067703675</v>
      </c>
      <c r="G11" s="0" t="n">
        <f aca="false">G8+G10+G24</f>
        <v>5742.52924248176</v>
      </c>
      <c r="H11" s="0" t="n">
        <f aca="false">H8+H10+H24</f>
        <v>6000.94305839344</v>
      </c>
      <c r="I11" s="0" t="n">
        <f aca="false">I8+I10+I24</f>
        <v>6240.98078072918</v>
      </c>
      <c r="J11" s="0" t="n">
        <f aca="false">J8+J10+J24</f>
        <v>6459.4151080547</v>
      </c>
      <c r="K11" s="0" t="n">
        <f aca="false">K8+K10+K24</f>
        <v>6653.19756129634</v>
      </c>
      <c r="L11" s="0" t="n">
        <f aca="false">L8+L10+L24</f>
        <v>6852.79348813523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4628.25825</v>
      </c>
      <c r="D13" s="0" t="n">
        <f aca="false">D11+D12</f>
        <v>4952.2363275</v>
      </c>
      <c r="E13" s="0" t="n">
        <f aca="false">E11+E12</f>
        <v>5216.66414885</v>
      </c>
      <c r="F13" s="0" t="n">
        <f aca="false">F11+F12</f>
        <v>5503.58067703675</v>
      </c>
      <c r="G13" s="0" t="n">
        <f aca="false">G11+G12</f>
        <v>5742.52924248176</v>
      </c>
      <c r="H13" s="0" t="n">
        <f aca="false">H11+H12</f>
        <v>6000.94305839344</v>
      </c>
      <c r="I13" s="0" t="n">
        <f aca="false">I11+I12</f>
        <v>6240.98078072918</v>
      </c>
      <c r="J13" s="0" t="n">
        <f aca="false">J11+J12</f>
        <v>6459.4151080547</v>
      </c>
      <c r="K13" s="0" t="n">
        <f aca="false">K11+K12</f>
        <v>6653.19756129634</v>
      </c>
      <c r="L13" s="0" t="n">
        <f aca="false">L11+L12</f>
        <v>6852.79348813523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3633.18272625</v>
      </c>
      <c r="D15" s="0" t="n">
        <f aca="false">D13-MAX(0,D13)*D14/100</f>
        <v>3887.5055170875</v>
      </c>
      <c r="E15" s="0" t="n">
        <f aca="false">E13-MAX(0,E13)*E14/100</f>
        <v>4095.08135684725</v>
      </c>
      <c r="F15" s="0" t="n">
        <f aca="false">F13-MAX(0,F13)*F14/100</f>
        <v>4320.31083147385</v>
      </c>
      <c r="G15" s="0" t="n">
        <f aca="false">G13-MAX(0,G13)*G14/100</f>
        <v>4507.88545534818</v>
      </c>
      <c r="H15" s="0" t="n">
        <f aca="false">H13-MAX(0,H13)*H14/100</f>
        <v>4710.74030083885</v>
      </c>
      <c r="I15" s="0" t="n">
        <f aca="false">I13-MAX(0,I13)*I14/100</f>
        <v>4899.16991287241</v>
      </c>
      <c r="J15" s="0" t="n">
        <f aca="false">J13-MAX(0,J13)*J14/100</f>
        <v>5070.64085982294</v>
      </c>
      <c r="K15" s="0" t="n">
        <f aca="false">K13-MAX(0,K13)*K14/100</f>
        <v>5222.76008561763</v>
      </c>
      <c r="L15" s="0" t="n">
        <f aca="false">L13-MAX(0,L13)*L14/100</f>
        <v>5379.44288818616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-1412.9885</v>
      </c>
      <c r="D17" s="4" t="n">
        <f aca="false">-D6*Assumptions!D46/100</f>
        <v>-1511.897695</v>
      </c>
      <c r="E17" s="4" t="n">
        <f aca="false">-E6*Assumptions!E46/100</f>
        <v>-1373.6670486</v>
      </c>
      <c r="F17" s="4" t="n">
        <f aca="false">-F6*Assumptions!F46/100</f>
        <v>-1345.7031122535</v>
      </c>
      <c r="G17" s="4" t="n">
        <f aca="false">-G6*Assumptions!G46/100</f>
        <v>-1268.06639423888</v>
      </c>
      <c r="H17" s="4" t="n">
        <f aca="false">-H6*Assumptions!H46/100</f>
        <v>-1211.54686352423</v>
      </c>
      <c r="I17" s="4" t="n">
        <f aca="false">-I6*Assumptions!I46/100</f>
        <v>-1102.50764580705</v>
      </c>
      <c r="J17" s="4" t="n">
        <f aca="false">-J6*Assumptions!J46/100</f>
        <v>-1018.83519054491</v>
      </c>
      <c r="K17" s="4" t="n">
        <f aca="false">-K6*Assumptions!K46/100</f>
        <v>-881.496206859452</v>
      </c>
      <c r="L17" s="4" t="n">
        <f aca="false">-L6*Assumptions!L46/100</f>
        <v>-907.941093065236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2220.19422625</v>
      </c>
      <c r="D19" s="0" t="n">
        <f aca="false">D15+D16+D17+D18</f>
        <v>2375.6078220875</v>
      </c>
      <c r="E19" s="0" t="n">
        <f aca="false">E15+E16+E17+E18</f>
        <v>2721.41430824725</v>
      </c>
      <c r="F19" s="0" t="n">
        <f aca="false">F15+F16+F17+F18</f>
        <v>2974.60771922035</v>
      </c>
      <c r="G19" s="0" t="n">
        <f aca="false">G15+G16+G17+G18</f>
        <v>3239.81906110931</v>
      </c>
      <c r="H19" s="0" t="n">
        <f aca="false">H15+H16+H17+H18</f>
        <v>3499.19343731462</v>
      </c>
      <c r="I19" s="0" t="n">
        <f aca="false">I15+I16+I17+I18</f>
        <v>3796.66226706536</v>
      </c>
      <c r="J19" s="0" t="n">
        <f aca="false">J15+J16+J17+J18</f>
        <v>4051.80566927803</v>
      </c>
      <c r="K19" s="0" t="n">
        <f aca="false">K15+K16+K17+K18</f>
        <v>4341.26387875818</v>
      </c>
      <c r="L19" s="0" t="n">
        <f aca="false">L15+L16+L17+L18</f>
        <v>4471.50179512092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2055.73539467593</v>
      </c>
      <c r="D21" s="0" t="n">
        <f aca="false">D19*D20</f>
        <v>2036.70080768819</v>
      </c>
      <c r="E21" s="0" t="n">
        <f aca="false">E19*E20</f>
        <v>2160.34641906027</v>
      </c>
      <c r="F21" s="0" t="n">
        <f aca="false">F19*F20</f>
        <v>2186.42547398573</v>
      </c>
      <c r="G21" s="0" t="n">
        <f aca="false">G19*G20</f>
        <v>2204.96641442066</v>
      </c>
      <c r="H21" s="0" t="n">
        <f aca="false">H19*H20</f>
        <v>2205.08542278436</v>
      </c>
      <c r="I21" s="0" t="n">
        <f aca="false">I19*I20</f>
        <v>2215.3159668868</v>
      </c>
      <c r="J21" s="0" t="n">
        <f aca="false">J19*J20</f>
        <v>2189.06452915963</v>
      </c>
      <c r="K21" s="0" t="n">
        <f aca="false">K19*K20</f>
        <v>2171.71277139389</v>
      </c>
      <c r="L21" s="0" t="n">
        <f aca="false">L19*L20</f>
        <v>2071.17051345899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21496.5237135144</v>
      </c>
    </row>
    <row r="31" customFormat="false" ht="15" hidden="false" customHeight="false" outlineLevel="0" collapsed="false">
      <c r="A31" s="0" t="s">
        <v>136</v>
      </c>
      <c r="B31" s="0" t="n">
        <f aca="false">L19</f>
        <v>4471.50179512092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92112.936979491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76015.5305170557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76015.5305170557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35209.8987288028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56706.4224423172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54940.4224423172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309.001251081649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0.275336378231248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1314.57518684978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2268.98033962535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329.156231545514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38380.3904081212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130.21833348599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150.01089973527</v>
      </c>
      <c r="C4" s="0" t="n">
        <f aca="false">B4/Assumptions!$B$2-1</f>
        <v>-0.380862191030296</v>
      </c>
      <c r="D4" s="4" t="n">
        <f aca="false">Assumptions!$B$24</f>
        <v>0.25</v>
      </c>
      <c r="E4" s="4" t="n">
        <f aca="false">DCF_Bear!$B$43</f>
        <v>161.561064496216</v>
      </c>
      <c r="F4" s="4" t="n">
        <f aca="false">DCF_Bear!$B$47</f>
        <v>87.5260993887867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235.424350971313</v>
      </c>
      <c r="C5" s="0" t="n">
        <f aca="false">B5/Assumptions!$B$2-1</f>
        <v>-0.0283364935766537</v>
      </c>
      <c r="D5" s="4" t="n">
        <f aca="false">Assumptions!$B$38</f>
        <v>0.5</v>
      </c>
      <c r="E5" s="4" t="n">
        <f aca="false">DCF_Base!$B$43</f>
        <v>251.200214434203</v>
      </c>
      <c r="F5" s="4" t="n">
        <f aca="false">DCF_Base!$B$47</f>
        <v>112.278680158906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309.001251081649</v>
      </c>
      <c r="C6" s="0" t="n">
        <f aca="false">B6/Assumptions!$B$2-1</f>
        <v>0.275336378231248</v>
      </c>
      <c r="D6" s="4" t="n">
        <f aca="false">Assumptions!$B$52</f>
        <v>0.25</v>
      </c>
      <c r="E6" s="4" t="n">
        <f aca="false">DCF_Bull!$B$43</f>
        <v>329.156231545514</v>
      </c>
      <c r="F6" s="4" t="n">
        <f aca="false">DCF_Bull!$B$47</f>
        <v>130.21833348599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232.465213189886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248.279431227534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-0.0422634710600283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62.1262890566256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110.575448298147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235.424350971313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226.658473565494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199.596173983793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173.798256775536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153.487154964796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112.278680158906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274.887108180728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274.887108180728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274.887108180728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274.887108180728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274.887108180728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254.228494014162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254.228494014162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254.228494014162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254.228494014162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254.228494014162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230.823039569589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235.424350971313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235.424350971313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235.424350971313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235.424350971313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198.872256897619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206.533525427544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215.289260890317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218.287800432362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218.287800432362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174.116817506539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179.653594993975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185.88246966734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192.94186096382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201.009736731227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2026-10-10T08:57:12Z</dcterms:created>
  <dc:creator>openpyxl</dc:creator>
  <dc:description/>
  <dc:language>en-NZ</dc:language>
  <cp:lastModifiedBy/>
  <dcterms:modified xsi:type="dcterms:W3CDTF">2026-10-10T08:57:12Z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