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<sst xmlns="http://schemas.openxmlformats.org/spreadsheetml/2006/main" count="356" uniqueCount="166">
  <si>
    <t xml:space="preserve">Ticker</t>
  </si>
  <si>
    <t xml:space="preserve">GLEN.L</t>
  </si>
  <si>
    <t xml:space="preserve">Company</t>
  </si>
  <si>
    <t xml:space="preserve">Glencore plc</t>
  </si>
  <si>
    <t xml:space="preserve">Valuation date</t>
  </si>
  <si>
    <t xml:space="preserve">2026-10-10</t>
  </si>
  <si>
    <t xml:space="preserve">Current price</t>
  </si>
  <si>
    <t xml:space="preserve">Price as of</t>
  </si>
  <si>
    <t xml:space="preserve">2026-10-09T16:06:32Z LSE regular close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</si>
  <si>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</si>
  <si>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</si>
  <si>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</si>
  <si>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</si>
  <si>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</si>
  <si>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</si>
  <si>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</si>
  <si>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GBp</t>
  </si>
  <si>
    <t xml:space="preserve">Units</t>
  </si>
  <si>
    <t xml:space="preserve">millions</t>
  </si>
  <si>
    <t xml:space="preserve">Engine</t>
  </si>
  <si>
    <t xml:space="preserve">dcf_engine v1</t>
  </si>
  <si>
    <t xml:space="preserve">Built at</t>
  </si>
  <si>
    <t xml:space="preserve">2026-10-09T23:14:14Z</t>
  </si>
  <si>
    <t xml:space="preserve">Drivers file</t>
  </si>
  <si>
    <t xml:space="preserve">GLEN.L_Drivers.json</t>
  </si>
  <si>
    <t xml:space="preserve">Convention</t>
  </si>
  <si>
    <t xml:space="preserve">Percents stored as percents; formulas divide by 100. Blue = input, green = link, black = formula.</t>
  </si>
  <si>
    <t xml:space="preserve">Methodology</t>
  </si>
  <si>
    <t xml:space="preserve">summary: Value a cyclical miner-trader on mid-cycle cash generation, not on a supply-shock year. The flows are 100%-consolidated owner FCF (SBC expensed, share count flat) after the financing cost of the readily marketable inventories that the company's net-debt definition nets out; net debt, leases, non-controlling interests and the Bunge stake are settled once each in the bridge. Terminal value is the lower of Gordon at 2% and 12x FCF, and the same 9.5% USD WACC applies to all three scenarios so cyclicality is charged in the flows rather than twice. Per-share values are computed in USD and converted to pence at the dated GBPUSD rate, parity-checked against the GLNCY ADR.
key_risks_to_valuation: Mid-cycle EBITDA anchor (c.$16.5bn FY2027): every $1bn of sustained EBITDA is worth roughly $0.55-0.60/share (c.42-45p) at the model's 30% tax, 9.5% WACC and 12x cap.; Capex intensity: the base carries c.$8-8.6bn/yr through FY2027-31; if El Pachon/MARA are sanctioned in full (c.$13.5bn combined) on top of the c.$6.8bn/yr industrial run-rate, FCF in those years is lower than modelled, with the payoff arriving after the explicit horizon.; RMI carry treatment: charging c.$2.0bn/yr of inventory funding cost in the flows is worth c.$1.5-1.7/share versus the sell-side convention of netting RMI against debt for free; the house view is that a $32bn debt-funded inventory book is not costless.; Terminal cap at 12x FCF (Gordon at 9.5%/2% would give 13.6x): a re-rating to copper-pure-play multiples is a bull-case item, not a base assumption.; FX: the GBp quote moves with GBPUSD independently of the USD valuation; refresh_price.py does not update fx_rate.; Coal: c.35% of Industrial EBITDA with ESG cost-of-capital pressure; a forced separation at a discount is not modelled.; NCI estimate: book NCI is negative, so the -$5.5bn bridge item is a capitalised-profit judgment (c.$0.7bn/yr at 8x); KCC's Gecamines interest and the EVR minorities are the swing items.</t>
  </si>
  <si>
    <t xml:space="preserve">Data sources</t>
  </si>
  <si>
    <t xml:space="preserve">price: Yahoo Finance chart API, LSE regular close at inputs.price_as_of; 52-week range 332.2-707.2p. FX from Yahoo GBPUSD=X at the time stated in fx_note; ADR parity from GLNCY.
financials: GLEN.L_Metrics.csv / core_metrics and kpis (FY2018-FY2025 annual, H1 FY2025, H1 FY2026); H1 2026 interim report for the 30 Jun 2026 balance sheet (net funding/net debt/RMI reconciliation, lease liabilities, other investments note 12, EPS note 17); FY2025 annual report for SBC, buybacks, cash tax, capex; H1 2026 results presentation for the c.$6.8bn/yr 2026-28 industrial capex guidance and the FY2026 illustrative EBITDA.
qualitative: GLEN.L_Analysis.json (2026-10-10): business model, December 2025 Capital Markets Day copper pathway, FY2026 production and marketing guidance, bull/bear cases.</t>
  </si>
  <si>
    <t xml:space="preserve">Scenario narrative: bear</t>
  </si>
  <si>
    <t xml:space="preserve">China slowdown plus coal in structural decline: EBITDA back to c.$13.5bn in FY2027 with growth capex already committed, Marketing at the bottom of its range, DRC quotas and resource nationalism slowing the copper pathway. FCF is thin but positive; the balance sheet is not at risk.</t>
  </si>
  <si>
    <t xml:space="preserve">Scenario narrative: base</t>
  </si>
  <si>
    <t xml:space="preserve">Mid-cycle normalisation after a shock-driven FY2026: EBITDA c.$19.7bn -&gt; c.$16.5bn in FY2027, then c.2.5%/yr as copper volumes roughly double by 2035 while thermal coal runs off. Marketing EBIT at the midpoint of its $2.3-3.5bn through-the-cycle range with its RMI funding cost charged. The axes are (1) where copper, zinc and coal settle once the 2026 energy dislocation fades, (2) whether the brownfield copper pipeline (El Pachon, MARA/Alumbrera, KCC extension, Collahuasi, NewRange) delivers &gt;1Mt by 2028 on c.$7-9bn/yr of capex, and (3) whether Marketing's $2.3-3.5bn range holds after the Viterra exit.</t>
  </si>
  <si>
    <t xml:space="preserve">Scenario narrative: bull</t>
  </si>
  <si>
    <t xml:space="preserve">Copper above $11,000/t sustained by electrification and AI-power demand, Marketing at or above the top of its range for a fourth consecutive year, projects ahead of schedule; EBITDA holds c.$19.5bn in FY2027 and compounds to c.$26.5bn by FY2035. Requires two independent things to go right (price AND delivery), which is why it is not weighted above 25%.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</si>
  <si>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</si>
  <si>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</si>
  <si>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</si>
  <si>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</si>
  <si>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</si>
  <si>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</si>
  <si>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</si>
  <si>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</si>
  <si>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</si>
  <si>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</si>
  <si>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</si>
  <si>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</si>
  <si>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</si>
  <si>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</si>
  <si>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</si>
  <si>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</si>
  <si>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</si>
  <si>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</si>
  <si>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</si>
  <si>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</si>
  <si>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</si>
  <si>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</si>
  <si>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</si>
  <si>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</si>
  <si>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</si>
  <si>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</si>
  <si>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</si>
  <si>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</si>
  <si>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TotalEquityInclNCI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</si>
  <si>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</si>
  <si>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</si>
  <si>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</si>
  <si>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</si>
  <si>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</si>
  <si>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</si>
  <si>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</si>
  <si>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</si>
  <si>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</si>
  <si>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</si>
  <si>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</si>
  <si>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</si>
  <si>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</si>
  <si>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</si>
  <si>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</si>
  <si>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</si>
  <si>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</si>
  <si>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</si>
  <si>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</si>
  <si>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</si>
  <si>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</si>
  <si>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</si>
  <si>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</si>
  <si>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</si>
  <si>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</si>
  <si>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</si>
  <si>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</si>
  <si>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</si>
  <si>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</si>
  <si>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</si>
  <si>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</si>
  <si>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</si>
  <si>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</si>
  <si>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</si>
  <si>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</si>
  <si>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</si>
  <si>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</si>
  <si>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</si>
  <si>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</si>
  <si>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</si>
  <si>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</si>
  <si>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</si>
  <si>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</si>
  <si>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</si>
  <si>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</si>
  <si>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GLEN.L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</si>
  <si>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</si>
  <si>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</si>
  <si>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</si>
  <si>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</si>
  <si>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</si>
  <si>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</si>
  <si>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</si>
  <si>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</si>
  <si>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</si>
  <si>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</si>
  <si>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</si>
  <si>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</si>
  <si>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</si>
  <si>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</si>
  <si>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</si>
  <si>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</si>
  <si>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</si>
  <si>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</si>
  <si>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</si>
  <si>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</si>
  <si>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</si>
  <si>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</si>
  <si>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</si>
  <si>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</si>
  <si>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</si>
  <si>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</si>
  <si>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</si>
  <si>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</si>
  <si>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</si>
  <si>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</si>
  <si>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GLEN.L owner-FCF component DCF: base case (millions, USD)</t>
  </si>
  <si>
    <t xml:space="preserve">GLEN.L owner-FCF component DCF: bull case (millions, USD)</t>
  </si>
  <si>
    <t xml:space="preserve">GLEN.L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</si>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</sst>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584.6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row>
    <row r="2" customFormat="false" ht="15" hidden="false" customHeight="false" outlineLevel="0" collapsed="false">
      <c r="A2" s="0" t="s">
        <v>66</v>
      </c>
      <c r="B2" s="0" t="n">
        <v>220524</v>
      </c>
      <c r="C2" s="0" t="n">
        <v>-211468</v>
      </c>
      <c r="D2" s="0" t="n">
        <v>9056</v>
      </c>
      <c r="E2" s="0" t="n">
        <v>4.1</v>
      </c>
      <c r="F2" s="0" t="n">
        <v>6193</v>
      </c>
      <c r="G2" s="0" t="n">
        <v>2.8</v>
      </c>
      <c r="H2" s="0" t="n">
        <v>15767</v>
      </c>
      <c r="I2" s="0" t="n">
        <v>3408</v>
      </c>
      <c r="J2" s="0" t="n">
        <v>1.5</v>
      </c>
      <c r="K2" s="0" t="n">
        <v>0.24</v>
      </c>
      <c r="L2" s="0" t="n">
        <v>11559</v>
      </c>
      <c r="M2" s="0" t="n">
        <v>4687</v>
      </c>
      <c r="N2" s="0" t="n">
        <v>6872</v>
      </c>
      <c r="O2" s="0" t="n">
        <v>45738</v>
      </c>
      <c r="P2" s="0" t="n">
        <v>128672</v>
      </c>
      <c r="Q2" s="0" t="n">
        <v>83289</v>
      </c>
      <c r="R2" s="0" t="n">
        <v>34994</v>
      </c>
      <c r="S2" s="0" t="n">
        <v>2046</v>
      </c>
      <c r="T2" s="0" t="n">
        <v>14253.527</v>
      </c>
      <c r="W2" s="0" t="n">
        <v>15767</v>
      </c>
      <c r="AA2" s="0" t="s">
        <v>18</v>
      </c>
      <c r="AB2" s="0" t="s">
        <v>14</v>
      </c>
      <c r="AC2" s="0" t="n">
        <v>15767</v>
      </c>
      <c r="AD2" s="0" t="n">
        <v>45383</v>
      </c>
    </row>
    <row r="3" customFormat="false" ht="15" hidden="false" customHeight="false" outlineLevel="0" collapsed="false">
      <c r="A3" s="0" t="s">
        <v>67</v>
      </c>
      <c r="B3" s="0" t="n">
        <v>215111</v>
      </c>
      <c r="C3" s="0" t="n">
        <v>-210434</v>
      </c>
      <c r="D3" s="0" t="n">
        <v>4677</v>
      </c>
      <c r="E3" s="0" t="n">
        <v>2.2</v>
      </c>
      <c r="F3" s="0" t="n">
        <v>825</v>
      </c>
      <c r="G3" s="0" t="n">
        <v>0.4</v>
      </c>
      <c r="H3" s="0" t="n">
        <v>11601</v>
      </c>
      <c r="I3" s="0" t="n">
        <v>-404</v>
      </c>
      <c r="J3" s="0" t="n">
        <v>-0.2</v>
      </c>
      <c r="K3" s="0" t="n">
        <v>-0.03</v>
      </c>
      <c r="L3" s="0" t="n">
        <v>8729</v>
      </c>
      <c r="M3" s="0" t="n">
        <v>4712</v>
      </c>
      <c r="N3" s="0" t="n">
        <v>4017</v>
      </c>
      <c r="O3" s="0" t="n">
        <v>40274</v>
      </c>
      <c r="P3" s="0" t="n">
        <v>124076</v>
      </c>
      <c r="Q3" s="0" t="n">
        <v>84840</v>
      </c>
      <c r="R3" s="0" t="n">
        <v>37043</v>
      </c>
      <c r="S3" s="0" t="n">
        <v>1899</v>
      </c>
      <c r="T3" s="0" t="n">
        <v>13776.565</v>
      </c>
      <c r="W3" s="0" t="n">
        <v>11601</v>
      </c>
      <c r="AA3" s="0" t="s">
        <v>18</v>
      </c>
      <c r="AB3" s="0" t="s">
        <v>14</v>
      </c>
      <c r="AC3" s="0" t="n">
        <v>11601</v>
      </c>
      <c r="AD3" s="0" t="n">
        <v>39236</v>
      </c>
    </row>
    <row r="4" customFormat="false" ht="15" hidden="false" customHeight="false" outlineLevel="0" collapsed="false">
      <c r="A4" s="0" t="s">
        <v>68</v>
      </c>
      <c r="B4" s="0" t="n">
        <v>142338</v>
      </c>
      <c r="C4" s="0" t="n">
        <v>-138640</v>
      </c>
      <c r="D4" s="0" t="n">
        <v>3698</v>
      </c>
      <c r="E4" s="0" t="n">
        <v>2.6</v>
      </c>
      <c r="F4" s="0" t="n">
        <v>-3663</v>
      </c>
      <c r="G4" s="0" t="n">
        <v>-2.6</v>
      </c>
      <c r="H4" s="0" t="n">
        <v>11560</v>
      </c>
      <c r="I4" s="0" t="n">
        <v>-1903</v>
      </c>
      <c r="J4" s="0" t="n">
        <v>-1.3</v>
      </c>
      <c r="K4" s="0" t="n">
        <v>-0.14</v>
      </c>
      <c r="L4" s="0" t="n">
        <v>2664</v>
      </c>
      <c r="M4" s="0" t="n">
        <v>3569</v>
      </c>
      <c r="N4" s="0" t="n">
        <v>-905</v>
      </c>
      <c r="O4" s="0" t="n">
        <v>37637</v>
      </c>
      <c r="P4" s="0" t="n">
        <v>118000</v>
      </c>
      <c r="Q4" s="0" t="n">
        <v>83598</v>
      </c>
      <c r="R4" s="0" t="n">
        <v>37479</v>
      </c>
      <c r="S4" s="0" t="n">
        <v>1498</v>
      </c>
      <c r="T4" s="0" t="n">
        <v>13216.886</v>
      </c>
      <c r="U4" s="0" t="n">
        <v>207</v>
      </c>
      <c r="W4" s="0" t="n">
        <v>11560</v>
      </c>
      <c r="AA4" s="0" t="s">
        <v>18</v>
      </c>
      <c r="AB4" s="0" t="s">
        <v>14</v>
      </c>
      <c r="AC4" s="0" t="n">
        <v>11560</v>
      </c>
      <c r="AD4" s="0" t="n">
        <v>34402</v>
      </c>
    </row>
    <row r="5" customFormat="false" ht="15" hidden="false" customHeight="false" outlineLevel="0" collapsed="false">
      <c r="A5" s="0" t="s">
        <v>69</v>
      </c>
      <c r="B5" s="0" t="n">
        <v>203751</v>
      </c>
      <c r="C5" s="0" t="n">
        <v>-191370</v>
      </c>
      <c r="D5" s="0" t="n">
        <v>12381</v>
      </c>
      <c r="E5" s="0" t="n">
        <v>6.1</v>
      </c>
      <c r="F5" s="0" t="n">
        <v>8515</v>
      </c>
      <c r="G5" s="0" t="n">
        <v>4.2</v>
      </c>
      <c r="H5" s="0" t="n">
        <v>21323</v>
      </c>
      <c r="I5" s="0" t="n">
        <v>4974</v>
      </c>
      <c r="J5" s="0" t="n">
        <v>2.4</v>
      </c>
      <c r="K5" s="0" t="n">
        <v>0.37</v>
      </c>
      <c r="L5" s="0" t="n">
        <v>8860</v>
      </c>
      <c r="M5" s="0" t="n">
        <v>3618</v>
      </c>
      <c r="N5" s="0" t="n">
        <v>5242</v>
      </c>
      <c r="O5" s="0" t="n">
        <v>39931</v>
      </c>
      <c r="P5" s="0" t="n">
        <v>127510</v>
      </c>
      <c r="Q5" s="0" t="n">
        <v>90593</v>
      </c>
      <c r="R5" s="0" t="n">
        <v>34641</v>
      </c>
      <c r="S5" s="0" t="n">
        <v>3241</v>
      </c>
      <c r="T5" s="0" t="n">
        <v>13336.604</v>
      </c>
      <c r="U5" s="0" t="n">
        <v>476</v>
      </c>
      <c r="W5" s="0" t="n">
        <v>21323</v>
      </c>
      <c r="AA5" s="0" t="s">
        <v>18</v>
      </c>
      <c r="AB5" s="0" t="s">
        <v>14</v>
      </c>
      <c r="AC5" s="0" t="n">
        <v>21323</v>
      </c>
      <c r="AD5" s="0" t="n">
        <v>36917</v>
      </c>
    </row>
    <row r="6" customFormat="false" ht="15" hidden="false" customHeight="false" outlineLevel="0" collapsed="false">
      <c r="A6" s="0" t="s">
        <v>70</v>
      </c>
      <c r="B6" s="0" t="n">
        <v>255984</v>
      </c>
      <c r="C6" s="0" t="n">
        <v>-228467</v>
      </c>
      <c r="D6" s="0" t="n">
        <v>27517</v>
      </c>
      <c r="E6" s="0" t="n">
        <v>10.7</v>
      </c>
      <c r="F6" s="0" t="n">
        <v>24215</v>
      </c>
      <c r="G6" s="0" t="n">
        <v>9.5</v>
      </c>
      <c r="H6" s="0" t="n">
        <v>34060</v>
      </c>
      <c r="I6" s="0" t="n">
        <v>17320</v>
      </c>
      <c r="J6" s="0" t="n">
        <v>6.8</v>
      </c>
      <c r="K6" s="0" t="n">
        <v>1.32</v>
      </c>
      <c r="L6" s="0" t="n">
        <v>13659</v>
      </c>
      <c r="M6" s="0" t="n">
        <v>4177</v>
      </c>
      <c r="N6" s="0" t="n">
        <v>9482</v>
      </c>
      <c r="O6" s="0" t="n">
        <v>49410</v>
      </c>
      <c r="P6" s="0" t="n">
        <v>132583</v>
      </c>
      <c r="Q6" s="0" t="n">
        <v>87364</v>
      </c>
      <c r="R6" s="0" t="n">
        <v>28777</v>
      </c>
      <c r="S6" s="0" t="n">
        <v>1923</v>
      </c>
      <c r="T6" s="0" t="n">
        <v>13140.758</v>
      </c>
      <c r="U6" s="0" t="n">
        <v>1134</v>
      </c>
      <c r="W6" s="0" t="n">
        <v>34060</v>
      </c>
      <c r="AA6" s="0" t="s">
        <v>18</v>
      </c>
      <c r="AB6" s="0" t="s">
        <v>14</v>
      </c>
      <c r="AC6" s="0" t="n">
        <v>34060</v>
      </c>
      <c r="AD6" s="0" t="n">
        <v>45219</v>
      </c>
    </row>
    <row r="7" customFormat="false" ht="15" hidden="false" customHeight="false" outlineLevel="0" collapsed="false">
      <c r="A7" s="0" t="s">
        <v>71</v>
      </c>
      <c r="B7" s="0" t="n">
        <v>217829</v>
      </c>
      <c r="C7" s="0" t="n">
        <v>-207046</v>
      </c>
      <c r="D7" s="0" t="n">
        <v>10783</v>
      </c>
      <c r="E7" s="0" t="n">
        <v>5</v>
      </c>
      <c r="F7" s="0" t="n">
        <v>7317</v>
      </c>
      <c r="G7" s="0" t="n">
        <v>3.4</v>
      </c>
      <c r="H7" s="0" t="n">
        <v>17102</v>
      </c>
      <c r="I7" s="0" t="n">
        <v>4280</v>
      </c>
      <c r="J7" s="0" t="n">
        <v>2</v>
      </c>
      <c r="K7" s="0" t="n">
        <v>0.34</v>
      </c>
      <c r="L7" s="0" t="n">
        <v>11036</v>
      </c>
      <c r="M7" s="0" t="n">
        <v>4484</v>
      </c>
      <c r="N7" s="0" t="n">
        <v>6552</v>
      </c>
      <c r="O7" s="0" t="n">
        <v>43580</v>
      </c>
      <c r="P7" s="0" t="n">
        <v>123869</v>
      </c>
      <c r="Q7" s="0" t="n">
        <v>85632</v>
      </c>
      <c r="R7" s="0" t="n">
        <v>32241</v>
      </c>
      <c r="S7" s="0" t="n">
        <v>1925</v>
      </c>
      <c r="T7" s="0" t="n">
        <v>12537.936</v>
      </c>
      <c r="U7" s="0" t="n">
        <v>742</v>
      </c>
      <c r="W7" s="0" t="n">
        <v>17102</v>
      </c>
      <c r="AA7" s="0" t="s">
        <v>18</v>
      </c>
      <c r="AB7" s="0" t="s">
        <v>14</v>
      </c>
      <c r="AC7" s="0" t="n">
        <v>17102</v>
      </c>
      <c r="AD7" s="0" t="n">
        <v>38237</v>
      </c>
    </row>
    <row r="8" customFormat="false" ht="15" hidden="false" customHeight="false" outlineLevel="0" collapsed="false">
      <c r="A8" s="0" t="s">
        <v>72</v>
      </c>
      <c r="B8" s="0" t="n">
        <v>230944</v>
      </c>
      <c r="C8" s="0" t="n">
        <v>-224294</v>
      </c>
      <c r="D8" s="0" t="n">
        <v>6650</v>
      </c>
      <c r="E8" s="0" t="n">
        <v>2.9</v>
      </c>
      <c r="F8" s="0" t="n">
        <v>1336</v>
      </c>
      <c r="G8" s="0" t="n">
        <v>0.6</v>
      </c>
      <c r="H8" s="0" t="n">
        <v>14358</v>
      </c>
      <c r="I8" s="0" t="n">
        <v>-1634</v>
      </c>
      <c r="J8" s="0" t="n">
        <v>-0.7</v>
      </c>
      <c r="K8" s="0" t="n">
        <v>-0.13</v>
      </c>
      <c r="L8" s="0" t="n">
        <v>10055</v>
      </c>
      <c r="M8" s="0" t="n">
        <v>5611</v>
      </c>
      <c r="N8" s="0" t="n">
        <v>4444</v>
      </c>
      <c r="O8" s="0" t="n">
        <v>40669</v>
      </c>
      <c r="P8" s="0" t="n">
        <v>130460</v>
      </c>
      <c r="Q8" s="0" t="n">
        <v>94800</v>
      </c>
      <c r="R8" s="0" t="n">
        <v>38107</v>
      </c>
      <c r="S8" s="0" t="n">
        <v>2389</v>
      </c>
      <c r="T8" s="0" t="n">
        <v>12272.062</v>
      </c>
      <c r="U8" s="0" t="n">
        <v>564</v>
      </c>
      <c r="W8" s="0" t="n">
        <v>14358</v>
      </c>
      <c r="AA8" s="0" t="s">
        <v>18</v>
      </c>
      <c r="AB8" s="0" t="s">
        <v>14</v>
      </c>
      <c r="AC8" s="0" t="n">
        <v>14358</v>
      </c>
      <c r="AD8" s="0" t="n">
        <v>35660</v>
      </c>
    </row>
    <row r="9" customFormat="false" ht="15" hidden="false" customHeight="false" outlineLevel="0" collapsed="false">
      <c r="A9" s="0" t="s">
        <v>73</v>
      </c>
      <c r="B9" s="0" t="n">
        <v>247535</v>
      </c>
      <c r="C9" s="0" t="n">
        <v>-241672</v>
      </c>
      <c r="D9" s="0" t="n">
        <v>5863</v>
      </c>
      <c r="E9" s="0" t="n">
        <v>2.4</v>
      </c>
      <c r="F9" s="0" t="n">
        <v>3050</v>
      </c>
      <c r="G9" s="0" t="n">
        <v>1.2</v>
      </c>
      <c r="H9" s="0" t="n">
        <v>13511</v>
      </c>
      <c r="I9" s="0" t="n">
        <v>363</v>
      </c>
      <c r="J9" s="0" t="n">
        <v>0.1</v>
      </c>
      <c r="K9" s="0" t="n">
        <v>0.03</v>
      </c>
      <c r="L9" s="0" t="n">
        <v>5642</v>
      </c>
      <c r="M9" s="0" t="n">
        <v>5932</v>
      </c>
      <c r="N9" s="0" t="n">
        <v>-290</v>
      </c>
      <c r="O9" s="0" t="n">
        <v>38860</v>
      </c>
      <c r="P9" s="0" t="n">
        <v>142199</v>
      </c>
      <c r="Q9" s="0" t="n">
        <v>108593</v>
      </c>
      <c r="R9" s="0" t="n">
        <v>41486</v>
      </c>
      <c r="S9" s="0" t="n">
        <v>2945</v>
      </c>
      <c r="T9" s="0" t="n">
        <v>12061.048</v>
      </c>
      <c r="U9" s="0" t="n">
        <v>686</v>
      </c>
      <c r="W9" s="0" t="n">
        <v>13511</v>
      </c>
      <c r="AA9" s="0" t="s">
        <v>18</v>
      </c>
      <c r="AB9" s="0" t="s">
        <v>14</v>
      </c>
      <c r="AC9" s="0" t="n">
        <v>13511</v>
      </c>
      <c r="AD9" s="0" t="n">
        <v>33606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584.6</v>
      </c>
    </row>
    <row r="3" customFormat="false" ht="15" hidden="false" customHeight="false" outlineLevel="0" collapsed="false">
      <c r="A3" s="0" t="s">
        <v>77</v>
      </c>
      <c r="B3" s="3" t="n">
        <v>11814</v>
      </c>
    </row>
    <row r="4" customFormat="false" ht="15" hidden="false" customHeight="false" outlineLevel="0" collapsed="false">
      <c r="A4" s="0" t="s">
        <v>78</v>
      </c>
      <c r="B4" s="3" t="n">
        <v>11082</v>
      </c>
    </row>
    <row r="5" customFormat="false" ht="15" hidden="false" customHeight="false" outlineLevel="0" collapsed="false">
      <c r="A5" s="0" t="s">
        <v>79</v>
      </c>
      <c r="B5" s="3" t="n">
        <v>-1406</v>
      </c>
    </row>
    <row r="6" customFormat="false" ht="15" hidden="false" customHeight="false" outlineLevel="0" collapsed="false">
      <c r="A6" s="0" t="s">
        <v>80</v>
      </c>
      <c r="B6" s="3" t="n">
        <v>15</v>
      </c>
    </row>
    <row r="7" customFormat="false" ht="15" hidden="false" customHeight="false" outlineLevel="0" collapsed="false">
      <c r="A7" s="0" t="s">
        <v>81</v>
      </c>
      <c r="B7" s="3" t="n">
        <v>247535</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75.57</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22</v>
      </c>
      <c r="D13" s="3" t="n">
        <v>-14</v>
      </c>
      <c r="E13" s="3" t="n">
        <v>1</v>
      </c>
      <c r="F13" s="3" t="n">
        <v>1.5</v>
      </c>
      <c r="G13" s="3" t="n">
        <v>1.5</v>
      </c>
      <c r="H13" s="3" t="n">
        <v>1.5</v>
      </c>
      <c r="I13" s="3" t="n">
        <v>1.5</v>
      </c>
      <c r="J13" s="3" t="n">
        <v>1.5</v>
      </c>
      <c r="K13" s="3" t="n">
        <v>1.5</v>
      </c>
      <c r="L13" s="3" t="n">
        <v>1.5</v>
      </c>
    </row>
    <row r="14" customFormat="false" ht="15" hidden="false" customHeight="false" outlineLevel="0" collapsed="false">
      <c r="A14" s="0" t="s">
        <v>98</v>
      </c>
      <c r="C14" s="3" t="n">
        <v>6.2</v>
      </c>
      <c r="D14" s="3" t="n">
        <v>5.2</v>
      </c>
      <c r="E14" s="3" t="n">
        <v>5.1</v>
      </c>
      <c r="F14" s="3" t="n">
        <v>5.1</v>
      </c>
      <c r="G14" s="3" t="n">
        <v>5.1</v>
      </c>
      <c r="H14" s="3" t="n">
        <v>5.1</v>
      </c>
      <c r="I14" s="3" t="n">
        <v>5.1</v>
      </c>
      <c r="J14" s="3" t="n">
        <v>5.1</v>
      </c>
      <c r="K14" s="3" t="n">
        <v>5.1</v>
      </c>
      <c r="L14" s="3" t="n">
        <v>5.1</v>
      </c>
    </row>
    <row r="15" customFormat="false" ht="15" hidden="false" customHeight="false" outlineLevel="0" collapsed="false">
      <c r="A15" s="0" t="s">
        <v>99</v>
      </c>
      <c r="C15" s="3" t="n">
        <v>0.27</v>
      </c>
      <c r="D15" s="3" t="n">
        <v>0.27</v>
      </c>
      <c r="E15" s="3" t="n">
        <v>0.27</v>
      </c>
      <c r="F15" s="3" t="n">
        <v>0.27</v>
      </c>
      <c r="G15" s="3" t="n">
        <v>0.27</v>
      </c>
      <c r="H15" s="3" t="n">
        <v>0.27</v>
      </c>
      <c r="I15" s="3" t="n">
        <v>0.27</v>
      </c>
      <c r="J15" s="3" t="n">
        <v>0.27</v>
      </c>
      <c r="K15" s="3" t="n">
        <v>0.27</v>
      </c>
      <c r="L15" s="3" t="n">
        <v>0.27</v>
      </c>
    </row>
    <row r="16" customFormat="false" ht="15" hidden="false" customHeight="false" outlineLevel="0" collapsed="false">
      <c r="A16" s="0" t="s">
        <v>100</v>
      </c>
      <c r="C16" s="3" t="n">
        <v>0.65</v>
      </c>
      <c r="D16" s="3" t="n">
        <v>0.75</v>
      </c>
      <c r="E16" s="3" t="n">
        <v>0.75</v>
      </c>
      <c r="F16" s="3" t="n">
        <v>0.75</v>
      </c>
      <c r="G16" s="3" t="n">
        <v>0.75</v>
      </c>
      <c r="H16" s="3" t="n">
        <v>0.75</v>
      </c>
      <c r="I16" s="3" t="n">
        <v>0.75</v>
      </c>
      <c r="J16" s="3" t="n">
        <v>0.75</v>
      </c>
      <c r="K16" s="3" t="n">
        <v>0.75</v>
      </c>
      <c r="L16" s="3" t="n">
        <v>0.75</v>
      </c>
    </row>
    <row r="17" customFormat="false" ht="15" hidden="false" customHeight="false" outlineLevel="0" collapsed="false">
      <c r="A17" s="0" t="s">
        <v>101</v>
      </c>
      <c r="C17" s="3" t="n">
        <v>2.3</v>
      </c>
      <c r="D17" s="3" t="n">
        <v>2.6</v>
      </c>
      <c r="E17" s="3" t="n">
        <v>2.6</v>
      </c>
      <c r="F17" s="3" t="n">
        <v>2.6</v>
      </c>
      <c r="G17" s="3" t="n">
        <v>2.6</v>
      </c>
      <c r="H17" s="3" t="n">
        <v>2.6</v>
      </c>
      <c r="I17" s="3" t="n">
        <v>2.6</v>
      </c>
      <c r="J17" s="3" t="n">
        <v>2.6</v>
      </c>
      <c r="K17" s="3" t="n">
        <v>2.6</v>
      </c>
      <c r="L17" s="3" t="n">
        <v>2.6</v>
      </c>
    </row>
    <row r="18" customFormat="false" ht="15" hidden="false" customHeight="false" outlineLevel="0" collapsed="false">
      <c r="A18" s="0" t="s">
        <v>102</v>
      </c>
      <c r="C18" s="3" t="n">
        <v>2.5</v>
      </c>
      <c r="D18" s="3" t="n">
        <v>3</v>
      </c>
      <c r="E18" s="3" t="n">
        <v>3.1</v>
      </c>
      <c r="F18" s="3" t="n">
        <v>3.1</v>
      </c>
      <c r="G18" s="3" t="n">
        <v>3</v>
      </c>
      <c r="H18" s="3" t="n">
        <v>2.9</v>
      </c>
      <c r="I18" s="3" t="n">
        <v>2.8</v>
      </c>
      <c r="J18" s="3" t="n">
        <v>2.7</v>
      </c>
      <c r="K18" s="3" t="n">
        <v>2.6</v>
      </c>
      <c r="L18" s="3" t="n">
        <v>2.6</v>
      </c>
    </row>
    <row r="19" customFormat="false" ht="15" hidden="false" customHeight="false" outlineLevel="0" collapsed="false">
      <c r="A19" s="0" t="s">
        <v>103</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104</v>
      </c>
      <c r="B20" s="3" t="n">
        <v>9.5</v>
      </c>
    </row>
    <row r="21" customFormat="false" ht="15" hidden="false" customHeight="false" outlineLevel="0" collapsed="false">
      <c r="A21" s="0" t="s">
        <v>105</v>
      </c>
      <c r="B21" s="3" t="n">
        <v>2</v>
      </c>
    </row>
    <row r="22" customFormat="false" ht="15" hidden="false" customHeight="false" outlineLevel="0" collapsed="false">
      <c r="A22" s="0" t="s">
        <v>106</v>
      </c>
      <c r="B22" s="3" t="n">
        <v>12</v>
      </c>
    </row>
    <row r="23" customFormat="false" ht="15" hidden="false" customHeight="false" outlineLevel="0" collapsed="false">
      <c r="A23" s="0" t="s">
        <v>107</v>
      </c>
      <c r="B23" s="3" t="n">
        <v>0</v>
      </c>
    </row>
    <row r="24" customFormat="false" ht="15" hidden="false" customHeight="false" outlineLevel="0" collapsed="false">
      <c r="A24" s="0" t="s">
        <v>108</v>
      </c>
      <c r="B24" s="3" t="n">
        <v>0.25</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25</v>
      </c>
      <c r="D27" s="3" t="n">
        <v>-8</v>
      </c>
      <c r="E27" s="3" t="n">
        <v>2</v>
      </c>
      <c r="F27" s="3" t="n">
        <v>2.5</v>
      </c>
      <c r="G27" s="3" t="n">
        <v>2.5</v>
      </c>
      <c r="H27" s="3" t="n">
        <v>2.5</v>
      </c>
      <c r="I27" s="3" t="n">
        <v>2.5</v>
      </c>
      <c r="J27" s="3" t="n">
        <v>2.5</v>
      </c>
      <c r="K27" s="3" t="n">
        <v>2.5</v>
      </c>
      <c r="L27" s="3" t="n">
        <v>2.5</v>
      </c>
    </row>
    <row r="28" customFormat="false" ht="15" hidden="false" customHeight="false" outlineLevel="0" collapsed="false">
      <c r="A28" s="0" t="s">
        <v>98</v>
      </c>
      <c r="C28" s="3" t="n">
        <v>6.4</v>
      </c>
      <c r="D28" s="3" t="n">
        <v>5.8</v>
      </c>
      <c r="E28" s="3" t="n">
        <v>5.8</v>
      </c>
      <c r="F28" s="3" t="n">
        <v>5.85</v>
      </c>
      <c r="G28" s="3" t="n">
        <v>5.9</v>
      </c>
      <c r="H28" s="3" t="n">
        <v>5.9</v>
      </c>
      <c r="I28" s="3" t="n">
        <v>5.95</v>
      </c>
      <c r="J28" s="3" t="n">
        <v>6</v>
      </c>
      <c r="K28" s="3" t="n">
        <v>6</v>
      </c>
      <c r="L28" s="3" t="n">
        <v>6</v>
      </c>
    </row>
    <row r="29" customFormat="false" ht="15" hidden="false" customHeight="false" outlineLevel="0" collapsed="false">
      <c r="A29" s="0" t="s">
        <v>99</v>
      </c>
      <c r="C29" s="3" t="n">
        <v>0.27</v>
      </c>
      <c r="D29" s="3" t="n">
        <v>0.27</v>
      </c>
      <c r="E29" s="3" t="n">
        <v>0.27</v>
      </c>
      <c r="F29" s="3" t="n">
        <v>0.27</v>
      </c>
      <c r="G29" s="3" t="n">
        <v>0.27</v>
      </c>
      <c r="H29" s="3" t="n">
        <v>0.27</v>
      </c>
      <c r="I29" s="3" t="n">
        <v>0.27</v>
      </c>
      <c r="J29" s="3" t="n">
        <v>0.27</v>
      </c>
      <c r="K29" s="3" t="n">
        <v>0.27</v>
      </c>
      <c r="L29" s="3" t="n">
        <v>0.27</v>
      </c>
    </row>
    <row r="30" customFormat="false" ht="15" hidden="false" customHeight="false" outlineLevel="0" collapsed="false">
      <c r="A30" s="0" t="s">
        <v>100</v>
      </c>
      <c r="C30" s="3" t="n">
        <v>0.65</v>
      </c>
      <c r="D30" s="3" t="n">
        <v>0.7</v>
      </c>
      <c r="E30" s="3" t="n">
        <v>0.7</v>
      </c>
      <c r="F30" s="3" t="n">
        <v>0.7</v>
      </c>
      <c r="G30" s="3" t="n">
        <v>0.7</v>
      </c>
      <c r="H30" s="3" t="n">
        <v>0.7</v>
      </c>
      <c r="I30" s="3" t="n">
        <v>0.7</v>
      </c>
      <c r="J30" s="3" t="n">
        <v>0.7</v>
      </c>
      <c r="K30" s="3" t="n">
        <v>0.7</v>
      </c>
      <c r="L30" s="3" t="n">
        <v>0.7</v>
      </c>
    </row>
    <row r="31" customFormat="false" ht="15" hidden="false" customHeight="false" outlineLevel="0" collapsed="false">
      <c r="A31" s="0" t="s">
        <v>101</v>
      </c>
      <c r="C31" s="3" t="n">
        <v>2.3</v>
      </c>
      <c r="D31" s="3" t="n">
        <v>2.5</v>
      </c>
      <c r="E31" s="3" t="n">
        <v>2.5</v>
      </c>
      <c r="F31" s="3" t="n">
        <v>2.5</v>
      </c>
      <c r="G31" s="3" t="n">
        <v>2.5</v>
      </c>
      <c r="H31" s="3" t="n">
        <v>2.5</v>
      </c>
      <c r="I31" s="3" t="n">
        <v>2.5</v>
      </c>
      <c r="J31" s="3" t="n">
        <v>2.5</v>
      </c>
      <c r="K31" s="3" t="n">
        <v>2.5</v>
      </c>
      <c r="L31" s="3" t="n">
        <v>2.5</v>
      </c>
    </row>
    <row r="32" customFormat="false" ht="15" hidden="false" customHeight="false" outlineLevel="0" collapsed="false">
      <c r="A32" s="0" t="s">
        <v>102</v>
      </c>
      <c r="C32" s="3" t="n">
        <v>2.5</v>
      </c>
      <c r="D32" s="3" t="n">
        <v>2.8</v>
      </c>
      <c r="E32" s="3" t="n">
        <v>2.9</v>
      </c>
      <c r="F32" s="3" t="n">
        <v>2.9</v>
      </c>
      <c r="G32" s="3" t="n">
        <v>2.8</v>
      </c>
      <c r="H32" s="3" t="n">
        <v>2.7</v>
      </c>
      <c r="I32" s="3" t="n">
        <v>2.6</v>
      </c>
      <c r="J32" s="3" t="n">
        <v>2.5</v>
      </c>
      <c r="K32" s="3" t="n">
        <v>2.4</v>
      </c>
      <c r="L32" s="3" t="n">
        <v>2.4</v>
      </c>
    </row>
    <row r="33" customFormat="false" ht="15" hidden="false" customHeight="false" outlineLevel="0" collapsed="false">
      <c r="A33" s="0" t="s">
        <v>103</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104</v>
      </c>
      <c r="B34" s="3" t="n">
        <v>9.5</v>
      </c>
    </row>
    <row r="35" customFormat="false" ht="15" hidden="false" customHeight="false" outlineLevel="0" collapsed="false">
      <c r="A35" s="0" t="s">
        <v>105</v>
      </c>
      <c r="B35" s="3" t="n">
        <v>2</v>
      </c>
    </row>
    <row r="36" customFormat="false" ht="15" hidden="false" customHeight="false" outlineLevel="0" collapsed="false">
      <c r="A36" s="0" t="s">
        <v>106</v>
      </c>
      <c r="B36" s="3" t="n">
        <v>12</v>
      </c>
    </row>
    <row r="37" customFormat="false" ht="15" hidden="false" customHeight="false" outlineLevel="0" collapsed="false">
      <c r="A37" s="0" t="s">
        <v>107</v>
      </c>
      <c r="B37" s="3" t="n">
        <v>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28</v>
      </c>
      <c r="D41" s="3" t="n">
        <v>-4</v>
      </c>
      <c r="E41" s="3" t="n">
        <v>3</v>
      </c>
      <c r="F41" s="3" t="n">
        <v>3</v>
      </c>
      <c r="G41" s="3" t="n">
        <v>3</v>
      </c>
      <c r="H41" s="3" t="n">
        <v>3</v>
      </c>
      <c r="I41" s="3" t="n">
        <v>3</v>
      </c>
      <c r="J41" s="3" t="n">
        <v>3</v>
      </c>
      <c r="K41" s="3" t="n">
        <v>3</v>
      </c>
      <c r="L41" s="3" t="n">
        <v>3</v>
      </c>
    </row>
    <row r="42" customFormat="false" ht="15" hidden="false" customHeight="false" outlineLevel="0" collapsed="false">
      <c r="A42" s="0" t="s">
        <v>98</v>
      </c>
      <c r="C42" s="3" t="n">
        <v>6.6</v>
      </c>
      <c r="D42" s="3" t="n">
        <v>6.4</v>
      </c>
      <c r="E42" s="3" t="n">
        <v>6.4</v>
      </c>
      <c r="F42" s="3" t="n">
        <v>6.5</v>
      </c>
      <c r="G42" s="3" t="n">
        <v>6.5</v>
      </c>
      <c r="H42" s="3" t="n">
        <v>6.6</v>
      </c>
      <c r="I42" s="3" t="n">
        <v>6.6</v>
      </c>
      <c r="J42" s="3" t="n">
        <v>6.7</v>
      </c>
      <c r="K42" s="3" t="n">
        <v>6.7</v>
      </c>
      <c r="L42" s="3" t="n">
        <v>6.7</v>
      </c>
    </row>
    <row r="43" customFormat="false" ht="15" hidden="false" customHeight="false" outlineLevel="0" collapsed="false">
      <c r="A43" s="0" t="s">
        <v>99</v>
      </c>
      <c r="C43" s="3" t="n">
        <v>0.27</v>
      </c>
      <c r="D43" s="3" t="n">
        <v>0.27</v>
      </c>
      <c r="E43" s="3" t="n">
        <v>0.27</v>
      </c>
      <c r="F43" s="3" t="n">
        <v>0.27</v>
      </c>
      <c r="G43" s="3" t="n">
        <v>0.27</v>
      </c>
      <c r="H43" s="3" t="n">
        <v>0.27</v>
      </c>
      <c r="I43" s="3" t="n">
        <v>0.27</v>
      </c>
      <c r="J43" s="3" t="n">
        <v>0.27</v>
      </c>
      <c r="K43" s="3" t="n">
        <v>0.27</v>
      </c>
      <c r="L43" s="3" t="n">
        <v>0.27</v>
      </c>
    </row>
    <row r="44" customFormat="false" ht="15" hidden="false" customHeight="false" outlineLevel="0" collapsed="false">
      <c r="A44" s="0" t="s">
        <v>100</v>
      </c>
      <c r="C44" s="3" t="n">
        <v>0.65</v>
      </c>
      <c r="D44" s="3" t="n">
        <v>0.65</v>
      </c>
      <c r="E44" s="3" t="n">
        <v>0.65</v>
      </c>
      <c r="F44" s="3" t="n">
        <v>0.65</v>
      </c>
      <c r="G44" s="3" t="n">
        <v>0.65</v>
      </c>
      <c r="H44" s="3" t="n">
        <v>0.65</v>
      </c>
      <c r="I44" s="3" t="n">
        <v>0.65</v>
      </c>
      <c r="J44" s="3" t="n">
        <v>0.65</v>
      </c>
      <c r="K44" s="3" t="n">
        <v>0.65</v>
      </c>
      <c r="L44" s="3" t="n">
        <v>0.65</v>
      </c>
    </row>
    <row r="45" customFormat="false" ht="15" hidden="false" customHeight="false" outlineLevel="0" collapsed="false">
      <c r="A45" s="0" t="s">
        <v>101</v>
      </c>
      <c r="C45" s="3" t="n">
        <v>2.3</v>
      </c>
      <c r="D45" s="3" t="n">
        <v>2.5</v>
      </c>
      <c r="E45" s="3" t="n">
        <v>2.5</v>
      </c>
      <c r="F45" s="3" t="n">
        <v>2.5</v>
      </c>
      <c r="G45" s="3" t="n">
        <v>2.5</v>
      </c>
      <c r="H45" s="3" t="n">
        <v>2.5</v>
      </c>
      <c r="I45" s="3" t="n">
        <v>2.5</v>
      </c>
      <c r="J45" s="3" t="n">
        <v>2.5</v>
      </c>
      <c r="K45" s="3" t="n">
        <v>2.5</v>
      </c>
      <c r="L45" s="3" t="n">
        <v>2.5</v>
      </c>
    </row>
    <row r="46" customFormat="false" ht="15" hidden="false" customHeight="false" outlineLevel="0" collapsed="false">
      <c r="A46" s="0" t="s">
        <v>102</v>
      </c>
      <c r="C46" s="3" t="n">
        <v>2.5</v>
      </c>
      <c r="D46" s="3" t="n">
        <v>2.8</v>
      </c>
      <c r="E46" s="3" t="n">
        <v>2.9</v>
      </c>
      <c r="F46" s="3" t="n">
        <v>2.9</v>
      </c>
      <c r="G46" s="3" t="n">
        <v>2.8</v>
      </c>
      <c r="H46" s="3" t="n">
        <v>2.7</v>
      </c>
      <c r="I46" s="3" t="n">
        <v>2.6</v>
      </c>
      <c r="J46" s="3" t="n">
        <v>2.5</v>
      </c>
      <c r="K46" s="3" t="n">
        <v>2.4</v>
      </c>
      <c r="L46" s="3" t="n">
        <v>2.4</v>
      </c>
    </row>
    <row r="47" customFormat="false" ht="15" hidden="false" customHeight="false" outlineLevel="0" collapsed="false">
      <c r="A47" s="0" t="s">
        <v>103</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104</v>
      </c>
      <c r="B48" s="3" t="n">
        <v>9.5</v>
      </c>
    </row>
    <row r="49" customFormat="false" ht="15" hidden="false" customHeight="false" outlineLevel="0" collapsed="false">
      <c r="A49" s="0" t="s">
        <v>105</v>
      </c>
      <c r="B49" s="3" t="n">
        <v>2</v>
      </c>
    </row>
    <row r="50" customFormat="false" ht="15" hidden="false" customHeight="false" outlineLevel="0" collapsed="false">
      <c r="A50" s="0" t="s">
        <v>106</v>
      </c>
      <c r="B50" s="3" t="n">
        <v>12</v>
      </c>
    </row>
    <row r="51" customFormat="false" ht="15" hidden="false" customHeight="false" outlineLevel="0" collapsed="false">
      <c r="A51" s="0" t="s">
        <v>107</v>
      </c>
      <c r="B51" s="3" t="n">
        <v>0</v>
      </c>
    </row>
    <row r="52" customFormat="false" ht="15" hidden="false" customHeight="false" outlineLevel="0" collapsed="false">
      <c r="A52" s="0" t="s">
        <v>108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22</v>
      </c>
      <c r="D5" s="4" t="n">
        <f aca="false">Assumptions!D13</f>
        <v>-14</v>
      </c>
      <c r="E5" s="4" t="n">
        <f aca="false">Assumptions!E13</f>
        <v>1</v>
      </c>
      <c r="F5" s="4" t="n">
        <f aca="false">Assumptions!F13</f>
        <v>1.5</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38</v>
      </c>
      <c r="B6" s="3" t="n">
        <v>247535</v>
      </c>
      <c r="C6" s="0" t="n">
        <f aca="false">B6*(1+C5/100)</f>
        <v>301992.7</v>
      </c>
      <c r="D6" s="0" t="n">
        <f aca="false">C6*(1+D5/100)</f>
        <v>259713.722</v>
      </c>
      <c r="E6" s="0" t="n">
        <f aca="false">D6*(1+E5/100)</f>
        <v>262310.85922</v>
      </c>
      <c r="F6" s="0" t="n">
        <f aca="false">E6*(1+F5/100)</f>
        <v>266245.5221083</v>
      </c>
      <c r="G6" s="0" t="n">
        <f aca="false">F6*(1+G5/100)</f>
        <v>270239.204939924</v>
      </c>
      <c r="H6" s="0" t="n">
        <f aca="false">G6*(1+H5/100)</f>
        <v>274292.793014023</v>
      </c>
      <c r="I6" s="0" t="n">
        <f aca="false">H6*(1+I5/100)</f>
        <v>278407.184909234</v>
      </c>
      <c r="J6" s="0" t="n">
        <f aca="false">I6*(1+J5/100)</f>
        <v>282583.292682872</v>
      </c>
      <c r="K6" s="0" t="n">
        <f aca="false">J6*(1+K5/100)</f>
        <v>286822.042073115</v>
      </c>
      <c r="L6" s="0" t="n">
        <f aca="false">K6*(1+L5/100)</f>
        <v>291124.372704212</v>
      </c>
    </row>
    <row r="7" customFormat="false" ht="15" hidden="false" customHeight="false" outlineLevel="0" collapsed="false">
      <c r="A7" s="0" t="s">
        <v>98</v>
      </c>
      <c r="C7" s="4" t="n">
        <f aca="false">Assumptions!C14</f>
        <v>6.2</v>
      </c>
      <c r="D7" s="4" t="n">
        <f aca="false">Assumptions!D14</f>
        <v>5.2</v>
      </c>
      <c r="E7" s="4" t="n">
        <f aca="false">Assumptions!E14</f>
        <v>5.1</v>
      </c>
      <c r="F7" s="4" t="n">
        <f aca="false">Assumptions!F14</f>
        <v>5.1</v>
      </c>
      <c r="G7" s="4" t="n">
        <f aca="false">Assumptions!G14</f>
        <v>5.1</v>
      </c>
      <c r="H7" s="4" t="n">
        <f aca="false">Assumptions!H14</f>
        <v>5.1</v>
      </c>
      <c r="I7" s="4" t="n">
        <f aca="false">Assumptions!I14</f>
        <v>5.1</v>
      </c>
      <c r="J7" s="4" t="n">
        <f aca="false">Assumptions!J14</f>
        <v>5.1</v>
      </c>
      <c r="K7" s="4" t="n">
        <f aca="false">Assumptions!K14</f>
        <v>5.1</v>
      </c>
      <c r="L7" s="4" t="n">
        <f aca="false">Assumptions!L14</f>
        <v>5.1</v>
      </c>
    </row>
    <row r="8" customFormat="false" ht="15" hidden="false" customHeight="false" outlineLevel="0" collapsed="false">
      <c r="A8" s="0" t="s">
        <v>44</v>
      </c>
      <c r="C8" s="0" t="n">
        <f aca="false">C6*C7/100</f>
        <v>18723.5474</v>
      </c>
      <c r="D8" s="0" t="n">
        <f aca="false">D6*D7/100</f>
        <v>13505.113544</v>
      </c>
      <c r="E8" s="0" t="n">
        <f aca="false">E6*E7/100</f>
        <v>13377.85382022</v>
      </c>
      <c r="F8" s="0" t="n">
        <f aca="false">F6*F7/100</f>
        <v>13578.5216275233</v>
      </c>
      <c r="G8" s="0" t="n">
        <f aca="false">G6*G7/100</f>
        <v>13782.1994519361</v>
      </c>
      <c r="H8" s="0" t="n">
        <f aca="false">H6*H7/100</f>
        <v>13988.9324437152</v>
      </c>
      <c r="I8" s="0" t="n">
        <f aca="false">I6*I7/100</f>
        <v>14198.7664303709</v>
      </c>
      <c r="J8" s="0" t="n">
        <f aca="false">J6*J7/100</f>
        <v>14411.7479268265</v>
      </c>
      <c r="K8" s="0" t="n">
        <f aca="false">K6*K7/100</f>
        <v>14627.9241457289</v>
      </c>
      <c r="L8" s="0" t="n">
        <f aca="false">L6*L7/100</f>
        <v>14847.3430079148</v>
      </c>
    </row>
    <row r="9" customFormat="false" ht="15" hidden="false" customHeight="false" outlineLevel="0" collapsed="false">
      <c r="A9" s="0" t="s">
        <v>99</v>
      </c>
      <c r="C9" s="4" t="n">
        <f aca="false">Assumptions!C15</f>
        <v>0.27</v>
      </c>
      <c r="D9" s="4" t="n">
        <f aca="false">Assumptions!D15</f>
        <v>0.27</v>
      </c>
      <c r="E9" s="4" t="n">
        <f aca="false">Assumptions!E15</f>
        <v>0.27</v>
      </c>
      <c r="F9" s="4" t="n">
        <f aca="false">Assumptions!F15</f>
        <v>0.27</v>
      </c>
      <c r="G9" s="4" t="n">
        <f aca="false">Assumptions!G15</f>
        <v>0.27</v>
      </c>
      <c r="H9" s="4" t="n">
        <f aca="false">Assumptions!H15</f>
        <v>0.27</v>
      </c>
      <c r="I9" s="4" t="n">
        <f aca="false">Assumptions!I15</f>
        <v>0.27</v>
      </c>
      <c r="J9" s="4" t="n">
        <f aca="false">Assumptions!J15</f>
        <v>0.27</v>
      </c>
      <c r="K9" s="4" t="n">
        <f aca="false">Assumptions!K15</f>
        <v>0.27</v>
      </c>
      <c r="L9" s="4" t="n">
        <f aca="false">Assumptions!L15</f>
        <v>0.27</v>
      </c>
    </row>
    <row r="10" customFormat="false" ht="15" hidden="false" customHeight="false" outlineLevel="0" collapsed="false">
      <c r="A10" s="0" t="s">
        <v>114</v>
      </c>
      <c r="C10" s="0" t="n">
        <f aca="false">-C6*C9/100</f>
        <v>-815.38029</v>
      </c>
      <c r="D10" s="0" t="n">
        <f aca="false">-D6*D9/100</f>
        <v>-701.2270494</v>
      </c>
      <c r="E10" s="0" t="n">
        <f aca="false">-E6*E9/100</f>
        <v>-708.239319894</v>
      </c>
      <c r="F10" s="0" t="n">
        <f aca="false">-F6*F9/100</f>
        <v>-718.86290969241</v>
      </c>
      <c r="G10" s="0" t="n">
        <f aca="false">-G6*G9/100</f>
        <v>-729.645853337796</v>
      </c>
      <c r="H10" s="0" t="n">
        <f aca="false">-H6*H9/100</f>
        <v>-740.590541137863</v>
      </c>
      <c r="I10" s="0" t="n">
        <f aca="false">-I6*I9/100</f>
        <v>-751.699399254931</v>
      </c>
      <c r="J10" s="0" t="n">
        <f aca="false">-J6*J9/100</f>
        <v>-762.974890243755</v>
      </c>
      <c r="K10" s="0" t="n">
        <f aca="false">-K6*K9/100</f>
        <v>-774.419513597411</v>
      </c>
      <c r="L10" s="0" t="n">
        <f aca="false">-L6*L9/100</f>
        <v>-786.035806301372</v>
      </c>
    </row>
    <row r="11" customFormat="false" ht="15" hidden="false" customHeight="false" outlineLevel="0" collapsed="false">
      <c r="A11" s="0" t="s">
        <v>115</v>
      </c>
      <c r="C11" s="0" t="n">
        <f aca="false">C8+C10+C24</f>
        <v>15945.21456</v>
      </c>
      <c r="D11" s="0" t="n">
        <f aca="false">D8+D10+D24</f>
        <v>10856.0335796</v>
      </c>
      <c r="E11" s="0" t="n">
        <f aca="false">E8+E10+E24</f>
        <v>10702.283056176</v>
      </c>
      <c r="F11" s="0" t="n">
        <f aca="false">F8+F10+F24</f>
        <v>10862.8173020186</v>
      </c>
      <c r="G11" s="0" t="n">
        <f aca="false">G8+G10+G24</f>
        <v>11025.7595615489</v>
      </c>
      <c r="H11" s="0" t="n">
        <f aca="false">H8+H10+H24</f>
        <v>11191.1459549722</v>
      </c>
      <c r="I11" s="0" t="n">
        <f aca="false">I8+I10+I24</f>
        <v>11359.0131442967</v>
      </c>
      <c r="J11" s="0" t="n">
        <f aca="false">J8+J10+J24</f>
        <v>11529.3983414612</v>
      </c>
      <c r="K11" s="0" t="n">
        <f aca="false">K8+K10+K24</f>
        <v>11702.3393165831</v>
      </c>
      <c r="L11" s="0" t="n">
        <f aca="false">L8+L10+L24</f>
        <v>11877.8744063318</v>
      </c>
    </row>
    <row r="12" customFormat="false" ht="15" hidden="false" customHeight="false" outlineLevel="0" collapsed="false">
      <c r="A12" s="0" t="s">
        <v>116</v>
      </c>
      <c r="C12" s="4" t="n">
        <f aca="false">-C6*Assumptions!C17/100</f>
        <v>-6945.8321</v>
      </c>
      <c r="D12" s="4" t="n">
        <f aca="false">-D6*Assumptions!D17/100</f>
        <v>-6752.556772</v>
      </c>
      <c r="E12" s="4" t="n">
        <f aca="false">-E6*Assumptions!E17/100</f>
        <v>-6820.08233972</v>
      </c>
      <c r="F12" s="4" t="n">
        <f aca="false">-F6*Assumptions!F17/100</f>
        <v>-6922.3835748158</v>
      </c>
      <c r="G12" s="4" t="n">
        <f aca="false">-G6*Assumptions!G17/100</f>
        <v>-7026.21932843804</v>
      </c>
      <c r="H12" s="4" t="n">
        <f aca="false">-H6*Assumptions!H17/100</f>
        <v>-7131.61261836461</v>
      </c>
      <c r="I12" s="4" t="n">
        <f aca="false">-I6*Assumptions!I17/100</f>
        <v>-7238.58680764007</v>
      </c>
      <c r="J12" s="4" t="n">
        <f aca="false">-J6*Assumptions!J17/100</f>
        <v>-7347.16560975468</v>
      </c>
      <c r="K12" s="4" t="n">
        <f aca="false">-K6*Assumptions!K17/100</f>
        <v>-7457.37309390099</v>
      </c>
      <c r="L12" s="4" t="n">
        <f aca="false">-L6*Assumptions!L17/100</f>
        <v>-7569.23369030951</v>
      </c>
    </row>
    <row r="13" customFormat="false" ht="15" hidden="false" customHeight="false" outlineLevel="0" collapsed="false">
      <c r="A13" s="0" t="s">
        <v>117</v>
      </c>
      <c r="C13" s="0" t="n">
        <f aca="false">C11+C12</f>
        <v>8999.38246</v>
      </c>
      <c r="D13" s="0" t="n">
        <f aca="false">D11+D12</f>
        <v>4103.4768076</v>
      </c>
      <c r="E13" s="0" t="n">
        <f aca="false">E11+E12</f>
        <v>3882.200716456</v>
      </c>
      <c r="F13" s="0" t="n">
        <f aca="false">F11+F12</f>
        <v>3940.43372720284</v>
      </c>
      <c r="G13" s="0" t="n">
        <f aca="false">G11+G12</f>
        <v>3999.54023311088</v>
      </c>
      <c r="H13" s="0" t="n">
        <f aca="false">H11+H12</f>
        <v>4059.53333660755</v>
      </c>
      <c r="I13" s="0" t="n">
        <f aca="false">I11+I12</f>
        <v>4120.42633665666</v>
      </c>
      <c r="J13" s="0" t="n">
        <f aca="false">J11+J12</f>
        <v>4182.23273170651</v>
      </c>
      <c r="K13" s="0" t="n">
        <f aca="false">K11+K12</f>
        <v>4244.9662226821</v>
      </c>
      <c r="L13" s="0" t="n">
        <f aca="false">L11+L12</f>
        <v>4308.64071602233</v>
      </c>
    </row>
    <row r="14" customFormat="false" ht="15" hidden="false" customHeight="false" outlineLevel="0" collapsed="false">
      <c r="A14" s="0" t="s">
        <v>103</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118</v>
      </c>
      <c r="C15" s="0" t="n">
        <f aca="false">C13-MAX(0,C13)*C14/100</f>
        <v>6299.567722</v>
      </c>
      <c r="D15" s="0" t="n">
        <f aca="false">D13-MAX(0,D13)*D14/100</f>
        <v>2872.43376532</v>
      </c>
      <c r="E15" s="0" t="n">
        <f aca="false">E13-MAX(0,E13)*E14/100</f>
        <v>2717.5405015192</v>
      </c>
      <c r="F15" s="0" t="n">
        <f aca="false">F13-MAX(0,F13)*F14/100</f>
        <v>2758.30360904199</v>
      </c>
      <c r="G15" s="0" t="n">
        <f aca="false">G13-MAX(0,G13)*G14/100</f>
        <v>2799.67816317762</v>
      </c>
      <c r="H15" s="0" t="n">
        <f aca="false">H13-MAX(0,H13)*H14/100</f>
        <v>2841.67333562528</v>
      </c>
      <c r="I15" s="0" t="n">
        <f aca="false">I13-MAX(0,I13)*I14/100</f>
        <v>2884.29843565966</v>
      </c>
      <c r="J15" s="0" t="n">
        <f aca="false">J13-MAX(0,J13)*J14/100</f>
        <v>2927.56291219455</v>
      </c>
      <c r="K15" s="0" t="n">
        <f aca="false">K13-MAX(0,K13)*K14/100</f>
        <v>2971.47635587747</v>
      </c>
      <c r="L15" s="0" t="n">
        <f aca="false">L13-MAX(0,L13)*L14/100</f>
        <v>3016.04850121563</v>
      </c>
    </row>
    <row r="16" customFormat="false" ht="15" hidden="false" customHeight="false" outlineLevel="0" collapsed="false">
      <c r="A16" s="0" t="s">
        <v>119</v>
      </c>
      <c r="C16" s="0" t="n">
        <f aca="false">-C12</f>
        <v>6945.8321</v>
      </c>
      <c r="D16" s="0" t="n">
        <f aca="false">-D12</f>
        <v>6752.556772</v>
      </c>
      <c r="E16" s="0" t="n">
        <f aca="false">-E12</f>
        <v>6820.08233972</v>
      </c>
      <c r="F16" s="0" t="n">
        <f aca="false">-F12</f>
        <v>6922.3835748158</v>
      </c>
      <c r="G16" s="0" t="n">
        <f aca="false">-G12</f>
        <v>7026.21932843804</v>
      </c>
      <c r="H16" s="0" t="n">
        <f aca="false">-H12</f>
        <v>7131.61261836461</v>
      </c>
      <c r="I16" s="0" t="n">
        <f aca="false">-I12</f>
        <v>7238.58680764007</v>
      </c>
      <c r="J16" s="0" t="n">
        <f aca="false">-J12</f>
        <v>7347.16560975468</v>
      </c>
      <c r="K16" s="0" t="n">
        <f aca="false">-K12</f>
        <v>7457.37309390099</v>
      </c>
      <c r="L16" s="0" t="n">
        <f aca="false">-L12</f>
        <v>7569.23369030951</v>
      </c>
    </row>
    <row r="17" customFormat="false" ht="15" hidden="false" customHeight="false" outlineLevel="0" collapsed="false">
      <c r="A17" s="0" t="s">
        <v>120</v>
      </c>
      <c r="C17" s="4" t="n">
        <f aca="false">-C6*Assumptions!C18/100</f>
        <v>-7549.8175</v>
      </c>
      <c r="D17" s="4" t="n">
        <f aca="false">-D6*Assumptions!D18/100</f>
        <v>-7791.41166</v>
      </c>
      <c r="E17" s="4" t="n">
        <f aca="false">-E6*Assumptions!E18/100</f>
        <v>-8131.63663582</v>
      </c>
      <c r="F17" s="4" t="n">
        <f aca="false">-F6*Assumptions!F18/100</f>
        <v>-8253.6111853573</v>
      </c>
      <c r="G17" s="4" t="n">
        <f aca="false">-G6*Assumptions!G18/100</f>
        <v>-8107.17614819773</v>
      </c>
      <c r="H17" s="4" t="n">
        <f aca="false">-H6*Assumptions!H18/100</f>
        <v>-7954.49099740668</v>
      </c>
      <c r="I17" s="4" t="n">
        <f aca="false">-I6*Assumptions!I18/100</f>
        <v>-7795.40117745854</v>
      </c>
      <c r="J17" s="4" t="n">
        <f aca="false">-J6*Assumptions!J18/100</f>
        <v>-7629.74890243755</v>
      </c>
      <c r="K17" s="4" t="n">
        <f aca="false">-K6*Assumptions!K18/100</f>
        <v>-7457.37309390099</v>
      </c>
      <c r="L17" s="4" t="n">
        <f aca="false">-L6*Assumptions!L18/100</f>
        <v>-7569.23369030951</v>
      </c>
    </row>
    <row r="18" customFormat="false" ht="15" hidden="false" customHeight="false" outlineLevel="0" collapsed="false">
      <c r="A18" s="0" t="s">
        <v>121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122</v>
      </c>
      <c r="C19" s="0" t="n">
        <f aca="false">C15+C16+C17+C18</f>
        <v>5695.582322</v>
      </c>
      <c r="D19" s="0" t="n">
        <f aca="false">D15+D16+D17+D18</f>
        <v>1833.57887732</v>
      </c>
      <c r="E19" s="0" t="n">
        <f aca="false">E15+E16+E17+E18</f>
        <v>1405.9862054192</v>
      </c>
      <c r="F19" s="0" t="n">
        <f aca="false">F15+F16+F17+F18</f>
        <v>1427.07599850049</v>
      </c>
      <c r="G19" s="0" t="n">
        <f aca="false">G15+G16+G17+G18</f>
        <v>1718.72134341792</v>
      </c>
      <c r="H19" s="0" t="n">
        <f aca="false">H15+H16+H17+H18</f>
        <v>2018.79495658321</v>
      </c>
      <c r="I19" s="0" t="n">
        <f aca="false">I15+I16+I17+I18</f>
        <v>2327.48406584119</v>
      </c>
      <c r="J19" s="0" t="n">
        <f aca="false">J15+J16+J17+J18</f>
        <v>2644.97961951168</v>
      </c>
      <c r="K19" s="0" t="n">
        <f aca="false">K15+K16+K17+K18</f>
        <v>2971.47635587747</v>
      </c>
      <c r="L19" s="0" t="n">
        <f aca="false">L15+L16+L17+L18</f>
        <v>3016.04850121563</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5201.44504292238</v>
      </c>
      <c r="D21" s="0" t="n">
        <f aca="false">D19*D20</f>
        <v>1529.22489299222</v>
      </c>
      <c r="E21" s="0" t="n">
        <f aca="false">E19*E20</f>
        <v>1070.87480832301</v>
      </c>
      <c r="F21" s="0" t="n">
        <f aca="false">F19*F20</f>
        <v>992.637379404433</v>
      </c>
      <c r="G21" s="0" t="n">
        <f aca="false">G19*G20</f>
        <v>1091.77934624947</v>
      </c>
      <c r="H21" s="0" t="n">
        <f aca="false">H19*H20</f>
        <v>1171.13644470607</v>
      </c>
      <c r="I21" s="0" t="n">
        <f aca="false">I19*I20</f>
        <v>1233.0704273264</v>
      </c>
      <c r="J21" s="0" t="n">
        <f aca="false">J19*J20</f>
        <v>1279.70355550149</v>
      </c>
      <c r="K21" s="0" t="n">
        <f aca="false">K19*K20</f>
        <v>1312.94098734734</v>
      </c>
      <c r="L21" s="0" t="n">
        <f aca="false">L19*L20</f>
        <v>1217.01835813475</v>
      </c>
    </row>
    <row r="23" customFormat="false" ht="15" hidden="false" customHeight="false" outlineLevel="0" collapsed="false">
      <c r="A23" s="0" t="s">
        <v>100</v>
      </c>
      <c r="C23" s="4" t="n">
        <f aca="false">Assumptions!C16</f>
        <v>0.65</v>
      </c>
      <c r="D23" s="4" t="n">
        <f aca="false">Assumptions!D16</f>
        <v>0.75</v>
      </c>
      <c r="E23" s="4" t="n">
        <f aca="false">Assumptions!E16</f>
        <v>0.75</v>
      </c>
      <c r="F23" s="4" t="n">
        <f aca="false">Assumptions!F16</f>
        <v>0.75</v>
      </c>
      <c r="G23" s="4" t="n">
        <f aca="false">Assumptions!G16</f>
        <v>0.75</v>
      </c>
      <c r="H23" s="4" t="n">
        <f aca="false">Assumptions!H16</f>
        <v>0.75</v>
      </c>
      <c r="I23" s="4" t="n">
        <f aca="false">Assumptions!I16</f>
        <v>0.75</v>
      </c>
      <c r="J23" s="4" t="n">
        <f aca="false">Assumptions!J16</f>
        <v>0.75</v>
      </c>
      <c r="K23" s="4" t="n">
        <f aca="false">Assumptions!K16</f>
        <v>0.75</v>
      </c>
      <c r="L23" s="4" t="n">
        <f aca="false">Assumptions!L16</f>
        <v>0.75</v>
      </c>
    </row>
    <row r="24" customFormat="false" ht="15" hidden="false" customHeight="false" outlineLevel="0" collapsed="false">
      <c r="A24" s="0" t="s">
        <v>125</v>
      </c>
      <c r="C24" s="0" t="n">
        <f aca="false">-C6*C23/100</f>
        <v>-1962.95255</v>
      </c>
      <c r="D24" s="0" t="n">
        <f aca="false">-D6*D23/100</f>
        <v>-1947.852915</v>
      </c>
      <c r="E24" s="0" t="n">
        <f aca="false">-E6*E23/100</f>
        <v>-1967.33144415</v>
      </c>
      <c r="F24" s="0" t="n">
        <f aca="false">-F6*F23/100</f>
        <v>-1996.84141581225</v>
      </c>
      <c r="G24" s="0" t="n">
        <f aca="false">-G6*G23/100</f>
        <v>-2026.79403704943</v>
      </c>
      <c r="H24" s="0" t="n">
        <f aca="false">-H6*H23/100</f>
        <v>-2057.19594760517</v>
      </c>
      <c r="I24" s="0" t="n">
        <f aca="false">-I6*I23/100</f>
        <v>-2088.05388681925</v>
      </c>
      <c r="J24" s="0" t="n">
        <f aca="false">-J6*J23/100</f>
        <v>-2119.37469512154</v>
      </c>
      <c r="K24" s="0" t="n">
        <f aca="false">-K6*K23/100</f>
        <v>-2151.16531554836</v>
      </c>
      <c r="L24" s="0" t="n">
        <f aca="false">-L6*L23/100</f>
        <v>-2183.43279528159</v>
      </c>
    </row>
    <row r="26" customFormat="false" ht="15" hidden="false" customHeight="false" outlineLevel="0" collapsed="false">
      <c r="A26" s="2" t="s">
        <v>126</v>
      </c>
    </row>
    <row r="27" customFormat="false" ht="15" hidden="false" customHeight="false" outlineLevel="0" collapsed="false">
      <c r="A27" s="0" t="s">
        <v>104</v>
      </c>
      <c r="B27" s="4" t="n">
        <f aca="false">Assumptions!$B$20</f>
        <v>9.5</v>
      </c>
    </row>
    <row r="28" customFormat="false" ht="15" hidden="false" customHeight="false" outlineLevel="0" collapsed="false">
      <c r="A28" s="0" t="s">
        <v>105</v>
      </c>
      <c r="B28" s="4" t="n">
        <f aca="false">Assumptions!$B$21</f>
        <v>2</v>
      </c>
    </row>
    <row r="29" customFormat="false" ht="15" hidden="false" customHeight="false" outlineLevel="0" collapsed="false">
      <c r="A29" s="0" t="s">
        <v>106</v>
      </c>
      <c r="B29" s="4" t="n">
        <f aca="false">Assumptions!$B$22</f>
        <v>12</v>
      </c>
    </row>
    <row r="30" customFormat="false" ht="15" hidden="false" customHeight="false" outlineLevel="0" collapsed="false">
      <c r="A30" s="0" t="s">
        <v>127</v>
      </c>
      <c r="B30" s="0" t="n">
        <f aca="false">SUM(C21:L21)</f>
        <v>16099.8312429076</v>
      </c>
    </row>
    <row r="31" customFormat="false" ht="15" hidden="false" customHeight="false" outlineLevel="0" collapsed="false">
      <c r="A31" s="0" t="s">
        <v>128</v>
      </c>
      <c r="B31" s="0" t="n">
        <f aca="false">L19</f>
        <v>3016.04850121563</v>
      </c>
    </row>
    <row r="32" customFormat="false" ht="15" hidden="false" customHeight="false" outlineLevel="0" collapsed="false">
      <c r="A32" s="0" t="s">
        <v>129</v>
      </c>
      <c r="B32" s="0" t="n">
        <f aca="false">IF(B27&gt;B28,B31*(1+B28/100)/((B27-B28)/100),B31*B29)</f>
        <v>41018.2596165326</v>
      </c>
    </row>
    <row r="33" customFormat="false" ht="15" hidden="false" customHeight="false" outlineLevel="0" collapsed="false">
      <c r="A33" s="0" t="s">
        <v>130</v>
      </c>
      <c r="B33" s="0" t="n">
        <f aca="false">B31*B29</f>
        <v>36192.5820145876</v>
      </c>
    </row>
    <row r="34" customFormat="false" ht="15" hidden="false" customHeight="false" outlineLevel="0" collapsed="false">
      <c r="A34" s="0" t="s">
        <v>131</v>
      </c>
      <c r="B34" s="0" t="n">
        <f aca="false">MAX(0,MIN(B32,B33))</f>
        <v>36192.5820145876</v>
      </c>
    </row>
    <row r="35" customFormat="false" ht="15" hidden="false" customHeight="false" outlineLevel="0" collapsed="false">
      <c r="A35" s="0" t="s">
        <v>132</v>
      </c>
      <c r="B35" s="0" t="n">
        <f aca="false">B34/(1+B27/100)^L4</f>
        <v>14604.220297617</v>
      </c>
    </row>
    <row r="36" customFormat="false" ht="15" hidden="false" customHeight="false" outlineLevel="0" collapsed="false">
      <c r="A36" s="0" t="s">
        <v>133</v>
      </c>
      <c r="B36" s="0" t="n">
        <f aca="false">B30+B35</f>
        <v>30704.0515405245</v>
      </c>
    </row>
    <row r="37" customFormat="false" ht="15" hidden="false" customHeight="false" outlineLevel="0" collapsed="false">
      <c r="A37" s="0" t="s">
        <v>134</v>
      </c>
      <c r="B37" s="0" t="n">
        <f aca="false">B36+Assumptions!$B$5-Assumptions!$B$4</f>
        <v>18216.0515405245</v>
      </c>
    </row>
    <row r="38" customFormat="false" ht="15" hidden="false" customHeight="false" outlineLevel="0" collapsed="false">
      <c r="A38" s="0" t="s">
        <v>135</v>
      </c>
      <c r="B38" s="0" t="n">
        <f aca="false">B37/Assumptions!$B$3*Assumptions!$B$10</f>
        <v>116.521670468718</v>
      </c>
    </row>
    <row r="39" customFormat="false" ht="15" hidden="false" customHeight="false" outlineLevel="0" collapsed="false">
      <c r="A39" s="0" t="s">
        <v>136</v>
      </c>
      <c r="B39" s="4" t="n">
        <f aca="false">B38/Assumptions!$B$2-1</f>
        <v>-0.800681371076431</v>
      </c>
    </row>
    <row r="41" customFormat="false" ht="15" hidden="false" customHeight="false" outlineLevel="0" collapsed="false">
      <c r="A41" s="0" t="s">
        <v>137</v>
      </c>
      <c r="B41" s="0" t="n">
        <f aca="false">SUMPRODUCT(-C10:L10/(1+$B$27/100)^C4:L4)</f>
        <v>4688.78448535553</v>
      </c>
    </row>
    <row r="42" customFormat="false" ht="15" hidden="false" customHeight="false" outlineLevel="0" collapsed="false">
      <c r="A42" s="0" t="s">
        <v>138</v>
      </c>
      <c r="B42" s="0" t="n">
        <f aca="false">IF(B27&gt;B28,-L10*(1+B28/100)/((B27-B28)/100),-L10*20)/(1+B27/100)^L4</f>
        <v>4313.60174813783</v>
      </c>
    </row>
    <row r="43" customFormat="false" ht="15" hidden="false" customHeight="false" outlineLevel="0" collapsed="false">
      <c r="A43" s="0" t="s">
        <v>139</v>
      </c>
      <c r="B43" s="0" t="n">
        <f aca="false">(B37+B41+B42)/Assumptions!$B$3*Assumptions!$B$10</f>
        <v>174.106766766762</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23664.3805479996</v>
      </c>
    </row>
    <row r="47" customFormat="false" ht="15" hidden="false" customHeight="false" outlineLevel="0" collapsed="false">
      <c r="A47" s="0" t="s">
        <v>141</v>
      </c>
      <c r="B47" s="0" t="n">
        <f aca="false">(SUMPRODUCT(C19:L19/(1+B45/100)^C4:L4)+B46/(1+B45/100)^L4+Assumptions!$B$5-Assumptions!$B$4)/Assumptions!$B$3*Assumptions!$B$10</f>
        <v>41.5661962463404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25</v>
      </c>
      <c r="D5" s="4" t="n">
        <f aca="false">Assumptions!D27</f>
        <v>-8</v>
      </c>
      <c r="E5" s="4" t="n">
        <f aca="false">Assumptions!E27</f>
        <v>2</v>
      </c>
      <c r="F5" s="4" t="n">
        <f aca="false">Assumptions!F27</f>
        <v>2.5</v>
      </c>
      <c r="G5" s="4" t="n">
        <f aca="false">Assumptions!G27</f>
        <v>2.5</v>
      </c>
      <c r="H5" s="4" t="n">
        <f aca="false">Assumptions!H27</f>
        <v>2.5</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38</v>
      </c>
      <c r="B6" s="3" t="n">
        <v>247535</v>
      </c>
      <c r="C6" s="0" t="n">
        <f aca="false">B6*(1+C5/100)</f>
        <v>309418.75</v>
      </c>
      <c r="D6" s="0" t="n">
        <f aca="false">C6*(1+D5/100)</f>
        <v>284665.25</v>
      </c>
      <c r="E6" s="0" t="n">
        <f aca="false">D6*(1+E5/100)</f>
        <v>290358.555</v>
      </c>
      <c r="F6" s="0" t="n">
        <f aca="false">E6*(1+F5/100)</f>
        <v>297617.518875</v>
      </c>
      <c r="G6" s="0" t="n">
        <f aca="false">F6*(1+G5/100)</f>
        <v>305057.956846875</v>
      </c>
      <c r="H6" s="0" t="n">
        <f aca="false">G6*(1+H5/100)</f>
        <v>312684.405768047</v>
      </c>
      <c r="I6" s="0" t="n">
        <f aca="false">H6*(1+I5/100)</f>
        <v>320501.515912248</v>
      </c>
      <c r="J6" s="0" t="n">
        <f aca="false">I6*(1+J5/100)</f>
        <v>328514.053810054</v>
      </c>
      <c r="K6" s="0" t="n">
        <f aca="false">J6*(1+K5/100)</f>
        <v>336726.905155305</v>
      </c>
      <c r="L6" s="0" t="n">
        <f aca="false">K6*(1+L5/100)</f>
        <v>345145.077784188</v>
      </c>
    </row>
    <row r="7" customFormat="false" ht="15" hidden="false" customHeight="false" outlineLevel="0" collapsed="false">
      <c r="A7" s="0" t="s">
        <v>98</v>
      </c>
      <c r="C7" s="4" t="n">
        <f aca="false">Assumptions!C28</f>
        <v>6.4</v>
      </c>
      <c r="D7" s="4" t="n">
        <f aca="false">Assumptions!D28</f>
        <v>5.8</v>
      </c>
      <c r="E7" s="4" t="n">
        <f aca="false">Assumptions!E28</f>
        <v>5.8</v>
      </c>
      <c r="F7" s="4" t="n">
        <f aca="false">Assumptions!F28</f>
        <v>5.85</v>
      </c>
      <c r="G7" s="4" t="n">
        <f aca="false">Assumptions!G28</f>
        <v>5.9</v>
      </c>
      <c r="H7" s="4" t="n">
        <f aca="false">Assumptions!H28</f>
        <v>5.9</v>
      </c>
      <c r="I7" s="4" t="n">
        <f aca="false">Assumptions!I28</f>
        <v>5.95</v>
      </c>
      <c r="J7" s="4" t="n">
        <f aca="false">Assumptions!J28</f>
        <v>6</v>
      </c>
      <c r="K7" s="4" t="n">
        <f aca="false">Assumptions!K28</f>
        <v>6</v>
      </c>
      <c r="L7" s="4" t="n">
        <f aca="false">Assumptions!L28</f>
        <v>6</v>
      </c>
    </row>
    <row r="8" customFormat="false" ht="15" hidden="false" customHeight="false" outlineLevel="0" collapsed="false">
      <c r="A8" s="0" t="s">
        <v>44</v>
      </c>
      <c r="C8" s="0" t="n">
        <f aca="false">C6*C7/100</f>
        <v>19802.8</v>
      </c>
      <c r="D8" s="0" t="n">
        <f aca="false">D6*D7/100</f>
        <v>16510.5845</v>
      </c>
      <c r="E8" s="0" t="n">
        <f aca="false">E6*E7/100</f>
        <v>16840.79619</v>
      </c>
      <c r="F8" s="0" t="n">
        <f aca="false">F6*F7/100</f>
        <v>17410.6248541875</v>
      </c>
      <c r="G8" s="0" t="n">
        <f aca="false">G6*G7/100</f>
        <v>17998.4194539656</v>
      </c>
      <c r="H8" s="0" t="n">
        <f aca="false">H6*H7/100</f>
        <v>18448.3799403148</v>
      </c>
      <c r="I8" s="0" t="n">
        <f aca="false">I6*I7/100</f>
        <v>19069.8401967788</v>
      </c>
      <c r="J8" s="0" t="n">
        <f aca="false">J6*J7/100</f>
        <v>19710.8432286032</v>
      </c>
      <c r="K8" s="0" t="n">
        <f aca="false">K6*K7/100</f>
        <v>20203.6143093183</v>
      </c>
      <c r="L8" s="0" t="n">
        <f aca="false">L6*L7/100</f>
        <v>20708.7046670513</v>
      </c>
    </row>
    <row r="9" customFormat="false" ht="15" hidden="false" customHeight="false" outlineLevel="0" collapsed="false">
      <c r="A9" s="0" t="s">
        <v>99</v>
      </c>
      <c r="C9" s="4" t="n">
        <f aca="false">Assumptions!C29</f>
        <v>0.27</v>
      </c>
      <c r="D9" s="4" t="n">
        <f aca="false">Assumptions!D29</f>
        <v>0.27</v>
      </c>
      <c r="E9" s="4" t="n">
        <f aca="false">Assumptions!E29</f>
        <v>0.27</v>
      </c>
      <c r="F9" s="4" t="n">
        <f aca="false">Assumptions!F29</f>
        <v>0.27</v>
      </c>
      <c r="G9" s="4" t="n">
        <f aca="false">Assumptions!G29</f>
        <v>0.27</v>
      </c>
      <c r="H9" s="4" t="n">
        <f aca="false">Assumptions!H29</f>
        <v>0.27</v>
      </c>
      <c r="I9" s="4" t="n">
        <f aca="false">Assumptions!I29</f>
        <v>0.27</v>
      </c>
      <c r="J9" s="4" t="n">
        <f aca="false">Assumptions!J29</f>
        <v>0.27</v>
      </c>
      <c r="K9" s="4" t="n">
        <f aca="false">Assumptions!K29</f>
        <v>0.27</v>
      </c>
      <c r="L9" s="4" t="n">
        <f aca="false">Assumptions!L29</f>
        <v>0.27</v>
      </c>
    </row>
    <row r="10" customFormat="false" ht="15" hidden="false" customHeight="false" outlineLevel="0" collapsed="false">
      <c r="A10" s="0" t="s">
        <v>114</v>
      </c>
      <c r="C10" s="0" t="n">
        <f aca="false">-C6*C9/100</f>
        <v>-835.430625</v>
      </c>
      <c r="D10" s="0" t="n">
        <f aca="false">-D6*D9/100</f>
        <v>-768.596175</v>
      </c>
      <c r="E10" s="0" t="n">
        <f aca="false">-E6*E9/100</f>
        <v>-783.9680985</v>
      </c>
      <c r="F10" s="0" t="n">
        <f aca="false">-F6*F9/100</f>
        <v>-803.5673009625</v>
      </c>
      <c r="G10" s="0" t="n">
        <f aca="false">-G6*G9/100</f>
        <v>-823.656483486562</v>
      </c>
      <c r="H10" s="0" t="n">
        <f aca="false">-H6*H9/100</f>
        <v>-844.247895573726</v>
      </c>
      <c r="I10" s="0" t="n">
        <f aca="false">-I6*I9/100</f>
        <v>-865.354092963069</v>
      </c>
      <c r="J10" s="0" t="n">
        <f aca="false">-J6*J9/100</f>
        <v>-886.987945287146</v>
      </c>
      <c r="K10" s="0" t="n">
        <f aca="false">-K6*K9/100</f>
        <v>-909.162643919325</v>
      </c>
      <c r="L10" s="0" t="n">
        <f aca="false">-L6*L9/100</f>
        <v>-931.891710017308</v>
      </c>
    </row>
    <row r="11" customFormat="false" ht="15" hidden="false" customHeight="false" outlineLevel="0" collapsed="false">
      <c r="A11" s="0" t="s">
        <v>115</v>
      </c>
      <c r="C11" s="0" t="n">
        <f aca="false">C8+C10+C24</f>
        <v>16956.1475</v>
      </c>
      <c r="D11" s="0" t="n">
        <f aca="false">D8+D10+D24</f>
        <v>13749.331575</v>
      </c>
      <c r="E11" s="0" t="n">
        <f aca="false">E8+E10+E24</f>
        <v>14024.3182065</v>
      </c>
      <c r="F11" s="0" t="n">
        <f aca="false">F8+F10+F24</f>
        <v>14523.7349211</v>
      </c>
      <c r="G11" s="0" t="n">
        <f aca="false">G8+G10+G24</f>
        <v>15039.3572725509</v>
      </c>
      <c r="H11" s="0" t="n">
        <f aca="false">H8+H10+H24</f>
        <v>15415.3412043647</v>
      </c>
      <c r="I11" s="0" t="n">
        <f aca="false">I8+I10+I24</f>
        <v>15960.9754924299</v>
      </c>
      <c r="J11" s="0" t="n">
        <f aca="false">J8+J10+J24</f>
        <v>16524.2569066457</v>
      </c>
      <c r="K11" s="0" t="n">
        <f aca="false">K8+K10+K24</f>
        <v>16937.3633293119</v>
      </c>
      <c r="L11" s="0" t="n">
        <f aca="false">L8+L10+L24</f>
        <v>17360.7974125447</v>
      </c>
    </row>
    <row r="12" customFormat="false" ht="15" hidden="false" customHeight="false" outlineLevel="0" collapsed="false">
      <c r="A12" s="0" t="s">
        <v>116</v>
      </c>
      <c r="C12" s="4" t="n">
        <f aca="false">-C6*Assumptions!C31/100</f>
        <v>-7116.63125</v>
      </c>
      <c r="D12" s="4" t="n">
        <f aca="false">-D6*Assumptions!D31/100</f>
        <v>-7116.63125</v>
      </c>
      <c r="E12" s="4" t="n">
        <f aca="false">-E6*Assumptions!E31/100</f>
        <v>-7258.963875</v>
      </c>
      <c r="F12" s="4" t="n">
        <f aca="false">-F6*Assumptions!F31/100</f>
        <v>-7440.437971875</v>
      </c>
      <c r="G12" s="4" t="n">
        <f aca="false">-G6*Assumptions!G31/100</f>
        <v>-7626.44892117187</v>
      </c>
      <c r="H12" s="4" t="n">
        <f aca="false">-H6*Assumptions!H31/100</f>
        <v>-7817.11014420117</v>
      </c>
      <c r="I12" s="4" t="n">
        <f aca="false">-I6*Assumptions!I31/100</f>
        <v>-8012.5378978062</v>
      </c>
      <c r="J12" s="4" t="n">
        <f aca="false">-J6*Assumptions!J31/100</f>
        <v>-8212.85134525135</v>
      </c>
      <c r="K12" s="4" t="n">
        <f aca="false">-K6*Assumptions!K31/100</f>
        <v>-8418.17262888263</v>
      </c>
      <c r="L12" s="4" t="n">
        <f aca="false">-L6*Assumptions!L31/100</f>
        <v>-8628.6269446047</v>
      </c>
    </row>
    <row r="13" customFormat="false" ht="15" hidden="false" customHeight="false" outlineLevel="0" collapsed="false">
      <c r="A13" s="0" t="s">
        <v>117</v>
      </c>
      <c r="C13" s="0" t="n">
        <f aca="false">C11+C12</f>
        <v>9839.51625</v>
      </c>
      <c r="D13" s="0" t="n">
        <f aca="false">D11+D12</f>
        <v>6632.700325</v>
      </c>
      <c r="E13" s="0" t="n">
        <f aca="false">E11+E12</f>
        <v>6765.3543315</v>
      </c>
      <c r="F13" s="0" t="n">
        <f aca="false">F11+F12</f>
        <v>7083.296949225</v>
      </c>
      <c r="G13" s="0" t="n">
        <f aca="false">G11+G12</f>
        <v>7412.90835137906</v>
      </c>
      <c r="H13" s="0" t="n">
        <f aca="false">H11+H12</f>
        <v>7598.23106016353</v>
      </c>
      <c r="I13" s="0" t="n">
        <f aca="false">I11+I12</f>
        <v>7948.43759462375</v>
      </c>
      <c r="J13" s="0" t="n">
        <f aca="false">J11+J12</f>
        <v>8311.40556139437</v>
      </c>
      <c r="K13" s="0" t="n">
        <f aca="false">K11+K12</f>
        <v>8519.19070042922</v>
      </c>
      <c r="L13" s="0" t="n">
        <f aca="false">L11+L12</f>
        <v>8732.17046793995</v>
      </c>
    </row>
    <row r="14" customFormat="false" ht="15" hidden="false" customHeight="false" outlineLevel="0" collapsed="false">
      <c r="A14" s="0" t="s">
        <v>103</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118</v>
      </c>
      <c r="C15" s="0" t="n">
        <f aca="false">C13-MAX(0,C13)*C14/100</f>
        <v>6887.661375</v>
      </c>
      <c r="D15" s="0" t="n">
        <f aca="false">D13-MAX(0,D13)*D14/100</f>
        <v>4642.8902275</v>
      </c>
      <c r="E15" s="0" t="n">
        <f aca="false">E13-MAX(0,E13)*E14/100</f>
        <v>4735.74803205</v>
      </c>
      <c r="F15" s="0" t="n">
        <f aca="false">F13-MAX(0,F13)*F14/100</f>
        <v>4958.3078644575</v>
      </c>
      <c r="G15" s="0" t="n">
        <f aca="false">G13-MAX(0,G13)*G14/100</f>
        <v>5189.03584596534</v>
      </c>
      <c r="H15" s="0" t="n">
        <f aca="false">H13-MAX(0,H13)*H14/100</f>
        <v>5318.76174211447</v>
      </c>
      <c r="I15" s="0" t="n">
        <f aca="false">I13-MAX(0,I13)*I14/100</f>
        <v>5563.90631623663</v>
      </c>
      <c r="J15" s="0" t="n">
        <f aca="false">J13-MAX(0,J13)*J14/100</f>
        <v>5817.98389297606</v>
      </c>
      <c r="K15" s="0" t="n">
        <f aca="false">K13-MAX(0,K13)*K14/100</f>
        <v>5963.43349030046</v>
      </c>
      <c r="L15" s="0" t="n">
        <f aca="false">L13-MAX(0,L13)*L14/100</f>
        <v>6112.51932755797</v>
      </c>
    </row>
    <row r="16" customFormat="false" ht="15" hidden="false" customHeight="false" outlineLevel="0" collapsed="false">
      <c r="A16" s="0" t="s">
        <v>119</v>
      </c>
      <c r="C16" s="0" t="n">
        <f aca="false">-C12</f>
        <v>7116.63125</v>
      </c>
      <c r="D16" s="0" t="n">
        <f aca="false">-D12</f>
        <v>7116.63125</v>
      </c>
      <c r="E16" s="0" t="n">
        <f aca="false">-E12</f>
        <v>7258.963875</v>
      </c>
      <c r="F16" s="0" t="n">
        <f aca="false">-F12</f>
        <v>7440.437971875</v>
      </c>
      <c r="G16" s="0" t="n">
        <f aca="false">-G12</f>
        <v>7626.44892117187</v>
      </c>
      <c r="H16" s="0" t="n">
        <f aca="false">-H12</f>
        <v>7817.11014420117</v>
      </c>
      <c r="I16" s="0" t="n">
        <f aca="false">-I12</f>
        <v>8012.5378978062</v>
      </c>
      <c r="J16" s="0" t="n">
        <f aca="false">-J12</f>
        <v>8212.85134525135</v>
      </c>
      <c r="K16" s="0" t="n">
        <f aca="false">-K12</f>
        <v>8418.17262888263</v>
      </c>
      <c r="L16" s="0" t="n">
        <f aca="false">-L12</f>
        <v>8628.6269446047</v>
      </c>
    </row>
    <row r="17" customFormat="false" ht="15" hidden="false" customHeight="false" outlineLevel="0" collapsed="false">
      <c r="A17" s="0" t="s">
        <v>120</v>
      </c>
      <c r="C17" s="4" t="n">
        <f aca="false">-C6*Assumptions!C32/100</f>
        <v>-7735.46875</v>
      </c>
      <c r="D17" s="4" t="n">
        <f aca="false">-D6*Assumptions!D32/100</f>
        <v>-7970.627</v>
      </c>
      <c r="E17" s="4" t="n">
        <f aca="false">-E6*Assumptions!E32/100</f>
        <v>-8420.398095</v>
      </c>
      <c r="F17" s="4" t="n">
        <f aca="false">-F6*Assumptions!F32/100</f>
        <v>-8630.908047375</v>
      </c>
      <c r="G17" s="4" t="n">
        <f aca="false">-G6*Assumptions!G32/100</f>
        <v>-8541.6227917125</v>
      </c>
      <c r="H17" s="4" t="n">
        <f aca="false">-H6*Assumptions!H32/100</f>
        <v>-8442.47895573726</v>
      </c>
      <c r="I17" s="4" t="n">
        <f aca="false">-I6*Assumptions!I32/100</f>
        <v>-8333.03941371845</v>
      </c>
      <c r="J17" s="4" t="n">
        <f aca="false">-J6*Assumptions!J32/100</f>
        <v>-8212.85134525135</v>
      </c>
      <c r="K17" s="4" t="n">
        <f aca="false">-K6*Assumptions!K32/100</f>
        <v>-8081.44572372733</v>
      </c>
      <c r="L17" s="4" t="n">
        <f aca="false">-L6*Assumptions!L32/100</f>
        <v>-8283.48186682051</v>
      </c>
    </row>
    <row r="18" customFormat="false" ht="15" hidden="false" customHeight="false" outlineLevel="0" collapsed="false">
      <c r="A18" s="0" t="s">
        <v>121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122</v>
      </c>
      <c r="C19" s="0" t="n">
        <f aca="false">C15+C16+C17+C18</f>
        <v>6268.823875</v>
      </c>
      <c r="D19" s="0" t="n">
        <f aca="false">D15+D16+D17+D18</f>
        <v>3788.8944775</v>
      </c>
      <c r="E19" s="0" t="n">
        <f aca="false">E15+E16+E17+E18</f>
        <v>3574.31381205</v>
      </c>
      <c r="F19" s="0" t="n">
        <f aca="false">F15+F16+F17+F18</f>
        <v>3767.8377889575</v>
      </c>
      <c r="G19" s="0" t="n">
        <f aca="false">G15+G16+G17+G18</f>
        <v>4273.86197542472</v>
      </c>
      <c r="H19" s="0" t="n">
        <f aca="false">H15+H16+H17+H18</f>
        <v>4693.39293057838</v>
      </c>
      <c r="I19" s="0" t="n">
        <f aca="false">I15+I16+I17+I18</f>
        <v>5243.40480032438</v>
      </c>
      <c r="J19" s="0" t="n">
        <f aca="false">J15+J16+J17+J18</f>
        <v>5817.98389297606</v>
      </c>
      <c r="K19" s="0" t="n">
        <f aca="false">K15+K16+K17+K18</f>
        <v>6300.16039545576</v>
      </c>
      <c r="L19" s="0" t="n">
        <f aca="false">L15+L16+L17+L18</f>
        <v>6457.66440534216</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5724.95331050228</v>
      </c>
      <c r="D21" s="0" t="n">
        <f aca="false">D19*D20</f>
        <v>3159.97954796606</v>
      </c>
      <c r="E21" s="0" t="n">
        <f aca="false">E19*E20</f>
        <v>2722.38988093351</v>
      </c>
      <c r="F21" s="0" t="n">
        <f aca="false">F19*F20</f>
        <v>2620.81110801507</v>
      </c>
      <c r="G21" s="0" t="n">
        <f aca="false">G19*G20</f>
        <v>2714.87536438597</v>
      </c>
      <c r="H21" s="0" t="n">
        <f aca="false">H19*H20</f>
        <v>2722.71509912484</v>
      </c>
      <c r="I21" s="0" t="n">
        <f aca="false">I19*I20</f>
        <v>2777.88685760327</v>
      </c>
      <c r="J21" s="0" t="n">
        <f aca="false">J19*J20</f>
        <v>2814.87789878184</v>
      </c>
      <c r="K21" s="0" t="n">
        <f aca="false">K19*K20</f>
        <v>2783.71348763893</v>
      </c>
      <c r="L21" s="0" t="n">
        <f aca="false">L19*L20</f>
        <v>2605.7592007579</v>
      </c>
    </row>
    <row r="23" customFormat="false" ht="15" hidden="false" customHeight="false" outlineLevel="0" collapsed="false">
      <c r="A23" s="0" t="s">
        <v>100</v>
      </c>
      <c r="C23" s="4" t="n">
        <f aca="false">Assumptions!C30</f>
        <v>0.65</v>
      </c>
      <c r="D23" s="4" t="n">
        <f aca="false">Assumptions!D30</f>
        <v>0.7</v>
      </c>
      <c r="E23" s="4" t="n">
        <f aca="false">Assumptions!E30</f>
        <v>0.7</v>
      </c>
      <c r="F23" s="4" t="n">
        <f aca="false">Assumptions!F30</f>
        <v>0.7</v>
      </c>
      <c r="G23" s="4" t="n">
        <f aca="false">Assumptions!G30</f>
        <v>0.7</v>
      </c>
      <c r="H23" s="4" t="n">
        <f aca="false">Assumptions!H30</f>
        <v>0.7</v>
      </c>
      <c r="I23" s="4" t="n">
        <f aca="false">Assumptions!I30</f>
        <v>0.7</v>
      </c>
      <c r="J23" s="4" t="n">
        <f aca="false">Assumptions!J30</f>
        <v>0.7</v>
      </c>
      <c r="K23" s="4" t="n">
        <f aca="false">Assumptions!K30</f>
        <v>0.7</v>
      </c>
      <c r="L23" s="4" t="n">
        <f aca="false">Assumptions!L30</f>
        <v>0.7</v>
      </c>
    </row>
    <row r="24" customFormat="false" ht="15" hidden="false" customHeight="false" outlineLevel="0" collapsed="false">
      <c r="A24" s="0" t="s">
        <v>125</v>
      </c>
      <c r="C24" s="0" t="n">
        <f aca="false">-C6*C23/100</f>
        <v>-2011.221875</v>
      </c>
      <c r="D24" s="0" t="n">
        <f aca="false">-D6*D23/100</f>
        <v>-1992.65675</v>
      </c>
      <c r="E24" s="0" t="n">
        <f aca="false">-E6*E23/100</f>
        <v>-2032.509885</v>
      </c>
      <c r="F24" s="0" t="n">
        <f aca="false">-F6*F23/100</f>
        <v>-2083.322632125</v>
      </c>
      <c r="G24" s="0" t="n">
        <f aca="false">-G6*G23/100</f>
        <v>-2135.40569792812</v>
      </c>
      <c r="H24" s="0" t="n">
        <f aca="false">-H6*H23/100</f>
        <v>-2188.79084037633</v>
      </c>
      <c r="I24" s="0" t="n">
        <f aca="false">-I6*I23/100</f>
        <v>-2243.51061138574</v>
      </c>
      <c r="J24" s="0" t="n">
        <f aca="false">-J6*J23/100</f>
        <v>-2299.59837667038</v>
      </c>
      <c r="K24" s="0" t="n">
        <f aca="false">-K6*K23/100</f>
        <v>-2357.08833608714</v>
      </c>
      <c r="L24" s="0" t="n">
        <f aca="false">-L6*L23/100</f>
        <v>-2416.01554448932</v>
      </c>
    </row>
    <row r="26" customFormat="false" ht="15" hidden="false" customHeight="false" outlineLevel="0" collapsed="false">
      <c r="A26" s="2" t="s">
        <v>126</v>
      </c>
    </row>
    <row r="27" customFormat="false" ht="15" hidden="false" customHeight="false" outlineLevel="0" collapsed="false">
      <c r="A27" s="0" t="s">
        <v>104</v>
      </c>
      <c r="B27" s="4" t="n">
        <f aca="false">Assumptions!$B$34</f>
        <v>9.5</v>
      </c>
    </row>
    <row r="28" customFormat="false" ht="15" hidden="false" customHeight="false" outlineLevel="0" collapsed="false">
      <c r="A28" s="0" t="s">
        <v>105</v>
      </c>
      <c r="B28" s="4" t="n">
        <f aca="false">Assumptions!$B$35</f>
        <v>2</v>
      </c>
    </row>
    <row r="29" customFormat="false" ht="15" hidden="false" customHeight="false" outlineLevel="0" collapsed="false">
      <c r="A29" s="0" t="s">
        <v>106</v>
      </c>
      <c r="B29" s="4" t="n">
        <f aca="false">Assumptions!$B$36</f>
        <v>12</v>
      </c>
    </row>
    <row r="30" customFormat="false" ht="15" hidden="false" customHeight="false" outlineLevel="0" collapsed="false">
      <c r="A30" s="0" t="s">
        <v>127</v>
      </c>
      <c r="B30" s="0" t="n">
        <f aca="false">SUM(C21:L21)</f>
        <v>30647.9617557097</v>
      </c>
    </row>
    <row r="31" customFormat="false" ht="15" hidden="false" customHeight="false" outlineLevel="0" collapsed="false">
      <c r="A31" s="0" t="s">
        <v>128</v>
      </c>
      <c r="B31" s="0" t="n">
        <f aca="false">L19</f>
        <v>6457.66440534216</v>
      </c>
    </row>
    <row r="32" customFormat="false" ht="15" hidden="false" customHeight="false" outlineLevel="0" collapsed="false">
      <c r="A32" s="0" t="s">
        <v>129</v>
      </c>
      <c r="B32" s="0" t="n">
        <f aca="false">IF(B27&gt;B28,B31*(1+B28/100)/((B27-B28)/100),B31*B29)</f>
        <v>87824.2359126533</v>
      </c>
    </row>
    <row r="33" customFormat="false" ht="15" hidden="false" customHeight="false" outlineLevel="0" collapsed="false">
      <c r="A33" s="0" t="s">
        <v>130</v>
      </c>
      <c r="B33" s="0" t="n">
        <f aca="false">B31*B29</f>
        <v>77491.9728641059</v>
      </c>
    </row>
    <row r="34" customFormat="false" ht="15" hidden="false" customHeight="false" outlineLevel="0" collapsed="false">
      <c r="A34" s="0" t="s">
        <v>131</v>
      </c>
      <c r="B34" s="0" t="n">
        <f aca="false">MAX(0,MIN(B32,B33))</f>
        <v>77491.9728641059</v>
      </c>
    </row>
    <row r="35" customFormat="false" ht="15" hidden="false" customHeight="false" outlineLevel="0" collapsed="false">
      <c r="A35" s="0" t="s">
        <v>132</v>
      </c>
      <c r="B35" s="0" t="n">
        <f aca="false">B34/(1+B27/100)^L4</f>
        <v>31269.1104090948</v>
      </c>
    </row>
    <row r="36" customFormat="false" ht="15" hidden="false" customHeight="false" outlineLevel="0" collapsed="false">
      <c r="A36" s="0" t="s">
        <v>133</v>
      </c>
      <c r="B36" s="0" t="n">
        <f aca="false">B30+B35</f>
        <v>61917.0721648044</v>
      </c>
    </row>
    <row r="37" customFormat="false" ht="15" hidden="false" customHeight="false" outlineLevel="0" collapsed="false">
      <c r="A37" s="0" t="s">
        <v>134</v>
      </c>
      <c r="B37" s="0" t="n">
        <f aca="false">B36+Assumptions!$B$5-Assumptions!$B$4</f>
        <v>49429.0721648044</v>
      </c>
    </row>
    <row r="38" customFormat="false" ht="15" hidden="false" customHeight="false" outlineLevel="0" collapsed="false">
      <c r="A38" s="0" t="s">
        <v>135</v>
      </c>
      <c r="B38" s="0" t="n">
        <f aca="false">B37/Assumptions!$B$3*Assumptions!$B$10</f>
        <v>316.180377813973</v>
      </c>
    </row>
    <row r="39" customFormat="false" ht="15" hidden="false" customHeight="false" outlineLevel="0" collapsed="false">
      <c r="A39" s="0" t="s">
        <v>136</v>
      </c>
      <c r="B39" s="4" t="n">
        <f aca="false">B38/Assumptions!$B$2-1</f>
        <v>-0.459150910342161</v>
      </c>
    </row>
    <row r="41" customFormat="false" ht="15" hidden="false" customHeight="false" outlineLevel="0" collapsed="false">
      <c r="A41" s="0" t="s">
        <v>137</v>
      </c>
      <c r="B41" s="0" t="n">
        <f aca="false">SUMPRODUCT(-C10:L10/(1+$B$27/100)^C4:L4)</f>
        <v>5238.33481728786</v>
      </c>
    </row>
    <row r="42" customFormat="false" ht="15" hidden="false" customHeight="false" outlineLevel="0" collapsed="false">
      <c r="A42" s="0" t="s">
        <v>138</v>
      </c>
      <c r="B42" s="0" t="n">
        <f aca="false">IF(B27&gt;B28,-L10*(1+B28/100)/((B27-B28)/100),-L10*20)/(1+B27/100)^L4</f>
        <v>5114.02874675735</v>
      </c>
    </row>
    <row r="43" customFormat="false" ht="15" hidden="false" customHeight="false" outlineLevel="0" collapsed="false">
      <c r="A43" s="0" t="s">
        <v>139</v>
      </c>
      <c r="B43" s="0" t="n">
        <f aca="false">(B37+B41+B42)/Assumptions!$B$3*Assumptions!$B$10</f>
        <v>382.400803963871</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50667.8284111461</v>
      </c>
    </row>
    <row r="47" customFormat="false" ht="15" hidden="false" customHeight="false" outlineLevel="0" collapsed="false">
      <c r="A47" s="0" t="s">
        <v>141</v>
      </c>
      <c r="B47" s="0" t="n">
        <f aca="false">(SUMPRODUCT(C19:L19/(1+B45/100)^C4:L4)+B46/(1+B45/100)^L4+Assumptions!$B$5-Assumptions!$B$4)/Assumptions!$B$3*Assumptions!$B$10</f>
        <v>155.253280741476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28</v>
      </c>
      <c r="D5" s="4" t="n">
        <f aca="false">Assumptions!D41</f>
        <v>-4</v>
      </c>
      <c r="E5" s="4" t="n">
        <f aca="false">Assumptions!E41</f>
        <v>3</v>
      </c>
      <c r="F5" s="4" t="n">
        <f aca="false">Assumptions!F41</f>
        <v>3</v>
      </c>
      <c r="G5" s="4" t="n">
        <f aca="false">Assumptions!G41</f>
        <v>3</v>
      </c>
      <c r="H5" s="4" t="n">
        <f aca="false">Assumptions!H41</f>
        <v>3</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38</v>
      </c>
      <c r="B6" s="3" t="n">
        <v>247535</v>
      </c>
      <c r="C6" s="0" t="n">
        <f aca="false">B6*(1+C5/100)</f>
        <v>316844.8</v>
      </c>
      <c r="D6" s="0" t="n">
        <f aca="false">C6*(1+D5/100)</f>
        <v>304171.008</v>
      </c>
      <c r="E6" s="0" t="n">
        <f aca="false">D6*(1+E5/100)</f>
        <v>313296.13824</v>
      </c>
      <c r="F6" s="0" t="n">
        <f aca="false">E6*(1+F5/100)</f>
        <v>322695.0223872</v>
      </c>
      <c r="G6" s="0" t="n">
        <f aca="false">F6*(1+G5/100)</f>
        <v>332375.873058816</v>
      </c>
      <c r="H6" s="0" t="n">
        <f aca="false">G6*(1+H5/100)</f>
        <v>342347.149250581</v>
      </c>
      <c r="I6" s="0" t="n">
        <f aca="false">H6*(1+I5/100)</f>
        <v>352617.563728098</v>
      </c>
      <c r="J6" s="0" t="n">
        <f aca="false">I6*(1+J5/100)</f>
        <v>363196.090639941</v>
      </c>
      <c r="K6" s="0" t="n">
        <f aca="false">J6*(1+K5/100)</f>
        <v>374091.973359139</v>
      </c>
      <c r="L6" s="0" t="n">
        <f aca="false">K6*(1+L5/100)</f>
        <v>385314.732559913</v>
      </c>
    </row>
    <row r="7" customFormat="false" ht="15" hidden="false" customHeight="false" outlineLevel="0" collapsed="false">
      <c r="A7" s="0" t="s">
        <v>98</v>
      </c>
      <c r="C7" s="4" t="n">
        <f aca="false">Assumptions!C42</f>
        <v>6.6</v>
      </c>
      <c r="D7" s="4" t="n">
        <f aca="false">Assumptions!D42</f>
        <v>6.4</v>
      </c>
      <c r="E7" s="4" t="n">
        <f aca="false">Assumptions!E42</f>
        <v>6.4</v>
      </c>
      <c r="F7" s="4" t="n">
        <f aca="false">Assumptions!F42</f>
        <v>6.5</v>
      </c>
      <c r="G7" s="4" t="n">
        <f aca="false">Assumptions!G42</f>
        <v>6.5</v>
      </c>
      <c r="H7" s="4" t="n">
        <f aca="false">Assumptions!H42</f>
        <v>6.6</v>
      </c>
      <c r="I7" s="4" t="n">
        <f aca="false">Assumptions!I42</f>
        <v>6.6</v>
      </c>
      <c r="J7" s="4" t="n">
        <f aca="false">Assumptions!J42</f>
        <v>6.7</v>
      </c>
      <c r="K7" s="4" t="n">
        <f aca="false">Assumptions!K42</f>
        <v>6.7</v>
      </c>
      <c r="L7" s="4" t="n">
        <f aca="false">Assumptions!L42</f>
        <v>6.7</v>
      </c>
    </row>
    <row r="8" customFormat="false" ht="15" hidden="false" customHeight="false" outlineLevel="0" collapsed="false">
      <c r="A8" s="0" t="s">
        <v>44</v>
      </c>
      <c r="C8" s="0" t="n">
        <f aca="false">C6*C7/100</f>
        <v>20911.7568</v>
      </c>
      <c r="D8" s="0" t="n">
        <f aca="false">D6*D7/100</f>
        <v>19466.944512</v>
      </c>
      <c r="E8" s="0" t="n">
        <f aca="false">E6*E7/100</f>
        <v>20050.95284736</v>
      </c>
      <c r="F8" s="0" t="n">
        <f aca="false">F6*F7/100</f>
        <v>20975.176455168</v>
      </c>
      <c r="G8" s="0" t="n">
        <f aca="false">G6*G7/100</f>
        <v>21604.431748823</v>
      </c>
      <c r="H8" s="0" t="n">
        <f aca="false">H6*H7/100</f>
        <v>22594.9118505383</v>
      </c>
      <c r="I8" s="0" t="n">
        <f aca="false">I6*I7/100</f>
        <v>23272.7592060545</v>
      </c>
      <c r="J8" s="0" t="n">
        <f aca="false">J6*J7/100</f>
        <v>24334.138072876</v>
      </c>
      <c r="K8" s="0" t="n">
        <f aca="false">K6*K7/100</f>
        <v>25064.1622150623</v>
      </c>
      <c r="L8" s="0" t="n">
        <f aca="false">L6*L7/100</f>
        <v>25816.0870815142</v>
      </c>
    </row>
    <row r="9" customFormat="false" ht="15" hidden="false" customHeight="false" outlineLevel="0" collapsed="false">
      <c r="A9" s="0" t="s">
        <v>99</v>
      </c>
      <c r="C9" s="4" t="n">
        <f aca="false">Assumptions!C43</f>
        <v>0.27</v>
      </c>
      <c r="D9" s="4" t="n">
        <f aca="false">Assumptions!D43</f>
        <v>0.27</v>
      </c>
      <c r="E9" s="4" t="n">
        <f aca="false">Assumptions!E43</f>
        <v>0.27</v>
      </c>
      <c r="F9" s="4" t="n">
        <f aca="false">Assumptions!F43</f>
        <v>0.27</v>
      </c>
      <c r="G9" s="4" t="n">
        <f aca="false">Assumptions!G43</f>
        <v>0.27</v>
      </c>
      <c r="H9" s="4" t="n">
        <f aca="false">Assumptions!H43</f>
        <v>0.27</v>
      </c>
      <c r="I9" s="4" t="n">
        <f aca="false">Assumptions!I43</f>
        <v>0.27</v>
      </c>
      <c r="J9" s="4" t="n">
        <f aca="false">Assumptions!J43</f>
        <v>0.27</v>
      </c>
      <c r="K9" s="4" t="n">
        <f aca="false">Assumptions!K43</f>
        <v>0.27</v>
      </c>
      <c r="L9" s="4" t="n">
        <f aca="false">Assumptions!L43</f>
        <v>0.27</v>
      </c>
    </row>
    <row r="10" customFormat="false" ht="15" hidden="false" customHeight="false" outlineLevel="0" collapsed="false">
      <c r="A10" s="0" t="s">
        <v>114</v>
      </c>
      <c r="C10" s="0" t="n">
        <f aca="false">-C6*C9/100</f>
        <v>-855.48096</v>
      </c>
      <c r="D10" s="0" t="n">
        <f aca="false">-D6*D9/100</f>
        <v>-821.2617216</v>
      </c>
      <c r="E10" s="0" t="n">
        <f aca="false">-E6*E9/100</f>
        <v>-845.899573248</v>
      </c>
      <c r="F10" s="0" t="n">
        <f aca="false">-F6*F9/100</f>
        <v>-871.27656044544</v>
      </c>
      <c r="G10" s="0" t="n">
        <f aca="false">-G6*G9/100</f>
        <v>-897.414857258803</v>
      </c>
      <c r="H10" s="0" t="n">
        <f aca="false">-H6*H9/100</f>
        <v>-924.337302976568</v>
      </c>
      <c r="I10" s="0" t="n">
        <f aca="false">-I6*I9/100</f>
        <v>-952.067422065865</v>
      </c>
      <c r="J10" s="0" t="n">
        <f aca="false">-J6*J9/100</f>
        <v>-980.629444727841</v>
      </c>
      <c r="K10" s="0" t="n">
        <f aca="false">-K6*K9/100</f>
        <v>-1010.04832806968</v>
      </c>
      <c r="L10" s="0" t="n">
        <f aca="false">-L6*L9/100</f>
        <v>-1040.34977791177</v>
      </c>
    </row>
    <row r="11" customFormat="false" ht="15" hidden="false" customHeight="false" outlineLevel="0" collapsed="false">
      <c r="A11" s="0" t="s">
        <v>115</v>
      </c>
      <c r="C11" s="0" t="n">
        <f aca="false">C8+C10+C24</f>
        <v>17996.78464</v>
      </c>
      <c r="D11" s="0" t="n">
        <f aca="false">D8+D10+D24</f>
        <v>16668.5712384</v>
      </c>
      <c r="E11" s="0" t="n">
        <f aca="false">E8+E10+E24</f>
        <v>17168.628375552</v>
      </c>
      <c r="F11" s="0" t="n">
        <f aca="false">F8+F10+F24</f>
        <v>18006.3822492058</v>
      </c>
      <c r="G11" s="0" t="n">
        <f aca="false">G8+G10+G24</f>
        <v>18546.5737166819</v>
      </c>
      <c r="H11" s="0" t="n">
        <f aca="false">H8+H10+H24</f>
        <v>19445.318077433</v>
      </c>
      <c r="I11" s="0" t="n">
        <f aca="false">I8+I10+I24</f>
        <v>20028.677619756</v>
      </c>
      <c r="J11" s="0" t="n">
        <f aca="false">J8+J10+J24</f>
        <v>20992.7340389886</v>
      </c>
      <c r="K11" s="0" t="n">
        <f aca="false">K8+K10+K24</f>
        <v>21622.5160601582</v>
      </c>
      <c r="L11" s="0" t="n">
        <f aca="false">L8+L10+L24</f>
        <v>22271.191541963</v>
      </c>
    </row>
    <row r="12" customFormat="false" ht="15" hidden="false" customHeight="false" outlineLevel="0" collapsed="false">
      <c r="A12" s="0" t="s">
        <v>116</v>
      </c>
      <c r="C12" s="4" t="n">
        <f aca="false">-C6*Assumptions!C45/100</f>
        <v>-7287.4304</v>
      </c>
      <c r="D12" s="4" t="n">
        <f aca="false">-D6*Assumptions!D45/100</f>
        <v>-7604.2752</v>
      </c>
      <c r="E12" s="4" t="n">
        <f aca="false">-E6*Assumptions!E45/100</f>
        <v>-7832.403456</v>
      </c>
      <c r="F12" s="4" t="n">
        <f aca="false">-F6*Assumptions!F45/100</f>
        <v>-8067.37555968</v>
      </c>
      <c r="G12" s="4" t="n">
        <f aca="false">-G6*Assumptions!G45/100</f>
        <v>-8309.3968264704</v>
      </c>
      <c r="H12" s="4" t="n">
        <f aca="false">-H6*Assumptions!H45/100</f>
        <v>-8558.67873126451</v>
      </c>
      <c r="I12" s="4" t="n">
        <f aca="false">-I6*Assumptions!I45/100</f>
        <v>-8815.43909320245</v>
      </c>
      <c r="J12" s="4" t="n">
        <f aca="false">-J6*Assumptions!J45/100</f>
        <v>-9079.90226599852</v>
      </c>
      <c r="K12" s="4" t="n">
        <f aca="false">-K6*Assumptions!K45/100</f>
        <v>-9352.29933397848</v>
      </c>
      <c r="L12" s="4" t="n">
        <f aca="false">-L6*Assumptions!L45/100</f>
        <v>-9632.86831399783</v>
      </c>
    </row>
    <row r="13" customFormat="false" ht="15" hidden="false" customHeight="false" outlineLevel="0" collapsed="false">
      <c r="A13" s="0" t="s">
        <v>117</v>
      </c>
      <c r="C13" s="0" t="n">
        <f aca="false">C11+C12</f>
        <v>10709.35424</v>
      </c>
      <c r="D13" s="0" t="n">
        <f aca="false">D11+D12</f>
        <v>9064.2960384</v>
      </c>
      <c r="E13" s="0" t="n">
        <f aca="false">E11+E12</f>
        <v>9336.224919552</v>
      </c>
      <c r="F13" s="0" t="n">
        <f aca="false">F11+F12</f>
        <v>9939.00668952576</v>
      </c>
      <c r="G13" s="0" t="n">
        <f aca="false">G11+G12</f>
        <v>10237.1768902115</v>
      </c>
      <c r="H13" s="0" t="n">
        <f aca="false">H11+H12</f>
        <v>10886.6393461685</v>
      </c>
      <c r="I13" s="0" t="n">
        <f aca="false">I11+I12</f>
        <v>11213.2385265535</v>
      </c>
      <c r="J13" s="0" t="n">
        <f aca="false">J11+J12</f>
        <v>11912.8317729901</v>
      </c>
      <c r="K13" s="0" t="n">
        <f aca="false">K11+K12</f>
        <v>12270.2167261798</v>
      </c>
      <c r="L13" s="0" t="n">
        <f aca="false">L11+L12</f>
        <v>12638.3232279652</v>
      </c>
    </row>
    <row r="14" customFormat="false" ht="15" hidden="false" customHeight="false" outlineLevel="0" collapsed="false">
      <c r="A14" s="0" t="s">
        <v>103</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118</v>
      </c>
      <c r="C15" s="0" t="n">
        <f aca="false">C13-MAX(0,C13)*C14/100</f>
        <v>7496.547968</v>
      </c>
      <c r="D15" s="0" t="n">
        <f aca="false">D13-MAX(0,D13)*D14/100</f>
        <v>6345.00722688</v>
      </c>
      <c r="E15" s="0" t="n">
        <f aca="false">E13-MAX(0,E13)*E14/100</f>
        <v>6535.3574436864</v>
      </c>
      <c r="F15" s="0" t="n">
        <f aca="false">F13-MAX(0,F13)*F14/100</f>
        <v>6957.30468266803</v>
      </c>
      <c r="G15" s="0" t="n">
        <f aca="false">G13-MAX(0,G13)*G14/100</f>
        <v>7166.02382314808</v>
      </c>
      <c r="H15" s="0" t="n">
        <f aca="false">H13-MAX(0,H13)*H14/100</f>
        <v>7620.64754231792</v>
      </c>
      <c r="I15" s="0" t="n">
        <f aca="false">I13-MAX(0,I13)*I14/100</f>
        <v>7849.26696858746</v>
      </c>
      <c r="J15" s="0" t="n">
        <f aca="false">J13-MAX(0,J13)*J14/100</f>
        <v>8338.98224109304</v>
      </c>
      <c r="K15" s="0" t="n">
        <f aca="false">K13-MAX(0,K13)*K14/100</f>
        <v>8589.15170832584</v>
      </c>
      <c r="L15" s="0" t="n">
        <f aca="false">L13-MAX(0,L13)*L14/100</f>
        <v>8846.82625957561</v>
      </c>
    </row>
    <row r="16" customFormat="false" ht="15" hidden="false" customHeight="false" outlineLevel="0" collapsed="false">
      <c r="A16" s="0" t="s">
        <v>119</v>
      </c>
      <c r="C16" s="0" t="n">
        <f aca="false">-C12</f>
        <v>7287.4304</v>
      </c>
      <c r="D16" s="0" t="n">
        <f aca="false">-D12</f>
        <v>7604.2752</v>
      </c>
      <c r="E16" s="0" t="n">
        <f aca="false">-E12</f>
        <v>7832.403456</v>
      </c>
      <c r="F16" s="0" t="n">
        <f aca="false">-F12</f>
        <v>8067.37555968</v>
      </c>
      <c r="G16" s="0" t="n">
        <f aca="false">-G12</f>
        <v>8309.3968264704</v>
      </c>
      <c r="H16" s="0" t="n">
        <f aca="false">-H12</f>
        <v>8558.67873126451</v>
      </c>
      <c r="I16" s="0" t="n">
        <f aca="false">-I12</f>
        <v>8815.43909320245</v>
      </c>
      <c r="J16" s="0" t="n">
        <f aca="false">-J12</f>
        <v>9079.90226599852</v>
      </c>
      <c r="K16" s="0" t="n">
        <f aca="false">-K12</f>
        <v>9352.29933397848</v>
      </c>
      <c r="L16" s="0" t="n">
        <f aca="false">-L12</f>
        <v>9632.86831399783</v>
      </c>
    </row>
    <row r="17" customFormat="false" ht="15" hidden="false" customHeight="false" outlineLevel="0" collapsed="false">
      <c r="A17" s="0" t="s">
        <v>120</v>
      </c>
      <c r="C17" s="4" t="n">
        <f aca="false">-C6*Assumptions!C46/100</f>
        <v>-7921.12</v>
      </c>
      <c r="D17" s="4" t="n">
        <f aca="false">-D6*Assumptions!D46/100</f>
        <v>-8516.788224</v>
      </c>
      <c r="E17" s="4" t="n">
        <f aca="false">-E6*Assumptions!E46/100</f>
        <v>-9085.58800896</v>
      </c>
      <c r="F17" s="4" t="n">
        <f aca="false">-F6*Assumptions!F46/100</f>
        <v>-9358.1556492288</v>
      </c>
      <c r="G17" s="4" t="n">
        <f aca="false">-G6*Assumptions!G46/100</f>
        <v>-9306.52444564685</v>
      </c>
      <c r="H17" s="4" t="n">
        <f aca="false">-H6*Assumptions!H46/100</f>
        <v>-9243.37302976568</v>
      </c>
      <c r="I17" s="4" t="n">
        <f aca="false">-I6*Assumptions!I46/100</f>
        <v>-9168.05665693055</v>
      </c>
      <c r="J17" s="4" t="n">
        <f aca="false">-J6*Assumptions!J46/100</f>
        <v>-9079.90226599852</v>
      </c>
      <c r="K17" s="4" t="n">
        <f aca="false">-K6*Assumptions!K46/100</f>
        <v>-8978.20736061934</v>
      </c>
      <c r="L17" s="4" t="n">
        <f aca="false">-L6*Assumptions!L46/100</f>
        <v>-9247.55358143792</v>
      </c>
    </row>
    <row r="18" customFormat="false" ht="15" hidden="false" customHeight="false" outlineLevel="0" collapsed="false">
      <c r="A18" s="0" t="s">
        <v>121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122</v>
      </c>
      <c r="C19" s="0" t="n">
        <f aca="false">C15+C16+C17+C18</f>
        <v>6862.858368</v>
      </c>
      <c r="D19" s="0" t="n">
        <f aca="false">D15+D16+D17+D18</f>
        <v>5432.49420288</v>
      </c>
      <c r="E19" s="0" t="n">
        <f aca="false">E15+E16+E17+E18</f>
        <v>5282.1728907264</v>
      </c>
      <c r="F19" s="0" t="n">
        <f aca="false">F15+F16+F17+F18</f>
        <v>5666.52459311924</v>
      </c>
      <c r="G19" s="0" t="n">
        <f aca="false">G15+G16+G17+G18</f>
        <v>6168.89620397163</v>
      </c>
      <c r="H19" s="0" t="n">
        <f aca="false">H15+H16+H17+H18</f>
        <v>6935.95324381676</v>
      </c>
      <c r="I19" s="0" t="n">
        <f aca="false">I15+I16+I17+I18</f>
        <v>7496.64940485936</v>
      </c>
      <c r="J19" s="0" t="n">
        <f aca="false">J15+J16+J17+J18</f>
        <v>8338.98224109304</v>
      </c>
      <c r="K19" s="0" t="n">
        <f aca="false">K15+K16+K17+K18</f>
        <v>8963.24368168497</v>
      </c>
      <c r="L19" s="0" t="n">
        <f aca="false">L15+L16+L17+L18</f>
        <v>9232.14099213552</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6267.45056438356</v>
      </c>
      <c r="D21" s="0" t="n">
        <f aca="false">D19*D20</f>
        <v>4530.75974469257</v>
      </c>
      <c r="E21" s="0" t="n">
        <f aca="false">E19*E20</f>
        <v>4023.18732579536</v>
      </c>
      <c r="F21" s="0" t="n">
        <f aca="false">F19*F20</f>
        <v>3941.48884036657</v>
      </c>
      <c r="G21" s="0" t="n">
        <f aca="false">G19*G20</f>
        <v>3918.65353301504</v>
      </c>
      <c r="H21" s="0" t="n">
        <f aca="false">H19*H20</f>
        <v>4023.66153933687</v>
      </c>
      <c r="I21" s="0" t="n">
        <f aca="false">I19*I20</f>
        <v>3971.62619535495</v>
      </c>
      <c r="J21" s="0" t="n">
        <f aca="false">J19*J20</f>
        <v>4034.59638950288</v>
      </c>
      <c r="K21" s="0" t="n">
        <f aca="false">K19*K20</f>
        <v>3960.39160331502</v>
      </c>
      <c r="L21" s="0" t="n">
        <f aca="false">L19*L20</f>
        <v>3725.29986430546</v>
      </c>
    </row>
    <row r="23" customFormat="false" ht="15" hidden="false" customHeight="false" outlineLevel="0" collapsed="false">
      <c r="A23" s="0" t="s">
        <v>100</v>
      </c>
      <c r="C23" s="4" t="n">
        <f aca="false">Assumptions!C44</f>
        <v>0.65</v>
      </c>
      <c r="D23" s="4" t="n">
        <f aca="false">Assumptions!D44</f>
        <v>0.65</v>
      </c>
      <c r="E23" s="4" t="n">
        <f aca="false">Assumptions!E44</f>
        <v>0.65</v>
      </c>
      <c r="F23" s="4" t="n">
        <f aca="false">Assumptions!F44</f>
        <v>0.65</v>
      </c>
      <c r="G23" s="4" t="n">
        <f aca="false">Assumptions!G44</f>
        <v>0.65</v>
      </c>
      <c r="H23" s="4" t="n">
        <f aca="false">Assumptions!H44</f>
        <v>0.65</v>
      </c>
      <c r="I23" s="4" t="n">
        <f aca="false">Assumptions!I44</f>
        <v>0.65</v>
      </c>
      <c r="J23" s="4" t="n">
        <f aca="false">Assumptions!J44</f>
        <v>0.65</v>
      </c>
      <c r="K23" s="4" t="n">
        <f aca="false">Assumptions!K44</f>
        <v>0.65</v>
      </c>
      <c r="L23" s="4" t="n">
        <f aca="false">Assumptions!L44</f>
        <v>0.65</v>
      </c>
    </row>
    <row r="24" customFormat="false" ht="15" hidden="false" customHeight="false" outlineLevel="0" collapsed="false">
      <c r="A24" s="0" t="s">
        <v>125</v>
      </c>
      <c r="C24" s="0" t="n">
        <f aca="false">-C6*C23/100</f>
        <v>-2059.4912</v>
      </c>
      <c r="D24" s="0" t="n">
        <f aca="false">-D6*D23/100</f>
        <v>-1977.111552</v>
      </c>
      <c r="E24" s="0" t="n">
        <f aca="false">-E6*E23/100</f>
        <v>-2036.42489856</v>
      </c>
      <c r="F24" s="0" t="n">
        <f aca="false">-F6*F23/100</f>
        <v>-2097.5176455168</v>
      </c>
      <c r="G24" s="0" t="n">
        <f aca="false">-G6*G23/100</f>
        <v>-2160.4431748823</v>
      </c>
      <c r="H24" s="0" t="n">
        <f aca="false">-H6*H23/100</f>
        <v>-2225.25647012877</v>
      </c>
      <c r="I24" s="0" t="n">
        <f aca="false">-I6*I23/100</f>
        <v>-2292.01416423264</v>
      </c>
      <c r="J24" s="0" t="n">
        <f aca="false">-J6*J23/100</f>
        <v>-2360.77458915962</v>
      </c>
      <c r="K24" s="0" t="n">
        <f aca="false">-K6*K23/100</f>
        <v>-2431.5978268344</v>
      </c>
      <c r="L24" s="0" t="n">
        <f aca="false">-L6*L23/100</f>
        <v>-2504.54576163944</v>
      </c>
    </row>
    <row r="26" customFormat="false" ht="15" hidden="false" customHeight="false" outlineLevel="0" collapsed="false">
      <c r="A26" s="2" t="s">
        <v>126</v>
      </c>
    </row>
    <row r="27" customFormat="false" ht="15" hidden="false" customHeight="false" outlineLevel="0" collapsed="false">
      <c r="A27" s="0" t="s">
        <v>104</v>
      </c>
      <c r="B27" s="4" t="n">
        <f aca="false">Assumptions!$B$48</f>
        <v>9.5</v>
      </c>
    </row>
    <row r="28" customFormat="false" ht="15" hidden="false" customHeight="false" outlineLevel="0" collapsed="false">
      <c r="A28" s="0" t="s">
        <v>105</v>
      </c>
      <c r="B28" s="4" t="n">
        <f aca="false">Assumptions!$B$49</f>
        <v>2</v>
      </c>
    </row>
    <row r="29" customFormat="false" ht="15" hidden="false" customHeight="false" outlineLevel="0" collapsed="false">
      <c r="A29" s="0" t="s">
        <v>106</v>
      </c>
      <c r="B29" s="4" t="n">
        <f aca="false">Assumptions!$B$50</f>
        <v>12</v>
      </c>
    </row>
    <row r="30" customFormat="false" ht="15" hidden="false" customHeight="false" outlineLevel="0" collapsed="false">
      <c r="A30" s="0" t="s">
        <v>127</v>
      </c>
      <c r="B30" s="0" t="n">
        <f aca="false">SUM(C21:L21)</f>
        <v>42397.1156000683</v>
      </c>
    </row>
    <row r="31" customFormat="false" ht="15" hidden="false" customHeight="false" outlineLevel="0" collapsed="false">
      <c r="A31" s="0" t="s">
        <v>128</v>
      </c>
      <c r="B31" s="0" t="n">
        <f aca="false">L19</f>
        <v>9232.14099213552</v>
      </c>
    </row>
    <row r="32" customFormat="false" ht="15" hidden="false" customHeight="false" outlineLevel="0" collapsed="false">
      <c r="A32" s="0" t="s">
        <v>129</v>
      </c>
      <c r="B32" s="0" t="n">
        <f aca="false">IF(B27&gt;B28,B31*(1+B28/100)/((B27-B28)/100),B31*B29)</f>
        <v>125557.117493043</v>
      </c>
    </row>
    <row r="33" customFormat="false" ht="15" hidden="false" customHeight="false" outlineLevel="0" collapsed="false">
      <c r="A33" s="0" t="s">
        <v>130</v>
      </c>
      <c r="B33" s="0" t="n">
        <f aca="false">B31*B29</f>
        <v>110785.691905626</v>
      </c>
    </row>
    <row r="34" customFormat="false" ht="15" hidden="false" customHeight="false" outlineLevel="0" collapsed="false">
      <c r="A34" s="0" t="s">
        <v>131</v>
      </c>
      <c r="B34" s="0" t="n">
        <f aca="false">MAX(0,MIN(B32,B33))</f>
        <v>110785.691905626</v>
      </c>
    </row>
    <row r="35" customFormat="false" ht="15" hidden="false" customHeight="false" outlineLevel="0" collapsed="false">
      <c r="A35" s="0" t="s">
        <v>132</v>
      </c>
      <c r="B35" s="0" t="n">
        <f aca="false">B34/(1+B27/100)^L4</f>
        <v>44703.5983716655</v>
      </c>
    </row>
    <row r="36" customFormat="false" ht="15" hidden="false" customHeight="false" outlineLevel="0" collapsed="false">
      <c r="A36" s="0" t="s">
        <v>133</v>
      </c>
      <c r="B36" s="0" t="n">
        <f aca="false">B30+B35</f>
        <v>87100.7139717337</v>
      </c>
    </row>
    <row r="37" customFormat="false" ht="15" hidden="false" customHeight="false" outlineLevel="0" collapsed="false">
      <c r="A37" s="0" t="s">
        <v>134</v>
      </c>
      <c r="B37" s="0" t="n">
        <f aca="false">B36+Assumptions!$B$5-Assumptions!$B$4</f>
        <v>74612.7139717337</v>
      </c>
    </row>
    <row r="38" customFormat="false" ht="15" hidden="false" customHeight="false" outlineLevel="0" collapsed="false">
      <c r="A38" s="0" t="s">
        <v>135</v>
      </c>
      <c r="B38" s="0" t="n">
        <f aca="false">B37/Assumptions!$B$3*Assumptions!$B$10</f>
        <v>477.271270936509</v>
      </c>
    </row>
    <row r="39" customFormat="false" ht="15" hidden="false" customHeight="false" outlineLevel="0" collapsed="false">
      <c r="A39" s="0" t="s">
        <v>136</v>
      </c>
      <c r="B39" s="4" t="n">
        <f aca="false">B38/Assumptions!$B$2-1</f>
        <v>-0.183593446909837</v>
      </c>
    </row>
    <row r="41" customFormat="false" ht="15" hidden="false" customHeight="false" outlineLevel="0" collapsed="false">
      <c r="A41" s="0" t="s">
        <v>137</v>
      </c>
      <c r="B41" s="0" t="n">
        <f aca="false">SUMPRODUCT(-C10:L10/(1+$B$27/100)^C4:L4)</f>
        <v>5667.73704702567</v>
      </c>
    </row>
    <row r="42" customFormat="false" ht="15" hidden="false" customHeight="false" outlineLevel="0" collapsed="false">
      <c r="A42" s="0" t="s">
        <v>138</v>
      </c>
      <c r="B42" s="0" t="n">
        <f aca="false">IF(B27&gt;B28,-L10*(1+B28/100)/((B27-B28)/100),-L10*20)/(1+B27/100)^L4</f>
        <v>5709.22416599734</v>
      </c>
    </row>
    <row r="43" customFormat="false" ht="15" hidden="false" customHeight="false" outlineLevel="0" collapsed="false">
      <c r="A43" s="0" t="s">
        <v>139</v>
      </c>
      <c r="B43" s="0" t="n">
        <f aca="false">(B37+B41+B42)/Assumptions!$B$3*Assumptions!$B$10</f>
        <v>550.045687634338</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72436.7985536787</v>
      </c>
    </row>
    <row r="47" customFormat="false" ht="15" hidden="false" customHeight="false" outlineLevel="0" collapsed="false">
      <c r="A47" s="0" t="s">
        <v>141</v>
      </c>
      <c r="B47" s="0" t="n">
        <f aca="false">(SUMPRODUCT(C19:L19/(1+B45/100)^C4:L4)+B46/(1+B45/100)^L4+Assumptions!$B$5-Assumptions!$B$4)/Assumptions!$B$3*Assumptions!$B$10</f>
        <v>247.202143631098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116.521670468718</v>
      </c>
      <c r="C4" s="0" t="n">
        <f aca="false">B4/Assumptions!$B$2-1</f>
        <v>-0.800681371076431</v>
      </c>
      <c r="D4" s="4" t="n">
        <f aca="false">Assumptions!$B$24</f>
        <v>0.25</v>
      </c>
      <c r="E4" s="4" t="n">
        <f aca="false">DCF_Bear!$B$43</f>
        <v>174.106766766762</v>
      </c>
      <c r="F4" s="4" t="n">
        <f aca="false">DCF_Bear!$B$47</f>
        <v>41.5661962463404</v>
      </c>
    </row>
    <row r="5" customFormat="false" ht="15" hidden="false" customHeight="false" outlineLevel="0" collapsed="false">
      <c r="A5" s="0" t="s">
        <v>150</v>
      </c>
      <c r="B5" s="4" t="n">
        <f aca="false">DCF_Base!$B$38</f>
        <v>316.180377813973</v>
      </c>
      <c r="C5" s="0" t="n">
        <f aca="false">B5/Assumptions!$B$2-1</f>
        <v>-0.459150910342161</v>
      </c>
      <c r="D5" s="4" t="n">
        <f aca="false">Assumptions!$B$38</f>
        <v>0.5</v>
      </c>
      <c r="E5" s="4" t="n">
        <f aca="false">DCF_Base!$B$43</f>
        <v>382.400803963871</v>
      </c>
      <c r="F5" s="4" t="n">
        <f aca="false">DCF_Base!$B$47</f>
        <v>155.253280741476</v>
      </c>
    </row>
    <row r="6" customFormat="false" ht="15" hidden="false" customHeight="false" outlineLevel="0" collapsed="false">
      <c r="A6" s="0" t="s">
        <v>151</v>
      </c>
      <c r="B6" s="4" t="n">
        <f aca="false">DCF_Bull!$B$38</f>
        <v>477.271270936509</v>
      </c>
      <c r="C6" s="0" t="n">
        <f aca="false">B6/Assumptions!$B$2-1</f>
        <v>-0.183593446909837</v>
      </c>
      <c r="D6" s="4" t="n">
        <f aca="false">Assumptions!$B$52</f>
        <v>0.25</v>
      </c>
      <c r="E6" s="4" t="n">
        <f aca="false">DCF_Bull!$B$43</f>
        <v>550.045687634338</v>
      </c>
      <c r="F6" s="4" t="n">
        <f aca="false">DCF_Bull!$B$47</f>
        <v>247.202143631098</v>
      </c>
    </row>
    <row r="8" customFormat="false" ht="15" hidden="false" customHeight="false" outlineLevel="0" collapsed="false">
      <c r="A8" s="0" t="s">
        <v>152</v>
      </c>
      <c r="B8" s="0" t="n">
        <f aca="false">SUMPRODUCT(B4:B6,D4:D6)</f>
        <v>306.538424258293</v>
      </c>
    </row>
    <row r="9" customFormat="false" ht="15" hidden="false" customHeight="false" outlineLevel="0" collapsed="false">
      <c r="A9" s="0" t="s">
        <v>153</v>
      </c>
      <c r="B9" s="0" t="n">
        <f aca="false">SUMPRODUCT(E4:E6,D4:D6)</f>
        <v>372.23851558221</v>
      </c>
    </row>
    <row r="10" customFormat="false" ht="15" hidden="false" customHeight="false" outlineLevel="0" collapsed="false">
      <c r="A10" s="0" t="s">
        <v>154</v>
      </c>
      <c r="B10" s="0" t="n">
        <f aca="false">1-Assumptions!$B$2/B8</f>
        <v>-0.907101863051951</v>
      </c>
    </row>
    <row r="11" customFormat="false" ht="15" hidden="false" customHeight="false" outlineLevel="0" collapsed="false">
      <c r="A11" s="0" t="s">
        <v>155</v>
      </c>
      <c r="B11" s="0" t="n">
        <f aca="false">IF(ABS(B9-B8)&gt;0.01*ABS(B8),(Assumptions!$B$2-B8)/(B9-B8)*100,"n/a")</f>
        <v>423.228598527811</v>
      </c>
    </row>
    <row r="12" customFormat="false" ht="15" hidden="false" customHeight="false" outlineLevel="0" collapsed="false">
      <c r="A12" s="0" t="s">
        <v>156</v>
      </c>
      <c r="B12" s="0" t="n">
        <f aca="false">SUMPRODUCT(F4:F6,D4:D6)</f>
        <v>149.818725340097</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330.11768324215</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316.180377813973</v>
      </c>
      <c r="C16" s="3" t="n">
        <v>9.5</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302.862912406093</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268.265254361775</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231.250008326877</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155.253280741476</v>
      </c>
      <c r="C20" s="3" t="n">
        <v>15</v>
      </c>
    </row>
    <row r="22" customFormat="false" ht="15" hidden="false" customHeight="false" outlineLevel="0" collapsed="false">
      <c r="A22" s="2" t="s">
        <v>165</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375.990817001964</v>
      </c>
      <c r="C24" s="0" t="n">
        <f aca="false">(SUMPRODUCT(DCF_Base!$C$19:$L$19/(1+$A$24/100)^DCF_Base!$C$4:$L$4)+MAX(0,MIN(IF($A$24&gt;$C$23,DCF_Base!$L$19*(1+$C$23/100)/(($A$24-$C$23)/100),DCF_Base!$L$19*DCF_Base!$B$29),DCF_Base!$L$19*DCF_Base!$B$29))/(1+$A$24/100)^DCF_Base!$L$4+Assumptions!$B$5-Assumptions!$B$4)/Assumptions!$B$3*Assumptions!$B$10</f>
        <v>375.990817001964</v>
      </c>
      <c r="D24" s="0" t="n">
        <f aca="false">(SUMPRODUCT(DCF_Base!$C$19:$L$19/(1+$A$24/100)^DCF_Base!$C$4:$L$4)+MAX(0,MIN(IF($A$24&gt;$D$23,DCF_Base!$L$19*(1+$D$23/100)/(($A$24-$D$23)/100),DCF_Base!$L$19*DCF_Base!$B$29),DCF_Base!$L$19*DCF_Base!$B$29))/(1+$A$24/100)^DCF_Base!$L$4+Assumptions!$B$5-Assumptions!$B$4)/Assumptions!$B$3*Assumptions!$B$10</f>
        <v>375.990817001964</v>
      </c>
      <c r="E24" s="0" t="n">
        <f aca="false">(SUMPRODUCT(DCF_Base!$C$19:$L$19/(1+$A$24/100)^DCF_Base!$C$4:$L$4)+MAX(0,MIN(IF($A$24&gt;$E$23,DCF_Base!$L$19*(1+$E$23/100)/(($A$24-$E$23)/100),DCF_Base!$L$19*DCF_Base!$B$29),DCF_Base!$L$19*DCF_Base!$B$29))/(1+$A$24/100)^DCF_Base!$L$4+Assumptions!$B$5-Assumptions!$B$4)/Assumptions!$B$3*Assumptions!$B$10</f>
        <v>375.990817001964</v>
      </c>
      <c r="F24" s="0" t="n">
        <f aca="false">(SUMPRODUCT(DCF_Base!$C$19:$L$19/(1+$A$24/100)^DCF_Base!$C$4:$L$4)+MAX(0,MIN(IF($A$24&gt;$F$23,DCF_Base!$L$19*(1+$F$23/100)/(($A$24-$F$23)/100),DCF_Base!$L$19*DCF_Base!$B$29),DCF_Base!$L$19*DCF_Base!$B$29))/(1+$A$24/100)^DCF_Base!$L$4+Assumptions!$B$5-Assumptions!$B$4)/Assumptions!$B$3*Assumptions!$B$10</f>
        <v>375.990817001964</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344.708045209982</v>
      </c>
      <c r="C25" s="0" t="n">
        <f aca="false">(SUMPRODUCT(DCF_Base!$C$19:$L$19/(1+$A$25/100)^DCF_Base!$C$4:$L$4)+MAX(0,MIN(IF($A$25&gt;$C$23,DCF_Base!$L$19*(1+$C$23/100)/(($A$25-$C$23)/100),DCF_Base!$L$19*DCF_Base!$B$29),DCF_Base!$L$19*DCF_Base!$B$29))/(1+$A$25/100)^DCF_Base!$L$4+Assumptions!$B$5-Assumptions!$B$4)/Assumptions!$B$3*Assumptions!$B$10</f>
        <v>344.708045209982</v>
      </c>
      <c r="D25" s="0" t="n">
        <f aca="false">(SUMPRODUCT(DCF_Base!$C$19:$L$19/(1+$A$25/100)^DCF_Base!$C$4:$L$4)+MAX(0,MIN(IF($A$25&gt;$D$23,DCF_Base!$L$19*(1+$D$23/100)/(($A$25-$D$23)/100),DCF_Base!$L$19*DCF_Base!$B$29),DCF_Base!$L$19*DCF_Base!$B$29))/(1+$A$25/100)^DCF_Base!$L$4+Assumptions!$B$5-Assumptions!$B$4)/Assumptions!$B$3*Assumptions!$B$10</f>
        <v>344.708045209982</v>
      </c>
      <c r="E25" s="0" t="n">
        <f aca="false">(SUMPRODUCT(DCF_Base!$C$19:$L$19/(1+$A$25/100)^DCF_Base!$C$4:$L$4)+MAX(0,MIN(IF($A$25&gt;$E$23,DCF_Base!$L$19*(1+$E$23/100)/(($A$25-$E$23)/100),DCF_Base!$L$19*DCF_Base!$B$29),DCF_Base!$L$19*DCF_Base!$B$29))/(1+$A$25/100)^DCF_Base!$L$4+Assumptions!$B$5-Assumptions!$B$4)/Assumptions!$B$3*Assumptions!$B$10</f>
        <v>344.708045209982</v>
      </c>
      <c r="F25" s="0" t="n">
        <f aca="false">(SUMPRODUCT(DCF_Base!$C$19:$L$19/(1+$A$25/100)^DCF_Base!$C$4:$L$4)+MAX(0,MIN(IF($A$25&gt;$F$23,DCF_Base!$L$19*(1+$F$23/100)/(($A$25-$F$23)/100),DCF_Base!$L$19*DCF_Base!$B$29),DCF_Base!$L$19*DCF_Base!$B$29))/(1+$A$25/100)^DCF_Base!$L$4+Assumptions!$B$5-Assumptions!$B$4)/Assumptions!$B$3*Assumptions!$B$10</f>
        <v>344.708045209982</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314.219421990859</v>
      </c>
      <c r="C26" s="0" t="n">
        <f aca="false">(SUMPRODUCT(DCF_Base!$C$19:$L$19/(1+$A$26/100)^DCF_Base!$C$4:$L$4)+MAX(0,MIN(IF($A$26&gt;$C$23,DCF_Base!$L$19*(1+$C$23/100)/(($A$26-$C$23)/100),DCF_Base!$L$19*DCF_Base!$B$29),DCF_Base!$L$19*DCF_Base!$B$29))/(1+$A$26/100)^DCF_Base!$L$4+Assumptions!$B$5-Assumptions!$B$4)/Assumptions!$B$3*Assumptions!$B$10</f>
        <v>316.180377813973</v>
      </c>
      <c r="D26" s="0" t="n">
        <f aca="false">(SUMPRODUCT(DCF_Base!$C$19:$L$19/(1+$A$26/100)^DCF_Base!$C$4:$L$4)+MAX(0,MIN(IF($A$26&gt;$D$23,DCF_Base!$L$19*(1+$D$23/100)/(($A$26-$D$23)/100),DCF_Base!$L$19*DCF_Base!$B$29),DCF_Base!$L$19*DCF_Base!$B$29))/(1+$A$26/100)^DCF_Base!$L$4+Assumptions!$B$5-Assumptions!$B$4)/Assumptions!$B$3*Assumptions!$B$10</f>
        <v>316.180377813973</v>
      </c>
      <c r="E26" s="0" t="n">
        <f aca="false">(SUMPRODUCT(DCF_Base!$C$19:$L$19/(1+$A$26/100)^DCF_Base!$C$4:$L$4)+MAX(0,MIN(IF($A$26&gt;$E$23,DCF_Base!$L$19*(1+$E$23/100)/(($A$26-$E$23)/100),DCF_Base!$L$19*DCF_Base!$B$29),DCF_Base!$L$19*DCF_Base!$B$29))/(1+$A$26/100)^DCF_Base!$L$4+Assumptions!$B$5-Assumptions!$B$4)/Assumptions!$B$3*Assumptions!$B$10</f>
        <v>316.180377813973</v>
      </c>
      <c r="F26" s="0" t="n">
        <f aca="false">(SUMPRODUCT(DCF_Base!$C$19:$L$19/(1+$A$26/100)^DCF_Base!$C$4:$L$4)+MAX(0,MIN(IF($A$26&gt;$F$23,DCF_Base!$L$19*(1+$F$23/100)/(($A$26-$F$23)/100),DCF_Base!$L$19*DCF_Base!$B$29),DCF_Base!$L$19*DCF_Base!$B$29))/(1+$A$26/100)^DCF_Base!$L$4+Assumptions!$B$5-Assumptions!$B$4)/Assumptions!$B$3*Assumptions!$B$10</f>
        <v>316.180377813973</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269.307014458917</v>
      </c>
      <c r="C27" s="0" t="n">
        <f aca="false">(SUMPRODUCT(DCF_Base!$C$19:$L$19/(1+$A$27/100)^DCF_Base!$C$4:$L$4)+MAX(0,MIN(IF($A$27&gt;$C$23,DCF_Base!$L$19*(1+$C$23/100)/(($A$27-$C$23)/100),DCF_Base!$L$19*DCF_Base!$B$29),DCF_Base!$L$19*DCF_Base!$B$29))/(1+$A$27/100)^DCF_Base!$L$4+Assumptions!$B$5-Assumptions!$B$4)/Assumptions!$B$3*Assumptions!$B$10</f>
        <v>279.14194540098</v>
      </c>
      <c r="D27" s="0" t="n">
        <f aca="false">(SUMPRODUCT(DCF_Base!$C$19:$L$19/(1+$A$27/100)^DCF_Base!$C$4:$L$4)+MAX(0,MIN(IF($A$27&gt;$D$23,DCF_Base!$L$19*(1+$D$23/100)/(($A$27-$D$23)/100),DCF_Base!$L$19*DCF_Base!$B$29),DCF_Base!$L$19*DCF_Base!$B$29))/(1+$A$27/100)^DCF_Base!$L$4+Assumptions!$B$5-Assumptions!$B$4)/Assumptions!$B$3*Assumptions!$B$10</f>
        <v>290.13392704211</v>
      </c>
      <c r="E27" s="0" t="n">
        <f aca="false">(SUMPRODUCT(DCF_Base!$C$19:$L$19/(1+$A$27/100)^DCF_Base!$C$4:$L$4)+MAX(0,MIN(IF($A$27&gt;$E$23,DCF_Base!$L$19*(1+$E$23/100)/(($A$27-$E$23)/100),DCF_Base!$L$19*DCF_Base!$B$29),DCF_Base!$L$19*DCF_Base!$B$29))/(1+$A$27/100)^DCF_Base!$L$4+Assumptions!$B$5-Assumptions!$B$4)/Assumptions!$B$3*Assumptions!$B$10</f>
        <v>290.13392704211</v>
      </c>
      <c r="F27" s="0" t="n">
        <f aca="false">(SUMPRODUCT(DCF_Base!$C$19:$L$19/(1+$A$27/100)^DCF_Base!$C$4:$L$4)+MAX(0,MIN(IF($A$27&gt;$F$23,DCF_Base!$L$19*(1+$F$23/100)/(($A$27-$F$23)/100),DCF_Base!$L$19*DCF_Base!$B$29),DCF_Base!$L$19*DCF_Base!$B$29))/(1+$A$27/100)^DCF_Base!$L$4+Assumptions!$B$5-Assumptions!$B$4)/Assumptions!$B$3*Assumptions!$B$10</f>
        <v>290.13392704211</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233.209175756167</v>
      </c>
      <c r="C28" s="0" t="n">
        <f aca="false">(SUMPRODUCT(DCF_Base!$C$19:$L$19/(1+$A$28/100)^DCF_Base!$C$4:$L$4)+MAX(0,MIN(IF($A$28&gt;$C$23,DCF_Base!$L$19*(1+$C$23/100)/(($A$28-$C$23)/100),DCF_Base!$L$19*DCF_Base!$B$29),DCF_Base!$L$19*DCF_Base!$B$29))/(1+$A$28/100)^DCF_Base!$L$4+Assumptions!$B$5-Assumptions!$B$4)/Assumptions!$B$3*Assumptions!$B$10</f>
        <v>240.593909239915</v>
      </c>
      <c r="D28" s="0" t="n">
        <f aca="false">(SUMPRODUCT(DCF_Base!$C$19:$L$19/(1+$A$28/100)^DCF_Base!$C$4:$L$4)+MAX(0,MIN(IF($A$28&gt;$D$23,DCF_Base!$L$19*(1+$D$23/100)/(($A$28-$D$23)/100),DCF_Base!$L$19*DCF_Base!$B$29),DCF_Base!$L$19*DCF_Base!$B$29))/(1+$A$28/100)^DCF_Base!$L$4+Assumptions!$B$5-Assumptions!$B$4)/Assumptions!$B$3*Assumptions!$B$10</f>
        <v>248.755983090375</v>
      </c>
      <c r="E28" s="0" t="n">
        <f aca="false">(SUMPRODUCT(DCF_Base!$C$19:$L$19/(1+$A$28/100)^DCF_Base!$C$4:$L$4)+MAX(0,MIN(IF($A$28&gt;$E$23,DCF_Base!$L$19*(1+$E$23/100)/(($A$28-$E$23)/100),DCF_Base!$L$19*DCF_Base!$B$29),DCF_Base!$L$19*DCF_Base!$B$29))/(1+$A$28/100)^DCF_Base!$L$4+Assumptions!$B$5-Assumptions!$B$4)/Assumptions!$B$3*Assumptions!$B$10</f>
        <v>257.824954035329</v>
      </c>
      <c r="F28" s="0" t="n">
        <f aca="false">(SUMPRODUCT(DCF_Base!$C$19:$L$19/(1+$A$28/100)^DCF_Base!$C$4:$L$4)+MAX(0,MIN(IF($A$28&gt;$F$23,DCF_Base!$L$19*(1+$F$23/100)/(($A$28-$F$23)/100),DCF_Base!$L$19*DCF_Base!$B$29),DCF_Base!$L$19*DCF_Base!$B$29))/(1+$A$28/100)^DCF_Base!$L$4+Assumptions!$B$5-Assumptions!$B$4)/Assumptions!$B$3*Assumptions!$B$10</f>
        <v>266.324572544278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2026-10-09T23:14:14Z</dcterms:created>
  <dc:creator>openpyxl</dc:creator>
  <dc:description/>
  <dc:language>en-NZ</dc:language>
  <cp:lastModifiedBy/>
  <dcterms:modified xsi:type="dcterms:W3CDTF">2026-10-09T23:14:14Z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