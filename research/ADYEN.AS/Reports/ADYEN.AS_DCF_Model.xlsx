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Info" sheetId="1" state="visible" r:id="rId1"/>
    <sheet xmlns:r="http://schemas.openxmlformats.org/officeDocument/2006/relationships" name="Reconciliation" sheetId="2" state="visible" r:id="rId2"/>
    <sheet xmlns:r="http://schemas.openxmlformats.org/officeDocument/2006/relationships" name="Actuals" sheetId="3" state="visible" r:id="rId3"/>
    <sheet xmlns:r="http://schemas.openxmlformats.org/officeDocument/2006/relationships" name="Assumptions" sheetId="4" state="visible" r:id="rId4"/>
    <sheet xmlns:r="http://schemas.openxmlformats.org/officeDocument/2006/relationships" name="DCF_Bear" sheetId="5" state="visible" r:id="rId5"/>
    <sheet xmlns:r="http://schemas.openxmlformats.org/officeDocument/2006/relationships" name="DCF_Base" sheetId="6" state="visible" r:id="rId6"/>
    <sheet xmlns:r="http://schemas.openxmlformats.org/officeDocument/2006/relationships" name="DCF_Bull" sheetId="7" state="visible" r:id="rId7"/>
    <sheet xmlns:r="http://schemas.openxmlformats.org/officeDocument/2006/relationships" name="FCF_Quality" sheetId="8" state="visible" r:id="rId8"/>
    <sheet xmlns:r="http://schemas.openxmlformats.org/officeDocument/2006/relationships" name="Valuation" sheetId="9" state="visible" r:id="rId9"/>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
    <numFmt numFmtId="167" formatCode="0.0"/>
    <numFmt numFmtId="168" formatCode="0.0000"/>
  </numFmts>
  <fonts count="7">
    <font>
      <name val="Calibri"/>
      <family val="2"/>
      <color theme="1"/>
      <sz val="11"/>
      <scheme val="minor"/>
    </font>
    <font>
      <b val="1"/>
    </font>
    <font>
      <b val="1"/>
      <sz val="14"/>
    </font>
    <font>
      <b val="1"/>
      <sz val="13"/>
    </font>
    <font>
      <b val="1"/>
      <color rgb="000000CC"/>
    </font>
    <font>
      <color rgb="00008000"/>
    </font>
    <font>
      <b val="1"/>
      <sz val="12"/>
    </font>
  </fonts>
  <fills count="5">
    <fill>
      <patternFill/>
    </fill>
    <fill>
      <patternFill patternType="gray125"/>
    </fill>
    <fill>
      <patternFill patternType="solid">
        <fgColor rgb="00D9E1F2"/>
      </patternFill>
    </fill>
    <fill>
      <patternFill patternType="solid">
        <fgColor rgb="00FFF2CC"/>
      </patternFill>
    </fill>
    <fill>
      <patternFill patternType="solid">
        <fgColor rgb="00C6EFCE"/>
      </patternFill>
    </fill>
  </fills>
  <borders count="1">
    <border>
      <left/>
      <right/>
      <top/>
      <bottom/>
      <diagonal/>
    </border>
  </borders>
  <cellStyleXfs count="1">
    <xf numFmtId="0" fontId="0" fillId="0" borderId="0"/>
  </cellStyleXfs>
  <cellXfs count="35">
    <xf numFmtId="0" fontId="0" fillId="0" borderId="0" pivotButton="0" quotePrefix="0" xfId="0"/>
    <xf numFmtId="0" fontId="2" fillId="0" borderId="0" pivotButton="0" quotePrefix="0" xfId="0"/>
    <xf numFmtId="0" fontId="1" fillId="0" borderId="0" pivotButton="0" quotePrefix="0" xfId="0"/>
    <xf numFmtId="0" fontId="3" fillId="0" borderId="0" pivotButton="0" quotePrefix="0" xfId="0"/>
    <xf numFmtId="4" fontId="4" fillId="0" borderId="0" pivotButton="0" quotePrefix="0" xfId="0"/>
    <xf numFmtId="4" fontId="0" fillId="0" borderId="0" pivotButton="0" quotePrefix="0" xfId="0"/>
    <xf numFmtId="4" fontId="5" fillId="0" borderId="0" pivotButton="0" quotePrefix="0" xfId="0"/>
    <xf numFmtId="0" fontId="1" fillId="2" borderId="0" pivotButton="0" quotePrefix="0" xfId="0"/>
    <xf numFmtId="164" fontId="4" fillId="0" borderId="0" pivotButton="0" quotePrefix="0" xfId="0"/>
    <xf numFmtId="165" fontId="4" fillId="0" borderId="0" pivotButton="0" quotePrefix="0" xfId="0"/>
    <xf numFmtId="0" fontId="4" fillId="0" borderId="0" pivotButton="0" quotePrefix="0" xfId="0"/>
    <xf numFmtId="166" fontId="4" fillId="3" borderId="0" pivotButton="0" quotePrefix="0" xfId="0"/>
    <xf numFmtId="167" fontId="4" fillId="3" borderId="0" pivotButton="0" quotePrefix="0" xfId="0"/>
    <xf numFmtId="164" fontId="4" fillId="3" borderId="0" pivotButton="0" quotePrefix="0" xfId="0"/>
    <xf numFmtId="165" fontId="4" fillId="3" borderId="0" pivotButton="0" quotePrefix="0" xfId="0"/>
    <xf numFmtId="4" fontId="4" fillId="3" borderId="0" pivotButton="0" quotePrefix="0" xfId="0"/>
    <xf numFmtId="168" fontId="4" fillId="3" borderId="0" pivotButton="0" quotePrefix="0" xfId="0"/>
    <xf numFmtId="0" fontId="6" fillId="0" borderId="0" pivotButton="0" quotePrefix="0" xfId="0"/>
    <xf numFmtId="9" fontId="4" fillId="3" borderId="0" pivotButton="0" quotePrefix="0" xfId="0"/>
    <xf numFmtId="9" fontId="1" fillId="0" borderId="0" pivotButton="0" quotePrefix="0" xfId="0"/>
    <xf numFmtId="164" fontId="5" fillId="0" borderId="0" pivotButton="0" quotePrefix="0" xfId="0"/>
    <xf numFmtId="164" fontId="0" fillId="0" borderId="0" pivotButton="0" quotePrefix="0" xfId="0"/>
    <xf numFmtId="10" fontId="4" fillId="3" borderId="0" pivotButton="0" quotePrefix="0" xfId="0"/>
    <xf numFmtId="164" fontId="1" fillId="0" borderId="0" pivotButton="0" quotePrefix="0" xfId="0"/>
    <xf numFmtId="168" fontId="0" fillId="0" borderId="0" pivotButton="0" quotePrefix="0" xfId="0"/>
    <xf numFmtId="166" fontId="0" fillId="0" borderId="0" pivotButton="0" quotePrefix="0" xfId="0"/>
    <xf numFmtId="167" fontId="0" fillId="0" borderId="0" pivotButton="0" quotePrefix="0" xfId="0"/>
    <xf numFmtId="165" fontId="0" fillId="0" borderId="0" pivotButton="0" quotePrefix="0" xfId="0"/>
    <xf numFmtId="4" fontId="6" fillId="4" borderId="0" pivotButton="0" quotePrefix="0" xfId="0"/>
    <xf numFmtId="166" fontId="4" fillId="0" borderId="0" pivotButton="0" quotePrefix="0" xfId="0"/>
    <xf numFmtId="9" fontId="5" fillId="0" borderId="0" pivotButton="0" quotePrefix="0" xfId="0"/>
    <xf numFmtId="167" fontId="5" fillId="0" borderId="0" pivotButton="0" quotePrefix="0" xfId="0"/>
    <xf numFmtId="4" fontId="1" fillId="4" borderId="0" pivotButton="0" quotePrefix="0" xfId="0"/>
    <xf numFmtId="166" fontId="1" fillId="2" borderId="0" pivotButton="0" quotePrefix="0" xfId="0"/>
    <xf numFmtId="16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04" customWidth="1" min="2" max="2"/>
  </cols>
  <sheetData>
    <row r="1">
      <c r="A1" s="1" t="inlineStr">
        <is>
          <t>ADYEN.AS DCF Model</t>
        </is>
      </c>
    </row>
    <row r="2">
      <c r="A2" s="2" t="inlineStr"/>
    </row>
    <row r="3">
      <c r="A3" s="2" t="inlineStr">
        <is>
          <t>Version</t>
        </is>
      </c>
      <c r="B3" t="inlineStr">
        <is>
          <t>v2 (28-Aug-2026), post-H1-2026</t>
        </is>
      </c>
    </row>
    <row r="4">
      <c r="A4" s="2" t="inlineStr">
        <is>
          <t>Supersedes</t>
        </is>
      </c>
      <c r="B4" t="inlineStr">
        <is>
          <t>ADYEN.AS_DCF.json of 9-Aug-2026 (5-year horizon, weighted EUR769.52) and the pre-H1 model of record ADYEN_DCF_v1_preH1FY26.xlsx (weighted EUR1,118.31 SBC-corrected).</t>
        </is>
      </c>
    </row>
    <row r="5">
      <c r="A5" s="2" t="inlineStr">
        <is>
          <t>Built by</t>
        </is>
      </c>
      <c r="B5" t="inlineStr">
        <is>
          <t>dcf-analyst agent (Claude Opus 5), at Stephen Williams request, 28-Aug-2026.</t>
        </is>
      </c>
    </row>
    <row r="6">
      <c r="A6" s="2" t="inlineStr"/>
    </row>
    <row r="7">
      <c r="A7" s="2" t="inlineStr">
        <is>
          <t>DATA VINTAGE</t>
        </is>
      </c>
    </row>
    <row r="8">
      <c r="A8" s="2" t="inlineStr">
        <is>
          <t>Price</t>
        </is>
      </c>
      <c r="B8" t="inlineStr">
        <is>
          <t>EUR1,079.60, Yahoo Finance ADYEN.AS regularMarketPrice, 2026-08-27T15:35:02Z regular close.</t>
        </is>
      </c>
    </row>
    <row r="9">
      <c r="A9" s="2" t="inlineStr">
        <is>
          <t>EURUSD</t>
        </is>
      </c>
      <c r="B9" t="inlineStr">
        <is>
          <t>1.1656 at 2026-08-27T22:23:03Z. ADR cross-check: 1079.60 x 1.1656 / 100 = $12.58 vs ADYEY traded $12.59.</t>
        </is>
      </c>
    </row>
    <row r="10">
      <c r="A10" s="2" t="inlineStr">
        <is>
          <t>Balance sheet</t>
        </is>
      </c>
      <c r="B10" t="inlineStr">
        <is>
          <t>30-Jun-2026, from the H1 2026 Shareholder Letter (13-Aug-2026).</t>
        </is>
      </c>
    </row>
    <row r="11">
      <c r="A11" s="2" t="inlineStr">
        <is>
          <t>Share count</t>
        </is>
      </c>
      <c r="B11" t="inlineStr">
        <is>
          <t>31.567m ordinary shares at 30-Jun-2026.</t>
        </is>
      </c>
    </row>
    <row r="12">
      <c r="A12" s="2" t="inlineStr">
        <is>
          <t>Guidance</t>
        </is>
      </c>
      <c r="B12" t="inlineStr">
        <is>
          <t>H1 2026 letter, 13-Aug-2026: FY2026 net revenue growth 21-23% CC (incl. ~1pp acquisitions); EBITDA margin ~1pp below 2025 in 2026, above 55% by 2028; CapEx 7% of net revenue in 2026, ~5% thereafter.</t>
        </is>
      </c>
    </row>
    <row r="13">
      <c r="A13" s="2" t="inlineStr"/>
    </row>
    <row r="14">
      <c r="A14" s="2" t="inlineStr">
        <is>
          <t>METHODOLOGY CHOICES</t>
        </is>
      </c>
    </row>
    <row r="15">
      <c r="A15" s="2" t="inlineStr">
        <is>
          <t>Model</t>
        </is>
      </c>
      <c r="B15" t="inlineStr">
        <is>
          <t>Owner-FCF DCF, routed via dcf-methods/SKILL.md as an operating company (payments platform).</t>
        </is>
      </c>
    </row>
    <row r="16">
      <c r="A16" s="2" t="inlineStr">
        <is>
          <t>Horizon</t>
        </is>
      </c>
      <c r="B16" t="inlineStr">
        <is>
          <t>10 years. The year-5 owner-FCF margin is still climbing toward maturity, so a 5-year build would capitalize an immature margin. This is the correction that reconciles the 9-Aug DCF to the model of record.</t>
        </is>
      </c>
    </row>
    <row r="17">
      <c r="A17" s="2" t="inlineStr">
        <is>
          <t>Margin basis</t>
        </is>
      </c>
      <c r="B17" t="inlineStr">
        <is>
          <t>Row 7 is the REPORTED (post-SBC) EBITDA margin. Adyen IFRS opex ALREADY contains SBC, so EBIT = EBITDA - D&amp;A and SBC is NOT deducted again. NOTE this differs from the model of record, whose row 7 is PRE-SBC. The two are not interchangeable.</t>
        </is>
      </c>
    </row>
    <row r="18">
      <c r="A18" s="2" t="inlineStr">
        <is>
          <t>SBC</t>
        </is>
      </c>
      <c r="B18" t="inlineStr">
        <is>
          <t>Carried as an explicit visible memo line (row 9/10) used only for the street-basis add-back. SBC is 1.85% of net revenue, genuinely small. Share count held FLAT (charge dilution once).</t>
        </is>
      </c>
    </row>
    <row r="19">
      <c r="A19" s="2" t="inlineStr">
        <is>
          <t>Net cash</t>
        </is>
      </c>
      <c r="B19" t="inlineStr">
        <is>
          <t>EUR4,190m = own cash 4,600 (company-stated post-acquisition figure) less lease liabilities 409.4. Headline cash of EUR12,392.8m is mostly MERCHANT FLOAT and is not shareholders money.</t>
        </is>
      </c>
    </row>
    <row r="20">
      <c r="A20" s="2" t="inlineStr">
        <is>
          <t>Merchant float</t>
        </is>
      </c>
      <c r="B20" t="inlineStr">
        <is>
          <t>Valued separately per scenario (bear 988.0 / base 1,910.5 / bull 2,761.3), inherited from the model of record. Not double-counted with the stripped Finance income.</t>
        </is>
      </c>
    </row>
    <row r="21">
      <c r="A21" s="2" t="inlineStr">
        <is>
          <t>Interest</t>
        </is>
      </c>
      <c r="B21" t="inlineStr">
        <is>
          <t>Finance income (interest on Adyen own cash, TTM EUR272.1m) is STRIPPED. Net interest income (embedded finance, inside net revenue) is KEPT.</t>
        </is>
      </c>
    </row>
    <row r="22">
      <c r="A22" s="2" t="inlineStr">
        <is>
          <t>Leases</t>
        </is>
      </c>
      <c r="B22" t="inlineStr">
        <is>
          <t>Treatment (A): lease liabilities deducted once in the net-debt bridge; lease principal NOT deducted from the flows.</t>
        </is>
      </c>
    </row>
    <row r="23">
      <c r="A23" s="2" t="inlineStr">
        <is>
          <t>WACC</t>
        </is>
      </c>
      <c r="B23" t="inlineStr">
        <is>
          <t>10.5% for ALL THREE scenarios, EUR-denominated. Risk is charged once, in the flows.</t>
        </is>
      </c>
    </row>
    <row r="24">
      <c r="A24" s="2" t="inlineStr">
        <is>
          <t>Working capital</t>
        </is>
      </c>
      <c r="B24" t="inlineStr">
        <is>
          <t>A net USE of cash, SUBTRACTED, at 5% of the YoY net revenue increase.</t>
        </is>
      </c>
    </row>
    <row r="25">
      <c r="A25" s="2" t="inlineStr"/>
    </row>
    <row r="26">
      <c r="A26" s="2" t="inlineStr">
        <is>
          <t>SCENARIO DRIVERS</t>
        </is>
      </c>
      <c r="B26" t="inlineStr">
        <is>
          <t>Driver paths are the agent judgment of 28-Aug-2026, anchored to the 13-Aug-2026 guidance and reconciled against Stephen model of record. Weights 15/50/35 restored to house default.</t>
        </is>
      </c>
    </row>
    <row r="27">
      <c r="A27" s="2" t="inlineStr"/>
    </row>
    <row r="28">
      <c r="A28" s="2" t="inlineStr">
        <is>
          <t>REFRESH AFTER NEXT PRINT</t>
        </is>
      </c>
      <c r="B28" t="inlineStr">
        <is>
          <t>FY2026 results (Feb-2027): take rate (must hold near/above 16bps), H2 CapEx intensity vs the 7% full-year guide, EBITDA margin path toward 55% by 2028, Digital pillar growth, permanent CFO appointment, Talon.One/Orb purchase price allocation.</t>
        </is>
      </c>
    </row>
    <row r="29">
      <c r="A29" s="2" t="inlineStr"/>
    </row>
    <row r="30">
      <c r="A30" s="2" t="inlineStr">
        <is>
          <t>THESE FIGURES GO STALE</t>
        </is>
      </c>
      <c r="B30" t="inlineStr">
        <is>
          <t>Price, EURUSD, net cash and the share count are point-in-time anchors. Re-verify every one of them before acting on this workbook.</t>
        </is>
      </c>
    </row>
    <row r="31">
      <c r="A31" s="2" t="inlineStr"/>
    </row>
    <row r="32">
      <c r="A32" s="2" t="inlineStr">
        <is>
          <t>COLOUR LEGEND</t>
        </is>
      </c>
    </row>
    <row r="33">
      <c r="A33" s="2" t="inlineStr">
        <is>
          <t>Blue bold</t>
        </is>
      </c>
      <c r="B33" t="inlineStr">
        <is>
          <t>Hardcoded input.</t>
        </is>
      </c>
    </row>
    <row r="34">
      <c r="A34" s="2" t="inlineStr">
        <is>
          <t>Yellow fill</t>
        </is>
      </c>
      <c r="B34" t="inlineStr">
        <is>
          <t>Key driver / lever.</t>
        </is>
      </c>
    </row>
    <row r="35">
      <c r="A35" s="2" t="inlineStr">
        <is>
          <t>Black</t>
        </is>
      </c>
      <c r="B35" t="inlineStr">
        <is>
          <t>Formula.</t>
        </is>
      </c>
    </row>
    <row r="36">
      <c r="A36" s="2" t="inlineStr">
        <is>
          <t>Green</t>
        </is>
      </c>
      <c r="B36" t="inlineStr">
        <is>
          <t>Cross-sheet 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88" customWidth="1" min="1" max="1"/>
    <col width="14" customWidth="1" min="2" max="2"/>
  </cols>
  <sheetData>
    <row r="1">
      <c r="A1" s="3" t="inlineStr">
        <is>
          <t>Reconciliation vs prior version</t>
        </is>
      </c>
    </row>
    <row r="3">
      <c r="A3" s="2" t="inlineStr">
        <is>
          <t>Prior published DCF 9-Aug-2026 (price EUR916.80 refreshed, 5-year horizon, weights 25/50/25)</t>
        </is>
      </c>
    </row>
    <row r="4">
      <c r="A4" t="inlineStr">
        <is>
          <t>Bear</t>
        </is>
      </c>
      <c r="B4" s="4" t="n">
        <v>510.16</v>
      </c>
    </row>
    <row r="5">
      <c r="A5" t="inlineStr">
        <is>
          <t>Base</t>
        </is>
      </c>
      <c r="B5" s="4" t="n">
        <v>749.38</v>
      </c>
    </row>
    <row r="6">
      <c r="A6" t="inlineStr">
        <is>
          <t>Bull</t>
        </is>
      </c>
      <c r="B6" s="4" t="n">
        <v>1069.17</v>
      </c>
    </row>
    <row r="7">
      <c r="A7" t="inlineStr">
        <is>
          <t>Weighted</t>
        </is>
      </c>
      <c r="B7" s="4" t="n">
        <v>769.52</v>
      </c>
    </row>
    <row r="9">
      <c r="A9" s="2" t="inlineStr">
        <is>
          <t>Model of record ADYEN_DCF_v1_preH1FY26.xlsx (price EUR933.20, SBC-corrected)</t>
        </is>
      </c>
    </row>
    <row r="10">
      <c r="A10" t="inlineStr">
        <is>
          <t>Weighted</t>
        </is>
      </c>
      <c r="B10" s="4" t="n">
        <v>1118.31</v>
      </c>
    </row>
    <row r="11">
      <c r="A11" t="inlineStr">
        <is>
          <t>Stephen H1-updated reference point</t>
        </is>
      </c>
      <c r="B11" s="4" t="n">
        <v>1144.87</v>
      </c>
    </row>
    <row r="13">
      <c r="A13" s="2" t="inlineStr">
        <is>
          <t>Bridge to new weighted IV (approximate attributions of a simultaneous re-solve)</t>
        </is>
      </c>
    </row>
    <row r="14">
      <c r="A14" t="inlineStr">
        <is>
          <t>Prior published weighted IV (9-Aug-2026, 5-year horizon)</t>
        </is>
      </c>
      <c r="B14" s="5" t="n">
        <v>769.52</v>
      </c>
    </row>
    <row r="15">
      <c r="A15" t="inlineStr">
        <is>
          <t>Horizon 5yr -&gt; 10yr: the year-5 owner-FCF margin was still climbing, so the prior model capitalized an immature margin in perpetuity. This is the single largest correction and reconciles the prior DCF to the model of record.</t>
        </is>
      </c>
      <c r="B15" s="5" t="n">
        <v>305.31</v>
      </c>
    </row>
    <row r="16">
      <c r="A16" t="inlineStr">
        <is>
          <t>Weights 25/50/25 -&gt; 15/50/35 (house default restored; the H1 print resolved the uncertainty the extra bear weight insured against)</t>
        </is>
      </c>
      <c r="B16" s="5" t="n">
        <v>63</v>
      </c>
    </row>
    <row r="17">
      <c r="A17" t="inlineStr">
        <is>
          <t>Single 10.5% WACC replaces 9.0/10.0/11.5 by scenario (risk charged once, in the flows, not again in the discount rate)</t>
        </is>
      </c>
      <c r="B17" s="5" t="n">
        <v>-38</v>
      </c>
    </row>
    <row r="18">
      <c r="A18" t="inlineStr">
        <is>
          <t>Base revenue rolled forward FY2025 (2,364.2) -&gt; TTM to 30-Jun-2026 (2,573.6)</t>
        </is>
      </c>
      <c r="B18" s="5" t="n">
        <v>41</v>
      </c>
    </row>
    <row r="19">
      <c r="A19" t="inlineStr">
        <is>
          <t>FY2026 growth raised to 20% base / 22% bull / 18% bear on the 13-Aug guidance raise to 21-23% CC</t>
        </is>
      </c>
      <c r="B19" s="5" t="n">
        <v>22</v>
      </c>
    </row>
    <row r="20">
      <c r="A20" t="inlineStr">
        <is>
          <t>CapEx 7% in year 1 per guidance, reverting to 5% (bear: stays elevated at 5.5-6%)</t>
        </is>
      </c>
      <c r="B20" s="5" t="n">
        <v>-14</v>
      </c>
    </row>
    <row r="21">
      <c r="A21" t="inlineStr">
        <is>
          <t>Margin path re-anchored to guidance on a reported post-SBC basis: ~1pp below FY2025 in 2026, &gt;55% by 2028, maturing ~57%</t>
        </is>
      </c>
      <c r="B21" s="5" t="n">
        <v>29</v>
      </c>
    </row>
    <row r="22">
      <c r="A22" t="inlineStr">
        <is>
          <t>Net cash 4,735.2 -&gt; 4,190.0 (own cash marked to the post-acquisition EUR4.6bn the company states, less EUR409.4m leases)</t>
        </is>
      </c>
      <c r="B22" s="5" t="n">
        <v>-17</v>
      </c>
    </row>
    <row r="23">
      <c r="A23" t="inlineStr">
        <is>
          <t>Shares 31.5 -&gt; 31.567m and other rounding</t>
        </is>
      </c>
      <c r="B23" s="5" t="n">
        <v>-8.140000000000001</v>
      </c>
    </row>
    <row r="24">
      <c r="A24" t="inlineStr">
        <is>
          <t>New weighted IV</t>
        </is>
      </c>
      <c r="B24" s="5" t="n">
        <v>1152.69</v>
      </c>
    </row>
    <row r="26">
      <c r="A26" s="2" t="inlineStr">
        <is>
          <t>Live weighted IV (authoritative)</t>
        </is>
      </c>
      <c r="B26" s="6">
        <f>Valuation!B10</f>
        <v/>
      </c>
    </row>
    <row r="28">
      <c r="A28" t="inlineStr">
        <is>
          <t>Bridge figures are approximate; the live linked cells above and on Valuation are authoritative.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3:G34"/>
  <sheetViews>
    <sheetView workbookViewId="0">
      <selection activeCell="A1" sqref="A1"/>
    </sheetView>
  </sheetViews>
  <sheetFormatPr baseColWidth="8" defaultRowHeight="15"/>
  <cols>
    <col width="44" customWidth="1" min="1" max="1"/>
    <col width="60" customWidth="1" min="7" max="7"/>
  </cols>
  <sheetData>
    <row r="3">
      <c r="A3" s="7" t="inlineStr">
        <is>
          <t>Metric</t>
        </is>
      </c>
      <c r="B3" s="7" t="inlineStr">
        <is>
          <t>FY2023</t>
        </is>
      </c>
      <c r="C3" s="7" t="inlineStr">
        <is>
          <t>FY2024</t>
        </is>
      </c>
      <c r="D3" s="7" t="inlineStr">
        <is>
          <t>FY2025</t>
        </is>
      </c>
      <c r="E3" s="7" t="inlineStr">
        <is>
          <t>H1 2026</t>
        </is>
      </c>
      <c r="F3" s="7" t="inlineStr">
        <is>
          <t>TTM Jun-26</t>
        </is>
      </c>
      <c r="G3" s="7" t="inlineStr">
        <is>
          <t>Source</t>
        </is>
      </c>
    </row>
    <row r="4">
      <c r="A4" t="inlineStr">
        <is>
          <t>Net revenue</t>
        </is>
      </c>
      <c r="B4" s="8" t="n">
        <v>1626.1</v>
      </c>
      <c r="C4" s="8" t="n">
        <v>1996.1</v>
      </c>
      <c r="D4" s="8" t="n">
        <v>2364.2</v>
      </c>
      <c r="E4" s="8" t="n">
        <v>1302.9</v>
      </c>
      <c r="F4" s="8" t="n">
        <v>2573.6</v>
      </c>
      <c r="G4" t="inlineStr">
        <is>
          <t>Metrics CSV NetRevenue; TTM = FY25 + H1-26 - H1-25</t>
        </is>
      </c>
    </row>
    <row r="5">
      <c r="A5" t="inlineStr">
        <is>
          <t>EBITDA (reported, post-SBC)</t>
        </is>
      </c>
      <c r="B5" s="8" t="n">
        <v>743</v>
      </c>
      <c r="C5" s="8" t="n">
        <v>992.3</v>
      </c>
      <c r="D5" s="8" t="n">
        <v>1245.7</v>
      </c>
      <c r="E5" s="8" t="n">
        <v>641.5</v>
      </c>
      <c r="F5" s="8" t="n">
        <v>1343.5</v>
      </c>
      <c r="G5" t="inlineStr">
        <is>
          <t>Metrics CSV EBITDA</t>
        </is>
      </c>
    </row>
    <row r="6">
      <c r="A6" t="inlineStr">
        <is>
          <t>EBITDA margin %</t>
        </is>
      </c>
      <c r="B6" s="8" t="n">
        <v>45.7</v>
      </c>
      <c r="C6" s="8" t="n">
        <v>49.7</v>
      </c>
      <c r="D6" s="8" t="n">
        <v>52.7</v>
      </c>
      <c r="E6" s="8" t="n">
        <v>49.2</v>
      </c>
      <c r="F6" s="8" t="n">
        <v>52.2</v>
      </c>
      <c r="G6" t="inlineStr">
        <is>
          <t>H1-26 is 50.0% excl. one-time transaction costs</t>
        </is>
      </c>
    </row>
    <row r="7">
      <c r="A7" t="inlineStr">
        <is>
          <t>Net income</t>
        </is>
      </c>
      <c r="B7" s="8" t="n">
        <v>698.3</v>
      </c>
      <c r="C7" s="8" t="n">
        <v>925.2</v>
      </c>
      <c r="D7" s="8" t="n">
        <v>1062.5</v>
      </c>
      <c r="E7" s="8" t="n">
        <v>544.1</v>
      </c>
      <c r="F7" s="8" t="n">
        <v>1125.6</v>
      </c>
      <c r="G7" t="inlineStr">
        <is>
          <t>Metrics CSV NetIncome</t>
        </is>
      </c>
    </row>
    <row r="8">
      <c r="A8" t="inlineStr">
        <is>
          <t>Reported FCF</t>
        </is>
      </c>
      <c r="B8" s="8" t="n">
        <v>639.5</v>
      </c>
      <c r="C8" s="8" t="n">
        <v>859.8</v>
      </c>
      <c r="D8" s="8" t="n">
        <v>1081.3</v>
      </c>
      <c r="E8" s="8" t="n">
        <v>553.4</v>
      </c>
      <c r="F8" s="8" t="n">
        <v>1160.2</v>
      </c>
      <c r="G8" t="inlineStr">
        <is>
          <t>Company definition: EBITDA less CapEx</t>
        </is>
      </c>
    </row>
    <row r="9">
      <c r="A9" t="inlineStr">
        <is>
          <t>CapEx</t>
        </is>
      </c>
      <c r="B9" s="8" t="n">
        <v>69.7</v>
      </c>
      <c r="C9" s="8" t="n">
        <v>91.09999999999999</v>
      </c>
      <c r="D9" s="8" t="n">
        <v>116.8</v>
      </c>
      <c r="E9" s="8" t="n">
        <v>64.09999999999999</v>
      </c>
      <c r="F9" s="8" t="n">
        <v>133.6</v>
      </c>
      <c r="G9" t="inlineStr">
        <is>
          <t>Metrics CSV CapEx; H1-26 = 5% of net revenue</t>
        </is>
      </c>
    </row>
    <row r="10">
      <c r="A10" t="inlineStr">
        <is>
          <t>SBC</t>
        </is>
      </c>
      <c r="B10" s="8" t="n">
        <v>38.6</v>
      </c>
      <c r="C10" s="8" t="n">
        <v>37.4</v>
      </c>
      <c r="D10" s="8" t="n">
        <v>43.5</v>
      </c>
      <c r="E10" s="8" t="n">
        <v>29.1</v>
      </c>
      <c r="G10" t="inlineStr">
        <is>
          <t>FY25 annual report; H1-26 equity-settled 29,596k</t>
        </is>
      </c>
    </row>
    <row r="11">
      <c r="A11" t="inlineStr">
        <is>
          <t>Finance income (own-cash interest)</t>
        </is>
      </c>
      <c r="B11" s="8" t="n">
        <v>246</v>
      </c>
      <c r="C11" s="8" t="n">
        <v>349.9</v>
      </c>
      <c r="D11" s="8" t="n">
        <v>267.6</v>
      </c>
      <c r="E11" s="8" t="n">
        <v>143.2</v>
      </c>
      <c r="F11" s="8" t="n">
        <v>272.1</v>
      </c>
      <c r="G11" t="inlineStr">
        <is>
          <t>STRIPPED from owner FCF; note 9</t>
        </is>
      </c>
    </row>
    <row r="12">
      <c r="A12" t="inlineStr">
        <is>
          <t>Owner FCF (ex finance income, ex SBC)</t>
        </is>
      </c>
      <c r="B12" s="8" t="n">
        <v>354.9</v>
      </c>
      <c r="C12" s="8" t="n">
        <v>472.5</v>
      </c>
      <c r="D12" s="8" t="n">
        <v>770.3</v>
      </c>
      <c r="F12" s="8" t="n">
        <v>888.1</v>
      </c>
      <c r="G12" t="inlineStr">
        <is>
          <t>reported_fcf - SBC - finance income</t>
        </is>
      </c>
    </row>
    <row r="13">
      <c r="A13" t="inlineStr">
        <is>
          <t>Processed volume (EUR bn)</t>
        </is>
      </c>
      <c r="B13" s="8" t="n">
        <v>970.1</v>
      </c>
      <c r="C13" s="8" t="n">
        <v>1285.9</v>
      </c>
      <c r="D13" s="8" t="n">
        <v>1394.3</v>
      </c>
      <c r="E13" s="8" t="n">
        <v>803.8</v>
      </c>
      <c r="F13" s="8" t="n">
        <v>1549.1</v>
      </c>
      <c r="G13" t="inlineStr">
        <is>
          <t>Metrics CSV ProcessedVolume</t>
        </is>
      </c>
    </row>
    <row r="14">
      <c r="A14" t="inlineStr">
        <is>
          <t>Take rate (bps)</t>
        </is>
      </c>
      <c r="B14" s="8" t="n">
        <v>16.8</v>
      </c>
      <c r="C14" s="8" t="n">
        <v>15.5</v>
      </c>
      <c r="D14" s="8" t="n">
        <v>17</v>
      </c>
      <c r="E14" s="8" t="n">
        <v>16.2</v>
      </c>
      <c r="G14" t="inlineStr">
        <is>
          <t>H1-26 down from 16.8; management calls it volume tiering</t>
        </is>
      </c>
    </row>
    <row r="15">
      <c r="A15" t="inlineStr">
        <is>
          <t>Shareholders equity</t>
        </is>
      </c>
      <c r="B15" s="8" t="n">
        <v>3159.6</v>
      </c>
      <c r="C15" s="8" t="n">
        <v>4231.5</v>
      </c>
      <c r="D15" s="8" t="n">
        <v>5285.4</v>
      </c>
      <c r="E15" s="8" t="n">
        <v>5908.8</v>
      </c>
      <c r="G15" t="inlineStr">
        <is>
          <t>Metrics CSV</t>
        </is>
      </c>
    </row>
    <row r="16">
      <c r="A16" t="inlineStr">
        <is>
          <t>FTE</t>
        </is>
      </c>
      <c r="B16" s="8" t="n">
        <v>4196</v>
      </c>
      <c r="C16" s="8" t="n">
        <v>4345</v>
      </c>
      <c r="D16" s="8" t="n">
        <v>4771</v>
      </c>
      <c r="E16" s="8" t="n">
        <v>5020</v>
      </c>
      <c r="G16" t="inlineStr">
        <is>
          <t>Metrics CSV</t>
        </is>
      </c>
    </row>
    <row r="18">
      <c r="A18" s="2" t="inlineStr">
        <is>
          <t>BALANCE SHEET 30-Jun-2026 (EUR m)</t>
        </is>
      </c>
    </row>
    <row r="19">
      <c r="A19" t="inlineStr">
        <is>
          <t>Cash and cash equivalents (headline)</t>
        </is>
      </c>
      <c r="B19" s="8" t="n">
        <v>12392.8</v>
      </c>
      <c r="G19" t="inlineStr">
        <is>
          <t>Line 687 - MOSTLY MERCHANT FLOAT, not shareholders money</t>
        </is>
      </c>
    </row>
    <row r="20">
      <c r="A20" t="inlineStr">
        <is>
          <t>less Payables to merchants and FI</t>
        </is>
      </c>
      <c r="B20" s="8" t="n">
        <v>-8097.4</v>
      </c>
      <c r="G20" t="inlineStr">
        <is>
          <t>Line 717</t>
        </is>
      </c>
    </row>
    <row r="21">
      <c r="A21" t="inlineStr">
        <is>
          <t>plus Receivables from merchants and FI</t>
        </is>
      </c>
      <c r="B21" s="8" t="n">
        <v>602.8</v>
      </c>
      <c r="G21" t="inlineStr">
        <is>
          <t>Line 677</t>
        </is>
      </c>
    </row>
    <row r="22">
      <c r="A22" t="inlineStr">
        <is>
          <t>Own cash</t>
        </is>
      </c>
      <c r="B22" s="8" t="n">
        <v>4898.2</v>
      </c>
      <c r="G22" t="inlineStr">
        <is>
          <t>Ties to letter line 524: our cash stood at EUR4.9 billion</t>
        </is>
      </c>
    </row>
    <row r="23">
      <c r="A23" t="inlineStr">
        <is>
          <t>Own cash net of Talon.One and Orb</t>
        </is>
      </c>
      <c r="B23" s="8" t="n">
        <v>4600</v>
      </c>
      <c r="G23" t="inlineStr">
        <is>
          <t>Letter line 525: would have been approximately EUR4.6 billion</t>
        </is>
      </c>
    </row>
    <row r="24">
      <c r="A24" t="inlineStr">
        <is>
          <t>less Lease liabilities</t>
        </is>
      </c>
      <c r="B24" s="8" t="n">
        <v>-409.4</v>
      </c>
      <c r="G24" t="inlineStr">
        <is>
          <t>338,307k non-current + 71,056k current</t>
        </is>
      </c>
    </row>
    <row r="25">
      <c r="A25" t="inlineStr">
        <is>
          <t>NET CASH used in model</t>
        </is>
      </c>
      <c r="B25" s="8" t="n">
        <v>4190</v>
      </c>
      <c r="G25" t="inlineStr">
        <is>
          <t>Own cash post-acquisition less leases</t>
        </is>
      </c>
    </row>
    <row r="27">
      <c r="A27" s="2" t="inlineStr">
        <is>
          <t>Diluted shares (m)</t>
        </is>
      </c>
      <c r="B27" s="9" t="n">
        <v>31.567</v>
      </c>
      <c r="G27" t="inlineStr">
        <is>
          <t>30-Jun-2026; held FLAT in the model</t>
        </is>
      </c>
    </row>
    <row r="28">
      <c r="A28" t="inlineStr">
        <is>
          <t>Buybacks / dividends</t>
        </is>
      </c>
      <c r="B28" s="10" t="n">
        <v>0</v>
      </c>
      <c r="G28" t="inlineStr">
        <is>
          <t>ZERO of both. 100% earnings retention; flat count is a convention, not cash-funded.</t>
        </is>
      </c>
    </row>
    <row r="30">
      <c r="A30" s="2" t="inlineStr">
        <is>
          <t>FY2026 GUIDANCE (13-Aug-2026)</t>
        </is>
      </c>
    </row>
    <row r="31">
      <c r="A31" t="inlineStr">
        <is>
          <t>Net revenue growth CC</t>
        </is>
      </c>
      <c r="B31" s="10" t="inlineStr">
        <is>
          <t>21-23% incl. ~1pp from acquisitions</t>
        </is>
      </c>
    </row>
    <row r="32">
      <c r="A32" t="inlineStr">
        <is>
          <t>EBITDA margin</t>
        </is>
      </c>
      <c r="B32" s="10" t="inlineStr">
        <is>
          <t>~1pp below 2025 in 2026; above 55% by 2028</t>
        </is>
      </c>
    </row>
    <row r="33">
      <c r="A33" t="inlineStr">
        <is>
          <t>CapEx</t>
        </is>
      </c>
      <c r="B33" s="10" t="inlineStr">
        <is>
          <t>7% of net revenue in 2026, ~5% thereafter</t>
        </is>
      </c>
    </row>
    <row r="34">
      <c r="A34" t="inlineStr">
        <is>
          <t>Medium-term growth</t>
        </is>
      </c>
      <c r="B34" s="10" t="inlineStr">
        <is>
          <t>~20% annually (Nov-2025 Investor Day, maintained)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6" customWidth="1" min="1" max="1"/>
    <col width="86" customWidth="1" min="3" max="3"/>
    <col width="22" customWidth="1" min="4" max="4"/>
  </cols>
  <sheetData>
    <row r="1">
      <c r="A1" s="3" t="inlineStr">
        <is>
          <t>Global assumptions</t>
        </is>
      </c>
    </row>
    <row r="3">
      <c r="A3" s="2" t="inlineStr">
        <is>
          <t>WACC (all scenarios)</t>
        </is>
      </c>
      <c r="B3" s="11" t="n">
        <v>0.105</v>
      </c>
      <c r="C3" t="inlineStr">
        <is>
          <t>Single rate, EUR-denominated. Risk charged once, in the flows.</t>
        </is>
      </c>
    </row>
    <row r="4">
      <c r="A4" s="2" t="inlineStr">
        <is>
          <t>D&amp;A % of net revenue</t>
        </is>
      </c>
      <c r="B4" s="11" t="n">
        <v>0.06</v>
      </c>
      <c r="C4" t="inlineStr">
        <is>
          <t>H1-26 D&amp;A 77.2 on 1302.9 annualizes to 5.9%.</t>
        </is>
      </c>
    </row>
    <row r="5">
      <c r="A5" s="2" t="inlineStr">
        <is>
          <t>Working capital capture</t>
        </is>
      </c>
      <c r="B5" s="11" t="n">
        <v>0.05</v>
      </c>
      <c r="C5" t="inlineStr">
        <is>
          <t>Applied to the YoY revenue INCREASE and SUBTRACTED (net use of cash).</t>
        </is>
      </c>
    </row>
    <row r="6">
      <c r="A6" s="2" t="inlineStr">
        <is>
          <t>Terminal cap multiple</t>
        </is>
      </c>
      <c r="B6" s="12" t="n">
        <v>20</v>
      </c>
      <c r="C6" t="inlineStr">
        <is>
          <t>TV capped at 20x terminal FCF.</t>
        </is>
      </c>
    </row>
    <row r="7">
      <c r="A7" s="2" t="inlineStr">
        <is>
          <t>Net cash (EUR m)</t>
        </is>
      </c>
      <c r="B7" s="13" t="n">
        <v>4190</v>
      </c>
      <c r="C7" t="inlineStr">
        <is>
          <t>Own cash 4,600 less leases 409.4.</t>
        </is>
      </c>
    </row>
    <row r="8">
      <c r="A8" s="2" t="inlineStr">
        <is>
          <t>Diluted shares (m)</t>
        </is>
      </c>
      <c r="B8" s="14" t="n">
        <v>31.567</v>
      </c>
      <c r="C8" t="inlineStr">
        <is>
          <t>30-Jun-2026, held flat.</t>
        </is>
      </c>
    </row>
    <row r="9">
      <c r="A9" s="2" t="inlineStr">
        <is>
          <t>Current price (EUR)</t>
        </is>
      </c>
      <c r="B9" s="15" t="n">
        <v>1079.6</v>
      </c>
      <c r="C9" t="inlineStr">
        <is>
          <t>2026-08-27T15:35:02Z regular close.</t>
        </is>
      </c>
    </row>
    <row r="10">
      <c r="A10" s="2" t="inlineStr">
        <is>
          <t>Base net revenue TTM (EUR m)</t>
        </is>
      </c>
      <c r="B10" s="13" t="n">
        <v>2573.6</v>
      </c>
      <c r="C10" t="inlineStr">
        <is>
          <t>TTM to 30-Jun-2026.</t>
        </is>
      </c>
    </row>
    <row r="11">
      <c r="A11" s="2" t="inlineStr">
        <is>
          <t>EURUSD</t>
        </is>
      </c>
      <c r="B11" s="16" t="n">
        <v>1.1656</v>
      </c>
      <c r="C11" t="inlineStr">
        <is>
          <t>For the ADR cross-reference.</t>
        </is>
      </c>
    </row>
    <row r="12">
      <c r="A12" s="2" t="inlineStr">
        <is>
          <t>Hurdle rate</t>
        </is>
      </c>
      <c r="B12" s="11" t="n">
        <v>0.15</v>
      </c>
      <c r="C12" t="inlineStr">
        <is>
          <t>For the entry-price calculation.</t>
        </is>
      </c>
    </row>
    <row r="14">
      <c r="A14" s="17" t="inlineStr">
        <is>
          <t>Per-scenario</t>
        </is>
      </c>
    </row>
    <row r="15">
      <c r="A15" s="7" t="inlineStr">
        <is>
          <t>Scenario</t>
        </is>
      </c>
      <c r="B15" s="7" t="inlineStr">
        <is>
          <t>Terminal growth</t>
        </is>
      </c>
      <c r="C15" s="7" t="inlineStr">
        <is>
          <t>Weight</t>
        </is>
      </c>
      <c r="D15" s="7" t="inlineStr">
        <is>
          <t>Merchant float (EUR m)</t>
        </is>
      </c>
    </row>
    <row r="16">
      <c r="A16" t="inlineStr">
        <is>
          <t>bear</t>
        </is>
      </c>
      <c r="B16" s="11" t="n">
        <v>0.02</v>
      </c>
      <c r="C16" s="18" t="n">
        <v>0.15</v>
      </c>
      <c r="D16" s="13" t="n">
        <v>988</v>
      </c>
    </row>
    <row r="17">
      <c r="A17" t="inlineStr">
        <is>
          <t>base</t>
        </is>
      </c>
      <c r="B17" s="11" t="n">
        <v>0.03</v>
      </c>
      <c r="C17" s="18" t="n">
        <v>0.5</v>
      </c>
      <c r="D17" s="13" t="n">
        <v>1910.5</v>
      </c>
    </row>
    <row r="18">
      <c r="A18" t="inlineStr">
        <is>
          <t>bull</t>
        </is>
      </c>
      <c r="B18" s="11" t="n">
        <v>0.035</v>
      </c>
      <c r="C18" s="18" t="n">
        <v>0.35</v>
      </c>
      <c r="D18" s="13" t="n">
        <v>2761.3</v>
      </c>
    </row>
    <row r="19">
      <c r="A19" s="2" t="inlineStr">
        <is>
          <t>Weights check</t>
        </is>
      </c>
      <c r="C19" s="19">
        <f>SUM(C16:C18)</f>
        <v/>
      </c>
    </row>
    <row r="21">
      <c r="A21" s="17" t="inlineStr">
        <is>
          <t>Scenario narratives</t>
        </is>
      </c>
    </row>
    <row r="22">
      <c r="A22" s="2" t="inlineStr">
        <is>
          <t>BEAR</t>
        </is>
      </c>
      <c r="C22" t="inlineStr">
        <is>
          <t>'Expected volume tiering' turns out to be competitive repricing: the June-2026 large-merchant pricing revision is the first of several, take rate keeps sliding below 16bps, and net revenue growth decouples downward from volume growth. Digital -- still ~55% of revenue -- stalls again after one good half against Stripe and Braintree's enterprise in-store push. The 7% CapEx step-up proves permanent rather than a one-year pull-forward, because AI-era infrastructure competition genuinely raised capital intensity; CapEx stays 5.5-6%. Margin expansion stalls far short of the 55% 2028 target. First-ever M&amp;A integration risk crystallizes at exactly the moment the CFO departs and a Co-CEO has only recently returned to a visible operating role.</t>
        </is>
      </c>
    </row>
    <row r="23">
      <c r="A23" s="2" t="inlineStr">
        <is>
          <t>BASE</t>
        </is>
      </c>
      <c r="C23" t="inlineStr">
        <is>
          <t>Take-rate decline at 16.2bps is treated as MOSTLY benign volume tiering: net revenue keeps compounding with volume at a lower unit price, and unit economics hold, but a modest permanent drag is carried by letting growth decelerate slightly faster than volume through the decade. FY2026 growth of 20% reported sits just below the 21-23% CC guide (FX drag; the guide includes ~1pp of acquisition contribution). Margin follows management's own shape: ~1pp below FY2025 in 2026 on acquisition dilution and transaction costs, crossing the &gt;55% 2028 target in year 3, then maturing near 57%. CapEx is 7% in year 1 exactly as guided, reverting to the historical 5% thereafter. Platforms (+37%) and Unified Commerce (+25%) keep mixing up against a slower Digital pillar.</t>
        </is>
      </c>
    </row>
    <row r="24">
      <c r="A24" s="2" t="inlineStr">
        <is>
          <t>BULL</t>
        </is>
      </c>
      <c r="C24" t="inlineStr">
        <is>
          <t>Digital's H1 improvement (+13%/+15% CC off a record-low Q1 +9%) proves to be a genuine structural reacceleration rather than a bounce; Platforms and Unified Commerce continue compounding in the 25-40% range and lift group growth toward the ~20% medium-term ambition for longer. Take-rate stabilizes at/above 16bps, confirming volume tiering over competitive discounting. The Talon.One/Orb pivot cross-sells successfully into Unified Commerce and Platforms, widening wallet share (disclosed &lt;20% in years 3-7 rising to &gt;40% after year 12), and further disciplined capital deployment extends the roadmap. Margin pulls the 55%+ target forward and matures near 59.6% on operating leverage over a fixed single-platform stack.</t>
        </is>
      </c>
    </row>
    <row r="26">
      <c r="A26" s="2" t="inlineStr">
        <is>
          <t>Weights rationale</t>
        </is>
      </c>
      <c r="C26" t="inlineStr">
        <is>
          <t>House default 15/50/35, restored deliberately from the 25/50/25 used on 9-Aug-2026 and matching the model of record. The 9-Aug run raised bear weight to 25% ahead of an uncertain H1 print; that print (13-Aug) landed clearly ahead -- 21% CC net revenue growth, 24% volume growth, guidance RAISED to 21-23% CC, Digital reaccelerating from its record-low Q1 -- which resolved the specific uncertainty the extra bear weight was insuring against. Bear stays at 15% and not lower because the take-rate question is genuinely unresolved (management's 'volume tiering' framing cannot yet be independently verified against competitive discounting) and because the balance sheet carries no solvency or refinancing risk at all -- the bear case is margin and growth compression, never distress. Bull at 35% because the bull path needs only the already-observed Platforms/Unified Commerce trajectory to persist, not several independent things to go right.</t>
        </is>
      </c>
    </row>
    <row r="27">
      <c r="A27" s="2" t="inlineStr">
        <is>
          <t>WACC rationale</t>
        </is>
      </c>
      <c r="C27" t="inlineStr">
        <is>
          <t>10.5% for ALL THREE scenarios, in the flows' own currency (EUR). Built from a ~2.6% 10-year Bund/EUR risk-free rate plus an equity risk premium of ~5.5% on a beta modestly above 1.0 for a high-multiple, long-duration growth asset, with a small increment for single-country listing and payments-competition dynamics. This matches the model of record's 10.5% exactly and is denominated consistently with Adyen's EUR reporting and EUR quote -- no USD-derived rate is used anywhere. Adyen carries no financial debt (only IFRS-16 leases), so WACC is effectively cost of equity. Crucially, the SAME rate is applied to bear, base and bull: risk is charged ONCE, in the probability-weighted flows. The 9-Aug-2026 DCF used 9.0/10.0/11.5% by scenario, which charged competition and governance risk twice (once in the bear driver paths, again in a higher bear discount rate) and materially widened the scenario spread for no economic reason. Governance risk (CFO departure, Co-CEO step-back) is expressed in the bear case's execution assumptions, NOT as a WACC premium.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cols>
    <col width="34" customWidth="1" min="1" max="1"/>
  </cols>
  <sheetData>
    <row r="1">
      <c r="A1" s="3" t="inlineStr">
        <is>
          <t>Adyen DCF - BEAR (EUR m)</t>
        </is>
      </c>
    </row>
    <row r="3">
      <c r="A3" s="7" t="inlineStr">
        <is>
          <t>Year</t>
        </is>
      </c>
      <c r="B3" s="7" t="inlineStr">
        <is>
          <t>2026 TTM A</t>
        </is>
      </c>
      <c r="C3" s="7" t="inlineStr">
        <is>
          <t>2027E</t>
        </is>
      </c>
      <c r="D3" s="7" t="inlineStr">
        <is>
          <t>2028E</t>
        </is>
      </c>
      <c r="E3" s="7" t="inlineStr">
        <is>
          <t>2029E</t>
        </is>
      </c>
      <c r="F3" s="7" t="inlineStr">
        <is>
          <t>2030E</t>
        </is>
      </c>
      <c r="G3" s="7" t="inlineStr">
        <is>
          <t>2031E</t>
        </is>
      </c>
      <c r="H3" s="7" t="inlineStr">
        <is>
          <t>2032E</t>
        </is>
      </c>
      <c r="I3" s="7" t="inlineStr">
        <is>
          <t>2033E</t>
        </is>
      </c>
      <c r="J3" s="7" t="inlineStr">
        <is>
          <t>2034E</t>
        </is>
      </c>
      <c r="K3" s="7" t="inlineStr">
        <is>
          <t>2035E</t>
        </is>
      </c>
      <c r="L3" s="7" t="inlineStr">
        <is>
          <t>2036E</t>
        </is>
      </c>
    </row>
    <row r="4">
      <c r="A4" t="inlineStr">
        <is>
          <t>Index</t>
        </is>
      </c>
      <c r="B4" t="n">
        <v>0</v>
      </c>
      <c r="C4" t="n">
        <v>1</v>
      </c>
      <c r="D4" t="n">
        <v>2</v>
      </c>
      <c r="E4" t="n">
        <v>3</v>
      </c>
      <c r="F4" t="n">
        <v>4</v>
      </c>
      <c r="G4" t="n">
        <v>5</v>
      </c>
      <c r="H4" t="n">
        <v>6</v>
      </c>
      <c r="I4" t="n">
        <v>7</v>
      </c>
      <c r="J4" t="n">
        <v>8</v>
      </c>
      <c r="K4" t="n">
        <v>9</v>
      </c>
      <c r="L4" t="n">
        <v>10</v>
      </c>
    </row>
    <row r="5">
      <c r="A5" s="2" t="inlineStr">
        <is>
          <t>Revenue growth YoY</t>
        </is>
      </c>
      <c r="C5" s="11" t="n">
        <v>0.18</v>
      </c>
      <c r="D5" s="11" t="n">
        <v>0.11</v>
      </c>
      <c r="E5" s="11" t="n">
        <v>0.09</v>
      </c>
      <c r="F5" s="11" t="n">
        <v>0.075</v>
      </c>
      <c r="G5" s="11" t="n">
        <v>0.065</v>
      </c>
      <c r="H5" s="11" t="n">
        <v>0.055</v>
      </c>
      <c r="I5" s="11" t="n">
        <v>0.05</v>
      </c>
      <c r="J5" s="11" t="n">
        <v>0.045</v>
      </c>
      <c r="K5" s="11" t="n">
        <v>0.04</v>
      </c>
      <c r="L5" s="11" t="n">
        <v>0.035</v>
      </c>
    </row>
    <row r="6">
      <c r="A6" s="2" t="inlineStr">
        <is>
          <t>Net revenue</t>
        </is>
      </c>
      <c r="B6" s="20">
        <f>Assumptions!$B$10</f>
        <v/>
      </c>
      <c r="C6" s="21">
        <f>B6*(1+C5)</f>
        <v/>
      </c>
      <c r="D6" s="21">
        <f>C6*(1+D5)</f>
        <v/>
      </c>
      <c r="E6" s="21">
        <f>D6*(1+E5)</f>
        <v/>
      </c>
      <c r="F6" s="21">
        <f>E6*(1+F5)</f>
        <v/>
      </c>
      <c r="G6" s="21">
        <f>F6*(1+G5)</f>
        <v/>
      </c>
      <c r="H6" s="21">
        <f>G6*(1+H5)</f>
        <v/>
      </c>
      <c r="I6" s="21">
        <f>H6*(1+I5)</f>
        <v/>
      </c>
      <c r="J6" s="21">
        <f>I6*(1+J5)</f>
        <v/>
      </c>
      <c r="K6" s="21">
        <f>J6*(1+K5)</f>
        <v/>
      </c>
      <c r="L6" s="21">
        <f>K6*(1+L5)</f>
        <v/>
      </c>
    </row>
    <row r="7">
      <c r="A7" s="2" t="inlineStr">
        <is>
          <t>EBITDA margin (REPORTED, post-SBC)</t>
        </is>
      </c>
      <c r="C7" s="11" t="n">
        <v>0.505</v>
      </c>
      <c r="D7" s="11" t="n">
        <v>0.51</v>
      </c>
      <c r="E7" s="11" t="n">
        <v>0.515</v>
      </c>
      <c r="F7" s="11" t="n">
        <v>0.518</v>
      </c>
      <c r="G7" s="11" t="n">
        <v>0.52</v>
      </c>
      <c r="H7" s="11" t="n">
        <v>0.522</v>
      </c>
      <c r="I7" s="11" t="n">
        <v>0.524</v>
      </c>
      <c r="J7" s="11" t="n">
        <v>0.525</v>
      </c>
      <c r="K7" s="11" t="n">
        <v>0.526</v>
      </c>
      <c r="L7" s="11" t="n">
        <v>0.527</v>
      </c>
    </row>
    <row r="8">
      <c r="A8" t="inlineStr">
        <is>
          <t>EBITDA (post-SBC)</t>
        </is>
      </c>
      <c r="C8" s="21">
        <f>C6*C7</f>
        <v/>
      </c>
      <c r="D8" s="21">
        <f>D6*D7</f>
        <v/>
      </c>
      <c r="E8" s="21">
        <f>E6*E7</f>
        <v/>
      </c>
      <c r="F8" s="21">
        <f>F6*F7</f>
        <v/>
      </c>
      <c r="G8" s="21">
        <f>G6*G7</f>
        <v/>
      </c>
      <c r="H8" s="21">
        <f>H6*H7</f>
        <v/>
      </c>
      <c r="I8" s="21">
        <f>I6*I7</f>
        <v/>
      </c>
      <c r="J8" s="21">
        <f>J6*J7</f>
        <v/>
      </c>
      <c r="K8" s="21">
        <f>K6*K7</f>
        <v/>
      </c>
      <c r="L8" s="21">
        <f>L6*L7</f>
        <v/>
      </c>
    </row>
    <row r="9">
      <c r="A9" s="2" t="inlineStr">
        <is>
          <t>SBC % of revenue (memo)</t>
        </is>
      </c>
      <c r="C9" s="22" t="n">
        <v>0.019</v>
      </c>
      <c r="D9" s="22" t="n">
        <v>0.019</v>
      </c>
      <c r="E9" s="22" t="n">
        <v>0.0185</v>
      </c>
      <c r="F9" s="22" t="n">
        <v>0.0185</v>
      </c>
      <c r="G9" s="22" t="n">
        <v>0.018</v>
      </c>
      <c r="H9" s="22" t="n">
        <v>0.018</v>
      </c>
      <c r="I9" s="22" t="n">
        <v>0.0175</v>
      </c>
      <c r="J9" s="22" t="n">
        <v>0.0175</v>
      </c>
      <c r="K9" s="22" t="n">
        <v>0.017</v>
      </c>
      <c r="L9" s="22" t="n">
        <v>0.017</v>
      </c>
    </row>
    <row r="10">
      <c r="A10" t="inlineStr">
        <is>
          <t>SBC (memo, already in EBITDA)</t>
        </is>
      </c>
      <c r="C10" s="21">
        <f>-C6*C9</f>
        <v/>
      </c>
      <c r="D10" s="21">
        <f>-D6*D9</f>
        <v/>
      </c>
      <c r="E10" s="21">
        <f>-E6*E9</f>
        <v/>
      </c>
      <c r="F10" s="21">
        <f>-F6*F9</f>
        <v/>
      </c>
      <c r="G10" s="21">
        <f>-G6*G9</f>
        <v/>
      </c>
      <c r="H10" s="21">
        <f>-H6*H9</f>
        <v/>
      </c>
      <c r="I10" s="21">
        <f>-I6*I9</f>
        <v/>
      </c>
      <c r="J10" s="21">
        <f>-J6*J9</f>
        <v/>
      </c>
      <c r="K10" s="21">
        <f>-K6*K9</f>
        <v/>
      </c>
      <c r="L10" s="21">
        <f>-L6*L9</f>
        <v/>
      </c>
    </row>
    <row r="11">
      <c r="A11" t="inlineStr">
        <is>
          <t>D&amp;A</t>
        </is>
      </c>
      <c r="C11" s="21">
        <f>-C6*Assumptions!$B$4</f>
        <v/>
      </c>
      <c r="D11" s="21">
        <f>-D6*Assumptions!$B$4</f>
        <v/>
      </c>
      <c r="E11" s="21">
        <f>-E6*Assumptions!$B$4</f>
        <v/>
      </c>
      <c r="F11" s="21">
        <f>-F6*Assumptions!$B$4</f>
        <v/>
      </c>
      <c r="G11" s="21">
        <f>-G6*Assumptions!$B$4</f>
        <v/>
      </c>
      <c r="H11" s="21">
        <f>-H6*Assumptions!$B$4</f>
        <v/>
      </c>
      <c r="I11" s="21">
        <f>-I6*Assumptions!$B$4</f>
        <v/>
      </c>
      <c r="J11" s="21">
        <f>-J6*Assumptions!$B$4</f>
        <v/>
      </c>
      <c r="K11" s="21">
        <f>-K6*Assumptions!$B$4</f>
        <v/>
      </c>
      <c r="L11" s="21">
        <f>-L6*Assumptions!$B$4</f>
        <v/>
      </c>
    </row>
    <row r="12">
      <c r="A12" s="2" t="inlineStr">
        <is>
          <t>EBIT</t>
        </is>
      </c>
      <c r="C12" s="21">
        <f>C8+C11</f>
        <v/>
      </c>
      <c r="D12" s="21">
        <f>D8+D11</f>
        <v/>
      </c>
      <c r="E12" s="21">
        <f>E8+E11</f>
        <v/>
      </c>
      <c r="F12" s="21">
        <f>F8+F11</f>
        <v/>
      </c>
      <c r="G12" s="21">
        <f>G8+G11</f>
        <v/>
      </c>
      <c r="H12" s="21">
        <f>H8+H11</f>
        <v/>
      </c>
      <c r="I12" s="21">
        <f>I8+I11</f>
        <v/>
      </c>
      <c r="J12" s="21">
        <f>J8+J11</f>
        <v/>
      </c>
      <c r="K12" s="21">
        <f>K8+K11</f>
        <v/>
      </c>
      <c r="L12" s="21">
        <f>L8+L11</f>
        <v/>
      </c>
    </row>
    <row r="13">
      <c r="A13" s="2" t="inlineStr">
        <is>
          <t>Cash tax rate</t>
        </is>
      </c>
      <c r="C13" s="11" t="n">
        <v>0.25</v>
      </c>
      <c r="D13" s="11" t="n">
        <v>0.255</v>
      </c>
      <c r="E13" s="11" t="n">
        <v>0.258</v>
      </c>
      <c r="F13" s="11" t="n">
        <v>0.258</v>
      </c>
      <c r="G13" s="11" t="n">
        <v>0.258</v>
      </c>
      <c r="H13" s="11" t="n">
        <v>0.258</v>
      </c>
      <c r="I13" s="11" t="n">
        <v>0.258</v>
      </c>
      <c r="J13" s="11" t="n">
        <v>0.258</v>
      </c>
      <c r="K13" s="11" t="n">
        <v>0.258</v>
      </c>
      <c r="L13" s="11" t="n">
        <v>0.258</v>
      </c>
    </row>
    <row r="14">
      <c r="A14" t="inlineStr">
        <is>
          <t>NOPAT</t>
        </is>
      </c>
      <c r="C14" s="21">
        <f>C12*(1-C13)</f>
        <v/>
      </c>
      <c r="D14" s="21">
        <f>D12*(1-D13)</f>
        <v/>
      </c>
      <c r="E14" s="21">
        <f>E12*(1-E13)</f>
        <v/>
      </c>
      <c r="F14" s="21">
        <f>F12*(1-F13)</f>
        <v/>
      </c>
      <c r="G14" s="21">
        <f>G12*(1-G13)</f>
        <v/>
      </c>
      <c r="H14" s="21">
        <f>H12*(1-H13)</f>
        <v/>
      </c>
      <c r="I14" s="21">
        <f>I12*(1-I13)</f>
        <v/>
      </c>
      <c r="J14" s="21">
        <f>J12*(1-J13)</f>
        <v/>
      </c>
      <c r="K14" s="21">
        <f>K12*(1-K13)</f>
        <v/>
      </c>
      <c r="L14" s="21">
        <f>L12*(1-L13)</f>
        <v/>
      </c>
    </row>
    <row r="15">
      <c r="A15" t="inlineStr">
        <is>
          <t>add back D&amp;A</t>
        </is>
      </c>
      <c r="C15" s="21">
        <f>-C11</f>
        <v/>
      </c>
      <c r="D15" s="21">
        <f>-D11</f>
        <v/>
      </c>
      <c r="E15" s="21">
        <f>-E11</f>
        <v/>
      </c>
      <c r="F15" s="21">
        <f>-F11</f>
        <v/>
      </c>
      <c r="G15" s="21">
        <f>-G11</f>
        <v/>
      </c>
      <c r="H15" s="21">
        <f>-H11</f>
        <v/>
      </c>
      <c r="I15" s="21">
        <f>-I11</f>
        <v/>
      </c>
      <c r="J15" s="21">
        <f>-J11</f>
        <v/>
      </c>
      <c r="K15" s="21">
        <f>-K11</f>
        <v/>
      </c>
      <c r="L15" s="21">
        <f>-L11</f>
        <v/>
      </c>
    </row>
    <row r="16">
      <c r="A16" s="2" t="inlineStr">
        <is>
          <t>CapEx % of revenue</t>
        </is>
      </c>
      <c r="C16" s="11" t="n">
        <v>0.07000000000000001</v>
      </c>
      <c r="D16" s="11" t="n">
        <v>0.06</v>
      </c>
      <c r="E16" s="11" t="n">
        <v>0.058</v>
      </c>
      <c r="F16" s="11" t="n">
        <v>0.057</v>
      </c>
      <c r="G16" s="11" t="n">
        <v>0.05599999999999999</v>
      </c>
      <c r="H16" s="11" t="n">
        <v>0.055</v>
      </c>
      <c r="I16" s="11" t="n">
        <v>0.055</v>
      </c>
      <c r="J16" s="11" t="n">
        <v>0.055</v>
      </c>
      <c r="K16" s="11" t="n">
        <v>0.055</v>
      </c>
      <c r="L16" s="11" t="n">
        <v>0.055</v>
      </c>
    </row>
    <row r="17">
      <c r="A17" t="inlineStr">
        <is>
          <t>less CapEx</t>
        </is>
      </c>
      <c r="C17" s="21">
        <f>-C6*C16</f>
        <v/>
      </c>
      <c r="D17" s="21">
        <f>-D6*D16</f>
        <v/>
      </c>
      <c r="E17" s="21">
        <f>-E6*E16</f>
        <v/>
      </c>
      <c r="F17" s="21">
        <f>-F6*F16</f>
        <v/>
      </c>
      <c r="G17" s="21">
        <f>-G6*G16</f>
        <v/>
      </c>
      <c r="H17" s="21">
        <f>-H6*H16</f>
        <v/>
      </c>
      <c r="I17" s="21">
        <f>-I6*I16</f>
        <v/>
      </c>
      <c r="J17" s="21">
        <f>-J6*J16</f>
        <v/>
      </c>
      <c r="K17" s="21">
        <f>-K6*K16</f>
        <v/>
      </c>
      <c r="L17" s="21">
        <f>-L6*L16</f>
        <v/>
      </c>
    </row>
    <row r="18">
      <c r="A18" t="inlineStr">
        <is>
          <t>less working capital (net use)</t>
        </is>
      </c>
      <c r="C18" s="21">
        <f>-Assumptions!$B$5*(C6-B6)</f>
        <v/>
      </c>
      <c r="D18" s="21">
        <f>-Assumptions!$B$5*(D6-C6)</f>
        <v/>
      </c>
      <c r="E18" s="21">
        <f>-Assumptions!$B$5*(E6-D6)</f>
        <v/>
      </c>
      <c r="F18" s="21">
        <f>-Assumptions!$B$5*(F6-E6)</f>
        <v/>
      </c>
      <c r="G18" s="21">
        <f>-Assumptions!$B$5*(G6-F6)</f>
        <v/>
      </c>
      <c r="H18" s="21">
        <f>-Assumptions!$B$5*(H6-G6)</f>
        <v/>
      </c>
      <c r="I18" s="21">
        <f>-Assumptions!$B$5*(I6-H6)</f>
        <v/>
      </c>
      <c r="J18" s="21">
        <f>-Assumptions!$B$5*(J6-I6)</f>
        <v/>
      </c>
      <c r="K18" s="21">
        <f>-Assumptions!$B$5*(K6-J6)</f>
        <v/>
      </c>
      <c r="L18" s="21">
        <f>-Assumptions!$B$5*(L6-K6)</f>
        <v/>
      </c>
    </row>
    <row r="19">
      <c r="A19" s="2" t="inlineStr">
        <is>
          <t>Unlevered owner FCF</t>
        </is>
      </c>
      <c r="C19" s="23">
        <f>C14+C15+C17+C18</f>
        <v/>
      </c>
      <c r="D19" s="23">
        <f>D14+D15+D17+D18</f>
        <v/>
      </c>
      <c r="E19" s="23">
        <f>E14+E15+E17+E18</f>
        <v/>
      </c>
      <c r="F19" s="23">
        <f>F14+F15+F17+F18</f>
        <v/>
      </c>
      <c r="G19" s="23">
        <f>G14+G15+G17+G18</f>
        <v/>
      </c>
      <c r="H19" s="23">
        <f>H14+H15+H17+H18</f>
        <v/>
      </c>
      <c r="I19" s="23">
        <f>I14+I15+I17+I18</f>
        <v/>
      </c>
      <c r="J19" s="23">
        <f>J14+J15+J17+J18</f>
        <v/>
      </c>
      <c r="K19" s="23">
        <f>K14+K15+K17+K18</f>
        <v/>
      </c>
      <c r="L19" s="23">
        <f>L14+L15+L17+L18</f>
        <v/>
      </c>
    </row>
    <row r="20">
      <c r="A20" t="inlineStr">
        <is>
          <t>Discount factor</t>
        </is>
      </c>
      <c r="C20" s="24">
        <f>1/(1+Assumptions!$B$3)^C4</f>
        <v/>
      </c>
      <c r="D20" s="24">
        <f>1/(1+Assumptions!$B$3)^D4</f>
        <v/>
      </c>
      <c r="E20" s="24">
        <f>1/(1+Assumptions!$B$3)^E4</f>
        <v/>
      </c>
      <c r="F20" s="24">
        <f>1/(1+Assumptions!$B$3)^F4</f>
        <v/>
      </c>
      <c r="G20" s="24">
        <f>1/(1+Assumptions!$B$3)^G4</f>
        <v/>
      </c>
      <c r="H20" s="24">
        <f>1/(1+Assumptions!$B$3)^H4</f>
        <v/>
      </c>
      <c r="I20" s="24">
        <f>1/(1+Assumptions!$B$3)^I4</f>
        <v/>
      </c>
      <c r="J20" s="24">
        <f>1/(1+Assumptions!$B$3)^J4</f>
        <v/>
      </c>
      <c r="K20" s="24">
        <f>1/(1+Assumptions!$B$3)^K4</f>
        <v/>
      </c>
      <c r="L20" s="24">
        <f>1/(1+Assumptions!$B$3)^L4</f>
        <v/>
      </c>
    </row>
    <row r="21">
      <c r="A21" t="inlineStr">
        <is>
          <t>PV of FCF</t>
        </is>
      </c>
      <c r="C21" s="21">
        <f>C19*C20</f>
        <v/>
      </c>
      <c r="D21" s="21">
        <f>D19*D20</f>
        <v/>
      </c>
      <c r="E21" s="21">
        <f>E19*E20</f>
        <v/>
      </c>
      <c r="F21" s="21">
        <f>F19*F20</f>
        <v/>
      </c>
      <c r="G21" s="21">
        <f>G19*G20</f>
        <v/>
      </c>
      <c r="H21" s="21">
        <f>H19*H20</f>
        <v/>
      </c>
      <c r="I21" s="21">
        <f>I19*I20</f>
        <v/>
      </c>
      <c r="J21" s="21">
        <f>J19*J20</f>
        <v/>
      </c>
      <c r="K21" s="21">
        <f>K19*K20</f>
        <v/>
      </c>
      <c r="L21" s="21">
        <f>L19*L20</f>
        <v/>
      </c>
    </row>
    <row r="23">
      <c r="A23" t="inlineStr">
        <is>
          <t>Memo: FCF before SBC (company style)</t>
        </is>
      </c>
      <c r="C23" s="21">
        <f>C19-C10</f>
        <v/>
      </c>
      <c r="D23" s="21">
        <f>D19-D10</f>
        <v/>
      </c>
      <c r="E23" s="21">
        <f>E19-E10</f>
        <v/>
      </c>
      <c r="F23" s="21">
        <f>F19-F10</f>
        <v/>
      </c>
      <c r="G23" s="21">
        <f>G19-G10</f>
        <v/>
      </c>
      <c r="H23" s="21">
        <f>H19-H10</f>
        <v/>
      </c>
      <c r="I23" s="21">
        <f>I19-I10</f>
        <v/>
      </c>
      <c r="J23" s="21">
        <f>J19-J10</f>
        <v/>
      </c>
      <c r="K23" s="21">
        <f>K19-K10</f>
        <v/>
      </c>
      <c r="L23" s="21">
        <f>L19-L10</f>
        <v/>
      </c>
    </row>
    <row r="24">
      <c r="A24" t="inlineStr">
        <is>
          <t>Memo: owner FCF margin</t>
        </is>
      </c>
      <c r="C24" s="25">
        <f>C19/C6</f>
        <v/>
      </c>
      <c r="D24" s="25">
        <f>D19/D6</f>
        <v/>
      </c>
      <c r="E24" s="25">
        <f>E19/E6</f>
        <v/>
      </c>
      <c r="F24" s="25">
        <f>F19/F6</f>
        <v/>
      </c>
      <c r="G24" s="25">
        <f>G19/G6</f>
        <v/>
      </c>
      <c r="H24" s="25">
        <f>H19/H6</f>
        <v/>
      </c>
      <c r="I24" s="25">
        <f>I19/I6</f>
        <v/>
      </c>
      <c r="J24" s="25">
        <f>J19/J6</f>
        <v/>
      </c>
      <c r="K24" s="25">
        <f>K19/K6</f>
        <v/>
      </c>
      <c r="L24" s="25">
        <f>L19/L6</f>
        <v/>
      </c>
    </row>
    <row r="26">
      <c r="A26" s="2" t="inlineStr">
        <is>
          <t>Sum PV of FCF</t>
        </is>
      </c>
      <c r="B26" s="21">
        <f>SUM(C21:L21)</f>
        <v/>
      </c>
    </row>
    <row r="27">
      <c r="A27" s="2" t="inlineStr">
        <is>
          <t>Terminal growth</t>
        </is>
      </c>
      <c r="B27" s="25">
        <f>Assumptions!$B$16</f>
        <v/>
      </c>
    </row>
    <row r="28">
      <c r="A28" s="2" t="inlineStr">
        <is>
          <t>Terminal FCF (year N+1)</t>
        </is>
      </c>
      <c r="B28" s="21">
        <f>L19*(1+B27)</f>
        <v/>
      </c>
    </row>
    <row r="29">
      <c r="A29" s="2" t="inlineStr">
        <is>
          <t>Gordon TV</t>
        </is>
      </c>
      <c r="B29" s="21">
        <f>B28/(Assumptions!$B$3-B27)</f>
        <v/>
      </c>
    </row>
    <row r="30">
      <c r="A30" s="2" t="inlineStr">
        <is>
          <t>Cap TV</t>
        </is>
      </c>
      <c r="B30" s="21">
        <f>Assumptions!$B$6*L19</f>
        <v/>
      </c>
    </row>
    <row r="31">
      <c r="A31" s="2" t="inlineStr">
        <is>
          <t>TV used</t>
        </is>
      </c>
      <c r="B31" s="21">
        <f>MAX(0,MIN(B29,B30))</f>
        <v/>
      </c>
    </row>
    <row r="32">
      <c r="A32" s="2" t="inlineStr">
        <is>
          <t>Implied exit multiple</t>
        </is>
      </c>
      <c r="B32" s="26">
        <f>B31/L19</f>
        <v/>
      </c>
    </row>
    <row r="33">
      <c r="A33" s="2" t="inlineStr">
        <is>
          <t>PV of TV</t>
        </is>
      </c>
      <c r="B33" s="21">
        <f>B31*L20</f>
        <v/>
      </c>
    </row>
    <row r="34">
      <c r="A34" s="2" t="inlineStr">
        <is>
          <t>Operating EV</t>
        </is>
      </c>
      <c r="B34" s="21">
        <f>B26+B33</f>
        <v/>
      </c>
    </row>
    <row r="35">
      <c r="A35" s="2" t="inlineStr">
        <is>
          <t>add merchant float</t>
        </is>
      </c>
      <c r="B35" s="21">
        <f>Assumptions!$D$16</f>
        <v/>
      </c>
    </row>
    <row r="36">
      <c r="A36" s="2" t="inlineStr">
        <is>
          <t>add net cash</t>
        </is>
      </c>
      <c r="B36" s="21">
        <f>Assumptions!$B$7</f>
        <v/>
      </c>
    </row>
    <row r="37">
      <c r="A37" s="2" t="inlineStr">
        <is>
          <t>Equity value</t>
        </is>
      </c>
      <c r="B37" s="21">
        <f>B34+B35+B36</f>
        <v/>
      </c>
    </row>
    <row r="38">
      <c r="A38" s="2" t="inlineStr">
        <is>
          <t>Diluted shares</t>
        </is>
      </c>
      <c r="B38" s="27">
        <f>Assumptions!$B$8</f>
        <v/>
      </c>
    </row>
    <row r="39">
      <c r="A39" s="2" t="inlineStr">
        <is>
          <t>VALUE PER SHARE (EUR)</t>
        </is>
      </c>
      <c r="B39" s="28">
        <f>B37/B38</f>
        <v/>
      </c>
    </row>
    <row r="40">
      <c r="A40" s="2" t="inlineStr">
        <is>
          <t>Upside vs price</t>
        </is>
      </c>
      <c r="B40" s="25">
        <f>B39/Assumptions!$B$9-1</f>
        <v/>
      </c>
    </row>
    <row r="41">
      <c r="A41" s="2" t="inlineStr">
        <is>
          <t>Street basis memo (SBC added back)</t>
        </is>
      </c>
    </row>
    <row r="42">
      <c r="A42" t="inlineStr">
        <is>
          <t>PV of explicit-period SBC</t>
        </is>
      </c>
      <c r="B42" s="21">
        <f>SUMPRODUCT(-C10:L10,1/(1+Assumptions!$B$3)^C4:L4)</f>
        <v/>
      </c>
    </row>
    <row r="43">
      <c r="A43" t="inlineStr">
        <is>
          <t>PV of terminal SBC</t>
        </is>
      </c>
      <c r="B43" s="21">
        <f>(-L10*(1+B27)/(Assumptions!$B$3-B27))*L20</f>
        <v/>
      </c>
    </row>
    <row r="44">
      <c r="A44" t="inlineStr">
        <is>
          <t>Street value per share</t>
        </is>
      </c>
      <c r="B44" s="5">
        <f>(B37+B42+B43)/B38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cols>
    <col width="34" customWidth="1" min="1" max="1"/>
  </cols>
  <sheetData>
    <row r="1">
      <c r="A1" s="3" t="inlineStr">
        <is>
          <t>Adyen DCF - BASE (EUR m)</t>
        </is>
      </c>
    </row>
    <row r="3">
      <c r="A3" s="7" t="inlineStr">
        <is>
          <t>Year</t>
        </is>
      </c>
      <c r="B3" s="7" t="inlineStr">
        <is>
          <t>2026 TTM A</t>
        </is>
      </c>
      <c r="C3" s="7" t="inlineStr">
        <is>
          <t>2027E</t>
        </is>
      </c>
      <c r="D3" s="7" t="inlineStr">
        <is>
          <t>2028E</t>
        </is>
      </c>
      <c r="E3" s="7" t="inlineStr">
        <is>
          <t>2029E</t>
        </is>
      </c>
      <c r="F3" s="7" t="inlineStr">
        <is>
          <t>2030E</t>
        </is>
      </c>
      <c r="G3" s="7" t="inlineStr">
        <is>
          <t>2031E</t>
        </is>
      </c>
      <c r="H3" s="7" t="inlineStr">
        <is>
          <t>2032E</t>
        </is>
      </c>
      <c r="I3" s="7" t="inlineStr">
        <is>
          <t>2033E</t>
        </is>
      </c>
      <c r="J3" s="7" t="inlineStr">
        <is>
          <t>2034E</t>
        </is>
      </c>
      <c r="K3" s="7" t="inlineStr">
        <is>
          <t>2035E</t>
        </is>
      </c>
      <c r="L3" s="7" t="inlineStr">
        <is>
          <t>2036E</t>
        </is>
      </c>
    </row>
    <row r="4">
      <c r="A4" t="inlineStr">
        <is>
          <t>Index</t>
        </is>
      </c>
      <c r="B4" t="n">
        <v>0</v>
      </c>
      <c r="C4" t="n">
        <v>1</v>
      </c>
      <c r="D4" t="n">
        <v>2</v>
      </c>
      <c r="E4" t="n">
        <v>3</v>
      </c>
      <c r="F4" t="n">
        <v>4</v>
      </c>
      <c r="G4" t="n">
        <v>5</v>
      </c>
      <c r="H4" t="n">
        <v>6</v>
      </c>
      <c r="I4" t="n">
        <v>7</v>
      </c>
      <c r="J4" t="n">
        <v>8</v>
      </c>
      <c r="K4" t="n">
        <v>9</v>
      </c>
      <c r="L4" t="n">
        <v>10</v>
      </c>
    </row>
    <row r="5">
      <c r="A5" s="2" t="inlineStr">
        <is>
          <t>Revenue growth YoY</t>
        </is>
      </c>
      <c r="C5" s="11" t="n">
        <v>0.2</v>
      </c>
      <c r="D5" s="11" t="n">
        <v>0.17</v>
      </c>
      <c r="E5" s="11" t="n">
        <v>0.155</v>
      </c>
      <c r="F5" s="11" t="n">
        <v>0.14</v>
      </c>
      <c r="G5" s="11" t="n">
        <v>0.125</v>
      </c>
      <c r="H5" s="11" t="n">
        <v>0.115</v>
      </c>
      <c r="I5" s="11" t="n">
        <v>0.105</v>
      </c>
      <c r="J5" s="11" t="n">
        <v>0.095</v>
      </c>
      <c r="K5" s="11" t="n">
        <v>0.08500000000000001</v>
      </c>
      <c r="L5" s="11" t="n">
        <v>0.075</v>
      </c>
    </row>
    <row r="6">
      <c r="A6" s="2" t="inlineStr">
        <is>
          <t>Net revenue</t>
        </is>
      </c>
      <c r="B6" s="20">
        <f>Assumptions!$B$10</f>
        <v/>
      </c>
      <c r="C6" s="21">
        <f>B6*(1+C5)</f>
        <v/>
      </c>
      <c r="D6" s="21">
        <f>C6*(1+D5)</f>
        <v/>
      </c>
      <c r="E6" s="21">
        <f>D6*(1+E5)</f>
        <v/>
      </c>
      <c r="F6" s="21">
        <f>E6*(1+F5)</f>
        <v/>
      </c>
      <c r="G6" s="21">
        <f>F6*(1+G5)</f>
        <v/>
      </c>
      <c r="H6" s="21">
        <f>G6*(1+H5)</f>
        <v/>
      </c>
      <c r="I6" s="21">
        <f>H6*(1+I5)</f>
        <v/>
      </c>
      <c r="J6" s="21">
        <f>I6*(1+J5)</f>
        <v/>
      </c>
      <c r="K6" s="21">
        <f>J6*(1+K5)</f>
        <v/>
      </c>
      <c r="L6" s="21">
        <f>K6*(1+L5)</f>
        <v/>
      </c>
    </row>
    <row r="7">
      <c r="A7" s="2" t="inlineStr">
        <is>
          <t>EBITDA margin (REPORTED, post-SBC)</t>
        </is>
      </c>
      <c r="C7" s="11" t="n">
        <v>0.517</v>
      </c>
      <c r="D7" s="11" t="n">
        <v>0.5379999999999999</v>
      </c>
      <c r="E7" s="11" t="n">
        <v>0.552</v>
      </c>
      <c r="F7" s="11" t="n">
        <v>0.5579999999999999</v>
      </c>
      <c r="G7" s="11" t="n">
        <v>0.5629999999999999</v>
      </c>
      <c r="H7" s="11" t="n">
        <v>0.5660000000000001</v>
      </c>
      <c r="I7" s="11" t="n">
        <v>0.5679999999999999</v>
      </c>
      <c r="J7" s="11" t="n">
        <v>0.569</v>
      </c>
      <c r="K7" s="11" t="n">
        <v>0.57</v>
      </c>
      <c r="L7" s="11" t="n">
        <v>0.57</v>
      </c>
    </row>
    <row r="8">
      <c r="A8" t="inlineStr">
        <is>
          <t>EBITDA (post-SBC)</t>
        </is>
      </c>
      <c r="C8" s="21">
        <f>C6*C7</f>
        <v/>
      </c>
      <c r="D8" s="21">
        <f>D6*D7</f>
        <v/>
      </c>
      <c r="E8" s="21">
        <f>E6*E7</f>
        <v/>
      </c>
      <c r="F8" s="21">
        <f>F6*F7</f>
        <v/>
      </c>
      <c r="G8" s="21">
        <f>G6*G7</f>
        <v/>
      </c>
      <c r="H8" s="21">
        <f>H6*H7</f>
        <v/>
      </c>
      <c r="I8" s="21">
        <f>I6*I7</f>
        <v/>
      </c>
      <c r="J8" s="21">
        <f>J6*J7</f>
        <v/>
      </c>
      <c r="K8" s="21">
        <f>K6*K7</f>
        <v/>
      </c>
      <c r="L8" s="21">
        <f>L6*L7</f>
        <v/>
      </c>
    </row>
    <row r="9">
      <c r="A9" s="2" t="inlineStr">
        <is>
          <t>SBC % of revenue (memo)</t>
        </is>
      </c>
      <c r="C9" s="22" t="n">
        <v>0.0185</v>
      </c>
      <c r="D9" s="22" t="n">
        <v>0.018</v>
      </c>
      <c r="E9" s="22" t="n">
        <v>0.0175</v>
      </c>
      <c r="F9" s="22" t="n">
        <v>0.017</v>
      </c>
      <c r="G9" s="22" t="n">
        <v>0.0165</v>
      </c>
      <c r="H9" s="22" t="n">
        <v>0.016</v>
      </c>
      <c r="I9" s="22" t="n">
        <v>0.0155</v>
      </c>
      <c r="J9" s="22" t="n">
        <v>0.015</v>
      </c>
      <c r="K9" s="22" t="n">
        <v>0.0145</v>
      </c>
      <c r="L9" s="22" t="n">
        <v>0.014</v>
      </c>
    </row>
    <row r="10">
      <c r="A10" t="inlineStr">
        <is>
          <t>SBC (memo, already in EBITDA)</t>
        </is>
      </c>
      <c r="C10" s="21">
        <f>-C6*C9</f>
        <v/>
      </c>
      <c r="D10" s="21">
        <f>-D6*D9</f>
        <v/>
      </c>
      <c r="E10" s="21">
        <f>-E6*E9</f>
        <v/>
      </c>
      <c r="F10" s="21">
        <f>-F6*F9</f>
        <v/>
      </c>
      <c r="G10" s="21">
        <f>-G6*G9</f>
        <v/>
      </c>
      <c r="H10" s="21">
        <f>-H6*H9</f>
        <v/>
      </c>
      <c r="I10" s="21">
        <f>-I6*I9</f>
        <v/>
      </c>
      <c r="J10" s="21">
        <f>-J6*J9</f>
        <v/>
      </c>
      <c r="K10" s="21">
        <f>-K6*K9</f>
        <v/>
      </c>
      <c r="L10" s="21">
        <f>-L6*L9</f>
        <v/>
      </c>
    </row>
    <row r="11">
      <c r="A11" t="inlineStr">
        <is>
          <t>D&amp;A</t>
        </is>
      </c>
      <c r="C11" s="21">
        <f>-C6*Assumptions!$B$4</f>
        <v/>
      </c>
      <c r="D11" s="21">
        <f>-D6*Assumptions!$B$4</f>
        <v/>
      </c>
      <c r="E11" s="21">
        <f>-E6*Assumptions!$B$4</f>
        <v/>
      </c>
      <c r="F11" s="21">
        <f>-F6*Assumptions!$B$4</f>
        <v/>
      </c>
      <c r="G11" s="21">
        <f>-G6*Assumptions!$B$4</f>
        <v/>
      </c>
      <c r="H11" s="21">
        <f>-H6*Assumptions!$B$4</f>
        <v/>
      </c>
      <c r="I11" s="21">
        <f>-I6*Assumptions!$B$4</f>
        <v/>
      </c>
      <c r="J11" s="21">
        <f>-J6*Assumptions!$B$4</f>
        <v/>
      </c>
      <c r="K11" s="21">
        <f>-K6*Assumptions!$B$4</f>
        <v/>
      </c>
      <c r="L11" s="21">
        <f>-L6*Assumptions!$B$4</f>
        <v/>
      </c>
    </row>
    <row r="12">
      <c r="A12" s="2" t="inlineStr">
        <is>
          <t>EBIT</t>
        </is>
      </c>
      <c r="C12" s="21">
        <f>C8+C11</f>
        <v/>
      </c>
      <c r="D12" s="21">
        <f>D8+D11</f>
        <v/>
      </c>
      <c r="E12" s="21">
        <f>E8+E11</f>
        <v/>
      </c>
      <c r="F12" s="21">
        <f>F8+F11</f>
        <v/>
      </c>
      <c r="G12" s="21">
        <f>G8+G11</f>
        <v/>
      </c>
      <c r="H12" s="21">
        <f>H8+H11</f>
        <v/>
      </c>
      <c r="I12" s="21">
        <f>I8+I11</f>
        <v/>
      </c>
      <c r="J12" s="21">
        <f>J8+J11</f>
        <v/>
      </c>
      <c r="K12" s="21">
        <f>K8+K11</f>
        <v/>
      </c>
      <c r="L12" s="21">
        <f>L8+L11</f>
        <v/>
      </c>
    </row>
    <row r="13">
      <c r="A13" s="2" t="inlineStr">
        <is>
          <t>Cash tax rate</t>
        </is>
      </c>
      <c r="C13" s="11" t="n">
        <v>0.245</v>
      </c>
      <c r="D13" s="11" t="n">
        <v>0.248</v>
      </c>
      <c r="E13" s="11" t="n">
        <v>0.25</v>
      </c>
      <c r="F13" s="11" t="n">
        <v>0.252</v>
      </c>
      <c r="G13" s="11" t="n">
        <v>0.255</v>
      </c>
      <c r="H13" s="11" t="n">
        <v>0.256</v>
      </c>
      <c r="I13" s="11" t="n">
        <v>0.258</v>
      </c>
      <c r="J13" s="11" t="n">
        <v>0.258</v>
      </c>
      <c r="K13" s="11" t="n">
        <v>0.258</v>
      </c>
      <c r="L13" s="11" t="n">
        <v>0.258</v>
      </c>
    </row>
    <row r="14">
      <c r="A14" t="inlineStr">
        <is>
          <t>NOPAT</t>
        </is>
      </c>
      <c r="C14" s="21">
        <f>C12*(1-C13)</f>
        <v/>
      </c>
      <c r="D14" s="21">
        <f>D12*(1-D13)</f>
        <v/>
      </c>
      <c r="E14" s="21">
        <f>E12*(1-E13)</f>
        <v/>
      </c>
      <c r="F14" s="21">
        <f>F12*(1-F13)</f>
        <v/>
      </c>
      <c r="G14" s="21">
        <f>G12*(1-G13)</f>
        <v/>
      </c>
      <c r="H14" s="21">
        <f>H12*(1-H13)</f>
        <v/>
      </c>
      <c r="I14" s="21">
        <f>I12*(1-I13)</f>
        <v/>
      </c>
      <c r="J14" s="21">
        <f>J12*(1-J13)</f>
        <v/>
      </c>
      <c r="K14" s="21">
        <f>K12*(1-K13)</f>
        <v/>
      </c>
      <c r="L14" s="21">
        <f>L12*(1-L13)</f>
        <v/>
      </c>
    </row>
    <row r="15">
      <c r="A15" t="inlineStr">
        <is>
          <t>add back D&amp;A</t>
        </is>
      </c>
      <c r="C15" s="21">
        <f>-C11</f>
        <v/>
      </c>
      <c r="D15" s="21">
        <f>-D11</f>
        <v/>
      </c>
      <c r="E15" s="21">
        <f>-E11</f>
        <v/>
      </c>
      <c r="F15" s="21">
        <f>-F11</f>
        <v/>
      </c>
      <c r="G15" s="21">
        <f>-G11</f>
        <v/>
      </c>
      <c r="H15" s="21">
        <f>-H11</f>
        <v/>
      </c>
      <c r="I15" s="21">
        <f>-I11</f>
        <v/>
      </c>
      <c r="J15" s="21">
        <f>-J11</f>
        <v/>
      </c>
      <c r="K15" s="21">
        <f>-K11</f>
        <v/>
      </c>
      <c r="L15" s="21">
        <f>-L11</f>
        <v/>
      </c>
    </row>
    <row r="16">
      <c r="A16" s="2" t="inlineStr">
        <is>
          <t>CapEx % of revenue</t>
        </is>
      </c>
      <c r="C16" s="11" t="n">
        <v>0.07000000000000001</v>
      </c>
      <c r="D16" s="11" t="n">
        <v>0.05</v>
      </c>
      <c r="E16" s="11" t="n">
        <v>0.05</v>
      </c>
      <c r="F16" s="11" t="n">
        <v>0.05</v>
      </c>
      <c r="G16" s="11" t="n">
        <v>0.05</v>
      </c>
      <c r="H16" s="11" t="n">
        <v>0.05</v>
      </c>
      <c r="I16" s="11" t="n">
        <v>0.05</v>
      </c>
      <c r="J16" s="11" t="n">
        <v>0.05</v>
      </c>
      <c r="K16" s="11" t="n">
        <v>0.05</v>
      </c>
      <c r="L16" s="11" t="n">
        <v>0.05</v>
      </c>
    </row>
    <row r="17">
      <c r="A17" t="inlineStr">
        <is>
          <t>less CapEx</t>
        </is>
      </c>
      <c r="C17" s="21">
        <f>-C6*C16</f>
        <v/>
      </c>
      <c r="D17" s="21">
        <f>-D6*D16</f>
        <v/>
      </c>
      <c r="E17" s="21">
        <f>-E6*E16</f>
        <v/>
      </c>
      <c r="F17" s="21">
        <f>-F6*F16</f>
        <v/>
      </c>
      <c r="G17" s="21">
        <f>-G6*G16</f>
        <v/>
      </c>
      <c r="H17" s="21">
        <f>-H6*H16</f>
        <v/>
      </c>
      <c r="I17" s="21">
        <f>-I6*I16</f>
        <v/>
      </c>
      <c r="J17" s="21">
        <f>-J6*J16</f>
        <v/>
      </c>
      <c r="K17" s="21">
        <f>-K6*K16</f>
        <v/>
      </c>
      <c r="L17" s="21">
        <f>-L6*L16</f>
        <v/>
      </c>
    </row>
    <row r="18">
      <c r="A18" t="inlineStr">
        <is>
          <t>less working capital (net use)</t>
        </is>
      </c>
      <c r="C18" s="21">
        <f>-Assumptions!$B$5*(C6-B6)</f>
        <v/>
      </c>
      <c r="D18" s="21">
        <f>-Assumptions!$B$5*(D6-C6)</f>
        <v/>
      </c>
      <c r="E18" s="21">
        <f>-Assumptions!$B$5*(E6-D6)</f>
        <v/>
      </c>
      <c r="F18" s="21">
        <f>-Assumptions!$B$5*(F6-E6)</f>
        <v/>
      </c>
      <c r="G18" s="21">
        <f>-Assumptions!$B$5*(G6-F6)</f>
        <v/>
      </c>
      <c r="H18" s="21">
        <f>-Assumptions!$B$5*(H6-G6)</f>
        <v/>
      </c>
      <c r="I18" s="21">
        <f>-Assumptions!$B$5*(I6-H6)</f>
        <v/>
      </c>
      <c r="J18" s="21">
        <f>-Assumptions!$B$5*(J6-I6)</f>
        <v/>
      </c>
      <c r="K18" s="21">
        <f>-Assumptions!$B$5*(K6-J6)</f>
        <v/>
      </c>
      <c r="L18" s="21">
        <f>-Assumptions!$B$5*(L6-K6)</f>
        <v/>
      </c>
    </row>
    <row r="19">
      <c r="A19" s="2" t="inlineStr">
        <is>
          <t>Unlevered owner FCF</t>
        </is>
      </c>
      <c r="C19" s="23">
        <f>C14+C15+C17+C18</f>
        <v/>
      </c>
      <c r="D19" s="23">
        <f>D14+D15+D17+D18</f>
        <v/>
      </c>
      <c r="E19" s="23">
        <f>E14+E15+E17+E18</f>
        <v/>
      </c>
      <c r="F19" s="23">
        <f>F14+F15+F17+F18</f>
        <v/>
      </c>
      <c r="G19" s="23">
        <f>G14+G15+G17+G18</f>
        <v/>
      </c>
      <c r="H19" s="23">
        <f>H14+H15+H17+H18</f>
        <v/>
      </c>
      <c r="I19" s="23">
        <f>I14+I15+I17+I18</f>
        <v/>
      </c>
      <c r="J19" s="23">
        <f>J14+J15+J17+J18</f>
        <v/>
      </c>
      <c r="K19" s="23">
        <f>K14+K15+K17+K18</f>
        <v/>
      </c>
      <c r="L19" s="23">
        <f>L14+L15+L17+L18</f>
        <v/>
      </c>
    </row>
    <row r="20">
      <c r="A20" t="inlineStr">
        <is>
          <t>Discount factor</t>
        </is>
      </c>
      <c r="C20" s="24">
        <f>1/(1+Assumptions!$B$3)^C4</f>
        <v/>
      </c>
      <c r="D20" s="24">
        <f>1/(1+Assumptions!$B$3)^D4</f>
        <v/>
      </c>
      <c r="E20" s="24">
        <f>1/(1+Assumptions!$B$3)^E4</f>
        <v/>
      </c>
      <c r="F20" s="24">
        <f>1/(1+Assumptions!$B$3)^F4</f>
        <v/>
      </c>
      <c r="G20" s="24">
        <f>1/(1+Assumptions!$B$3)^G4</f>
        <v/>
      </c>
      <c r="H20" s="24">
        <f>1/(1+Assumptions!$B$3)^H4</f>
        <v/>
      </c>
      <c r="I20" s="24">
        <f>1/(1+Assumptions!$B$3)^I4</f>
        <v/>
      </c>
      <c r="J20" s="24">
        <f>1/(1+Assumptions!$B$3)^J4</f>
        <v/>
      </c>
      <c r="K20" s="24">
        <f>1/(1+Assumptions!$B$3)^K4</f>
        <v/>
      </c>
      <c r="L20" s="24">
        <f>1/(1+Assumptions!$B$3)^L4</f>
        <v/>
      </c>
    </row>
    <row r="21">
      <c r="A21" t="inlineStr">
        <is>
          <t>PV of FCF</t>
        </is>
      </c>
      <c r="C21" s="21">
        <f>C19*C20</f>
        <v/>
      </c>
      <c r="D21" s="21">
        <f>D19*D20</f>
        <v/>
      </c>
      <c r="E21" s="21">
        <f>E19*E20</f>
        <v/>
      </c>
      <c r="F21" s="21">
        <f>F19*F20</f>
        <v/>
      </c>
      <c r="G21" s="21">
        <f>G19*G20</f>
        <v/>
      </c>
      <c r="H21" s="21">
        <f>H19*H20</f>
        <v/>
      </c>
      <c r="I21" s="21">
        <f>I19*I20</f>
        <v/>
      </c>
      <c r="J21" s="21">
        <f>J19*J20</f>
        <v/>
      </c>
      <c r="K21" s="21">
        <f>K19*K20</f>
        <v/>
      </c>
      <c r="L21" s="21">
        <f>L19*L20</f>
        <v/>
      </c>
    </row>
    <row r="23">
      <c r="A23" t="inlineStr">
        <is>
          <t>Memo: FCF before SBC (company style)</t>
        </is>
      </c>
      <c r="C23" s="21">
        <f>C19-C10</f>
        <v/>
      </c>
      <c r="D23" s="21">
        <f>D19-D10</f>
        <v/>
      </c>
      <c r="E23" s="21">
        <f>E19-E10</f>
        <v/>
      </c>
      <c r="F23" s="21">
        <f>F19-F10</f>
        <v/>
      </c>
      <c r="G23" s="21">
        <f>G19-G10</f>
        <v/>
      </c>
      <c r="H23" s="21">
        <f>H19-H10</f>
        <v/>
      </c>
      <c r="I23" s="21">
        <f>I19-I10</f>
        <v/>
      </c>
      <c r="J23" s="21">
        <f>J19-J10</f>
        <v/>
      </c>
      <c r="K23" s="21">
        <f>K19-K10</f>
        <v/>
      </c>
      <c r="L23" s="21">
        <f>L19-L10</f>
        <v/>
      </c>
    </row>
    <row r="24">
      <c r="A24" t="inlineStr">
        <is>
          <t>Memo: owner FCF margin</t>
        </is>
      </c>
      <c r="C24" s="25">
        <f>C19/C6</f>
        <v/>
      </c>
      <c r="D24" s="25">
        <f>D19/D6</f>
        <v/>
      </c>
      <c r="E24" s="25">
        <f>E19/E6</f>
        <v/>
      </c>
      <c r="F24" s="25">
        <f>F19/F6</f>
        <v/>
      </c>
      <c r="G24" s="25">
        <f>G19/G6</f>
        <v/>
      </c>
      <c r="H24" s="25">
        <f>H19/H6</f>
        <v/>
      </c>
      <c r="I24" s="25">
        <f>I19/I6</f>
        <v/>
      </c>
      <c r="J24" s="25">
        <f>J19/J6</f>
        <v/>
      </c>
      <c r="K24" s="25">
        <f>K19/K6</f>
        <v/>
      </c>
      <c r="L24" s="25">
        <f>L19/L6</f>
        <v/>
      </c>
    </row>
    <row r="26">
      <c r="A26" s="2" t="inlineStr">
        <is>
          <t>Sum PV of FCF</t>
        </is>
      </c>
      <c r="B26" s="21">
        <f>SUM(C21:L21)</f>
        <v/>
      </c>
    </row>
    <row r="27">
      <c r="A27" s="2" t="inlineStr">
        <is>
          <t>Terminal growth</t>
        </is>
      </c>
      <c r="B27" s="25">
        <f>Assumptions!$B$17</f>
        <v/>
      </c>
    </row>
    <row r="28">
      <c r="A28" s="2" t="inlineStr">
        <is>
          <t>Terminal FCF (year N+1)</t>
        </is>
      </c>
      <c r="B28" s="21">
        <f>L19*(1+B27)</f>
        <v/>
      </c>
    </row>
    <row r="29">
      <c r="A29" s="2" t="inlineStr">
        <is>
          <t>Gordon TV</t>
        </is>
      </c>
      <c r="B29" s="21">
        <f>B28/(Assumptions!$B$3-B27)</f>
        <v/>
      </c>
    </row>
    <row r="30">
      <c r="A30" s="2" t="inlineStr">
        <is>
          <t>Cap TV</t>
        </is>
      </c>
      <c r="B30" s="21">
        <f>Assumptions!$B$6*L19</f>
        <v/>
      </c>
    </row>
    <row r="31">
      <c r="A31" s="2" t="inlineStr">
        <is>
          <t>TV used</t>
        </is>
      </c>
      <c r="B31" s="21">
        <f>MAX(0,MIN(B29,B30))</f>
        <v/>
      </c>
    </row>
    <row r="32">
      <c r="A32" s="2" t="inlineStr">
        <is>
          <t>Implied exit multiple</t>
        </is>
      </c>
      <c r="B32" s="26">
        <f>B31/L19</f>
        <v/>
      </c>
    </row>
    <row r="33">
      <c r="A33" s="2" t="inlineStr">
        <is>
          <t>PV of TV</t>
        </is>
      </c>
      <c r="B33" s="21">
        <f>B31*L20</f>
        <v/>
      </c>
    </row>
    <row r="34">
      <c r="A34" s="2" t="inlineStr">
        <is>
          <t>Operating EV</t>
        </is>
      </c>
      <c r="B34" s="21">
        <f>B26+B33</f>
        <v/>
      </c>
    </row>
    <row r="35">
      <c r="A35" s="2" t="inlineStr">
        <is>
          <t>add merchant float</t>
        </is>
      </c>
      <c r="B35" s="21">
        <f>Assumptions!$D$17</f>
        <v/>
      </c>
    </row>
    <row r="36">
      <c r="A36" s="2" t="inlineStr">
        <is>
          <t>add net cash</t>
        </is>
      </c>
      <c r="B36" s="21">
        <f>Assumptions!$B$7</f>
        <v/>
      </c>
    </row>
    <row r="37">
      <c r="A37" s="2" t="inlineStr">
        <is>
          <t>Equity value</t>
        </is>
      </c>
      <c r="B37" s="21">
        <f>B34+B35+B36</f>
        <v/>
      </c>
    </row>
    <row r="38">
      <c r="A38" s="2" t="inlineStr">
        <is>
          <t>Diluted shares</t>
        </is>
      </c>
      <c r="B38" s="27">
        <f>Assumptions!$B$8</f>
        <v/>
      </c>
    </row>
    <row r="39">
      <c r="A39" s="2" t="inlineStr">
        <is>
          <t>VALUE PER SHARE (EUR)</t>
        </is>
      </c>
      <c r="B39" s="28">
        <f>B37/B38</f>
        <v/>
      </c>
    </row>
    <row r="40">
      <c r="A40" s="2" t="inlineStr">
        <is>
          <t>Upside vs price</t>
        </is>
      </c>
      <c r="B40" s="25">
        <f>B39/Assumptions!$B$9-1</f>
        <v/>
      </c>
    </row>
    <row r="41">
      <c r="A41" s="2" t="inlineStr">
        <is>
          <t>Street basis memo (SBC added back)</t>
        </is>
      </c>
    </row>
    <row r="42">
      <c r="A42" t="inlineStr">
        <is>
          <t>PV of explicit-period SBC</t>
        </is>
      </c>
      <c r="B42" s="21">
        <f>SUMPRODUCT(-C10:L10,1/(1+Assumptions!$B$3)^C4:L4)</f>
        <v/>
      </c>
    </row>
    <row r="43">
      <c r="A43" t="inlineStr">
        <is>
          <t>PV of terminal SBC</t>
        </is>
      </c>
      <c r="B43" s="21">
        <f>(-L10*(1+B27)/(Assumptions!$B$3-B27))*L20</f>
        <v/>
      </c>
    </row>
    <row r="44">
      <c r="A44" t="inlineStr">
        <is>
          <t>Street value per share</t>
        </is>
      </c>
      <c r="B44" s="5">
        <f>(B37+B42+B43)/B38</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cols>
    <col width="34" customWidth="1" min="1" max="1"/>
  </cols>
  <sheetData>
    <row r="1">
      <c r="A1" s="3" t="inlineStr">
        <is>
          <t>Adyen DCF - BULL (EUR m)</t>
        </is>
      </c>
    </row>
    <row r="3">
      <c r="A3" s="7" t="inlineStr">
        <is>
          <t>Year</t>
        </is>
      </c>
      <c r="B3" s="7" t="inlineStr">
        <is>
          <t>2026 TTM A</t>
        </is>
      </c>
      <c r="C3" s="7" t="inlineStr">
        <is>
          <t>2027E</t>
        </is>
      </c>
      <c r="D3" s="7" t="inlineStr">
        <is>
          <t>2028E</t>
        </is>
      </c>
      <c r="E3" s="7" t="inlineStr">
        <is>
          <t>2029E</t>
        </is>
      </c>
      <c r="F3" s="7" t="inlineStr">
        <is>
          <t>2030E</t>
        </is>
      </c>
      <c r="G3" s="7" t="inlineStr">
        <is>
          <t>2031E</t>
        </is>
      </c>
      <c r="H3" s="7" t="inlineStr">
        <is>
          <t>2032E</t>
        </is>
      </c>
      <c r="I3" s="7" t="inlineStr">
        <is>
          <t>2033E</t>
        </is>
      </c>
      <c r="J3" s="7" t="inlineStr">
        <is>
          <t>2034E</t>
        </is>
      </c>
      <c r="K3" s="7" t="inlineStr">
        <is>
          <t>2035E</t>
        </is>
      </c>
      <c r="L3" s="7" t="inlineStr">
        <is>
          <t>2036E</t>
        </is>
      </c>
    </row>
    <row r="4">
      <c r="A4" t="inlineStr">
        <is>
          <t>Index</t>
        </is>
      </c>
      <c r="B4" t="n">
        <v>0</v>
      </c>
      <c r="C4" t="n">
        <v>1</v>
      </c>
      <c r="D4" t="n">
        <v>2</v>
      </c>
      <c r="E4" t="n">
        <v>3</v>
      </c>
      <c r="F4" t="n">
        <v>4</v>
      </c>
      <c r="G4" t="n">
        <v>5</v>
      </c>
      <c r="H4" t="n">
        <v>6</v>
      </c>
      <c r="I4" t="n">
        <v>7</v>
      </c>
      <c r="J4" t="n">
        <v>8</v>
      </c>
      <c r="K4" t="n">
        <v>9</v>
      </c>
      <c r="L4" t="n">
        <v>10</v>
      </c>
    </row>
    <row r="5">
      <c r="A5" s="2" t="inlineStr">
        <is>
          <t>Revenue growth YoY</t>
        </is>
      </c>
      <c r="C5" s="11" t="n">
        <v>0.22</v>
      </c>
      <c r="D5" s="11" t="n">
        <v>0.205</v>
      </c>
      <c r="E5" s="11" t="n">
        <v>0.19</v>
      </c>
      <c r="F5" s="11" t="n">
        <v>0.175</v>
      </c>
      <c r="G5" s="11" t="n">
        <v>0.16</v>
      </c>
      <c r="H5" s="11" t="n">
        <v>0.15</v>
      </c>
      <c r="I5" s="11" t="n">
        <v>0.135</v>
      </c>
      <c r="J5" s="11" t="n">
        <v>0.125</v>
      </c>
      <c r="K5" s="11" t="n">
        <v>0.115</v>
      </c>
      <c r="L5" s="11" t="n">
        <v>0.105</v>
      </c>
    </row>
    <row r="6">
      <c r="A6" s="2" t="inlineStr">
        <is>
          <t>Net revenue</t>
        </is>
      </c>
      <c r="B6" s="20">
        <f>Assumptions!$B$10</f>
        <v/>
      </c>
      <c r="C6" s="21">
        <f>B6*(1+C5)</f>
        <v/>
      </c>
      <c r="D6" s="21">
        <f>C6*(1+D5)</f>
        <v/>
      </c>
      <c r="E6" s="21">
        <f>D6*(1+E5)</f>
        <v/>
      </c>
      <c r="F6" s="21">
        <f>E6*(1+F5)</f>
        <v/>
      </c>
      <c r="G6" s="21">
        <f>F6*(1+G5)</f>
        <v/>
      </c>
      <c r="H6" s="21">
        <f>G6*(1+H5)</f>
        <v/>
      </c>
      <c r="I6" s="21">
        <f>H6*(1+I5)</f>
        <v/>
      </c>
      <c r="J6" s="21">
        <f>I6*(1+J5)</f>
        <v/>
      </c>
      <c r="K6" s="21">
        <f>J6*(1+K5)</f>
        <v/>
      </c>
      <c r="L6" s="21">
        <f>K6*(1+L5)</f>
        <v/>
      </c>
    </row>
    <row r="7">
      <c r="A7" s="2" t="inlineStr">
        <is>
          <t>EBITDA margin (REPORTED, post-SBC)</t>
        </is>
      </c>
      <c r="C7" s="11" t="n">
        <v>0.522</v>
      </c>
      <c r="D7" s="11" t="n">
        <v>0.5479999999999999</v>
      </c>
      <c r="E7" s="11" t="n">
        <v>0.5670000000000001</v>
      </c>
      <c r="F7" s="11" t="n">
        <v>0.578</v>
      </c>
      <c r="G7" s="11" t="n">
        <v>0.585</v>
      </c>
      <c r="H7" s="11" t="n">
        <v>0.59</v>
      </c>
      <c r="I7" s="11" t="n">
        <v>0.593</v>
      </c>
      <c r="J7" s="11" t="n">
        <v>0.595</v>
      </c>
      <c r="K7" s="11" t="n">
        <v>0.596</v>
      </c>
      <c r="L7" s="11" t="n">
        <v>0.596</v>
      </c>
    </row>
    <row r="8">
      <c r="A8" t="inlineStr">
        <is>
          <t>EBITDA (post-SBC)</t>
        </is>
      </c>
      <c r="C8" s="21">
        <f>C6*C7</f>
        <v/>
      </c>
      <c r="D8" s="21">
        <f>D6*D7</f>
        <v/>
      </c>
      <c r="E8" s="21">
        <f>E6*E7</f>
        <v/>
      </c>
      <c r="F8" s="21">
        <f>F6*F7</f>
        <v/>
      </c>
      <c r="G8" s="21">
        <f>G6*G7</f>
        <v/>
      </c>
      <c r="H8" s="21">
        <f>H6*H7</f>
        <v/>
      </c>
      <c r="I8" s="21">
        <f>I6*I7</f>
        <v/>
      </c>
      <c r="J8" s="21">
        <f>J6*J7</f>
        <v/>
      </c>
      <c r="K8" s="21">
        <f>K6*K7</f>
        <v/>
      </c>
      <c r="L8" s="21">
        <f>L6*L7</f>
        <v/>
      </c>
    </row>
    <row r="9">
      <c r="A9" s="2" t="inlineStr">
        <is>
          <t>SBC % of revenue (memo)</t>
        </is>
      </c>
      <c r="C9" s="22" t="n">
        <v>0.018</v>
      </c>
      <c r="D9" s="22" t="n">
        <v>0.017</v>
      </c>
      <c r="E9" s="22" t="n">
        <v>0.016</v>
      </c>
      <c r="F9" s="22" t="n">
        <v>0.015</v>
      </c>
      <c r="G9" s="22" t="n">
        <v>0.0145</v>
      </c>
      <c r="H9" s="22" t="n">
        <v>0.014</v>
      </c>
      <c r="I9" s="22" t="n">
        <v>0.0135</v>
      </c>
      <c r="J9" s="22" t="n">
        <v>0.013</v>
      </c>
      <c r="K9" s="22" t="n">
        <v>0.0125</v>
      </c>
      <c r="L9" s="22" t="n">
        <v>0.012</v>
      </c>
    </row>
    <row r="10">
      <c r="A10" t="inlineStr">
        <is>
          <t>SBC (memo, already in EBITDA)</t>
        </is>
      </c>
      <c r="C10" s="21">
        <f>-C6*C9</f>
        <v/>
      </c>
      <c r="D10" s="21">
        <f>-D6*D9</f>
        <v/>
      </c>
      <c r="E10" s="21">
        <f>-E6*E9</f>
        <v/>
      </c>
      <c r="F10" s="21">
        <f>-F6*F9</f>
        <v/>
      </c>
      <c r="G10" s="21">
        <f>-G6*G9</f>
        <v/>
      </c>
      <c r="H10" s="21">
        <f>-H6*H9</f>
        <v/>
      </c>
      <c r="I10" s="21">
        <f>-I6*I9</f>
        <v/>
      </c>
      <c r="J10" s="21">
        <f>-J6*J9</f>
        <v/>
      </c>
      <c r="K10" s="21">
        <f>-K6*K9</f>
        <v/>
      </c>
      <c r="L10" s="21">
        <f>-L6*L9</f>
        <v/>
      </c>
    </row>
    <row r="11">
      <c r="A11" t="inlineStr">
        <is>
          <t>D&amp;A</t>
        </is>
      </c>
      <c r="C11" s="21">
        <f>-C6*Assumptions!$B$4</f>
        <v/>
      </c>
      <c r="D11" s="21">
        <f>-D6*Assumptions!$B$4</f>
        <v/>
      </c>
      <c r="E11" s="21">
        <f>-E6*Assumptions!$B$4</f>
        <v/>
      </c>
      <c r="F11" s="21">
        <f>-F6*Assumptions!$B$4</f>
        <v/>
      </c>
      <c r="G11" s="21">
        <f>-G6*Assumptions!$B$4</f>
        <v/>
      </c>
      <c r="H11" s="21">
        <f>-H6*Assumptions!$B$4</f>
        <v/>
      </c>
      <c r="I11" s="21">
        <f>-I6*Assumptions!$B$4</f>
        <v/>
      </c>
      <c r="J11" s="21">
        <f>-J6*Assumptions!$B$4</f>
        <v/>
      </c>
      <c r="K11" s="21">
        <f>-K6*Assumptions!$B$4</f>
        <v/>
      </c>
      <c r="L11" s="21">
        <f>-L6*Assumptions!$B$4</f>
        <v/>
      </c>
    </row>
    <row r="12">
      <c r="A12" s="2" t="inlineStr">
        <is>
          <t>EBIT</t>
        </is>
      </c>
      <c r="C12" s="21">
        <f>C8+C11</f>
        <v/>
      </c>
      <c r="D12" s="21">
        <f>D8+D11</f>
        <v/>
      </c>
      <c r="E12" s="21">
        <f>E8+E11</f>
        <v/>
      </c>
      <c r="F12" s="21">
        <f>F8+F11</f>
        <v/>
      </c>
      <c r="G12" s="21">
        <f>G8+G11</f>
        <v/>
      </c>
      <c r="H12" s="21">
        <f>H8+H11</f>
        <v/>
      </c>
      <c r="I12" s="21">
        <f>I8+I11</f>
        <v/>
      </c>
      <c r="J12" s="21">
        <f>J8+J11</f>
        <v/>
      </c>
      <c r="K12" s="21">
        <f>K8+K11</f>
        <v/>
      </c>
      <c r="L12" s="21">
        <f>L8+L11</f>
        <v/>
      </c>
    </row>
    <row r="13">
      <c r="A13" s="2" t="inlineStr">
        <is>
          <t>Cash tax rate</t>
        </is>
      </c>
      <c r="C13" s="11" t="n">
        <v>0.24</v>
      </c>
      <c r="D13" s="11" t="n">
        <v>0.243</v>
      </c>
      <c r="E13" s="11" t="n">
        <v>0.245</v>
      </c>
      <c r="F13" s="11" t="n">
        <v>0.248</v>
      </c>
      <c r="G13" s="11" t="n">
        <v>0.25</v>
      </c>
      <c r="H13" s="11" t="n">
        <v>0.252</v>
      </c>
      <c r="I13" s="11" t="n">
        <v>0.255</v>
      </c>
      <c r="J13" s="11" t="n">
        <v>0.258</v>
      </c>
      <c r="K13" s="11" t="n">
        <v>0.258</v>
      </c>
      <c r="L13" s="11" t="n">
        <v>0.258</v>
      </c>
    </row>
    <row r="14">
      <c r="A14" t="inlineStr">
        <is>
          <t>NOPAT</t>
        </is>
      </c>
      <c r="C14" s="21">
        <f>C12*(1-C13)</f>
        <v/>
      </c>
      <c r="D14" s="21">
        <f>D12*(1-D13)</f>
        <v/>
      </c>
      <c r="E14" s="21">
        <f>E12*(1-E13)</f>
        <v/>
      </c>
      <c r="F14" s="21">
        <f>F12*(1-F13)</f>
        <v/>
      </c>
      <c r="G14" s="21">
        <f>G12*(1-G13)</f>
        <v/>
      </c>
      <c r="H14" s="21">
        <f>H12*(1-H13)</f>
        <v/>
      </c>
      <c r="I14" s="21">
        <f>I12*(1-I13)</f>
        <v/>
      </c>
      <c r="J14" s="21">
        <f>J12*(1-J13)</f>
        <v/>
      </c>
      <c r="K14" s="21">
        <f>K12*(1-K13)</f>
        <v/>
      </c>
      <c r="L14" s="21">
        <f>L12*(1-L13)</f>
        <v/>
      </c>
    </row>
    <row r="15">
      <c r="A15" t="inlineStr">
        <is>
          <t>add back D&amp;A</t>
        </is>
      </c>
      <c r="C15" s="21">
        <f>-C11</f>
        <v/>
      </c>
      <c r="D15" s="21">
        <f>-D11</f>
        <v/>
      </c>
      <c r="E15" s="21">
        <f>-E11</f>
        <v/>
      </c>
      <c r="F15" s="21">
        <f>-F11</f>
        <v/>
      </c>
      <c r="G15" s="21">
        <f>-G11</f>
        <v/>
      </c>
      <c r="H15" s="21">
        <f>-H11</f>
        <v/>
      </c>
      <c r="I15" s="21">
        <f>-I11</f>
        <v/>
      </c>
      <c r="J15" s="21">
        <f>-J11</f>
        <v/>
      </c>
      <c r="K15" s="21">
        <f>-K11</f>
        <v/>
      </c>
      <c r="L15" s="21">
        <f>-L11</f>
        <v/>
      </c>
    </row>
    <row r="16">
      <c r="A16" s="2" t="inlineStr">
        <is>
          <t>CapEx % of revenue</t>
        </is>
      </c>
      <c r="C16" s="11" t="n">
        <v>0.07000000000000001</v>
      </c>
      <c r="D16" s="11" t="n">
        <v>0.05</v>
      </c>
      <c r="E16" s="11" t="n">
        <v>0.05</v>
      </c>
      <c r="F16" s="11" t="n">
        <v>0.05</v>
      </c>
      <c r="G16" s="11" t="n">
        <v>0.049</v>
      </c>
      <c r="H16" s="11" t="n">
        <v>0.048</v>
      </c>
      <c r="I16" s="11" t="n">
        <v>0.048</v>
      </c>
      <c r="J16" s="11" t="n">
        <v>0.048</v>
      </c>
      <c r="K16" s="11" t="n">
        <v>0.048</v>
      </c>
      <c r="L16" s="11" t="n">
        <v>0.048</v>
      </c>
    </row>
    <row r="17">
      <c r="A17" t="inlineStr">
        <is>
          <t>less CapEx</t>
        </is>
      </c>
      <c r="C17" s="21">
        <f>-C6*C16</f>
        <v/>
      </c>
      <c r="D17" s="21">
        <f>-D6*D16</f>
        <v/>
      </c>
      <c r="E17" s="21">
        <f>-E6*E16</f>
        <v/>
      </c>
      <c r="F17" s="21">
        <f>-F6*F16</f>
        <v/>
      </c>
      <c r="G17" s="21">
        <f>-G6*G16</f>
        <v/>
      </c>
      <c r="H17" s="21">
        <f>-H6*H16</f>
        <v/>
      </c>
      <c r="I17" s="21">
        <f>-I6*I16</f>
        <v/>
      </c>
      <c r="J17" s="21">
        <f>-J6*J16</f>
        <v/>
      </c>
      <c r="K17" s="21">
        <f>-K6*K16</f>
        <v/>
      </c>
      <c r="L17" s="21">
        <f>-L6*L16</f>
        <v/>
      </c>
    </row>
    <row r="18">
      <c r="A18" t="inlineStr">
        <is>
          <t>less working capital (net use)</t>
        </is>
      </c>
      <c r="C18" s="21">
        <f>-Assumptions!$B$5*(C6-B6)</f>
        <v/>
      </c>
      <c r="D18" s="21">
        <f>-Assumptions!$B$5*(D6-C6)</f>
        <v/>
      </c>
      <c r="E18" s="21">
        <f>-Assumptions!$B$5*(E6-D6)</f>
        <v/>
      </c>
      <c r="F18" s="21">
        <f>-Assumptions!$B$5*(F6-E6)</f>
        <v/>
      </c>
      <c r="G18" s="21">
        <f>-Assumptions!$B$5*(G6-F6)</f>
        <v/>
      </c>
      <c r="H18" s="21">
        <f>-Assumptions!$B$5*(H6-G6)</f>
        <v/>
      </c>
      <c r="I18" s="21">
        <f>-Assumptions!$B$5*(I6-H6)</f>
        <v/>
      </c>
      <c r="J18" s="21">
        <f>-Assumptions!$B$5*(J6-I6)</f>
        <v/>
      </c>
      <c r="K18" s="21">
        <f>-Assumptions!$B$5*(K6-J6)</f>
        <v/>
      </c>
      <c r="L18" s="21">
        <f>-Assumptions!$B$5*(L6-K6)</f>
        <v/>
      </c>
    </row>
    <row r="19">
      <c r="A19" s="2" t="inlineStr">
        <is>
          <t>Unlevered owner FCF</t>
        </is>
      </c>
      <c r="C19" s="23">
        <f>C14+C15+C17+C18</f>
        <v/>
      </c>
      <c r="D19" s="23">
        <f>D14+D15+D17+D18</f>
        <v/>
      </c>
      <c r="E19" s="23">
        <f>E14+E15+E17+E18</f>
        <v/>
      </c>
      <c r="F19" s="23">
        <f>F14+F15+F17+F18</f>
        <v/>
      </c>
      <c r="G19" s="23">
        <f>G14+G15+G17+G18</f>
        <v/>
      </c>
      <c r="H19" s="23">
        <f>H14+H15+H17+H18</f>
        <v/>
      </c>
      <c r="I19" s="23">
        <f>I14+I15+I17+I18</f>
        <v/>
      </c>
      <c r="J19" s="23">
        <f>J14+J15+J17+J18</f>
        <v/>
      </c>
      <c r="K19" s="23">
        <f>K14+K15+K17+K18</f>
        <v/>
      </c>
      <c r="L19" s="23">
        <f>L14+L15+L17+L18</f>
        <v/>
      </c>
    </row>
    <row r="20">
      <c r="A20" t="inlineStr">
        <is>
          <t>Discount factor</t>
        </is>
      </c>
      <c r="C20" s="24">
        <f>1/(1+Assumptions!$B$3)^C4</f>
        <v/>
      </c>
      <c r="D20" s="24">
        <f>1/(1+Assumptions!$B$3)^D4</f>
        <v/>
      </c>
      <c r="E20" s="24">
        <f>1/(1+Assumptions!$B$3)^E4</f>
        <v/>
      </c>
      <c r="F20" s="24">
        <f>1/(1+Assumptions!$B$3)^F4</f>
        <v/>
      </c>
      <c r="G20" s="24">
        <f>1/(1+Assumptions!$B$3)^G4</f>
        <v/>
      </c>
      <c r="H20" s="24">
        <f>1/(1+Assumptions!$B$3)^H4</f>
        <v/>
      </c>
      <c r="I20" s="24">
        <f>1/(1+Assumptions!$B$3)^I4</f>
        <v/>
      </c>
      <c r="J20" s="24">
        <f>1/(1+Assumptions!$B$3)^J4</f>
        <v/>
      </c>
      <c r="K20" s="24">
        <f>1/(1+Assumptions!$B$3)^K4</f>
        <v/>
      </c>
      <c r="L20" s="24">
        <f>1/(1+Assumptions!$B$3)^L4</f>
        <v/>
      </c>
    </row>
    <row r="21">
      <c r="A21" t="inlineStr">
        <is>
          <t>PV of FCF</t>
        </is>
      </c>
      <c r="C21" s="21">
        <f>C19*C20</f>
        <v/>
      </c>
      <c r="D21" s="21">
        <f>D19*D20</f>
        <v/>
      </c>
      <c r="E21" s="21">
        <f>E19*E20</f>
        <v/>
      </c>
      <c r="F21" s="21">
        <f>F19*F20</f>
        <v/>
      </c>
      <c r="G21" s="21">
        <f>G19*G20</f>
        <v/>
      </c>
      <c r="H21" s="21">
        <f>H19*H20</f>
        <v/>
      </c>
      <c r="I21" s="21">
        <f>I19*I20</f>
        <v/>
      </c>
      <c r="J21" s="21">
        <f>J19*J20</f>
        <v/>
      </c>
      <c r="K21" s="21">
        <f>K19*K20</f>
        <v/>
      </c>
      <c r="L21" s="21">
        <f>L19*L20</f>
        <v/>
      </c>
    </row>
    <row r="23">
      <c r="A23" t="inlineStr">
        <is>
          <t>Memo: FCF before SBC (company style)</t>
        </is>
      </c>
      <c r="C23" s="21">
        <f>C19-C10</f>
        <v/>
      </c>
      <c r="D23" s="21">
        <f>D19-D10</f>
        <v/>
      </c>
      <c r="E23" s="21">
        <f>E19-E10</f>
        <v/>
      </c>
      <c r="F23" s="21">
        <f>F19-F10</f>
        <v/>
      </c>
      <c r="G23" s="21">
        <f>G19-G10</f>
        <v/>
      </c>
      <c r="H23" s="21">
        <f>H19-H10</f>
        <v/>
      </c>
      <c r="I23" s="21">
        <f>I19-I10</f>
        <v/>
      </c>
      <c r="J23" s="21">
        <f>J19-J10</f>
        <v/>
      </c>
      <c r="K23" s="21">
        <f>K19-K10</f>
        <v/>
      </c>
      <c r="L23" s="21">
        <f>L19-L10</f>
        <v/>
      </c>
    </row>
    <row r="24">
      <c r="A24" t="inlineStr">
        <is>
          <t>Memo: owner FCF margin</t>
        </is>
      </c>
      <c r="C24" s="25">
        <f>C19/C6</f>
        <v/>
      </c>
      <c r="D24" s="25">
        <f>D19/D6</f>
        <v/>
      </c>
      <c r="E24" s="25">
        <f>E19/E6</f>
        <v/>
      </c>
      <c r="F24" s="25">
        <f>F19/F6</f>
        <v/>
      </c>
      <c r="G24" s="25">
        <f>G19/G6</f>
        <v/>
      </c>
      <c r="H24" s="25">
        <f>H19/H6</f>
        <v/>
      </c>
      <c r="I24" s="25">
        <f>I19/I6</f>
        <v/>
      </c>
      <c r="J24" s="25">
        <f>J19/J6</f>
        <v/>
      </c>
      <c r="K24" s="25">
        <f>K19/K6</f>
        <v/>
      </c>
      <c r="L24" s="25">
        <f>L19/L6</f>
        <v/>
      </c>
    </row>
    <row r="26">
      <c r="A26" s="2" t="inlineStr">
        <is>
          <t>Sum PV of FCF</t>
        </is>
      </c>
      <c r="B26" s="21">
        <f>SUM(C21:L21)</f>
        <v/>
      </c>
    </row>
    <row r="27">
      <c r="A27" s="2" t="inlineStr">
        <is>
          <t>Terminal growth</t>
        </is>
      </c>
      <c r="B27" s="25">
        <f>Assumptions!$B$18</f>
        <v/>
      </c>
    </row>
    <row r="28">
      <c r="A28" s="2" t="inlineStr">
        <is>
          <t>Terminal FCF (year N+1)</t>
        </is>
      </c>
      <c r="B28" s="21">
        <f>L19*(1+B27)</f>
        <v/>
      </c>
    </row>
    <row r="29">
      <c r="A29" s="2" t="inlineStr">
        <is>
          <t>Gordon TV</t>
        </is>
      </c>
      <c r="B29" s="21">
        <f>B28/(Assumptions!$B$3-B27)</f>
        <v/>
      </c>
    </row>
    <row r="30">
      <c r="A30" s="2" t="inlineStr">
        <is>
          <t>Cap TV</t>
        </is>
      </c>
      <c r="B30" s="21">
        <f>Assumptions!$B$6*L19</f>
        <v/>
      </c>
    </row>
    <row r="31">
      <c r="A31" s="2" t="inlineStr">
        <is>
          <t>TV used</t>
        </is>
      </c>
      <c r="B31" s="21">
        <f>MAX(0,MIN(B29,B30))</f>
        <v/>
      </c>
    </row>
    <row r="32">
      <c r="A32" s="2" t="inlineStr">
        <is>
          <t>Implied exit multiple</t>
        </is>
      </c>
      <c r="B32" s="26">
        <f>B31/L19</f>
        <v/>
      </c>
    </row>
    <row r="33">
      <c r="A33" s="2" t="inlineStr">
        <is>
          <t>PV of TV</t>
        </is>
      </c>
      <c r="B33" s="21">
        <f>B31*L20</f>
        <v/>
      </c>
    </row>
    <row r="34">
      <c r="A34" s="2" t="inlineStr">
        <is>
          <t>Operating EV</t>
        </is>
      </c>
      <c r="B34" s="21">
        <f>B26+B33</f>
        <v/>
      </c>
    </row>
    <row r="35">
      <c r="A35" s="2" t="inlineStr">
        <is>
          <t>add merchant float</t>
        </is>
      </c>
      <c r="B35" s="21">
        <f>Assumptions!$D$18</f>
        <v/>
      </c>
    </row>
    <row r="36">
      <c r="A36" s="2" t="inlineStr">
        <is>
          <t>add net cash</t>
        </is>
      </c>
      <c r="B36" s="21">
        <f>Assumptions!$B$7</f>
        <v/>
      </c>
    </row>
    <row r="37">
      <c r="A37" s="2" t="inlineStr">
        <is>
          <t>Equity value</t>
        </is>
      </c>
      <c r="B37" s="21">
        <f>B34+B35+B36</f>
        <v/>
      </c>
    </row>
    <row r="38">
      <c r="A38" s="2" t="inlineStr">
        <is>
          <t>Diluted shares</t>
        </is>
      </c>
      <c r="B38" s="27">
        <f>Assumptions!$B$8</f>
        <v/>
      </c>
    </row>
    <row r="39">
      <c r="A39" s="2" t="inlineStr">
        <is>
          <t>VALUE PER SHARE (EUR)</t>
        </is>
      </c>
      <c r="B39" s="28">
        <f>B37/B38</f>
        <v/>
      </c>
    </row>
    <row r="40">
      <c r="A40" s="2" t="inlineStr">
        <is>
          <t>Upside vs price</t>
        </is>
      </c>
      <c r="B40" s="25">
        <f>B39/Assumptions!$B$9-1</f>
        <v/>
      </c>
    </row>
    <row r="41">
      <c r="A41" s="2" t="inlineStr">
        <is>
          <t>Street basis memo (SBC added back)</t>
        </is>
      </c>
    </row>
    <row r="42">
      <c r="A42" t="inlineStr">
        <is>
          <t>PV of explicit-period SBC</t>
        </is>
      </c>
      <c r="B42" s="21">
        <f>SUMPRODUCT(-C10:L10,1/(1+Assumptions!$B$3)^C4:L4)</f>
        <v/>
      </c>
    </row>
    <row r="43">
      <c r="A43" t="inlineStr">
        <is>
          <t>PV of terminal SBC</t>
        </is>
      </c>
      <c r="B43" s="21">
        <f>(-L10*(1+B27)/(Assumptions!$B$3-B27))*L20</f>
        <v/>
      </c>
    </row>
    <row r="44">
      <c r="A44" t="inlineStr">
        <is>
          <t>Street value per share</t>
        </is>
      </c>
      <c r="B44" s="5">
        <f>(B37+B42+B43)/B38</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46" customWidth="1" min="1" max="1"/>
  </cols>
  <sheetData>
    <row r="1">
      <c r="A1" s="3" t="inlineStr">
        <is>
          <t>Reported FCF reconciled to owner FCF</t>
        </is>
      </c>
    </row>
    <row r="3">
      <c r="B3" s="7" t="inlineStr">
        <is>
          <t>FY2020</t>
        </is>
      </c>
      <c r="C3" s="7" t="inlineStr">
        <is>
          <t>FY2021</t>
        </is>
      </c>
      <c r="D3" s="7" t="inlineStr">
        <is>
          <t>FY2022</t>
        </is>
      </c>
      <c r="E3" s="7" t="inlineStr">
        <is>
          <t>FY2023</t>
        </is>
      </c>
      <c r="F3" s="7" t="inlineStr">
        <is>
          <t>FY2024</t>
        </is>
      </c>
      <c r="G3" s="7" t="inlineStr">
        <is>
          <t>FY2025</t>
        </is>
      </c>
      <c r="H3" s="7" t="inlineStr">
        <is>
          <t>TTM Jun-26</t>
        </is>
      </c>
    </row>
    <row r="4">
      <c r="A4" t="inlineStr">
        <is>
          <t>Net revenue</t>
        </is>
      </c>
      <c r="B4" s="8" t="n">
        <v>684.2</v>
      </c>
      <c r="C4" s="8" t="n">
        <v>1001.5</v>
      </c>
      <c r="D4" s="8" t="n">
        <v>1330.2</v>
      </c>
      <c r="E4" s="8" t="n">
        <v>1626.1</v>
      </c>
      <c r="F4" s="8" t="n">
        <v>1996.1</v>
      </c>
      <c r="G4" s="8" t="n">
        <v>2364.2</v>
      </c>
      <c r="H4" s="8" t="n">
        <v>2573.6</v>
      </c>
    </row>
    <row r="5">
      <c r="A5" t="inlineStr">
        <is>
          <t>Free cash flow (company definition)</t>
        </is>
      </c>
      <c r="B5" s="8" t="n">
        <v>346.3</v>
      </c>
      <c r="C5" s="8" t="n">
        <v>544.6</v>
      </c>
      <c r="D5" s="8" t="n">
        <v>607.1</v>
      </c>
      <c r="E5" s="8" t="n">
        <v>639.5</v>
      </c>
      <c r="F5" s="8" t="n">
        <v>859.8</v>
      </c>
      <c r="G5" s="8" t="n">
        <v>1081.3</v>
      </c>
      <c r="H5" s="8" t="n">
        <v>1160.2</v>
      </c>
    </row>
    <row r="6">
      <c r="A6" t="inlineStr">
        <is>
          <t>less SBC incl. equity-award taxes</t>
        </is>
      </c>
      <c r="B6" s="8" t="n">
        <v>-10.085</v>
      </c>
      <c r="C6" s="8" t="n">
        <v>-12.008</v>
      </c>
      <c r="D6" s="8" t="n">
        <v>-10.499</v>
      </c>
      <c r="E6" s="8" t="n">
        <v>-38.609</v>
      </c>
      <c r="F6" s="8" t="n">
        <v>-37.368</v>
      </c>
      <c r="G6" s="8" t="n">
        <v>-43.457</v>
      </c>
      <c r="H6" s="8" t="n">
        <v>-54</v>
      </c>
    </row>
    <row r="7">
      <c r="A7" t="inlineStr">
        <is>
          <t>less Finance income (own-cash interest)</t>
        </is>
      </c>
      <c r="B7" s="8" t="n">
        <v>-6.9</v>
      </c>
      <c r="C7" s="8" t="n">
        <v>-4.5</v>
      </c>
      <c r="D7" s="8" t="n">
        <v>-29.3</v>
      </c>
      <c r="E7" s="8" t="n">
        <v>-246</v>
      </c>
      <c r="F7" s="8" t="n">
        <v>-349.9</v>
      </c>
      <c r="G7" s="8" t="n">
        <v>-267.55</v>
      </c>
      <c r="H7" s="8" t="n">
        <v>-272.1</v>
      </c>
    </row>
    <row r="8">
      <c r="A8" s="2" t="inlineStr">
        <is>
          <t>Owner FCF</t>
        </is>
      </c>
      <c r="B8" s="23">
        <f>B5+B6+B7</f>
        <v/>
      </c>
      <c r="C8" s="23">
        <f>C5+C6+C7</f>
        <v/>
      </c>
      <c r="D8" s="23">
        <f>D5+D6+D7</f>
        <v/>
      </c>
      <c r="E8" s="23">
        <f>E5+E6+E7</f>
        <v/>
      </c>
      <c r="F8" s="23">
        <f>F5+F6+F7</f>
        <v/>
      </c>
      <c r="G8" s="23">
        <f>G5+G6+G7</f>
        <v/>
      </c>
      <c r="H8" s="23">
        <f>H5+H6+H7</f>
        <v/>
      </c>
    </row>
    <row r="9">
      <c r="A9" t="inlineStr">
        <is>
          <t>Reported FCF margin</t>
        </is>
      </c>
      <c r="B9" s="25">
        <f>B5/B4</f>
        <v/>
      </c>
      <c r="C9" s="25">
        <f>C5/C4</f>
        <v/>
      </c>
      <c r="D9" s="25">
        <f>D5/D4</f>
        <v/>
      </c>
      <c r="E9" s="25">
        <f>E5/E4</f>
        <v/>
      </c>
      <c r="F9" s="25">
        <f>F5/F4</f>
        <v/>
      </c>
      <c r="G9" s="25">
        <f>G5/G4</f>
        <v/>
      </c>
      <c r="H9" s="25">
        <f>H5/H4</f>
        <v/>
      </c>
    </row>
    <row r="10">
      <c r="A10" t="inlineStr">
        <is>
          <t>Owner FCF margin</t>
        </is>
      </c>
      <c r="B10" s="25">
        <f>B8/B4</f>
        <v/>
      </c>
      <c r="C10" s="25">
        <f>C8/C4</f>
        <v/>
      </c>
      <c r="D10" s="25">
        <f>D8/D4</f>
        <v/>
      </c>
      <c r="E10" s="25">
        <f>E8/E4</f>
        <v/>
      </c>
      <c r="F10" s="25">
        <f>F8/F4</f>
        <v/>
      </c>
      <c r="G10" s="25">
        <f>G8/G4</f>
        <v/>
      </c>
      <c r="H10" s="25">
        <f>H8/H4</f>
        <v/>
      </c>
    </row>
    <row r="12">
      <c r="A12" s="2" t="inlineStr">
        <is>
          <t>Memo: Finance income as % of reported FCF</t>
        </is>
      </c>
      <c r="B12" s="25">
        <f>-B7/B5</f>
        <v/>
      </c>
      <c r="C12" s="25">
        <f>-C7/C5</f>
        <v/>
      </c>
      <c r="D12" s="25">
        <f>-D7/D5</f>
        <v/>
      </c>
      <c r="E12" s="25">
        <f>-E7/E5</f>
        <v/>
      </c>
      <c r="F12" s="25">
        <f>-F7/F5</f>
        <v/>
      </c>
      <c r="G12" s="25">
        <f>-G7/G5</f>
        <v/>
      </c>
      <c r="H12" s="25">
        <f>-H7/H5</f>
        <v/>
      </c>
    </row>
    <row r="14">
      <c r="A14" t="inlineStr">
        <is>
          <t>Note</t>
        </is>
      </c>
      <c r="B14" t="inlineStr">
        <is>
          <t>Adyen has no deferred-revenue tailwind; working capital is a net USE of cash as receivables from merchants grow. Finance income rose from 2% of reported FCF in FY2020-22 to 25-41% in FY2023-25 as policy rates rose - a rate-cycle windfall on the cash pile, not operating performance, and the reason owner-FCF CAGR (10.7% 3yr) is far below reported (21.2%).</t>
        </is>
      </c>
    </row>
    <row r="16">
      <c r="A16" s="2" t="inlineStr">
        <is>
          <t>Memo: cash tax rate FY2025</t>
        </is>
      </c>
      <c r="B16" s="29" t="n">
        <v>0.238</v>
      </c>
    </row>
    <row r="17">
      <c r="A17" t="inlineStr">
        <is>
          <t>Not flagged as abnormal; close to the 25.8% Dutch statutory rate and ramped there in the model.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s>
  <sheetData>
    <row r="1">
      <c r="A1" s="3" t="inlineStr">
        <is>
          <t>Valuation summary</t>
        </is>
      </c>
    </row>
    <row r="3">
      <c r="A3" s="7" t="inlineStr">
        <is>
          <t>Scenario</t>
        </is>
      </c>
      <c r="B3" s="7" t="inlineStr">
        <is>
          <t>Value/share</t>
        </is>
      </c>
      <c r="C3" s="7" t="inlineStr">
        <is>
          <t>Upside</t>
        </is>
      </c>
      <c r="D3" s="7" t="inlineStr">
        <is>
          <t>Weight</t>
        </is>
      </c>
      <c r="E3" s="7" t="inlineStr">
        <is>
          <t>Street value</t>
        </is>
      </c>
      <c r="F3" s="7" t="inlineStr">
        <is>
          <t>Exit mult</t>
        </is>
      </c>
      <c r="G3" s="7" t="inlineStr">
        <is>
          <t>TV % of EV</t>
        </is>
      </c>
    </row>
    <row r="4">
      <c r="A4" t="inlineStr">
        <is>
          <t>bear</t>
        </is>
      </c>
      <c r="B4" s="6">
        <f>DCF_Bear!B39</f>
        <v/>
      </c>
      <c r="C4" s="25">
        <f>B4/Assumptions!$B$9-1</f>
        <v/>
      </c>
      <c r="D4" s="30">
        <f>Assumptions!C16</f>
        <v/>
      </c>
      <c r="E4" s="6">
        <f>DCF_Bear!B44</f>
        <v/>
      </c>
      <c r="F4" s="31">
        <f>DCF_Bear!B32</f>
        <v/>
      </c>
      <c r="G4" s="25">
        <f>DCF_Bear!B33/DCF_Bear!B34</f>
        <v/>
      </c>
    </row>
    <row r="5">
      <c r="A5" t="inlineStr">
        <is>
          <t>base</t>
        </is>
      </c>
      <c r="B5" s="6">
        <f>DCF_Base!B39</f>
        <v/>
      </c>
      <c r="C5" s="25">
        <f>B5/Assumptions!$B$9-1</f>
        <v/>
      </c>
      <c r="D5" s="30">
        <f>Assumptions!C17</f>
        <v/>
      </c>
      <c r="E5" s="6">
        <f>DCF_Base!B44</f>
        <v/>
      </c>
      <c r="F5" s="31">
        <f>DCF_Base!B32</f>
        <v/>
      </c>
      <c r="G5" s="25">
        <f>DCF_Base!B33/DCF_Base!B34</f>
        <v/>
      </c>
    </row>
    <row r="6">
      <c r="A6" t="inlineStr">
        <is>
          <t>bull</t>
        </is>
      </c>
      <c r="B6" s="6">
        <f>DCF_Bull!B39</f>
        <v/>
      </c>
      <c r="C6" s="25">
        <f>B6/Assumptions!$B$9-1</f>
        <v/>
      </c>
      <c r="D6" s="30">
        <f>Assumptions!C18</f>
        <v/>
      </c>
      <c r="E6" s="6">
        <f>DCF_Bull!B44</f>
        <v/>
      </c>
      <c r="F6" s="31">
        <f>DCF_Bull!B32</f>
        <v/>
      </c>
      <c r="G6" s="25">
        <f>DCF_Bull!B33/DCF_Bull!B34</f>
        <v/>
      </c>
    </row>
    <row r="8">
      <c r="A8" s="2" t="inlineStr">
        <is>
          <t>Current price</t>
        </is>
      </c>
      <c r="B8" s="6">
        <f>Assumptions!B9</f>
        <v/>
      </c>
    </row>
    <row r="10">
      <c r="A10" s="2" t="inlineStr">
        <is>
          <t>PROBABILITY-WEIGHTED IV</t>
        </is>
      </c>
      <c r="B10" s="28">
        <f>SUMPRODUCT(B4:B6,D4:D6)</f>
        <v/>
      </c>
    </row>
    <row r="11">
      <c r="A11" t="inlineStr">
        <is>
          <t>Weighted upside</t>
        </is>
      </c>
      <c r="B11" s="25">
        <f>B10/B8-1</f>
        <v/>
      </c>
    </row>
    <row r="12">
      <c r="A12" t="inlineStr">
        <is>
          <t>Margin of safety</t>
        </is>
      </c>
      <c r="B12" s="25">
        <f>1-B8/B10</f>
        <v/>
      </c>
    </row>
    <row r="13">
      <c r="A13" t="inlineStr">
        <is>
          <t>Street weighted IV</t>
        </is>
      </c>
      <c r="B13" s="5">
        <f>SUMPRODUCT(E4:E6,D4:D6)</f>
        <v/>
      </c>
    </row>
    <row r="14">
      <c r="A14" t="inlineStr">
        <is>
          <t>Band position</t>
        </is>
      </c>
      <c r="B14" s="10" t="inlineStr">
        <is>
          <t>n/a - see note</t>
        </is>
      </c>
    </row>
    <row r="15">
      <c r="A15" t="inlineStr">
        <is>
          <t>Band note</t>
        </is>
      </c>
      <c r="B15" t="inlineStr">
        <is>
          <t>House/street spread is only ~3% because SBC is 1.85% of revenue. The price sits BELOW both bounds, so band position is degenerate and is reported as null.</t>
        </is>
      </c>
    </row>
    <row r="17">
      <c r="A17" s="2" t="inlineStr">
        <is>
          <t>Weighted IV per ADR (USD)</t>
        </is>
      </c>
      <c r="B17" s="5">
        <f>B10*Assumptions!B11/100</f>
        <v/>
      </c>
    </row>
    <row r="18">
      <c r="A18" t="inlineStr">
        <is>
          <t>ADYEY 1 ADR = 1/100 ordinary share.</t>
        </is>
      </c>
    </row>
    <row r="20">
      <c r="A20" s="2" t="inlineStr">
        <is>
          <t>Required return table (base case)</t>
        </is>
      </c>
    </row>
    <row r="21">
      <c r="A21" s="7" t="inlineStr">
        <is>
          <t>Required return</t>
        </is>
      </c>
      <c r="B21" s="7" t="inlineStr">
        <is>
          <t>Value/share</t>
        </is>
      </c>
    </row>
    <row r="22">
      <c r="A22" s="11" t="n">
        <v>0.09</v>
      </c>
      <c r="B22" s="5">
        <f>(SUMPRODUCT(DCF_Base!C19:L19,1/(1+A22)^DCF_Base!C4:L4)+DCF_Base!B31/(1+A22)^10+Assumptions!$D$17+Assumptions!$B$7)/Assumptions!$B$8</f>
        <v/>
      </c>
    </row>
    <row r="23">
      <c r="A23" s="11" t="n">
        <v>0.1</v>
      </c>
      <c r="B23" s="5">
        <f>(SUMPRODUCT(DCF_Base!C19:L19,1/(1+A23)^DCF_Base!C4:L4)+DCF_Base!B31/(1+A23)^10+Assumptions!$D$17+Assumptions!$B$7)/Assumptions!$B$8</f>
        <v/>
      </c>
    </row>
    <row r="24">
      <c r="A24" s="11" t="n">
        <v>0.105</v>
      </c>
      <c r="B24" s="5">
        <f>(SUMPRODUCT(DCF_Base!C19:L19,1/(1+A24)^DCF_Base!C4:L4)+DCF_Base!B31/(1+A24)^10+Assumptions!$D$17+Assumptions!$B$7)/Assumptions!$B$8</f>
        <v/>
      </c>
    </row>
    <row r="25">
      <c r="A25" s="11" t="n">
        <v>0.11</v>
      </c>
      <c r="B25" s="5">
        <f>(SUMPRODUCT(DCF_Base!C19:L19,1/(1+A25)^DCF_Base!C4:L4)+DCF_Base!B31/(1+A25)^10+Assumptions!$D$17+Assumptions!$B$7)/Assumptions!$B$8</f>
        <v/>
      </c>
    </row>
    <row r="26">
      <c r="A26" s="11" t="n">
        <v>0.12</v>
      </c>
      <c r="B26" s="5">
        <f>(SUMPRODUCT(DCF_Base!C19:L19,1/(1+A26)^DCF_Base!C4:L4)+DCF_Base!B31/(1+A26)^10+Assumptions!$D$17+Assumptions!$B$7)/Assumptions!$B$8</f>
        <v/>
      </c>
    </row>
    <row r="27">
      <c r="A27" s="11" t="n">
        <v>0.15</v>
      </c>
      <c r="B27" s="5">
        <f>(SUMPRODUCT(DCF_Base!C19:L19,1/(1+A27)^DCF_Base!C4:L4)+DCF_Base!B31/(1+A27)^10+Assumptions!$D$17+Assumptions!$B$7)/Assumptions!$B$8</f>
        <v/>
      </c>
    </row>
    <row r="28">
      <c r="A28" t="inlineStr">
        <is>
          <t>At the current price the base case implies roughly a 10.6% expected return.</t>
        </is>
      </c>
    </row>
    <row r="30">
      <c r="A30" s="2" t="inlineStr">
        <is>
          <t>15% hurdle entry price</t>
        </is>
      </c>
    </row>
    <row r="31">
      <c r="A31" s="7" t="inlineStr">
        <is>
          <t>Scenario</t>
        </is>
      </c>
      <c r="B31" s="7" t="inlineStr">
        <is>
          <t>Entry price</t>
        </is>
      </c>
      <c r="C31" s="7" t="inlineStr">
        <is>
          <t>vs price</t>
        </is>
      </c>
      <c r="D31" s="7" t="inlineStr">
        <is>
          <t>Weight</t>
        </is>
      </c>
    </row>
    <row r="32">
      <c r="A32" t="inlineStr">
        <is>
          <t>bear</t>
        </is>
      </c>
      <c r="B32" s="5">
        <f>(SUMPRODUCT(DCF_Bear!C19:L19,1/(1+Assumptions!$B$12)^DCF_Bear!C4:L4)+DCF_Bear!B31/(1+Assumptions!$B$12)^10+Assumptions!$D$16+Assumptions!$B$7)/Assumptions!$B$8</f>
        <v/>
      </c>
      <c r="C32" s="25">
        <f>B32/Assumptions!$B$9-1</f>
        <v/>
      </c>
      <c r="D32" s="30">
        <f>Assumptions!C16</f>
        <v/>
      </c>
    </row>
    <row r="33">
      <c r="A33" t="inlineStr">
        <is>
          <t>base</t>
        </is>
      </c>
      <c r="B33" s="5">
        <f>(SUMPRODUCT(DCF_Base!C19:L19,1/(1+Assumptions!$B$12)^DCF_Base!C4:L4)+DCF_Base!B31/(1+Assumptions!$B$12)^10+Assumptions!$D$17+Assumptions!$B$7)/Assumptions!$B$8</f>
        <v/>
      </c>
      <c r="C33" s="25">
        <f>B33/Assumptions!$B$9-1</f>
        <v/>
      </c>
      <c r="D33" s="30">
        <f>Assumptions!C17</f>
        <v/>
      </c>
    </row>
    <row r="34">
      <c r="A34" t="inlineStr">
        <is>
          <t>bull</t>
        </is>
      </c>
      <c r="B34" s="5">
        <f>(SUMPRODUCT(DCF_Bull!C19:L19,1/(1+Assumptions!$B$12)^DCF_Bull!C4:L4)+DCF_Bull!B31/(1+Assumptions!$B$12)^10+Assumptions!$D$18+Assumptions!$B$7)/Assumptions!$B$8</f>
        <v/>
      </c>
      <c r="C34" s="25">
        <f>B34/Assumptions!$B$9-1</f>
        <v/>
      </c>
      <c r="D34" s="30">
        <f>Assumptions!C18</f>
        <v/>
      </c>
    </row>
    <row r="35">
      <c r="A35" s="2" t="inlineStr">
        <is>
          <t>WEIGHTED ENTRY PRICE</t>
        </is>
      </c>
      <c r="B35" s="32">
        <f>SUMPRODUCT(B32:B34,D32:D34)</f>
        <v/>
      </c>
    </row>
    <row r="36">
      <c r="A36" t="inlineStr">
        <is>
          <t>vs current price</t>
        </is>
      </c>
      <c r="B36" s="25">
        <f>B35/Assumptions!B9-1</f>
        <v/>
      </c>
    </row>
    <row r="37">
      <c r="A37" t="inlineStr">
        <is>
          <t>A 15% IRR is not available at the current price on these drivers.</t>
        </is>
      </c>
    </row>
    <row r="39">
      <c r="A39" s="2" t="inlineStr">
        <is>
          <t>Sensitivity: WACC x terminal growth (base case)</t>
        </is>
      </c>
    </row>
    <row r="40">
      <c r="A40" s="7" t="inlineStr">
        <is>
          <t>WACC \ g</t>
        </is>
      </c>
      <c r="B40" s="33" t="n">
        <v>0.02</v>
      </c>
      <c r="C40" s="33" t="n">
        <v>0.025</v>
      </c>
      <c r="D40" s="33" t="n">
        <v>0.03</v>
      </c>
      <c r="E40" s="33" t="n">
        <v>0.035</v>
      </c>
      <c r="F40" s="33" t="n">
        <v>0.04</v>
      </c>
    </row>
    <row r="41">
      <c r="A41" s="33" t="n">
        <v>0.08500000000000001</v>
      </c>
      <c r="B41" s="21">
        <f>IF($A41&gt;B$40,(SUMPRODUCT(DCF_Base!C19:L19,1/(1+$A41)^DCF_Base!C4:L4)+MAX(0,MIN(DCF_Base!L19*(1+B$40)/($A41-B$40),Assumptions!$B$6*DCF_Base!L19))/(1+$A41)^10+Assumptions!$D$17+Assumptions!$B$7)/Assumptions!$B$8,"n/a")</f>
        <v/>
      </c>
      <c r="C41" s="21">
        <f>IF($A41&gt;C$40,(SUMPRODUCT(DCF_Base!C19:L19,1/(1+$A41)^DCF_Base!C4:L4)+MAX(0,MIN(DCF_Base!L19*(1+C$40)/($A41-C$40),Assumptions!$B$6*DCF_Base!L19))/(1+$A41)^10+Assumptions!$D$17+Assumptions!$B$7)/Assumptions!$B$8,"n/a")</f>
        <v/>
      </c>
      <c r="D41" s="21">
        <f>IF($A41&gt;D$40,(SUMPRODUCT(DCF_Base!C19:L19,1/(1+$A41)^DCF_Base!C4:L4)+MAX(0,MIN(DCF_Base!L19*(1+D$40)/($A41-D$40),Assumptions!$B$6*DCF_Base!L19))/(1+$A41)^10+Assumptions!$D$17+Assumptions!$B$7)/Assumptions!$B$8,"n/a")</f>
        <v/>
      </c>
      <c r="E41" s="21">
        <f>IF($A41&gt;E$40,(SUMPRODUCT(DCF_Base!C19:L19,1/(1+$A41)^DCF_Base!C4:L4)+MAX(0,MIN(DCF_Base!L19*(1+E$40)/($A41-E$40),Assumptions!$B$6*DCF_Base!L19))/(1+$A41)^10+Assumptions!$D$17+Assumptions!$B$7)/Assumptions!$B$8,"n/a")</f>
        <v/>
      </c>
      <c r="F41" s="21">
        <f>IF($A41&gt;F$40,(SUMPRODUCT(DCF_Base!C19:L19,1/(1+$A41)^DCF_Base!C4:L4)+MAX(0,MIN(DCF_Base!L19*(1+F$40)/($A41-F$40),Assumptions!$B$6*DCF_Base!L19))/(1+$A41)^10+Assumptions!$D$17+Assumptions!$B$7)/Assumptions!$B$8,"n/a")</f>
        <v/>
      </c>
    </row>
    <row r="42">
      <c r="A42" s="33" t="n">
        <v>0.095</v>
      </c>
      <c r="B42" s="21">
        <f>IF($A42&gt;B$40,(SUMPRODUCT(DCF_Base!C19:L19,1/(1+$A42)^DCF_Base!C4:L4)+MAX(0,MIN(DCF_Base!L19*(1+B$40)/($A42-B$40),Assumptions!$B$6*DCF_Base!L19))/(1+$A42)^10+Assumptions!$D$17+Assumptions!$B$7)/Assumptions!$B$8,"n/a")</f>
        <v/>
      </c>
      <c r="C42" s="21">
        <f>IF($A42&gt;C$40,(SUMPRODUCT(DCF_Base!C19:L19,1/(1+$A42)^DCF_Base!C4:L4)+MAX(0,MIN(DCF_Base!L19*(1+C$40)/($A42-C$40),Assumptions!$B$6*DCF_Base!L19))/(1+$A42)^10+Assumptions!$D$17+Assumptions!$B$7)/Assumptions!$B$8,"n/a")</f>
        <v/>
      </c>
      <c r="D42" s="21">
        <f>IF($A42&gt;D$40,(SUMPRODUCT(DCF_Base!C19:L19,1/(1+$A42)^DCF_Base!C4:L4)+MAX(0,MIN(DCF_Base!L19*(1+D$40)/($A42-D$40),Assumptions!$B$6*DCF_Base!L19))/(1+$A42)^10+Assumptions!$D$17+Assumptions!$B$7)/Assumptions!$B$8,"n/a")</f>
        <v/>
      </c>
      <c r="E42" s="21">
        <f>IF($A42&gt;E$40,(SUMPRODUCT(DCF_Base!C19:L19,1/(1+$A42)^DCF_Base!C4:L4)+MAX(0,MIN(DCF_Base!L19*(1+E$40)/($A42-E$40),Assumptions!$B$6*DCF_Base!L19))/(1+$A42)^10+Assumptions!$D$17+Assumptions!$B$7)/Assumptions!$B$8,"n/a")</f>
        <v/>
      </c>
      <c r="F42" s="21">
        <f>IF($A42&gt;F$40,(SUMPRODUCT(DCF_Base!C19:L19,1/(1+$A42)^DCF_Base!C4:L4)+MAX(0,MIN(DCF_Base!L19*(1+F$40)/($A42-F$40),Assumptions!$B$6*DCF_Base!L19))/(1+$A42)^10+Assumptions!$D$17+Assumptions!$B$7)/Assumptions!$B$8,"n/a")</f>
        <v/>
      </c>
    </row>
    <row r="43">
      <c r="A43" s="33" t="n">
        <v>0.105</v>
      </c>
      <c r="B43" s="21">
        <f>IF($A43&gt;B$40,(SUMPRODUCT(DCF_Base!C19:L19,1/(1+$A43)^DCF_Base!C4:L4)+MAX(0,MIN(DCF_Base!L19*(1+B$40)/($A43-B$40),Assumptions!$B$6*DCF_Base!L19))/(1+$A43)^10+Assumptions!$D$17+Assumptions!$B$7)/Assumptions!$B$8,"n/a")</f>
        <v/>
      </c>
      <c r="C43" s="21">
        <f>IF($A43&gt;C$40,(SUMPRODUCT(DCF_Base!C19:L19,1/(1+$A43)^DCF_Base!C4:L4)+MAX(0,MIN(DCF_Base!L19*(1+C$40)/($A43-C$40),Assumptions!$B$6*DCF_Base!L19))/(1+$A43)^10+Assumptions!$D$17+Assumptions!$B$7)/Assumptions!$B$8,"n/a")</f>
        <v/>
      </c>
      <c r="D43" s="34">
        <f>IF($A43&gt;D$40,(SUMPRODUCT(DCF_Base!C19:L19,1/(1+$A43)^DCF_Base!C4:L4)+MAX(0,MIN(DCF_Base!L19*(1+D$40)/($A43-D$40),Assumptions!$B$6*DCF_Base!L19))/(1+$A43)^10+Assumptions!$D$17+Assumptions!$B$7)/Assumptions!$B$8,"n/a")</f>
        <v/>
      </c>
      <c r="E43" s="21">
        <f>IF($A43&gt;E$40,(SUMPRODUCT(DCF_Base!C19:L19,1/(1+$A43)^DCF_Base!C4:L4)+MAX(0,MIN(DCF_Base!L19*(1+E$40)/($A43-E$40),Assumptions!$B$6*DCF_Base!L19))/(1+$A43)^10+Assumptions!$D$17+Assumptions!$B$7)/Assumptions!$B$8,"n/a")</f>
        <v/>
      </c>
      <c r="F43" s="21">
        <f>IF($A43&gt;F$40,(SUMPRODUCT(DCF_Base!C19:L19,1/(1+$A43)^DCF_Base!C4:L4)+MAX(0,MIN(DCF_Base!L19*(1+F$40)/($A43-F$40),Assumptions!$B$6*DCF_Base!L19))/(1+$A43)^10+Assumptions!$D$17+Assumptions!$B$7)/Assumptions!$B$8,"n/a")</f>
        <v/>
      </c>
    </row>
    <row r="44">
      <c r="A44" s="33" t="n">
        <v>0.115</v>
      </c>
      <c r="B44" s="21">
        <f>IF($A44&gt;B$40,(SUMPRODUCT(DCF_Base!C19:L19,1/(1+$A44)^DCF_Base!C4:L4)+MAX(0,MIN(DCF_Base!L19*(1+B$40)/($A44-B$40),Assumptions!$B$6*DCF_Base!L19))/(1+$A44)^10+Assumptions!$D$17+Assumptions!$B$7)/Assumptions!$B$8,"n/a")</f>
        <v/>
      </c>
      <c r="C44" s="21">
        <f>IF($A44&gt;C$40,(SUMPRODUCT(DCF_Base!C19:L19,1/(1+$A44)^DCF_Base!C4:L4)+MAX(0,MIN(DCF_Base!L19*(1+C$40)/($A44-C$40),Assumptions!$B$6*DCF_Base!L19))/(1+$A44)^10+Assumptions!$D$17+Assumptions!$B$7)/Assumptions!$B$8,"n/a")</f>
        <v/>
      </c>
      <c r="D44" s="21">
        <f>IF($A44&gt;D$40,(SUMPRODUCT(DCF_Base!C19:L19,1/(1+$A44)^DCF_Base!C4:L4)+MAX(0,MIN(DCF_Base!L19*(1+D$40)/($A44-D$40),Assumptions!$B$6*DCF_Base!L19))/(1+$A44)^10+Assumptions!$D$17+Assumptions!$B$7)/Assumptions!$B$8,"n/a")</f>
        <v/>
      </c>
      <c r="E44" s="21">
        <f>IF($A44&gt;E$40,(SUMPRODUCT(DCF_Base!C19:L19,1/(1+$A44)^DCF_Base!C4:L4)+MAX(0,MIN(DCF_Base!L19*(1+E$40)/($A44-E$40),Assumptions!$B$6*DCF_Base!L19))/(1+$A44)^10+Assumptions!$D$17+Assumptions!$B$7)/Assumptions!$B$8,"n/a")</f>
        <v/>
      </c>
      <c r="F44" s="21">
        <f>IF($A44&gt;F$40,(SUMPRODUCT(DCF_Base!C19:L19,1/(1+$A44)^DCF_Base!C4:L4)+MAX(0,MIN(DCF_Base!L19*(1+F$40)/($A44-F$40),Assumptions!$B$6*DCF_Base!L19))/(1+$A44)^10+Assumptions!$D$17+Assumptions!$B$7)/Assumptions!$B$8,"n/a")</f>
        <v/>
      </c>
    </row>
    <row r="45">
      <c r="A45" s="33" t="n">
        <v>0.125</v>
      </c>
      <c r="B45" s="21">
        <f>IF($A45&gt;B$40,(SUMPRODUCT(DCF_Base!C19:L19,1/(1+$A45)^DCF_Base!C4:L4)+MAX(0,MIN(DCF_Base!L19*(1+B$40)/($A45-B$40),Assumptions!$B$6*DCF_Base!L19))/(1+$A45)^10+Assumptions!$D$17+Assumptions!$B$7)/Assumptions!$B$8,"n/a")</f>
        <v/>
      </c>
      <c r="C45" s="21">
        <f>IF($A45&gt;C$40,(SUMPRODUCT(DCF_Base!C19:L19,1/(1+$A45)^DCF_Base!C4:L4)+MAX(0,MIN(DCF_Base!L19*(1+C$40)/($A45-C$40),Assumptions!$B$6*DCF_Base!L19))/(1+$A45)^10+Assumptions!$D$17+Assumptions!$B$7)/Assumptions!$B$8,"n/a")</f>
        <v/>
      </c>
      <c r="D45" s="21">
        <f>IF($A45&gt;D$40,(SUMPRODUCT(DCF_Base!C19:L19,1/(1+$A45)^DCF_Base!C4:L4)+MAX(0,MIN(DCF_Base!L19*(1+D$40)/($A45-D$40),Assumptions!$B$6*DCF_Base!L19))/(1+$A45)^10+Assumptions!$D$17+Assumptions!$B$7)/Assumptions!$B$8,"n/a")</f>
        <v/>
      </c>
      <c r="E45" s="21">
        <f>IF($A45&gt;E$40,(SUMPRODUCT(DCF_Base!C19:L19,1/(1+$A45)^DCF_Base!C4:L4)+MAX(0,MIN(DCF_Base!L19*(1+E$40)/($A45-E$40),Assumptions!$B$6*DCF_Base!L19))/(1+$A45)^10+Assumptions!$D$17+Assumptions!$B$7)/Assumptions!$B$8,"n/a")</f>
        <v/>
      </c>
      <c r="F45" s="21">
        <f>IF($A45&gt;F$40,(SUMPRODUCT(DCF_Base!C19:L19,1/(1+$A45)^DCF_Base!C4:L4)+MAX(0,MIN(DCF_Base!L19*(1+F$40)/($A45-F$40),Assumptions!$B$6*DCF_Base!L19))/(1+$A45)^10+Assumptions!$D$17+Assumptions!$B$7)/Assumptions!$B$8,"n/a")</f>
        <v/>
      </c>
    </row>
    <row r="47">
      <c r="A47" t="inlineStr">
        <is>
          <t>House pair WACC 10.5% / g 3.0% highlighted. Top-right cells are bound by the 20x terminal 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2026-08-27T22:31:24Z</dcterms:created>
  <dcterms:modified xsi:type="dcterms:W3CDTF">2026-08-27T22:32:32Z</dcterms:modified>
</cp:coreProperties>
</file>