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" sheetId="3" r:id="rId3"/>
    <sheet name="FCF Quality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<sst xmlns="http://schemas.openxmlformats.org/spreadsheetml/2006/main" count="145" uniqueCount="143">
  <si>
    <t>ADYEN.AS DCF Valuation Model (Base Case, per ORDINARY share, EUR)</t>
  </si>
  <si>
    <t>Gray cells are INPUTS - adjust to see valuation change. All figures EUR millions except per-share.</t>
  </si>
  <si>
    <t>KEY INPUTS</t>
  </si>
  <si>
    <t>Current Stock Price (EUR, ordinary)</t>
  </si>
  <si>
    <t>FY2025 Net Revenue (EUR M, anchor)</t>
  </si>
  <si>
    <t>Shares Outstanding (M, FY2025)</t>
  </si>
  <si>
    <t>Own Cash (EUR M, ex-merchant float)</t>
  </si>
  <si>
    <t>Total Debt / Lease Liabilities (EUR M)</t>
  </si>
  <si>
    <t>Net Debt (EUR M) [negative = net cash]</t>
  </si>
  <si>
    <t>Reported FCF FY2025 (EUR M)</t>
  </si>
  <si>
    <t>Less: Stock-Based Comp FY2025 (EUR M)</t>
  </si>
  <si>
    <t>Less: Finance Income on own cash FY2025 (EUR M)</t>
  </si>
  <si>
    <t>Base Year Owner FCF (EUR M)</t>
  </si>
  <si>
    <t>Annual Share Growth (uncovered dilution, %/yr)</t>
  </si>
  <si>
    <t>WACC</t>
  </si>
  <si>
    <t>Terminal Growth Rate</t>
  </si>
  <si>
    <t>COMPONENT ASSUMPTIONS (Base Case)</t>
  </si>
  <si>
    <t>Year 1
FY2026</t>
  </si>
  <si>
    <t>Year 2
FY2027</t>
  </si>
  <si>
    <t>Year 3
FY2028</t>
  </si>
  <si>
    <t>Year 4
FY2029</t>
  </si>
  <si>
    <t>Year 5
FY2030</t>
  </si>
  <si>
    <t>Net Revenue Growth %</t>
  </si>
  <si>
    <t>Adj. EBITDA Margin %</t>
  </si>
  <si>
    <t>SBC % of Revenue</t>
  </si>
  <si>
    <t>D&amp;A % of Revenue</t>
  </si>
  <si>
    <t>Capex % of Revenue</t>
  </si>
  <si>
    <t>Cash Tax Rate %</t>
  </si>
  <si>
    <t>Working Capital Capture % of Rev Growth</t>
  </si>
  <si>
    <t>PROJECTIONS (Component Build)</t>
  </si>
  <si>
    <t>Year 1</t>
  </si>
  <si>
    <t>Year 2</t>
  </si>
  <si>
    <t>Year 3</t>
  </si>
  <si>
    <t>Year 4</t>
  </si>
  <si>
    <t>Year 5</t>
  </si>
  <si>
    <t>Net Revenue</t>
  </si>
  <si>
    <t>Adj. EBITDA</t>
  </si>
  <si>
    <t>Stock-Based Comp</t>
  </si>
  <si>
    <t>Owner EBITDA (Adj EBITDA - SBC)</t>
  </si>
  <si>
    <t>D&amp;A</t>
  </si>
  <si>
    <t>EBIT</t>
  </si>
  <si>
    <t>NOPAT (EBIT x (1-tax))</t>
  </si>
  <si>
    <t>Capex</t>
  </si>
  <si>
    <t>Working Capital (capture x delta Revenue)</t>
  </si>
  <si>
    <t>Owner FCF (NOPAT + D&amp;A - Capex - WC)</t>
  </si>
  <si>
    <t>Shares Outstanding (M)</t>
  </si>
  <si>
    <t>Discount Factor</t>
  </si>
  <si>
    <t>PV of Owner FCF</t>
  </si>
  <si>
    <t>VALUATION</t>
  </si>
  <si>
    <t>Sum of PV of FCF (Yrs 1-5)</t>
  </si>
  <si>
    <t>Terminal FCF (Year 5 x (1+g))</t>
  </si>
  <si>
    <t>Terminal Value (Gordon Growth)</t>
  </si>
  <si>
    <t>Terminal Value (20x Cap)</t>
  </si>
  <si>
    <t>Terminal Value (lower of the two)</t>
  </si>
  <si>
    <t>PV of Terminal Value</t>
  </si>
  <si>
    <t>Enterprise Value</t>
  </si>
  <si>
    <t>Less: Net Debt (negative = net cash added)</t>
  </si>
  <si>
    <t>Equity Value</t>
  </si>
  <si>
    <t>INTRINSIC VALUE / ORDINARY SHARE (EUR)</t>
  </si>
  <si>
    <t>EURUSD rate (for ADR conversion)</t>
  </si>
  <si>
    <t>Intrinsic Value / ADR (USD) = IV x EURUSD / 100</t>
  </si>
  <si>
    <t>ENTRY PRICE (15% IRR Target)</t>
  </si>
  <si>
    <t>PV of Yrs 1-5 FCF @15%</t>
  </si>
  <si>
    <t>PV of Terminal Value @15%</t>
  </si>
  <si>
    <t>Less: Net Debt</t>
  </si>
  <si>
    <t>Entry Price (15% CAGR), EUR/ordinary share</t>
  </si>
  <si>
    <t>Upside to Intrinsic Value</t>
  </si>
  <si>
    <t>Upside to Entry Price</t>
  </si>
  <si>
    <t>Current EV / Owner FCF (x)</t>
  </si>
  <si>
    <t>Sensitivity Analysis (Base Case)</t>
  </si>
  <si>
    <t>Intrinsic Value per Ordinary Share (EUR) by WACC &amp; Terminal Growth</t>
  </si>
  <si>
    <t>WACC \ Term G</t>
  </si>
  <si>
    <t>Note: cap of 20x terminal FCF binds at low WACC / high terminal growth (matches DCF JSON matrix).</t>
  </si>
  <si>
    <t>Historical Growth Rates</t>
  </si>
  <si>
    <t>Metric</t>
  </si>
  <si>
    <t>3-Year CAGR</t>
  </si>
  <si>
    <t>5-Year CAGR</t>
  </si>
  <si>
    <t>EPS</t>
  </si>
  <si>
    <t>Equity (Book Value)</t>
  </si>
  <si>
    <t>Owner FCF (SBC + interest adj.)</t>
  </si>
  <si>
    <t>Reported FCF (company definition)</t>
  </si>
  <si>
    <t>Selected Growth Rate:</t>
  </si>
  <si>
    <t>Source:</t>
  </si>
  <si>
    <t>revenue_3yr_cagr (net revenue), used as the historical anchor but NOT extrapolated flat -- Year-1 base case growth is set below this (18%) to reflect the FY2026 guidance context, Q1-2026 deceleration, FX headwind and June-2026 pricing revision documented in notes.growth_deceleration_context</t>
  </si>
  <si>
    <t>Growth Divergence Warning:</t>
  </si>
  <si>
    <t>Shareholders'-equity CAGR (~30% 3yr / ~34% 5yr) is materially higher than net-revenue CAGR (~21% 3yr / ~28% 5yr). This divergence is an artifact of 100% earnings retention (Adyen pays no dividends and conducts no buybacks), not superior underlying unit economics -- do not use equity CAGR as the growth anchor for a company with a purely additive retention effect.</t>
  </si>
  <si>
    <t>Owner-FCF vs Reported-FCF CAGR gap note:</t>
  </si>
  <si>
    <t>The SBC-adjusted (owner) FCF CAGR (10.7% 3yr / 18.1% 5yr) is MATERIALLY BELOW the reported FCF CAGR (21.2% 3yr / 25.6% 5yr). This gap is driven mostly by the 'Finance income' strip (own-cash interest income spiked from EUR29.3m in FY2022 to EUR246-350m in FY2023-2025 as rates rose, a rate-cycle windfall, not operating performance) rather than by SBC alone (SBC is genuinely small for Adyen, ~1.8% of FY2025 net revenue). Reported FCF growth therefore significantly overstates the growth of Adyen's core operating cash generation; owner FCF is the correct base for the DCF. (This historical series uses actual reported working-capital movements embedded in reported_fcf, not the forward wc_capture proxy used in projections.)</t>
  </si>
  <si>
    <t>FCF Quality: Reported vs Owner FCF Reconciliation</t>
  </si>
  <si>
    <t>All figures EUR millions unless noted. FY-end basis.</t>
  </si>
  <si>
    <t>FY2020</t>
  </si>
  <si>
    <t>FY2021</t>
  </si>
  <si>
    <t>FY2022</t>
  </si>
  <si>
    <t>FY2023</t>
  </si>
  <si>
    <t>FY2024</t>
  </si>
  <si>
    <t>FY2025</t>
  </si>
  <si>
    <t>Reported FCF (EBITDA - Capex, company def.)</t>
  </si>
  <si>
    <t>Less: Stock-Based Compensation</t>
  </si>
  <si>
    <t>Less: Finance Income (own-cash interest)</t>
  </si>
  <si>
    <t>Reported FCF Margin (%)</t>
  </si>
  <si>
    <t>Owner FCF Margin (%)</t>
  </si>
  <si>
    <t>Memo: Finance income as % of Reported FCF</t>
  </si>
  <si>
    <t>Note</t>
  </si>
  <si>
    <t>Finance income (interest on Adyen's OWN cash/float, NOT the embedded-finance 'Net interest income' line already inside Net Revenue) spiked from EUR29.3m (FY2022) to EUR246-350m (FY2023-2025) purely from the global rate-hiking cycle, not operating performance. It is stripped from owner FCF because the same own-cash pile is separately added back to enterprise value via the net-cash bridge -- leaving it in FCF would double-count the cash. SBC is genuinely small for Adyen (~1.8% of FY2025 net revenue) versus US tech peers, but is charged in full since Adyen conducts zero buybacks (100% earnings retention) so all of it is uncovered dilution.</t>
  </si>
  <si>
    <t>Model Provenance &amp; Methodology</t>
  </si>
  <si>
    <t>Ticker</t>
  </si>
  <si>
    <t>ADYEN.AS (Euronext Amsterdam ordinary listing; ADR ADYEY = 1/100th ordinary share)</t>
  </si>
  <si>
    <t>Built by</t>
  </si>
  <si>
    <t>Claude Code DCF valuation agent</t>
  </si>
  <si>
    <t>Valuation date</t>
  </si>
  <si>
    <t>2026-08-09</t>
  </si>
  <si>
    <t>Share price used</t>
  </si>
  <si>
    <t>EUR930.3 (Yahoo Finance ADYEN.AS, verified 2026-08-09; cross-checked against ADYEY $10.70 ADR price at EURUSD 1.1562)</t>
  </si>
  <si>
    <t>Data vintage</t>
  </si>
  <si>
    <t>FY2025 Annual Report (ADYEN.AS_Annual_FY2025.txt), Q1-2026 Business Update, and ADYEN.AS_Analysis.json dated 2026-08-09. H1 2026 Shareholder Letter was due 2026-08-13 (AFTER this valuation date) -- refresh this model once that prints.</t>
  </si>
  <si>
    <t>Currency/units</t>
  </si>
  <si>
    <t>EUR millions, per-ordinary-share EUR. ADR (USD) conversion = EUR value x EURUSD / 100.</t>
  </si>
  <si>
    <t>Net cash methodology</t>
  </si>
  <si>
    <t>Balance-sheet cash (EUR10,797.4m FY2025) is overwhelmingly merchant settlement float, NOT shareholder capital. Own cash = Cash - Payables to merchants + Receivables from merchants/FI = EUR4,987.6m; Net cash = Own cash - Lease liabilities (EUR252.4m) = EUR4,735.2m. See DCF JSON notes.net_cash_derivation.</t>
  </si>
  <si>
    <t>Interest income treatment</t>
  </si>
  <si>
    <t>Two distinct lines: 'Net interest income' (embedded-finance product interest, stays inside Net Revenue, NOT stripped) vs 'Finance income' (interest on Adyen's own cash/float, stripped from owner FCF to avoid double-counting with the net-cash EV bridge add-back). See DCF JSON notes.interest_income_treatment.</t>
  </si>
  <si>
    <t>SBC treatment</t>
  </si>
  <si>
    <t>Adyen conducts ZERO share buybacks and pays ZERO dividends (100% earnings retention), so 100% of SBC is uncovered dilution. Share count projected to grow at the OBSERVED historical dilution rate (~0.65%/yr, from 30.5m FY2020 to 31.5m FY2025), not from a fresh estimate of gross grants.</t>
  </si>
  <si>
    <t>FCF margin build</t>
  </si>
  <si>
    <t>Component-built per Step 1c: Adj. EBITDA (% of Net Revenue, ramping toward the 2028 55%+ target) - SBC (declining % of revenue) - D&amp;A (% of revenue) = EBIT x (1 - ramping cash tax rate) = NOPAT + D&amp;A - Capex (% of revenue, guided up to 5%) - Working Capital (5% capture of the CHANGE in Net Revenue, SUBTRACTED as a net use of cash -- see Working Capital Sign note below).</t>
  </si>
  <si>
    <t>Working Capital Sign (IMPORTANT)</t>
  </si>
  <si>
    <t>Working capital is SUBTRACTED in owner_fcf (nopat + d_and_a - capex - working_capital), not added. Adyen's FY2025 cash flow statement shows a growing net revenue base is a NET USE of cash (receivables from merchants/FI grow faster than payables to merchants: -EUR85.0m vs +EUR31.1m, net -EUR53.9m in FY2025), unlike a SaaS deferred-revenue business where growth is a source of cash. SBC is charged exactly ONCE, via EBIT = adj_EBITDA - SBC - D&amp;A, and must NEVER be added back after NOPAT -- a 2026-08-09 correction fixed a working-capital sign error (previously added rather than subtracted) that had inflated owner FCF by ~EUR35-45m/yr; see DCF JSON correction_log for the full trace.</t>
  </si>
  <si>
    <t>Horizon</t>
  </si>
  <si>
    <t>5-year explicit horizon. Owner-FCF margin is already fairly mature by Year 5 in the base case (34.8% -&gt; 36.8%, a ~2pp drift), so a 10-year build was not required.</t>
  </si>
  <si>
    <t>Growth anchor</t>
  </si>
  <si>
    <t>Net Revenue (NOT the blank Revenue column). Historical 3yr CAGR is 21.1%, but Year-1 base-case growth is set to 18% (below FY2026's 20-22% CC guidance) to reflect FX headwind, Q1-2026 Digital-pillar deceleration (+9% reported, slowest ever), and the June-2026 large-merchant pricing revision -- see notes.growth_deceleration_context in the JSON.</t>
  </si>
  <si>
    <t>Terminal value</t>
  </si>
  <si>
    <t>Lower of Gordon Growth and 20x terminal FCF cap. Gordon binds in all three scenarios at the assumed WACC/terminal-growth combinations; the cap only binds in the low-WACC/high-terminal-growth corner of the sensitivity table.</t>
  </si>
  <si>
    <t>Entry price</t>
  </si>
  <si>
    <t>15% IRR hurdle: PV of Yrs 1-5 owner FCF (discounted at 15%) + PV of the base-case Gordon terminal value (still computed at WACC, the fair exit price, then discounted back at 15%) + net cash, divided by Year-5 projected share count.</t>
  </si>
  <si>
    <t>Sanity check</t>
  </si>
  <si>
    <t>PASSED. Historical FY-end multiples (P/E, P/B, EV/EBITDA, P/S) computed from Yahoo 10y monthly closes; Adyen has DE-RATED CONTINUOUSLY since IPO (P/E 151x in 2018 -&gt; 37.2x at FY2025-end -&gt; ~25x today). The check is ONE-DIRECTIONAL (guards only against implying a valuation multiple ABOVE the cheapest ex-2020-21-outlier historical print); the corrected base case's implied 14.2x exit multiple sits below even that floor, so the model assumes continued de-rating, not re-rating.</t>
  </si>
  <si>
    <t>Refresh after</t>
  </si>
  <si>
    <t>H1 2026 Shareholder Letter (13-Aug-2026): net revenue growth vs 20-22% CC guidance, Digital pillar reacceleration/further deceleration, EBITDA margin trajectory toward 55%+ (2028 target), take-rate stability post the June-2026 pricing revision, and any further leadership changes (permanent CFO appointment).</t>
  </si>
  <si>
    <t>Cell color conventions</t>
  </si>
  <si>
    <t>Gray/blue-gray cells = editable inputs. White cells with borders = formulas (do not overwrite). Green cells = key output results (Intrinsic Value, Entry Price).</t>
  </si>
  <si>
    <t>Staleness warning</t>
  </si>
  <si>
    <t>All figures in this workbook go stale as new filings are published. Re-verify current_price, shares_outstanding, net_debt, and the FY2025 anchor revenue/FCF figures before relying on this model after any new earnings release.</t>
  </si>
</sst>
</file>

<file path=xl/styles.xml><?xml version="1.0" encoding="utf-8"?>
<styleSheet xmlns="http://schemas.openxmlformats.org/spreadsheetml/2006/main">
  <numFmts count="6">
    <numFmt numFmtId="164" formatCode="#,##0.00"/>
    <numFmt numFmtId="165" formatCode="#,##0.0"/>
    <numFmt numFmtId="166" formatCode="0.00%"/>
    <numFmt numFmtId="167" formatCode="&quot;€&quot;#,##0.00"/>
    <numFmt numFmtId="168" formatCode="0.0%"/>
    <numFmt numFmtId="169" formatCode="0.0&quot;x&quot;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5" fontId="0" fillId="0" borderId="2" xfId="0" applyNumberFormat="1" applyBorder="1"/>
    <xf numFmtId="166" fontId="0" fillId="2" borderId="2" xfId="0" applyNumberFormat="1" applyFill="1" applyBorder="1"/>
    <xf numFmtId="0" fontId="4" fillId="3" borderId="2" xfId="0" applyFont="1" applyFill="1" applyBorder="1"/>
    <xf numFmtId="0" fontId="5" fillId="0" borderId="0" xfId="0" applyFont="1"/>
    <xf numFmtId="167" fontId="4" fillId="4" borderId="2" xfId="0" applyNumberFormat="1" applyFont="1" applyFill="1" applyBorder="1"/>
    <xf numFmtId="167" fontId="0" fillId="0" borderId="2" xfId="0" applyNumberFormat="1" applyBorder="1"/>
    <xf numFmtId="168" fontId="0" fillId="0" borderId="2" xfId="0" applyNumberFormat="1" applyBorder="1"/>
    <xf numFmtId="169" fontId="0" fillId="0" borderId="2" xfId="0" applyNumberFormat="1" applyBorder="1"/>
    <xf numFmtId="166" fontId="4" fillId="3" borderId="0" xfId="0" applyNumberFormat="1" applyFont="1" applyFill="1"/>
    <xf numFmtId="168" fontId="4" fillId="3" borderId="0" xfId="0" applyNumberFormat="1" applyFont="1" applyFill="1"/>
    <xf numFmtId="0" fontId="0" fillId="0" borderId="2" xfId="0" applyBorder="1" applyAlignment="1">
      <alignment vertical="top" wrapText="1"/>
    </xf>
    <xf numFmtId="165" fontId="5" fillId="2" borderId="2" xfId="0" applyNumberFormat="1" applyFont="1" applyFill="1" applyBorder="1"/>
    <xf numFmtId="0" fontId="5" fillId="0" borderId="2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67"/>
  <sheetViews>
    <sheetView tabSelected="1" workbookViewId="0"/>
  </sheetViews>
  <sheetFormatPr defaultRowHeight="15"/>
  <cols>
    <col min="1" max="1" width="34.7109375" customWidth="1"/>
    <col min="2" max="8" width="14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>
      <c r="A5" t="s">
        <v>3</v>
      </c>
      <c r="B5" s="4">
        <v>930.3</v>
      </c>
    </row>
    <row r="6" spans="1:2">
      <c r="A6" t="s">
        <v>4</v>
      </c>
      <c r="B6" s="4">
        <v>2364.2</v>
      </c>
    </row>
    <row r="7" spans="1:2">
      <c r="A7" t="s">
        <v>5</v>
      </c>
      <c r="B7" s="4">
        <v>31.5</v>
      </c>
    </row>
    <row r="8" spans="1:2">
      <c r="A8" t="s">
        <v>6</v>
      </c>
      <c r="B8" s="4">
        <v>4735.2</v>
      </c>
    </row>
    <row r="9" spans="1:2">
      <c r="A9" t="s">
        <v>7</v>
      </c>
      <c r="B9" s="4">
        <v>0</v>
      </c>
    </row>
    <row r="10" spans="1:2">
      <c r="A10" t="s">
        <v>8</v>
      </c>
      <c r="B10" s="5">
        <f>B9-B8</f>
        <v>0</v>
      </c>
    </row>
    <row r="11" spans="1:2">
      <c r="A11" t="s">
        <v>9</v>
      </c>
      <c r="B11" s="4">
        <v>1081.3</v>
      </c>
    </row>
    <row r="12" spans="1:2">
      <c r="A12" t="s">
        <v>10</v>
      </c>
      <c r="B12" s="4">
        <v>43.457</v>
      </c>
    </row>
    <row r="13" spans="1:2">
      <c r="A13" t="s">
        <v>11</v>
      </c>
      <c r="B13" s="4">
        <v>267.55</v>
      </c>
    </row>
    <row r="14" spans="1:2">
      <c r="A14" t="s">
        <v>12</v>
      </c>
      <c r="B14" s="5">
        <f>B11-B12-B13</f>
        <v>0</v>
      </c>
    </row>
    <row r="15" spans="1:2">
      <c r="A15" t="s">
        <v>13</v>
      </c>
      <c r="B15" s="6">
        <v>0.00647</v>
      </c>
    </row>
    <row r="16" spans="1:2">
      <c r="A16" t="s">
        <v>14</v>
      </c>
      <c r="B16" s="6">
        <v>0.1</v>
      </c>
    </row>
    <row r="17" spans="1:6">
      <c r="A17" t="s">
        <v>15</v>
      </c>
      <c r="B17" s="6">
        <v>0.0275</v>
      </c>
    </row>
    <row r="19" spans="1:6">
      <c r="A19" s="3" t="s">
        <v>16</v>
      </c>
    </row>
    <row r="20" spans="1:6">
      <c r="B20" s="7" t="s">
        <v>17</v>
      </c>
      <c r="C20" s="7" t="s">
        <v>18</v>
      </c>
      <c r="D20" s="7" t="s">
        <v>19</v>
      </c>
      <c r="E20" s="7" t="s">
        <v>20</v>
      </c>
      <c r="F20" s="7" t="s">
        <v>21</v>
      </c>
    </row>
    <row r="21" spans="1:6">
      <c r="A21" t="s">
        <v>22</v>
      </c>
      <c r="B21" s="6">
        <v>0.18</v>
      </c>
      <c r="C21" s="6">
        <v>0.16</v>
      </c>
      <c r="D21" s="6">
        <v>0.14</v>
      </c>
      <c r="E21" s="6">
        <v>0.12</v>
      </c>
      <c r="F21" s="6">
        <v>0.1</v>
      </c>
    </row>
    <row r="22" spans="1:6">
      <c r="A22" t="s">
        <v>23</v>
      </c>
      <c r="B22" s="6">
        <v>0.535</v>
      </c>
      <c r="C22" s="6">
        <v>0.545</v>
      </c>
      <c r="D22" s="6">
        <v>0.555</v>
      </c>
      <c r="E22" s="6">
        <v>0.5600000000000001</v>
      </c>
      <c r="F22" s="6">
        <v>0.5649999999999999</v>
      </c>
    </row>
    <row r="23" spans="1:6">
      <c r="A23" t="s">
        <v>24</v>
      </c>
      <c r="B23" s="6">
        <v>0.018</v>
      </c>
      <c r="C23" s="6">
        <v>0.017</v>
      </c>
      <c r="D23" s="6">
        <v>0.016</v>
      </c>
      <c r="E23" s="6">
        <v>0.015</v>
      </c>
      <c r="F23" s="6">
        <v>0.014</v>
      </c>
    </row>
    <row r="24" spans="1:6">
      <c r="A24" t="s">
        <v>25</v>
      </c>
      <c r="B24" s="6">
        <v>0.055</v>
      </c>
      <c r="C24" s="6">
        <v>0.055</v>
      </c>
      <c r="D24" s="6">
        <v>0.055</v>
      </c>
      <c r="E24" s="6">
        <v>0.055</v>
      </c>
      <c r="F24" s="6">
        <v>0.055</v>
      </c>
    </row>
    <row r="25" spans="1:6">
      <c r="A25" t="s">
        <v>26</v>
      </c>
      <c r="B25" s="6">
        <v>0.05</v>
      </c>
      <c r="C25" s="6">
        <v>0.05</v>
      </c>
      <c r="D25" s="6">
        <v>0.05</v>
      </c>
      <c r="E25" s="6">
        <v>0.05</v>
      </c>
      <c r="F25" s="6">
        <v>0.05</v>
      </c>
    </row>
    <row r="26" spans="1:6">
      <c r="A26" t="s">
        <v>27</v>
      </c>
      <c r="B26" s="6">
        <v>0.24</v>
      </c>
      <c r="C26" s="6">
        <v>0.245</v>
      </c>
      <c r="D26" s="6">
        <v>0.25</v>
      </c>
      <c r="E26" s="6">
        <v>0.255</v>
      </c>
      <c r="F26" s="6">
        <v>0.258</v>
      </c>
    </row>
    <row r="27" spans="1:6">
      <c r="A27" t="s">
        <v>28</v>
      </c>
      <c r="B27" s="6">
        <v>0.05</v>
      </c>
      <c r="C27" s="6">
        <v>0.05</v>
      </c>
      <c r="D27" s="6">
        <v>0.05</v>
      </c>
      <c r="E27" s="6">
        <v>0.05</v>
      </c>
      <c r="F27" s="6">
        <v>0.05</v>
      </c>
    </row>
    <row r="29" spans="1:6">
      <c r="A29" s="3" t="s">
        <v>29</v>
      </c>
    </row>
    <row r="30" spans="1:6">
      <c r="B30" s="7" t="s">
        <v>30</v>
      </c>
      <c r="C30" s="7" t="s">
        <v>31</v>
      </c>
      <c r="D30" s="7" t="s">
        <v>32</v>
      </c>
      <c r="E30" s="7" t="s">
        <v>33</v>
      </c>
      <c r="F30" s="7" t="s">
        <v>34</v>
      </c>
    </row>
    <row r="31" spans="1:6">
      <c r="A31" t="s">
        <v>35</v>
      </c>
      <c r="B31" s="5">
        <f>$B$6*(1+B21)</f>
        <v>0</v>
      </c>
      <c r="C31" s="5">
        <f>B31*(1+C21)</f>
        <v>0</v>
      </c>
      <c r="D31" s="5">
        <f>C31*(1+D21)</f>
        <v>0</v>
      </c>
      <c r="E31" s="5">
        <f>D31*(1+E21)</f>
        <v>0</v>
      </c>
      <c r="F31" s="5">
        <f>E31*(1+F21)</f>
        <v>0</v>
      </c>
    </row>
    <row r="32" spans="1:6">
      <c r="A32" t="s">
        <v>36</v>
      </c>
      <c r="B32" s="5">
        <f>B31*B22</f>
        <v>0</v>
      </c>
      <c r="C32" s="5">
        <f>C31*C22</f>
        <v>0</v>
      </c>
      <c r="D32" s="5">
        <f>D31*D22</f>
        <v>0</v>
      </c>
      <c r="E32" s="5">
        <f>E31*E22</f>
        <v>0</v>
      </c>
      <c r="F32" s="5">
        <f>F31*F22</f>
        <v>0</v>
      </c>
    </row>
    <row r="33" spans="1:6">
      <c r="A33" t="s">
        <v>37</v>
      </c>
      <c r="B33" s="5">
        <f>B31*B23</f>
        <v>0</v>
      </c>
      <c r="C33" s="5">
        <f>C31*C23</f>
        <v>0</v>
      </c>
      <c r="D33" s="5">
        <f>D31*D23</f>
        <v>0</v>
      </c>
      <c r="E33" s="5">
        <f>E31*E23</f>
        <v>0</v>
      </c>
      <c r="F33" s="5">
        <f>F31*F23</f>
        <v>0</v>
      </c>
    </row>
    <row r="34" spans="1:6">
      <c r="A34" t="s">
        <v>38</v>
      </c>
      <c r="B34" s="5">
        <f>B32-B33</f>
        <v>0</v>
      </c>
      <c r="C34" s="5">
        <f>C32-C33</f>
        <v>0</v>
      </c>
      <c r="D34" s="5">
        <f>D32-D33</f>
        <v>0</v>
      </c>
      <c r="E34" s="5">
        <f>E32-E33</f>
        <v>0</v>
      </c>
      <c r="F34" s="5">
        <f>F32-F33</f>
        <v>0</v>
      </c>
    </row>
    <row r="35" spans="1:6">
      <c r="A35" t="s">
        <v>39</v>
      </c>
      <c r="B35" s="5">
        <f>B31*B24</f>
        <v>0</v>
      </c>
      <c r="C35" s="5">
        <f>C31*C24</f>
        <v>0</v>
      </c>
      <c r="D35" s="5">
        <f>D31*D24</f>
        <v>0</v>
      </c>
      <c r="E35" s="5">
        <f>E31*E24</f>
        <v>0</v>
      </c>
      <c r="F35" s="5">
        <f>F31*F24</f>
        <v>0</v>
      </c>
    </row>
    <row r="36" spans="1:6">
      <c r="A36" t="s">
        <v>40</v>
      </c>
      <c r="B36" s="5">
        <f>B34-B35</f>
        <v>0</v>
      </c>
      <c r="C36" s="5">
        <f>C34-C35</f>
        <v>0</v>
      </c>
      <c r="D36" s="5">
        <f>D34-D35</f>
        <v>0</v>
      </c>
      <c r="E36" s="5">
        <f>E34-E35</f>
        <v>0</v>
      </c>
      <c r="F36" s="5">
        <f>F34-F35</f>
        <v>0</v>
      </c>
    </row>
    <row r="37" spans="1:6">
      <c r="A37" t="s">
        <v>41</v>
      </c>
      <c r="B37" s="5">
        <f>B36*(1-B26)</f>
        <v>0</v>
      </c>
      <c r="C37" s="5">
        <f>C36*(1-C26)</f>
        <v>0</v>
      </c>
      <c r="D37" s="5">
        <f>D36*(1-D26)</f>
        <v>0</v>
      </c>
      <c r="E37" s="5">
        <f>E36*(1-E26)</f>
        <v>0</v>
      </c>
      <c r="F37" s="5">
        <f>F36*(1-F26)</f>
        <v>0</v>
      </c>
    </row>
    <row r="38" spans="1:6">
      <c r="A38" t="s">
        <v>42</v>
      </c>
      <c r="B38" s="5">
        <f>B31*B25</f>
        <v>0</v>
      </c>
      <c r="C38" s="5">
        <f>C31*C25</f>
        <v>0</v>
      </c>
      <c r="D38" s="5">
        <f>D31*D25</f>
        <v>0</v>
      </c>
      <c r="E38" s="5">
        <f>E31*E25</f>
        <v>0</v>
      </c>
      <c r="F38" s="5">
        <f>F31*F25</f>
        <v>0</v>
      </c>
    </row>
    <row r="39" spans="1:6">
      <c r="A39" t="s">
        <v>43</v>
      </c>
      <c r="B39" s="5">
        <f>B27*(B31-$B$6)</f>
        <v>0</v>
      </c>
      <c r="C39" s="5">
        <f>C27*(C31-B31)</f>
        <v>0</v>
      </c>
      <c r="D39" s="5">
        <f>D27*(D31-C31)</f>
        <v>0</v>
      </c>
      <c r="E39" s="5">
        <f>E27*(E31-D31)</f>
        <v>0</v>
      </c>
      <c r="F39" s="5">
        <f>F27*(F31-E31)</f>
        <v>0</v>
      </c>
    </row>
    <row r="40" spans="1:6">
      <c r="A40" t="s">
        <v>44</v>
      </c>
      <c r="B40" s="5">
        <f>B37+B35-B38-B39</f>
        <v>0</v>
      </c>
      <c r="C40" s="5">
        <f>C37+C35-C38-C39</f>
        <v>0</v>
      </c>
      <c r="D40" s="5">
        <f>D37+D35-D38-D39</f>
        <v>0</v>
      </c>
      <c r="E40" s="5">
        <f>E37+E35-E38-E39</f>
        <v>0</v>
      </c>
      <c r="F40" s="5">
        <f>F37+F35-F38-F39</f>
        <v>0</v>
      </c>
    </row>
    <row r="41" spans="1:6">
      <c r="A41" t="s">
        <v>45</v>
      </c>
      <c r="B41" s="5">
        <f>$B$7*(1+$B$15)</f>
        <v>0</v>
      </c>
      <c r="C41" s="5">
        <f>B41*(1+$B$15)</f>
        <v>0</v>
      </c>
      <c r="D41" s="5">
        <f>C41*(1+$B$15)</f>
        <v>0</v>
      </c>
      <c r="E41" s="5">
        <f>D41*(1+$B$15)</f>
        <v>0</v>
      </c>
      <c r="F41" s="5">
        <f>E41*(1+$B$15)</f>
        <v>0</v>
      </c>
    </row>
    <row r="42" spans="1:6">
      <c r="A42" t="s">
        <v>46</v>
      </c>
      <c r="B42" s="5">
        <f>1/(1+$B$16)^1</f>
        <v>0</v>
      </c>
      <c r="C42" s="5">
        <f>1/(1+$B$16)^2</f>
        <v>0</v>
      </c>
      <c r="D42" s="5">
        <f>1/(1+$B$16)^3</f>
        <v>0</v>
      </c>
      <c r="E42" s="5">
        <f>1/(1+$B$16)^4</f>
        <v>0</v>
      </c>
      <c r="F42" s="5">
        <f>1/(1+$B$16)^5</f>
        <v>0</v>
      </c>
    </row>
    <row r="43" spans="1:6">
      <c r="A43" t="s">
        <v>47</v>
      </c>
      <c r="B43" s="5">
        <f>B40*B42</f>
        <v>0</v>
      </c>
      <c r="C43" s="5">
        <f>C40*C42</f>
        <v>0</v>
      </c>
      <c r="D43" s="5">
        <f>D40*D42</f>
        <v>0</v>
      </c>
      <c r="E43" s="5">
        <f>E40*E42</f>
        <v>0</v>
      </c>
      <c r="F43" s="5">
        <f>F40*F42</f>
        <v>0</v>
      </c>
    </row>
    <row r="45" spans="1:6">
      <c r="A45" s="3" t="s">
        <v>48</v>
      </c>
    </row>
    <row r="46" spans="1:6">
      <c r="A46" t="s">
        <v>49</v>
      </c>
      <c r="B46" s="5">
        <f>SUM(B43:F43)</f>
        <v>0</v>
      </c>
    </row>
    <row r="47" spans="1:6">
      <c r="A47" t="s">
        <v>50</v>
      </c>
      <c r="B47" s="5">
        <f>F40*(1+$B$17)</f>
        <v>0</v>
      </c>
    </row>
    <row r="48" spans="1:6">
      <c r="A48" t="s">
        <v>51</v>
      </c>
      <c r="B48" s="5">
        <f>B47/($B$16-$B$17)</f>
        <v>0</v>
      </c>
    </row>
    <row r="49" spans="1:2">
      <c r="A49" t="s">
        <v>52</v>
      </c>
      <c r="B49" s="5">
        <f>20*F40</f>
        <v>0</v>
      </c>
    </row>
    <row r="50" spans="1:2">
      <c r="A50" t="s">
        <v>53</v>
      </c>
      <c r="B50" s="5">
        <f>MIN(B48,B49)</f>
        <v>0</v>
      </c>
    </row>
    <row r="51" spans="1:2">
      <c r="A51" t="s">
        <v>54</v>
      </c>
      <c r="B51" s="5">
        <f>B50*F42</f>
        <v>0</v>
      </c>
    </row>
    <row r="52" spans="1:2">
      <c r="A52" t="s">
        <v>55</v>
      </c>
      <c r="B52" s="5">
        <f>B46+B51</f>
        <v>0</v>
      </c>
    </row>
    <row r="53" spans="1:2">
      <c r="A53" t="s">
        <v>56</v>
      </c>
      <c r="B53" s="5">
        <f>B10</f>
        <v>0</v>
      </c>
    </row>
    <row r="54" spans="1:2">
      <c r="A54" t="s">
        <v>57</v>
      </c>
      <c r="B54" s="5">
        <f>B52-B53</f>
        <v>0</v>
      </c>
    </row>
    <row r="55" spans="1:2">
      <c r="A55" s="8" t="s">
        <v>58</v>
      </c>
      <c r="B55" s="9">
        <f>B54/F41</f>
        <v>0</v>
      </c>
    </row>
    <row r="56" spans="1:2">
      <c r="A56" t="s">
        <v>59</v>
      </c>
      <c r="B56" s="4">
        <v>1.1562</v>
      </c>
    </row>
    <row r="57" spans="1:2">
      <c r="A57" t="s">
        <v>60</v>
      </c>
      <c r="B57" s="10">
        <f>B55*B56/100</f>
        <v>0</v>
      </c>
    </row>
    <row r="59" spans="1:2">
      <c r="A59" s="3" t="s">
        <v>61</v>
      </c>
    </row>
    <row r="60" spans="1:2">
      <c r="A60" t="s">
        <v>62</v>
      </c>
      <c r="B60" s="5">
        <f>NPV(0.15,B40:F40)</f>
        <v>0</v>
      </c>
    </row>
    <row r="61" spans="1:2">
      <c r="A61" t="s">
        <v>63</v>
      </c>
      <c r="B61" s="5">
        <f>B50/(1.15^5)</f>
        <v>0</v>
      </c>
    </row>
    <row r="62" spans="1:2">
      <c r="A62" t="s">
        <v>64</v>
      </c>
      <c r="B62" s="5">
        <f>B10</f>
        <v>0</v>
      </c>
    </row>
    <row r="63" spans="1:2">
      <c r="A63" t="s">
        <v>65</v>
      </c>
      <c r="B63" s="9">
        <f>(B60+B61-B62)/F41</f>
        <v>0</v>
      </c>
    </row>
    <row r="65" spans="1:2">
      <c r="A65" t="s">
        <v>66</v>
      </c>
      <c r="B65" s="11">
        <f>(B55-B5)/B5</f>
        <v>0</v>
      </c>
    </row>
    <row r="66" spans="1:2">
      <c r="A66" t="s">
        <v>67</v>
      </c>
      <c r="B66" s="11">
        <f>(B5-B63)/B5</f>
        <v>0</v>
      </c>
    </row>
    <row r="67" spans="1:2">
      <c r="A67" t="s">
        <v>68</v>
      </c>
      <c r="B67" s="12">
        <f>(B5*B7-B10)/B14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69</v>
      </c>
    </row>
    <row r="2" spans="1:6">
      <c r="A2" t="s">
        <v>70</v>
      </c>
    </row>
    <row r="4" spans="1:6">
      <c r="A4" s="7" t="s">
        <v>71</v>
      </c>
      <c r="B4" s="13">
        <v>0.0175</v>
      </c>
      <c r="C4" s="13">
        <v>0.0225</v>
      </c>
      <c r="D4" s="13">
        <v>0.0275</v>
      </c>
      <c r="E4" s="13">
        <v>0.0325</v>
      </c>
      <c r="F4" s="13">
        <v>0.0375</v>
      </c>
    </row>
    <row r="5" spans="1:6">
      <c r="A5" s="14">
        <v>0.08</v>
      </c>
      <c r="B5" s="10">
        <f>(MIN('DCF Model'!$F$40*(1+0.0175)/(0.08-0.0175), 20*'DCF Model'!$F$40)/(1+0.08)^5+'DCF Model'!$B$40/(1+0.08)^1+'DCF Model'!$C$40/(1+0.08)^2+'DCF Model'!$D$40/(1+0.08)^3+'DCF Model'!$E$40/(1+0.08)^4+'DCF Model'!$F$40/(1+0.08)^5-'DCF Model'!$B$10)/'DCF Model'!$F$41</f>
        <v>0</v>
      </c>
      <c r="C5" s="10">
        <f>(MIN('DCF Model'!$F$40*(1+0.0225)/(0.08-0.0225), 20*'DCF Model'!$F$40)/(1+0.08)^5+'DCF Model'!$B$40/(1+0.08)^1+'DCF Model'!$C$40/(1+0.08)^2+'DCF Model'!$D$40/(1+0.08)^3+'DCF Model'!$E$40/(1+0.08)^4+'DCF Model'!$F$40/(1+0.08)^5-'DCF Model'!$B$10)/'DCF Model'!$F$41</f>
        <v>0</v>
      </c>
      <c r="D5" s="10">
        <f>(MIN('DCF Model'!$F$40*(1+0.0275)/(0.08-0.0275), 20*'DCF Model'!$F$40)/(1+0.08)^5+'DCF Model'!$B$40/(1+0.08)^1+'DCF Model'!$C$40/(1+0.08)^2+'DCF Model'!$D$40/(1+0.08)^3+'DCF Model'!$E$40/(1+0.08)^4+'DCF Model'!$F$40/(1+0.08)^5-'DCF Model'!$B$10)/'DCF Model'!$F$41</f>
        <v>0</v>
      </c>
      <c r="E5" s="10">
        <f>(MIN('DCF Model'!$F$40*(1+0.0325)/(0.08-0.0325), 20*'DCF Model'!$F$40)/(1+0.08)^5+'DCF Model'!$B$40/(1+0.08)^1+'DCF Model'!$C$40/(1+0.08)^2+'DCF Model'!$D$40/(1+0.08)^3+'DCF Model'!$E$40/(1+0.08)^4+'DCF Model'!$F$40/(1+0.08)^5-'DCF Model'!$B$10)/'DCF Model'!$F$41</f>
        <v>0</v>
      </c>
      <c r="F5" s="10">
        <f>(MIN('DCF Model'!$F$40*(1+0.0375)/(0.08-0.0375), 20*'DCF Model'!$F$40)/(1+0.08)^5+'DCF Model'!$B$40/(1+0.08)^1+'DCF Model'!$C$40/(1+0.08)^2+'DCF Model'!$D$40/(1+0.08)^3+'DCF Model'!$E$40/(1+0.08)^4+'DCF Model'!$F$40/(1+0.08)^5-'DCF Model'!$B$10)/'DCF Model'!$F$41</f>
        <v>0</v>
      </c>
    </row>
    <row r="6" spans="1:6">
      <c r="A6" s="14">
        <v>0.09</v>
      </c>
      <c r="B6" s="10">
        <f>(MIN('DCF Model'!$F$40*(1+0.0175)/(0.09-0.0175), 20*'DCF Model'!$F$40)/(1+0.09)^5+'DCF Model'!$B$40/(1+0.09)^1+'DCF Model'!$C$40/(1+0.09)^2+'DCF Model'!$D$40/(1+0.09)^3+'DCF Model'!$E$40/(1+0.09)^4+'DCF Model'!$F$40/(1+0.09)^5-'DCF Model'!$B$10)/'DCF Model'!$F$41</f>
        <v>0</v>
      </c>
      <c r="C6" s="10">
        <f>(MIN('DCF Model'!$F$40*(1+0.0225)/(0.09-0.0225), 20*'DCF Model'!$F$40)/(1+0.09)^5+'DCF Model'!$B$40/(1+0.09)^1+'DCF Model'!$C$40/(1+0.09)^2+'DCF Model'!$D$40/(1+0.09)^3+'DCF Model'!$E$40/(1+0.09)^4+'DCF Model'!$F$40/(1+0.09)^5-'DCF Model'!$B$10)/'DCF Model'!$F$41</f>
        <v>0</v>
      </c>
      <c r="D6" s="10">
        <f>(MIN('DCF Model'!$F$40*(1+0.0275)/(0.09-0.0275), 20*'DCF Model'!$F$40)/(1+0.09)^5+'DCF Model'!$B$40/(1+0.09)^1+'DCF Model'!$C$40/(1+0.09)^2+'DCF Model'!$D$40/(1+0.09)^3+'DCF Model'!$E$40/(1+0.09)^4+'DCF Model'!$F$40/(1+0.09)^5-'DCF Model'!$B$10)/'DCF Model'!$F$41</f>
        <v>0</v>
      </c>
      <c r="E6" s="10">
        <f>(MIN('DCF Model'!$F$40*(1+0.0325)/(0.09-0.0325), 20*'DCF Model'!$F$40)/(1+0.09)^5+'DCF Model'!$B$40/(1+0.09)^1+'DCF Model'!$C$40/(1+0.09)^2+'DCF Model'!$D$40/(1+0.09)^3+'DCF Model'!$E$40/(1+0.09)^4+'DCF Model'!$F$40/(1+0.09)^5-'DCF Model'!$B$10)/'DCF Model'!$F$41</f>
        <v>0</v>
      </c>
      <c r="F6" s="10">
        <f>(MIN('DCF Model'!$F$40*(1+0.0375)/(0.09-0.0375), 20*'DCF Model'!$F$40)/(1+0.09)^5+'DCF Model'!$B$40/(1+0.09)^1+'DCF Model'!$C$40/(1+0.09)^2+'DCF Model'!$D$40/(1+0.09)^3+'DCF Model'!$E$40/(1+0.09)^4+'DCF Model'!$F$40/(1+0.09)^5-'DCF Model'!$B$10)/'DCF Model'!$F$41</f>
        <v>0</v>
      </c>
    </row>
    <row r="7" spans="1:6">
      <c r="A7" s="14">
        <v>0.1</v>
      </c>
      <c r="B7" s="10">
        <f>(MIN('DCF Model'!$F$40*(1+0.0175)/(0.1-0.0175), 20*'DCF Model'!$F$40)/(1+0.1)^5+'DCF Model'!$B$40/(1+0.1)^1+'DCF Model'!$C$40/(1+0.1)^2+'DCF Model'!$D$40/(1+0.1)^3+'DCF Model'!$E$40/(1+0.1)^4+'DCF Model'!$F$40/(1+0.1)^5-'DCF Model'!$B$10)/'DCF Model'!$F$41</f>
        <v>0</v>
      </c>
      <c r="C7" s="10">
        <f>(MIN('DCF Model'!$F$40*(1+0.0225)/(0.1-0.0225), 20*'DCF Model'!$F$40)/(1+0.1)^5+'DCF Model'!$B$40/(1+0.1)^1+'DCF Model'!$C$40/(1+0.1)^2+'DCF Model'!$D$40/(1+0.1)^3+'DCF Model'!$E$40/(1+0.1)^4+'DCF Model'!$F$40/(1+0.1)^5-'DCF Model'!$B$10)/'DCF Model'!$F$41</f>
        <v>0</v>
      </c>
      <c r="D7" s="10">
        <f>(MIN('DCF Model'!$F$40*(1+0.0275)/(0.1-0.0275), 20*'DCF Model'!$F$40)/(1+0.1)^5+'DCF Model'!$B$40/(1+0.1)^1+'DCF Model'!$C$40/(1+0.1)^2+'DCF Model'!$D$40/(1+0.1)^3+'DCF Model'!$E$40/(1+0.1)^4+'DCF Model'!$F$40/(1+0.1)^5-'DCF Model'!$B$10)/'DCF Model'!$F$41</f>
        <v>0</v>
      </c>
      <c r="E7" s="10">
        <f>(MIN('DCF Model'!$F$40*(1+0.0325)/(0.1-0.0325), 20*'DCF Model'!$F$40)/(1+0.1)^5+'DCF Model'!$B$40/(1+0.1)^1+'DCF Model'!$C$40/(1+0.1)^2+'DCF Model'!$D$40/(1+0.1)^3+'DCF Model'!$E$40/(1+0.1)^4+'DCF Model'!$F$40/(1+0.1)^5-'DCF Model'!$B$10)/'DCF Model'!$F$41</f>
        <v>0</v>
      </c>
      <c r="F7" s="10">
        <f>(MIN('DCF Model'!$F$40*(1+0.0375)/(0.1-0.0375), 20*'DCF Model'!$F$40)/(1+0.1)^5+'DCF Model'!$B$40/(1+0.1)^1+'DCF Model'!$C$40/(1+0.1)^2+'DCF Model'!$D$40/(1+0.1)^3+'DCF Model'!$E$40/(1+0.1)^4+'DCF Model'!$F$40/(1+0.1)^5-'DCF Model'!$B$10)/'DCF Model'!$F$41</f>
        <v>0</v>
      </c>
    </row>
    <row r="8" spans="1:6">
      <c r="A8" s="14">
        <v>0.11</v>
      </c>
      <c r="B8" s="10">
        <f>(MIN('DCF Model'!$F$40*(1+0.0175)/(0.11-0.0175), 20*'DCF Model'!$F$40)/(1+0.11)^5+'DCF Model'!$B$40/(1+0.11)^1+'DCF Model'!$C$40/(1+0.11)^2+'DCF Model'!$D$40/(1+0.11)^3+'DCF Model'!$E$40/(1+0.11)^4+'DCF Model'!$F$40/(1+0.11)^5-'DCF Model'!$B$10)/'DCF Model'!$F$41</f>
        <v>0</v>
      </c>
      <c r="C8" s="10">
        <f>(MIN('DCF Model'!$F$40*(1+0.0225)/(0.11-0.0225), 20*'DCF Model'!$F$40)/(1+0.11)^5+'DCF Model'!$B$40/(1+0.11)^1+'DCF Model'!$C$40/(1+0.11)^2+'DCF Model'!$D$40/(1+0.11)^3+'DCF Model'!$E$40/(1+0.11)^4+'DCF Model'!$F$40/(1+0.11)^5-'DCF Model'!$B$10)/'DCF Model'!$F$41</f>
        <v>0</v>
      </c>
      <c r="D8" s="10">
        <f>(MIN('DCF Model'!$F$40*(1+0.0275)/(0.11-0.0275), 20*'DCF Model'!$F$40)/(1+0.11)^5+'DCF Model'!$B$40/(1+0.11)^1+'DCF Model'!$C$40/(1+0.11)^2+'DCF Model'!$D$40/(1+0.11)^3+'DCF Model'!$E$40/(1+0.11)^4+'DCF Model'!$F$40/(1+0.11)^5-'DCF Model'!$B$10)/'DCF Model'!$F$41</f>
        <v>0</v>
      </c>
      <c r="E8" s="10">
        <f>(MIN('DCF Model'!$F$40*(1+0.0325)/(0.11-0.0325), 20*'DCF Model'!$F$40)/(1+0.11)^5+'DCF Model'!$B$40/(1+0.11)^1+'DCF Model'!$C$40/(1+0.11)^2+'DCF Model'!$D$40/(1+0.11)^3+'DCF Model'!$E$40/(1+0.11)^4+'DCF Model'!$F$40/(1+0.11)^5-'DCF Model'!$B$10)/'DCF Model'!$F$41</f>
        <v>0</v>
      </c>
      <c r="F8" s="10">
        <f>(MIN('DCF Model'!$F$40*(1+0.0375)/(0.11-0.0375), 20*'DCF Model'!$F$40)/(1+0.11)^5+'DCF Model'!$B$40/(1+0.11)^1+'DCF Model'!$C$40/(1+0.11)^2+'DCF Model'!$D$40/(1+0.11)^3+'DCF Model'!$E$40/(1+0.11)^4+'DCF Model'!$F$40/(1+0.11)^5-'DCF Model'!$B$10)/'DCF Model'!$F$41</f>
        <v>0</v>
      </c>
    </row>
    <row r="9" spans="1:6">
      <c r="A9" s="14">
        <v>0.12</v>
      </c>
      <c r="B9" s="10">
        <f>(MIN('DCF Model'!$F$40*(1+0.0175)/(0.12-0.0175), 20*'DCF Model'!$F$40)/(1+0.12)^5+'DCF Model'!$B$40/(1+0.12)^1+'DCF Model'!$C$40/(1+0.12)^2+'DCF Model'!$D$40/(1+0.12)^3+'DCF Model'!$E$40/(1+0.12)^4+'DCF Model'!$F$40/(1+0.12)^5-'DCF Model'!$B$10)/'DCF Model'!$F$41</f>
        <v>0</v>
      </c>
      <c r="C9" s="10">
        <f>(MIN('DCF Model'!$F$40*(1+0.0225)/(0.12-0.0225), 20*'DCF Model'!$F$40)/(1+0.12)^5+'DCF Model'!$B$40/(1+0.12)^1+'DCF Model'!$C$40/(1+0.12)^2+'DCF Model'!$D$40/(1+0.12)^3+'DCF Model'!$E$40/(1+0.12)^4+'DCF Model'!$F$40/(1+0.12)^5-'DCF Model'!$B$10)/'DCF Model'!$F$41</f>
        <v>0</v>
      </c>
      <c r="D9" s="10">
        <f>(MIN('DCF Model'!$F$40*(1+0.0275)/(0.12-0.0275), 20*'DCF Model'!$F$40)/(1+0.12)^5+'DCF Model'!$B$40/(1+0.12)^1+'DCF Model'!$C$40/(1+0.12)^2+'DCF Model'!$D$40/(1+0.12)^3+'DCF Model'!$E$40/(1+0.12)^4+'DCF Model'!$F$40/(1+0.12)^5-'DCF Model'!$B$10)/'DCF Model'!$F$41</f>
        <v>0</v>
      </c>
      <c r="E9" s="10">
        <f>(MIN('DCF Model'!$F$40*(1+0.0325)/(0.12-0.0325), 20*'DCF Model'!$F$40)/(1+0.12)^5+'DCF Model'!$B$40/(1+0.12)^1+'DCF Model'!$C$40/(1+0.12)^2+'DCF Model'!$D$40/(1+0.12)^3+'DCF Model'!$E$40/(1+0.12)^4+'DCF Model'!$F$40/(1+0.12)^5-'DCF Model'!$B$10)/'DCF Model'!$F$41</f>
        <v>0</v>
      </c>
      <c r="F9" s="10">
        <f>(MIN('DCF Model'!$F$40*(1+0.0375)/(0.12-0.0375), 20*'DCF Model'!$F$40)/(1+0.12)^5+'DCF Model'!$B$40/(1+0.12)^1+'DCF Model'!$C$40/(1+0.12)^2+'DCF Model'!$D$40/(1+0.12)^3+'DCF Model'!$E$40/(1+0.12)^4+'DCF Model'!$F$40/(1+0.12)^5-'DCF Model'!$B$10)/'DCF Model'!$F$41</f>
        <v>0</v>
      </c>
    </row>
    <row r="11" spans="1:6">
      <c r="A11" s="2" t="s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22.7109375" customWidth="1"/>
    <col min="2" max="3" width="15.7109375" customWidth="1"/>
  </cols>
  <sheetData>
    <row r="1" spans="1:3">
      <c r="A1" s="1" t="s">
        <v>73</v>
      </c>
    </row>
    <row r="3" spans="1:3">
      <c r="A3" s="7" t="s">
        <v>74</v>
      </c>
      <c r="B3" s="7" t="s">
        <v>75</v>
      </c>
      <c r="C3" s="7" t="s">
        <v>76</v>
      </c>
    </row>
    <row r="4" spans="1:3">
      <c r="A4" t="s">
        <v>35</v>
      </c>
      <c r="B4" s="11">
        <v>0.211</v>
      </c>
      <c r="C4" s="11">
        <v>0.281</v>
      </c>
    </row>
    <row r="5" spans="1:3">
      <c r="A5" t="s">
        <v>77</v>
      </c>
      <c r="B5" s="11">
        <v>0.228</v>
      </c>
      <c r="C5" s="11">
        <v>0.316</v>
      </c>
    </row>
    <row r="6" spans="1:3">
      <c r="A6" t="s">
        <v>78</v>
      </c>
      <c r="B6" s="11">
        <v>0.299</v>
      </c>
      <c r="C6" s="11">
        <v>0.341</v>
      </c>
    </row>
    <row r="7" spans="1:3">
      <c r="A7" t="s">
        <v>79</v>
      </c>
      <c r="B7" s="11">
        <v>0.107</v>
      </c>
      <c r="C7" s="11">
        <v>0.181</v>
      </c>
    </row>
    <row r="8" spans="1:3">
      <c r="A8" t="s">
        <v>80</v>
      </c>
      <c r="B8" s="11">
        <v>0.212</v>
      </c>
      <c r="C8" s="11">
        <v>0.256</v>
      </c>
    </row>
    <row r="10" spans="1:3">
      <c r="A10" s="8" t="s">
        <v>81</v>
      </c>
      <c r="B10" s="11">
        <v>0.211</v>
      </c>
    </row>
    <row r="11" spans="1:3">
      <c r="A11" t="s">
        <v>82</v>
      </c>
      <c r="B11" t="s">
        <v>83</v>
      </c>
    </row>
    <row r="13" spans="1:3">
      <c r="A13" s="8" t="s">
        <v>84</v>
      </c>
    </row>
    <row r="14" spans="1:3" ht="60" customHeight="1">
      <c r="A14" s="15" t="s">
        <v>85</v>
      </c>
    </row>
    <row r="16" spans="1:3">
      <c r="A16" s="8" t="s">
        <v>86</v>
      </c>
    </row>
    <row r="17" spans="1:1" ht="90" customHeight="1">
      <c r="A17" s="15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6"/>
  <sheetViews>
    <sheetView workbookViewId="0"/>
  </sheetViews>
  <sheetFormatPr defaultRowHeight="15"/>
  <cols>
    <col min="1" max="1" width="32.7109375" customWidth="1"/>
    <col min="2" max="7" width="12.7109375" customWidth="1"/>
  </cols>
  <sheetData>
    <row r="1" spans="1:7">
      <c r="A1" s="1" t="s">
        <v>88</v>
      </c>
    </row>
    <row r="2" spans="1:7">
      <c r="A2" s="2" t="s">
        <v>89</v>
      </c>
    </row>
    <row r="4" spans="1:7">
      <c r="A4" t="s">
        <v>35</v>
      </c>
      <c r="B4" s="7" t="s">
        <v>90</v>
      </c>
      <c r="C4" s="7" t="s">
        <v>91</v>
      </c>
      <c r="D4" s="7" t="s">
        <v>92</v>
      </c>
      <c r="E4" s="7" t="s">
        <v>93</v>
      </c>
      <c r="F4" s="7" t="s">
        <v>94</v>
      </c>
      <c r="G4" s="7" t="s">
        <v>95</v>
      </c>
    </row>
    <row r="5" spans="1:7">
      <c r="A5" t="s">
        <v>96</v>
      </c>
      <c r="B5" s="5">
        <v>684.2</v>
      </c>
      <c r="C5" s="5">
        <v>1001.5</v>
      </c>
      <c r="D5" s="5">
        <v>1330.2</v>
      </c>
      <c r="E5" s="5">
        <v>1626.1</v>
      </c>
      <c r="F5" s="5">
        <v>1996.1</v>
      </c>
      <c r="G5" s="5">
        <v>2364.2</v>
      </c>
    </row>
    <row r="6" spans="1:7">
      <c r="A6" t="s">
        <v>97</v>
      </c>
      <c r="B6" s="5">
        <v>346.3</v>
      </c>
      <c r="C6" s="5">
        <v>544.6</v>
      </c>
      <c r="D6" s="5">
        <v>607.1</v>
      </c>
      <c r="E6" s="5">
        <v>639.5</v>
      </c>
      <c r="F6" s="5">
        <v>859.8</v>
      </c>
      <c r="G6" s="5">
        <v>1081.3</v>
      </c>
    </row>
    <row r="7" spans="1:7">
      <c r="A7" t="s">
        <v>98</v>
      </c>
      <c r="B7" s="5">
        <v>10.085</v>
      </c>
      <c r="C7" s="5">
        <v>12.008</v>
      </c>
      <c r="D7" s="5">
        <v>10.499</v>
      </c>
      <c r="E7" s="5">
        <v>38.609</v>
      </c>
      <c r="F7" s="5">
        <v>37.368</v>
      </c>
      <c r="G7" s="5">
        <v>43.457</v>
      </c>
    </row>
    <row r="8" spans="1:7">
      <c r="A8">
        <f> Owner FCF</f>
        <v>0</v>
      </c>
      <c r="B8" s="5">
        <v>1.334</v>
      </c>
      <c r="C8" s="5">
        <v>1.039</v>
      </c>
      <c r="D8" s="5">
        <v>29.323</v>
      </c>
      <c r="E8" s="5">
        <v>246.401</v>
      </c>
      <c r="F8" s="5">
        <v>349.775</v>
      </c>
      <c r="G8" s="5">
        <v>267.55</v>
      </c>
    </row>
    <row r="9" spans="1:7">
      <c r="B9" s="16">
        <v>334.881</v>
      </c>
      <c r="C9" s="16">
        <v>531.553</v>
      </c>
      <c r="D9" s="16">
        <v>567.278</v>
      </c>
      <c r="E9" s="16">
        <v>354.49</v>
      </c>
      <c r="F9" s="16">
        <v>472.6569999999999</v>
      </c>
      <c r="G9" s="16">
        <v>770.2929999999999</v>
      </c>
    </row>
    <row r="10" spans="1:7">
      <c r="A10" t="s">
        <v>99</v>
      </c>
    </row>
    <row r="11" spans="1:7">
      <c r="A11" t="s">
        <v>100</v>
      </c>
      <c r="B11" s="11">
        <v>0.5061385559777842</v>
      </c>
      <c r="C11" s="11">
        <v>0.5437843235147279</v>
      </c>
      <c r="D11" s="11">
        <v>0.4563975342053826</v>
      </c>
      <c r="E11" s="11">
        <v>0.3932722464793064</v>
      </c>
      <c r="F11" s="11">
        <v>0.4307399428886328</v>
      </c>
      <c r="G11" s="11">
        <v>0.457364013196853</v>
      </c>
    </row>
    <row r="12" spans="1:7">
      <c r="B12" s="11">
        <v>0.4894489915229465</v>
      </c>
      <c r="C12" s="11">
        <v>0.5307568647029456</v>
      </c>
      <c r="D12" s="11">
        <v>0.4264606826041197</v>
      </c>
      <c r="E12" s="11">
        <v>0.2180001229936658</v>
      </c>
      <c r="F12" s="11">
        <v>0.2367902409698913</v>
      </c>
      <c r="G12" s="11">
        <v>0.3258154978428221</v>
      </c>
    </row>
    <row r="13" spans="1:7">
      <c r="A13" t="s">
        <v>101</v>
      </c>
    </row>
    <row r="14" spans="1:7">
      <c r="B14" s="11">
        <v>0.003852151313889691</v>
      </c>
      <c r="C14" s="11">
        <v>0.001907822254865956</v>
      </c>
      <c r="D14" s="11">
        <v>0.04830011530225663</v>
      </c>
      <c r="E14" s="11">
        <v>0.385302580140735</v>
      </c>
      <c r="F14" s="11">
        <v>0.4068097231914399</v>
      </c>
      <c r="G14" s="11">
        <v>0.2474336446869509</v>
      </c>
    </row>
    <row r="15" spans="1:7">
      <c r="A15" s="8" t="s">
        <v>102</v>
      </c>
    </row>
    <row r="16" spans="1:7" ht="100" customHeight="1">
      <c r="A16" s="15" t="s"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1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104</v>
      </c>
    </row>
    <row r="3" spans="1:2" ht="45" customHeight="1">
      <c r="A3" s="17" t="s">
        <v>105</v>
      </c>
      <c r="B3" s="15" t="s">
        <v>106</v>
      </c>
    </row>
    <row r="4" spans="1:2" ht="45" customHeight="1">
      <c r="A4" s="17" t="s">
        <v>107</v>
      </c>
      <c r="B4" s="15" t="s">
        <v>108</v>
      </c>
    </row>
    <row r="5" spans="1:2" ht="45" customHeight="1">
      <c r="A5" s="17" t="s">
        <v>109</v>
      </c>
      <c r="B5" s="15" t="s">
        <v>110</v>
      </c>
    </row>
    <row r="6" spans="1:2" ht="45" customHeight="1">
      <c r="A6" s="17" t="s">
        <v>111</v>
      </c>
      <c r="B6" s="15" t="s">
        <v>112</v>
      </c>
    </row>
    <row r="7" spans="1:2" ht="45" customHeight="1">
      <c r="A7" s="17" t="s">
        <v>113</v>
      </c>
      <c r="B7" s="15" t="s">
        <v>114</v>
      </c>
    </row>
    <row r="8" spans="1:2" ht="45" customHeight="1">
      <c r="A8" s="17" t="s">
        <v>115</v>
      </c>
      <c r="B8" s="15" t="s">
        <v>116</v>
      </c>
    </row>
    <row r="9" spans="1:2" ht="45" customHeight="1">
      <c r="A9" s="17" t="s">
        <v>117</v>
      </c>
      <c r="B9" s="15" t="s">
        <v>118</v>
      </c>
    </row>
    <row r="10" spans="1:2" ht="45" customHeight="1">
      <c r="A10" s="17" t="s">
        <v>119</v>
      </c>
      <c r="B10" s="15" t="s">
        <v>120</v>
      </c>
    </row>
    <row r="11" spans="1:2" ht="45" customHeight="1">
      <c r="A11" s="17" t="s">
        <v>121</v>
      </c>
      <c r="B11" s="15" t="s">
        <v>122</v>
      </c>
    </row>
    <row r="12" spans="1:2" ht="45" customHeight="1">
      <c r="A12" s="17" t="s">
        <v>123</v>
      </c>
      <c r="B12" s="15" t="s">
        <v>124</v>
      </c>
    </row>
    <row r="13" spans="1:2" ht="45" customHeight="1">
      <c r="A13" s="17" t="s">
        <v>125</v>
      </c>
      <c r="B13" s="15" t="s">
        <v>126</v>
      </c>
    </row>
    <row r="14" spans="1:2" ht="45" customHeight="1">
      <c r="A14" s="17" t="s">
        <v>127</v>
      </c>
      <c r="B14" s="15" t="s">
        <v>128</v>
      </c>
    </row>
    <row r="15" spans="1:2" ht="45" customHeight="1">
      <c r="A15" s="17" t="s">
        <v>129</v>
      </c>
      <c r="B15" s="15" t="s">
        <v>130</v>
      </c>
    </row>
    <row r="16" spans="1:2" ht="45" customHeight="1">
      <c r="A16" s="17" t="s">
        <v>131</v>
      </c>
      <c r="B16" s="15" t="s">
        <v>132</v>
      </c>
    </row>
    <row r="17" spans="1:2" ht="45" customHeight="1">
      <c r="A17" s="17" t="s">
        <v>133</v>
      </c>
      <c r="B17" s="15" t="s">
        <v>134</v>
      </c>
    </row>
    <row r="18" spans="1:2" ht="45" customHeight="1">
      <c r="A18" s="17" t="s">
        <v>135</v>
      </c>
      <c r="B18" s="15" t="s">
        <v>136</v>
      </c>
    </row>
    <row r="19" spans="1:2" ht="45" customHeight="1">
      <c r="A19" s="17" t="s">
        <v>137</v>
      </c>
      <c r="B19" s="15" t="s">
        <v>138</v>
      </c>
    </row>
    <row r="20" spans="1:2" ht="45" customHeight="1">
      <c r="A20" s="17" t="s">
        <v>139</v>
      </c>
      <c r="B20" s="15" t="s">
        <v>140</v>
      </c>
    </row>
    <row r="21" spans="1:2" ht="45" customHeight="1">
      <c r="A21" s="17" t="s">
        <v>141</v>
      </c>
      <c r="B21" s="15" t="s">
        <v>142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Historical</vt:lpstr>
      <vt:lpstr>FCF Quality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2026-08-09T00:58:10Z</dcterms:created>
  <dcterms:modified xsi:type="dcterms:W3CDTF">2026-08-09T00:58:10Z</dcterms:modified>
</cp:coreProperties>
</file>