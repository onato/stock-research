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Actuals_Data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Float_Income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<sst xmlns="http://schemas.openxmlformats.org/spreadsheetml/2006/main" count="449" uniqueCount="263">
  <si>
    <t xml:space="preserve">ADYEN (ADYEN.AS) - OWNER-FCF DCF MODEL</t>
  </si>
  <si>
    <t xml:space="preserve">Lineage</t>
  </si>
  <si>
    <t xml:space="preserve">v1.0, built 9-Aug-2026 by Claude (Opus 5) with Stephen via claude.ai, using the tech-dcf-workbook engine (openpyxl; recalculated in LibreOffice; key outputs hand-checked). Supersedes nothing in this file's lineage - BUT a prior Adyen 3-scenario workbook was built in Jul-2026 (ADR basis, ~$9.45/ADR) and was NOT available to this session. Scenario paths here were constructed fresh from the post-checkpoint architecture, NOT carried over. RECONCILE against the July file before treating any change in value as new information.</t>
  </si>
  <si>
    <t xml:space="preserve">DATA VINTAGE</t>
  </si>
  <si>
    <t xml:space="preserve">FY0 anchors (FY2025)</t>
  </si>
  <si>
    <t xml:space="preserve">Net revenue EUR2,364.2m, reported EBITDA EUR1,245.7m (52.7%), FCF conversion 87%, capex 5% of net revenue. Source: Adyen H2 2025 results release + shareholder letter, adyen.com, 12-Feb-2026.</t>
  </si>
  <si>
    <t xml:space="preserve">FY1 guidance (2026)</t>
  </si>
  <si>
    <t xml:space="preserve">20-22% net revenue growth on a CONSTANT-CURRENCY basis; EBITDA margin broadly in line with 2025; capex up to 5% of net revenue; &gt;55% EBITDA margin by 2028. Reiterated at Q1 2026 business update, 6-May-2026. Investor Day 11-Nov-2025: ~20% annual net revenue growth in the years after 2026.</t>
  </si>
  <si>
    <t xml:space="preserve">Latest actuals</t>
  </si>
  <si>
    <t xml:space="preserve">Q1 2026 business update 6-May-2026: net revenue EUR620.8m, +16% reported / +20% cc; processed volume EUR382.0bn +21%; Digital EUR349.6m +13%cc, Unified Commerce EUR196.2m +28%cc, Platforms EUR75.0m +40%cc.</t>
  </si>
  <si>
    <t xml:space="preserve">Income-statement structure</t>
  </si>
  <si>
    <t xml:space="preserve">FY2025 IFRS: operating income EUR1,096.3m; net non-operating interest income EUR272.6m; pre-tax EUR1,368.9m; net income EUR1,062.5m -&gt; effective tax 22.4%. Source: Yahoo Finance ADYEN.AS income statement (S&amp;P Global Market Intelligence), read 9-Aug-2026. CONFIRMS float income sits BELOW operating income.</t>
  </si>
  <si>
    <t xml:space="preserve">Balance sheet / shares / price</t>
  </si>
  <si>
    <t xml:space="preserve">Total equity EUR4.23bn at 31-Dec-2024 (TipRanks/S&amp;P); +EUR1.06bn FY25 net income, no dividend or buyback -&gt; ~EUR5.2-5.3bn at 31-Dec-2025. Owner net cash here is an ESTIMATE of EUR4.2bn at 1-Jul-2026 after ~EUR1.04bn cash spent on Talon.One (EUR750m) and Orb ($335m), both closed 1-Jul-2026. Shares 31.55m. Price EUR933.20, Amsterdam close 7-Aug-2026.</t>
  </si>
  <si>
    <t xml:space="preserve">KNOWN GAPS - fix at H1 print</t>
  </si>
  <si>
    <t xml:space="preserve">(a) SBC % of net revenue is an ESTIMATE of 3.0%, inferred from ~1.1% annual share-count growth and low reported SBC history; replace from the share-based payments note. (b) Owner net cash is an ESTIMATE; replace with the reported H1-2026 balance sheet, taking own funds only and EXCLUDING merchant funds in transit. (c) Diluted share count: replace with the H1 letter figure.</t>
  </si>
  <si>
    <t xml:space="preserve">METHODOLOGY</t>
  </si>
  <si>
    <t xml:space="preserve">Owner-FCF basis</t>
  </si>
  <si>
    <t xml:space="preserve">SBC fully expensed and projected explicitly per scenario-year as % of net revenue; cash tax normalized; D&amp;A and capex as % of net revenue; working capital neutral; diluted shares held FLAT (SBC expensing substitutes for grant dilution - never do both). TV = Gordon capped at 20x terminal owner FCF. End-of-year discounting, 10-year explicit horizon. WACC 10.5%. Street-convention values (SBC as non-cash) shown as memos - the house/street pair is the accounting-regime price band.</t>
  </si>
  <si>
    <t xml:space="preserve">IFRS SBC adjustment</t>
  </si>
  <si>
    <t xml:space="preserve">IMPORTANT AND EASY TO MISREAD. Under IFRS, Adyen's share-based payment expense sits inside operating expenses, so the reported 52.7% FY25 EBITDA margin is ALREADY net of SBC - unlike US-GAAP tech names where non-GAAP EBITDA adds SBC back. Row 7 of each DCF tab is therefore fed the PRE-SBC margin (reported margin + SBC%), so that row 11 ('EBITDA less SBC') reproduces the reported figure. Feeding the reported 52.7% into row 7 would double-count SBC and understate value. Row 7 minus row 9 = the margin management actually guides to.</t>
  </si>
  <si>
    <t xml:space="preserve">Float income (separate)</t>
  </si>
  <si>
    <t xml:space="preserve">The house rule excludes interest income from flows because the cash pile is added separately as net cash. Adyen is the exception that proves it: most of the EUR272.6m FY25 net interest income is earned on MERCHANT funds in transit - a liability, not owner cash - so excluding it while adding only owner net cash would delete the stream. It is instead valued on its own Float_Income tab (after-tax, discounted at the same WACC, terminal value capped at 12x - a tighter cap than the operating 20x because the stream is rate-dependent and lower quality) and added to net cash on row 35 of each DCF tab. No double count: owner net cash on Assumptions excludes merchant funds entirely. Screeners that show ~EUR12.4bn 'net cash' for Adyen are counting merchant float and understate EV by roughly EUR8bn.</t>
  </si>
  <si>
    <t xml:space="preserve">Net revenue, not IFRS revenue</t>
  </si>
  <si>
    <t xml:space="preserve">Revenue driver is Adyen's non-IFRS 'net revenue' (settlement + processing + other services, net of costs incurred from financial institutions) - the measure management guides on and the denominator of the take rate. FY25 IFRS revenue was EUR2,646.9m; net revenue EUR2,364.2m.</t>
  </si>
  <si>
    <t xml:space="preserve">Cash tax</t>
  </si>
  <si>
    <t xml:space="preserve">FY25 effective rate 22.4% (Dutch statutory 25.8%, reduced by innovation-box style relief). The engine's default 'ramp to ~21%' is a US-federal convention and does NOT apply here; the rate is instead ramped UP toward 25.0-25.8% on the view that the relief narrows. D&amp;A excludes amortisation of acquired Talon.One/Orb intangibles, which is largely non-deductible - including it would overstate the tax shield.</t>
  </si>
  <si>
    <t xml:space="preserve">Growth is REPORTED, not cc</t>
  </si>
  <si>
    <t xml:space="preserve">Row 5 of each DCF tab is reported EUR growth. Management guides in constant currency. Q1 2026 was +20% cc but +16% reported - a 4pp FX drag. Base FY26 of 18% reported implies roughly 20-21% cc, i.e. the low end of the 20-22% guide. Do not compare row 5 directly to guidance without adding back the FX drag.</t>
  </si>
  <si>
    <t xml:space="preserve">Scenario drivers</t>
  </si>
  <si>
    <t xml:space="preserve">Scenario architecture proposed by Claude on 9-Aug-2026 from the same-day deep dive and signed off by Stephen unchanged, at house 15/50/35 weights. Stephen flagged two calls as contestable and delegated them: (i) weights - house 15/50/35 retained rather than shifting to 20/50/30, because the bear path itself was hardened instead (growth fades to 3%, margin to 46%, float halves), which is the cleaner way to express that guidance has already drifted three times; (ii) the Talon.One/Orb acquisitions - placed in Base as mildly accretive from 2027 (+1-2pp growth, small near-term margin drag) AND as an explicit moat-erosion driver in Bear, rather than as a blanket discount, so the character-change risk is priced through the scenario weights rather than hidden in a haircut.</t>
  </si>
  <si>
    <t xml:space="preserve">UPDATE INSTRUCTIONS</t>
  </si>
  <si>
    <t xml:space="preserve">At the H1 2026 print (13-Aug-26)</t>
  </si>
  <si>
    <t xml:space="preserve">Refresh price, owner net cash (+date, merchant funds excluded), diluted shares, and the FY26 driver columns. The three things that should move drivers: (1) H1 constant-currency growth - at or below 20% is a FOURTH guidance disappointment and argues for shifting weight to Bear, not just trimming Base; (2) H1 take rate vs 16.85bps in H1'25 - the eBay mix tailwind is largely lapped, so continued expansion is the single best evidence the Bull monetisation path is real; (3) H1 reported EBITDA margin vs 50% in H1'25, and whether the &gt;55%-by-2028 objective is reiterated. Also replace the two estimated inputs flagged in KNOWN GAPS above.</t>
  </si>
  <si>
    <t xml:space="preserve">Conventions</t>
  </si>
  <si>
    <t xml:space="preserve">Blue = hardcoded input. Yellow fill = key lever. Black = formula. Green = cross-sheet link. Amber fill = a judgment or estimate that needs replacing with reported data. All amounts EURm unless stated.</t>
  </si>
  <si>
    <t xml:space="preserve">NOT INVESTMENT ADVICE</t>
  </si>
  <si>
    <t xml:space="preserve">This is Stephen's own valuation framework computed at the inputs above. Every scenario path is a judgment, not a forecast.</t>
  </si>
  <si>
    <t xml:space="preserve">ADYEN - reported actuals and guidance (all blue = as reported)</t>
  </si>
  <si>
    <t xml:space="preserve">EURm unless stated. Sources named per block. Nothing on this tab is a Claude estimate unless marked ESTIMATE.</t>
  </si>
  <si>
    <t xml:space="preserve">Full-year history</t>
  </si>
  <si>
    <t xml:space="preserve">FY2023</t>
  </si>
  <si>
    <t xml:space="preserve">FY2024</t>
  </si>
  <si>
    <t xml:space="preserve">FY2025</t>
  </si>
  <si>
    <t xml:space="preserve">Source</t>
  </si>
  <si>
    <t xml:space="preserve">Net revenue (non-IFRS)</t>
  </si>
  <si>
    <t xml:space="preserve">H2'23/H2'24/H2'25 results releases, adyen.com</t>
  </si>
  <si>
    <t xml:space="preserve">Net revenue growth, reported</t>
  </si>
  <si>
    <t xml:space="preserve">computed</t>
  </si>
  <si>
    <t xml:space="preserve">Net revenue growth, constant currency</t>
  </si>
  <si>
    <t xml:space="preserve">as disclosed</t>
  </si>
  <si>
    <t xml:space="preserve">Processed volume (EURbn)</t>
  </si>
  <si>
    <t xml:space="preserve">results releases</t>
  </si>
  <si>
    <t xml:space="preserve">Volume growth ex single large customer</t>
  </si>
  <si>
    <t xml:space="preserve">as disclosed (eBay unwind distorts headline)</t>
  </si>
  <si>
    <t xml:space="preserve">Take rate (bps) = net rev / volume</t>
  </si>
  <si>
    <t xml:space="preserve">computed below</t>
  </si>
  <si>
    <t xml:space="preserve">Reported EBITDA</t>
  </si>
  <si>
    <t xml:space="preserve">Reported EBITDA margin</t>
  </si>
  <si>
    <t xml:space="preserve">as disclosed (46% / 50% / 53%)</t>
  </si>
  <si>
    <t xml:space="preserve">IFRS operating income</t>
  </si>
  <si>
    <t xml:space="preserve">Yahoo Finance ADYEN.AS income stmt (S&amp;P Global MI), 9-Aug-26</t>
  </si>
  <si>
    <t xml:space="preserve">Net non-operating interest income (float)</t>
  </si>
  <si>
    <t xml:space="preserve">same - NOTE: sits BELOW operating income</t>
  </si>
  <si>
    <t xml:space="preserve">Net income</t>
  </si>
  <si>
    <t xml:space="preserve">same</t>
  </si>
  <si>
    <t xml:space="preserve">Effective tax rate</t>
  </si>
  <si>
    <t xml:space="preserve">computed: 1 - NI / (op income + float)</t>
  </si>
  <si>
    <t xml:space="preserve">Capex, % of net revenue</t>
  </si>
  <si>
    <t xml:space="preserve">FCF conversion (company definition)</t>
  </si>
  <si>
    <t xml:space="preserve">Half-year and quarterly detail</t>
  </si>
  <si>
    <t xml:space="preserve">H1 2025</t>
  </si>
  <si>
    <t xml:space="preserve">H2 2025</t>
  </si>
  <si>
    <t xml:space="preserve">Q1 2026</t>
  </si>
  <si>
    <t xml:space="preserve">Net revenue</t>
  </si>
  <si>
    <t xml:space="preserve">H1'25 / H2'25 releases; Q1'26 business update 6-May-26</t>
  </si>
  <si>
    <t xml:space="preserve">Growth, reported</t>
  </si>
  <si>
    <t xml:space="preserve">Growth, constant currency</t>
  </si>
  <si>
    <t xml:space="preserve">Take rate (bps)</t>
  </si>
  <si>
    <t xml:space="preserve">computed; H1'24 was 14.74bps - expansion driven by eBay mix exit</t>
  </si>
  <si>
    <t xml:space="preserve">as disclosed; H2 margin is structurally above H1</t>
  </si>
  <si>
    <t xml:space="preserve">Digital net revenue</t>
  </si>
  <si>
    <t xml:space="preserve">segment disclosure</t>
  </si>
  <si>
    <t xml:space="preserve">Unified Commerce net revenue</t>
  </si>
  <si>
    <t xml:space="preserve">Platforms net revenue</t>
  </si>
  <si>
    <t xml:space="preserve">segment disclosure; +40% cc, fastest-growing pillar</t>
  </si>
  <si>
    <t xml:space="preserve">Guidance in force (reiterated at Q1 2026, 6-May-2026)</t>
  </si>
  <si>
    <t xml:space="preserve">2026 net revenue growth (constant currency)</t>
  </si>
  <si>
    <t xml:space="preserve">20% to 22%</t>
  </si>
  <si>
    <t xml:space="preserve">H2'25 release 12-Feb-26, reiterated 6-May-26</t>
  </si>
  <si>
    <t xml:space="preserve">2026 EBITDA margin</t>
  </si>
  <si>
    <t xml:space="preserve">broadly in line with 2025 (~53%)</t>
  </si>
  <si>
    <t xml:space="preserve">same; H2 margin above H1 as usual</t>
  </si>
  <si>
    <t xml:space="preserve">EBITDA margin objective</t>
  </si>
  <si>
    <t xml:space="preserve">above 55% by 2028</t>
  </si>
  <si>
    <t xml:space="preserve">raised at Investor Day 11-Nov-25 from &gt;50% by 2026</t>
  </si>
  <si>
    <t xml:space="preserve">Capex</t>
  </si>
  <si>
    <t xml:space="preserve">up to 5% of net revenue</t>
  </si>
  <si>
    <t xml:space="preserve">Net revenue growth, years after 2026</t>
  </si>
  <si>
    <t xml:space="preserve">approximately 20% annually</t>
  </si>
  <si>
    <t xml:space="preserve">Investor Day 11-Nov-25</t>
  </si>
  <si>
    <t xml:space="preserve">2026 net new hires</t>
  </si>
  <si>
    <t xml:space="preserve">550 to 650</t>
  </si>
  <si>
    <t xml:space="preserve">H2'25 shareholder letter</t>
  </si>
  <si>
    <t xml:space="preserve">Balance sheet, shares, price</t>
  </si>
  <si>
    <t xml:space="preserve">Total equity, 31-Dec-2024</t>
  </si>
  <si>
    <t xml:space="preserve">TipRanks / S&amp;P Global MI</t>
  </si>
  <si>
    <t xml:space="preserve">FY2025 net income (no dividend, no buyback)</t>
  </si>
  <si>
    <t xml:space="preserve">implies ~EUR5.2-5.3bn equity at 31-Dec-25</t>
  </si>
  <si>
    <t xml:space="preserve">Talon.One consideration</t>
  </si>
  <si>
    <t xml:space="preserve">announced 23-Apr-26, closed 1-Jul-26, funded from cash</t>
  </si>
  <si>
    <t xml:space="preserve">Orb consideration (~$335m)</t>
  </si>
  <si>
    <t xml:space="preserve">announced 11-Jun-26, closed 1-Jul-26, funded from cash</t>
  </si>
  <si>
    <t xml:space="preserve">ESTIMATE: owner net cash at 1-Jul-2026</t>
  </si>
  <si>
    <t xml:space="preserve">ESTIMATE - equity less non-cash assets less the two deals. EXCLUDES merchant funds in transit. Replace at H1 print.</t>
  </si>
  <si>
    <t xml:space="preserve">Screener-reported 'net cash' (do NOT use)</t>
  </si>
  <si>
    <t xml:space="preserve">stockanalysis.com - counts merchant funds in transit as owner cash; overstates by roughly EUR8bn</t>
  </si>
  <si>
    <t xml:space="preserve">Shares outstanding (m)</t>
  </si>
  <si>
    <t xml:space="preserve">stockanalysis.com / Morningstar, Jul-26; +1.11% YoY</t>
  </si>
  <si>
    <t xml:space="preserve">Share price (EUR)</t>
  </si>
  <si>
    <t xml:space="preserve">Euronext Amsterdam regular close 7-Aug-2026</t>
  </si>
  <si>
    <t xml:space="preserve">52-week range (EUR)</t>
  </si>
  <si>
    <t xml:space="preserve">772.40 - 1,600.80</t>
  </si>
  <si>
    <t xml:space="preserve">Yahoo Finance, 7-Aug-26</t>
  </si>
  <si>
    <t xml:space="preserve">All-time high (EUR, Aug-2021)</t>
  </si>
  <si>
    <t xml:space="preserve">approximate; current price is ~66% below</t>
  </si>
  <si>
    <t xml:space="preserve">Buyback</t>
  </si>
  <si>
    <t xml:space="preserve">none - no dividend, no repurchase programme</t>
  </si>
  <si>
    <t xml:space="preserve">capital allocation priority is organic growth; management open to opportunistic M&amp;A and buybacks (Q1'26 call)</t>
  </si>
  <si>
    <t xml:space="preserve">Events and calendar</t>
  </si>
  <si>
    <t xml:space="preserve">H1 2026 shareholder letter</t>
  </si>
  <si>
    <t xml:space="preserve">13-Aug-2026, call 3pm CEST - FOUR DAYS AFTER THIS BUILD</t>
  </si>
  <si>
    <t xml:space="preserve">CFO transition</t>
  </si>
  <si>
    <t xml:space="preserve">Ethan Tandowsky departs 31-Aug-26; Hwa Tsao interim CFO from 1-Sep-26; permanent search running</t>
  </si>
  <si>
    <t xml:space="preserve">Co-CEOs</t>
  </si>
  <si>
    <t xml:space="preserve">Pieter van der Does and Ingo Uytdehaage; Gayathri Rajan appointed CPO Jul-26</t>
  </si>
  <si>
    <t xml:space="preserve">Adyen Agentic</t>
  </si>
  <si>
    <t xml:space="preserve">launched 16-Jun-2026; cross-protocol adapter spanning UCP, ACP and AP2</t>
  </si>
  <si>
    <t xml:space="preserve">ECB digital euro pilot</t>
  </si>
  <si>
    <t xml:space="preserve">selected 14-Jul-2026, one of 36 PSPs; 12-month trial from H2 2027</t>
  </si>
  <si>
    <t xml:space="preserve">Consensus (context only, not an input)</t>
  </si>
  <si>
    <t xml:space="preserve">H1'26 net revenue ~EUR1.33bn, EPS ~EUR17.55; mean target ~EUR1,413 across 45 analysts</t>
  </si>
  <si>
    <t xml:space="preserve">Drawdown history</t>
  </si>
  <si>
    <t xml:space="preserve">-20% on the FY25 print 12-Feb-26; -8.8% to EUR817 on 5-Jun-26 on a Cleveland Research note; low of EUR772.40 in Jul-26; +21% off that low into this print</t>
  </si>
  <si>
    <t xml:space="preserve">ADYEN.AS - Global Assumptions &amp; Scenario Parameters</t>
  </si>
  <si>
    <t xml:space="preserve">Blue = hardcoded input. Yellow = key lever. All amounts EURm unless stated.</t>
  </si>
  <si>
    <t xml:space="preserve">Global inputs</t>
  </si>
  <si>
    <t xml:space="preserve">WACC / discount rate</t>
  </si>
  <si>
    <t xml:space="preserve">House default for this risk class. Beta ~1.86 argues higher; net cash and A- rating argue lower.</t>
  </si>
  <si>
    <t xml:space="preserve">D&amp;A (% of net revenue)</t>
  </si>
  <si>
    <t xml:space="preserve">FY25 actual 6.3%. Excludes acquired-intangible amortisation (largely non-deductible).</t>
  </si>
  <si>
    <t xml:space="preserve">Capex (% of net revenue)</t>
  </si>
  <si>
    <t xml:space="preserve">Guided and actual: up to 5%. Data centres and infrastructure.</t>
  </si>
  <si>
    <t xml:space="preserve">Working-capital capture (% of YoY rev incr.)</t>
  </si>
  <si>
    <t xml:space="preserve">ZERO by design. Adyen deducts its fees at settlement, so fee-business WC is near-neutral. Merchant funds in transit are a LIABILITY and are excluded entirely - they show up only as the float-income stream.</t>
  </si>
  <si>
    <t xml:space="preserve">Owner net cash (EURm)</t>
  </si>
  <si>
    <t xml:space="preserve">OWNER net cash est. at 1-Jul-26, post Talon.One+Orb. Excludes merchant funds in transit - see Actuals_Data</t>
  </si>
  <si>
    <t xml:space="preserve">Shares (mm)</t>
  </si>
  <si>
    <t xml:space="preserve">shares outstanding, stockanalysis.com/Morningstar, Jul-26; replace with H1'26 diluted count</t>
  </si>
  <si>
    <t xml:space="preserve">Current share price (EUR)</t>
  </si>
  <si>
    <t xml:space="preserve">Euronext Amsterdam regular close 7-Aug-2026 (Yahoo/Morningstar). H1 print 13-Aug-26</t>
  </si>
  <si>
    <t xml:space="preserve">Terminal value cap (x terminal owner FCF)</t>
  </si>
  <si>
    <t xml:space="preserve">House standard.</t>
  </si>
  <si>
    <t xml:space="preserve">Float terminal cap (x terminal after-tax float)</t>
  </si>
  <si>
    <t xml:space="preserve">Tighter than the operating cap: the float stream is rate-dependent and lower quality.</t>
  </si>
  <si>
    <t xml:space="preserve">Scenario parameters</t>
  </si>
  <si>
    <t xml:space="preserve">Bear</t>
  </si>
  <si>
    <t xml:space="preserve">Base</t>
  </si>
  <si>
    <t xml:space="preserve">Bull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</si>
  <si>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</si>
  <si>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</si>
  <si>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</si>
  <si>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</si>
  <si>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The take-rate expansion of 2024-25 was a mix artifact - low-take-rate eBay volume leaving, not pricing power. Once that comp laps, North American price competition from Stripe and the Braintree/PayPal complex compresses the markup. Guidance drifts a fourth time. Talon.One and Orb integration consumes management attention and the single-platform simplicity that was the whole moat starts to fray. Growth fades to low single digits; reported EBITDA margin peaks and slides to 46%; SBC creeps up to retain people under pressure; ECB normalisation halves the float stream.</t>
  </si>
  <si>
    <t xml:space="preserve">2026 lands at the low end of the 20-22% constant-currency guide (~18% reported after FX drag). Wallet-share expansion with existing enterprise customers plus the 2025 cohort ramp carries ~20% cc for two more years, then fades toward high single digits as the base gets large. Management hits its &gt;55% EBITDA margin objective in 2028 and grinds to ~57%. Talon.One and Orb add 1-2pp of growth from 2027 and are mildly margin-dilutive first. Float income roughly flat: volume growth offsets falling rates.</t>
  </si>
  <si>
    <t xml:space="preserve">Embedded financial products inflect - issuing volumes already grew 8x in 2025 and Platforms is compounding at ~40%. Take rate keeps climbing on genuine monetisation (Uplift, Dynamic Identification, now promotions and billing) rather than mix, toward 18-19bps. Adyen Agentic becomes the enterprise adapter across UCP/ACP/AP2, so agentic commerce arrives as incremental volume rather than disintermediation. Operating leverage on a single platform takes reported EBITDA margin past 60%; float income grows with volume and balances.</t>
  </si>
  <si>
    <t xml:space="preserve">ADYEN.AS DCF - Bear - mix tailwind exhausts; NA price pressure</t>
  </si>
  <si>
    <t xml:space="preserve">Owner-FCF basis: SBC fully expensed, float income valued separately (Float_Income tab), share count flat. Blue rows = per-year drivers. Row 7 is PRE-SBC margin; row 7 less row 9 = the reported margin management guides to.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</si>
  <si>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</si>
  <si>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</si>
  <si>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</si>
  <si>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</si>
  <si>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</si>
  <si>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</si>
  <si>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</si>
  <si>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</si>
  <si>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</si>
  <si>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</si>
  <si>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</si>
  <si>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Year index (for discounting)</t>
  </si>
  <si>
    <t xml:space="preserve">Net revenue growth YoY (REPORTED EUR)</t>
  </si>
  <si>
    <t xml:space="preserve">EBITDA margin, PRE-SBC</t>
  </si>
  <si>
    <t xml:space="preserve">EBITDA, pre-SBC</t>
  </si>
  <si>
    <t xml:space="preserve">SBC (% of net revenue)</t>
  </si>
  <si>
    <t xml:space="preserve">SBC</t>
  </si>
  <si>
    <t xml:space="preserve">Reported EBITDA (post-SBC, = guided measure)</t>
  </si>
  <si>
    <t xml:space="preserve">D&amp;A</t>
  </si>
  <si>
    <t xml:space="preserve">EBIT (SBC expensed)</t>
  </si>
  <si>
    <t xml:space="preserve">Cash tax rate</t>
  </si>
  <si>
    <t xml:space="preserve">NOPAT</t>
  </si>
  <si>
    <t xml:space="preserve">add: D&amp;A</t>
  </si>
  <si>
    <t xml:space="preserve">less: capex</t>
  </si>
  <si>
    <t xml:space="preserve">add: working capital</t>
  </si>
  <si>
    <t xml:space="preserve">Unlevered owner FCF (operating only)</t>
  </si>
  <si>
    <t xml:space="preserve">Discount factor</t>
  </si>
  <si>
    <t xml:space="preserve">PV of FCF</t>
  </si>
  <si>
    <t xml:space="preserve">Memo: reported EBITDA margin (row 11 / row 6)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</si>
  <si>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</si>
  <si>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</si>
  <si>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</si>
  <si>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</si>
  <si>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</si>
  <si>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</si>
  <si>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two)</t>
  </si>
  <si>
    <t xml:space="preserve">Implied exit multiple</t>
  </si>
  <si>
    <t xml:space="preserve">PV of terminal value</t>
  </si>
  <si>
    <t xml:space="preserve">Enterprise value, operating business</t>
  </si>
  <si>
    <t xml:space="preserve">add: owner net cash + PV of float stream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</si>
  <si>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</si>
  <si>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</si>
  <si>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</si>
  <si>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</si>
  <si>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</si>
  <si>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 (street)</t>
  </si>
  <si>
    <t xml:space="preserve">ADYEN.AS DCF - Base - guide holds at the low end; margin reaches 55%+ by 2028</t>
  </si>
  <si>
    <t xml:space="preserve">ADYEN.AS DCF - Bull - embedded finance inflects; agentic harness wins</t>
  </si>
  <si>
    <t xml:space="preserve">ADYEN - float / net interest income, valued separately</t>
  </si>
  <si>
    <t xml:space="preserve">Interest earned on merchant funds in transit plus own cash. Kept OUT of the operating DCF (house rule: no interest income in flows) and valued here instead, because the merchant funds that generate most of it are a liability and are NOT in owner net cash. Total per scenario feeds row 35 of the matching DCF tab.</t>
  </si>
  <si>
    <t xml:space="preserve">FY2025 actual pre-tax float income: EUR272.6m (FY2024: EUR350.1m, FY2023: EUR241.6m) - falling with ECB policy rates. Source: Yahoo Finance ADYEN.AS income statement, 9-Aug-2026.</t>
  </si>
  <si>
    <t xml:space="preserve">Pre-tax float income</t>
  </si>
  <si>
    <t xml:space="preserve">Cash tax rate (link to DCF tab)</t>
  </si>
  <si>
    <t xml:space="preserve">After-tax float income</t>
  </si>
  <si>
    <t xml:space="preserve">Discount factor (link to DCF tab)</t>
  </si>
  <si>
    <t xml:space="preserve">PV of after-tax float income</t>
  </si>
  <si>
    <t xml:space="preserve">PV, explicit years</t>
  </si>
  <si>
    <t xml:space="preserve">Terminal growth rate (link)</t>
  </si>
  <si>
    <t xml:space="preserve">Terminal value used (lower)</t>
  </si>
  <si>
    <t xml:space="preserve">Total float-stream value</t>
  </si>
  <si>
    <t xml:space="preserve">per share</t>
  </si>
  <si>
    <t xml:space="preserve">ADYEN.AS - Valuation Summary &amp; Sensitivity</t>
  </si>
  <si>
    <t xml:space="preserve">Owner-FCF basis (SBC expensed) unless marked street. Green = links. All discount-rate variants below re-discount BOTH the operating FCF stream and the float stream at the stated rate.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</si>
  <si>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</si>
  <si>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</si>
  <si>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</si>
  <si>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</si>
  <si>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</si>
  <si>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</si>
  <si>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</si>
  <si>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</si>
  <si>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NOT an error if negative: the price sits BELOW even the house (SBC-expensed) value, so the accounting-regime band does not bind here. Adyen's SBC is small - the house/street gap is only about EUR59/share, versus multiples of that for US-GAAP tech names.</t>
  </si>
  <si>
    <t xml:space="preserve">Memo: float stream as % of weighted value</t>
  </si>
  <si>
    <t xml:space="preserve">row 15: how much of the weighted value is the rate-dependent float stream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</si>
  <si>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</si>
  <si>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</si>
  <si>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</si>
  <si>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</si>
  <si>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</t>
  </si>
  <si>
    <t xml:space="preserve">  same, street basis</t>
  </si>
  <si>
    <t xml:space="preserve">Base case - value per share: WACC x terminal growth</t>
  </si>
  <si>
    <t xml:space="preserve">WACC \ g</t>
  </si>
  <si>
    <t xml:space="preserve">Reverse read</t>
  </si>
  <si>
    <t xml:space="preserve">What the current price implies</t>
  </si>
  <si>
    <t xml:space="preserve">At a 10.5% required return and a flat 53% reported EBITDA margin, EUR933 requires roughly a 13% net revenue CAGR for a decade - about a third off management's ~20% ambition.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</si>
</sst>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€#,##0;&quot;(€&quot;#,##0\);\-"/>
    <numFmt numFmtId="166" formatCode="0.0%"/>
    <numFmt numFmtId="167" formatCode="#,##0.0"/>
    <numFmt numFmtId="168" formatCode="#,##0.00"/>
    <numFmt numFmtId="169" formatCode="\€#,##0.00;&quot;(€&quot;#,##0.00\);\-"/>
    <numFmt numFmtId="170" formatCode="\€#,##0.0;&quot;(€&quot;#,##0.0\);\-"/>
    <numFmt numFmtId="171" formatCode="0\x"/>
    <numFmt numFmtId="172" formatCode="0.000"/>
    <numFmt numFmtId="173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16.15" hidden="false" customHeight="false" outlineLevel="0" collapsed="false">
      <c r="A1" s="1" t="s">
        <v>0</v>
      </c>
    </row>
    <row r="3" customFormat="false" ht="57.75" hidden="false" customHeight="tru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5.75" hidden="false" customHeight="true" outlineLevel="0" collapsed="false">
      <c r="A6" s="2" t="s">
        <v>4</v>
      </c>
      <c r="B6" s="3" t="s">
        <v>5</v>
      </c>
    </row>
    <row r="7" customFormat="false" ht="45.75" hidden="false" customHeight="true" outlineLevel="0" collapsed="false">
      <c r="A7" s="2" t="s">
        <v>6</v>
      </c>
      <c r="B7" s="3" t="s">
        <v>7</v>
      </c>
    </row>
    <row r="8" customFormat="false" ht="45.75" hidden="false" customHeight="true" outlineLevel="0" collapsed="false">
      <c r="A8" s="2" t="s">
        <v>8</v>
      </c>
      <c r="B8" s="3" t="s">
        <v>9</v>
      </c>
    </row>
    <row r="9" customFormat="false" ht="45.75" hidden="false" customHeight="true" outlineLevel="0" collapsed="false">
      <c r="A9" s="2" t="s">
        <v>10</v>
      </c>
      <c r="B9" s="3" t="s">
        <v>11</v>
      </c>
    </row>
    <row r="10" customFormat="false" ht="45.75" hidden="false" customHeight="true" outlineLevel="0" collapsed="false">
      <c r="A10" s="2" t="s">
        <v>12</v>
      </c>
      <c r="B10" s="3" t="s">
        <v>13</v>
      </c>
    </row>
    <row r="11" customFormat="false" ht="45.75" hidden="false" customHeight="true" outlineLevel="0" collapsed="false">
      <c r="A11" s="2" t="s">
        <v>14</v>
      </c>
      <c r="B11" s="5" t="s">
        <v>15</v>
      </c>
    </row>
    <row r="13" customFormat="false" ht="15" hidden="false" customHeight="false" outlineLevel="0" collapsed="false">
      <c r="A13" s="4" t="s">
        <v>16</v>
      </c>
    </row>
    <row r="14" customFormat="false" ht="57.75" hidden="false" customHeight="true" outlineLevel="0" collapsed="false">
      <c r="A14" s="2" t="s">
        <v>17</v>
      </c>
      <c r="B14" s="3" t="s">
        <v>18</v>
      </c>
    </row>
    <row r="15" customFormat="false" ht="57.75" hidden="false" customHeight="true" outlineLevel="0" collapsed="false">
      <c r="A15" s="2" t="s">
        <v>19</v>
      </c>
      <c r="B15" s="5" t="s">
        <v>20</v>
      </c>
    </row>
    <row r="16" customFormat="false" ht="72" hidden="false" customHeight="true" outlineLevel="0" collapsed="false">
      <c r="A16" s="2" t="s">
        <v>21</v>
      </c>
      <c r="B16" s="5" t="s">
        <v>22</v>
      </c>
    </row>
    <row r="17" customFormat="false" ht="39.75" hidden="false" customHeight="true" outlineLevel="0" collapsed="false">
      <c r="A17" s="2" t="s">
        <v>23</v>
      </c>
      <c r="B17" s="3" t="s">
        <v>24</v>
      </c>
    </row>
    <row r="18" customFormat="false" ht="45.75" hidden="false" customHeight="true" outlineLevel="0" collapsed="false">
      <c r="A18" s="2" t="s">
        <v>25</v>
      </c>
      <c r="B18" s="3" t="s">
        <v>26</v>
      </c>
    </row>
    <row r="19" customFormat="false" ht="45.75" hidden="false" customHeight="true" outlineLevel="0" collapsed="false">
      <c r="A19" s="2" t="s">
        <v>27</v>
      </c>
      <c r="B19" s="3" t="s">
        <v>28</v>
      </c>
    </row>
    <row r="20" customFormat="false" ht="85.5" hidden="false" customHeight="true" outlineLevel="0" collapsed="false">
      <c r="A20" s="2" t="s">
        <v>29</v>
      </c>
      <c r="B20" s="3" t="s">
        <v>30</v>
      </c>
    </row>
    <row r="22" customFormat="false" ht="15" hidden="false" customHeight="false" outlineLevel="0" collapsed="false">
      <c r="A22" s="4" t="s">
        <v>31</v>
      </c>
    </row>
    <row r="23" customFormat="false" ht="72" hidden="false" customHeight="true" outlineLevel="0" collapsed="false">
      <c r="A23" s="2" t="s">
        <v>32</v>
      </c>
      <c r="B23" s="3" t="s">
        <v>33</v>
      </c>
    </row>
    <row r="24" customFormat="false" ht="31.5" hidden="false" customHeight="true" outlineLevel="0" collapsed="false">
      <c r="A24" s="2" t="s">
        <v>34</v>
      </c>
      <c r="B24" s="3" t="s">
        <v>35</v>
      </c>
    </row>
    <row r="26" customFormat="false" ht="15" hidden="false" customHeight="false" outlineLevel="0" collapsed="false">
      <c r="A26" s="2" t="s">
        <v>36</v>
      </c>
      <c r="B26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6" t="s">
        <v>39</v>
      </c>
    </row>
    <row r="4" customFormat="false" ht="15" hidden="false" customHeight="false" outlineLevel="0" collapsed="false">
      <c r="A4" s="4" t="s">
        <v>40</v>
      </c>
      <c r="B4" s="7" t="s">
        <v>41</v>
      </c>
      <c r="C4" s="7" t="s">
        <v>42</v>
      </c>
      <c r="D4" s="7" t="s">
        <v>43</v>
      </c>
      <c r="G4" s="7" t="s">
        <v>44</v>
      </c>
    </row>
    <row r="5" customFormat="false" ht="15" hidden="false" customHeight="false" outlineLevel="0" collapsed="false">
      <c r="A5" s="2" t="s">
        <v>45</v>
      </c>
      <c r="B5" s="8" t="n">
        <v>1626.1</v>
      </c>
      <c r="C5" s="8" t="n">
        <v>1996.1</v>
      </c>
      <c r="D5" s="8" t="n">
        <v>2364.2</v>
      </c>
      <c r="G5" s="6" t="s">
        <v>46</v>
      </c>
    </row>
    <row r="6" customFormat="false" ht="15" hidden="false" customHeight="false" outlineLevel="0" collapsed="false">
      <c r="A6" s="2" t="s">
        <v>47</v>
      </c>
      <c r="C6" s="9" t="n">
        <v>0.228</v>
      </c>
      <c r="D6" s="9" t="n">
        <v>0.184</v>
      </c>
      <c r="G6" s="6" t="s">
        <v>48</v>
      </c>
    </row>
    <row r="7" customFormat="false" ht="15" hidden="false" customHeight="false" outlineLevel="0" collapsed="false">
      <c r="A7" s="2" t="s">
        <v>49</v>
      </c>
      <c r="C7" s="9" t="n">
        <v>0.23</v>
      </c>
      <c r="D7" s="9" t="n">
        <v>0.21</v>
      </c>
      <c r="G7" s="6" t="s">
        <v>50</v>
      </c>
    </row>
    <row r="8" customFormat="false" ht="15" hidden="false" customHeight="false" outlineLevel="0" collapsed="false">
      <c r="A8" s="2" t="s">
        <v>51</v>
      </c>
      <c r="B8" s="10" t="n">
        <v>970</v>
      </c>
      <c r="C8" s="10" t="n">
        <v>1285.9</v>
      </c>
      <c r="D8" s="10" t="n">
        <v>1394.3</v>
      </c>
      <c r="G8" s="6" t="s">
        <v>52</v>
      </c>
    </row>
    <row r="9" customFormat="false" ht="15" hidden="false" customHeight="false" outlineLevel="0" collapsed="false">
      <c r="A9" s="2" t="s">
        <v>53</v>
      </c>
      <c r="C9" s="9" t="n">
        <v>0.27</v>
      </c>
      <c r="D9" s="9" t="n">
        <v>0.21</v>
      </c>
      <c r="G9" s="6" t="s">
        <v>54</v>
      </c>
    </row>
    <row r="10" customFormat="false" ht="15" hidden="false" customHeight="false" outlineLevel="0" collapsed="false">
      <c r="A10" s="2" t="s">
        <v>55</v>
      </c>
      <c r="B10" s="11" t="n">
        <f aca="false">B5/B8*10</f>
        <v>16.7639175257732</v>
      </c>
      <c r="C10" s="11" t="n">
        <f aca="false">C5/C8*10</f>
        <v>15.522980013998</v>
      </c>
      <c r="D10" s="11" t="n">
        <f aca="false">D5/D8*10</f>
        <v>16.956178727677</v>
      </c>
      <c r="G10" s="6" t="s">
        <v>56</v>
      </c>
    </row>
    <row r="11" customFormat="false" ht="15" hidden="false" customHeight="false" outlineLevel="0" collapsed="false">
      <c r="A11" s="2" t="s">
        <v>57</v>
      </c>
      <c r="B11" s="8" t="n">
        <v>742.6</v>
      </c>
      <c r="C11" s="8" t="n">
        <v>992.3</v>
      </c>
      <c r="D11" s="8" t="n">
        <v>1245.7</v>
      </c>
      <c r="G11" s="6" t="s">
        <v>52</v>
      </c>
    </row>
    <row r="12" customFormat="false" ht="15" hidden="false" customHeight="false" outlineLevel="0" collapsed="false">
      <c r="A12" s="2" t="s">
        <v>58</v>
      </c>
      <c r="B12" s="9" t="n">
        <v>0.457</v>
      </c>
      <c r="C12" s="9" t="n">
        <v>0.497</v>
      </c>
      <c r="D12" s="9" t="n">
        <v>0.527</v>
      </c>
      <c r="G12" s="6" t="s">
        <v>59</v>
      </c>
    </row>
    <row r="13" customFormat="false" ht="15" hidden="false" customHeight="false" outlineLevel="0" collapsed="false">
      <c r="A13" s="2" t="s">
        <v>60</v>
      </c>
      <c r="B13" s="8" t="n">
        <v>681.8</v>
      </c>
      <c r="C13" s="8" t="n">
        <v>872.5</v>
      </c>
      <c r="D13" s="8" t="n">
        <v>1096.3</v>
      </c>
      <c r="G13" s="6" t="s">
        <v>61</v>
      </c>
    </row>
    <row r="14" customFormat="false" ht="15" hidden="false" customHeight="false" outlineLevel="0" collapsed="false">
      <c r="A14" s="2" t="s">
        <v>62</v>
      </c>
      <c r="B14" s="8" t="n">
        <v>241.6</v>
      </c>
      <c r="C14" s="8" t="n">
        <v>350.1</v>
      </c>
      <c r="D14" s="8" t="n">
        <v>272.6</v>
      </c>
      <c r="G14" s="6" t="s">
        <v>63</v>
      </c>
    </row>
    <row r="15" customFormat="false" ht="15" hidden="false" customHeight="false" outlineLevel="0" collapsed="false">
      <c r="A15" s="2" t="s">
        <v>64</v>
      </c>
      <c r="B15" s="8" t="n">
        <v>698.3</v>
      </c>
      <c r="C15" s="8" t="n">
        <v>925.2</v>
      </c>
      <c r="D15" s="8" t="n">
        <v>1062.5</v>
      </c>
      <c r="G15" s="6" t="s">
        <v>65</v>
      </c>
    </row>
    <row r="16" customFormat="false" ht="15" hidden="false" customHeight="false" outlineLevel="0" collapsed="false">
      <c r="A16" s="2" t="s">
        <v>66</v>
      </c>
      <c r="D16" s="9" t="n">
        <v>0.224</v>
      </c>
      <c r="G16" s="6" t="s">
        <v>67</v>
      </c>
    </row>
    <row r="17" customFormat="false" ht="15" hidden="false" customHeight="false" outlineLevel="0" collapsed="false">
      <c r="A17" s="2" t="s">
        <v>68</v>
      </c>
      <c r="B17" s="9" t="n">
        <v>0.04</v>
      </c>
      <c r="C17" s="9" t="n">
        <v>0.05</v>
      </c>
      <c r="D17" s="9" t="n">
        <v>0.05</v>
      </c>
      <c r="G17" s="6" t="s">
        <v>50</v>
      </c>
    </row>
    <row r="18" customFormat="false" ht="15" hidden="false" customHeight="false" outlineLevel="0" collapsed="false">
      <c r="A18" s="2" t="s">
        <v>69</v>
      </c>
      <c r="C18" s="9" t="n">
        <v>0.87</v>
      </c>
      <c r="D18" s="9" t="n">
        <v>0.87</v>
      </c>
      <c r="G18" s="6" t="s">
        <v>50</v>
      </c>
    </row>
    <row r="20" customFormat="false" ht="15" hidden="false" customHeight="false" outlineLevel="0" collapsed="false">
      <c r="A20" s="4" t="s">
        <v>70</v>
      </c>
    </row>
    <row r="21" customFormat="false" ht="15" hidden="false" customHeight="false" outlineLevel="0" collapsed="false">
      <c r="B21" s="7" t="s">
        <v>71</v>
      </c>
      <c r="C21" s="7" t="s">
        <v>72</v>
      </c>
      <c r="D21" s="7" t="s">
        <v>73</v>
      </c>
      <c r="G21" s="7" t="s">
        <v>44</v>
      </c>
    </row>
    <row r="22" customFormat="false" ht="15" hidden="false" customHeight="false" outlineLevel="0" collapsed="false">
      <c r="A22" s="2" t="s">
        <v>74</v>
      </c>
      <c r="B22" s="8" t="n">
        <v>1093.5</v>
      </c>
      <c r="C22" s="8" t="n">
        <v>1270.7</v>
      </c>
      <c r="D22" s="8" t="n">
        <v>620.8</v>
      </c>
      <c r="G22" s="6" t="s">
        <v>75</v>
      </c>
    </row>
    <row r="23" customFormat="false" ht="15" hidden="false" customHeight="false" outlineLevel="0" collapsed="false">
      <c r="A23" s="2" t="s">
        <v>76</v>
      </c>
      <c r="B23" s="9" t="n">
        <v>0.2</v>
      </c>
      <c r="C23" s="9" t="n">
        <v>0.17</v>
      </c>
      <c r="D23" s="9" t="n">
        <v>0.16</v>
      </c>
      <c r="G23" s="6" t="s">
        <v>50</v>
      </c>
    </row>
    <row r="24" customFormat="false" ht="15" hidden="false" customHeight="false" outlineLevel="0" collapsed="false">
      <c r="A24" s="2" t="s">
        <v>77</v>
      </c>
      <c r="B24" s="9" t="n">
        <v>0.2</v>
      </c>
      <c r="C24" s="9" t="n">
        <v>0.21</v>
      </c>
      <c r="D24" s="9" t="n">
        <v>0.2</v>
      </c>
      <c r="G24" s="6" t="s">
        <v>50</v>
      </c>
    </row>
    <row r="25" customFormat="false" ht="15" hidden="false" customHeight="false" outlineLevel="0" collapsed="false">
      <c r="A25" s="2" t="s">
        <v>51</v>
      </c>
      <c r="B25" s="10" t="n">
        <v>649</v>
      </c>
      <c r="C25" s="10" t="n">
        <v>745.3</v>
      </c>
      <c r="D25" s="10" t="n">
        <v>382</v>
      </c>
      <c r="G25" s="6" t="s">
        <v>50</v>
      </c>
    </row>
    <row r="26" customFormat="false" ht="15" hidden="false" customHeight="false" outlineLevel="0" collapsed="false">
      <c r="A26" s="2" t="s">
        <v>78</v>
      </c>
      <c r="B26" s="12" t="n">
        <v>16.85</v>
      </c>
      <c r="C26" s="12" t="n">
        <v>17.06</v>
      </c>
      <c r="D26" s="12" t="n">
        <v>16.25</v>
      </c>
      <c r="G26" s="6" t="s">
        <v>79</v>
      </c>
    </row>
    <row r="27" customFormat="false" ht="15" hidden="false" customHeight="false" outlineLevel="0" collapsed="false">
      <c r="A27" s="2" t="s">
        <v>58</v>
      </c>
      <c r="B27" s="9" t="n">
        <v>0.5</v>
      </c>
      <c r="C27" s="9" t="n">
        <v>0.55</v>
      </c>
      <c r="G27" s="6" t="s">
        <v>80</v>
      </c>
    </row>
    <row r="28" customFormat="false" ht="15" hidden="false" customHeight="false" outlineLevel="0" collapsed="false">
      <c r="A28" s="2" t="s">
        <v>81</v>
      </c>
      <c r="B28" s="8" t="n">
        <v>638.9</v>
      </c>
      <c r="D28" s="8" t="n">
        <v>349.6</v>
      </c>
      <c r="G28" s="6" t="s">
        <v>82</v>
      </c>
    </row>
    <row r="29" customFormat="false" ht="15" hidden="false" customHeight="false" outlineLevel="0" collapsed="false">
      <c r="A29" s="2" t="s">
        <v>83</v>
      </c>
      <c r="D29" s="8" t="n">
        <v>196.2</v>
      </c>
      <c r="G29" s="6" t="s">
        <v>82</v>
      </c>
    </row>
    <row r="30" customFormat="false" ht="15" hidden="false" customHeight="false" outlineLevel="0" collapsed="false">
      <c r="A30" s="2" t="s">
        <v>84</v>
      </c>
      <c r="D30" s="8" t="n">
        <v>75</v>
      </c>
      <c r="G30" s="6" t="s">
        <v>85</v>
      </c>
    </row>
    <row r="32" customFormat="false" ht="15" hidden="false" customHeight="false" outlineLevel="0" collapsed="false">
      <c r="A32" s="4" t="s">
        <v>86</v>
      </c>
    </row>
    <row r="33" customFormat="false" ht="15" hidden="false" customHeight="false" outlineLevel="0" collapsed="false">
      <c r="A33" s="2" t="s">
        <v>87</v>
      </c>
      <c r="B33" s="13" t="s">
        <v>88</v>
      </c>
      <c r="C33" s="13"/>
      <c r="D33" s="13"/>
      <c r="E33" s="13"/>
      <c r="F33" s="13"/>
      <c r="G33" s="6" t="s">
        <v>89</v>
      </c>
    </row>
    <row r="34" customFormat="false" ht="15" hidden="false" customHeight="false" outlineLevel="0" collapsed="false">
      <c r="A34" s="2" t="s">
        <v>90</v>
      </c>
      <c r="B34" s="13" t="s">
        <v>91</v>
      </c>
      <c r="C34" s="13"/>
      <c r="D34" s="13"/>
      <c r="E34" s="13"/>
      <c r="F34" s="13"/>
      <c r="G34" s="6" t="s">
        <v>92</v>
      </c>
    </row>
    <row r="35" customFormat="false" ht="15" hidden="false" customHeight="false" outlineLevel="0" collapsed="false">
      <c r="A35" s="2" t="s">
        <v>93</v>
      </c>
      <c r="B35" s="13" t="s">
        <v>94</v>
      </c>
      <c r="C35" s="13"/>
      <c r="D35" s="13"/>
      <c r="E35" s="13"/>
      <c r="F35" s="13"/>
      <c r="G35" s="6" t="s">
        <v>95</v>
      </c>
    </row>
    <row r="36" customFormat="false" ht="15" hidden="false" customHeight="false" outlineLevel="0" collapsed="false">
      <c r="A36" s="2" t="s">
        <v>96</v>
      </c>
      <c r="B36" s="13" t="s">
        <v>97</v>
      </c>
      <c r="C36" s="13"/>
      <c r="D36" s="13"/>
      <c r="E36" s="13"/>
      <c r="F36" s="13"/>
      <c r="G36" s="6" t="s">
        <v>65</v>
      </c>
    </row>
    <row r="37" customFormat="false" ht="15" hidden="false" customHeight="false" outlineLevel="0" collapsed="false">
      <c r="A37" s="2" t="s">
        <v>98</v>
      </c>
      <c r="B37" s="13" t="s">
        <v>99</v>
      </c>
      <c r="C37" s="13"/>
      <c r="D37" s="13"/>
      <c r="E37" s="13"/>
      <c r="F37" s="13"/>
      <c r="G37" s="6" t="s">
        <v>100</v>
      </c>
    </row>
    <row r="38" customFormat="false" ht="15" hidden="false" customHeight="false" outlineLevel="0" collapsed="false">
      <c r="A38" s="2" t="s">
        <v>101</v>
      </c>
      <c r="B38" s="13" t="s">
        <v>102</v>
      </c>
      <c r="C38" s="13"/>
      <c r="D38" s="13"/>
      <c r="E38" s="13"/>
      <c r="F38" s="13"/>
      <c r="G38" s="6" t="s">
        <v>103</v>
      </c>
    </row>
    <row r="40" customFormat="false" ht="15" hidden="false" customHeight="false" outlineLevel="0" collapsed="false">
      <c r="A40" s="4" t="s">
        <v>104</v>
      </c>
    </row>
    <row r="41" customFormat="false" ht="15" hidden="false" customHeight="false" outlineLevel="0" collapsed="false">
      <c r="A41" s="2" t="s">
        <v>105</v>
      </c>
      <c r="B41" s="8" t="n">
        <v>4230</v>
      </c>
      <c r="G41" s="6" t="s">
        <v>106</v>
      </c>
    </row>
    <row r="42" customFormat="false" ht="15" hidden="false" customHeight="false" outlineLevel="0" collapsed="false">
      <c r="A42" s="2" t="s">
        <v>107</v>
      </c>
      <c r="B42" s="8" t="n">
        <v>1062.5</v>
      </c>
      <c r="G42" s="6" t="s">
        <v>108</v>
      </c>
    </row>
    <row r="43" customFormat="false" ht="15" hidden="false" customHeight="false" outlineLevel="0" collapsed="false">
      <c r="A43" s="2" t="s">
        <v>109</v>
      </c>
      <c r="B43" s="8" t="n">
        <v>750</v>
      </c>
      <c r="G43" s="6" t="s">
        <v>110</v>
      </c>
    </row>
    <row r="44" customFormat="false" ht="15" hidden="false" customHeight="false" outlineLevel="0" collapsed="false">
      <c r="A44" s="2" t="s">
        <v>111</v>
      </c>
      <c r="B44" s="8" t="n">
        <v>285</v>
      </c>
      <c r="G44" s="6" t="s">
        <v>112</v>
      </c>
    </row>
    <row r="45" customFormat="false" ht="15" hidden="false" customHeight="false" outlineLevel="0" collapsed="false">
      <c r="A45" s="2" t="s">
        <v>113</v>
      </c>
      <c r="B45" s="14" t="n">
        <v>4200</v>
      </c>
      <c r="G45" s="6" t="s">
        <v>114</v>
      </c>
    </row>
    <row r="46" customFormat="false" ht="15" hidden="false" customHeight="false" outlineLevel="0" collapsed="false">
      <c r="A46" s="2" t="s">
        <v>115</v>
      </c>
      <c r="B46" s="14" t="n">
        <v>12420</v>
      </c>
      <c r="G46" s="6" t="s">
        <v>116</v>
      </c>
    </row>
    <row r="47" customFormat="false" ht="15" hidden="false" customHeight="false" outlineLevel="0" collapsed="false">
      <c r="A47" s="2" t="s">
        <v>117</v>
      </c>
      <c r="B47" s="10" t="n">
        <v>31.55</v>
      </c>
      <c r="G47" s="6" t="s">
        <v>118</v>
      </c>
    </row>
    <row r="48" customFormat="false" ht="15" hidden="false" customHeight="false" outlineLevel="0" collapsed="false">
      <c r="A48" s="2" t="s">
        <v>119</v>
      </c>
      <c r="B48" s="15" t="n">
        <v>933.2</v>
      </c>
      <c r="G48" s="6" t="s">
        <v>120</v>
      </c>
    </row>
    <row r="49" customFormat="false" ht="15" hidden="false" customHeight="false" outlineLevel="0" collapsed="false">
      <c r="A49" s="2" t="s">
        <v>121</v>
      </c>
      <c r="B49" s="13" t="s">
        <v>122</v>
      </c>
      <c r="C49" s="13"/>
      <c r="D49" s="13"/>
      <c r="E49" s="13"/>
      <c r="F49" s="13"/>
      <c r="G49" s="6" t="s">
        <v>123</v>
      </c>
    </row>
    <row r="50" customFormat="false" ht="15" hidden="false" customHeight="false" outlineLevel="0" collapsed="false">
      <c r="A50" s="2" t="s">
        <v>124</v>
      </c>
      <c r="B50" s="15" t="n">
        <v>2760</v>
      </c>
      <c r="G50" s="6" t="s">
        <v>125</v>
      </c>
    </row>
    <row r="51" customFormat="false" ht="15" hidden="false" customHeight="false" outlineLevel="0" collapsed="false">
      <c r="A51" s="2" t="s">
        <v>126</v>
      </c>
      <c r="B51" s="13" t="s">
        <v>127</v>
      </c>
      <c r="C51" s="13"/>
      <c r="D51" s="13"/>
      <c r="E51" s="13"/>
      <c r="F51" s="13"/>
      <c r="G51" s="6" t="s">
        <v>128</v>
      </c>
    </row>
    <row r="53" customFormat="false" ht="15" hidden="false" customHeight="false" outlineLevel="0" collapsed="false">
      <c r="A53" s="4" t="s">
        <v>129</v>
      </c>
    </row>
    <row r="54" customFormat="false" ht="15" hidden="false" customHeight="false" outlineLevel="0" collapsed="false">
      <c r="A54" s="2" t="s">
        <v>130</v>
      </c>
      <c r="B54" s="13" t="s">
        <v>131</v>
      </c>
      <c r="C54" s="13"/>
      <c r="D54" s="13"/>
      <c r="E54" s="13"/>
      <c r="F54" s="13"/>
      <c r="G54" s="13"/>
    </row>
    <row r="55" customFormat="false" ht="15" hidden="false" customHeight="false" outlineLevel="0" collapsed="false">
      <c r="A55" s="2" t="s">
        <v>132</v>
      </c>
      <c r="B55" s="13" t="s">
        <v>133</v>
      </c>
      <c r="C55" s="13"/>
      <c r="D55" s="13"/>
      <c r="E55" s="13"/>
      <c r="F55" s="13"/>
      <c r="G55" s="13"/>
    </row>
    <row r="56" customFormat="false" ht="15" hidden="false" customHeight="false" outlineLevel="0" collapsed="false">
      <c r="A56" s="2" t="s">
        <v>134</v>
      </c>
      <c r="B56" s="13" t="s">
        <v>135</v>
      </c>
      <c r="C56" s="13"/>
      <c r="D56" s="13"/>
      <c r="E56" s="13"/>
      <c r="F56" s="13"/>
      <c r="G56" s="13"/>
    </row>
    <row r="57" customFormat="false" ht="15" hidden="false" customHeight="false" outlineLevel="0" collapsed="false">
      <c r="A57" s="2" t="s">
        <v>136</v>
      </c>
      <c r="B57" s="13" t="s">
        <v>137</v>
      </c>
      <c r="C57" s="13"/>
      <c r="D57" s="13"/>
      <c r="E57" s="13"/>
      <c r="F57" s="13"/>
      <c r="G57" s="13"/>
    </row>
    <row r="58" customFormat="false" ht="15" hidden="false" customHeight="false" outlineLevel="0" collapsed="false">
      <c r="A58" s="2" t="s">
        <v>138</v>
      </c>
      <c r="B58" s="13" t="s">
        <v>139</v>
      </c>
      <c r="C58" s="13"/>
      <c r="D58" s="13"/>
      <c r="E58" s="13"/>
      <c r="F58" s="13"/>
      <c r="G58" s="13"/>
    </row>
    <row r="59" customFormat="false" ht="15" hidden="false" customHeight="false" outlineLevel="0" collapsed="false">
      <c r="A59" s="2" t="s">
        <v>140</v>
      </c>
      <c r="B59" s="13" t="s">
        <v>141</v>
      </c>
      <c r="C59" s="13"/>
      <c r="D59" s="13"/>
      <c r="E59" s="13"/>
      <c r="F59" s="13"/>
      <c r="G59" s="13"/>
    </row>
    <row r="60" customFormat="false" ht="15" hidden="false" customHeight="false" outlineLevel="0" collapsed="false">
      <c r="A60" s="2" t="s">
        <v>142</v>
      </c>
      <c r="B60" s="13" t="s">
        <v>143</v>
      </c>
      <c r="C60" s="13"/>
      <c r="D60" s="13"/>
      <c r="E60" s="13"/>
      <c r="F60" s="13"/>
      <c r="G60" s="13"/>
    </row>
  </sheetData>
  <mergeCells count="15">
    <mergeCell ref="B33:F33"/>
    <mergeCell ref="B34:F34"/>
    <mergeCell ref="B35:F35"/>
    <mergeCell ref="B36:F36"/>
    <mergeCell ref="B37:F37"/>
    <mergeCell ref="B38:F38"/>
    <mergeCell ref="B49:F49"/>
    <mergeCell ref="B51:F51"/>
    <mergeCell ref="B54:G54"/>
    <mergeCell ref="B55:G55"/>
    <mergeCell ref="B56:G56"/>
    <mergeCell ref="B57:G57"/>
    <mergeCell ref="B58:G58"/>
    <mergeCell ref="B59:G59"/>
    <mergeCell ref="B60:G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"/>
    <col collapsed="false" customWidth="true" hidden="false" outlineLevel="0" max="8" min="8" style="0" width="66"/>
  </cols>
  <sheetData>
    <row r="1" customFormat="false" ht="16.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6" t="s">
        <v>145</v>
      </c>
    </row>
    <row r="4" customFormat="false" ht="15" hidden="false" customHeight="false" outlineLevel="0" collapsed="false">
      <c r="A4" s="4" t="s">
        <v>146</v>
      </c>
    </row>
    <row r="5" customFormat="false" ht="30" hidden="false" customHeight="true" outlineLevel="0" collapsed="false">
      <c r="A5" s="2" t="s">
        <v>147</v>
      </c>
      <c r="B5" s="16" t="n">
        <v>0.105</v>
      </c>
      <c r="H5" s="3" t="s">
        <v>148</v>
      </c>
    </row>
    <row r="6" customFormat="false" ht="30" hidden="false" customHeight="true" outlineLevel="0" collapsed="false">
      <c r="A6" s="2" t="s">
        <v>149</v>
      </c>
      <c r="B6" s="16" t="n">
        <v>0.06</v>
      </c>
      <c r="H6" s="3" t="s">
        <v>150</v>
      </c>
    </row>
    <row r="7" customFormat="false" ht="30" hidden="false" customHeight="true" outlineLevel="0" collapsed="false">
      <c r="A7" s="2" t="s">
        <v>151</v>
      </c>
      <c r="B7" s="16" t="n">
        <v>0.05</v>
      </c>
      <c r="H7" s="3" t="s">
        <v>152</v>
      </c>
    </row>
    <row r="8" customFormat="false" ht="30" hidden="false" customHeight="true" outlineLevel="0" collapsed="false">
      <c r="A8" s="2" t="s">
        <v>153</v>
      </c>
      <c r="B8" s="16" t="n">
        <v>0</v>
      </c>
      <c r="H8" s="3" t="s">
        <v>154</v>
      </c>
    </row>
    <row r="9" customFormat="false" ht="30" hidden="false" customHeight="true" outlineLevel="0" collapsed="false">
      <c r="A9" s="2" t="s">
        <v>155</v>
      </c>
      <c r="B9" s="17" t="n">
        <v>4200</v>
      </c>
      <c r="H9" s="5" t="s">
        <v>156</v>
      </c>
    </row>
    <row r="10" customFormat="false" ht="30" hidden="false" customHeight="true" outlineLevel="0" collapsed="false">
      <c r="A10" s="2" t="s">
        <v>157</v>
      </c>
      <c r="B10" s="18" t="n">
        <v>31.55</v>
      </c>
      <c r="H10" s="3" t="s">
        <v>158</v>
      </c>
    </row>
    <row r="11" customFormat="false" ht="30" hidden="false" customHeight="true" outlineLevel="0" collapsed="false">
      <c r="A11" s="2" t="s">
        <v>159</v>
      </c>
      <c r="B11" s="19" t="n">
        <v>933.2</v>
      </c>
      <c r="H11" s="3" t="s">
        <v>160</v>
      </c>
    </row>
    <row r="12" customFormat="false" ht="30" hidden="false" customHeight="true" outlineLevel="0" collapsed="false">
      <c r="A12" s="2" t="s">
        <v>161</v>
      </c>
      <c r="B12" s="20" t="n">
        <v>20</v>
      </c>
      <c r="H12" s="3" t="s">
        <v>162</v>
      </c>
    </row>
    <row r="13" customFormat="false" ht="30" hidden="false" customHeight="true" outlineLevel="0" collapsed="false">
      <c r="A13" s="2" t="s">
        <v>163</v>
      </c>
      <c r="B13" s="20" t="n">
        <v>12</v>
      </c>
      <c r="H13" s="3" t="s">
        <v>164</v>
      </c>
    </row>
    <row r="15" customFormat="false" ht="15" hidden="false" customHeight="false" outlineLevel="0" collapsed="false">
      <c r="A15" s="4" t="s">
        <v>165</v>
      </c>
      <c r="C15" s="7" t="s">
        <v>166</v>
      </c>
      <c r="D15" s="7" t="s">
        <v>167</v>
      </c>
      <c r="E15" s="7" t="s">
        <v>168</v>
      </c>
    </row>
    <row r="16" customFormat="false" ht="15" hidden="false" customHeight="false" outlineLevel="0" collapsed="false">
      <c r="A16" s="2" t="s">
        <v>169</v>
      </c>
      <c r="C16" s="16" t="n">
        <v>0.015</v>
      </c>
      <c r="D16" s="16" t="n">
        <v>0.03</v>
      </c>
      <c r="E16" s="16" t="n">
        <v>0.035</v>
      </c>
    </row>
    <row r="17" customFormat="false" ht="15" hidden="false" customHeight="false" outlineLevel="0" collapsed="false">
      <c r="A17" s="2" t="s">
        <v>170</v>
      </c>
      <c r="C17" s="16" t="n">
        <v>0.15</v>
      </c>
      <c r="D17" s="16" t="n">
        <v>0.5</v>
      </c>
      <c r="E17" s="16" t="n">
        <v>0.35</v>
      </c>
      <c r="F17" s="21" t="n">
        <f aca="false">SUM(C17:E17)</f>
        <v>1</v>
      </c>
      <c r="G17" s="6" t="s">
        <v>171</v>
      </c>
    </row>
    <row r="19" customFormat="false" ht="15" hidden="false" customHeight="false" outlineLevel="0" collapsed="false">
      <c r="A19" s="4" t="s">
        <v>172</v>
      </c>
    </row>
    <row r="20" customFormat="false" ht="85.5" hidden="false" customHeight="true" outlineLevel="0" collapsed="false">
      <c r="A20" s="2" t="s">
        <v>166</v>
      </c>
      <c r="B20" s="22" t="s">
        <v>173</v>
      </c>
      <c r="C20" s="22"/>
      <c r="D20" s="22"/>
      <c r="E20" s="22"/>
      <c r="F20" s="22"/>
      <c r="G20" s="22"/>
      <c r="H20" s="22"/>
    </row>
    <row r="21" customFormat="false" ht="85.5" hidden="false" customHeight="true" outlineLevel="0" collapsed="false">
      <c r="A21" s="2" t="s">
        <v>167</v>
      </c>
      <c r="B21" s="22" t="s">
        <v>174</v>
      </c>
      <c r="C21" s="22"/>
      <c r="D21" s="22"/>
      <c r="E21" s="22"/>
      <c r="F21" s="22"/>
      <c r="G21" s="22"/>
      <c r="H21" s="22"/>
    </row>
    <row r="22" customFormat="false" ht="85.5" hidden="false" customHeight="true" outlineLevel="0" collapsed="false">
      <c r="A22" s="2" t="s">
        <v>168</v>
      </c>
      <c r="B22" s="22" t="s">
        <v>175</v>
      </c>
      <c r="C22" s="22"/>
      <c r="D22" s="22"/>
      <c r="E22" s="22"/>
      <c r="F22" s="22"/>
      <c r="G22" s="22"/>
      <c r="H22" s="22"/>
    </row>
  </sheetData>
  <mergeCells count="3">
    <mergeCell ref="B20:H20"/>
    <mergeCell ref="B21:H21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6" t="s">
        <v>177</v>
      </c>
    </row>
    <row r="3" customFormat="false" ht="15" hidden="false" customHeight="false" outlineLevel="0" collapsed="false">
      <c r="B3" s="7" t="s">
        <v>178</v>
      </c>
      <c r="C3" s="7" t="s">
        <v>179</v>
      </c>
      <c r="D3" s="7" t="s">
        <v>180</v>
      </c>
      <c r="E3" s="7" t="s">
        <v>181</v>
      </c>
      <c r="F3" s="7" t="s">
        <v>182</v>
      </c>
      <c r="G3" s="7" t="s">
        <v>183</v>
      </c>
      <c r="H3" s="7" t="s">
        <v>184</v>
      </c>
      <c r="I3" s="7" t="s">
        <v>185</v>
      </c>
      <c r="J3" s="7" t="s">
        <v>186</v>
      </c>
      <c r="K3" s="7" t="s">
        <v>187</v>
      </c>
      <c r="L3" s="7" t="s">
        <v>188</v>
      </c>
    </row>
    <row r="4" customFormat="false" ht="15" hidden="false" customHeight="false" outlineLevel="0" collapsed="false">
      <c r="A4" s="23" t="s">
        <v>189</v>
      </c>
      <c r="B4" s="23" t="n">
        <v>0</v>
      </c>
      <c r="C4" s="23" t="n">
        <v>1</v>
      </c>
      <c r="D4" s="23" t="n">
        <v>2</v>
      </c>
      <c r="E4" s="23" t="n">
        <v>3</v>
      </c>
      <c r="F4" s="23" t="n">
        <v>4</v>
      </c>
      <c r="G4" s="23" t="n">
        <v>5</v>
      </c>
      <c r="H4" s="23" t="n">
        <v>6</v>
      </c>
      <c r="I4" s="23" t="n">
        <v>7</v>
      </c>
      <c r="J4" s="23" t="n">
        <v>8</v>
      </c>
      <c r="K4" s="23" t="n">
        <v>9</v>
      </c>
      <c r="L4" s="23" t="n">
        <v>10</v>
      </c>
    </row>
    <row r="5" customFormat="false" ht="15" hidden="false" customHeight="false" outlineLevel="0" collapsed="false">
      <c r="A5" s="2" t="s">
        <v>190</v>
      </c>
      <c r="C5" s="16" t="n">
        <v>0.15</v>
      </c>
      <c r="D5" s="16" t="n">
        <v>0.11</v>
      </c>
      <c r="E5" s="16" t="n">
        <v>0.09</v>
      </c>
      <c r="F5" s="16" t="n">
        <v>0.07</v>
      </c>
      <c r="G5" s="16" t="n">
        <v>0.06</v>
      </c>
      <c r="H5" s="16" t="n">
        <v>0.05</v>
      </c>
      <c r="I5" s="16" t="n">
        <v>0.04</v>
      </c>
      <c r="J5" s="16" t="n">
        <v>0.04</v>
      </c>
      <c r="K5" s="16" t="n">
        <v>0.03</v>
      </c>
      <c r="L5" s="16" t="n">
        <v>0.03</v>
      </c>
    </row>
    <row r="6" customFormat="false" ht="15" hidden="false" customHeight="false" outlineLevel="0" collapsed="false">
      <c r="A6" s="2" t="s">
        <v>74</v>
      </c>
      <c r="B6" s="8" t="n">
        <v>2364.2</v>
      </c>
      <c r="C6" s="24" t="n">
        <f aca="false">B6*(1+C5)</f>
        <v>2718.83</v>
      </c>
      <c r="D6" s="24" t="n">
        <f aca="false">C6*(1+D5)</f>
        <v>3017.9013</v>
      </c>
      <c r="E6" s="24" t="n">
        <f aca="false">D6*(1+E5)</f>
        <v>3289.512417</v>
      </c>
      <c r="F6" s="24" t="n">
        <f aca="false">E6*(1+F5)</f>
        <v>3519.77828619</v>
      </c>
      <c r="G6" s="24" t="n">
        <f aca="false">F6*(1+G5)</f>
        <v>3730.9649833614</v>
      </c>
      <c r="H6" s="24" t="n">
        <f aca="false">G6*(1+H5)</f>
        <v>3917.51323252947</v>
      </c>
      <c r="I6" s="24" t="n">
        <f aca="false">H6*(1+I5)</f>
        <v>4074.21376183065</v>
      </c>
      <c r="J6" s="24" t="n">
        <f aca="false">I6*(1+J5)</f>
        <v>4237.18231230388</v>
      </c>
      <c r="K6" s="24" t="n">
        <f aca="false">J6*(1+K5)</f>
        <v>4364.29778167299</v>
      </c>
      <c r="L6" s="24" t="n">
        <f aca="false">K6*(1+L5)</f>
        <v>4495.22671512318</v>
      </c>
    </row>
    <row r="7" customFormat="false" ht="15" hidden="false" customHeight="false" outlineLevel="0" collapsed="false">
      <c r="A7" s="2" t="s">
        <v>191</v>
      </c>
      <c r="B7" s="9" t="n">
        <v>0.557</v>
      </c>
      <c r="C7" s="16" t="n">
        <v>0.55</v>
      </c>
      <c r="D7" s="16" t="n">
        <v>0.542</v>
      </c>
      <c r="E7" s="16" t="n">
        <v>0.534</v>
      </c>
      <c r="F7" s="16" t="n">
        <v>0.525</v>
      </c>
      <c r="G7" s="16" t="n">
        <v>0.516</v>
      </c>
      <c r="H7" s="16" t="n">
        <v>0.517</v>
      </c>
      <c r="I7" s="16" t="n">
        <v>0.508</v>
      </c>
      <c r="J7" s="16" t="n">
        <v>0.508</v>
      </c>
      <c r="K7" s="16" t="n">
        <v>0.499</v>
      </c>
      <c r="L7" s="16" t="n">
        <v>0.5</v>
      </c>
    </row>
    <row r="8" customFormat="false" ht="15" hidden="false" customHeight="false" outlineLevel="0" collapsed="false">
      <c r="A8" s="2" t="s">
        <v>192</v>
      </c>
      <c r="C8" s="24" t="n">
        <f aca="false">C6*C7</f>
        <v>1495.3565</v>
      </c>
      <c r="D8" s="24" t="n">
        <f aca="false">D6*D7</f>
        <v>1635.7025046</v>
      </c>
      <c r="E8" s="24" t="n">
        <f aca="false">E6*E7</f>
        <v>1756.599630678</v>
      </c>
      <c r="F8" s="24" t="n">
        <f aca="false">F6*F7</f>
        <v>1847.88360024975</v>
      </c>
      <c r="G8" s="24" t="n">
        <f aca="false">G6*G7</f>
        <v>1925.17793141448</v>
      </c>
      <c r="H8" s="24" t="n">
        <f aca="false">H6*H7</f>
        <v>2025.35434121774</v>
      </c>
      <c r="I8" s="24" t="n">
        <f aca="false">I6*I7</f>
        <v>2069.70059100997</v>
      </c>
      <c r="J8" s="24" t="n">
        <f aca="false">J6*J7</f>
        <v>2152.48861465037</v>
      </c>
      <c r="K8" s="24" t="n">
        <f aca="false">K6*K7</f>
        <v>2177.78459305482</v>
      </c>
      <c r="L8" s="24" t="n">
        <f aca="false">L6*L7</f>
        <v>2247.61335756159</v>
      </c>
    </row>
    <row r="9" customFormat="false" ht="15" hidden="false" customHeight="false" outlineLevel="0" collapsed="false">
      <c r="A9" s="2" t="s">
        <v>193</v>
      </c>
      <c r="B9" s="9" t="n">
        <v>0.03</v>
      </c>
      <c r="C9" s="16" t="n">
        <v>0.03</v>
      </c>
      <c r="D9" s="16" t="n">
        <v>0.032</v>
      </c>
      <c r="E9" s="16" t="n">
        <v>0.034</v>
      </c>
      <c r="F9" s="16" t="n">
        <v>0.035</v>
      </c>
      <c r="G9" s="16" t="n">
        <v>0.036</v>
      </c>
      <c r="H9" s="16" t="n">
        <v>0.037</v>
      </c>
      <c r="I9" s="16" t="n">
        <v>0.038</v>
      </c>
      <c r="J9" s="16" t="n">
        <v>0.038</v>
      </c>
      <c r="K9" s="16" t="n">
        <v>0.039</v>
      </c>
      <c r="L9" s="16" t="n">
        <v>0.04</v>
      </c>
    </row>
    <row r="10" customFormat="false" ht="15" hidden="false" customHeight="false" outlineLevel="0" collapsed="false">
      <c r="A10" s="2" t="s">
        <v>194</v>
      </c>
      <c r="C10" s="24" t="n">
        <f aca="false">-C6*C9</f>
        <v>-81.5649</v>
      </c>
      <c r="D10" s="24" t="n">
        <f aca="false">-D6*D9</f>
        <v>-96.5728416</v>
      </c>
      <c r="E10" s="24" t="n">
        <f aca="false">-E6*E9</f>
        <v>-111.843422178</v>
      </c>
      <c r="F10" s="24" t="n">
        <f aca="false">-F6*F9</f>
        <v>-123.19224001665</v>
      </c>
      <c r="G10" s="24" t="n">
        <f aca="false">-G6*G9</f>
        <v>-134.31473940101</v>
      </c>
      <c r="H10" s="24" t="n">
        <f aca="false">-H6*H9</f>
        <v>-144.94798960359</v>
      </c>
      <c r="I10" s="24" t="n">
        <f aca="false">-I6*I9</f>
        <v>-154.820122949565</v>
      </c>
      <c r="J10" s="24" t="n">
        <f aca="false">-J6*J9</f>
        <v>-161.012927867547</v>
      </c>
      <c r="K10" s="24" t="n">
        <f aca="false">-K6*K9</f>
        <v>-170.207613485247</v>
      </c>
      <c r="L10" s="24" t="n">
        <f aca="false">-L6*L9</f>
        <v>-179.809068604927</v>
      </c>
    </row>
    <row r="11" customFormat="false" ht="15" hidden="false" customHeight="false" outlineLevel="0" collapsed="false">
      <c r="A11" s="2" t="s">
        <v>195</v>
      </c>
      <c r="C11" s="24" t="n">
        <f aca="false">C8+C10</f>
        <v>1413.7916</v>
      </c>
      <c r="D11" s="24" t="n">
        <f aca="false">D8+D10</f>
        <v>1539.129663</v>
      </c>
      <c r="E11" s="24" t="n">
        <f aca="false">E8+E10</f>
        <v>1644.7562085</v>
      </c>
      <c r="F11" s="24" t="n">
        <f aca="false">F8+F10</f>
        <v>1724.6913602331</v>
      </c>
      <c r="G11" s="24" t="n">
        <f aca="false">G8+G10</f>
        <v>1790.86319201347</v>
      </c>
      <c r="H11" s="24" t="n">
        <f aca="false">H8+H10</f>
        <v>1880.40635161415</v>
      </c>
      <c r="I11" s="24" t="n">
        <f aca="false">I8+I10</f>
        <v>1914.88046806041</v>
      </c>
      <c r="J11" s="24" t="n">
        <f aca="false">J8+J10</f>
        <v>1991.47568678282</v>
      </c>
      <c r="K11" s="24" t="n">
        <f aca="false">K8+K10</f>
        <v>2007.57697956958</v>
      </c>
      <c r="L11" s="24" t="n">
        <f aca="false">L8+L10</f>
        <v>2067.80428895666</v>
      </c>
    </row>
    <row r="12" customFormat="false" ht="15" hidden="false" customHeight="false" outlineLevel="0" collapsed="false">
      <c r="A12" s="2" t="s">
        <v>196</v>
      </c>
      <c r="C12" s="25" t="n">
        <f aca="false">-C6*Assumptions!$B$6</f>
        <v>-163.1298</v>
      </c>
      <c r="D12" s="25" t="n">
        <f aca="false">-D6*Assumptions!$B$6</f>
        <v>-181.074078</v>
      </c>
      <c r="E12" s="25" t="n">
        <f aca="false">-E6*Assumptions!$B$6</f>
        <v>-197.37074502</v>
      </c>
      <c r="F12" s="25" t="n">
        <f aca="false">-F6*Assumptions!$B$6</f>
        <v>-211.1866971714</v>
      </c>
      <c r="G12" s="25" t="n">
        <f aca="false">-G6*Assumptions!$B$6</f>
        <v>-223.857899001684</v>
      </c>
      <c r="H12" s="25" t="n">
        <f aca="false">-H6*Assumptions!$B$6</f>
        <v>-235.050793951768</v>
      </c>
      <c r="I12" s="25" t="n">
        <f aca="false">-I6*Assumptions!$B$6</f>
        <v>-244.452825709839</v>
      </c>
      <c r="J12" s="25" t="n">
        <f aca="false">-J6*Assumptions!$B$6</f>
        <v>-254.230938738233</v>
      </c>
      <c r="K12" s="25" t="n">
        <f aca="false">-K6*Assumptions!$B$6</f>
        <v>-261.85786690038</v>
      </c>
      <c r="L12" s="25" t="n">
        <f aca="false">-L6*Assumptions!$B$6</f>
        <v>-269.713602907391</v>
      </c>
    </row>
    <row r="13" customFormat="false" ht="15" hidden="false" customHeight="false" outlineLevel="0" collapsed="false">
      <c r="A13" s="2" t="s">
        <v>197</v>
      </c>
      <c r="C13" s="24" t="n">
        <f aca="false">C11+C12</f>
        <v>1250.6618</v>
      </c>
      <c r="D13" s="24" t="n">
        <f aca="false">D11+D12</f>
        <v>1358.055585</v>
      </c>
      <c r="E13" s="24" t="n">
        <f aca="false">E11+E12</f>
        <v>1447.38546348</v>
      </c>
      <c r="F13" s="24" t="n">
        <f aca="false">F11+F12</f>
        <v>1513.5046630617</v>
      </c>
      <c r="G13" s="24" t="n">
        <f aca="false">G11+G12</f>
        <v>1567.00529301179</v>
      </c>
      <c r="H13" s="24" t="n">
        <f aca="false">H11+H12</f>
        <v>1645.35555766238</v>
      </c>
      <c r="I13" s="24" t="n">
        <f aca="false">I11+I12</f>
        <v>1670.42764235057</v>
      </c>
      <c r="J13" s="24" t="n">
        <f aca="false">J11+J12</f>
        <v>1737.24474804459</v>
      </c>
      <c r="K13" s="24" t="n">
        <f aca="false">K11+K12</f>
        <v>1745.7191126692</v>
      </c>
      <c r="L13" s="24" t="n">
        <f aca="false">L11+L12</f>
        <v>1798.09068604927</v>
      </c>
    </row>
    <row r="14" customFormat="false" ht="15" hidden="false" customHeight="false" outlineLevel="0" collapsed="false">
      <c r="A14" s="2" t="s">
        <v>198</v>
      </c>
      <c r="C14" s="16" t="n">
        <v>0.23</v>
      </c>
      <c r="D14" s="16" t="n">
        <v>0.238</v>
      </c>
      <c r="E14" s="16" t="n">
        <v>0.245</v>
      </c>
      <c r="F14" s="16" t="n">
        <v>0.25</v>
      </c>
      <c r="G14" s="16" t="n">
        <v>0.255</v>
      </c>
      <c r="H14" s="16" t="n">
        <v>0.258</v>
      </c>
      <c r="I14" s="16" t="n">
        <v>0.258</v>
      </c>
      <c r="J14" s="16" t="n">
        <v>0.258</v>
      </c>
      <c r="K14" s="16" t="n">
        <v>0.258</v>
      </c>
      <c r="L14" s="16" t="n">
        <v>0.258</v>
      </c>
    </row>
    <row r="15" customFormat="false" ht="15" hidden="false" customHeight="false" outlineLevel="0" collapsed="false">
      <c r="A15" s="2" t="s">
        <v>199</v>
      </c>
      <c r="C15" s="24" t="n">
        <f aca="false">C13*(1-C14)</f>
        <v>963.009586</v>
      </c>
      <c r="D15" s="24" t="n">
        <f aca="false">D13*(1-D14)</f>
        <v>1034.83835577</v>
      </c>
      <c r="E15" s="24" t="n">
        <f aca="false">E13*(1-E14)</f>
        <v>1092.7760249274</v>
      </c>
      <c r="F15" s="24" t="n">
        <f aca="false">F13*(1-F14)</f>
        <v>1135.12849729628</v>
      </c>
      <c r="G15" s="24" t="n">
        <f aca="false">G13*(1-G14)</f>
        <v>1167.41894329378</v>
      </c>
      <c r="H15" s="24" t="n">
        <f aca="false">H13*(1-H14)</f>
        <v>1220.85382378548</v>
      </c>
      <c r="I15" s="24" t="n">
        <f aca="false">I13*(1-I14)</f>
        <v>1239.45731062412</v>
      </c>
      <c r="J15" s="24" t="n">
        <f aca="false">J13*(1-J14)</f>
        <v>1289.03560304909</v>
      </c>
      <c r="K15" s="24" t="n">
        <f aca="false">K13*(1-K14)</f>
        <v>1295.32358160054</v>
      </c>
      <c r="L15" s="24" t="n">
        <f aca="false">L13*(1-L14)</f>
        <v>1334.18328904856</v>
      </c>
    </row>
    <row r="16" customFormat="false" ht="15" hidden="false" customHeight="false" outlineLevel="0" collapsed="false">
      <c r="A16" s="2" t="s">
        <v>200</v>
      </c>
      <c r="C16" s="24" t="n">
        <f aca="false">-C12</f>
        <v>163.1298</v>
      </c>
      <c r="D16" s="24" t="n">
        <f aca="false">-D12</f>
        <v>181.074078</v>
      </c>
      <c r="E16" s="24" t="n">
        <f aca="false">-E12</f>
        <v>197.37074502</v>
      </c>
      <c r="F16" s="24" t="n">
        <f aca="false">-F12</f>
        <v>211.1866971714</v>
      </c>
      <c r="G16" s="24" t="n">
        <f aca="false">-G12</f>
        <v>223.857899001684</v>
      </c>
      <c r="H16" s="24" t="n">
        <f aca="false">-H12</f>
        <v>235.050793951768</v>
      </c>
      <c r="I16" s="24" t="n">
        <f aca="false">-I12</f>
        <v>244.452825709839</v>
      </c>
      <c r="J16" s="24" t="n">
        <f aca="false">-J12</f>
        <v>254.230938738233</v>
      </c>
      <c r="K16" s="24" t="n">
        <f aca="false">-K12</f>
        <v>261.85786690038</v>
      </c>
      <c r="L16" s="24" t="n">
        <f aca="false">-L12</f>
        <v>269.713602907391</v>
      </c>
    </row>
    <row r="17" customFormat="false" ht="15" hidden="false" customHeight="false" outlineLevel="0" collapsed="false">
      <c r="A17" s="2" t="s">
        <v>201</v>
      </c>
      <c r="C17" s="25" t="n">
        <f aca="false">-C6*Assumptions!$B$7</f>
        <v>-135.9415</v>
      </c>
      <c r="D17" s="25" t="n">
        <f aca="false">-D6*Assumptions!$B$7</f>
        <v>-150.895065</v>
      </c>
      <c r="E17" s="25" t="n">
        <f aca="false">-E6*Assumptions!$B$7</f>
        <v>-164.47562085</v>
      </c>
      <c r="F17" s="25" t="n">
        <f aca="false">-F6*Assumptions!$B$7</f>
        <v>-175.9889143095</v>
      </c>
      <c r="G17" s="25" t="n">
        <f aca="false">-G6*Assumptions!$B$7</f>
        <v>-186.54824916807</v>
      </c>
      <c r="H17" s="25" t="n">
        <f aca="false">-H6*Assumptions!$B$7</f>
        <v>-195.875661626474</v>
      </c>
      <c r="I17" s="25" t="n">
        <f aca="false">-I6*Assumptions!$B$7</f>
        <v>-203.710688091532</v>
      </c>
      <c r="J17" s="25" t="n">
        <f aca="false">-J6*Assumptions!$B$7</f>
        <v>-211.859115615194</v>
      </c>
      <c r="K17" s="25" t="n">
        <f aca="false">-K6*Assumptions!$B$7</f>
        <v>-218.21488908365</v>
      </c>
      <c r="L17" s="25" t="n">
        <f aca="false">-L6*Assumptions!$B$7</f>
        <v>-224.761335756159</v>
      </c>
    </row>
    <row r="18" customFormat="false" ht="15" hidden="false" customHeight="false" outlineLevel="0" collapsed="false">
      <c r="A18" s="2" t="s">
        <v>202</v>
      </c>
      <c r="C18" s="25" t="n">
        <f aca="false">Assumptions!$B$8*(C6-B6)</f>
        <v>0</v>
      </c>
      <c r="D18" s="25" t="n">
        <f aca="false">Assumptions!$B$8*(D6-C6)</f>
        <v>0</v>
      </c>
      <c r="E18" s="25" t="n">
        <f aca="false">Assumptions!$B$8*(E6-D6)</f>
        <v>0</v>
      </c>
      <c r="F18" s="25" t="n">
        <f aca="false">Assumptions!$B$8*(F6-E6)</f>
        <v>0</v>
      </c>
      <c r="G18" s="25" t="n">
        <f aca="false">Assumptions!$B$8*(G6-F6)</f>
        <v>0</v>
      </c>
      <c r="H18" s="25" t="n">
        <f aca="false">Assumptions!$B$8*(H6-G6)</f>
        <v>0</v>
      </c>
      <c r="I18" s="25" t="n">
        <f aca="false">Assumptions!$B$8*(I6-H6)</f>
        <v>0</v>
      </c>
      <c r="J18" s="25" t="n">
        <f aca="false">Assumptions!$B$8*(J6-I6)</f>
        <v>0</v>
      </c>
      <c r="K18" s="25" t="n">
        <f aca="false">Assumptions!$B$8*(K6-J6)</f>
        <v>0</v>
      </c>
      <c r="L18" s="25" t="n">
        <f aca="false">Assumptions!$B$8*(L6-K6)</f>
        <v>0</v>
      </c>
    </row>
    <row r="19" customFormat="false" ht="15" hidden="false" customHeight="false" outlineLevel="0" collapsed="false">
      <c r="A19" s="2" t="s">
        <v>203</v>
      </c>
      <c r="C19" s="26" t="n">
        <f aca="false">C15+C16+C17+C18</f>
        <v>990.197886</v>
      </c>
      <c r="D19" s="26" t="n">
        <f aca="false">D15+D16+D17+D18</f>
        <v>1065.01736877</v>
      </c>
      <c r="E19" s="26" t="n">
        <f aca="false">E15+E16+E17+E18</f>
        <v>1125.6711490974</v>
      </c>
      <c r="F19" s="26" t="n">
        <f aca="false">F15+F16+F17+F18</f>
        <v>1170.32628015818</v>
      </c>
      <c r="G19" s="26" t="n">
        <f aca="false">G15+G16+G17+G18</f>
        <v>1204.7285931274</v>
      </c>
      <c r="H19" s="26" t="n">
        <f aca="false">H15+H16+H17+H18</f>
        <v>1260.02895611078</v>
      </c>
      <c r="I19" s="26" t="n">
        <f aca="false">I15+I16+I17+I18</f>
        <v>1280.19944824243</v>
      </c>
      <c r="J19" s="26" t="n">
        <f aca="false">J15+J16+J17+J18</f>
        <v>1331.40742617212</v>
      </c>
      <c r="K19" s="26" t="n">
        <f aca="false">K15+K16+K17+K18</f>
        <v>1338.96655941727</v>
      </c>
      <c r="L19" s="26" t="n">
        <f aca="false">L15+L16+L17+L18</f>
        <v>1379.13555619979</v>
      </c>
    </row>
    <row r="20" customFormat="false" ht="15" hidden="false" customHeight="false" outlineLevel="0" collapsed="false">
      <c r="A20" s="2" t="s">
        <v>204</v>
      </c>
      <c r="C20" s="27" t="n">
        <f aca="false">1/(1+Assumptions!$B$5)^C4</f>
        <v>0.904977375565611</v>
      </c>
      <c r="D20" s="27" t="n">
        <f aca="false">1/(1+Assumptions!$B$5)^D4</f>
        <v>0.818984050285621</v>
      </c>
      <c r="E20" s="27" t="n">
        <f aca="false">1/(1+Assumptions!$B$5)^E4</f>
        <v>0.741162036457575</v>
      </c>
      <c r="F20" s="27" t="n">
        <f aca="false">1/(1+Assumptions!$B$5)^F4</f>
        <v>0.67073487462224</v>
      </c>
      <c r="G20" s="27" t="n">
        <f aca="false">1/(1+Assumptions!$B$5)^G4</f>
        <v>0.606999886535964</v>
      </c>
      <c r="H20" s="27" t="n">
        <f aca="false">1/(1+Assumptions!$B$5)^H4</f>
        <v>0.54932116428594</v>
      </c>
      <c r="I20" s="27" t="n">
        <f aca="false">1/(1+Assumptions!$B$5)^I4</f>
        <v>0.497123225598136</v>
      </c>
      <c r="J20" s="27" t="n">
        <f aca="false">1/(1+Assumptions!$B$5)^J4</f>
        <v>0.449885272034512</v>
      </c>
      <c r="K20" s="27" t="n">
        <f aca="false">1/(1+Assumptions!$B$5)^K4</f>
        <v>0.407135992791414</v>
      </c>
      <c r="L20" s="27" t="n">
        <f aca="false">1/(1+Assumptions!$B$5)^L4</f>
        <v>0.368448862254673</v>
      </c>
    </row>
    <row r="21" customFormat="false" ht="15" hidden="false" customHeight="false" outlineLevel="0" collapsed="false">
      <c r="A21" s="2" t="s">
        <v>205</v>
      </c>
      <c r="C21" s="24" t="n">
        <f aca="false">C19*C20</f>
        <v>896.106684162896</v>
      </c>
      <c r="D21" s="24" t="n">
        <f aca="false">D19*D20</f>
        <v>872.232238299789</v>
      </c>
      <c r="E21" s="24" t="n">
        <f aca="false">E19*E20</f>
        <v>834.304721246568</v>
      </c>
      <c r="F21" s="24" t="n">
        <f aca="false">F19*F20</f>
        <v>784.978650789006</v>
      </c>
      <c r="G21" s="24" t="n">
        <f aca="false">G19*G20</f>
        <v>731.270119334961</v>
      </c>
      <c r="H21" s="24" t="n">
        <f aca="false">H19*H20</f>
        <v>692.160573204771</v>
      </c>
      <c r="I21" s="24" t="n">
        <f aca="false">I19*I20</f>
        <v>636.416879119229</v>
      </c>
      <c r="J21" s="24" t="n">
        <f aca="false">J19*J20</f>
        <v>598.980592112216</v>
      </c>
      <c r="K21" s="24" t="n">
        <f aca="false">K19*K20</f>
        <v>545.141479482855</v>
      </c>
      <c r="L21" s="24" t="n">
        <f aca="false">L19*L20</f>
        <v>508.140926576779</v>
      </c>
    </row>
    <row r="23" customFormat="false" ht="15" hidden="false" customHeight="false" outlineLevel="0" collapsed="false">
      <c r="A23" s="2" t="s">
        <v>206</v>
      </c>
      <c r="C23" s="21" t="n">
        <f aca="false">C11/C6</f>
        <v>0.52</v>
      </c>
      <c r="D23" s="21" t="n">
        <f aca="false">D11/D6</f>
        <v>0.51</v>
      </c>
      <c r="E23" s="21" t="n">
        <f aca="false">E11/E6</f>
        <v>0.5</v>
      </c>
      <c r="F23" s="21" t="n">
        <f aca="false">F11/F6</f>
        <v>0.49</v>
      </c>
      <c r="G23" s="21" t="n">
        <f aca="false">G11/G6</f>
        <v>0.48</v>
      </c>
      <c r="H23" s="21" t="n">
        <f aca="false">H11/H6</f>
        <v>0.48</v>
      </c>
      <c r="I23" s="21" t="n">
        <f aca="false">I11/I6</f>
        <v>0.47</v>
      </c>
      <c r="J23" s="21" t="n">
        <f aca="false">J11/J6</f>
        <v>0.47</v>
      </c>
      <c r="K23" s="21" t="n">
        <f aca="false">K11/K6</f>
        <v>0.46</v>
      </c>
      <c r="L23" s="21" t="n">
        <f aca="false">L11/L6</f>
        <v>0.46</v>
      </c>
    </row>
    <row r="24" customFormat="false" ht="15" hidden="false" customHeight="false" outlineLevel="0" collapsed="false">
      <c r="A24" s="2" t="s">
        <v>207</v>
      </c>
      <c r="C24" s="21" t="n">
        <f aca="false">C19/C6</f>
        <v>0.3642</v>
      </c>
      <c r="D24" s="21" t="n">
        <f aca="false">D19/D6</f>
        <v>0.3529</v>
      </c>
      <c r="E24" s="21" t="n">
        <f aca="false">E19/E6</f>
        <v>0.3422</v>
      </c>
      <c r="F24" s="21" t="n">
        <f aca="false">F19/F6</f>
        <v>0.3325</v>
      </c>
      <c r="G24" s="21" t="n">
        <f aca="false">G19/G6</f>
        <v>0.3229</v>
      </c>
      <c r="H24" s="21" t="n">
        <f aca="false">H19/H6</f>
        <v>0.32164</v>
      </c>
      <c r="I24" s="21" t="n">
        <f aca="false">I19/I6</f>
        <v>0.31422</v>
      </c>
      <c r="J24" s="21" t="n">
        <f aca="false">J19/J6</f>
        <v>0.31422</v>
      </c>
      <c r="K24" s="21" t="n">
        <f aca="false">K19/K6</f>
        <v>0.3068</v>
      </c>
      <c r="L24" s="21" t="n">
        <f aca="false">L19/L6</f>
        <v>0.3068</v>
      </c>
    </row>
    <row r="25" customFormat="false" ht="15" hidden="false" customHeight="false" outlineLevel="0" collapsed="false">
      <c r="A25" s="4" t="s">
        <v>208</v>
      </c>
    </row>
    <row r="26" customFormat="false" ht="15" hidden="false" customHeight="false" outlineLevel="0" collapsed="false">
      <c r="A26" s="2" t="s">
        <v>209</v>
      </c>
      <c r="B26" s="24" t="n">
        <f aca="false">SUM(C21:L21)</f>
        <v>7099.73286432907</v>
      </c>
    </row>
    <row r="27" customFormat="false" ht="15" hidden="false" customHeight="false" outlineLevel="0" collapsed="false">
      <c r="A27" s="2" t="s">
        <v>169</v>
      </c>
      <c r="B27" s="28" t="n">
        <f aca="false">Assumptions!$C$16</f>
        <v>0.015</v>
      </c>
    </row>
    <row r="28" customFormat="false" ht="15" hidden="false" customHeight="false" outlineLevel="0" collapsed="false">
      <c r="A28" s="2" t="s">
        <v>210</v>
      </c>
      <c r="B28" s="24" t="n">
        <f aca="false">L19*(1+B27)</f>
        <v>1399.82258954279</v>
      </c>
    </row>
    <row r="29" customFormat="false" ht="15" hidden="false" customHeight="false" outlineLevel="0" collapsed="false">
      <c r="A29" s="2" t="s">
        <v>211</v>
      </c>
      <c r="B29" s="24" t="n">
        <f aca="false">B28/(Assumptions!$B$5-B27)</f>
        <v>15553.5843282532</v>
      </c>
    </row>
    <row r="30" customFormat="false" ht="15" hidden="false" customHeight="false" outlineLevel="0" collapsed="false">
      <c r="A30" s="2" t="s">
        <v>212</v>
      </c>
      <c r="B30" s="25" t="n">
        <f aca="false">Assumptions!$B$12*L19</f>
        <v>27582.7111239958</v>
      </c>
    </row>
    <row r="31" customFormat="false" ht="15" hidden="false" customHeight="false" outlineLevel="0" collapsed="false">
      <c r="A31" s="2" t="s">
        <v>213</v>
      </c>
      <c r="B31" s="24" t="n">
        <f aca="false">MIN(B29,B30)</f>
        <v>15553.5843282532</v>
      </c>
    </row>
    <row r="32" customFormat="false" ht="15" hidden="false" customHeight="false" outlineLevel="0" collapsed="false">
      <c r="A32" s="2" t="s">
        <v>214</v>
      </c>
      <c r="B32" s="29" t="n">
        <f aca="false">B31/L19</f>
        <v>11.2777777777778</v>
      </c>
    </row>
    <row r="33" customFormat="false" ht="15" hidden="false" customHeight="false" outlineLevel="0" collapsed="false">
      <c r="A33" s="2" t="s">
        <v>215</v>
      </c>
      <c r="B33" s="24" t="n">
        <f aca="false">B31*L20</f>
        <v>5730.70044972701</v>
      </c>
    </row>
    <row r="34" customFormat="false" ht="15" hidden="false" customHeight="false" outlineLevel="0" collapsed="false">
      <c r="A34" s="2" t="s">
        <v>216</v>
      </c>
      <c r="B34" s="24" t="n">
        <f aca="false">B26+B33</f>
        <v>12830.4333140561</v>
      </c>
    </row>
    <row r="35" customFormat="false" ht="15" hidden="false" customHeight="false" outlineLevel="0" collapsed="false">
      <c r="A35" s="2" t="s">
        <v>217</v>
      </c>
      <c r="B35" s="25" t="n">
        <f aca="false">Assumptions!$B$9+Float_Income!$B$17</f>
        <v>5188.04647049284</v>
      </c>
    </row>
    <row r="36" customFormat="false" ht="15" hidden="false" customHeight="false" outlineLevel="0" collapsed="false">
      <c r="A36" s="2" t="s">
        <v>218</v>
      </c>
      <c r="B36" s="24" t="n">
        <f aca="false">B34+B35</f>
        <v>18018.4797845489</v>
      </c>
    </row>
    <row r="37" customFormat="false" ht="15" hidden="false" customHeight="false" outlineLevel="0" collapsed="false">
      <c r="A37" s="2" t="s">
        <v>157</v>
      </c>
      <c r="B37" s="30" t="n">
        <f aca="false">Assumptions!$B$10</f>
        <v>31.55</v>
      </c>
    </row>
    <row r="38" customFormat="false" ht="15" hidden="false" customHeight="false" outlineLevel="0" collapsed="false">
      <c r="A38" s="2" t="s">
        <v>219</v>
      </c>
      <c r="B38" s="31" t="n">
        <f aca="false">B36/B37</f>
        <v>571.108709494419</v>
      </c>
    </row>
    <row r="39" customFormat="false" ht="15" hidden="false" customHeight="false" outlineLevel="0" collapsed="false">
      <c r="A39" s="2" t="s">
        <v>220</v>
      </c>
      <c r="B39" s="21" t="n">
        <f aca="false">B38/Assumptions!$B$11-1</f>
        <v>-0.388010384168004</v>
      </c>
    </row>
    <row r="41" customFormat="false" ht="15" hidden="false" customHeight="false" outlineLevel="0" collapsed="false">
      <c r="A41" s="2" t="s">
        <v>221</v>
      </c>
      <c r="B41" s="24" t="n">
        <f aca="false">SUMPRODUCT(-C10:L10/(1+Assumptions!$B$5)^C4:L4)</f>
        <v>764.531582506218</v>
      </c>
    </row>
    <row r="42" customFormat="false" ht="15" hidden="false" customHeight="false" outlineLevel="0" collapsed="false">
      <c r="A42" s="2" t="s">
        <v>222</v>
      </c>
      <c r="B42" s="24" t="n">
        <f aca="false">(-L10*(1+B27)/(Assumptions!$B$5-B27))*L20</f>
        <v>747.157816131292</v>
      </c>
    </row>
    <row r="43" customFormat="false" ht="15" hidden="false" customHeight="false" outlineLevel="0" collapsed="false">
      <c r="A43" s="2" t="s">
        <v>223</v>
      </c>
      <c r="B43" s="32" t="n">
        <f aca="false">(B36+B41+B42)/B37</f>
        <v>619.022795029681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6" t="s">
        <v>177</v>
      </c>
    </row>
    <row r="3" customFormat="false" ht="15" hidden="false" customHeight="false" outlineLevel="0" collapsed="false">
      <c r="B3" s="7" t="s">
        <v>178</v>
      </c>
      <c r="C3" s="7" t="s">
        <v>179</v>
      </c>
      <c r="D3" s="7" t="s">
        <v>180</v>
      </c>
      <c r="E3" s="7" t="s">
        <v>181</v>
      </c>
      <c r="F3" s="7" t="s">
        <v>182</v>
      </c>
      <c r="G3" s="7" t="s">
        <v>183</v>
      </c>
      <c r="H3" s="7" t="s">
        <v>184</v>
      </c>
      <c r="I3" s="7" t="s">
        <v>185</v>
      </c>
      <c r="J3" s="7" t="s">
        <v>186</v>
      </c>
      <c r="K3" s="7" t="s">
        <v>187</v>
      </c>
      <c r="L3" s="7" t="s">
        <v>188</v>
      </c>
    </row>
    <row r="4" customFormat="false" ht="15" hidden="false" customHeight="false" outlineLevel="0" collapsed="false">
      <c r="A4" s="23" t="s">
        <v>189</v>
      </c>
      <c r="B4" s="23" t="n">
        <v>0</v>
      </c>
      <c r="C4" s="23" t="n">
        <v>1</v>
      </c>
      <c r="D4" s="23" t="n">
        <v>2</v>
      </c>
      <c r="E4" s="23" t="n">
        <v>3</v>
      </c>
      <c r="F4" s="23" t="n">
        <v>4</v>
      </c>
      <c r="G4" s="23" t="n">
        <v>5</v>
      </c>
      <c r="H4" s="23" t="n">
        <v>6</v>
      </c>
      <c r="I4" s="23" t="n">
        <v>7</v>
      </c>
      <c r="J4" s="23" t="n">
        <v>8</v>
      </c>
      <c r="K4" s="23" t="n">
        <v>9</v>
      </c>
      <c r="L4" s="23" t="n">
        <v>10</v>
      </c>
    </row>
    <row r="5" customFormat="false" ht="15" hidden="false" customHeight="false" outlineLevel="0" collapsed="false">
      <c r="A5" s="2" t="s">
        <v>190</v>
      </c>
      <c r="C5" s="16" t="n">
        <v>0.18</v>
      </c>
      <c r="D5" s="16" t="n">
        <v>0.17</v>
      </c>
      <c r="E5" s="16" t="n">
        <v>0.16</v>
      </c>
      <c r="F5" s="16" t="n">
        <v>0.15</v>
      </c>
      <c r="G5" s="16" t="n">
        <v>0.13</v>
      </c>
      <c r="H5" s="16" t="n">
        <v>0.12</v>
      </c>
      <c r="I5" s="16" t="n">
        <v>0.11</v>
      </c>
      <c r="J5" s="16" t="n">
        <v>0.1</v>
      </c>
      <c r="K5" s="16" t="n">
        <v>0.09</v>
      </c>
      <c r="L5" s="16" t="n">
        <v>0.08</v>
      </c>
    </row>
    <row r="6" customFormat="false" ht="15" hidden="false" customHeight="false" outlineLevel="0" collapsed="false">
      <c r="A6" s="2" t="s">
        <v>74</v>
      </c>
      <c r="B6" s="8" t="n">
        <v>2364.2</v>
      </c>
      <c r="C6" s="24" t="n">
        <f aca="false">B6*(1+C5)</f>
        <v>2789.756</v>
      </c>
      <c r="D6" s="24" t="n">
        <f aca="false">C6*(1+D5)</f>
        <v>3264.01452</v>
      </c>
      <c r="E6" s="24" t="n">
        <f aca="false">D6*(1+E5)</f>
        <v>3786.2568432</v>
      </c>
      <c r="F6" s="24" t="n">
        <f aca="false">E6*(1+F5)</f>
        <v>4354.19536968</v>
      </c>
      <c r="G6" s="24" t="n">
        <f aca="false">F6*(1+G5)</f>
        <v>4920.2407677384</v>
      </c>
      <c r="H6" s="24" t="n">
        <f aca="false">G6*(1+H5)</f>
        <v>5510.66965986701</v>
      </c>
      <c r="I6" s="24" t="n">
        <f aca="false">H6*(1+I5)</f>
        <v>6116.84332245238</v>
      </c>
      <c r="J6" s="24" t="n">
        <f aca="false">I6*(1+J5)</f>
        <v>6728.52765469762</v>
      </c>
      <c r="K6" s="24" t="n">
        <f aca="false">J6*(1+K5)</f>
        <v>7334.0951436204</v>
      </c>
      <c r="L6" s="24" t="n">
        <f aca="false">K6*(1+L5)</f>
        <v>7920.82275511004</v>
      </c>
    </row>
    <row r="7" customFormat="false" ht="15" hidden="false" customHeight="false" outlineLevel="0" collapsed="false">
      <c r="A7" s="2" t="s">
        <v>191</v>
      </c>
      <c r="B7" s="9" t="n">
        <v>0.557</v>
      </c>
      <c r="C7" s="16" t="n">
        <v>0.56</v>
      </c>
      <c r="D7" s="16" t="n">
        <v>0.575</v>
      </c>
      <c r="E7" s="16" t="n">
        <v>0.584</v>
      </c>
      <c r="F7" s="16" t="n">
        <v>0.588</v>
      </c>
      <c r="G7" s="16" t="n">
        <v>0.593</v>
      </c>
      <c r="H7" s="16" t="n">
        <v>0.594</v>
      </c>
      <c r="I7" s="16" t="n">
        <v>0.596</v>
      </c>
      <c r="J7" s="16" t="n">
        <v>0.596</v>
      </c>
      <c r="K7" s="16" t="n">
        <v>0.596</v>
      </c>
      <c r="L7" s="16" t="n">
        <v>0.595</v>
      </c>
    </row>
    <row r="8" customFormat="false" ht="15" hidden="false" customHeight="false" outlineLevel="0" collapsed="false">
      <c r="A8" s="2" t="s">
        <v>192</v>
      </c>
      <c r="C8" s="24" t="n">
        <f aca="false">C6*C7</f>
        <v>1562.26336</v>
      </c>
      <c r="D8" s="24" t="n">
        <f aca="false">D6*D7</f>
        <v>1876.808349</v>
      </c>
      <c r="E8" s="24" t="n">
        <f aca="false">E6*E7</f>
        <v>2211.1739964288</v>
      </c>
      <c r="F8" s="24" t="n">
        <f aca="false">F6*F7</f>
        <v>2560.26687737184</v>
      </c>
      <c r="G8" s="24" t="n">
        <f aca="false">G6*G7</f>
        <v>2917.70277526887</v>
      </c>
      <c r="H8" s="24" t="n">
        <f aca="false">H6*H7</f>
        <v>3273.337777961</v>
      </c>
      <c r="I8" s="24" t="n">
        <f aca="false">I6*I7</f>
        <v>3645.63862018162</v>
      </c>
      <c r="J8" s="24" t="n">
        <f aca="false">J6*J7</f>
        <v>4010.20248219978</v>
      </c>
      <c r="K8" s="24" t="n">
        <f aca="false">K6*K7</f>
        <v>4371.12070559776</v>
      </c>
      <c r="L8" s="24" t="n">
        <f aca="false">L6*L7</f>
        <v>4712.88953929047</v>
      </c>
    </row>
    <row r="9" customFormat="false" ht="15" hidden="false" customHeight="false" outlineLevel="0" collapsed="false">
      <c r="A9" s="2" t="s">
        <v>193</v>
      </c>
      <c r="B9" s="9" t="n">
        <v>0.03</v>
      </c>
      <c r="C9" s="16" t="n">
        <v>0.03</v>
      </c>
      <c r="D9" s="16" t="n">
        <v>0.03</v>
      </c>
      <c r="E9" s="16" t="n">
        <v>0.029</v>
      </c>
      <c r="F9" s="16" t="n">
        <v>0.028</v>
      </c>
      <c r="G9" s="16" t="n">
        <v>0.028</v>
      </c>
      <c r="H9" s="16" t="n">
        <v>0.027</v>
      </c>
      <c r="I9" s="16" t="n">
        <v>0.027</v>
      </c>
      <c r="J9" s="16" t="n">
        <v>0.026</v>
      </c>
      <c r="K9" s="16" t="n">
        <v>0.026</v>
      </c>
      <c r="L9" s="16" t="n">
        <v>0.025</v>
      </c>
    </row>
    <row r="10" customFormat="false" ht="15" hidden="false" customHeight="false" outlineLevel="0" collapsed="false">
      <c r="A10" s="2" t="s">
        <v>194</v>
      </c>
      <c r="C10" s="24" t="n">
        <f aca="false">-C6*C9</f>
        <v>-83.69268</v>
      </c>
      <c r="D10" s="24" t="n">
        <f aca="false">-D6*D9</f>
        <v>-97.9204356</v>
      </c>
      <c r="E10" s="24" t="n">
        <f aca="false">-E6*E9</f>
        <v>-109.8014484528</v>
      </c>
      <c r="F10" s="24" t="n">
        <f aca="false">-F6*F9</f>
        <v>-121.91747035104</v>
      </c>
      <c r="G10" s="24" t="n">
        <f aca="false">-G6*G9</f>
        <v>-137.766741496675</v>
      </c>
      <c r="H10" s="24" t="n">
        <f aca="false">-H6*H9</f>
        <v>-148.788080816409</v>
      </c>
      <c r="I10" s="24" t="n">
        <f aca="false">-I6*I9</f>
        <v>-165.154769706214</v>
      </c>
      <c r="J10" s="24" t="n">
        <f aca="false">-J6*J9</f>
        <v>-174.941719022138</v>
      </c>
      <c r="K10" s="24" t="n">
        <f aca="false">-K6*K9</f>
        <v>-190.686473734131</v>
      </c>
      <c r="L10" s="24" t="n">
        <f aca="false">-L6*L9</f>
        <v>-198.020568877751</v>
      </c>
    </row>
    <row r="11" customFormat="false" ht="15" hidden="false" customHeight="false" outlineLevel="0" collapsed="false">
      <c r="A11" s="2" t="s">
        <v>195</v>
      </c>
      <c r="C11" s="24" t="n">
        <f aca="false">C8+C10</f>
        <v>1478.57068</v>
      </c>
      <c r="D11" s="24" t="n">
        <f aca="false">D8+D10</f>
        <v>1778.8879134</v>
      </c>
      <c r="E11" s="24" t="n">
        <f aca="false">E8+E10</f>
        <v>2101.372547976</v>
      </c>
      <c r="F11" s="24" t="n">
        <f aca="false">F8+F10</f>
        <v>2438.3494070208</v>
      </c>
      <c r="G11" s="24" t="n">
        <f aca="false">G8+G10</f>
        <v>2779.9360337722</v>
      </c>
      <c r="H11" s="24" t="n">
        <f aca="false">H8+H10</f>
        <v>3124.54969714459</v>
      </c>
      <c r="I11" s="24" t="n">
        <f aca="false">I8+I10</f>
        <v>3480.4838504754</v>
      </c>
      <c r="J11" s="24" t="n">
        <f aca="false">J8+J10</f>
        <v>3835.26076317764</v>
      </c>
      <c r="K11" s="24" t="n">
        <f aca="false">K8+K10</f>
        <v>4180.43423186363</v>
      </c>
      <c r="L11" s="24" t="n">
        <f aca="false">L8+L10</f>
        <v>4514.86897041272</v>
      </c>
    </row>
    <row r="12" customFormat="false" ht="15" hidden="false" customHeight="false" outlineLevel="0" collapsed="false">
      <c r="A12" s="2" t="s">
        <v>196</v>
      </c>
      <c r="C12" s="25" t="n">
        <f aca="false">-C6*Assumptions!$B$6</f>
        <v>-167.38536</v>
      </c>
      <c r="D12" s="25" t="n">
        <f aca="false">-D6*Assumptions!$B$6</f>
        <v>-195.8408712</v>
      </c>
      <c r="E12" s="25" t="n">
        <f aca="false">-E6*Assumptions!$B$6</f>
        <v>-227.175410592</v>
      </c>
      <c r="F12" s="25" t="n">
        <f aca="false">-F6*Assumptions!$B$6</f>
        <v>-261.2517221808</v>
      </c>
      <c r="G12" s="25" t="n">
        <f aca="false">-G6*Assumptions!$B$6</f>
        <v>-295.214446064304</v>
      </c>
      <c r="H12" s="25" t="n">
        <f aca="false">-H6*Assumptions!$B$6</f>
        <v>-330.64017959202</v>
      </c>
      <c r="I12" s="25" t="n">
        <f aca="false">-I6*Assumptions!$B$6</f>
        <v>-367.010599347143</v>
      </c>
      <c r="J12" s="25" t="n">
        <f aca="false">-J6*Assumptions!$B$6</f>
        <v>-403.711659281857</v>
      </c>
      <c r="K12" s="25" t="n">
        <f aca="false">-K6*Assumptions!$B$6</f>
        <v>-440.045708617224</v>
      </c>
      <c r="L12" s="25" t="n">
        <f aca="false">-L6*Assumptions!$B$6</f>
        <v>-475.249365306602</v>
      </c>
    </row>
    <row r="13" customFormat="false" ht="15" hidden="false" customHeight="false" outlineLevel="0" collapsed="false">
      <c r="A13" s="2" t="s">
        <v>197</v>
      </c>
      <c r="C13" s="24" t="n">
        <f aca="false">C11+C12</f>
        <v>1311.18532</v>
      </c>
      <c r="D13" s="24" t="n">
        <f aca="false">D11+D12</f>
        <v>1583.0470422</v>
      </c>
      <c r="E13" s="24" t="n">
        <f aca="false">E11+E12</f>
        <v>1874.197137384</v>
      </c>
      <c r="F13" s="24" t="n">
        <f aca="false">F11+F12</f>
        <v>2177.09768484</v>
      </c>
      <c r="G13" s="24" t="n">
        <f aca="false">G11+G12</f>
        <v>2484.72158770789</v>
      </c>
      <c r="H13" s="24" t="n">
        <f aca="false">H11+H12</f>
        <v>2793.90951755257</v>
      </c>
      <c r="I13" s="24" t="n">
        <f aca="false">I11+I12</f>
        <v>3113.47325112826</v>
      </c>
      <c r="J13" s="24" t="n">
        <f aca="false">J11+J12</f>
        <v>3431.54910389579</v>
      </c>
      <c r="K13" s="24" t="n">
        <f aca="false">K11+K12</f>
        <v>3740.38852324641</v>
      </c>
      <c r="L13" s="24" t="n">
        <f aca="false">L11+L12</f>
        <v>4039.61960510612</v>
      </c>
    </row>
    <row r="14" customFormat="false" ht="15" hidden="false" customHeight="false" outlineLevel="0" collapsed="false">
      <c r="A14" s="2" t="s">
        <v>198</v>
      </c>
      <c r="C14" s="16" t="n">
        <v>0.23</v>
      </c>
      <c r="D14" s="16" t="n">
        <v>0.235</v>
      </c>
      <c r="E14" s="16" t="n">
        <v>0.24</v>
      </c>
      <c r="F14" s="16" t="n">
        <v>0.245</v>
      </c>
      <c r="G14" s="16" t="n">
        <v>0.25</v>
      </c>
      <c r="H14" s="16" t="n">
        <v>0.25</v>
      </c>
      <c r="I14" s="16" t="n">
        <v>0.25</v>
      </c>
      <c r="J14" s="16" t="n">
        <v>0.25</v>
      </c>
      <c r="K14" s="16" t="n">
        <v>0.25</v>
      </c>
      <c r="L14" s="16" t="n">
        <v>0.25</v>
      </c>
    </row>
    <row r="15" customFormat="false" ht="15" hidden="false" customHeight="false" outlineLevel="0" collapsed="false">
      <c r="A15" s="2" t="s">
        <v>199</v>
      </c>
      <c r="C15" s="24" t="n">
        <f aca="false">C13*(1-C14)</f>
        <v>1009.6126964</v>
      </c>
      <c r="D15" s="24" t="n">
        <f aca="false">D13*(1-D14)</f>
        <v>1211.030987283</v>
      </c>
      <c r="E15" s="24" t="n">
        <f aca="false">E13*(1-E14)</f>
        <v>1424.38982441184</v>
      </c>
      <c r="F15" s="24" t="n">
        <f aca="false">F13*(1-F14)</f>
        <v>1643.7087520542</v>
      </c>
      <c r="G15" s="24" t="n">
        <f aca="false">G13*(1-G14)</f>
        <v>1863.54119078092</v>
      </c>
      <c r="H15" s="24" t="n">
        <f aca="false">H13*(1-H14)</f>
        <v>2095.43213816443</v>
      </c>
      <c r="I15" s="24" t="n">
        <f aca="false">I13*(1-I14)</f>
        <v>2335.1049383462</v>
      </c>
      <c r="J15" s="24" t="n">
        <f aca="false">J13*(1-J14)</f>
        <v>2573.66182792184</v>
      </c>
      <c r="K15" s="24" t="n">
        <f aca="false">K13*(1-K14)</f>
        <v>2805.2913924348</v>
      </c>
      <c r="L15" s="24" t="n">
        <f aca="false">L13*(1-L14)</f>
        <v>3029.71470382959</v>
      </c>
    </row>
    <row r="16" customFormat="false" ht="15" hidden="false" customHeight="false" outlineLevel="0" collapsed="false">
      <c r="A16" s="2" t="s">
        <v>200</v>
      </c>
      <c r="C16" s="24" t="n">
        <f aca="false">-C12</f>
        <v>167.38536</v>
      </c>
      <c r="D16" s="24" t="n">
        <f aca="false">-D12</f>
        <v>195.8408712</v>
      </c>
      <c r="E16" s="24" t="n">
        <f aca="false">-E12</f>
        <v>227.175410592</v>
      </c>
      <c r="F16" s="24" t="n">
        <f aca="false">-F12</f>
        <v>261.2517221808</v>
      </c>
      <c r="G16" s="24" t="n">
        <f aca="false">-G12</f>
        <v>295.214446064304</v>
      </c>
      <c r="H16" s="24" t="n">
        <f aca="false">-H12</f>
        <v>330.64017959202</v>
      </c>
      <c r="I16" s="24" t="n">
        <f aca="false">-I12</f>
        <v>367.010599347143</v>
      </c>
      <c r="J16" s="24" t="n">
        <f aca="false">-J12</f>
        <v>403.711659281857</v>
      </c>
      <c r="K16" s="24" t="n">
        <f aca="false">-K12</f>
        <v>440.045708617224</v>
      </c>
      <c r="L16" s="24" t="n">
        <f aca="false">-L12</f>
        <v>475.249365306602</v>
      </c>
    </row>
    <row r="17" customFormat="false" ht="15" hidden="false" customHeight="false" outlineLevel="0" collapsed="false">
      <c r="A17" s="2" t="s">
        <v>201</v>
      </c>
      <c r="C17" s="25" t="n">
        <f aca="false">-C6*Assumptions!$B$7</f>
        <v>-139.4878</v>
      </c>
      <c r="D17" s="25" t="n">
        <f aca="false">-D6*Assumptions!$B$7</f>
        <v>-163.200726</v>
      </c>
      <c r="E17" s="25" t="n">
        <f aca="false">-E6*Assumptions!$B$7</f>
        <v>-189.31284216</v>
      </c>
      <c r="F17" s="25" t="n">
        <f aca="false">-F6*Assumptions!$B$7</f>
        <v>-217.709768484</v>
      </c>
      <c r="G17" s="25" t="n">
        <f aca="false">-G6*Assumptions!$B$7</f>
        <v>-246.01203838692</v>
      </c>
      <c r="H17" s="25" t="n">
        <f aca="false">-H6*Assumptions!$B$7</f>
        <v>-275.53348299335</v>
      </c>
      <c r="I17" s="25" t="n">
        <f aca="false">-I6*Assumptions!$B$7</f>
        <v>-305.842166122619</v>
      </c>
      <c r="J17" s="25" t="n">
        <f aca="false">-J6*Assumptions!$B$7</f>
        <v>-336.426382734881</v>
      </c>
      <c r="K17" s="25" t="n">
        <f aca="false">-K6*Assumptions!$B$7</f>
        <v>-366.70475718102</v>
      </c>
      <c r="L17" s="25" t="n">
        <f aca="false">-L6*Assumptions!$B$7</f>
        <v>-396.041137755502</v>
      </c>
    </row>
    <row r="18" customFormat="false" ht="15" hidden="false" customHeight="false" outlineLevel="0" collapsed="false">
      <c r="A18" s="2" t="s">
        <v>202</v>
      </c>
      <c r="C18" s="25" t="n">
        <f aca="false">Assumptions!$B$8*(C6-B6)</f>
        <v>0</v>
      </c>
      <c r="D18" s="25" t="n">
        <f aca="false">Assumptions!$B$8*(D6-C6)</f>
        <v>0</v>
      </c>
      <c r="E18" s="25" t="n">
        <f aca="false">Assumptions!$B$8*(E6-D6)</f>
        <v>0</v>
      </c>
      <c r="F18" s="25" t="n">
        <f aca="false">Assumptions!$B$8*(F6-E6)</f>
        <v>0</v>
      </c>
      <c r="G18" s="25" t="n">
        <f aca="false">Assumptions!$B$8*(G6-F6)</f>
        <v>0</v>
      </c>
      <c r="H18" s="25" t="n">
        <f aca="false">Assumptions!$B$8*(H6-G6)</f>
        <v>0</v>
      </c>
      <c r="I18" s="25" t="n">
        <f aca="false">Assumptions!$B$8*(I6-H6)</f>
        <v>0</v>
      </c>
      <c r="J18" s="25" t="n">
        <f aca="false">Assumptions!$B$8*(J6-I6)</f>
        <v>0</v>
      </c>
      <c r="K18" s="25" t="n">
        <f aca="false">Assumptions!$B$8*(K6-J6)</f>
        <v>0</v>
      </c>
      <c r="L18" s="25" t="n">
        <f aca="false">Assumptions!$B$8*(L6-K6)</f>
        <v>0</v>
      </c>
    </row>
    <row r="19" customFormat="false" ht="15" hidden="false" customHeight="false" outlineLevel="0" collapsed="false">
      <c r="A19" s="2" t="s">
        <v>203</v>
      </c>
      <c r="C19" s="26" t="n">
        <f aca="false">C15+C16+C17+C18</f>
        <v>1037.5102564</v>
      </c>
      <c r="D19" s="26" t="n">
        <f aca="false">D15+D16+D17+D18</f>
        <v>1243.671132483</v>
      </c>
      <c r="E19" s="26" t="n">
        <f aca="false">E15+E16+E17+E18</f>
        <v>1462.25239284384</v>
      </c>
      <c r="F19" s="26" t="n">
        <f aca="false">F15+F16+F17+F18</f>
        <v>1687.250705751</v>
      </c>
      <c r="G19" s="26" t="n">
        <f aca="false">G15+G16+G17+G18</f>
        <v>1912.7435984583</v>
      </c>
      <c r="H19" s="26" t="n">
        <f aca="false">H15+H16+H17+H18</f>
        <v>2150.5388347631</v>
      </c>
      <c r="I19" s="26" t="n">
        <f aca="false">I15+I16+I17+I18</f>
        <v>2396.27337157072</v>
      </c>
      <c r="J19" s="26" t="n">
        <f aca="false">J15+J16+J17+J18</f>
        <v>2640.94710446882</v>
      </c>
      <c r="K19" s="26" t="n">
        <f aca="false">K15+K16+K17+K18</f>
        <v>2878.63234387101</v>
      </c>
      <c r="L19" s="26" t="n">
        <f aca="false">L15+L16+L17+L18</f>
        <v>3108.92293138069</v>
      </c>
    </row>
    <row r="20" customFormat="false" ht="15" hidden="false" customHeight="false" outlineLevel="0" collapsed="false">
      <c r="A20" s="2" t="s">
        <v>204</v>
      </c>
      <c r="C20" s="27" t="n">
        <f aca="false">1/(1+Assumptions!$B$5)^C4</f>
        <v>0.904977375565611</v>
      </c>
      <c r="D20" s="27" t="n">
        <f aca="false">1/(1+Assumptions!$B$5)^D4</f>
        <v>0.818984050285621</v>
      </c>
      <c r="E20" s="27" t="n">
        <f aca="false">1/(1+Assumptions!$B$5)^E4</f>
        <v>0.741162036457575</v>
      </c>
      <c r="F20" s="27" t="n">
        <f aca="false">1/(1+Assumptions!$B$5)^F4</f>
        <v>0.67073487462224</v>
      </c>
      <c r="G20" s="27" t="n">
        <f aca="false">1/(1+Assumptions!$B$5)^G4</f>
        <v>0.606999886535964</v>
      </c>
      <c r="H20" s="27" t="n">
        <f aca="false">1/(1+Assumptions!$B$5)^H4</f>
        <v>0.54932116428594</v>
      </c>
      <c r="I20" s="27" t="n">
        <f aca="false">1/(1+Assumptions!$B$5)^I4</f>
        <v>0.497123225598136</v>
      </c>
      <c r="J20" s="27" t="n">
        <f aca="false">1/(1+Assumptions!$B$5)^J4</f>
        <v>0.449885272034512</v>
      </c>
      <c r="K20" s="27" t="n">
        <f aca="false">1/(1+Assumptions!$B$5)^K4</f>
        <v>0.407135992791414</v>
      </c>
      <c r="L20" s="27" t="n">
        <f aca="false">1/(1+Assumptions!$B$5)^L4</f>
        <v>0.368448862254673</v>
      </c>
    </row>
    <row r="21" customFormat="false" ht="15" hidden="false" customHeight="false" outlineLevel="0" collapsed="false">
      <c r="A21" s="2" t="s">
        <v>205</v>
      </c>
      <c r="C21" s="24" t="n">
        <f aca="false">C19*C20</f>
        <v>938.923308959276</v>
      </c>
      <c r="D21" s="24" t="n">
        <f aca="false">D19*D20</f>
        <v>1018.54682130423</v>
      </c>
      <c r="E21" s="24" t="n">
        <f aca="false">E19*E20</f>
        <v>1083.7659612951</v>
      </c>
      <c r="F21" s="24" t="n">
        <f aca="false">F19*F20</f>
        <v>1131.69789057818</v>
      </c>
      <c r="G21" s="24" t="n">
        <f aca="false">G19*G20</f>
        <v>1161.03514723658</v>
      </c>
      <c r="H21" s="24" t="n">
        <f aca="false">H19*H20</f>
        <v>1181.3364965542</v>
      </c>
      <c r="I21" s="24" t="n">
        <f aca="false">I19*I20</f>
        <v>1191.24314789016</v>
      </c>
      <c r="J21" s="24" t="n">
        <f aca="false">J19*J20</f>
        <v>1188.12320652271</v>
      </c>
      <c r="K21" s="24" t="n">
        <f aca="false">K19*K20</f>
        <v>1171.9948372034</v>
      </c>
      <c r="L21" s="24" t="n">
        <f aca="false">L19*L20</f>
        <v>1145.47911690468</v>
      </c>
    </row>
    <row r="23" customFormat="false" ht="15" hidden="false" customHeight="false" outlineLevel="0" collapsed="false">
      <c r="A23" s="2" t="s">
        <v>206</v>
      </c>
      <c r="C23" s="21" t="n">
        <f aca="false">C11/C6</f>
        <v>0.53</v>
      </c>
      <c r="D23" s="21" t="n">
        <f aca="false">D11/D6</f>
        <v>0.545</v>
      </c>
      <c r="E23" s="21" t="n">
        <f aca="false">E11/E6</f>
        <v>0.555</v>
      </c>
      <c r="F23" s="21" t="n">
        <f aca="false">F11/F6</f>
        <v>0.56</v>
      </c>
      <c r="G23" s="21" t="n">
        <f aca="false">G11/G6</f>
        <v>0.565</v>
      </c>
      <c r="H23" s="21" t="n">
        <f aca="false">H11/H6</f>
        <v>0.567</v>
      </c>
      <c r="I23" s="21" t="n">
        <f aca="false">I11/I6</f>
        <v>0.569</v>
      </c>
      <c r="J23" s="21" t="n">
        <f aca="false">J11/J6</f>
        <v>0.57</v>
      </c>
      <c r="K23" s="21" t="n">
        <f aca="false">K11/K6</f>
        <v>0.57</v>
      </c>
      <c r="L23" s="21" t="n">
        <f aca="false">L11/L6</f>
        <v>0.57</v>
      </c>
    </row>
    <row r="24" customFormat="false" ht="15" hidden="false" customHeight="false" outlineLevel="0" collapsed="false">
      <c r="A24" s="2" t="s">
        <v>207</v>
      </c>
      <c r="C24" s="21" t="n">
        <f aca="false">C19/C6</f>
        <v>0.3719</v>
      </c>
      <c r="D24" s="21" t="n">
        <f aca="false">D19/D6</f>
        <v>0.381025</v>
      </c>
      <c r="E24" s="21" t="n">
        <f aca="false">E19/E6</f>
        <v>0.3862</v>
      </c>
      <c r="F24" s="21" t="n">
        <f aca="false">F19/F6</f>
        <v>0.3875</v>
      </c>
      <c r="G24" s="21" t="n">
        <f aca="false">G19/G6</f>
        <v>0.38875</v>
      </c>
      <c r="H24" s="21" t="n">
        <f aca="false">H19/H6</f>
        <v>0.39025</v>
      </c>
      <c r="I24" s="21" t="n">
        <f aca="false">I19/I6</f>
        <v>0.39175</v>
      </c>
      <c r="J24" s="21" t="n">
        <f aca="false">J19/J6</f>
        <v>0.3925</v>
      </c>
      <c r="K24" s="21" t="n">
        <f aca="false">K19/K6</f>
        <v>0.3925</v>
      </c>
      <c r="L24" s="21" t="n">
        <f aca="false">L19/L6</f>
        <v>0.3925</v>
      </c>
    </row>
    <row r="25" customFormat="false" ht="15" hidden="false" customHeight="false" outlineLevel="0" collapsed="false">
      <c r="A25" s="4" t="s">
        <v>208</v>
      </c>
    </row>
    <row r="26" customFormat="false" ht="15" hidden="false" customHeight="false" outlineLevel="0" collapsed="false">
      <c r="A26" s="2" t="s">
        <v>209</v>
      </c>
      <c r="B26" s="24" t="n">
        <f aca="false">SUM(C21:L21)</f>
        <v>11212.1459344485</v>
      </c>
    </row>
    <row r="27" customFormat="false" ht="15" hidden="false" customHeight="false" outlineLevel="0" collapsed="false">
      <c r="A27" s="2" t="s">
        <v>169</v>
      </c>
      <c r="B27" s="28" t="n">
        <f aca="false">Assumptions!$D$16</f>
        <v>0.03</v>
      </c>
    </row>
    <row r="28" customFormat="false" ht="15" hidden="false" customHeight="false" outlineLevel="0" collapsed="false">
      <c r="A28" s="2" t="s">
        <v>210</v>
      </c>
      <c r="B28" s="24" t="n">
        <f aca="false">L19*(1+B27)</f>
        <v>3202.19061932211</v>
      </c>
    </row>
    <row r="29" customFormat="false" ht="15" hidden="false" customHeight="false" outlineLevel="0" collapsed="false">
      <c r="A29" s="2" t="s">
        <v>211</v>
      </c>
      <c r="B29" s="24" t="n">
        <f aca="false">B28/(Assumptions!$B$5-B27)</f>
        <v>42695.8749242948</v>
      </c>
    </row>
    <row r="30" customFormat="false" ht="15" hidden="false" customHeight="false" outlineLevel="0" collapsed="false">
      <c r="A30" s="2" t="s">
        <v>212</v>
      </c>
      <c r="B30" s="25" t="n">
        <f aca="false">Assumptions!$B$12*L19</f>
        <v>62178.4586276138</v>
      </c>
    </row>
    <row r="31" customFormat="false" ht="15" hidden="false" customHeight="false" outlineLevel="0" collapsed="false">
      <c r="A31" s="2" t="s">
        <v>213</v>
      </c>
      <c r="B31" s="24" t="n">
        <f aca="false">MIN(B29,B30)</f>
        <v>42695.8749242948</v>
      </c>
    </row>
    <row r="32" customFormat="false" ht="15" hidden="false" customHeight="false" outlineLevel="0" collapsed="false">
      <c r="A32" s="2" t="s">
        <v>214</v>
      </c>
      <c r="B32" s="29" t="n">
        <f aca="false">B31/L19</f>
        <v>13.7333333333333</v>
      </c>
    </row>
    <row r="33" customFormat="false" ht="15" hidden="false" customHeight="false" outlineLevel="0" collapsed="false">
      <c r="A33" s="2" t="s">
        <v>215</v>
      </c>
      <c r="B33" s="24" t="n">
        <f aca="false">B31*L20</f>
        <v>15731.2465388242</v>
      </c>
    </row>
    <row r="34" customFormat="false" ht="15" hidden="false" customHeight="false" outlineLevel="0" collapsed="false">
      <c r="A34" s="2" t="s">
        <v>216</v>
      </c>
      <c r="B34" s="24" t="n">
        <f aca="false">B26+B33</f>
        <v>26943.3924732728</v>
      </c>
    </row>
    <row r="35" customFormat="false" ht="15" hidden="false" customHeight="false" outlineLevel="0" collapsed="false">
      <c r="A35" s="2" t="s">
        <v>217</v>
      </c>
      <c r="B35" s="25" t="n">
        <f aca="false">Assumptions!$B$9+Float_Income!$B$32</f>
        <v>6110.45642043322</v>
      </c>
    </row>
    <row r="36" customFormat="false" ht="15" hidden="false" customHeight="false" outlineLevel="0" collapsed="false">
      <c r="A36" s="2" t="s">
        <v>218</v>
      </c>
      <c r="B36" s="24" t="n">
        <f aca="false">B34+B35</f>
        <v>33053.848893706</v>
      </c>
    </row>
    <row r="37" customFormat="false" ht="15" hidden="false" customHeight="false" outlineLevel="0" collapsed="false">
      <c r="A37" s="2" t="s">
        <v>157</v>
      </c>
      <c r="B37" s="30" t="n">
        <f aca="false">Assumptions!$B$10</f>
        <v>31.55</v>
      </c>
    </row>
    <row r="38" customFormat="false" ht="15" hidden="false" customHeight="false" outlineLevel="0" collapsed="false">
      <c r="A38" s="2" t="s">
        <v>219</v>
      </c>
      <c r="B38" s="31" t="n">
        <f aca="false">B36/B37</f>
        <v>1047.66557507784</v>
      </c>
    </row>
    <row r="39" customFormat="false" ht="15" hidden="false" customHeight="false" outlineLevel="0" collapsed="false">
      <c r="A39" s="2" t="s">
        <v>220</v>
      </c>
      <c r="B39" s="21" t="n">
        <f aca="false">B38/Assumptions!$B$11-1</f>
        <v>0.122659210327737</v>
      </c>
    </row>
    <row r="41" customFormat="false" ht="15" hidden="false" customHeight="false" outlineLevel="0" collapsed="false">
      <c r="A41" s="2" t="s">
        <v>221</v>
      </c>
      <c r="B41" s="24" t="n">
        <f aca="false">SUMPRODUCT(-C10:L10/(1+Assumptions!$B$5)^C4:L4)</f>
        <v>795.848814221559</v>
      </c>
    </row>
    <row r="42" customFormat="false" ht="15" hidden="false" customHeight="false" outlineLevel="0" collapsed="false">
      <c r="A42" s="2" t="s">
        <v>222</v>
      </c>
      <c r="B42" s="24" t="n">
        <f aca="false">(-L10*(1+B27)/(Assumptions!$B$5-B27))*L20</f>
        <v>1001.99022540282</v>
      </c>
    </row>
    <row r="43" customFormat="false" ht="15" hidden="false" customHeight="false" outlineLevel="0" collapsed="false">
      <c r="A43" s="2" t="s">
        <v>223</v>
      </c>
      <c r="B43" s="32" t="n">
        <f aca="false">(B36+B41+B42)/B37</f>
        <v>1104.6493798203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6" t="s">
        <v>177</v>
      </c>
    </row>
    <row r="3" customFormat="false" ht="15" hidden="false" customHeight="false" outlineLevel="0" collapsed="false">
      <c r="B3" s="7" t="s">
        <v>178</v>
      </c>
      <c r="C3" s="7" t="s">
        <v>179</v>
      </c>
      <c r="D3" s="7" t="s">
        <v>180</v>
      </c>
      <c r="E3" s="7" t="s">
        <v>181</v>
      </c>
      <c r="F3" s="7" t="s">
        <v>182</v>
      </c>
      <c r="G3" s="7" t="s">
        <v>183</v>
      </c>
      <c r="H3" s="7" t="s">
        <v>184</v>
      </c>
      <c r="I3" s="7" t="s">
        <v>185</v>
      </c>
      <c r="J3" s="7" t="s">
        <v>186</v>
      </c>
      <c r="K3" s="7" t="s">
        <v>187</v>
      </c>
      <c r="L3" s="7" t="s">
        <v>188</v>
      </c>
    </row>
    <row r="4" customFormat="false" ht="15" hidden="false" customHeight="false" outlineLevel="0" collapsed="false">
      <c r="A4" s="23" t="s">
        <v>189</v>
      </c>
      <c r="B4" s="23" t="n">
        <v>0</v>
      </c>
      <c r="C4" s="23" t="n">
        <v>1</v>
      </c>
      <c r="D4" s="23" t="n">
        <v>2</v>
      </c>
      <c r="E4" s="23" t="n">
        <v>3</v>
      </c>
      <c r="F4" s="23" t="n">
        <v>4</v>
      </c>
      <c r="G4" s="23" t="n">
        <v>5</v>
      </c>
      <c r="H4" s="23" t="n">
        <v>6</v>
      </c>
      <c r="I4" s="23" t="n">
        <v>7</v>
      </c>
      <c r="J4" s="23" t="n">
        <v>8</v>
      </c>
      <c r="K4" s="23" t="n">
        <v>9</v>
      </c>
      <c r="L4" s="23" t="n">
        <v>10</v>
      </c>
    </row>
    <row r="5" customFormat="false" ht="15" hidden="false" customHeight="false" outlineLevel="0" collapsed="false">
      <c r="A5" s="2" t="s">
        <v>190</v>
      </c>
      <c r="C5" s="16" t="n">
        <v>0.2</v>
      </c>
      <c r="D5" s="16" t="n">
        <v>0.2</v>
      </c>
      <c r="E5" s="16" t="n">
        <v>0.19</v>
      </c>
      <c r="F5" s="16" t="n">
        <v>0.18</v>
      </c>
      <c r="G5" s="16" t="n">
        <v>0.17</v>
      </c>
      <c r="H5" s="16" t="n">
        <v>0.16</v>
      </c>
      <c r="I5" s="16" t="n">
        <v>0.14</v>
      </c>
      <c r="J5" s="16" t="n">
        <v>0.13</v>
      </c>
      <c r="K5" s="16" t="n">
        <v>0.12</v>
      </c>
      <c r="L5" s="16" t="n">
        <v>0.11</v>
      </c>
    </row>
    <row r="6" customFormat="false" ht="15" hidden="false" customHeight="false" outlineLevel="0" collapsed="false">
      <c r="A6" s="2" t="s">
        <v>74</v>
      </c>
      <c r="B6" s="8" t="n">
        <v>2364.2</v>
      </c>
      <c r="C6" s="24" t="n">
        <f aca="false">B6*(1+C5)</f>
        <v>2837.04</v>
      </c>
      <c r="D6" s="24" t="n">
        <f aca="false">C6*(1+D5)</f>
        <v>3404.448</v>
      </c>
      <c r="E6" s="24" t="n">
        <f aca="false">D6*(1+E5)</f>
        <v>4051.29312</v>
      </c>
      <c r="F6" s="24" t="n">
        <f aca="false">E6*(1+F5)</f>
        <v>4780.5258816</v>
      </c>
      <c r="G6" s="24" t="n">
        <f aca="false">F6*(1+G5)</f>
        <v>5593.215281472</v>
      </c>
      <c r="H6" s="24" t="n">
        <f aca="false">G6*(1+H5)</f>
        <v>6488.12972650752</v>
      </c>
      <c r="I6" s="24" t="n">
        <f aca="false">H6*(1+I5)</f>
        <v>7396.46788821857</v>
      </c>
      <c r="J6" s="24" t="n">
        <f aca="false">I6*(1+J5)</f>
        <v>8358.00871368699</v>
      </c>
      <c r="K6" s="24" t="n">
        <f aca="false">J6*(1+K5)</f>
        <v>9360.96975932943</v>
      </c>
      <c r="L6" s="24" t="n">
        <f aca="false">K6*(1+L5)</f>
        <v>10390.6764328557</v>
      </c>
    </row>
    <row r="7" customFormat="false" ht="15" hidden="false" customHeight="false" outlineLevel="0" collapsed="false">
      <c r="A7" s="2" t="s">
        <v>191</v>
      </c>
      <c r="B7" s="9" t="n">
        <v>0.557</v>
      </c>
      <c r="C7" s="16" t="n">
        <v>0.565</v>
      </c>
      <c r="D7" s="16" t="n">
        <v>0.584</v>
      </c>
      <c r="E7" s="16" t="n">
        <v>0.603</v>
      </c>
      <c r="F7" s="16" t="n">
        <v>0.617</v>
      </c>
      <c r="G7" s="16" t="n">
        <v>0.626</v>
      </c>
      <c r="H7" s="16" t="n">
        <v>0.63</v>
      </c>
      <c r="I7" s="16" t="n">
        <v>0.632</v>
      </c>
      <c r="J7" s="16" t="n">
        <v>0.633</v>
      </c>
      <c r="K7" s="16" t="n">
        <v>0.632</v>
      </c>
      <c r="L7" s="16" t="n">
        <v>0.632</v>
      </c>
    </row>
    <row r="8" customFormat="false" ht="15" hidden="false" customHeight="false" outlineLevel="0" collapsed="false">
      <c r="A8" s="2" t="s">
        <v>192</v>
      </c>
      <c r="C8" s="24" t="n">
        <f aca="false">C6*C7</f>
        <v>1602.9276</v>
      </c>
      <c r="D8" s="24" t="n">
        <f aca="false">D6*D7</f>
        <v>1988.197632</v>
      </c>
      <c r="E8" s="24" t="n">
        <f aca="false">E6*E7</f>
        <v>2442.92975136</v>
      </c>
      <c r="F8" s="24" t="n">
        <f aca="false">F6*F7</f>
        <v>2949.5844689472</v>
      </c>
      <c r="G8" s="24" t="n">
        <f aca="false">G6*G7</f>
        <v>3501.35276620147</v>
      </c>
      <c r="H8" s="24" t="n">
        <f aca="false">H6*H7</f>
        <v>4087.52172769974</v>
      </c>
      <c r="I8" s="24" t="n">
        <f aca="false">I6*I7</f>
        <v>4674.56770535414</v>
      </c>
      <c r="J8" s="24" t="n">
        <f aca="false">J6*J7</f>
        <v>5290.61951576386</v>
      </c>
      <c r="K8" s="24" t="n">
        <f aca="false">K6*K7</f>
        <v>5916.1328878962</v>
      </c>
      <c r="L8" s="24" t="n">
        <f aca="false">L6*L7</f>
        <v>6566.90750556478</v>
      </c>
    </row>
    <row r="9" customFormat="false" ht="15" hidden="false" customHeight="false" outlineLevel="0" collapsed="false">
      <c r="A9" s="2" t="s">
        <v>193</v>
      </c>
      <c r="B9" s="9" t="n">
        <v>0.03</v>
      </c>
      <c r="C9" s="16" t="n">
        <v>0.03</v>
      </c>
      <c r="D9" s="16" t="n">
        <v>0.029</v>
      </c>
      <c r="E9" s="16" t="n">
        <v>0.028</v>
      </c>
      <c r="F9" s="16" t="n">
        <v>0.027</v>
      </c>
      <c r="G9" s="16" t="n">
        <v>0.026</v>
      </c>
      <c r="H9" s="16" t="n">
        <v>0.025</v>
      </c>
      <c r="I9" s="16" t="n">
        <v>0.024</v>
      </c>
      <c r="J9" s="16" t="n">
        <v>0.023</v>
      </c>
      <c r="K9" s="16" t="n">
        <v>0.022</v>
      </c>
      <c r="L9" s="16" t="n">
        <v>0.022</v>
      </c>
    </row>
    <row r="10" customFormat="false" ht="15" hidden="false" customHeight="false" outlineLevel="0" collapsed="false">
      <c r="A10" s="2" t="s">
        <v>194</v>
      </c>
      <c r="C10" s="24" t="n">
        <f aca="false">-C6*C9</f>
        <v>-85.1112</v>
      </c>
      <c r="D10" s="24" t="n">
        <f aca="false">-D6*D9</f>
        <v>-98.728992</v>
      </c>
      <c r="E10" s="24" t="n">
        <f aca="false">-E6*E9</f>
        <v>-113.43620736</v>
      </c>
      <c r="F10" s="24" t="n">
        <f aca="false">-F6*F9</f>
        <v>-129.0741988032</v>
      </c>
      <c r="G10" s="24" t="n">
        <f aca="false">-G6*G9</f>
        <v>-145.423597318272</v>
      </c>
      <c r="H10" s="24" t="n">
        <f aca="false">-H6*H9</f>
        <v>-162.203243162688</v>
      </c>
      <c r="I10" s="24" t="n">
        <f aca="false">-I6*I9</f>
        <v>-177.515229317246</v>
      </c>
      <c r="J10" s="24" t="n">
        <f aca="false">-J6*J9</f>
        <v>-192.234200414801</v>
      </c>
      <c r="K10" s="24" t="n">
        <f aca="false">-K6*K9</f>
        <v>-205.941334705247</v>
      </c>
      <c r="L10" s="24" t="n">
        <f aca="false">-L6*L9</f>
        <v>-228.594881522825</v>
      </c>
    </row>
    <row r="11" customFormat="false" ht="15" hidden="false" customHeight="false" outlineLevel="0" collapsed="false">
      <c r="A11" s="2" t="s">
        <v>195</v>
      </c>
      <c r="C11" s="24" t="n">
        <f aca="false">C8+C10</f>
        <v>1517.8164</v>
      </c>
      <c r="D11" s="24" t="n">
        <f aca="false">D8+D10</f>
        <v>1889.46864</v>
      </c>
      <c r="E11" s="24" t="n">
        <f aca="false">E8+E10</f>
        <v>2329.493544</v>
      </c>
      <c r="F11" s="24" t="n">
        <f aca="false">F8+F10</f>
        <v>2820.510270144</v>
      </c>
      <c r="G11" s="24" t="n">
        <f aca="false">G8+G10</f>
        <v>3355.9291688832</v>
      </c>
      <c r="H11" s="24" t="n">
        <f aca="false">H8+H10</f>
        <v>3925.31848453705</v>
      </c>
      <c r="I11" s="24" t="n">
        <f aca="false">I8+I10</f>
        <v>4497.05247603689</v>
      </c>
      <c r="J11" s="24" t="n">
        <f aca="false">J8+J10</f>
        <v>5098.38531534906</v>
      </c>
      <c r="K11" s="24" t="n">
        <f aca="false">K8+K10</f>
        <v>5710.19155319095</v>
      </c>
      <c r="L11" s="24" t="n">
        <f aca="false">L8+L10</f>
        <v>6338.31262404196</v>
      </c>
    </row>
    <row r="12" customFormat="false" ht="15" hidden="false" customHeight="false" outlineLevel="0" collapsed="false">
      <c r="A12" s="2" t="s">
        <v>196</v>
      </c>
      <c r="C12" s="25" t="n">
        <f aca="false">-C6*Assumptions!$B$6</f>
        <v>-170.2224</v>
      </c>
      <c r="D12" s="25" t="n">
        <f aca="false">-D6*Assumptions!$B$6</f>
        <v>-204.26688</v>
      </c>
      <c r="E12" s="25" t="n">
        <f aca="false">-E6*Assumptions!$B$6</f>
        <v>-243.0775872</v>
      </c>
      <c r="F12" s="25" t="n">
        <f aca="false">-F6*Assumptions!$B$6</f>
        <v>-286.831552896</v>
      </c>
      <c r="G12" s="25" t="n">
        <f aca="false">-G6*Assumptions!$B$6</f>
        <v>-335.59291688832</v>
      </c>
      <c r="H12" s="25" t="n">
        <f aca="false">-H6*Assumptions!$B$6</f>
        <v>-389.287783590451</v>
      </c>
      <c r="I12" s="25" t="n">
        <f aca="false">-I6*Assumptions!$B$6</f>
        <v>-443.788073293114</v>
      </c>
      <c r="J12" s="25" t="n">
        <f aca="false">-J6*Assumptions!$B$6</f>
        <v>-501.480522821219</v>
      </c>
      <c r="K12" s="25" t="n">
        <f aca="false">-K6*Assumptions!$B$6</f>
        <v>-561.658185559766</v>
      </c>
      <c r="L12" s="25" t="n">
        <f aca="false">-L6*Assumptions!$B$6</f>
        <v>-623.44058597134</v>
      </c>
    </row>
    <row r="13" customFormat="false" ht="15" hidden="false" customHeight="false" outlineLevel="0" collapsed="false">
      <c r="A13" s="2" t="s">
        <v>197</v>
      </c>
      <c r="C13" s="24" t="n">
        <f aca="false">C11+C12</f>
        <v>1347.594</v>
      </c>
      <c r="D13" s="24" t="n">
        <f aca="false">D11+D12</f>
        <v>1685.20176</v>
      </c>
      <c r="E13" s="24" t="n">
        <f aca="false">E11+E12</f>
        <v>2086.4159568</v>
      </c>
      <c r="F13" s="24" t="n">
        <f aca="false">F11+F12</f>
        <v>2533.678717248</v>
      </c>
      <c r="G13" s="24" t="n">
        <f aca="false">G11+G12</f>
        <v>3020.33625199488</v>
      </c>
      <c r="H13" s="24" t="n">
        <f aca="false">H11+H12</f>
        <v>3536.0307009466</v>
      </c>
      <c r="I13" s="24" t="n">
        <f aca="false">I11+I12</f>
        <v>4053.26440274378</v>
      </c>
      <c r="J13" s="24" t="n">
        <f aca="false">J11+J12</f>
        <v>4596.90479252784</v>
      </c>
      <c r="K13" s="24" t="n">
        <f aca="false">K11+K12</f>
        <v>5148.53336763118</v>
      </c>
      <c r="L13" s="24" t="n">
        <f aca="false">L11+L12</f>
        <v>5714.87203807062</v>
      </c>
    </row>
    <row r="14" customFormat="false" ht="15" hidden="false" customHeight="false" outlineLevel="0" collapsed="false">
      <c r="A14" s="2" t="s">
        <v>198</v>
      </c>
      <c r="C14" s="16" t="n">
        <v>0.228</v>
      </c>
      <c r="D14" s="16" t="n">
        <v>0.232</v>
      </c>
      <c r="E14" s="16" t="n">
        <v>0.236</v>
      </c>
      <c r="F14" s="16" t="n">
        <v>0.24</v>
      </c>
      <c r="G14" s="16" t="n">
        <v>0.245</v>
      </c>
      <c r="H14" s="16" t="n">
        <v>0.248</v>
      </c>
      <c r="I14" s="16" t="n">
        <v>0.25</v>
      </c>
      <c r="J14" s="16" t="n">
        <v>0.25</v>
      </c>
      <c r="K14" s="16" t="n">
        <v>0.25</v>
      </c>
      <c r="L14" s="16" t="n">
        <v>0.25</v>
      </c>
    </row>
    <row r="15" customFormat="false" ht="15" hidden="false" customHeight="false" outlineLevel="0" collapsed="false">
      <c r="A15" s="2" t="s">
        <v>199</v>
      </c>
      <c r="C15" s="24" t="n">
        <f aca="false">C13*(1-C14)</f>
        <v>1040.342568</v>
      </c>
      <c r="D15" s="24" t="n">
        <f aca="false">D13*(1-D14)</f>
        <v>1294.23495168</v>
      </c>
      <c r="E15" s="24" t="n">
        <f aca="false">E13*(1-E14)</f>
        <v>1594.0217909952</v>
      </c>
      <c r="F15" s="24" t="n">
        <f aca="false">F13*(1-F14)</f>
        <v>1925.59582510848</v>
      </c>
      <c r="G15" s="24" t="n">
        <f aca="false">G13*(1-G14)</f>
        <v>2280.35387025613</v>
      </c>
      <c r="H15" s="24" t="n">
        <f aca="false">H13*(1-H14)</f>
        <v>2659.09508711184</v>
      </c>
      <c r="I15" s="24" t="n">
        <f aca="false">I13*(1-I14)</f>
        <v>3039.94830205783</v>
      </c>
      <c r="J15" s="24" t="n">
        <f aca="false">J13*(1-J14)</f>
        <v>3447.67859439588</v>
      </c>
      <c r="K15" s="24" t="n">
        <f aca="false">K13*(1-K14)</f>
        <v>3861.40002572339</v>
      </c>
      <c r="L15" s="24" t="n">
        <f aca="false">L13*(1-L14)</f>
        <v>4286.15402855296</v>
      </c>
    </row>
    <row r="16" customFormat="false" ht="15" hidden="false" customHeight="false" outlineLevel="0" collapsed="false">
      <c r="A16" s="2" t="s">
        <v>200</v>
      </c>
      <c r="C16" s="24" t="n">
        <f aca="false">-C12</f>
        <v>170.2224</v>
      </c>
      <c r="D16" s="24" t="n">
        <f aca="false">-D12</f>
        <v>204.26688</v>
      </c>
      <c r="E16" s="24" t="n">
        <f aca="false">-E12</f>
        <v>243.0775872</v>
      </c>
      <c r="F16" s="24" t="n">
        <f aca="false">-F12</f>
        <v>286.831552896</v>
      </c>
      <c r="G16" s="24" t="n">
        <f aca="false">-G12</f>
        <v>335.59291688832</v>
      </c>
      <c r="H16" s="24" t="n">
        <f aca="false">-H12</f>
        <v>389.287783590451</v>
      </c>
      <c r="I16" s="24" t="n">
        <f aca="false">-I12</f>
        <v>443.788073293114</v>
      </c>
      <c r="J16" s="24" t="n">
        <f aca="false">-J12</f>
        <v>501.480522821219</v>
      </c>
      <c r="K16" s="24" t="n">
        <f aca="false">-K12</f>
        <v>561.658185559766</v>
      </c>
      <c r="L16" s="24" t="n">
        <f aca="false">-L12</f>
        <v>623.44058597134</v>
      </c>
    </row>
    <row r="17" customFormat="false" ht="15" hidden="false" customHeight="false" outlineLevel="0" collapsed="false">
      <c r="A17" s="2" t="s">
        <v>201</v>
      </c>
      <c r="C17" s="25" t="n">
        <f aca="false">-C6*Assumptions!$B$7</f>
        <v>-141.852</v>
      </c>
      <c r="D17" s="25" t="n">
        <f aca="false">-D6*Assumptions!$B$7</f>
        <v>-170.2224</v>
      </c>
      <c r="E17" s="25" t="n">
        <f aca="false">-E6*Assumptions!$B$7</f>
        <v>-202.564656</v>
      </c>
      <c r="F17" s="25" t="n">
        <f aca="false">-F6*Assumptions!$B$7</f>
        <v>-239.02629408</v>
      </c>
      <c r="G17" s="25" t="n">
        <f aca="false">-G6*Assumptions!$B$7</f>
        <v>-279.6607640736</v>
      </c>
      <c r="H17" s="25" t="n">
        <f aca="false">-H6*Assumptions!$B$7</f>
        <v>-324.406486325376</v>
      </c>
      <c r="I17" s="25" t="n">
        <f aca="false">-I6*Assumptions!$B$7</f>
        <v>-369.823394410929</v>
      </c>
      <c r="J17" s="25" t="n">
        <f aca="false">-J6*Assumptions!$B$7</f>
        <v>-417.900435684349</v>
      </c>
      <c r="K17" s="25" t="n">
        <f aca="false">-K6*Assumptions!$B$7</f>
        <v>-468.048487966471</v>
      </c>
      <c r="L17" s="25" t="n">
        <f aca="false">-L6*Assumptions!$B$7</f>
        <v>-519.533821642783</v>
      </c>
    </row>
    <row r="18" customFormat="false" ht="15" hidden="false" customHeight="false" outlineLevel="0" collapsed="false">
      <c r="A18" s="2" t="s">
        <v>202</v>
      </c>
      <c r="C18" s="25" t="n">
        <f aca="false">Assumptions!$B$8*(C6-B6)</f>
        <v>0</v>
      </c>
      <c r="D18" s="25" t="n">
        <f aca="false">Assumptions!$B$8*(D6-C6)</f>
        <v>0</v>
      </c>
      <c r="E18" s="25" t="n">
        <f aca="false">Assumptions!$B$8*(E6-D6)</f>
        <v>0</v>
      </c>
      <c r="F18" s="25" t="n">
        <f aca="false">Assumptions!$B$8*(F6-E6)</f>
        <v>0</v>
      </c>
      <c r="G18" s="25" t="n">
        <f aca="false">Assumptions!$B$8*(G6-F6)</f>
        <v>0</v>
      </c>
      <c r="H18" s="25" t="n">
        <f aca="false">Assumptions!$B$8*(H6-G6)</f>
        <v>0</v>
      </c>
      <c r="I18" s="25" t="n">
        <f aca="false">Assumptions!$B$8*(I6-H6)</f>
        <v>0</v>
      </c>
      <c r="J18" s="25" t="n">
        <f aca="false">Assumptions!$B$8*(J6-I6)</f>
        <v>0</v>
      </c>
      <c r="K18" s="25" t="n">
        <f aca="false">Assumptions!$B$8*(K6-J6)</f>
        <v>0</v>
      </c>
      <c r="L18" s="25" t="n">
        <f aca="false">Assumptions!$B$8*(L6-K6)</f>
        <v>0</v>
      </c>
    </row>
    <row r="19" customFormat="false" ht="15" hidden="false" customHeight="false" outlineLevel="0" collapsed="false">
      <c r="A19" s="2" t="s">
        <v>203</v>
      </c>
      <c r="C19" s="26" t="n">
        <f aca="false">C15+C16+C17+C18</f>
        <v>1068.712968</v>
      </c>
      <c r="D19" s="26" t="n">
        <f aca="false">D15+D16+D17+D18</f>
        <v>1328.27943168</v>
      </c>
      <c r="E19" s="26" t="n">
        <f aca="false">E15+E16+E17+E18</f>
        <v>1634.5347221952</v>
      </c>
      <c r="F19" s="26" t="n">
        <f aca="false">F15+F16+F17+F18</f>
        <v>1973.40108392448</v>
      </c>
      <c r="G19" s="26" t="n">
        <f aca="false">G15+G16+G17+G18</f>
        <v>2336.28602307085</v>
      </c>
      <c r="H19" s="26" t="n">
        <f aca="false">H15+H16+H17+H18</f>
        <v>2723.97638437692</v>
      </c>
      <c r="I19" s="26" t="n">
        <f aca="false">I15+I16+I17+I18</f>
        <v>3113.91298094002</v>
      </c>
      <c r="J19" s="26" t="n">
        <f aca="false">J15+J16+J17+J18</f>
        <v>3531.25868153275</v>
      </c>
      <c r="K19" s="26" t="n">
        <f aca="false">K15+K16+K17+K18</f>
        <v>3955.00972331668</v>
      </c>
      <c r="L19" s="26" t="n">
        <f aca="false">L15+L16+L17+L18</f>
        <v>4390.06079288152</v>
      </c>
    </row>
    <row r="20" customFormat="false" ht="15" hidden="false" customHeight="false" outlineLevel="0" collapsed="false">
      <c r="A20" s="2" t="s">
        <v>204</v>
      </c>
      <c r="C20" s="27" t="n">
        <f aca="false">1/(1+Assumptions!$B$5)^C4</f>
        <v>0.904977375565611</v>
      </c>
      <c r="D20" s="27" t="n">
        <f aca="false">1/(1+Assumptions!$B$5)^D4</f>
        <v>0.818984050285621</v>
      </c>
      <c r="E20" s="27" t="n">
        <f aca="false">1/(1+Assumptions!$B$5)^E4</f>
        <v>0.741162036457575</v>
      </c>
      <c r="F20" s="27" t="n">
        <f aca="false">1/(1+Assumptions!$B$5)^F4</f>
        <v>0.67073487462224</v>
      </c>
      <c r="G20" s="27" t="n">
        <f aca="false">1/(1+Assumptions!$B$5)^G4</f>
        <v>0.606999886535964</v>
      </c>
      <c r="H20" s="27" t="n">
        <f aca="false">1/(1+Assumptions!$B$5)^H4</f>
        <v>0.54932116428594</v>
      </c>
      <c r="I20" s="27" t="n">
        <f aca="false">1/(1+Assumptions!$B$5)^I4</f>
        <v>0.497123225598136</v>
      </c>
      <c r="J20" s="27" t="n">
        <f aca="false">1/(1+Assumptions!$B$5)^J4</f>
        <v>0.449885272034512</v>
      </c>
      <c r="K20" s="27" t="n">
        <f aca="false">1/(1+Assumptions!$B$5)^K4</f>
        <v>0.407135992791414</v>
      </c>
      <c r="L20" s="27" t="n">
        <f aca="false">1/(1+Assumptions!$B$5)^L4</f>
        <v>0.368448862254673</v>
      </c>
    </row>
    <row r="21" customFormat="false" ht="15" hidden="false" customHeight="false" outlineLevel="0" collapsed="false">
      <c r="A21" s="2" t="s">
        <v>205</v>
      </c>
      <c r="C21" s="24" t="n">
        <f aca="false">C19*C20</f>
        <v>967.161057013575</v>
      </c>
      <c r="D21" s="24" t="n">
        <f aca="false">D19*D20</f>
        <v>1087.83966886837</v>
      </c>
      <c r="E21" s="24" t="n">
        <f aca="false">E19*E20</f>
        <v>1211.45508336281</v>
      </c>
      <c r="F21" s="24" t="n">
        <f aca="false">F19*F20</f>
        <v>1323.62892860548</v>
      </c>
      <c r="G21" s="24" t="n">
        <f aca="false">G19*G20</f>
        <v>1418.12535091957</v>
      </c>
      <c r="H21" s="24" t="n">
        <f aca="false">H19*H20</f>
        <v>1496.33787895333</v>
      </c>
      <c r="I21" s="24" t="n">
        <f aca="false">I19*I20</f>
        <v>1547.99846531681</v>
      </c>
      <c r="J21" s="24" t="n">
        <f aca="false">J19*J20</f>
        <v>1588.66127256559</v>
      </c>
      <c r="K21" s="24" t="n">
        <f aca="false">K19*K20</f>
        <v>1610.22681020223</v>
      </c>
      <c r="L21" s="24" t="n">
        <f aca="false">L19*L20</f>
        <v>1617.51290436604</v>
      </c>
    </row>
    <row r="23" customFormat="false" ht="15" hidden="false" customHeight="false" outlineLevel="0" collapsed="false">
      <c r="A23" s="2" t="s">
        <v>206</v>
      </c>
      <c r="C23" s="21" t="n">
        <f aca="false">C11/C6</f>
        <v>0.535</v>
      </c>
      <c r="D23" s="21" t="n">
        <f aca="false">D11/D6</f>
        <v>0.555</v>
      </c>
      <c r="E23" s="21" t="n">
        <f aca="false">E11/E6</f>
        <v>0.575</v>
      </c>
      <c r="F23" s="21" t="n">
        <f aca="false">F11/F6</f>
        <v>0.59</v>
      </c>
      <c r="G23" s="21" t="n">
        <f aca="false">G11/G6</f>
        <v>0.6</v>
      </c>
      <c r="H23" s="21" t="n">
        <f aca="false">H11/H6</f>
        <v>0.605</v>
      </c>
      <c r="I23" s="21" t="n">
        <f aca="false">I11/I6</f>
        <v>0.608</v>
      </c>
      <c r="J23" s="21" t="n">
        <f aca="false">J11/J6</f>
        <v>0.61</v>
      </c>
      <c r="K23" s="21" t="n">
        <f aca="false">K11/K6</f>
        <v>0.61</v>
      </c>
      <c r="L23" s="21" t="n">
        <f aca="false">L11/L6</f>
        <v>0.61</v>
      </c>
    </row>
    <row r="24" customFormat="false" ht="15" hidden="false" customHeight="false" outlineLevel="0" collapsed="false">
      <c r="A24" s="2" t="s">
        <v>207</v>
      </c>
      <c r="C24" s="21" t="n">
        <f aca="false">C19/C6</f>
        <v>0.3767</v>
      </c>
      <c r="D24" s="21" t="n">
        <f aca="false">D19/D6</f>
        <v>0.39016</v>
      </c>
      <c r="E24" s="21" t="n">
        <f aca="false">E19/E6</f>
        <v>0.40346</v>
      </c>
      <c r="F24" s="21" t="n">
        <f aca="false">F19/F6</f>
        <v>0.4128</v>
      </c>
      <c r="G24" s="21" t="n">
        <f aca="false">G19/G6</f>
        <v>0.4177</v>
      </c>
      <c r="H24" s="21" t="n">
        <f aca="false">H19/H6</f>
        <v>0.41984</v>
      </c>
      <c r="I24" s="21" t="n">
        <f aca="false">I19/I6</f>
        <v>0.421</v>
      </c>
      <c r="J24" s="21" t="n">
        <f aca="false">J19/J6</f>
        <v>0.4225</v>
      </c>
      <c r="K24" s="21" t="n">
        <f aca="false">K19/K6</f>
        <v>0.4225</v>
      </c>
      <c r="L24" s="21" t="n">
        <f aca="false">L19/L6</f>
        <v>0.4225</v>
      </c>
    </row>
    <row r="25" customFormat="false" ht="15" hidden="false" customHeight="false" outlineLevel="0" collapsed="false">
      <c r="A25" s="4" t="s">
        <v>208</v>
      </c>
    </row>
    <row r="26" customFormat="false" ht="15" hidden="false" customHeight="false" outlineLevel="0" collapsed="false">
      <c r="A26" s="2" t="s">
        <v>209</v>
      </c>
      <c r="B26" s="24" t="n">
        <f aca="false">SUM(C21:L21)</f>
        <v>13868.9474201738</v>
      </c>
    </row>
    <row r="27" customFormat="false" ht="15" hidden="false" customHeight="false" outlineLevel="0" collapsed="false">
      <c r="A27" s="2" t="s">
        <v>169</v>
      </c>
      <c r="B27" s="28" t="n">
        <f aca="false">Assumptions!$E$16</f>
        <v>0.035</v>
      </c>
    </row>
    <row r="28" customFormat="false" ht="15" hidden="false" customHeight="false" outlineLevel="0" collapsed="false">
      <c r="A28" s="2" t="s">
        <v>210</v>
      </c>
      <c r="B28" s="24" t="n">
        <f aca="false">L19*(1+B27)</f>
        <v>4543.71292063237</v>
      </c>
    </row>
    <row r="29" customFormat="false" ht="15" hidden="false" customHeight="false" outlineLevel="0" collapsed="false">
      <c r="A29" s="2" t="s">
        <v>211</v>
      </c>
      <c r="B29" s="24" t="n">
        <f aca="false">B28/(Assumptions!$B$5-B27)</f>
        <v>64910.1845804624</v>
      </c>
    </row>
    <row r="30" customFormat="false" ht="15" hidden="false" customHeight="false" outlineLevel="0" collapsed="false">
      <c r="A30" s="2" t="s">
        <v>212</v>
      </c>
      <c r="B30" s="25" t="n">
        <f aca="false">Assumptions!$B$12*L19</f>
        <v>87801.2158576304</v>
      </c>
    </row>
    <row r="31" customFormat="false" ht="15" hidden="false" customHeight="false" outlineLevel="0" collapsed="false">
      <c r="A31" s="2" t="s">
        <v>213</v>
      </c>
      <c r="B31" s="24" t="n">
        <f aca="false">MIN(B29,B30)</f>
        <v>64910.1845804624</v>
      </c>
    </row>
    <row r="32" customFormat="false" ht="15" hidden="false" customHeight="false" outlineLevel="0" collapsed="false">
      <c r="A32" s="2" t="s">
        <v>214</v>
      </c>
      <c r="B32" s="29" t="n">
        <f aca="false">B31/L19</f>
        <v>14.7857142857143</v>
      </c>
    </row>
    <row r="33" customFormat="false" ht="15" hidden="false" customHeight="false" outlineLevel="0" collapsed="false">
      <c r="A33" s="2" t="s">
        <v>215</v>
      </c>
      <c r="B33" s="24" t="n">
        <f aca="false">B31*L20</f>
        <v>23916.0836574122</v>
      </c>
    </row>
    <row r="34" customFormat="false" ht="15" hidden="false" customHeight="false" outlineLevel="0" collapsed="false">
      <c r="A34" s="2" t="s">
        <v>216</v>
      </c>
      <c r="B34" s="24" t="n">
        <f aca="false">B26+B33</f>
        <v>37785.031077586</v>
      </c>
    </row>
    <row r="35" customFormat="false" ht="15" hidden="false" customHeight="false" outlineLevel="0" collapsed="false">
      <c r="A35" s="2" t="s">
        <v>217</v>
      </c>
      <c r="B35" s="25" t="n">
        <f aca="false">Assumptions!$B$9+Float_Income!$B$47</f>
        <v>6961.29618750638</v>
      </c>
    </row>
    <row r="36" customFormat="false" ht="15" hidden="false" customHeight="false" outlineLevel="0" collapsed="false">
      <c r="A36" s="2" t="s">
        <v>218</v>
      </c>
      <c r="B36" s="24" t="n">
        <f aca="false">B34+B35</f>
        <v>44746.3272650924</v>
      </c>
    </row>
    <row r="37" customFormat="false" ht="15" hidden="false" customHeight="false" outlineLevel="0" collapsed="false">
      <c r="A37" s="2" t="s">
        <v>157</v>
      </c>
      <c r="B37" s="30" t="n">
        <f aca="false">Assumptions!$B$10</f>
        <v>31.55</v>
      </c>
    </row>
    <row r="38" customFormat="false" ht="15" hidden="false" customHeight="false" outlineLevel="0" collapsed="false">
      <c r="A38" s="2" t="s">
        <v>219</v>
      </c>
      <c r="B38" s="31" t="n">
        <f aca="false">B36/B37</f>
        <v>1418.26710824382</v>
      </c>
    </row>
    <row r="39" customFormat="false" ht="15" hidden="false" customHeight="false" outlineLevel="0" collapsed="false">
      <c r="A39" s="2" t="s">
        <v>220</v>
      </c>
      <c r="B39" s="21" t="n">
        <f aca="false">B38/Assumptions!$B$11-1</f>
        <v>0.519789014406147</v>
      </c>
    </row>
    <row r="41" customFormat="false" ht="15" hidden="false" customHeight="false" outlineLevel="0" collapsed="false">
      <c r="A41" s="2" t="s">
        <v>221</v>
      </c>
      <c r="B41" s="24" t="n">
        <f aca="false">SUMPRODUCT(-C10:L10/(1+Assumptions!$B$5)^C4:L4)</f>
        <v>848.706071334402</v>
      </c>
    </row>
    <row r="42" customFormat="false" ht="15" hidden="false" customHeight="false" outlineLevel="0" collapsed="false">
      <c r="A42" s="2" t="s">
        <v>222</v>
      </c>
      <c r="B42" s="24" t="n">
        <f aca="false">(-L10*(1+B27)/(Assumptions!$B$5-B27))*L20</f>
        <v>1245.3345336404</v>
      </c>
    </row>
    <row r="43" customFormat="false" ht="15" hidden="false" customHeight="false" outlineLevel="0" collapsed="false">
      <c r="A43" s="2" t="s">
        <v>223</v>
      </c>
      <c r="B43" s="32" t="n">
        <f aca="false">(B36+B41+B42)/B37</f>
        <v>1484.63923518438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10.51"/>
    <col collapsed="false" customWidth="true" hidden="false" outlineLevel="0" max="14" min="14" style="0" width="60"/>
  </cols>
  <sheetData>
    <row r="1" customFormat="false" ht="16.15" hidden="false" customHeight="false" outlineLevel="0" collapsed="false">
      <c r="A1" s="1" t="s">
        <v>226</v>
      </c>
    </row>
    <row r="2" customFormat="false" ht="39.75" hidden="false" customHeight="true" outlineLevel="0" collapsed="false">
      <c r="A2" s="3" t="s">
        <v>227</v>
      </c>
    </row>
    <row r="3" customFormat="false" ht="15" hidden="false" customHeight="false" outlineLevel="0" collapsed="false">
      <c r="A3" s="6" t="s">
        <v>228</v>
      </c>
    </row>
    <row r="5" customFormat="false" ht="15" hidden="false" customHeight="false" outlineLevel="0" collapsed="false">
      <c r="A5" s="4" t="s">
        <v>166</v>
      </c>
      <c r="B5" s="7" t="s">
        <v>178</v>
      </c>
      <c r="C5" s="7" t="s">
        <v>179</v>
      </c>
      <c r="D5" s="7" t="s">
        <v>180</v>
      </c>
      <c r="E5" s="7" t="s">
        <v>181</v>
      </c>
      <c r="F5" s="7" t="s">
        <v>182</v>
      </c>
      <c r="G5" s="7" t="s">
        <v>183</v>
      </c>
      <c r="H5" s="7" t="s">
        <v>184</v>
      </c>
      <c r="I5" s="7" t="s">
        <v>185</v>
      </c>
      <c r="J5" s="7" t="s">
        <v>186</v>
      </c>
      <c r="K5" s="7" t="s">
        <v>187</v>
      </c>
      <c r="L5" s="7" t="s">
        <v>188</v>
      </c>
    </row>
    <row r="6" customFormat="false" ht="15" hidden="false" customHeight="false" outlineLevel="0" collapsed="false">
      <c r="A6" s="2" t="s">
        <v>229</v>
      </c>
      <c r="B6" s="33" t="n">
        <v>272.6</v>
      </c>
      <c r="C6" s="17" t="n">
        <v>230</v>
      </c>
      <c r="D6" s="17" t="n">
        <v>200</v>
      </c>
      <c r="E6" s="17" t="n">
        <v>175</v>
      </c>
      <c r="F6" s="17" t="n">
        <v>155</v>
      </c>
      <c r="G6" s="17" t="n">
        <v>140</v>
      </c>
      <c r="H6" s="17" t="n">
        <v>128</v>
      </c>
      <c r="I6" s="17" t="n">
        <v>118</v>
      </c>
      <c r="J6" s="17" t="n">
        <v>108</v>
      </c>
      <c r="K6" s="17" t="n">
        <v>99</v>
      </c>
      <c r="L6" s="17" t="n">
        <v>90</v>
      </c>
    </row>
    <row r="7" customFormat="false" ht="15" hidden="false" customHeight="false" outlineLevel="0" collapsed="false">
      <c r="A7" s="2" t="s">
        <v>230</v>
      </c>
      <c r="C7" s="28" t="n">
        <f aca="false">DCF_Bear!C14</f>
        <v>0.23</v>
      </c>
      <c r="D7" s="28" t="n">
        <f aca="false">DCF_Bear!D14</f>
        <v>0.238</v>
      </c>
      <c r="E7" s="28" t="n">
        <f aca="false">DCF_Bear!E14</f>
        <v>0.245</v>
      </c>
      <c r="F7" s="28" t="n">
        <f aca="false">DCF_Bear!F14</f>
        <v>0.25</v>
      </c>
      <c r="G7" s="28" t="n">
        <f aca="false">DCF_Bear!G14</f>
        <v>0.255</v>
      </c>
      <c r="H7" s="28" t="n">
        <f aca="false">DCF_Bear!H14</f>
        <v>0.258</v>
      </c>
      <c r="I7" s="28" t="n">
        <f aca="false">DCF_Bear!I14</f>
        <v>0.258</v>
      </c>
      <c r="J7" s="28" t="n">
        <f aca="false">DCF_Bear!J14</f>
        <v>0.258</v>
      </c>
      <c r="K7" s="28" t="n">
        <f aca="false">DCF_Bear!K14</f>
        <v>0.258</v>
      </c>
      <c r="L7" s="28" t="n">
        <f aca="false">DCF_Bear!L14</f>
        <v>0.258</v>
      </c>
    </row>
    <row r="8" customFormat="false" ht="15" hidden="false" customHeight="false" outlineLevel="0" collapsed="false">
      <c r="A8" s="2" t="s">
        <v>231</v>
      </c>
      <c r="C8" s="34" t="n">
        <f aca="false">C6*(1-C7)</f>
        <v>177.1</v>
      </c>
      <c r="D8" s="34" t="n">
        <f aca="false">D6*(1-D7)</f>
        <v>152.4</v>
      </c>
      <c r="E8" s="34" t="n">
        <f aca="false">E6*(1-E7)</f>
        <v>132.125</v>
      </c>
      <c r="F8" s="34" t="n">
        <f aca="false">F6*(1-F7)</f>
        <v>116.25</v>
      </c>
      <c r="G8" s="34" t="n">
        <f aca="false">G6*(1-G7)</f>
        <v>104.3</v>
      </c>
      <c r="H8" s="34" t="n">
        <f aca="false">H6*(1-H7)</f>
        <v>94.976</v>
      </c>
      <c r="I8" s="34" t="n">
        <f aca="false">I6*(1-I7)</f>
        <v>87.556</v>
      </c>
      <c r="J8" s="34" t="n">
        <f aca="false">J6*(1-J7)</f>
        <v>80.136</v>
      </c>
      <c r="K8" s="34" t="n">
        <f aca="false">K6*(1-K7)</f>
        <v>73.458</v>
      </c>
      <c r="L8" s="34" t="n">
        <f aca="false">L6*(1-L7)</f>
        <v>66.78</v>
      </c>
    </row>
    <row r="9" customFormat="false" ht="15" hidden="false" customHeight="false" outlineLevel="0" collapsed="false">
      <c r="A9" s="2" t="s">
        <v>232</v>
      </c>
      <c r="C9" s="27" t="n">
        <f aca="false">DCF_Bear!C20</f>
        <v>0.904977375565611</v>
      </c>
      <c r="D9" s="27" t="n">
        <f aca="false">DCF_Bear!D20</f>
        <v>0.818984050285621</v>
      </c>
      <c r="E9" s="27" t="n">
        <f aca="false">DCF_Bear!E20</f>
        <v>0.741162036457575</v>
      </c>
      <c r="F9" s="27" t="n">
        <f aca="false">DCF_Bear!F20</f>
        <v>0.67073487462224</v>
      </c>
      <c r="G9" s="27" t="n">
        <f aca="false">DCF_Bear!G20</f>
        <v>0.606999886535964</v>
      </c>
      <c r="H9" s="27" t="n">
        <f aca="false">DCF_Bear!H20</f>
        <v>0.54932116428594</v>
      </c>
      <c r="I9" s="27" t="n">
        <f aca="false">DCF_Bear!I20</f>
        <v>0.497123225598136</v>
      </c>
      <c r="J9" s="27" t="n">
        <f aca="false">DCF_Bear!J20</f>
        <v>0.449885272034512</v>
      </c>
      <c r="K9" s="27" t="n">
        <f aca="false">DCF_Bear!K20</f>
        <v>0.407135992791414</v>
      </c>
      <c r="L9" s="27" t="n">
        <f aca="false">DCF_Bear!L20</f>
        <v>0.368448862254673</v>
      </c>
    </row>
    <row r="10" customFormat="false" ht="15" hidden="false" customHeight="false" outlineLevel="0" collapsed="false">
      <c r="A10" s="2" t="s">
        <v>233</v>
      </c>
      <c r="C10" s="34" t="n">
        <f aca="false">C8*C9</f>
        <v>160.27149321267</v>
      </c>
      <c r="D10" s="34" t="n">
        <f aca="false">D8*D9</f>
        <v>124.813169263529</v>
      </c>
      <c r="E10" s="34" t="n">
        <f aca="false">E8*E9</f>
        <v>97.9260340669571</v>
      </c>
      <c r="F10" s="34" t="n">
        <f aca="false">F8*F9</f>
        <v>77.9729291748354</v>
      </c>
      <c r="G10" s="34" t="n">
        <f aca="false">G8*G9</f>
        <v>63.310088165701</v>
      </c>
      <c r="H10" s="34" t="n">
        <f aca="false">H8*H9</f>
        <v>52.1723268992215</v>
      </c>
      <c r="I10" s="34" t="n">
        <f aca="false">I8*I9</f>
        <v>43.5261211404704</v>
      </c>
      <c r="J10" s="34" t="n">
        <f aca="false">J8*J9</f>
        <v>36.0520061597577</v>
      </c>
      <c r="K10" s="34" t="n">
        <f aca="false">K8*K9</f>
        <v>29.9073957584717</v>
      </c>
      <c r="L10" s="34" t="n">
        <f aca="false">L8*L9</f>
        <v>24.6050150213671</v>
      </c>
    </row>
    <row r="11" customFormat="false" ht="15" hidden="false" customHeight="false" outlineLevel="0" collapsed="false">
      <c r="A11" s="2" t="s">
        <v>234</v>
      </c>
      <c r="B11" s="24" t="n">
        <f aca="false">SUM(C10:L10)</f>
        <v>710.55657886298</v>
      </c>
    </row>
    <row r="12" customFormat="false" ht="15" hidden="false" customHeight="false" outlineLevel="0" collapsed="false">
      <c r="A12" s="2" t="s">
        <v>235</v>
      </c>
      <c r="B12" s="28" t="n">
        <f aca="false">Assumptions!$C$16</f>
        <v>0.015</v>
      </c>
    </row>
    <row r="13" customFormat="false" ht="15" hidden="false" customHeight="false" outlineLevel="0" collapsed="false">
      <c r="A13" s="2" t="s">
        <v>211</v>
      </c>
      <c r="B13" s="24" t="n">
        <f aca="false">L8*(1+B12)/(Assumptions!$B$5-B12)</f>
        <v>753.13</v>
      </c>
    </row>
    <row r="14" customFormat="false" ht="15" hidden="false" customHeight="false" outlineLevel="0" collapsed="false">
      <c r="A14" s="2" t="s">
        <v>212</v>
      </c>
      <c r="B14" s="25" t="n">
        <f aca="false">Assumptions!$B$13*L8</f>
        <v>801.36</v>
      </c>
    </row>
    <row r="15" customFormat="false" ht="15" hidden="false" customHeight="false" outlineLevel="0" collapsed="false">
      <c r="A15" s="2" t="s">
        <v>236</v>
      </c>
      <c r="B15" s="24" t="n">
        <f aca="false">MIN(B13,B14)</f>
        <v>753.13</v>
      </c>
    </row>
    <row r="16" customFormat="false" ht="15" hidden="false" customHeight="false" outlineLevel="0" collapsed="false">
      <c r="A16" s="2" t="s">
        <v>215</v>
      </c>
      <c r="B16" s="24" t="n">
        <f aca="false">B15*L9</f>
        <v>277.489891629862</v>
      </c>
    </row>
    <row r="17" customFormat="false" ht="15" hidden="false" customHeight="false" outlineLevel="0" collapsed="false">
      <c r="A17" s="2" t="s">
        <v>237</v>
      </c>
      <c r="B17" s="35" t="n">
        <f aca="false">B11+B16</f>
        <v>988.046470492842</v>
      </c>
      <c r="C17" s="32" t="n">
        <f aca="false">B17/Assumptions!$B$10</f>
        <v>31.3168453405021</v>
      </c>
      <c r="D17" s="6" t="s">
        <v>238</v>
      </c>
    </row>
    <row r="20" customFormat="false" ht="15" hidden="false" customHeight="false" outlineLevel="0" collapsed="false">
      <c r="A20" s="4" t="s">
        <v>167</v>
      </c>
      <c r="B20" s="7" t="s">
        <v>178</v>
      </c>
      <c r="C20" s="7" t="s">
        <v>179</v>
      </c>
      <c r="D20" s="7" t="s">
        <v>180</v>
      </c>
      <c r="E20" s="7" t="s">
        <v>181</v>
      </c>
      <c r="F20" s="7" t="s">
        <v>182</v>
      </c>
      <c r="G20" s="7" t="s">
        <v>183</v>
      </c>
      <c r="H20" s="7" t="s">
        <v>184</v>
      </c>
      <c r="I20" s="7" t="s">
        <v>185</v>
      </c>
      <c r="J20" s="7" t="s">
        <v>186</v>
      </c>
      <c r="K20" s="7" t="s">
        <v>187</v>
      </c>
      <c r="L20" s="7" t="s">
        <v>188</v>
      </c>
    </row>
    <row r="21" customFormat="false" ht="15" hidden="false" customHeight="false" outlineLevel="0" collapsed="false">
      <c r="A21" s="2" t="s">
        <v>229</v>
      </c>
      <c r="B21" s="33" t="n">
        <v>272.6</v>
      </c>
      <c r="C21" s="17" t="n">
        <v>255</v>
      </c>
      <c r="D21" s="17" t="n">
        <v>250</v>
      </c>
      <c r="E21" s="17" t="n">
        <v>246</v>
      </c>
      <c r="F21" s="17" t="n">
        <v>243</v>
      </c>
      <c r="G21" s="17" t="n">
        <v>241</v>
      </c>
      <c r="H21" s="17" t="n">
        <v>240</v>
      </c>
      <c r="I21" s="17" t="n">
        <v>240</v>
      </c>
      <c r="J21" s="17" t="n">
        <v>240</v>
      </c>
      <c r="K21" s="17" t="n">
        <v>240</v>
      </c>
      <c r="L21" s="17" t="n">
        <v>240</v>
      </c>
    </row>
    <row r="22" customFormat="false" ht="15" hidden="false" customHeight="false" outlineLevel="0" collapsed="false">
      <c r="A22" s="2" t="s">
        <v>230</v>
      </c>
      <c r="C22" s="28" t="n">
        <f aca="false">DCF_Base!C14</f>
        <v>0.23</v>
      </c>
      <c r="D22" s="28" t="n">
        <f aca="false">DCF_Base!D14</f>
        <v>0.235</v>
      </c>
      <c r="E22" s="28" t="n">
        <f aca="false">DCF_Base!E14</f>
        <v>0.24</v>
      </c>
      <c r="F22" s="28" t="n">
        <f aca="false">DCF_Base!F14</f>
        <v>0.245</v>
      </c>
      <c r="G22" s="28" t="n">
        <f aca="false">DCF_Base!G14</f>
        <v>0.25</v>
      </c>
      <c r="H22" s="28" t="n">
        <f aca="false">DCF_Base!H14</f>
        <v>0.25</v>
      </c>
      <c r="I22" s="28" t="n">
        <f aca="false">DCF_Base!I14</f>
        <v>0.25</v>
      </c>
      <c r="J22" s="28" t="n">
        <f aca="false">DCF_Base!J14</f>
        <v>0.25</v>
      </c>
      <c r="K22" s="28" t="n">
        <f aca="false">DCF_Base!K14</f>
        <v>0.25</v>
      </c>
      <c r="L22" s="28" t="n">
        <f aca="false">DCF_Base!L14</f>
        <v>0.25</v>
      </c>
    </row>
    <row r="23" customFormat="false" ht="15" hidden="false" customHeight="false" outlineLevel="0" collapsed="false">
      <c r="A23" s="2" t="s">
        <v>231</v>
      </c>
      <c r="C23" s="34" t="n">
        <f aca="false">C21*(1-C22)</f>
        <v>196.35</v>
      </c>
      <c r="D23" s="34" t="n">
        <f aca="false">D21*(1-D22)</f>
        <v>191.25</v>
      </c>
      <c r="E23" s="34" t="n">
        <f aca="false">E21*(1-E22)</f>
        <v>186.96</v>
      </c>
      <c r="F23" s="34" t="n">
        <f aca="false">F21*(1-F22)</f>
        <v>183.465</v>
      </c>
      <c r="G23" s="34" t="n">
        <f aca="false">G21*(1-G22)</f>
        <v>180.75</v>
      </c>
      <c r="H23" s="34" t="n">
        <f aca="false">H21*(1-H22)</f>
        <v>180</v>
      </c>
      <c r="I23" s="34" t="n">
        <f aca="false">I21*(1-I22)</f>
        <v>180</v>
      </c>
      <c r="J23" s="34" t="n">
        <f aca="false">J21*(1-J22)</f>
        <v>180</v>
      </c>
      <c r="K23" s="34" t="n">
        <f aca="false">K21*(1-K22)</f>
        <v>180</v>
      </c>
      <c r="L23" s="34" t="n">
        <f aca="false">L21*(1-L22)</f>
        <v>180</v>
      </c>
    </row>
    <row r="24" customFormat="false" ht="15" hidden="false" customHeight="false" outlineLevel="0" collapsed="false">
      <c r="A24" s="2" t="s">
        <v>232</v>
      </c>
      <c r="C24" s="27" t="n">
        <f aca="false">DCF_Base!C20</f>
        <v>0.904977375565611</v>
      </c>
      <c r="D24" s="27" t="n">
        <f aca="false">DCF_Base!D20</f>
        <v>0.818984050285621</v>
      </c>
      <c r="E24" s="27" t="n">
        <f aca="false">DCF_Base!E20</f>
        <v>0.741162036457575</v>
      </c>
      <c r="F24" s="27" t="n">
        <f aca="false">DCF_Base!F20</f>
        <v>0.67073487462224</v>
      </c>
      <c r="G24" s="27" t="n">
        <f aca="false">DCF_Base!G20</f>
        <v>0.606999886535964</v>
      </c>
      <c r="H24" s="27" t="n">
        <f aca="false">DCF_Base!H20</f>
        <v>0.54932116428594</v>
      </c>
      <c r="I24" s="27" t="n">
        <f aca="false">DCF_Base!I20</f>
        <v>0.497123225598136</v>
      </c>
      <c r="J24" s="27" t="n">
        <f aca="false">DCF_Base!J20</f>
        <v>0.449885272034512</v>
      </c>
      <c r="K24" s="27" t="n">
        <f aca="false">DCF_Base!K20</f>
        <v>0.407135992791414</v>
      </c>
      <c r="L24" s="27" t="n">
        <f aca="false">DCF_Base!L20</f>
        <v>0.368448862254673</v>
      </c>
    </row>
    <row r="25" customFormat="false" ht="15" hidden="false" customHeight="false" outlineLevel="0" collapsed="false">
      <c r="A25" s="2" t="s">
        <v>233</v>
      </c>
      <c r="C25" s="34" t="n">
        <f aca="false">C23*C24</f>
        <v>177.692307692308</v>
      </c>
      <c r="D25" s="34" t="n">
        <f aca="false">D23*D24</f>
        <v>156.630699617125</v>
      </c>
      <c r="E25" s="34" t="n">
        <f aca="false">E23*E24</f>
        <v>138.567654336108</v>
      </c>
      <c r="F25" s="34" t="n">
        <f aca="false">F23*F24</f>
        <v>123.056373772569</v>
      </c>
      <c r="G25" s="34" t="n">
        <f aca="false">G23*G24</f>
        <v>109.715229491375</v>
      </c>
      <c r="H25" s="34" t="n">
        <f aca="false">H23*H24</f>
        <v>98.8778095714692</v>
      </c>
      <c r="I25" s="34" t="n">
        <f aca="false">I23*I24</f>
        <v>89.4821806076645</v>
      </c>
      <c r="J25" s="34" t="n">
        <f aca="false">J23*J24</f>
        <v>80.9793489662122</v>
      </c>
      <c r="K25" s="34" t="n">
        <f aca="false">K23*K24</f>
        <v>73.2844787024545</v>
      </c>
      <c r="L25" s="34" t="n">
        <f aca="false">L23*L24</f>
        <v>66.3207952058412</v>
      </c>
    </row>
    <row r="26" customFormat="false" ht="15" hidden="false" customHeight="false" outlineLevel="0" collapsed="false">
      <c r="A26" s="2" t="s">
        <v>234</v>
      </c>
      <c r="B26" s="24" t="n">
        <f aca="false">SUM(C25:L25)</f>
        <v>1114.60687796313</v>
      </c>
    </row>
    <row r="27" customFormat="false" ht="15" hidden="false" customHeight="false" outlineLevel="0" collapsed="false">
      <c r="A27" s="2" t="s">
        <v>235</v>
      </c>
      <c r="B27" s="28" t="n">
        <f aca="false">Assumptions!$D$16</f>
        <v>0.03</v>
      </c>
    </row>
    <row r="28" customFormat="false" ht="15" hidden="false" customHeight="false" outlineLevel="0" collapsed="false">
      <c r="A28" s="2" t="s">
        <v>211</v>
      </c>
      <c r="B28" s="24" t="n">
        <f aca="false">L23*(1+B27)/(Assumptions!$B$5-B27)</f>
        <v>2472</v>
      </c>
    </row>
    <row r="29" customFormat="false" ht="15" hidden="false" customHeight="false" outlineLevel="0" collapsed="false">
      <c r="A29" s="2" t="s">
        <v>212</v>
      </c>
      <c r="B29" s="25" t="n">
        <f aca="false">Assumptions!$B$13*L23</f>
        <v>2160</v>
      </c>
    </row>
    <row r="30" customFormat="false" ht="15" hidden="false" customHeight="false" outlineLevel="0" collapsed="false">
      <c r="A30" s="2" t="s">
        <v>236</v>
      </c>
      <c r="B30" s="24" t="n">
        <f aca="false">MIN(B28,B29)</f>
        <v>2160</v>
      </c>
    </row>
    <row r="31" customFormat="false" ht="15" hidden="false" customHeight="false" outlineLevel="0" collapsed="false">
      <c r="A31" s="2" t="s">
        <v>215</v>
      </c>
      <c r="B31" s="24" t="n">
        <f aca="false">B30*L24</f>
        <v>795.849542470094</v>
      </c>
    </row>
    <row r="32" customFormat="false" ht="15" hidden="false" customHeight="false" outlineLevel="0" collapsed="false">
      <c r="A32" s="2" t="s">
        <v>237</v>
      </c>
      <c r="B32" s="35" t="n">
        <f aca="false">B26+B31</f>
        <v>1910.45642043322</v>
      </c>
      <c r="C32" s="32" t="n">
        <f aca="false">B32/Assumptions!$B$10</f>
        <v>60.5532938330656</v>
      </c>
      <c r="D32" s="6" t="s">
        <v>238</v>
      </c>
    </row>
    <row r="35" customFormat="false" ht="15" hidden="false" customHeight="false" outlineLevel="0" collapsed="false">
      <c r="A35" s="4" t="s">
        <v>168</v>
      </c>
      <c r="B35" s="7" t="s">
        <v>178</v>
      </c>
      <c r="C35" s="7" t="s">
        <v>179</v>
      </c>
      <c r="D35" s="7" t="s">
        <v>180</v>
      </c>
      <c r="E35" s="7" t="s">
        <v>181</v>
      </c>
      <c r="F35" s="7" t="s">
        <v>182</v>
      </c>
      <c r="G35" s="7" t="s">
        <v>183</v>
      </c>
      <c r="H35" s="7" t="s">
        <v>184</v>
      </c>
      <c r="I35" s="7" t="s">
        <v>185</v>
      </c>
      <c r="J35" s="7" t="s">
        <v>186</v>
      </c>
      <c r="K35" s="7" t="s">
        <v>187</v>
      </c>
      <c r="L35" s="7" t="s">
        <v>188</v>
      </c>
    </row>
    <row r="36" customFormat="false" ht="15" hidden="false" customHeight="false" outlineLevel="0" collapsed="false">
      <c r="A36" s="2" t="s">
        <v>229</v>
      </c>
      <c r="B36" s="33" t="n">
        <v>272.6</v>
      </c>
      <c r="C36" s="17" t="n">
        <v>265</v>
      </c>
      <c r="D36" s="17" t="n">
        <v>275</v>
      </c>
      <c r="E36" s="17" t="n">
        <v>288</v>
      </c>
      <c r="F36" s="17" t="n">
        <v>300</v>
      </c>
      <c r="G36" s="17" t="n">
        <v>315</v>
      </c>
      <c r="H36" s="17" t="n">
        <v>330</v>
      </c>
      <c r="I36" s="17" t="n">
        <v>348</v>
      </c>
      <c r="J36" s="17" t="n">
        <v>365</v>
      </c>
      <c r="K36" s="17" t="n">
        <v>382</v>
      </c>
      <c r="L36" s="17" t="n">
        <v>400</v>
      </c>
    </row>
    <row r="37" customFormat="false" ht="15" hidden="false" customHeight="false" outlineLevel="0" collapsed="false">
      <c r="A37" s="2" t="s">
        <v>230</v>
      </c>
      <c r="C37" s="28" t="n">
        <f aca="false">DCF_Bull!C14</f>
        <v>0.228</v>
      </c>
      <c r="D37" s="28" t="n">
        <f aca="false">DCF_Bull!D14</f>
        <v>0.232</v>
      </c>
      <c r="E37" s="28" t="n">
        <f aca="false">DCF_Bull!E14</f>
        <v>0.236</v>
      </c>
      <c r="F37" s="28" t="n">
        <f aca="false">DCF_Bull!F14</f>
        <v>0.24</v>
      </c>
      <c r="G37" s="28" t="n">
        <f aca="false">DCF_Bull!G14</f>
        <v>0.245</v>
      </c>
      <c r="H37" s="28" t="n">
        <f aca="false">DCF_Bull!H14</f>
        <v>0.248</v>
      </c>
      <c r="I37" s="28" t="n">
        <f aca="false">DCF_Bull!I14</f>
        <v>0.25</v>
      </c>
      <c r="J37" s="28" t="n">
        <f aca="false">DCF_Bull!J14</f>
        <v>0.25</v>
      </c>
      <c r="K37" s="28" t="n">
        <f aca="false">DCF_Bull!K14</f>
        <v>0.25</v>
      </c>
      <c r="L37" s="28" t="n">
        <f aca="false">DCF_Bull!L14</f>
        <v>0.25</v>
      </c>
    </row>
    <row r="38" customFormat="false" ht="15" hidden="false" customHeight="false" outlineLevel="0" collapsed="false">
      <c r="A38" s="2" t="s">
        <v>231</v>
      </c>
      <c r="C38" s="34" t="n">
        <f aca="false">C36*(1-C37)</f>
        <v>204.58</v>
      </c>
      <c r="D38" s="34" t="n">
        <f aca="false">D36*(1-D37)</f>
        <v>211.2</v>
      </c>
      <c r="E38" s="34" t="n">
        <f aca="false">E36*(1-E37)</f>
        <v>220.032</v>
      </c>
      <c r="F38" s="34" t="n">
        <f aca="false">F36*(1-F37)</f>
        <v>228</v>
      </c>
      <c r="G38" s="34" t="n">
        <f aca="false">G36*(1-G37)</f>
        <v>237.825</v>
      </c>
      <c r="H38" s="34" t="n">
        <f aca="false">H36*(1-H37)</f>
        <v>248.16</v>
      </c>
      <c r="I38" s="34" t="n">
        <f aca="false">I36*(1-I37)</f>
        <v>261</v>
      </c>
      <c r="J38" s="34" t="n">
        <f aca="false">J36*(1-J37)</f>
        <v>273.75</v>
      </c>
      <c r="K38" s="34" t="n">
        <f aca="false">K36*(1-K37)</f>
        <v>286.5</v>
      </c>
      <c r="L38" s="34" t="n">
        <f aca="false">L36*(1-L37)</f>
        <v>300</v>
      </c>
    </row>
    <row r="39" customFormat="false" ht="15" hidden="false" customHeight="false" outlineLevel="0" collapsed="false">
      <c r="A39" s="2" t="s">
        <v>232</v>
      </c>
      <c r="C39" s="27" t="n">
        <f aca="false">DCF_Bull!C20</f>
        <v>0.904977375565611</v>
      </c>
      <c r="D39" s="27" t="n">
        <f aca="false">DCF_Bull!D20</f>
        <v>0.818984050285621</v>
      </c>
      <c r="E39" s="27" t="n">
        <f aca="false">DCF_Bull!E20</f>
        <v>0.741162036457575</v>
      </c>
      <c r="F39" s="27" t="n">
        <f aca="false">DCF_Bull!F20</f>
        <v>0.67073487462224</v>
      </c>
      <c r="G39" s="27" t="n">
        <f aca="false">DCF_Bull!G20</f>
        <v>0.606999886535964</v>
      </c>
      <c r="H39" s="27" t="n">
        <f aca="false">DCF_Bull!H20</f>
        <v>0.54932116428594</v>
      </c>
      <c r="I39" s="27" t="n">
        <f aca="false">DCF_Bull!I20</f>
        <v>0.497123225598136</v>
      </c>
      <c r="J39" s="27" t="n">
        <f aca="false">DCF_Bull!J20</f>
        <v>0.449885272034512</v>
      </c>
      <c r="K39" s="27" t="n">
        <f aca="false">DCF_Bull!K20</f>
        <v>0.407135992791414</v>
      </c>
      <c r="L39" s="27" t="n">
        <f aca="false">DCF_Bull!L20</f>
        <v>0.368448862254673</v>
      </c>
    </row>
    <row r="40" customFormat="false" ht="15" hidden="false" customHeight="false" outlineLevel="0" collapsed="false">
      <c r="A40" s="2" t="s">
        <v>233</v>
      </c>
      <c r="C40" s="34" t="n">
        <f aca="false">C38*C39</f>
        <v>185.140271493213</v>
      </c>
      <c r="D40" s="34" t="n">
        <f aca="false">D38*D39</f>
        <v>172.969431420323</v>
      </c>
      <c r="E40" s="34" t="n">
        <f aca="false">E38*E39</f>
        <v>163.079365205833</v>
      </c>
      <c r="F40" s="34" t="n">
        <f aca="false">F38*F39</f>
        <v>152.927551413871</v>
      </c>
      <c r="G40" s="34" t="n">
        <f aca="false">G38*G39</f>
        <v>144.359748015416</v>
      </c>
      <c r="H40" s="34" t="n">
        <f aca="false">H38*H39</f>
        <v>136.319540129199</v>
      </c>
      <c r="I40" s="34" t="n">
        <f aca="false">I38*I39</f>
        <v>129.749161881113</v>
      </c>
      <c r="J40" s="34" t="n">
        <f aca="false">J38*J39</f>
        <v>123.156093219448</v>
      </c>
      <c r="K40" s="34" t="n">
        <f aca="false">K38*K39</f>
        <v>116.64446193474</v>
      </c>
      <c r="L40" s="34" t="n">
        <f aca="false">L38*L39</f>
        <v>110.534658676402</v>
      </c>
    </row>
    <row r="41" customFormat="false" ht="15" hidden="false" customHeight="false" outlineLevel="0" collapsed="false">
      <c r="A41" s="2" t="s">
        <v>234</v>
      </c>
      <c r="B41" s="24" t="n">
        <f aca="false">SUM(C40:L40)</f>
        <v>1434.88028338956</v>
      </c>
    </row>
    <row r="42" customFormat="false" ht="15" hidden="false" customHeight="false" outlineLevel="0" collapsed="false">
      <c r="A42" s="2" t="s">
        <v>235</v>
      </c>
      <c r="B42" s="28" t="n">
        <f aca="false">Assumptions!$E$16</f>
        <v>0.035</v>
      </c>
    </row>
    <row r="43" customFormat="false" ht="15" hidden="false" customHeight="false" outlineLevel="0" collapsed="false">
      <c r="A43" s="2" t="s">
        <v>211</v>
      </c>
      <c r="B43" s="24" t="n">
        <f aca="false">L38*(1+B42)/(Assumptions!$B$5-B42)</f>
        <v>4435.71428571429</v>
      </c>
    </row>
    <row r="44" customFormat="false" ht="15" hidden="false" customHeight="false" outlineLevel="0" collapsed="false">
      <c r="A44" s="2" t="s">
        <v>212</v>
      </c>
      <c r="B44" s="25" t="n">
        <f aca="false">Assumptions!$B$13*L38</f>
        <v>3600</v>
      </c>
    </row>
    <row r="45" customFormat="false" ht="15" hidden="false" customHeight="false" outlineLevel="0" collapsed="false">
      <c r="A45" s="2" t="s">
        <v>236</v>
      </c>
      <c r="B45" s="24" t="n">
        <f aca="false">MIN(B43,B44)</f>
        <v>3600</v>
      </c>
    </row>
    <row r="46" customFormat="false" ht="15" hidden="false" customHeight="false" outlineLevel="0" collapsed="false">
      <c r="A46" s="2" t="s">
        <v>215</v>
      </c>
      <c r="B46" s="24" t="n">
        <f aca="false">B45*L39</f>
        <v>1326.41590411682</v>
      </c>
    </row>
    <row r="47" customFormat="false" ht="15" hidden="false" customHeight="false" outlineLevel="0" collapsed="false">
      <c r="A47" s="2" t="s">
        <v>237</v>
      </c>
      <c r="B47" s="35" t="n">
        <f aca="false">B41+B46</f>
        <v>2761.29618750638</v>
      </c>
      <c r="C47" s="32" t="n">
        <f aca="false">B47/Assumptions!$B$10</f>
        <v>87.521273771993</v>
      </c>
      <c r="D47" s="6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3"/>
    <col collapsed="false" customWidth="true" hidden="false" outlineLevel="0" max="7" min="7" style="0" width="44"/>
  </cols>
  <sheetData>
    <row r="1" customFormat="false" ht="16.15" hidden="false" customHeight="false" outlineLevel="0" collapsed="false">
      <c r="A1" s="1" t="s">
        <v>239</v>
      </c>
    </row>
    <row r="2" customFormat="false" ht="15" hidden="false" customHeight="false" outlineLevel="0" collapsed="false">
      <c r="A2" s="6" t="s">
        <v>240</v>
      </c>
    </row>
    <row r="4" customFormat="false" ht="15" hidden="false" customHeight="false" outlineLevel="0" collapsed="false">
      <c r="B4" s="7" t="s">
        <v>166</v>
      </c>
      <c r="C4" s="7" t="s">
        <v>167</v>
      </c>
      <c r="D4" s="7" t="s">
        <v>168</v>
      </c>
    </row>
    <row r="5" customFormat="false" ht="15" hidden="false" customHeight="false" outlineLevel="0" collapsed="false">
      <c r="A5" s="2" t="s">
        <v>219</v>
      </c>
      <c r="B5" s="36" t="n">
        <f aca="false">DCF_Bear!$B$38</f>
        <v>571.108709494419</v>
      </c>
      <c r="C5" s="36" t="n">
        <f aca="false">DCF_Base!$B$38</f>
        <v>1047.66557507784</v>
      </c>
      <c r="D5" s="36" t="n">
        <f aca="false">DCF_Bull!$B$38</f>
        <v>1418.26710824382</v>
      </c>
    </row>
    <row r="6" customFormat="false" ht="15" hidden="false" customHeight="false" outlineLevel="0" collapsed="false">
      <c r="A6" s="2" t="s">
        <v>241</v>
      </c>
      <c r="B6" s="21" t="n">
        <f aca="false">B5/Assumptions!$B$11-1</f>
        <v>-0.388010384168004</v>
      </c>
      <c r="C6" s="21" t="n">
        <f aca="false">C5/Assumptions!$B$11-1</f>
        <v>0.122659210327737</v>
      </c>
      <c r="D6" s="21" t="n">
        <f aca="false">D5/Assumptions!$B$11-1</f>
        <v>0.519789014406147</v>
      </c>
    </row>
    <row r="7" customFormat="false" ht="15" hidden="false" customHeight="false" outlineLevel="0" collapsed="false">
      <c r="A7" s="2" t="s">
        <v>242</v>
      </c>
      <c r="B7" s="28" t="n">
        <f aca="false">Assumptions!$C$17</f>
        <v>0.15</v>
      </c>
      <c r="C7" s="28" t="n">
        <f aca="false">Assumptions!$D$17</f>
        <v>0.5</v>
      </c>
      <c r="D7" s="28" t="n">
        <f aca="false">Assumptions!$E$17</f>
        <v>0.35</v>
      </c>
    </row>
    <row r="8" customFormat="false" ht="15" hidden="false" customHeight="false" outlineLevel="0" collapsed="false">
      <c r="A8" s="2" t="s">
        <v>243</v>
      </c>
      <c r="B8" s="36" t="n">
        <f aca="false">DCF_Bear!$B$43</f>
        <v>619.022795029681</v>
      </c>
      <c r="C8" s="36" t="n">
        <f aca="false">DCF_Base!$B$43</f>
        <v>1104.6493798203</v>
      </c>
      <c r="D8" s="36" t="n">
        <f aca="false">DCF_Bull!$B$43</f>
        <v>1484.63923518438</v>
      </c>
    </row>
    <row r="10" customFormat="false" ht="15" hidden="false" customHeight="false" outlineLevel="0" collapsed="false">
      <c r="A10" s="2" t="s">
        <v>244</v>
      </c>
      <c r="B10" s="31" t="n">
        <f aca="false">SUMPRODUCT(B5:D5,B7:D7)</f>
        <v>1105.89258184842</v>
      </c>
    </row>
    <row r="11" customFormat="false" ht="15" hidden="false" customHeight="false" outlineLevel="0" collapsed="false">
      <c r="A11" s="2" t="s">
        <v>245</v>
      </c>
      <c r="B11" s="36" t="n">
        <f aca="false">Assumptions!$B$11</f>
        <v>933.2</v>
      </c>
    </row>
    <row r="12" customFormat="false" ht="15" hidden="false" customHeight="false" outlineLevel="0" collapsed="false">
      <c r="A12" s="2" t="s">
        <v>246</v>
      </c>
      <c r="B12" s="21" t="n">
        <f aca="false">1-B11/B10</f>
        <v>0.156156741335381</v>
      </c>
    </row>
    <row r="13" customFormat="false" ht="15" hidden="false" customHeight="false" outlineLevel="0" collapsed="false">
      <c r="A13" s="2" t="s">
        <v>247</v>
      </c>
      <c r="B13" s="32" t="n">
        <f aca="false">SUMPRODUCT(B8:D8,B7:D7)</f>
        <v>1164.80184147913</v>
      </c>
    </row>
    <row r="14" customFormat="false" ht="53.7" hidden="false" customHeight="false" outlineLevel="0" collapsed="false">
      <c r="A14" s="2" t="s">
        <v>248</v>
      </c>
      <c r="B14" s="21" t="n">
        <f aca="false">(Assumptions!$B$11-B10)/(B13-B10)</f>
        <v>-2.9315014809384</v>
      </c>
      <c r="G14" s="3" t="s">
        <v>249</v>
      </c>
    </row>
    <row r="15" customFormat="false" ht="15" hidden="false" customHeight="false" outlineLevel="0" collapsed="false">
      <c r="A15" s="2" t="s">
        <v>250</v>
      </c>
      <c r="B15" s="21" t="n">
        <f aca="false">(Float_Income!$C$17*B7+Float_Income!$C$32*C7+Float_Income!$C$47*D7)/B10</f>
        <v>0.059324585963086</v>
      </c>
    </row>
    <row r="16" customFormat="false" ht="15" hidden="false" customHeight="false" outlineLevel="0" collapsed="false">
      <c r="G16" s="6" t="s">
        <v>251</v>
      </c>
    </row>
    <row r="18" customFormat="false" ht="15" hidden="false" customHeight="false" outlineLevel="0" collapsed="false">
      <c r="A18" s="4" t="s">
        <v>252</v>
      </c>
    </row>
    <row r="19" customFormat="false" ht="15" hidden="false" customHeight="false" outlineLevel="0" collapsed="false">
      <c r="A19" s="7" t="s">
        <v>253</v>
      </c>
      <c r="B19" s="7" t="s">
        <v>254</v>
      </c>
    </row>
    <row r="20" customFormat="false" ht="15" hidden="false" customHeight="false" outlineLevel="0" collapsed="false">
      <c r="A20" s="9" t="n">
        <v>0.09</v>
      </c>
      <c r="B20" s="32" t="n">
        <f aca="false">(SUMPRODUCT(DCF_Base!$C$19:$L$19/(1+$A20)^DCF_Base!$C$4:$L$4)+MIN(DCF_Base!$L$19*(1+Assumptions!$D$16)/($A20-Assumptions!$D$16),Assumptions!$B$12*DCF_Base!$L$19)/(1+$A20)^10+SUMPRODUCT(Float_Income!$C$23:$L$23/(1+$A20)^DCF_Base!$C$4:$L$4)+MIN(Float_Income!$L$23*(1+Assumptions!$D$16)/($A20-Assumptions!$D$16),Assumptions!$B$13*Float_Income!$L$23)/(1+$A20)^10+Assumptions!$B$9)/Assumptions!$B$10</f>
        <v>1298.50219736597</v>
      </c>
    </row>
    <row r="21" customFormat="false" ht="15" hidden="false" customHeight="false" outlineLevel="0" collapsed="false">
      <c r="A21" s="9" t="n">
        <v>0.1</v>
      </c>
      <c r="B21" s="32" t="n">
        <f aca="false">(SUMPRODUCT(DCF_Base!$C$19:$L$19/(1+$A21)^DCF_Base!$C$4:$L$4)+MIN(DCF_Base!$L$19*(1+Assumptions!$D$16)/($A21-Assumptions!$D$16),Assumptions!$B$12*DCF_Base!$L$19)/(1+$A21)^10+SUMPRODUCT(Float_Income!$C$23:$L$23/(1+$A21)^DCF_Base!$C$4:$L$4)+MIN(Float_Income!$L$23*(1+Assumptions!$D$16)/($A21-Assumptions!$D$16),Assumptions!$B$13*Float_Income!$L$23)/(1+$A21)^10+Assumptions!$B$9)/Assumptions!$B$10</f>
        <v>1119.26102640898</v>
      </c>
    </row>
    <row r="22" customFormat="false" ht="15" hidden="false" customHeight="false" outlineLevel="0" collapsed="false">
      <c r="A22" s="9" t="n">
        <v>0.105</v>
      </c>
      <c r="B22" s="32" t="n">
        <f aca="false">(SUMPRODUCT(DCF_Base!$C$19:$L$19/(1+$A22)^DCF_Base!$C$4:$L$4)+MIN(DCF_Base!$L$19*(1+Assumptions!$D$16)/($A22-Assumptions!$D$16),Assumptions!$B$12*DCF_Base!$L$19)/(1+$A22)^10+SUMPRODUCT(Float_Income!$C$23:$L$23/(1+$A22)^DCF_Base!$C$4:$L$4)+MIN(Float_Income!$L$23*(1+Assumptions!$D$16)/($A22-Assumptions!$D$16),Assumptions!$B$13*Float_Income!$L$23)/(1+$A22)^10+Assumptions!$B$9)/Assumptions!$B$10</f>
        <v>1047.66557507784</v>
      </c>
    </row>
    <row r="23" customFormat="false" ht="15" hidden="false" customHeight="false" outlineLevel="0" collapsed="false">
      <c r="A23" s="9" t="n">
        <v>0.11</v>
      </c>
      <c r="B23" s="32" t="n">
        <f aca="false">(SUMPRODUCT(DCF_Base!$C$19:$L$19/(1+$A23)^DCF_Base!$C$4:$L$4)+MIN(DCF_Base!$L$19*(1+Assumptions!$D$16)/($A23-Assumptions!$D$16),Assumptions!$B$12*DCF_Base!$L$19)/(1+$A23)^10+SUMPRODUCT(Float_Income!$C$23:$L$23/(1+$A23)^DCF_Base!$C$4:$L$4)+MIN(Float_Income!$L$23*(1+Assumptions!$D$16)/($A23-Assumptions!$D$16),Assumptions!$B$13*Float_Income!$L$23)/(1+$A23)^10+Assumptions!$B$9)/Assumptions!$B$10</f>
        <v>985.086771577178</v>
      </c>
    </row>
    <row r="24" customFormat="false" ht="15" hidden="false" customHeight="false" outlineLevel="0" collapsed="false">
      <c r="A24" s="9" t="n">
        <v>0.12</v>
      </c>
      <c r="B24" s="32" t="n">
        <f aca="false">(SUMPRODUCT(DCF_Base!$C$19:$L$19/(1+$A24)^DCF_Base!$C$4:$L$4)+MIN(DCF_Base!$L$19*(1+Assumptions!$D$16)/($A24-Assumptions!$D$16),Assumptions!$B$12*DCF_Base!$L$19)/(1+$A24)^10+SUMPRODUCT(Float_Income!$C$23:$L$23/(1+$A24)^DCF_Base!$C$4:$L$4)+MIN(Float_Income!$L$23*(1+Assumptions!$D$16)/($A24-Assumptions!$D$16),Assumptions!$B$13*Float_Income!$L$23)/(1+$A24)^10+Assumptions!$B$9)/Assumptions!$B$10</f>
        <v>879.956130194684</v>
      </c>
    </row>
    <row r="25" customFormat="false" ht="15" hidden="false" customHeight="false" outlineLevel="0" collapsed="false">
      <c r="A25" s="9" t="n">
        <v>0.15</v>
      </c>
      <c r="B25" s="32" t="n">
        <f aca="false">(SUMPRODUCT(DCF_Base!$C$19:$L$19/(1+$A25)^DCF_Base!$C$4:$L$4)+MIN(DCF_Base!$L$19*(1+Assumptions!$D$16)/($A25-Assumptions!$D$16),Assumptions!$B$12*DCF_Base!$L$19)/(1+$A25)^10+SUMPRODUCT(Float_Income!$C$23:$L$23/(1+$A25)^DCF_Base!$C$4:$L$4)+MIN(Float_Income!$L$23*(1+Assumptions!$D$16)/($A25-Assumptions!$D$16),Assumptions!$B$13*Float_Income!$L$23)/(1+$A25)^10+Assumptions!$B$9)/Assumptions!$B$10</f>
        <v>669.141443217564</v>
      </c>
    </row>
    <row r="27" customFormat="false" ht="15" hidden="false" customHeight="false" outlineLevel="0" collapsed="false">
      <c r="A27" s="2" t="s">
        <v>255</v>
      </c>
      <c r="B27" s="32" t="n">
        <f aca="false">(SUMPRODUCT(DCF_Bear!$C$19:$L$19/(1+0.15)^DCF_Bear!$C$4:$L$4)+MIN(DCF_Bear!$L$19*(1+Assumptions!$C$16)/(0.15-Assumptions!$C$16),Assumptions!$B$12*DCF_Bear!$L$19)/(1+0.15)^10+SUMPRODUCT(Float_Income!$C$8:$L$8/(1+0.15)^DCF_Bear!$C$4:$L$4)+MIN(Float_Income!$L$8*(1+Assumptions!$C$16)/(0.15-Assumptions!$C$16),Assumptions!$B$13*Float_Income!$L$8)/(1+0.15)^10+Assumptions!$B$9)/Assumptions!$B$10</f>
        <v>423.345416419491</v>
      </c>
      <c r="C27" s="32" t="n">
        <f aca="false">(SUMPRODUCT(DCF_Base!$C$19:$L$19/(1+0.15)^DCF_Base!$C$4:$L$4)+MIN(DCF_Base!$L$19*(1+Assumptions!$D$16)/(0.15-Assumptions!$D$16),Assumptions!$B$12*DCF_Base!$L$19)/(1+0.15)^10+SUMPRODUCT(Float_Income!$C$23:$L$23/(1+0.15)^DCF_Base!$C$4:$L$4)+MIN(Float_Income!$L$23*(1+Assumptions!$D$16)/(0.15-Assumptions!$D$16),Assumptions!$B$13*Float_Income!$L$23)/(1+0.15)^10+Assumptions!$B$9)/Assumptions!$B$10</f>
        <v>669.141443217564</v>
      </c>
      <c r="D27" s="32" t="n">
        <f aca="false">(SUMPRODUCT(DCF_Bull!$C$19:$L$19/(1+0.15)^DCF_Bull!$C$4:$L$4)+MIN(DCF_Bull!$L$19*(1+Assumptions!$E$16)/(0.15-Assumptions!$E$16),Assumptions!$B$12*DCF_Bull!$L$19)/(1+0.15)^10+SUMPRODUCT(Float_Income!$C$38:$L$38/(1+0.15)^DCF_Bull!$C$4:$L$4)+MIN(Float_Income!$L$38*(1+Assumptions!$E$16)/(0.15-Assumptions!$E$16),Assumptions!$B$13*Float_Income!$L$38)/(1+0.15)^10+Assumptions!$B$9)/Assumptions!$B$10</f>
        <v>850.253666776886</v>
      </c>
      <c r="E27" s="31" t="n">
        <f aca="false">SUMPRODUCT(B27:D27,$B$7:$D$7)</f>
        <v>695.661317443616</v>
      </c>
      <c r="G27" s="6" t="s">
        <v>256</v>
      </c>
    </row>
    <row r="28" customFormat="false" ht="15" hidden="false" customHeight="false" outlineLevel="0" collapsed="false">
      <c r="A28" s="2" t="s">
        <v>257</v>
      </c>
      <c r="B28" s="32" t="n">
        <f aca="false">B27+(SUMPRODUCT(-DCF_Bear!$C$10:$L$10/(1+0.15)^DCF_Bear!$C$4:$L$4)+(-DCF_Bear!$L$10*(1+Assumptions!$C$16)/(0.15-Assumptions!$C$16))/(1+0.15)^10)/Assumptions!$B$10</f>
        <v>453.621255505456</v>
      </c>
      <c r="C28" s="32" t="n">
        <f aca="false">C27+(SUMPRODUCT(-DCF_Base!$C$10:$L$10/(1+0.15)^DCF_Base!$C$4:$L$4)+(-DCF_Base!$L$10*(1+Assumptions!$D$16)/(0.15-Assumptions!$D$16))/(1+0.15)^10)/Assumptions!$B$10</f>
        <v>702.868985908098</v>
      </c>
      <c r="D28" s="32" t="n">
        <f aca="false">D27+(SUMPRODUCT(-DCF_Bull!$C$10:$L$10/(1+0.15)^DCF_Bull!$C$4:$L$4)+(-DCF_Bull!$L$10*(1+Assumptions!$E$16)/(0.15-Assumptions!$E$16))/(1+0.15)^10)/Assumptions!$B$10</f>
        <v>888.055351914838</v>
      </c>
      <c r="E28" s="32" t="n">
        <f aca="false">SUMPRODUCT(B28:D28,$B$7:$D$7)</f>
        <v>730.297054450061</v>
      </c>
    </row>
    <row r="30" customFormat="false" ht="15" hidden="false" customHeight="false" outlineLevel="0" collapsed="false">
      <c r="A30" s="4" t="s">
        <v>258</v>
      </c>
    </row>
    <row r="31" customFormat="false" ht="15" hidden="false" customHeight="false" outlineLevel="0" collapsed="false">
      <c r="A31" s="7" t="s">
        <v>259</v>
      </c>
      <c r="B31" s="37" t="n">
        <v>0.02</v>
      </c>
      <c r="C31" s="37" t="n">
        <v>0.025</v>
      </c>
      <c r="D31" s="37" t="n">
        <v>0.03</v>
      </c>
      <c r="E31" s="37" t="n">
        <v>0.035</v>
      </c>
      <c r="F31" s="37" t="n">
        <v>0.04</v>
      </c>
    </row>
    <row r="32" customFormat="false" ht="15" hidden="false" customHeight="false" outlineLevel="0" collapsed="false">
      <c r="A32" s="37" t="n">
        <v>0.095</v>
      </c>
      <c r="B32" s="32" t="n">
        <f aca="false">IF($A32&gt;B$31,(SUMPRODUCT(DCF_Base!$C$19:$L$19/(1+$A32)^DCF_Base!$C$4:$L$4)+MIN(DCF_Base!$L$19*(1+B$31)/($A32-B$31),Assumptions!$B$12*DCF_Base!$L$19)/(1+$A32)^10+SUMPRODUCT(Float_Income!$C$23:$L$23/(1+$A32)^DCF_Base!$C$4:$L$4)+MIN(Float_Income!$L$23*(1+B$31)/($A32-B$31),Assumptions!$B$13*Float_Income!$L$23)/(1+$A32)^10+Assumptions!$B$9)/Assumptions!$B$10,"n/a")</f>
        <v>1112.63845356441</v>
      </c>
      <c r="C32" s="32" t="n">
        <f aca="false">IF($A32&gt;C$31,(SUMPRODUCT(DCF_Base!$C$19:$L$19/(1+$A32)^DCF_Base!$C$4:$L$4)+MIN(DCF_Base!$L$19*(1+C$31)/($A32-C$31),Assumptions!$B$12*DCF_Base!$L$19)/(1+$A32)^10+SUMPRODUCT(Float_Income!$C$23:$L$23/(1+$A32)^DCF_Base!$C$4:$L$4)+MIN(Float_Income!$L$23*(1+C$31)/($A32-C$31),Assumptions!$B$13*Float_Income!$L$23)/(1+$A32)^10+Assumptions!$B$9)/Assumptions!$B$10,"n/a")</f>
        <v>1154.10465193674</v>
      </c>
      <c r="D32" s="32" t="n">
        <f aca="false">IF($A32&gt;D$31,(SUMPRODUCT(DCF_Base!$C$19:$L$19/(1+$A32)^DCF_Base!$C$4:$L$4)+MIN(DCF_Base!$L$19*(1+D$31)/($A32-D$31),Assumptions!$B$12*DCF_Base!$L$19)/(1+$A32)^10+SUMPRODUCT(Float_Income!$C$23:$L$23/(1+$A32)^DCF_Base!$C$4:$L$4)+MIN(Float_Income!$L$23*(1+D$31)/($A32-D$31),Assumptions!$B$13*Float_Income!$L$23)/(1+$A32)^10+Assumptions!$B$9)/Assumptions!$B$10,"n/a")</f>
        <v>1201.95026544327</v>
      </c>
      <c r="E32" s="32" t="n">
        <f aca="false">IF($A32&gt;E$31,(SUMPRODUCT(DCF_Base!$C$19:$L$19/(1+$A32)^DCF_Base!$C$4:$L$4)+MIN(DCF_Base!$L$19*(1+E$31)/($A32-E$31),Assumptions!$B$12*DCF_Base!$L$19)/(1+$A32)^10+SUMPRODUCT(Float_Income!$C$23:$L$23/(1+$A32)^DCF_Base!$C$4:$L$4)+MIN(Float_Income!$L$23*(1+E$31)/($A32-E$31),Assumptions!$B$13*Float_Income!$L$23)/(1+$A32)^10+Assumptions!$B$9)/Assumptions!$B$10,"n/a")</f>
        <v>1257.77014786757</v>
      </c>
      <c r="F32" s="32" t="n">
        <f aca="false">IF($A32&gt;F$31,(SUMPRODUCT(DCF_Base!$C$19:$L$19/(1+$A32)^DCF_Base!$C$4:$L$4)+MIN(DCF_Base!$L$19*(1+F$31)/($A32-F$31),Assumptions!$B$12*DCF_Base!$L$19)/(1+$A32)^10+SUMPRODUCT(Float_Income!$C$23:$L$23/(1+$A32)^DCF_Base!$C$4:$L$4)+MIN(Float_Income!$L$23*(1+F$31)/($A32-F$31),Assumptions!$B$13*Float_Income!$L$23)/(1+$A32)^10+Assumptions!$B$9)/Assumptions!$B$10,"n/a")</f>
        <v>1323.73909982355</v>
      </c>
    </row>
    <row r="33" customFormat="false" ht="15" hidden="false" customHeight="false" outlineLevel="0" collapsed="false">
      <c r="A33" s="37" t="n">
        <v>0.1</v>
      </c>
      <c r="B33" s="32" t="n">
        <f aca="false">IF($A33&gt;B$31,(SUMPRODUCT(DCF_Base!$C$19:$L$19/(1+$A33)^DCF_Base!$C$4:$L$4)+MIN(DCF_Base!$L$19*(1+B$31)/($A33-B$31),Assumptions!$B$12*DCF_Base!$L$19)/(1+$A33)^10+SUMPRODUCT(Float_Income!$C$23:$L$23/(1+$A33)^DCF_Base!$C$4:$L$4)+MIN(Float_Income!$L$23*(1+B$31)/($A33-B$31),Assumptions!$B$13*Float_Income!$L$23)/(1+$A33)^10+Assumptions!$B$9)/Assumptions!$B$10,"n/a")</f>
        <v>1044.63532961805</v>
      </c>
      <c r="C33" s="32" t="n">
        <f aca="false">IF($A33&gt;C$31,(SUMPRODUCT(DCF_Base!$C$19:$L$19/(1+$A33)^DCF_Base!$C$4:$L$4)+MIN(DCF_Base!$L$19*(1+C$31)/($A33-C$31),Assumptions!$B$12*DCF_Base!$L$19)/(1+$A33)^10+SUMPRODUCT(Float_Income!$C$23:$L$23/(1+$A33)^DCF_Base!$C$4:$L$4)+MIN(Float_Income!$L$23*(1+C$31)/($A33-C$31),Assumptions!$B$13*Float_Income!$L$23)/(1+$A33)^10+Assumptions!$B$9)/Assumptions!$B$10,"n/a")</f>
        <v>1079.46065478715</v>
      </c>
      <c r="D33" s="32" t="n">
        <f aca="false">IF($A33&gt;D$31,(SUMPRODUCT(DCF_Base!$C$19:$L$19/(1+$A33)^DCF_Base!$C$4:$L$4)+MIN(DCF_Base!$L$19*(1+D$31)/($A33-D$31),Assumptions!$B$12*DCF_Base!$L$19)/(1+$A33)^10+SUMPRODUCT(Float_Income!$C$23:$L$23/(1+$A33)^DCF_Base!$C$4:$L$4)+MIN(Float_Income!$L$23*(1+D$31)/($A33-D$31),Assumptions!$B$13*Float_Income!$L$23)/(1+$A33)^10+Assumptions!$B$9)/Assumptions!$B$10,"n/a")</f>
        <v>1119.26102640898</v>
      </c>
      <c r="E33" s="32" t="n">
        <f aca="false">IF($A33&gt;E$31,(SUMPRODUCT(DCF_Base!$C$19:$L$19/(1+$A33)^DCF_Base!$C$4:$L$4)+MIN(DCF_Base!$L$19*(1+E$31)/($A33-E$31),Assumptions!$B$12*DCF_Base!$L$19)/(1+$A33)^10+SUMPRODUCT(Float_Income!$C$23:$L$23/(1+$A33)^DCF_Base!$C$4:$L$4)+MIN(Float_Income!$L$23*(1+E$31)/($A33-E$31),Assumptions!$B$13*Float_Income!$L$23)/(1+$A33)^10+Assumptions!$B$9)/Assumptions!$B$10,"n/a")</f>
        <v>1165.18453212648</v>
      </c>
      <c r="F33" s="32" t="n">
        <f aca="false">IF($A33&gt;F$31,(SUMPRODUCT(DCF_Base!$C$19:$L$19/(1+$A33)^DCF_Base!$C$4:$L$4)+MIN(DCF_Base!$L$19*(1+F$31)/($A33-F$31),Assumptions!$B$12*DCF_Base!$L$19)/(1+$A33)^10+SUMPRODUCT(Float_Income!$C$23:$L$23/(1+$A33)^DCF_Base!$C$4:$L$4)+MIN(Float_Income!$L$23*(1+F$31)/($A33-F$31),Assumptions!$B$13*Float_Income!$L$23)/(1+$A33)^10+Assumptions!$B$9)/Assumptions!$B$10,"n/a")</f>
        <v>1218.76195546356</v>
      </c>
    </row>
    <row r="34" customFormat="false" ht="15" hidden="false" customHeight="false" outlineLevel="0" collapsed="false">
      <c r="A34" s="37" t="n">
        <v>0.105</v>
      </c>
      <c r="B34" s="32" t="n">
        <f aca="false">IF($A34&gt;B$31,(SUMPRODUCT(DCF_Base!$C$19:$L$19/(1+$A34)^DCF_Base!$C$4:$L$4)+MIN(DCF_Base!$L$19*(1+B$31)/($A34-B$31),Assumptions!$B$12*DCF_Base!$L$19)/(1+$A34)^10+SUMPRODUCT(Float_Income!$C$23:$L$23/(1+$A34)^DCF_Base!$C$4:$L$4)+MIN(Float_Income!$L$23*(1+B$31)/($A34-B$31),Assumptions!$B$13*Float_Income!$L$23)/(1+$A34)^10+Assumptions!$B$9)/Assumptions!$B$10,"n/a")</f>
        <v>984.733811655717</v>
      </c>
      <c r="C34" s="32" t="n">
        <f aca="false">IF($A34&gt;C$31,(SUMPRODUCT(DCF_Base!$C$19:$L$19/(1+$A34)^DCF_Base!$C$4:$L$4)+MIN(DCF_Base!$L$19*(1+C$31)/($A34-C$31),Assumptions!$B$12*DCF_Base!$L$19)/(1+$A34)^10+SUMPRODUCT(Float_Income!$C$23:$L$23/(1+$A34)^DCF_Base!$C$4:$L$4)+MIN(Float_Income!$L$23*(1+C$31)/($A34-C$31),Assumptions!$B$13*Float_Income!$L$23)/(1+$A34)^10+Assumptions!$B$9)/Assumptions!$B$10,"n/a")</f>
        <v>1014.23307575984</v>
      </c>
      <c r="D34" s="31" t="n">
        <f aca="false">IF($A34&gt;D$31,(SUMPRODUCT(DCF_Base!$C$19:$L$19/(1+$A34)^DCF_Base!$C$4:$L$4)+MIN(DCF_Base!$L$19*(1+D$31)/($A34-D$31),Assumptions!$B$12*DCF_Base!$L$19)/(1+$A34)^10+SUMPRODUCT(Float_Income!$C$23:$L$23/(1+$A34)^DCF_Base!$C$4:$L$4)+MIN(Float_Income!$L$23*(1+D$31)/($A34-D$31),Assumptions!$B$13*Float_Income!$L$23)/(1+$A34)^10+Assumptions!$B$9)/Assumptions!$B$10,"n/a")</f>
        <v>1047.66557507784</v>
      </c>
      <c r="E34" s="32" t="n">
        <f aca="false">IF($A34&gt;E$31,(SUMPRODUCT(DCF_Base!$C$19:$L$19/(1+$A34)^DCF_Base!$C$4:$L$4)+MIN(DCF_Base!$L$19*(1+E$31)/($A34-E$31),Assumptions!$B$12*DCF_Base!$L$19)/(1+$A34)^10+SUMPRODUCT(Float_Income!$C$23:$L$23/(1+$A34)^DCF_Base!$C$4:$L$4)+MIN(Float_Income!$L$23*(1+E$31)/($A34-E$31),Assumptions!$B$13*Float_Income!$L$23)/(1+$A34)^10+Assumptions!$B$9)/Assumptions!$B$10,"n/a")</f>
        <v>1085.87414572699</v>
      </c>
      <c r="F34" s="32" t="n">
        <f aca="false">IF($A34&gt;F$31,(SUMPRODUCT(DCF_Base!$C$19:$L$19/(1+$A34)^DCF_Base!$C$4:$L$4)+MIN(DCF_Base!$L$19*(1+F$31)/($A34-F$31),Assumptions!$B$12*DCF_Base!$L$19)/(1+$A34)^10+SUMPRODUCT(Float_Income!$C$23:$L$23/(1+$A34)^DCF_Base!$C$4:$L$4)+MIN(Float_Income!$L$23*(1+F$31)/($A34-F$31),Assumptions!$B$13*Float_Income!$L$23)/(1+$A34)^10+Assumptions!$B$9)/Assumptions!$B$10,"n/a")</f>
        <v>1129.96095801447</v>
      </c>
    </row>
    <row r="35" customFormat="false" ht="15" hidden="false" customHeight="false" outlineLevel="0" collapsed="false">
      <c r="A35" s="37" t="n">
        <v>0.11</v>
      </c>
      <c r="B35" s="32" t="n">
        <f aca="false">IF($A35&gt;B$31,(SUMPRODUCT(DCF_Base!$C$19:$L$19/(1+$A35)^DCF_Base!$C$4:$L$4)+MIN(DCF_Base!$L$19*(1+B$31)/($A35-B$31),Assumptions!$B$12*DCF_Base!$L$19)/(1+$A35)^10+SUMPRODUCT(Float_Income!$C$23:$L$23/(1+$A35)^DCF_Base!$C$4:$L$4)+MIN(Float_Income!$L$23*(1+B$31)/($A35-B$31),Assumptions!$B$13*Float_Income!$L$23)/(1+$A35)^10+Assumptions!$B$9)/Assumptions!$B$10,"n/a")</f>
        <v>930.245086186281</v>
      </c>
      <c r="C35" s="32" t="n">
        <f aca="false">IF($A35&gt;C$31,(SUMPRODUCT(DCF_Base!$C$19:$L$19/(1+$A35)^DCF_Base!$C$4:$L$4)+MIN(DCF_Base!$L$19*(1+C$31)/($A35-C$31),Assumptions!$B$12*DCF_Base!$L$19)/(1+$A35)^10+SUMPRODUCT(Float_Income!$C$23:$L$23/(1+$A35)^DCF_Base!$C$4:$L$4)+MIN(Float_Income!$L$23*(1+C$31)/($A35-C$31),Assumptions!$B$13*Float_Income!$L$23)/(1+$A35)^10+Assumptions!$B$9)/Assumptions!$B$10,"n/a")</f>
        <v>956.762100504802</v>
      </c>
      <c r="D35" s="32" t="n">
        <f aca="false">IF($A35&gt;D$31,(SUMPRODUCT(DCF_Base!$C$19:$L$19/(1+$A35)^DCF_Base!$C$4:$L$4)+MIN(DCF_Base!$L$19*(1+D$31)/($A35-D$31),Assumptions!$B$12*DCF_Base!$L$19)/(1+$A35)^10+SUMPRODUCT(Float_Income!$C$23:$L$23/(1+$A35)^DCF_Base!$C$4:$L$4)+MIN(Float_Income!$L$23*(1+D$31)/($A35-D$31),Assumptions!$B$13*Float_Income!$L$23)/(1+$A35)^10+Assumptions!$B$9)/Assumptions!$B$10,"n/a")</f>
        <v>985.086771577178</v>
      </c>
      <c r="E35" s="32" t="n">
        <f aca="false">IF($A35&gt;E$31,(SUMPRODUCT(DCF_Base!$C$19:$L$19/(1+$A35)^DCF_Base!$C$4:$L$4)+MIN(DCF_Base!$L$19*(1+E$31)/($A35-E$31),Assumptions!$B$12*DCF_Base!$L$19)/(1+$A35)^10+SUMPRODUCT(Float_Income!$C$23:$L$23/(1+$A35)^DCF_Base!$C$4:$L$4)+MIN(Float_Income!$L$23*(1+E$31)/($A35-E$31),Assumptions!$B$13*Float_Income!$L$23)/(1+$A35)^10+Assumptions!$B$9)/Assumptions!$B$10,"n/a")</f>
        <v>1017.1880654592</v>
      </c>
      <c r="F35" s="32" t="n">
        <f aca="false">IF($A35&gt;F$31,(SUMPRODUCT(DCF_Base!$C$19:$L$19/(1+$A35)^DCF_Base!$C$4:$L$4)+MIN(DCF_Base!$L$19*(1+F$31)/($A35-F$31),Assumptions!$B$12*DCF_Base!$L$19)/(1+$A35)^10+SUMPRODUCT(Float_Income!$C$23:$L$23/(1+$A35)^DCF_Base!$C$4:$L$4)+MIN(Float_Income!$L$23*(1+F$31)/($A35-F$31),Assumptions!$B$13*Float_Income!$L$23)/(1+$A35)^10+Assumptions!$B$9)/Assumptions!$B$10,"n/a")</f>
        <v>1053.87525846723</v>
      </c>
    </row>
    <row r="36" customFormat="false" ht="15" hidden="false" customHeight="false" outlineLevel="0" collapsed="false">
      <c r="A36" s="37" t="n">
        <v>0.115</v>
      </c>
      <c r="B36" s="32" t="n">
        <f aca="false">IF($A36&gt;B$31,(SUMPRODUCT(DCF_Base!$C$19:$L$19/(1+$A36)^DCF_Base!$C$4:$L$4)+MIN(DCF_Base!$L$19*(1+B$31)/($A36-B$31),Assumptions!$B$12*DCF_Base!$L$19)/(1+$A36)^10+SUMPRODUCT(Float_Income!$C$23:$L$23/(1+$A36)^DCF_Base!$C$4:$L$4)+MIN(Float_Income!$L$23*(1+B$31)/($A36-B$31),Assumptions!$B$13*Float_Income!$L$23)/(1+$A36)^10+Assumptions!$B$9)/Assumptions!$B$10,"n/a")</f>
        <v>881.695726581465</v>
      </c>
      <c r="C36" s="32" t="n">
        <f aca="false">IF($A36&gt;C$31,(SUMPRODUCT(DCF_Base!$C$19:$L$19/(1+$A36)^DCF_Base!$C$4:$L$4)+MIN(DCF_Base!$L$19*(1+C$31)/($A36-C$31),Assumptions!$B$12*DCF_Base!$L$19)/(1+$A36)^10+SUMPRODUCT(Float_Income!$C$23:$L$23/(1+$A36)^DCF_Base!$C$4:$L$4)+MIN(Float_Income!$L$23*(1+C$31)/($A36-C$31),Assumptions!$B$13*Float_Income!$L$23)/(1+$A36)^10+Assumptions!$B$9)/Assumptions!$B$10,"n/a")</f>
        <v>904.582491903794</v>
      </c>
      <c r="D36" s="32" t="n">
        <f aca="false">IF($A36&gt;D$31,(SUMPRODUCT(DCF_Base!$C$19:$L$19/(1+$A36)^DCF_Base!$C$4:$L$4)+MIN(DCF_Base!$L$19*(1+D$31)/($A36-D$31),Assumptions!$B$12*DCF_Base!$L$19)/(1+$A36)^10+SUMPRODUCT(Float_Income!$C$23:$L$23/(1+$A36)^DCF_Base!$C$4:$L$4)+MIN(Float_Income!$L$23*(1+D$31)/($A36-D$31),Assumptions!$B$13*Float_Income!$L$23)/(1+$A36)^10+Assumptions!$B$9)/Assumptions!$B$10,"n/a")</f>
        <v>929.935819359921</v>
      </c>
      <c r="E36" s="32" t="n">
        <f aca="false">IF($A36&gt;E$31,(SUMPRODUCT(DCF_Base!$C$19:$L$19/(1+$A36)^DCF_Base!$C$4:$L$4)+MIN(DCF_Base!$L$19*(1+E$31)/($A36-E$31),Assumptions!$B$12*DCF_Base!$L$19)/(1+$A36)^10+SUMPRODUCT(Float_Income!$C$23:$L$23/(1+$A36)^DCF_Base!$C$4:$L$4)+MIN(Float_Income!$L$23*(1+E$31)/($A36-E$31),Assumptions!$B$13*Float_Income!$L$23)/(1+$A36)^10+Assumptions!$B$9)/Assumptions!$B$10,"n/a")</f>
        <v>957.137634058346</v>
      </c>
      <c r="F36" s="32" t="n">
        <f aca="false">IF($A36&gt;F$31,(SUMPRODUCT(DCF_Base!$C$19:$L$19/(1+$A36)^DCF_Base!$C$4:$L$4)+MIN(DCF_Base!$L$19*(1+F$31)/($A36-F$31),Assumptions!$B$12*DCF_Base!$L$19)/(1+$A36)^10+SUMPRODUCT(Float_Income!$C$23:$L$23/(1+$A36)^DCF_Base!$C$4:$L$4)+MIN(Float_Income!$L$23*(1+F$31)/($A36-F$31),Assumptions!$B$13*Float_Income!$L$23)/(1+$A36)^10+Assumptions!$B$9)/Assumptions!$B$10,"n/a")</f>
        <v>987.966357383228</v>
      </c>
    </row>
    <row r="38" customFormat="false" ht="15" hidden="false" customHeight="false" outlineLevel="0" collapsed="false">
      <c r="A38" s="4" t="s">
        <v>260</v>
      </c>
    </row>
    <row r="39" customFormat="false" ht="31.5" hidden="false" customHeight="true" outlineLevel="0" collapsed="false">
      <c r="A39" s="2" t="s">
        <v>261</v>
      </c>
      <c r="B39" s="22" t="s">
        <v>262</v>
      </c>
      <c r="C39" s="22"/>
      <c r="D39" s="22"/>
      <c r="E39" s="22"/>
      <c r="F39" s="22"/>
      <c r="G39" s="22"/>
    </row>
  </sheetData>
  <mergeCells count="1">
    <mergeCell ref="B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2026-08-09T01:52:29Z</dcterms:created>
  <dc:creator>openpyxl</dc:creator>
  <dc:description/>
  <dc:language>en-US</dc:language>
  <cp:lastModifiedBy/>
  <dcterms:modified xsi:type="dcterms:W3CDTF">2026-08-09T01:52:29Z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