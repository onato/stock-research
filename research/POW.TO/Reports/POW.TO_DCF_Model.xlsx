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POW.TO holdco NAV model (CAD per share)</t>
        </is>
      </c>
    </row>
    <row r="2">
      <c r="A2" t="inlineStr">
        <is>
          <t>Marked NAV total (C$m)</t>
        </is>
      </c>
      <c r="B2" t="n">
        <v>69910.7</v>
      </c>
    </row>
    <row r="3">
      <c r="A3" t="inlineStr">
        <is>
          <t>Diluted shares (m)</t>
        </is>
      </c>
      <c r="B3" t="n">
        <v>633.7</v>
      </c>
    </row>
    <row r="4">
      <c r="A4" t="inlineStr">
        <is>
          <t>NAV/share Y0</t>
        </is>
      </c>
      <c r="B4">
        <f>B2/B3</f>
        <v/>
      </c>
    </row>
    <row r="5">
      <c r="A5" t="inlineStr">
        <is>
          <t>Annualised DPS Y0</t>
        </is>
      </c>
      <c r="B5" t="n">
        <v>2.67</v>
      </c>
    </row>
    <row r="6">
      <c r="A6" t="inlineStr">
        <is>
          <t>Price</t>
        </is>
      </c>
      <c r="B6" t="n">
        <v>89.01000000000001</v>
      </c>
    </row>
    <row r="7">
      <c r="A7" t="inlineStr">
        <is>
          <t>Hurdle</t>
        </is>
      </c>
      <c r="B7" t="n">
        <v>0.15</v>
      </c>
    </row>
    <row r="9">
      <c r="A9" t="inlineStr">
        <is>
          <t>Driver</t>
        </is>
      </c>
      <c r="B9" t="inlineStr">
        <is>
          <t>bear</t>
        </is>
      </c>
      <c r="C9" t="inlineStr">
        <is>
          <t>base</t>
        </is>
      </c>
      <c r="D9" t="inlineStr">
        <is>
          <t>bull</t>
        </is>
      </c>
    </row>
    <row r="10">
      <c r="A10" t="inlineStr">
        <is>
          <t>NAV growth %</t>
        </is>
      </c>
      <c r="B10" t="n">
        <v>2</v>
      </c>
      <c r="C10" t="n">
        <v>6</v>
      </c>
      <c r="D10" t="n">
        <v>9</v>
      </c>
    </row>
    <row r="11">
      <c r="A11" t="inlineStr">
        <is>
          <t>DPS growth %</t>
        </is>
      </c>
      <c r="B11" t="n">
        <v>4</v>
      </c>
      <c r="C11" t="n">
        <v>7</v>
      </c>
      <c r="D11" t="n">
        <v>9</v>
      </c>
    </row>
    <row r="12">
      <c r="A12" t="inlineStr">
        <is>
          <t>Buyback yield %</t>
        </is>
      </c>
      <c r="B12" t="n">
        <v>0.75</v>
      </c>
      <c r="C12" t="n">
        <v>1</v>
      </c>
      <c r="D12" t="n">
        <v>1</v>
      </c>
    </row>
    <row r="13">
      <c r="A13" t="inlineStr">
        <is>
          <t>Exit discount %</t>
        </is>
      </c>
      <c r="B13" t="n">
        <v>30</v>
      </c>
      <c r="C13" t="n">
        <v>22</v>
      </c>
      <c r="D13" t="n">
        <v>15</v>
      </c>
    </row>
    <row r="14">
      <c r="A14" t="inlineStr">
        <is>
          <t>Cost of equity %</t>
        </is>
      </c>
      <c r="B14" t="n">
        <v>10</v>
      </c>
      <c r="C14" t="n">
        <v>9</v>
      </c>
      <c r="D14" t="n">
        <v>8.5</v>
      </c>
    </row>
    <row r="15">
      <c r="A15" t="inlineStr">
        <is>
          <t>Terminal growth %</t>
        </is>
      </c>
      <c r="B15" t="n">
        <v>3</v>
      </c>
      <c r="C15" t="n">
        <v>5</v>
      </c>
      <c r="D15" t="n">
        <v>5.5</v>
      </c>
    </row>
    <row r="17">
      <c r="A17" t="inlineStr">
        <is>
          <t>NAV/share Y5</t>
        </is>
      </c>
      <c r="B17">
        <f>$B$4*(1+B10/100)^5</f>
        <v/>
      </c>
      <c r="C17">
        <f>$B$4*(1+C10/100)^5</f>
        <v/>
      </c>
      <c r="D17">
        <f>$B$4*(1+D10/100)^5</f>
        <v/>
      </c>
    </row>
    <row r="18">
      <c r="A18" t="inlineStr">
        <is>
          <t>Exit value</t>
        </is>
      </c>
      <c r="B18">
        <f>B17*(1-B13/100)</f>
        <v/>
      </c>
      <c r="C18">
        <f>C17*(1-C13/100)</f>
        <v/>
      </c>
      <c r="D18">
        <f>D17*(1-D13/100)</f>
        <v/>
      </c>
    </row>
    <row r="19">
      <c r="A19" t="inlineStr">
        <is>
          <t>PV dividends Y1-5 @CoE</t>
        </is>
      </c>
      <c r="B19">
        <f>$B$5*(1+B11/100)^1/(1+B14/100)^1+$B$5*(1+B11/100)^2/(1+B14/100)^2+$B$5*(1+B11/100)^3/(1+B14/100)^3+$B$5*(1+B11/100)^4/(1+B14/100)^4+$B$5*(1+B11/100)^5/(1+B14/100)^5</f>
        <v/>
      </c>
      <c r="C19">
        <f>$B$5*(1+C11/100)^1/(1+C14/100)^1+$B$5*(1+C11/100)^2/(1+C14/100)^2+$B$5*(1+C11/100)^3/(1+C14/100)^3+$B$5*(1+C11/100)^4/(1+C14/100)^4+$B$5*(1+C11/100)^5/(1+C14/100)^5</f>
        <v/>
      </c>
      <c r="D19">
        <f>$B$5*(1+D11/100)^1/(1+D14/100)^1+$B$5*(1+D11/100)^2/(1+D14/100)^2+$B$5*(1+D11/100)^3/(1+D14/100)^3+$B$5*(1+D11/100)^4/(1+D14/100)^4+$B$5*(1+D11/100)^5/(1+D14/100)^5</f>
        <v/>
      </c>
    </row>
    <row r="20">
      <c r="A20" t="inlineStr">
        <is>
          <t>PV exit @CoE</t>
        </is>
      </c>
      <c r="B20">
        <f>B18/(1+B14/100)^5</f>
        <v/>
      </c>
      <c r="C20">
        <f>C18/(1+C14/100)^5</f>
        <v/>
      </c>
      <c r="D20">
        <f>D18/(1+D14/100)^5</f>
        <v/>
      </c>
    </row>
    <row r="21">
      <c r="A21" t="inlineStr">
        <is>
          <t>Intrinsic value</t>
        </is>
      </c>
      <c r="B21">
        <f>B19+B20</f>
        <v/>
      </c>
      <c r="C21">
        <f>C19+C20</f>
        <v/>
      </c>
      <c r="D21">
        <f>D19+D20</f>
        <v/>
      </c>
    </row>
    <row r="22">
      <c r="A22" t="inlineStr">
        <is>
          <t>Upside %</t>
        </is>
      </c>
      <c r="B22">
        <f>(B21/$B$6-1)*100</f>
        <v/>
      </c>
      <c r="C22">
        <f>(C21/$B$6-1)*100</f>
        <v/>
      </c>
      <c r="D22">
        <f>(D21/$B$6-1)*100</f>
        <v/>
      </c>
    </row>
    <row r="24">
      <c r="A24" t="inlineStr">
        <is>
          <t>PV dividends @hurdle</t>
        </is>
      </c>
      <c r="B24">
        <f>$B$5*(1+B11/100)^1/(1+$B$7)^1+$B$5*(1+B11/100)^2/(1+$B$7)^2+$B$5*(1+B11/100)^3/(1+$B$7)^3+$B$5*(1+B11/100)^4/(1+$B$7)^4+$B$5*(1+B11/100)^5/(1+$B$7)^5</f>
        <v/>
      </c>
      <c r="C24">
        <f>$B$5*(1+C11/100)^1/(1+$B$7)^1+$B$5*(1+C11/100)^2/(1+$B$7)^2+$B$5*(1+C11/100)^3/(1+$B$7)^3+$B$5*(1+C11/100)^4/(1+$B$7)^4+$B$5*(1+C11/100)^5/(1+$B$7)^5</f>
        <v/>
      </c>
      <c r="D24">
        <f>$B$5*(1+D11/100)^1/(1+$B$7)^1+$B$5*(1+D11/100)^2/(1+$B$7)^2+$B$5*(1+D11/100)^3/(1+$B$7)^3+$B$5*(1+D11/100)^4/(1+$B$7)^4+$B$5*(1+D11/100)^5/(1+$B$7)^5</f>
        <v/>
      </c>
    </row>
    <row r="25">
      <c r="A25" t="inlineStr">
        <is>
          <t>Exit at hurdle (capped)</t>
        </is>
      </c>
      <c r="B25">
        <f>MIN(($B$5*(1+B11/100)^6+B17*(1+B10/100)*B12/100)/($B$7-B15/100),B18)</f>
        <v/>
      </c>
      <c r="C25">
        <f>MIN(($B$5*(1+C11/100)^6+C17*(1+C10/100)*C12/100)/($B$7-C15/100),C18)</f>
        <v/>
      </c>
      <c r="D25">
        <f>MIN(($B$5*(1+D11/100)^6+D17*(1+D10/100)*D12/100)/($B$7-D15/100),D18)</f>
        <v/>
      </c>
    </row>
    <row r="26">
      <c r="A26" t="inlineStr">
        <is>
          <t>Entry price</t>
        </is>
      </c>
      <c r="B26">
        <f>B24+B25/(1+$B$7)^5</f>
        <v/>
      </c>
      <c r="C26">
        <f>C24+C25/(1+$B$7)^5</f>
        <v/>
      </c>
      <c r="D26">
        <f>D24+D25/(1+$B$7)^5</f>
        <v/>
      </c>
    </row>
    <row r="28">
      <c r="A28" t="inlineStr">
        <is>
          <t>Weight</t>
        </is>
      </c>
      <c r="B28" t="n">
        <v>0.25</v>
      </c>
      <c r="C28" t="n">
        <v>0.5</v>
      </c>
      <c r="D28" t="n">
        <v>0.25</v>
      </c>
    </row>
    <row r="30">
      <c r="A30" t="inlineStr">
        <is>
          <t>Weighted IV</t>
        </is>
      </c>
      <c r="B30">
        <f>B21*B28+C21*C28+D21*D28</f>
        <v/>
      </c>
    </row>
    <row r="31">
      <c r="A31" t="inlineStr">
        <is>
          <t>Weighted entry price</t>
        </is>
      </c>
      <c r="B31">
        <f>B26*B28+C26*C28+D26*D28</f>
        <v/>
      </c>
    </row>
    <row r="32">
      <c r="A32" t="inlineStr">
        <is>
          <t>JSON weighted IV (check)</t>
        </is>
      </c>
      <c r="B32" t="n">
        <v>87.18000000000001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2026-10-10T09:56:45Z</dcterms:created>
  <dcterms:modified xsi:type="dcterms:W3CDTF">2026-10-10T09:56:45Z</dcterms:modified>
</cp:coreProperties>
</file>