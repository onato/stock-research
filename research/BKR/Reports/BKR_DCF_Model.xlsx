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<sst xmlns="http://schemas.openxmlformats.org/spreadsheetml/2006/main" count="366" uniqueCount="167">
  <si>
    <t xml:space="preserve">Ticker</t>
  </si>
  <si>
    <t xml:space="preserve">BKR</t>
  </si>
  <si>
    <t xml:space="preserve">Company</t>
  </si>
  <si>
    <t xml:space="preserve">Baker Hughes Company</t>
  </si>
  <si>
    <t xml:space="preserve">Valuation date</t>
  </si>
  <si>
    <t xml:space="preserve">2026-09-26</t>
  </si>
  <si>
    <t xml:space="preserve">Current price</t>
  </si>
  <si>
    <t xml:space="preserve">Price as of</t>
  </si>
  <si>
    <t xml:space="preserve">2026-09-25T20:00:01Z regular close</t>
  </si>
  <si>
    <t xml:space="preserve">Balance sheet date</t>
  </si>
  <si>
    <t xml:space="preserve">2025-12-31 (FY2025 10-K, clean pre-Chart anchor); Chart acquisition debt overlay estimated from Q2 2026 10-Q (2026-06-30) total-debt delta -- see inputs.notes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</si>
  <si>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</si>
  <si>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</si>
  <si>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</si>
  <si>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</si>
  <si>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</si>
  <si>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</si>
  <si>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</si>
  <si>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</si>
  <si>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</si>
  <si>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</si>
  <si>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2026-09-25T23:32:39Z</t>
  </si>
  <si>
    <t xml:space="preserve">Drivers file</t>
  </si>
  <si>
    <t xml:space="preserve">BKR_Drivers.json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</si>
  <si>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</si>
  <si>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</si>
  <si>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</si>
  <si>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Baker Hughes is valued as a cyclical industrial operating company on a strict owner-FCF DCF: SBC (small for this name, 0.73-1.0% of revenue) fully expensed with the share count held flat, no interest-income adjustment since BKR carries net debt rather than net cash, and a 10-year explicit horizon because the owner-FCF margin is still recovering from the FY2020 COVID/impairment trough toward a mature IET-driven margin level. The single largest judgment in this build is the Chart Industries acquisition's balance-sheet impact: the June 2026 pre-close snapshot (debt $16.25B, cash $15.7B) is a transitory financing float, not a steady state, so net debt is instead estimated as FY2025's clean net debt ($2.37B) plus the observed net new acquisition debt raised ($10.17B), for a total of $12.5B -- a judgment estimate pending the first post-close (Q3 2026) balance sheet, which should be used to refresh this figure at the next update rather than re-deriving it from scratch.
key_risks_to_valuation: Post-close balance sheet (net debt, share count from the merger consideration mix) is estimated, not observed -- refresh from the Q3 2026 10-Q as soon as it is filed; OFSE oil-price cyclicality and Saudi Aramco/NOC capex discipline could push results toward the bear case; Chart Industries integration risk on a $13.6B, only-just-closed deal -- synergy delivery and cultural/operational integration are unproven; Stock has already re-rated ~40%+ YTD in 2026 on the AI/data-center power narrative; base case does not assume that narrative simply continues to expand the multiple further; SBC understated if BKR has an equity-award withholding-tax cash outflow not captured in the available XBRL facts (industrials typically have small such populations, but this was not independently verified against the actual 10-K text since Extracted/ is empty for this ticker)</t>
  </si>
  <si>
    <t xml:space="preserve">Data sources</t>
  </si>
  <si>
    <t xml:space="preserve">price: Yahoo Finance chart API at inputs.price_as_of equivalent (see below); 52-week range 43.92-70.41
financials: research/BKR/Reports/BKR_Metrics.csv (SEC XBRL-derived core_metrics, FY2014-FY2025 annual + quarterly through Q2 2026); SEC XBRL companyconcept API (CIK0001701605) for cash, shares outstanding and debt data not present in the exported CSV/DB
qualitative: research/BKR/Reports/BKR_Analysis.json (business model, growth drivers, bull/bear case, FY2026 guidance)</t>
  </si>
  <si>
    <t xml:space="preserve">Scenario narrative: bear</t>
  </si>
  <si>
    <t xml:space="preserve">NOC capex discipline (led by Saudi Aramco) widens into a broader oil-price downcycle just as BKR carries ~$10B of fresh Chart-related debt; competitive share loss to Siemens Energy/Mitsubishi Heavy Industries in turbomachinery accelerates, Chart integration disappoints on synergies, and New Energy/data-center order growth normalizes lower -- revenue contracts in year 1 and growth stays low-single-digit throughout, with margin compressing on OFSE mix.</t>
  </si>
  <si>
    <t xml:space="preserve">Scenario narrative: base</t>
  </si>
  <si>
    <t xml:space="preserve">FY2026 revenue lands near guidance as the Precision Sensors divestiture and a partial-year Chart contribution roughly net out against continued OFSE softness; from FY2027 record IET backlog conversion, a full year of Chart, and New Energy scaling drive mid-to-high single-digit growth tapering to a 2.75% terminal rate, with EBITDA margin expanding gradually from ~17.9% to ~19.8% as the higher-margin IET/Chart mix grows.</t>
  </si>
  <si>
    <t xml:space="preserve">Scenario narrative: bull</t>
  </si>
  <si>
    <t xml:space="preserve">LNG turbomachinery dominance and AI data-center power demand compound faster than guided, Chart delivers full cost synergies plus commercial cross-sell upside, and OFSE stabilizes rather than deteriorates as global energy demand holds up -- growth reaches low-double-digits in the middle years with margin expanding to 22%.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</si>
  <si>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</si>
  <si>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</si>
  <si>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</si>
  <si>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</si>
  <si>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</si>
  <si>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</si>
  <si>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</si>
  <si>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</si>
  <si>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</si>
  <si>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</si>
  <si>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</si>
  <si>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</si>
  <si>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</si>
  <si>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</si>
  <si>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</si>
  <si>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</si>
  <si>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</si>
  <si>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</si>
  <si>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</si>
  <si>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</si>
  <si>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</si>
  <si>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</si>
  <si>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</si>
  <si>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</si>
  <si>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</si>
  <si>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</si>
  <si>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</si>
  <si>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</si>
  <si>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</si>
  <si>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</si>
  <si>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</si>
  <si>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</si>
  <si>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</si>
  <si>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</si>
  <si>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</si>
  <si>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</si>
  <si>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</si>
  <si>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</si>
  <si>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</si>
  <si>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</si>
  <si>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</si>
  <si>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</si>
  <si>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</si>
  <si>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</si>
  <si>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</si>
  <si>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</si>
  <si>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</si>
  <si>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</si>
  <si>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</si>
  <si>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</si>
  <si>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</si>
  <si>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</si>
  <si>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</si>
  <si>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</si>
  <si>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</si>
  <si>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</si>
  <si>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</si>
  <si>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</si>
  <si>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</si>
  <si>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</si>
  <si>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</si>
  <si>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</si>
  <si>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</si>
  <si>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</si>
  <si>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</si>
  <si>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</si>
  <si>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</si>
  <si>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</si>
  <si>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</si>
  <si>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</si>
  <si>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</si>
  <si>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</si>
  <si>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</si>
  <si>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</si>
  <si>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</si>
  <si>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</si>
  <si>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BKR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</si>
  <si>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</si>
  <si>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</si>
  <si>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</si>
  <si>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</si>
  <si>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</si>
  <si>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</si>
  <si>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</si>
  <si>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</si>
  <si>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</si>
  <si>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</si>
  <si>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</si>
  <si>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</si>
  <si>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</si>
  <si>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</si>
  <si>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</si>
  <si>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</si>
  <si>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</si>
  <si>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</si>
  <si>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</si>
  <si>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</si>
  <si>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</si>
  <si>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</si>
  <si>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</si>
  <si>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</si>
  <si>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</si>
  <si>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</si>
  <si>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</si>
  <si>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</si>
  <si>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</si>
  <si>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</si>
  <si>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BKR owner-FCF component DCF: base case (millions, USD)</t>
  </si>
  <si>
    <t xml:space="preserve">BKR owner-FCF component DCF: bull case (millions, USD)</t>
  </si>
  <si>
    <t xml:space="preserve">BKR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</si>
  <si>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</si>
  <si>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</si>
  <si>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</si>
  <si>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</si>
  <si>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</si>
  <si>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</si>
  <si>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</si>
  <si>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</si>
  <si>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</si>
  <si>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</si>
  <si>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</si>
  <si>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</si>
  <si>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</si>
  <si>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</si>
  <si>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</si>
  <si>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9.5%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</si>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</sst>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57.83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16386</v>
      </c>
      <c r="S2" s="0" t="n">
        <v>1390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16688</v>
      </c>
      <c r="F3" s="0" t="n">
        <v>-138</v>
      </c>
      <c r="G3" s="0" t="n">
        <v>-0.826941514860978</v>
      </c>
      <c r="H3" s="0" t="n">
        <v>392</v>
      </c>
      <c r="I3" s="0" t="n">
        <v>-631</v>
      </c>
      <c r="J3" s="0" t="n">
        <v>-3.78116011505273</v>
      </c>
      <c r="L3" s="0" t="n">
        <v>1277</v>
      </c>
      <c r="M3" s="0" t="n">
        <v>607</v>
      </c>
      <c r="N3" s="0" t="n">
        <v>670</v>
      </c>
      <c r="O3" s="0" t="n">
        <v>14545</v>
      </c>
      <c r="S3" s="0" t="n">
        <v>1432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13082</v>
      </c>
      <c r="D4" s="0" t="n">
        <v>3146</v>
      </c>
      <c r="E4" s="0" t="n">
        <v>24.048310655863</v>
      </c>
      <c r="F4" s="0" t="n">
        <v>457</v>
      </c>
      <c r="G4" s="0" t="n">
        <v>3.49334964072772</v>
      </c>
      <c r="H4" s="0" t="n">
        <v>1007</v>
      </c>
      <c r="I4" s="0" t="n">
        <v>185</v>
      </c>
      <c r="J4" s="0" t="n">
        <v>1.41415685674973</v>
      </c>
      <c r="L4" s="0" t="n">
        <v>262</v>
      </c>
      <c r="M4" s="0" t="n">
        <v>424</v>
      </c>
      <c r="N4" s="0" t="n">
        <v>-162</v>
      </c>
      <c r="O4" s="0" t="n">
        <v>14280</v>
      </c>
      <c r="P4" s="0" t="n">
        <v>21721</v>
      </c>
      <c r="Q4" s="0" t="n">
        <v>0</v>
      </c>
      <c r="R4" s="0" t="n">
        <v>277</v>
      </c>
      <c r="S4" s="0" t="n">
        <v>981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17179</v>
      </c>
      <c r="D5" s="0" t="n">
        <v>3036</v>
      </c>
      <c r="E5" s="0" t="n">
        <v>17.6727399732231</v>
      </c>
      <c r="F5" s="0" t="n">
        <v>-284</v>
      </c>
      <c r="G5" s="0" t="n">
        <v>-1.65318120961639</v>
      </c>
      <c r="H5" s="0" t="n">
        <v>819</v>
      </c>
      <c r="I5" s="0" t="n">
        <v>-391</v>
      </c>
      <c r="J5" s="0" t="n">
        <v>-2.27603469352116</v>
      </c>
      <c r="K5" s="0" t="n">
        <v>-0.24</v>
      </c>
      <c r="L5" s="0" t="n">
        <v>-799</v>
      </c>
      <c r="M5" s="0" t="n">
        <v>665</v>
      </c>
      <c r="N5" s="0" t="n">
        <v>-1464</v>
      </c>
      <c r="O5" s="0" t="n">
        <v>38410</v>
      </c>
      <c r="P5" s="0" t="n">
        <v>56500</v>
      </c>
      <c r="R5" s="0" t="n">
        <v>8349</v>
      </c>
      <c r="S5" s="0" t="n">
        <v>7023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22877</v>
      </c>
      <c r="D6" s="0" t="n">
        <v>3986</v>
      </c>
      <c r="E6" s="0" t="n">
        <v>17.4236132360012</v>
      </c>
      <c r="F6" s="0" t="n">
        <v>701</v>
      </c>
      <c r="G6" s="0" t="n">
        <v>3.06421296498667</v>
      </c>
      <c r="H6" s="0" t="n">
        <v>2187</v>
      </c>
      <c r="I6" s="0" t="n">
        <v>283</v>
      </c>
      <c r="J6" s="0" t="n">
        <v>1.23705031254098</v>
      </c>
      <c r="K6" s="0" t="n">
        <v>0.46</v>
      </c>
      <c r="L6" s="0" t="n">
        <v>1762</v>
      </c>
      <c r="M6" s="0" t="n">
        <v>995</v>
      </c>
      <c r="N6" s="0" t="n">
        <v>767</v>
      </c>
      <c r="O6" s="0" t="n">
        <v>35013</v>
      </c>
      <c r="P6" s="0" t="n">
        <v>52439</v>
      </c>
      <c r="R6" s="0" t="n">
        <v>7227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23838</v>
      </c>
      <c r="D7" s="0" t="n">
        <v>4432</v>
      </c>
      <c r="E7" s="0" t="n">
        <v>18.5921637721285</v>
      </c>
      <c r="F7" s="0" t="n">
        <v>1074</v>
      </c>
      <c r="G7" s="0" t="n">
        <v>4.50541152781274</v>
      </c>
      <c r="H7" s="0" t="n">
        <v>2492</v>
      </c>
      <c r="I7" s="0" t="n">
        <v>271</v>
      </c>
      <c r="J7" s="0" t="n">
        <v>1.13684033895461</v>
      </c>
      <c r="K7" s="0" t="n">
        <v>0.23</v>
      </c>
      <c r="L7" s="0" t="n">
        <v>2126</v>
      </c>
      <c r="M7" s="0" t="n">
        <v>1240</v>
      </c>
      <c r="N7" s="0" t="n">
        <v>886</v>
      </c>
      <c r="O7" s="0" t="n">
        <v>34499</v>
      </c>
      <c r="P7" s="0" t="n">
        <v>53369</v>
      </c>
      <c r="R7" s="0" t="n">
        <v>6622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20705</v>
      </c>
      <c r="F8" s="0" t="n">
        <v>-15978</v>
      </c>
      <c r="G8" s="0" t="n">
        <v>-77.1697657570635</v>
      </c>
      <c r="H8" s="0" t="n">
        <v>-14661</v>
      </c>
      <c r="I8" s="0" t="n">
        <v>-15761</v>
      </c>
      <c r="J8" s="0" t="n">
        <v>-76.1217097319488</v>
      </c>
      <c r="K8" s="0" t="n">
        <v>-14.73</v>
      </c>
      <c r="L8" s="0" t="n">
        <v>1304</v>
      </c>
      <c r="M8" s="0" t="n">
        <v>974</v>
      </c>
      <c r="N8" s="0" t="n">
        <v>330</v>
      </c>
      <c r="O8" s="0" t="n">
        <v>18242</v>
      </c>
      <c r="P8" s="0" t="n">
        <v>38007</v>
      </c>
      <c r="R8" s="0" t="n">
        <v>7633</v>
      </c>
      <c r="U8" s="0" t="n">
        <v>210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20502</v>
      </c>
      <c r="F9" s="0" t="n">
        <v>1310</v>
      </c>
      <c r="G9" s="0" t="n">
        <v>6.38962052482685</v>
      </c>
      <c r="H9" s="0" t="n">
        <v>2415</v>
      </c>
      <c r="I9" s="0" t="n">
        <v>-330</v>
      </c>
      <c r="J9" s="0" t="n">
        <v>-1.609599063506</v>
      </c>
      <c r="K9" s="0" t="n">
        <v>-0.27</v>
      </c>
      <c r="L9" s="0" t="n">
        <v>2374</v>
      </c>
      <c r="M9" s="0" t="n">
        <v>856</v>
      </c>
      <c r="N9" s="0" t="n">
        <v>1518</v>
      </c>
      <c r="O9" s="0" t="n">
        <v>16746</v>
      </c>
      <c r="P9" s="0" t="n">
        <v>35308</v>
      </c>
      <c r="R9" s="0" t="n">
        <v>6727</v>
      </c>
      <c r="U9" s="0" t="n">
        <v>205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21156</v>
      </c>
      <c r="F10" s="0" t="n">
        <v>1185</v>
      </c>
      <c r="G10" s="0" t="n">
        <v>5.60124787294385</v>
      </c>
      <c r="H10" s="0" t="n">
        <v>2246</v>
      </c>
      <c r="I10" s="0" t="n">
        <v>-601</v>
      </c>
      <c r="J10" s="0" t="n">
        <v>-2.84080166383059</v>
      </c>
      <c r="K10" s="0" t="n">
        <v>-0.61</v>
      </c>
      <c r="L10" s="0" t="n">
        <v>1888</v>
      </c>
      <c r="M10" s="0" t="n">
        <v>989</v>
      </c>
      <c r="N10" s="0" t="n">
        <v>899</v>
      </c>
      <c r="O10" s="0" t="n">
        <v>14525</v>
      </c>
      <c r="P10" s="0" t="n">
        <v>34181</v>
      </c>
      <c r="R10" s="0" t="n">
        <v>6657</v>
      </c>
      <c r="U10" s="0" t="n">
        <v>207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25506</v>
      </c>
      <c r="F11" s="0" t="n">
        <v>2317</v>
      </c>
      <c r="G11" s="0" t="n">
        <v>9.08413706578844</v>
      </c>
      <c r="H11" s="0" t="n">
        <v>3404</v>
      </c>
      <c r="I11" s="0" t="n">
        <v>1970</v>
      </c>
      <c r="J11" s="0" t="n">
        <v>7.72367286128754</v>
      </c>
      <c r="K11" s="0" t="n">
        <v>1.93</v>
      </c>
      <c r="L11" s="0" t="n">
        <v>3062</v>
      </c>
      <c r="M11" s="0" t="n">
        <v>1224</v>
      </c>
      <c r="N11" s="0" t="n">
        <v>1838</v>
      </c>
      <c r="O11" s="0" t="n">
        <v>15519</v>
      </c>
      <c r="P11" s="0" t="n">
        <v>36945</v>
      </c>
      <c r="R11" s="0" t="n">
        <v>6020</v>
      </c>
      <c r="U11" s="0" t="n">
        <v>197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27829</v>
      </c>
      <c r="F12" s="0" t="n">
        <v>3081</v>
      </c>
      <c r="G12" s="0" t="n">
        <v>11.071184735348</v>
      </c>
      <c r="H12" s="0" t="n">
        <v>4217</v>
      </c>
      <c r="I12" s="0" t="n">
        <v>3008</v>
      </c>
      <c r="J12" s="0" t="n">
        <v>10.8088684465845</v>
      </c>
      <c r="K12" s="0" t="n">
        <v>3</v>
      </c>
      <c r="L12" s="0" t="n">
        <v>3332</v>
      </c>
      <c r="M12" s="0" t="n">
        <v>1278</v>
      </c>
      <c r="N12" s="0" t="n">
        <v>2054</v>
      </c>
      <c r="O12" s="0" t="n">
        <v>17055</v>
      </c>
      <c r="P12" s="0" t="n">
        <v>38363</v>
      </c>
      <c r="R12" s="0" t="n">
        <v>6023</v>
      </c>
      <c r="U12" s="0" t="n">
        <v>202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27733</v>
      </c>
      <c r="I13" s="0" t="n">
        <v>2624</v>
      </c>
      <c r="J13" s="0" t="n">
        <v>9.46165218331951</v>
      </c>
      <c r="L13" s="0" t="n">
        <v>3810</v>
      </c>
      <c r="M13" s="0" t="n">
        <v>1273</v>
      </c>
      <c r="N13" s="0" t="n">
        <v>2537</v>
      </c>
      <c r="O13" s="0" t="n">
        <v>19010</v>
      </c>
      <c r="P13" s="0" t="n">
        <v>40881</v>
      </c>
      <c r="R13" s="0" t="n">
        <v>6087</v>
      </c>
      <c r="U13" s="0" t="n">
        <v>203</v>
      </c>
      <c r="AA13" s="0" t="s">
        <v>17</v>
      </c>
      <c r="AB13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75</v>
      </c>
      <c r="B1" s="2" t="s">
        <v>76</v>
      </c>
    </row>
    <row r="2" customFormat="false" ht="15" hidden="false" customHeight="false" outlineLevel="0" collapsed="false">
      <c r="A2" s="0" t="s">
        <v>77</v>
      </c>
      <c r="B2" s="3" t="n">
        <v>57.83</v>
      </c>
    </row>
    <row r="3" customFormat="false" ht="15" hidden="false" customHeight="false" outlineLevel="0" collapsed="false">
      <c r="A3" s="0" t="s">
        <v>78</v>
      </c>
      <c r="B3" s="3" t="n">
        <v>1005</v>
      </c>
    </row>
    <row r="4" customFormat="false" ht="15" hidden="false" customHeight="false" outlineLevel="0" collapsed="false">
      <c r="A4" s="0" t="s">
        <v>79</v>
      </c>
      <c r="B4" s="3" t="n">
        <v>12538</v>
      </c>
    </row>
    <row r="5" customFormat="false" ht="15" hidden="false" customHeight="false" outlineLevel="0" collapsed="false">
      <c r="A5" s="0" t="s">
        <v>80</v>
      </c>
      <c r="B5" s="3" t="n">
        <v>0</v>
      </c>
    </row>
    <row r="6" customFormat="false" ht="15" hidden="false" customHeight="false" outlineLevel="0" collapsed="false">
      <c r="A6" s="0" t="s">
        <v>81</v>
      </c>
      <c r="B6" s="3" t="n">
        <v>15</v>
      </c>
    </row>
    <row r="7" customFormat="false" ht="15" hidden="false" customHeight="false" outlineLevel="0" collapsed="false">
      <c r="A7" s="0" t="s">
        <v>82</v>
      </c>
      <c r="B7" s="3" t="n">
        <v>27733</v>
      </c>
    </row>
    <row r="8" customFormat="false" ht="15" hidden="false" customHeight="false" outlineLevel="0" collapsed="false">
      <c r="A8" s="0" t="s">
        <v>83</v>
      </c>
      <c r="B8" s="3" t="s">
        <v>74</v>
      </c>
    </row>
    <row r="9" customFormat="false" ht="15" hidden="false" customHeight="false" outlineLevel="0" collapsed="false">
      <c r="A9" s="0" t="s">
        <v>84</v>
      </c>
      <c r="B9" s="3" t="s">
        <v>85</v>
      </c>
    </row>
    <row r="10" customFormat="false" ht="15" hidden="false" customHeight="false" outlineLevel="0" collapsed="false">
      <c r="A10" s="0" t="s">
        <v>86</v>
      </c>
      <c r="B10" s="3" t="n">
        <v>1</v>
      </c>
    </row>
    <row r="12" customFormat="false" ht="15" hidden="false" customHeight="false" outlineLevel="0" collapsed="false">
      <c r="A12" s="2" t="s">
        <v>87</v>
      </c>
      <c r="C12" s="2" t="s">
        <v>88</v>
      </c>
      <c r="D12" s="2" t="s">
        <v>89</v>
      </c>
      <c r="E12" s="2" t="s">
        <v>90</v>
      </c>
      <c r="F12" s="2" t="s">
        <v>91</v>
      </c>
      <c r="G12" s="2" t="s">
        <v>92</v>
      </c>
      <c r="H12" s="2" t="s">
        <v>93</v>
      </c>
      <c r="I12" s="2" t="s">
        <v>94</v>
      </c>
      <c r="J12" s="2" t="s">
        <v>95</v>
      </c>
      <c r="K12" s="2" t="s">
        <v>96</v>
      </c>
      <c r="L12" s="2" t="s">
        <v>97</v>
      </c>
    </row>
    <row r="13" customFormat="false" ht="15" hidden="false" customHeight="false" outlineLevel="0" collapsed="false">
      <c r="A13" s="0" t="s">
        <v>98</v>
      </c>
      <c r="C13" s="3" t="n">
        <v>-6</v>
      </c>
      <c r="D13" s="3" t="n">
        <v>1</v>
      </c>
      <c r="E13" s="3" t="n">
        <v>2</v>
      </c>
      <c r="F13" s="3" t="n">
        <v>2.5</v>
      </c>
      <c r="G13" s="3" t="n">
        <v>2.5</v>
      </c>
      <c r="H13" s="3" t="n">
        <v>2.5</v>
      </c>
      <c r="I13" s="3" t="n">
        <v>2.5</v>
      </c>
      <c r="J13" s="3" t="n">
        <v>2.5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99</v>
      </c>
      <c r="C14" s="3" t="n">
        <v>16.5</v>
      </c>
      <c r="D14" s="3" t="n">
        <v>16.3</v>
      </c>
      <c r="E14" s="3" t="n">
        <v>16.2</v>
      </c>
      <c r="F14" s="3" t="n">
        <v>16.3</v>
      </c>
      <c r="G14" s="3" t="n">
        <v>16.5</v>
      </c>
      <c r="H14" s="3" t="n">
        <v>16.7</v>
      </c>
      <c r="I14" s="3" t="n">
        <v>16.8</v>
      </c>
      <c r="J14" s="3" t="n">
        <v>16.9</v>
      </c>
      <c r="K14" s="3" t="n">
        <v>17</v>
      </c>
      <c r="L14" s="3" t="n">
        <v>17</v>
      </c>
    </row>
    <row r="15" customFormat="false" ht="15" hidden="false" customHeight="false" outlineLevel="0" collapsed="false">
      <c r="A15" s="0" t="s">
        <v>100</v>
      </c>
      <c r="C15" s="3" t="n">
        <v>0.85</v>
      </c>
      <c r="D15" s="3" t="n">
        <v>0.85</v>
      </c>
      <c r="E15" s="3" t="n">
        <v>0.85</v>
      </c>
      <c r="F15" s="3" t="n">
        <v>0.85</v>
      </c>
      <c r="G15" s="3" t="n">
        <v>0.85</v>
      </c>
      <c r="H15" s="3" t="n">
        <v>0.85</v>
      </c>
      <c r="I15" s="3" t="n">
        <v>0.85</v>
      </c>
      <c r="J15" s="3" t="n">
        <v>0.85</v>
      </c>
      <c r="K15" s="3" t="n">
        <v>0.85</v>
      </c>
      <c r="L15" s="3" t="n">
        <v>0.85</v>
      </c>
    </row>
    <row r="16" customFormat="false" ht="15" hidden="false" customHeight="false" outlineLevel="0" collapsed="false">
      <c r="A16" s="0" t="s">
        <v>101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102</v>
      </c>
      <c r="C17" s="3" t="n">
        <v>4.5</v>
      </c>
      <c r="D17" s="3" t="n">
        <v>4.6</v>
      </c>
      <c r="E17" s="3" t="n">
        <v>4.6</v>
      </c>
      <c r="F17" s="3" t="n">
        <v>4.5</v>
      </c>
      <c r="G17" s="3" t="n">
        <v>4.5</v>
      </c>
      <c r="H17" s="3" t="n">
        <v>4.4</v>
      </c>
      <c r="I17" s="3" t="n">
        <v>4.4</v>
      </c>
      <c r="J17" s="3" t="n">
        <v>4.4</v>
      </c>
      <c r="K17" s="3" t="n">
        <v>4.3</v>
      </c>
      <c r="L17" s="3" t="n">
        <v>4.3</v>
      </c>
    </row>
    <row r="18" customFormat="false" ht="15" hidden="false" customHeight="false" outlineLevel="0" collapsed="false">
      <c r="A18" s="0" t="s">
        <v>103</v>
      </c>
      <c r="C18" s="3" t="n">
        <v>4.7</v>
      </c>
      <c r="D18" s="3" t="n">
        <v>4.8</v>
      </c>
      <c r="E18" s="3" t="n">
        <v>4.8</v>
      </c>
      <c r="F18" s="3" t="n">
        <v>4.7</v>
      </c>
      <c r="G18" s="3" t="n">
        <v>4.6</v>
      </c>
      <c r="H18" s="3" t="n">
        <v>4.5</v>
      </c>
      <c r="I18" s="3" t="n">
        <v>4.5</v>
      </c>
      <c r="J18" s="3" t="n">
        <v>4.4</v>
      </c>
      <c r="K18" s="3" t="n">
        <v>4.4</v>
      </c>
      <c r="L18" s="3" t="n">
        <v>4.4</v>
      </c>
    </row>
    <row r="19" customFormat="false" ht="15" hidden="false" customHeight="false" outlineLevel="0" collapsed="false">
      <c r="A19" s="0" t="s">
        <v>104</v>
      </c>
      <c r="C19" s="3" t="n">
        <v>21</v>
      </c>
      <c r="D19" s="3" t="n">
        <v>21.5</v>
      </c>
      <c r="E19" s="3" t="n">
        <v>22</v>
      </c>
      <c r="F19" s="3" t="n">
        <v>22.5</v>
      </c>
      <c r="G19" s="3" t="n">
        <v>23</v>
      </c>
      <c r="H19" s="3" t="n">
        <v>23.5</v>
      </c>
      <c r="I19" s="3" t="n">
        <v>24</v>
      </c>
      <c r="J19" s="3" t="n">
        <v>24</v>
      </c>
      <c r="K19" s="3" t="n">
        <v>24</v>
      </c>
      <c r="L19" s="3" t="n">
        <v>24</v>
      </c>
    </row>
    <row r="20" customFormat="false" ht="15" hidden="false" customHeight="false" outlineLevel="0" collapsed="false">
      <c r="A20" s="0" t="s">
        <v>105</v>
      </c>
      <c r="B20" s="3" t="n">
        <v>9.5</v>
      </c>
    </row>
    <row r="21" customFormat="false" ht="15" hidden="false" customHeight="false" outlineLevel="0" collapsed="false">
      <c r="A21" s="0" t="s">
        <v>106</v>
      </c>
      <c r="B21" s="3" t="n">
        <v>2</v>
      </c>
    </row>
    <row r="22" customFormat="false" ht="15" hidden="false" customHeight="false" outlineLevel="0" collapsed="false">
      <c r="A22" s="0" t="s">
        <v>107</v>
      </c>
      <c r="B22" s="3" t="n">
        <v>9</v>
      </c>
    </row>
    <row r="23" customFormat="false" ht="15" hidden="false" customHeight="false" outlineLevel="0" collapsed="false">
      <c r="A23" s="0" t="s">
        <v>108</v>
      </c>
      <c r="B23" s="3" t="n">
        <v>-12</v>
      </c>
    </row>
    <row r="24" customFormat="false" ht="15" hidden="false" customHeight="false" outlineLevel="0" collapsed="false">
      <c r="A24" s="0" t="s">
        <v>109</v>
      </c>
      <c r="B24" s="3" t="n">
        <v>0.25</v>
      </c>
    </row>
    <row r="26" customFormat="false" ht="15" hidden="false" customHeight="false" outlineLevel="0" collapsed="false">
      <c r="A26" s="2" t="s">
        <v>110</v>
      </c>
      <c r="C26" s="2" t="s">
        <v>88</v>
      </c>
      <c r="D26" s="2" t="s">
        <v>89</v>
      </c>
      <c r="E26" s="2" t="s">
        <v>90</v>
      </c>
      <c r="F26" s="2" t="s">
        <v>91</v>
      </c>
      <c r="G26" s="2" t="s">
        <v>92</v>
      </c>
      <c r="H26" s="2" t="s">
        <v>93</v>
      </c>
      <c r="I26" s="2" t="s">
        <v>94</v>
      </c>
      <c r="J26" s="2" t="s">
        <v>95</v>
      </c>
      <c r="K26" s="2" t="s">
        <v>96</v>
      </c>
      <c r="L26" s="2" t="s">
        <v>97</v>
      </c>
    </row>
    <row r="27" customFormat="false" ht="15" hidden="false" customHeight="false" outlineLevel="0" collapsed="false">
      <c r="A27" s="0" t="s">
        <v>98</v>
      </c>
      <c r="C27" s="3" t="n">
        <v>-1.4</v>
      </c>
      <c r="D27" s="3" t="n">
        <v>6.5</v>
      </c>
      <c r="E27" s="3" t="n">
        <v>7</v>
      </c>
      <c r="F27" s="3" t="n">
        <v>6</v>
      </c>
      <c r="G27" s="3" t="n">
        <v>5</v>
      </c>
      <c r="H27" s="3" t="n">
        <v>4.5</v>
      </c>
      <c r="I27" s="3" t="n">
        <v>4</v>
      </c>
      <c r="J27" s="3" t="n">
        <v>3.5</v>
      </c>
      <c r="K27" s="3" t="n">
        <v>3</v>
      </c>
      <c r="L27" s="3" t="n">
        <v>2.75</v>
      </c>
    </row>
    <row r="28" customFormat="false" ht="15" hidden="false" customHeight="false" outlineLevel="0" collapsed="false">
      <c r="A28" s="0" t="s">
        <v>99</v>
      </c>
      <c r="C28" s="3" t="n">
        <v>17.9</v>
      </c>
      <c r="D28" s="3" t="n">
        <v>18.3</v>
      </c>
      <c r="E28" s="3" t="n">
        <v>18.7</v>
      </c>
      <c r="F28" s="3" t="n">
        <v>19</v>
      </c>
      <c r="G28" s="3" t="n">
        <v>19.3</v>
      </c>
      <c r="H28" s="3" t="n">
        <v>19.5</v>
      </c>
      <c r="I28" s="3" t="n">
        <v>19.6</v>
      </c>
      <c r="J28" s="3" t="n">
        <v>19.7</v>
      </c>
      <c r="K28" s="3" t="n">
        <v>19.8</v>
      </c>
      <c r="L28" s="3" t="n">
        <v>19.8</v>
      </c>
    </row>
    <row r="29" customFormat="false" ht="15" hidden="false" customHeight="false" outlineLevel="0" collapsed="false">
      <c r="A29" s="0" t="s">
        <v>100</v>
      </c>
      <c r="C29" s="3" t="n">
        <v>0.75</v>
      </c>
      <c r="D29" s="3" t="n">
        <v>0.75</v>
      </c>
      <c r="E29" s="3" t="n">
        <v>0.75</v>
      </c>
      <c r="F29" s="3" t="n">
        <v>0.75</v>
      </c>
      <c r="G29" s="3" t="n">
        <v>0.75</v>
      </c>
      <c r="H29" s="3" t="n">
        <v>0.75</v>
      </c>
      <c r="I29" s="3" t="n">
        <v>0.75</v>
      </c>
      <c r="J29" s="3" t="n">
        <v>0.75</v>
      </c>
      <c r="K29" s="3" t="n">
        <v>0.75</v>
      </c>
      <c r="L29" s="3" t="n">
        <v>0.75</v>
      </c>
    </row>
    <row r="30" customFormat="false" ht="15" hidden="false" customHeight="false" outlineLevel="0" collapsed="false">
      <c r="A30" s="0" t="s">
        <v>101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102</v>
      </c>
      <c r="C31" s="3" t="n">
        <v>4.3</v>
      </c>
      <c r="D31" s="3" t="n">
        <v>4.4</v>
      </c>
      <c r="E31" s="3" t="n">
        <v>4.4</v>
      </c>
      <c r="F31" s="3" t="n">
        <v>4.4</v>
      </c>
      <c r="G31" s="3" t="n">
        <v>4.3</v>
      </c>
      <c r="H31" s="3" t="n">
        <v>4.3</v>
      </c>
      <c r="I31" s="3" t="n">
        <v>4.2</v>
      </c>
      <c r="J31" s="3" t="n">
        <v>4.2</v>
      </c>
      <c r="K31" s="3" t="n">
        <v>4.2</v>
      </c>
      <c r="L31" s="3" t="n">
        <v>4.2</v>
      </c>
    </row>
    <row r="32" customFormat="false" ht="15" hidden="false" customHeight="false" outlineLevel="0" collapsed="false">
      <c r="A32" s="0" t="s">
        <v>103</v>
      </c>
      <c r="C32" s="3" t="n">
        <v>4.6</v>
      </c>
      <c r="D32" s="3" t="n">
        <v>4.7</v>
      </c>
      <c r="E32" s="3" t="n">
        <v>4.7</v>
      </c>
      <c r="F32" s="3" t="n">
        <v>4.6</v>
      </c>
      <c r="G32" s="3" t="n">
        <v>4.5</v>
      </c>
      <c r="H32" s="3" t="n">
        <v>4.4</v>
      </c>
      <c r="I32" s="3" t="n">
        <v>4.3</v>
      </c>
      <c r="J32" s="3" t="n">
        <v>4.3</v>
      </c>
      <c r="K32" s="3" t="n">
        <v>4.2</v>
      </c>
      <c r="L32" s="3" t="n">
        <v>4.2</v>
      </c>
    </row>
    <row r="33" customFormat="false" ht="15" hidden="false" customHeight="false" outlineLevel="0" collapsed="false">
      <c r="A33" s="0" t="s">
        <v>104</v>
      </c>
      <c r="C33" s="3" t="n">
        <v>21</v>
      </c>
      <c r="D33" s="3" t="n">
        <v>21</v>
      </c>
      <c r="E33" s="3" t="n">
        <v>21.5</v>
      </c>
      <c r="F33" s="3" t="n">
        <v>22</v>
      </c>
      <c r="G33" s="3" t="n">
        <v>22.5</v>
      </c>
      <c r="H33" s="3" t="n">
        <v>23</v>
      </c>
      <c r="I33" s="3" t="n">
        <v>23</v>
      </c>
      <c r="J33" s="3" t="n">
        <v>23</v>
      </c>
      <c r="K33" s="3" t="n">
        <v>23</v>
      </c>
      <c r="L33" s="3" t="n">
        <v>23</v>
      </c>
    </row>
    <row r="34" customFormat="false" ht="15" hidden="false" customHeight="false" outlineLevel="0" collapsed="false">
      <c r="A34" s="0" t="s">
        <v>105</v>
      </c>
      <c r="B34" s="3" t="n">
        <v>9.5</v>
      </c>
    </row>
    <row r="35" customFormat="false" ht="15" hidden="false" customHeight="false" outlineLevel="0" collapsed="false">
      <c r="A35" s="0" t="s">
        <v>106</v>
      </c>
      <c r="B35" s="3" t="n">
        <v>2.75</v>
      </c>
    </row>
    <row r="36" customFormat="false" ht="15" hidden="false" customHeight="false" outlineLevel="0" collapsed="false">
      <c r="A36" s="0" t="s">
        <v>107</v>
      </c>
      <c r="B36" s="3" t="n">
        <v>11</v>
      </c>
    </row>
    <row r="37" customFormat="false" ht="15" hidden="false" customHeight="false" outlineLevel="0" collapsed="false">
      <c r="A37" s="0" t="s">
        <v>108</v>
      </c>
      <c r="B37" s="3" t="n">
        <v>-8</v>
      </c>
    </row>
    <row r="38" customFormat="false" ht="15" hidden="false" customHeight="false" outlineLevel="0" collapsed="false">
      <c r="A38" s="0" t="s">
        <v>109</v>
      </c>
      <c r="B38" s="3" t="n">
        <v>0.5</v>
      </c>
    </row>
    <row r="40" customFormat="false" ht="15" hidden="false" customHeight="false" outlineLevel="0" collapsed="false">
      <c r="A40" s="2" t="s">
        <v>111</v>
      </c>
      <c r="C40" s="2" t="s">
        <v>88</v>
      </c>
      <c r="D40" s="2" t="s">
        <v>89</v>
      </c>
      <c r="E40" s="2" t="s">
        <v>90</v>
      </c>
      <c r="F40" s="2" t="s">
        <v>91</v>
      </c>
      <c r="G40" s="2" t="s">
        <v>92</v>
      </c>
      <c r="H40" s="2" t="s">
        <v>93</v>
      </c>
      <c r="I40" s="2" t="s">
        <v>94</v>
      </c>
      <c r="J40" s="2" t="s">
        <v>95</v>
      </c>
      <c r="K40" s="2" t="s">
        <v>96</v>
      </c>
      <c r="L40" s="2" t="s">
        <v>97</v>
      </c>
    </row>
    <row r="41" customFormat="false" ht="15" hidden="false" customHeight="false" outlineLevel="0" collapsed="false">
      <c r="A41" s="0" t="s">
        <v>98</v>
      </c>
      <c r="C41" s="3" t="n">
        <v>1</v>
      </c>
      <c r="D41" s="3" t="n">
        <v>10</v>
      </c>
      <c r="E41" s="3" t="n">
        <v>11</v>
      </c>
      <c r="F41" s="3" t="n">
        <v>9.5</v>
      </c>
      <c r="G41" s="3" t="n">
        <v>8</v>
      </c>
      <c r="H41" s="3" t="n">
        <v>6.5</v>
      </c>
      <c r="I41" s="3" t="n">
        <v>5.5</v>
      </c>
      <c r="J41" s="3" t="n">
        <v>4.5</v>
      </c>
      <c r="K41" s="3" t="n">
        <v>3.5</v>
      </c>
      <c r="L41" s="3" t="n">
        <v>3</v>
      </c>
    </row>
    <row r="42" customFormat="false" ht="15" hidden="false" customHeight="false" outlineLevel="0" collapsed="false">
      <c r="A42" s="0" t="s">
        <v>99</v>
      </c>
      <c r="C42" s="3" t="n">
        <v>18.3</v>
      </c>
      <c r="D42" s="3" t="n">
        <v>19.2</v>
      </c>
      <c r="E42" s="3" t="n">
        <v>20</v>
      </c>
      <c r="F42" s="3" t="n">
        <v>20.7</v>
      </c>
      <c r="G42" s="3" t="n">
        <v>21.3</v>
      </c>
      <c r="H42" s="3" t="n">
        <v>21.8</v>
      </c>
      <c r="I42" s="3" t="n">
        <v>22</v>
      </c>
      <c r="J42" s="3" t="n">
        <v>22</v>
      </c>
      <c r="K42" s="3" t="n">
        <v>22</v>
      </c>
      <c r="L42" s="3" t="n">
        <v>22</v>
      </c>
    </row>
    <row r="43" customFormat="false" ht="15" hidden="false" customHeight="false" outlineLevel="0" collapsed="false">
      <c r="A43" s="0" t="s">
        <v>100</v>
      </c>
      <c r="C43" s="3" t="n">
        <v>0.75</v>
      </c>
      <c r="D43" s="3" t="n">
        <v>0.75</v>
      </c>
      <c r="E43" s="3" t="n">
        <v>0.75</v>
      </c>
      <c r="F43" s="3" t="n">
        <v>0.75</v>
      </c>
      <c r="G43" s="3" t="n">
        <v>0.75</v>
      </c>
      <c r="H43" s="3" t="n">
        <v>0.75</v>
      </c>
      <c r="I43" s="3" t="n">
        <v>0.75</v>
      </c>
      <c r="J43" s="3" t="n">
        <v>0.75</v>
      </c>
      <c r="K43" s="3" t="n">
        <v>0.75</v>
      </c>
      <c r="L43" s="3" t="n">
        <v>0.75</v>
      </c>
    </row>
    <row r="44" customFormat="false" ht="15" hidden="false" customHeight="false" outlineLevel="0" collapsed="false">
      <c r="A44" s="0" t="s">
        <v>101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102</v>
      </c>
      <c r="C45" s="3" t="n">
        <v>4.2</v>
      </c>
      <c r="D45" s="3" t="n">
        <v>4.3</v>
      </c>
      <c r="E45" s="3" t="n">
        <v>4.3</v>
      </c>
      <c r="F45" s="3" t="n">
        <v>4.2</v>
      </c>
      <c r="G45" s="3" t="n">
        <v>4.1</v>
      </c>
      <c r="H45" s="3" t="n">
        <v>4.1</v>
      </c>
      <c r="I45" s="3" t="n">
        <v>4</v>
      </c>
      <c r="J45" s="3" t="n">
        <v>4</v>
      </c>
      <c r="K45" s="3" t="n">
        <v>4</v>
      </c>
      <c r="L45" s="3" t="n">
        <v>4</v>
      </c>
    </row>
    <row r="46" customFormat="false" ht="15" hidden="false" customHeight="false" outlineLevel="0" collapsed="false">
      <c r="A46" s="0" t="s">
        <v>103</v>
      </c>
      <c r="C46" s="3" t="n">
        <v>4.6</v>
      </c>
      <c r="D46" s="3" t="n">
        <v>4.8</v>
      </c>
      <c r="E46" s="3" t="n">
        <v>4.9</v>
      </c>
      <c r="F46" s="3" t="n">
        <v>4.8</v>
      </c>
      <c r="G46" s="3" t="n">
        <v>4.6</v>
      </c>
      <c r="H46" s="3" t="n">
        <v>4.4</v>
      </c>
      <c r="I46" s="3" t="n">
        <v>4.3</v>
      </c>
      <c r="J46" s="3" t="n">
        <v>4.2</v>
      </c>
      <c r="K46" s="3" t="n">
        <v>4.1</v>
      </c>
      <c r="L46" s="3" t="n">
        <v>4.1</v>
      </c>
    </row>
    <row r="47" customFormat="false" ht="15" hidden="false" customHeight="false" outlineLevel="0" collapsed="false">
      <c r="A47" s="0" t="s">
        <v>104</v>
      </c>
      <c r="C47" s="3" t="n">
        <v>20</v>
      </c>
      <c r="D47" s="3" t="n">
        <v>20.5</v>
      </c>
      <c r="E47" s="3" t="n">
        <v>21</v>
      </c>
      <c r="F47" s="3" t="n">
        <v>21.5</v>
      </c>
      <c r="G47" s="3" t="n">
        <v>22</v>
      </c>
      <c r="H47" s="3" t="n">
        <v>22.5</v>
      </c>
      <c r="I47" s="3" t="n">
        <v>23</v>
      </c>
      <c r="J47" s="3" t="n">
        <v>23</v>
      </c>
      <c r="K47" s="3" t="n">
        <v>23</v>
      </c>
      <c r="L47" s="3" t="n">
        <v>23</v>
      </c>
    </row>
    <row r="48" customFormat="false" ht="15" hidden="false" customHeight="false" outlineLevel="0" collapsed="false">
      <c r="A48" s="0" t="s">
        <v>105</v>
      </c>
      <c r="B48" s="3" t="n">
        <v>9.5</v>
      </c>
    </row>
    <row r="49" customFormat="false" ht="15" hidden="false" customHeight="false" outlineLevel="0" collapsed="false">
      <c r="A49" s="0" t="s">
        <v>106</v>
      </c>
      <c r="B49" s="3" t="n">
        <v>3.25</v>
      </c>
    </row>
    <row r="50" customFormat="false" ht="15" hidden="false" customHeight="false" outlineLevel="0" collapsed="false">
      <c r="A50" s="0" t="s">
        <v>107</v>
      </c>
      <c r="B50" s="3" t="n">
        <v>11</v>
      </c>
    </row>
    <row r="51" customFormat="false" ht="15" hidden="false" customHeight="false" outlineLevel="0" collapsed="false">
      <c r="A51" s="0" t="s">
        <v>108</v>
      </c>
      <c r="B51" s="3" t="n">
        <v>-6</v>
      </c>
    </row>
    <row r="52" customFormat="false" ht="15" hidden="false" customHeight="false" outlineLevel="0" collapsed="false">
      <c r="A52" s="0" t="s">
        <v>109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112</v>
      </c>
    </row>
    <row r="3" customFormat="false" ht="15" hidden="false" customHeight="false" outlineLevel="0" collapsed="false">
      <c r="A3" s="0" t="s">
        <v>113</v>
      </c>
      <c r="B3" s="0" t="s">
        <v>74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Assumptions!C13</f>
        <v>-6</v>
      </c>
      <c r="D5" s="4" t="n">
        <f aca="false">Assumptions!D13</f>
        <v>1</v>
      </c>
      <c r="E5" s="4" t="n">
        <f aca="false">Assumptions!E13</f>
        <v>2</v>
      </c>
      <c r="F5" s="4" t="n">
        <f aca="false">Assumptions!F13</f>
        <v>2.5</v>
      </c>
      <c r="G5" s="4" t="n">
        <f aca="false">Assumptions!G13</f>
        <v>2.5</v>
      </c>
      <c r="H5" s="4" t="n">
        <f aca="false">Assumptions!H13</f>
        <v>2.5</v>
      </c>
      <c r="I5" s="4" t="n">
        <f aca="false">Assumptions!I13</f>
        <v>2.5</v>
      </c>
      <c r="J5" s="4" t="n">
        <f aca="false">Assumptions!J13</f>
        <v>2.5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27733</v>
      </c>
      <c r="C6" s="0" t="n">
        <f aca="false">B6*(1+C5/100)</f>
        <v>26069.02</v>
      </c>
      <c r="D6" s="0" t="n">
        <f aca="false">C6*(1+D5/100)</f>
        <v>26329.7102</v>
      </c>
      <c r="E6" s="0" t="n">
        <f aca="false">D6*(1+E5/100)</f>
        <v>26856.304404</v>
      </c>
      <c r="F6" s="0" t="n">
        <f aca="false">E6*(1+F5/100)</f>
        <v>27527.7120141</v>
      </c>
      <c r="G6" s="0" t="n">
        <f aca="false">F6*(1+G5/100)</f>
        <v>28215.9048144525</v>
      </c>
      <c r="H6" s="0" t="n">
        <f aca="false">G6*(1+H5/100)</f>
        <v>28921.3024348138</v>
      </c>
      <c r="I6" s="0" t="n">
        <f aca="false">H6*(1+I5/100)</f>
        <v>29644.3349956842</v>
      </c>
      <c r="J6" s="0" t="n">
        <f aca="false">I6*(1+J5/100)</f>
        <v>30385.4433705763</v>
      </c>
      <c r="K6" s="0" t="n">
        <f aca="false">J6*(1+K5/100)</f>
        <v>30993.1522379878</v>
      </c>
      <c r="L6" s="0" t="n">
        <f aca="false">K6*(1+L5/100)</f>
        <v>31613.0152827475</v>
      </c>
    </row>
    <row r="7" customFormat="false" ht="15" hidden="false" customHeight="false" outlineLevel="0" collapsed="false">
      <c r="A7" s="0" t="s">
        <v>99</v>
      </c>
      <c r="C7" s="4" t="n">
        <f aca="false">Assumptions!C14</f>
        <v>16.5</v>
      </c>
      <c r="D7" s="4" t="n">
        <f aca="false">Assumptions!D14</f>
        <v>16.3</v>
      </c>
      <c r="E7" s="4" t="n">
        <f aca="false">Assumptions!E14</f>
        <v>16.2</v>
      </c>
      <c r="F7" s="4" t="n">
        <f aca="false">Assumptions!F14</f>
        <v>16.3</v>
      </c>
      <c r="G7" s="4" t="n">
        <f aca="false">Assumptions!G14</f>
        <v>16.5</v>
      </c>
      <c r="H7" s="4" t="n">
        <f aca="false">Assumptions!H14</f>
        <v>16.7</v>
      </c>
      <c r="I7" s="4" t="n">
        <f aca="false">Assumptions!I14</f>
        <v>16.8</v>
      </c>
      <c r="J7" s="4" t="n">
        <f aca="false">Assumptions!J14</f>
        <v>16.9</v>
      </c>
      <c r="K7" s="4" t="n">
        <f aca="false">Assumptions!K14</f>
        <v>17</v>
      </c>
      <c r="L7" s="4" t="n">
        <f aca="false">Assumptions!L14</f>
        <v>17</v>
      </c>
    </row>
    <row r="8" customFormat="false" ht="15" hidden="false" customHeight="false" outlineLevel="0" collapsed="false">
      <c r="A8" s="0" t="s">
        <v>43</v>
      </c>
      <c r="C8" s="0" t="n">
        <f aca="false">C6*C7/100</f>
        <v>4301.3883</v>
      </c>
      <c r="D8" s="0" t="n">
        <f aca="false">D6*D7/100</f>
        <v>4291.7427626</v>
      </c>
      <c r="E8" s="0" t="n">
        <f aca="false">E6*E7/100</f>
        <v>4350.721313448</v>
      </c>
      <c r="F8" s="0" t="n">
        <f aca="false">F6*F7/100</f>
        <v>4487.0170582983</v>
      </c>
      <c r="G8" s="0" t="n">
        <f aca="false">G6*G7/100</f>
        <v>4655.62429438466</v>
      </c>
      <c r="H8" s="0" t="n">
        <f aca="false">H6*H7/100</f>
        <v>4829.85750661391</v>
      </c>
      <c r="I8" s="0" t="n">
        <f aca="false">I6*I7/100</f>
        <v>4980.24827927494</v>
      </c>
      <c r="J8" s="0" t="n">
        <f aca="false">J6*J7/100</f>
        <v>5135.13992962739</v>
      </c>
      <c r="K8" s="0" t="n">
        <f aca="false">K6*K7/100</f>
        <v>5268.83588045792</v>
      </c>
      <c r="L8" s="0" t="n">
        <f aca="false">L6*L7/100</f>
        <v>5374.21259806708</v>
      </c>
    </row>
    <row r="9" customFormat="false" ht="15" hidden="false" customHeight="false" outlineLevel="0" collapsed="false">
      <c r="A9" s="0" t="s">
        <v>100</v>
      </c>
      <c r="C9" s="4" t="n">
        <f aca="false">Assumptions!C15</f>
        <v>0.85</v>
      </c>
      <c r="D9" s="4" t="n">
        <f aca="false">Assumptions!D15</f>
        <v>0.85</v>
      </c>
      <c r="E9" s="4" t="n">
        <f aca="false">Assumptions!E15</f>
        <v>0.85</v>
      </c>
      <c r="F9" s="4" t="n">
        <f aca="false">Assumptions!F15</f>
        <v>0.85</v>
      </c>
      <c r="G9" s="4" t="n">
        <f aca="false">Assumptions!G15</f>
        <v>0.85</v>
      </c>
      <c r="H9" s="4" t="n">
        <f aca="false">Assumptions!H15</f>
        <v>0.85</v>
      </c>
      <c r="I9" s="4" t="n">
        <f aca="false">Assumptions!I15</f>
        <v>0.85</v>
      </c>
      <c r="J9" s="4" t="n">
        <f aca="false">Assumptions!J15</f>
        <v>0.85</v>
      </c>
      <c r="K9" s="4" t="n">
        <f aca="false">Assumptions!K15</f>
        <v>0.85</v>
      </c>
      <c r="L9" s="4" t="n">
        <f aca="false">Assumptions!L15</f>
        <v>0.85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-221.58667</v>
      </c>
      <c r="D10" s="0" t="n">
        <f aca="false">-D6*D9/100</f>
        <v>-223.8025367</v>
      </c>
      <c r="E10" s="0" t="n">
        <f aca="false">-E6*E9/100</f>
        <v>-228.278587434</v>
      </c>
      <c r="F10" s="0" t="n">
        <f aca="false">-F6*F9/100</f>
        <v>-233.98555211985</v>
      </c>
      <c r="G10" s="0" t="n">
        <f aca="false">-G6*G9/100</f>
        <v>-239.835190922846</v>
      </c>
      <c r="H10" s="0" t="n">
        <f aca="false">-H6*H9/100</f>
        <v>-245.831070695917</v>
      </c>
      <c r="I10" s="0" t="n">
        <f aca="false">-I6*I9/100</f>
        <v>-251.976847463315</v>
      </c>
      <c r="J10" s="0" t="n">
        <f aca="false">-J6*J9/100</f>
        <v>-258.276268649898</v>
      </c>
      <c r="K10" s="0" t="n">
        <f aca="false">-K6*K9/100</f>
        <v>-263.441794022896</v>
      </c>
      <c r="L10" s="0" t="n">
        <f aca="false">-L6*L9/100</f>
        <v>-268.710629903354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4079.80163</v>
      </c>
      <c r="D11" s="0" t="n">
        <f aca="false">D8+D10+D24</f>
        <v>4067.9402259</v>
      </c>
      <c r="E11" s="0" t="n">
        <f aca="false">E8+E10+E24</f>
        <v>4122.442726014</v>
      </c>
      <c r="F11" s="0" t="n">
        <f aca="false">F8+F10+F24</f>
        <v>4253.03150617845</v>
      </c>
      <c r="G11" s="0" t="n">
        <f aca="false">G8+G10+G24</f>
        <v>4415.78910346182</v>
      </c>
      <c r="H11" s="0" t="n">
        <f aca="false">H8+H10+H24</f>
        <v>4584.02643591799</v>
      </c>
      <c r="I11" s="0" t="n">
        <f aca="false">I8+I10+I24</f>
        <v>4728.27143181162</v>
      </c>
      <c r="J11" s="0" t="n">
        <f aca="false">J8+J10+J24</f>
        <v>4876.86366097749</v>
      </c>
      <c r="K11" s="0" t="n">
        <f aca="false">K8+K10+K24</f>
        <v>5005.39408643503</v>
      </c>
      <c r="L11" s="0" t="n">
        <f aca="false">L8+L10+L24</f>
        <v>5105.50196816373</v>
      </c>
    </row>
    <row r="12" customFormat="false" ht="15" hidden="false" customHeight="false" outlineLevel="0" collapsed="false">
      <c r="A12" s="0" t="s">
        <v>117</v>
      </c>
      <c r="C12" s="4" t="n">
        <f aca="false">-C6*Assumptions!C17/100</f>
        <v>-1173.1059</v>
      </c>
      <c r="D12" s="4" t="n">
        <f aca="false">-D6*Assumptions!D17/100</f>
        <v>-1211.1666692</v>
      </c>
      <c r="E12" s="4" t="n">
        <f aca="false">-E6*Assumptions!E17/100</f>
        <v>-1235.390002584</v>
      </c>
      <c r="F12" s="4" t="n">
        <f aca="false">-F6*Assumptions!F17/100</f>
        <v>-1238.7470406345</v>
      </c>
      <c r="G12" s="4" t="n">
        <f aca="false">-G6*Assumptions!G17/100</f>
        <v>-1269.71571665036</v>
      </c>
      <c r="H12" s="4" t="n">
        <f aca="false">-H6*Assumptions!H17/100</f>
        <v>-1272.53730713181</v>
      </c>
      <c r="I12" s="4" t="n">
        <f aca="false">-I6*Assumptions!I17/100</f>
        <v>-1304.3507398101</v>
      </c>
      <c r="J12" s="4" t="n">
        <f aca="false">-J6*Assumptions!J17/100</f>
        <v>-1336.95950830536</v>
      </c>
      <c r="K12" s="4" t="n">
        <f aca="false">-K6*Assumptions!K17/100</f>
        <v>-1332.70554623347</v>
      </c>
      <c r="L12" s="4" t="n">
        <f aca="false">-L6*Assumptions!L17/100</f>
        <v>-1359.35965715814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2906.69573</v>
      </c>
      <c r="D13" s="0" t="n">
        <f aca="false">D11+D12</f>
        <v>2856.7735567</v>
      </c>
      <c r="E13" s="0" t="n">
        <f aca="false">E11+E12</f>
        <v>2887.05272343</v>
      </c>
      <c r="F13" s="0" t="n">
        <f aca="false">F11+F12</f>
        <v>3014.28446554395</v>
      </c>
      <c r="G13" s="0" t="n">
        <f aca="false">G11+G12</f>
        <v>3146.07338681145</v>
      </c>
      <c r="H13" s="0" t="n">
        <f aca="false">H11+H12</f>
        <v>3311.48912878618</v>
      </c>
      <c r="I13" s="0" t="n">
        <f aca="false">I11+I12</f>
        <v>3423.92069200152</v>
      </c>
      <c r="J13" s="0" t="n">
        <f aca="false">J11+J12</f>
        <v>3539.90415267213</v>
      </c>
      <c r="K13" s="0" t="n">
        <f aca="false">K11+K12</f>
        <v>3672.68854020155</v>
      </c>
      <c r="L13" s="0" t="n">
        <f aca="false">L11+L12</f>
        <v>3746.14231100558</v>
      </c>
    </row>
    <row r="14" customFormat="false" ht="15" hidden="false" customHeight="false" outlineLevel="0" collapsed="false">
      <c r="A14" s="0" t="s">
        <v>104</v>
      </c>
      <c r="C14" s="4" t="n">
        <f aca="false">Assumptions!C19</f>
        <v>21</v>
      </c>
      <c r="D14" s="4" t="n">
        <f aca="false">Assumptions!D19</f>
        <v>21.5</v>
      </c>
      <c r="E14" s="4" t="n">
        <f aca="false">Assumptions!E19</f>
        <v>22</v>
      </c>
      <c r="F14" s="4" t="n">
        <f aca="false">Assumptions!F19</f>
        <v>22.5</v>
      </c>
      <c r="G14" s="4" t="n">
        <f aca="false">Assumptions!G19</f>
        <v>23</v>
      </c>
      <c r="H14" s="4" t="n">
        <f aca="false">Assumptions!H19</f>
        <v>23.5</v>
      </c>
      <c r="I14" s="4" t="n">
        <f aca="false">Assumptions!I19</f>
        <v>24</v>
      </c>
      <c r="J14" s="4" t="n">
        <f aca="false">Assumptions!J19</f>
        <v>24</v>
      </c>
      <c r="K14" s="4" t="n">
        <f aca="false">Assumptions!K19</f>
        <v>24</v>
      </c>
      <c r="L14" s="4" t="n">
        <f aca="false">Assumptions!L19</f>
        <v>24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2296.2896267</v>
      </c>
      <c r="D15" s="0" t="n">
        <f aca="false">D13-MAX(0,D13)*D14/100</f>
        <v>2242.5672420095</v>
      </c>
      <c r="E15" s="0" t="n">
        <f aca="false">E13-MAX(0,E13)*E14/100</f>
        <v>2251.9011242754</v>
      </c>
      <c r="F15" s="0" t="n">
        <f aca="false">F13-MAX(0,F13)*F14/100</f>
        <v>2336.07046079656</v>
      </c>
      <c r="G15" s="0" t="n">
        <f aca="false">G13-MAX(0,G13)*G14/100</f>
        <v>2422.47650784482</v>
      </c>
      <c r="H15" s="0" t="n">
        <f aca="false">H13-MAX(0,H13)*H14/100</f>
        <v>2533.28918352143</v>
      </c>
      <c r="I15" s="0" t="n">
        <f aca="false">I13-MAX(0,I13)*I14/100</f>
        <v>2602.17972592115</v>
      </c>
      <c r="J15" s="0" t="n">
        <f aca="false">J13-MAX(0,J13)*J14/100</f>
        <v>2690.32715603082</v>
      </c>
      <c r="K15" s="0" t="n">
        <f aca="false">K13-MAX(0,K13)*K14/100</f>
        <v>2791.24329055318</v>
      </c>
      <c r="L15" s="0" t="n">
        <f aca="false">L13-MAX(0,L13)*L14/100</f>
        <v>2847.06815636424</v>
      </c>
    </row>
    <row r="16" customFormat="false" ht="15" hidden="false" customHeight="false" outlineLevel="0" collapsed="false">
      <c r="A16" s="0" t="s">
        <v>120</v>
      </c>
      <c r="C16" s="0" t="n">
        <f aca="false">-C12</f>
        <v>1173.1059</v>
      </c>
      <c r="D16" s="0" t="n">
        <f aca="false">-D12</f>
        <v>1211.1666692</v>
      </c>
      <c r="E16" s="0" t="n">
        <f aca="false">-E12</f>
        <v>1235.390002584</v>
      </c>
      <c r="F16" s="0" t="n">
        <f aca="false">-F12</f>
        <v>1238.7470406345</v>
      </c>
      <c r="G16" s="0" t="n">
        <f aca="false">-G12</f>
        <v>1269.71571665036</v>
      </c>
      <c r="H16" s="0" t="n">
        <f aca="false">-H12</f>
        <v>1272.53730713181</v>
      </c>
      <c r="I16" s="0" t="n">
        <f aca="false">-I12</f>
        <v>1304.3507398101</v>
      </c>
      <c r="J16" s="0" t="n">
        <f aca="false">-J12</f>
        <v>1336.95950830536</v>
      </c>
      <c r="K16" s="0" t="n">
        <f aca="false">-K12</f>
        <v>1332.70554623347</v>
      </c>
      <c r="L16" s="0" t="n">
        <f aca="false">-L12</f>
        <v>1359.35965715814</v>
      </c>
    </row>
    <row r="17" customFormat="false" ht="15" hidden="false" customHeight="false" outlineLevel="0" collapsed="false">
      <c r="A17" s="0" t="s">
        <v>121</v>
      </c>
      <c r="C17" s="4" t="n">
        <f aca="false">-C6*Assumptions!C18/100</f>
        <v>-1225.24394</v>
      </c>
      <c r="D17" s="4" t="n">
        <f aca="false">-D6*Assumptions!D18/100</f>
        <v>-1263.8260896</v>
      </c>
      <c r="E17" s="4" t="n">
        <f aca="false">-E6*Assumptions!E18/100</f>
        <v>-1289.102611392</v>
      </c>
      <c r="F17" s="4" t="n">
        <f aca="false">-F6*Assumptions!F18/100</f>
        <v>-1293.8024646627</v>
      </c>
      <c r="G17" s="4" t="n">
        <f aca="false">-G6*Assumptions!G18/100</f>
        <v>-1297.93162146481</v>
      </c>
      <c r="H17" s="4" t="n">
        <f aca="false">-H6*Assumptions!H18/100</f>
        <v>-1301.45860956662</v>
      </c>
      <c r="I17" s="4" t="n">
        <f aca="false">-I6*Assumptions!I18/100</f>
        <v>-1333.99507480579</v>
      </c>
      <c r="J17" s="4" t="n">
        <f aca="false">-J6*Assumptions!J18/100</f>
        <v>-1336.95950830536</v>
      </c>
      <c r="K17" s="4" t="n">
        <f aca="false">-K6*Assumptions!K18/100</f>
        <v>-1363.69869847146</v>
      </c>
      <c r="L17" s="4" t="n">
        <f aca="false">-L6*Assumptions!L18/100</f>
        <v>-1390.97267244089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(C6-B6)*Assumptions!$B$23/100</f>
        <v>199.6776</v>
      </c>
      <c r="D18" s="4" t="n">
        <f aca="false">(D6-C6)*Assumptions!$B$23/100</f>
        <v>-31.2828240000001</v>
      </c>
      <c r="E18" s="4" t="n">
        <f aca="false">(E6-D6)*Assumptions!$B$23/100</f>
        <v>-63.1913044800001</v>
      </c>
      <c r="F18" s="4" t="n">
        <f aca="false">(F6-E6)*Assumptions!$B$23/100</f>
        <v>-80.5689132119999</v>
      </c>
      <c r="G18" s="4" t="n">
        <f aca="false">(G6-F6)*Assumptions!$B$23/100</f>
        <v>-82.5831360422999</v>
      </c>
      <c r="H18" s="4" t="n">
        <f aca="false">(H6-G6)*Assumptions!$B$23/100</f>
        <v>-84.6477144433571</v>
      </c>
      <c r="I18" s="4" t="n">
        <f aca="false">(I6-H6)*Assumptions!$B$23/100</f>
        <v>-86.7639073044411</v>
      </c>
      <c r="J18" s="4" t="n">
        <f aca="false">(J6-I6)*Assumptions!$B$23/100</f>
        <v>-88.9330049870521</v>
      </c>
      <c r="K18" s="4" t="n">
        <f aca="false">(K6-J6)*Assumptions!$B$23/100</f>
        <v>-72.9250640893831</v>
      </c>
      <c r="L18" s="4" t="n">
        <f aca="false">(L6-K6)*Assumptions!$B$23/100</f>
        <v>-74.3835653711709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2443.8291867</v>
      </c>
      <c r="D19" s="0" t="n">
        <f aca="false">D15+D16+D17+D18</f>
        <v>2158.6249976095</v>
      </c>
      <c r="E19" s="0" t="n">
        <f aca="false">E15+E16+E17+E18</f>
        <v>2134.9972109874</v>
      </c>
      <c r="F19" s="0" t="n">
        <f aca="false">F15+F16+F17+F18</f>
        <v>2200.44612355636</v>
      </c>
      <c r="G19" s="0" t="n">
        <f aca="false">G15+G16+G17+G18</f>
        <v>2311.67746698807</v>
      </c>
      <c r="H19" s="0" t="n">
        <f aca="false">H15+H16+H17+H18</f>
        <v>2419.72016664326</v>
      </c>
      <c r="I19" s="0" t="n">
        <f aca="false">I15+I16+I17+I18</f>
        <v>2485.77148362103</v>
      </c>
      <c r="J19" s="0" t="n">
        <f aca="false">J15+J16+J17+J18</f>
        <v>2601.39415104377</v>
      </c>
      <c r="K19" s="0" t="n">
        <f aca="false">K15+K16+K17+K18</f>
        <v>2687.32507422581</v>
      </c>
      <c r="L19" s="0" t="n">
        <f aca="false">L15+L16+L17+L18</f>
        <v>2741.07157571032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2231.80747643836</v>
      </c>
      <c r="D21" s="0" t="n">
        <f aca="false">D19*D20</f>
        <v>1800.31692217385</v>
      </c>
      <c r="E21" s="0" t="n">
        <f aca="false">E19*E20</f>
        <v>1626.1288484012</v>
      </c>
      <c r="F21" s="0" t="n">
        <f aca="false">F19*F20</f>
        <v>1530.57375774153</v>
      </c>
      <c r="G21" s="0" t="n">
        <f aca="false">G19*G20</f>
        <v>1468.44148023952</v>
      </c>
      <c r="H21" s="0" t="n">
        <f aca="false">H19*H20</f>
        <v>1403.71981012989</v>
      </c>
      <c r="I21" s="0" t="n">
        <f aca="false">I19*I20</f>
        <v>1316.92901813124</v>
      </c>
      <c r="J21" s="0" t="n">
        <f aca="false">J19*J20</f>
        <v>1258.61587733749</v>
      </c>
      <c r="K21" s="0" t="n">
        <f aca="false">K19*K20</f>
        <v>1187.38930205467</v>
      </c>
      <c r="L21" s="0" t="n">
        <f aca="false">L19*L20</f>
        <v>1106.06126766736</v>
      </c>
    </row>
    <row r="23" customFormat="false" ht="15" hidden="false" customHeight="false" outlineLevel="0" collapsed="false">
      <c r="A23" s="0" t="s">
        <v>101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Assumptions!$B$20</f>
        <v>9.5</v>
      </c>
    </row>
    <row r="28" customFormat="false" ht="15" hidden="false" customHeight="false" outlineLevel="0" collapsed="false">
      <c r="A28" s="0" t="s">
        <v>106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107</v>
      </c>
      <c r="B29" s="4" t="n">
        <f aca="false">Assumptions!$B$22</f>
        <v>9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14929.9837603151</v>
      </c>
    </row>
    <row r="31" customFormat="false" ht="15" hidden="false" customHeight="false" outlineLevel="0" collapsed="false">
      <c r="A31" s="0" t="s">
        <v>129</v>
      </c>
      <c r="B31" s="0" t="n">
        <f aca="false">L19</f>
        <v>2741.07157571032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37278.5734296604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24669.6441813929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24669.6441813929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9954.55140900624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24884.5351693213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12346.5351693213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12.2851096212153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-0.78756511116695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1503.88421822588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1474.62829759426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15.2488036668074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21506.8692863425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4.5961698043391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0" t="s">
        <v>113</v>
      </c>
      <c r="B3" s="0" t="s">
        <v>74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Assumptions!C27</f>
        <v>-1.4</v>
      </c>
      <c r="D5" s="4" t="n">
        <f aca="false">Assumptions!D27</f>
        <v>6.5</v>
      </c>
      <c r="E5" s="4" t="n">
        <f aca="false">Assumptions!E27</f>
        <v>7</v>
      </c>
      <c r="F5" s="4" t="n">
        <f aca="false">Assumptions!F27</f>
        <v>6</v>
      </c>
      <c r="G5" s="4" t="n">
        <f aca="false">Assumptions!G27</f>
        <v>5</v>
      </c>
      <c r="H5" s="4" t="n">
        <f aca="false">Assumptions!H27</f>
        <v>4.5</v>
      </c>
      <c r="I5" s="4" t="n">
        <f aca="false">Assumptions!I27</f>
        <v>4</v>
      </c>
      <c r="J5" s="4" t="n">
        <f aca="false">Assumptions!J27</f>
        <v>3.5</v>
      </c>
      <c r="K5" s="4" t="n">
        <f aca="false">Assumptions!K27</f>
        <v>3</v>
      </c>
      <c r="L5" s="4" t="n">
        <f aca="false">Assumptions!L27</f>
        <v>2.75</v>
      </c>
    </row>
    <row r="6" customFormat="false" ht="15" hidden="false" customHeight="false" outlineLevel="0" collapsed="false">
      <c r="A6" s="0" t="s">
        <v>37</v>
      </c>
      <c r="B6" s="3" t="n">
        <v>27733</v>
      </c>
      <c r="C6" s="0" t="n">
        <f aca="false">B6*(1+C5/100)</f>
        <v>27344.738</v>
      </c>
      <c r="D6" s="0" t="n">
        <f aca="false">C6*(1+D5/100)</f>
        <v>29122.14597</v>
      </c>
      <c r="E6" s="0" t="n">
        <f aca="false">D6*(1+E5/100)</f>
        <v>31160.6961879</v>
      </c>
      <c r="F6" s="0" t="n">
        <f aca="false">E6*(1+F5/100)</f>
        <v>33030.337959174</v>
      </c>
      <c r="G6" s="0" t="n">
        <f aca="false">F6*(1+G5/100)</f>
        <v>34681.8548571327</v>
      </c>
      <c r="H6" s="0" t="n">
        <f aca="false">G6*(1+H5/100)</f>
        <v>36242.5383257037</v>
      </c>
      <c r="I6" s="0" t="n">
        <f aca="false">H6*(1+I5/100)</f>
        <v>37692.2398587318</v>
      </c>
      <c r="J6" s="0" t="n">
        <f aca="false">I6*(1+J5/100)</f>
        <v>39011.4682537874</v>
      </c>
      <c r="K6" s="0" t="n">
        <f aca="false">J6*(1+K5/100)</f>
        <v>40181.8123014011</v>
      </c>
      <c r="L6" s="0" t="n">
        <f aca="false">K6*(1+L5/100)</f>
        <v>41286.8121396896</v>
      </c>
    </row>
    <row r="7" customFormat="false" ht="15" hidden="false" customHeight="false" outlineLevel="0" collapsed="false">
      <c r="A7" s="0" t="s">
        <v>99</v>
      </c>
      <c r="C7" s="4" t="n">
        <f aca="false">Assumptions!C28</f>
        <v>17.9</v>
      </c>
      <c r="D7" s="4" t="n">
        <f aca="false">Assumptions!D28</f>
        <v>18.3</v>
      </c>
      <c r="E7" s="4" t="n">
        <f aca="false">Assumptions!E28</f>
        <v>18.7</v>
      </c>
      <c r="F7" s="4" t="n">
        <f aca="false">Assumptions!F28</f>
        <v>19</v>
      </c>
      <c r="G7" s="4" t="n">
        <f aca="false">Assumptions!G28</f>
        <v>19.3</v>
      </c>
      <c r="H7" s="4" t="n">
        <f aca="false">Assumptions!H28</f>
        <v>19.5</v>
      </c>
      <c r="I7" s="4" t="n">
        <f aca="false">Assumptions!I28</f>
        <v>19.6</v>
      </c>
      <c r="J7" s="4" t="n">
        <f aca="false">Assumptions!J28</f>
        <v>19.7</v>
      </c>
      <c r="K7" s="4" t="n">
        <f aca="false">Assumptions!K28</f>
        <v>19.8</v>
      </c>
      <c r="L7" s="4" t="n">
        <f aca="false">Assumptions!L28</f>
        <v>19.8</v>
      </c>
    </row>
    <row r="8" customFormat="false" ht="15" hidden="false" customHeight="false" outlineLevel="0" collapsed="false">
      <c r="A8" s="0" t="s">
        <v>43</v>
      </c>
      <c r="C8" s="0" t="n">
        <f aca="false">C6*C7/100</f>
        <v>4894.708102</v>
      </c>
      <c r="D8" s="0" t="n">
        <f aca="false">D6*D7/100</f>
        <v>5329.35271251</v>
      </c>
      <c r="E8" s="0" t="n">
        <f aca="false">E6*E7/100</f>
        <v>5827.0501871373</v>
      </c>
      <c r="F8" s="0" t="n">
        <f aca="false">F6*F7/100</f>
        <v>6275.76421224306</v>
      </c>
      <c r="G8" s="0" t="n">
        <f aca="false">G6*G7/100</f>
        <v>6693.59798742661</v>
      </c>
      <c r="H8" s="0" t="n">
        <f aca="false">H6*H7/100</f>
        <v>7067.29497351222</v>
      </c>
      <c r="I8" s="0" t="n">
        <f aca="false">I6*I7/100</f>
        <v>7387.67901231144</v>
      </c>
      <c r="J8" s="0" t="n">
        <f aca="false">J6*J7/100</f>
        <v>7685.25924599613</v>
      </c>
      <c r="K8" s="0" t="n">
        <f aca="false">K6*K7/100</f>
        <v>7955.99883567741</v>
      </c>
      <c r="L8" s="0" t="n">
        <f aca="false">L6*L7/100</f>
        <v>8174.78880365854</v>
      </c>
    </row>
    <row r="9" customFormat="false" ht="15" hidden="false" customHeight="false" outlineLevel="0" collapsed="false">
      <c r="A9" s="0" t="s">
        <v>100</v>
      </c>
      <c r="C9" s="4" t="n">
        <f aca="false">Assumptions!C29</f>
        <v>0.75</v>
      </c>
      <c r="D9" s="4" t="n">
        <f aca="false">Assumptions!D29</f>
        <v>0.75</v>
      </c>
      <c r="E9" s="4" t="n">
        <f aca="false">Assumptions!E29</f>
        <v>0.75</v>
      </c>
      <c r="F9" s="4" t="n">
        <f aca="false">Assumptions!F29</f>
        <v>0.75</v>
      </c>
      <c r="G9" s="4" t="n">
        <f aca="false">Assumptions!G29</f>
        <v>0.75</v>
      </c>
      <c r="H9" s="4" t="n">
        <f aca="false">Assumptions!H29</f>
        <v>0.75</v>
      </c>
      <c r="I9" s="4" t="n">
        <f aca="false">Assumptions!I29</f>
        <v>0.75</v>
      </c>
      <c r="J9" s="4" t="n">
        <f aca="false">Assumptions!J29</f>
        <v>0.75</v>
      </c>
      <c r="K9" s="4" t="n">
        <f aca="false">Assumptions!K29</f>
        <v>0.75</v>
      </c>
      <c r="L9" s="4" t="n">
        <f aca="false">Assumptions!L29</f>
        <v>0.75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-205.085535</v>
      </c>
      <c r="D10" s="0" t="n">
        <f aca="false">-D6*D9/100</f>
        <v>-218.416094775</v>
      </c>
      <c r="E10" s="0" t="n">
        <f aca="false">-E6*E9/100</f>
        <v>-233.70522140925</v>
      </c>
      <c r="F10" s="0" t="n">
        <f aca="false">-F6*F9/100</f>
        <v>-247.727534693805</v>
      </c>
      <c r="G10" s="0" t="n">
        <f aca="false">-G6*G9/100</f>
        <v>-260.113911428495</v>
      </c>
      <c r="H10" s="0" t="n">
        <f aca="false">-H6*H9/100</f>
        <v>-271.819037442778</v>
      </c>
      <c r="I10" s="0" t="n">
        <f aca="false">-I6*I9/100</f>
        <v>-282.691798940489</v>
      </c>
      <c r="J10" s="0" t="n">
        <f aca="false">-J6*J9/100</f>
        <v>-292.586011903406</v>
      </c>
      <c r="K10" s="0" t="n">
        <f aca="false">-K6*K9/100</f>
        <v>-301.363592260508</v>
      </c>
      <c r="L10" s="0" t="n">
        <f aca="false">-L6*L9/100</f>
        <v>-309.651091047672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4689.622567</v>
      </c>
      <c r="D11" s="0" t="n">
        <f aca="false">D8+D10+D24</f>
        <v>5110.936617735</v>
      </c>
      <c r="E11" s="0" t="n">
        <f aca="false">E8+E10+E24</f>
        <v>5593.34496572805</v>
      </c>
      <c r="F11" s="0" t="n">
        <f aca="false">F8+F10+F24</f>
        <v>6028.03667754926</v>
      </c>
      <c r="G11" s="0" t="n">
        <f aca="false">G8+G10+G24</f>
        <v>6433.48407599812</v>
      </c>
      <c r="H11" s="0" t="n">
        <f aca="false">H8+H10+H24</f>
        <v>6795.47593606944</v>
      </c>
      <c r="I11" s="0" t="n">
        <f aca="false">I8+I10+I24</f>
        <v>7104.98721337095</v>
      </c>
      <c r="J11" s="0" t="n">
        <f aca="false">J8+J10+J24</f>
        <v>7392.67323409272</v>
      </c>
      <c r="K11" s="0" t="n">
        <f aca="false">K8+K10+K24</f>
        <v>7654.6352434169</v>
      </c>
      <c r="L11" s="0" t="n">
        <f aca="false">L8+L10+L24</f>
        <v>7865.13771261087</v>
      </c>
    </row>
    <row r="12" customFormat="false" ht="15" hidden="false" customHeight="false" outlineLevel="0" collapsed="false">
      <c r="A12" s="0" t="s">
        <v>117</v>
      </c>
      <c r="C12" s="4" t="n">
        <f aca="false">-C6*Assumptions!C31/100</f>
        <v>-1175.823734</v>
      </c>
      <c r="D12" s="4" t="n">
        <f aca="false">-D6*Assumptions!D31/100</f>
        <v>-1281.37442268</v>
      </c>
      <c r="E12" s="4" t="n">
        <f aca="false">-E6*Assumptions!E31/100</f>
        <v>-1371.0706322676</v>
      </c>
      <c r="F12" s="4" t="n">
        <f aca="false">-F6*Assumptions!F31/100</f>
        <v>-1453.33487020366</v>
      </c>
      <c r="G12" s="4" t="n">
        <f aca="false">-G6*Assumptions!G31/100</f>
        <v>-1491.31975885671</v>
      </c>
      <c r="H12" s="4" t="n">
        <f aca="false">-H6*Assumptions!H31/100</f>
        <v>-1558.42914800526</v>
      </c>
      <c r="I12" s="4" t="n">
        <f aca="false">-I6*Assumptions!I31/100</f>
        <v>-1583.07407406674</v>
      </c>
      <c r="J12" s="4" t="n">
        <f aca="false">-J6*Assumptions!J31/100</f>
        <v>-1638.48166665907</v>
      </c>
      <c r="K12" s="4" t="n">
        <f aca="false">-K6*Assumptions!K31/100</f>
        <v>-1687.63611665884</v>
      </c>
      <c r="L12" s="4" t="n">
        <f aca="false">-L6*Assumptions!L31/100</f>
        <v>-1734.04610986696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3513.798833</v>
      </c>
      <c r="D13" s="0" t="n">
        <f aca="false">D11+D12</f>
        <v>3829.562195055</v>
      </c>
      <c r="E13" s="0" t="n">
        <f aca="false">E11+E12</f>
        <v>4222.27433346045</v>
      </c>
      <c r="F13" s="0" t="n">
        <f aca="false">F11+F12</f>
        <v>4574.7018073456</v>
      </c>
      <c r="G13" s="0" t="n">
        <f aca="false">G11+G12</f>
        <v>4942.16431714141</v>
      </c>
      <c r="H13" s="0" t="n">
        <f aca="false">H11+H12</f>
        <v>5237.04678806418</v>
      </c>
      <c r="I13" s="0" t="n">
        <f aca="false">I11+I12</f>
        <v>5521.91313930421</v>
      </c>
      <c r="J13" s="0" t="n">
        <f aca="false">J11+J12</f>
        <v>5754.19156743365</v>
      </c>
      <c r="K13" s="0" t="n">
        <f aca="false">K11+K12</f>
        <v>5966.99912675806</v>
      </c>
      <c r="L13" s="0" t="n">
        <f aca="false">L11+L12</f>
        <v>6131.09160274391</v>
      </c>
    </row>
    <row r="14" customFormat="false" ht="15" hidden="false" customHeight="false" outlineLevel="0" collapsed="false">
      <c r="A14" s="0" t="s">
        <v>104</v>
      </c>
      <c r="C14" s="4" t="n">
        <f aca="false">Assumptions!C33</f>
        <v>21</v>
      </c>
      <c r="D14" s="4" t="n">
        <f aca="false">Assumptions!D33</f>
        <v>21</v>
      </c>
      <c r="E14" s="4" t="n">
        <f aca="false">Assumptions!E33</f>
        <v>21.5</v>
      </c>
      <c r="F14" s="4" t="n">
        <f aca="false">Assumptions!F33</f>
        <v>22</v>
      </c>
      <c r="G14" s="4" t="n">
        <f aca="false">Assumptions!G33</f>
        <v>22.5</v>
      </c>
      <c r="H14" s="4" t="n">
        <f aca="false">Assumptions!H33</f>
        <v>23</v>
      </c>
      <c r="I14" s="4" t="n">
        <f aca="false">Assumptions!I33</f>
        <v>23</v>
      </c>
      <c r="J14" s="4" t="n">
        <f aca="false">Assumptions!J33</f>
        <v>23</v>
      </c>
      <c r="K14" s="4" t="n">
        <f aca="false">Assumptions!K33</f>
        <v>23</v>
      </c>
      <c r="L14" s="4" t="n">
        <f aca="false">Assumptions!L33</f>
        <v>23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2775.90107807</v>
      </c>
      <c r="D15" s="0" t="n">
        <f aca="false">D13-MAX(0,D13)*D14/100</f>
        <v>3025.35413409345</v>
      </c>
      <c r="E15" s="0" t="n">
        <f aca="false">E13-MAX(0,E13)*E14/100</f>
        <v>3314.48535176645</v>
      </c>
      <c r="F15" s="0" t="n">
        <f aca="false">F13-MAX(0,F13)*F14/100</f>
        <v>3568.26740972957</v>
      </c>
      <c r="G15" s="0" t="n">
        <f aca="false">G13-MAX(0,G13)*G14/100</f>
        <v>3830.17734578459</v>
      </c>
      <c r="H15" s="0" t="n">
        <f aca="false">H13-MAX(0,H13)*H14/100</f>
        <v>4032.52602680942</v>
      </c>
      <c r="I15" s="0" t="n">
        <f aca="false">I13-MAX(0,I13)*I14/100</f>
        <v>4251.87311726425</v>
      </c>
      <c r="J15" s="0" t="n">
        <f aca="false">J13-MAX(0,J13)*J14/100</f>
        <v>4430.72750692391</v>
      </c>
      <c r="K15" s="0" t="n">
        <f aca="false">K13-MAX(0,K13)*K14/100</f>
        <v>4594.58932760371</v>
      </c>
      <c r="L15" s="0" t="n">
        <f aca="false">L13-MAX(0,L13)*L14/100</f>
        <v>4720.94053411281</v>
      </c>
    </row>
    <row r="16" customFormat="false" ht="15" hidden="false" customHeight="false" outlineLevel="0" collapsed="false">
      <c r="A16" s="0" t="s">
        <v>120</v>
      </c>
      <c r="C16" s="0" t="n">
        <f aca="false">-C12</f>
        <v>1175.823734</v>
      </c>
      <c r="D16" s="0" t="n">
        <f aca="false">-D12</f>
        <v>1281.37442268</v>
      </c>
      <c r="E16" s="0" t="n">
        <f aca="false">-E12</f>
        <v>1371.0706322676</v>
      </c>
      <c r="F16" s="0" t="n">
        <f aca="false">-F12</f>
        <v>1453.33487020366</v>
      </c>
      <c r="G16" s="0" t="n">
        <f aca="false">-G12</f>
        <v>1491.31975885671</v>
      </c>
      <c r="H16" s="0" t="n">
        <f aca="false">-H12</f>
        <v>1558.42914800526</v>
      </c>
      <c r="I16" s="0" t="n">
        <f aca="false">-I12</f>
        <v>1583.07407406674</v>
      </c>
      <c r="J16" s="0" t="n">
        <f aca="false">-J12</f>
        <v>1638.48166665907</v>
      </c>
      <c r="K16" s="0" t="n">
        <f aca="false">-K12</f>
        <v>1687.63611665884</v>
      </c>
      <c r="L16" s="0" t="n">
        <f aca="false">-L12</f>
        <v>1734.04610986696</v>
      </c>
    </row>
    <row r="17" customFormat="false" ht="15" hidden="false" customHeight="false" outlineLevel="0" collapsed="false">
      <c r="A17" s="0" t="s">
        <v>121</v>
      </c>
      <c r="C17" s="4" t="n">
        <f aca="false">-C6*Assumptions!C32/100</f>
        <v>-1257.857948</v>
      </c>
      <c r="D17" s="4" t="n">
        <f aca="false">-D6*Assumptions!D32/100</f>
        <v>-1368.74086059</v>
      </c>
      <c r="E17" s="4" t="n">
        <f aca="false">-E6*Assumptions!E32/100</f>
        <v>-1464.5527208313</v>
      </c>
      <c r="F17" s="4" t="n">
        <f aca="false">-F6*Assumptions!F32/100</f>
        <v>-1519.395546122</v>
      </c>
      <c r="G17" s="4" t="n">
        <f aca="false">-G6*Assumptions!G32/100</f>
        <v>-1560.68346857097</v>
      </c>
      <c r="H17" s="4" t="n">
        <f aca="false">-H6*Assumptions!H32/100</f>
        <v>-1594.67168633096</v>
      </c>
      <c r="I17" s="4" t="n">
        <f aca="false">-I6*Assumptions!I32/100</f>
        <v>-1620.76631392547</v>
      </c>
      <c r="J17" s="4" t="n">
        <f aca="false">-J6*Assumptions!J32/100</f>
        <v>-1677.49313491286</v>
      </c>
      <c r="K17" s="4" t="n">
        <f aca="false">-K6*Assumptions!K32/100</f>
        <v>-1687.63611665884</v>
      </c>
      <c r="L17" s="4" t="n">
        <f aca="false">-L6*Assumptions!L32/100</f>
        <v>-1734.04610986696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(C6-B6)*Assumptions!$B$37/100</f>
        <v>31.0609599999999</v>
      </c>
      <c r="D18" s="4" t="n">
        <f aca="false">(D6-C6)*Assumptions!$B$37/100</f>
        <v>-142.1926376</v>
      </c>
      <c r="E18" s="4" t="n">
        <f aca="false">(E6-D6)*Assumptions!$B$37/100</f>
        <v>-163.084017432</v>
      </c>
      <c r="F18" s="4" t="n">
        <f aca="false">(F6-E6)*Assumptions!$B$37/100</f>
        <v>-149.57134170192</v>
      </c>
      <c r="G18" s="4" t="n">
        <f aca="false">(G6-F6)*Assumptions!$B$37/100</f>
        <v>-132.121351836696</v>
      </c>
      <c r="H18" s="4" t="n">
        <f aca="false">(H6-G6)*Assumptions!$B$37/100</f>
        <v>-124.854677485678</v>
      </c>
      <c r="I18" s="4" t="n">
        <f aca="false">(I6-H6)*Assumptions!$B$37/100</f>
        <v>-115.976122642252</v>
      </c>
      <c r="J18" s="4" t="n">
        <f aca="false">(J6-I6)*Assumptions!$B$37/100</f>
        <v>-105.538271604449</v>
      </c>
      <c r="K18" s="4" t="n">
        <f aca="false">(K6-J6)*Assumptions!$B$37/100</f>
        <v>-93.6275238090899</v>
      </c>
      <c r="L18" s="4" t="n">
        <f aca="false">(L6-K6)*Assumptions!$B$37/100</f>
        <v>-88.3999870630825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2724.92782407</v>
      </c>
      <c r="D19" s="0" t="n">
        <f aca="false">D15+D16+D17+D18</f>
        <v>2795.79505858345</v>
      </c>
      <c r="E19" s="0" t="n">
        <f aca="false">E15+E16+E17+E18</f>
        <v>3057.91924577075</v>
      </c>
      <c r="F19" s="0" t="n">
        <f aca="false">F15+F16+F17+F18</f>
        <v>3352.6353921093</v>
      </c>
      <c r="G19" s="0" t="n">
        <f aca="false">G15+G16+G17+G18</f>
        <v>3628.69228423363</v>
      </c>
      <c r="H19" s="0" t="n">
        <f aca="false">H15+H16+H17+H18</f>
        <v>3871.42881099804</v>
      </c>
      <c r="I19" s="0" t="n">
        <f aca="false">I15+I16+I17+I18</f>
        <v>4098.20475476326</v>
      </c>
      <c r="J19" s="0" t="n">
        <f aca="false">J15+J16+J17+J18</f>
        <v>4286.17776706567</v>
      </c>
      <c r="K19" s="0" t="n">
        <f aca="false">K15+K16+K17+K18</f>
        <v>4500.96180379462</v>
      </c>
      <c r="L19" s="0" t="n">
        <f aca="false">L15+L16+L17+L18</f>
        <v>4632.54054704972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2488.51856079452</v>
      </c>
      <c r="D21" s="0" t="n">
        <f aca="false">D19*D20</f>
        <v>2331.72374102579</v>
      </c>
      <c r="E21" s="0" t="n">
        <f aca="false">E19*E20</f>
        <v>2329.07597070318</v>
      </c>
      <c r="F21" s="0" t="n">
        <f aca="false">F19*F20</f>
        <v>2332.00699417467</v>
      </c>
      <c r="G21" s="0" t="n">
        <f aca="false">G19*G20</f>
        <v>2305.04572774004</v>
      </c>
      <c r="H21" s="0" t="n">
        <f aca="false">H19*H20</f>
        <v>2245.88007754814</v>
      </c>
      <c r="I21" s="0" t="n">
        <f aca="false">I19*I20</f>
        <v>2171.17494482208</v>
      </c>
      <c r="J21" s="0" t="n">
        <f aca="false">J19*J20</f>
        <v>2073.75394788033</v>
      </c>
      <c r="K21" s="0" t="n">
        <f aca="false">K19*K20</f>
        <v>1988.74112627482</v>
      </c>
      <c r="L21" s="0" t="n">
        <f aca="false">L19*L20</f>
        <v>1869.29583138027</v>
      </c>
    </row>
    <row r="23" customFormat="false" ht="15" hidden="false" customHeight="false" outlineLevel="0" collapsed="false">
      <c r="A23" s="0" t="s">
        <v>101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Assumptions!$B$34</f>
        <v>9.5</v>
      </c>
    </row>
    <row r="28" customFormat="false" ht="15" hidden="false" customHeight="false" outlineLevel="0" collapsed="false">
      <c r="A28" s="0" t="s">
        <v>106</v>
      </c>
      <c r="B28" s="4" t="n">
        <f aca="false">Assumptions!$B$35</f>
        <v>2.75</v>
      </c>
    </row>
    <row r="29" customFormat="false" ht="15" hidden="false" customHeight="false" outlineLevel="0" collapsed="false">
      <c r="A29" s="0" t="s">
        <v>107</v>
      </c>
      <c r="B29" s="4" t="n">
        <f aca="false">Assumptions!$B$36</f>
        <v>11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22135.2169223438</v>
      </c>
    </row>
    <row r="31" customFormat="false" ht="15" hidden="false" customHeight="false" outlineLevel="0" collapsed="false">
      <c r="A31" s="0" t="s">
        <v>129</v>
      </c>
      <c r="B31" s="0" t="n">
        <f aca="false">L19</f>
        <v>4632.54054704972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70517.5616606458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50957.946017547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50957.946017547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20562.254145183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42697.4710675268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30159.4710675268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30.0094239477879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-0.481075152208406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1592.11974769384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1901.99548002893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33.4861555176613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38856.6156089273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14.2507446853901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0" t="s">
        <v>113</v>
      </c>
      <c r="B3" s="0" t="s">
        <v>74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Assumptions!C41</f>
        <v>1</v>
      </c>
      <c r="D5" s="4" t="n">
        <f aca="false">Assumptions!D41</f>
        <v>10</v>
      </c>
      <c r="E5" s="4" t="n">
        <f aca="false">Assumptions!E41</f>
        <v>11</v>
      </c>
      <c r="F5" s="4" t="n">
        <f aca="false">Assumptions!F41</f>
        <v>9.5</v>
      </c>
      <c r="G5" s="4" t="n">
        <f aca="false">Assumptions!G41</f>
        <v>8</v>
      </c>
      <c r="H5" s="4" t="n">
        <f aca="false">Assumptions!H41</f>
        <v>6.5</v>
      </c>
      <c r="I5" s="4" t="n">
        <f aca="false">Assumptions!I41</f>
        <v>5.5</v>
      </c>
      <c r="J5" s="4" t="n">
        <f aca="false">Assumptions!J41</f>
        <v>4.5</v>
      </c>
      <c r="K5" s="4" t="n">
        <f aca="false">Assumptions!K41</f>
        <v>3.5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27733</v>
      </c>
      <c r="C6" s="0" t="n">
        <f aca="false">B6*(1+C5/100)</f>
        <v>28010.33</v>
      </c>
      <c r="D6" s="0" t="n">
        <f aca="false">C6*(1+D5/100)</f>
        <v>30811.363</v>
      </c>
      <c r="E6" s="0" t="n">
        <f aca="false">D6*(1+E5/100)</f>
        <v>34200.61293</v>
      </c>
      <c r="F6" s="0" t="n">
        <f aca="false">E6*(1+F5/100)</f>
        <v>37449.67115835</v>
      </c>
      <c r="G6" s="0" t="n">
        <f aca="false">F6*(1+G5/100)</f>
        <v>40445.644851018</v>
      </c>
      <c r="H6" s="0" t="n">
        <f aca="false">G6*(1+H5/100)</f>
        <v>43074.6117663342</v>
      </c>
      <c r="I6" s="0" t="n">
        <f aca="false">H6*(1+I5/100)</f>
        <v>45443.7154134826</v>
      </c>
      <c r="J6" s="0" t="n">
        <f aca="false">I6*(1+J5/100)</f>
        <v>47488.6826070893</v>
      </c>
      <c r="K6" s="0" t="n">
        <f aca="false">J6*(1+K5/100)</f>
        <v>49150.7864983374</v>
      </c>
      <c r="L6" s="0" t="n">
        <f aca="false">K6*(1+L5/100)</f>
        <v>50625.3100932875</v>
      </c>
    </row>
    <row r="7" customFormat="false" ht="15" hidden="false" customHeight="false" outlineLevel="0" collapsed="false">
      <c r="A7" s="0" t="s">
        <v>99</v>
      </c>
      <c r="C7" s="4" t="n">
        <f aca="false">Assumptions!C42</f>
        <v>18.3</v>
      </c>
      <c r="D7" s="4" t="n">
        <f aca="false">Assumptions!D42</f>
        <v>19.2</v>
      </c>
      <c r="E7" s="4" t="n">
        <f aca="false">Assumptions!E42</f>
        <v>20</v>
      </c>
      <c r="F7" s="4" t="n">
        <f aca="false">Assumptions!F42</f>
        <v>20.7</v>
      </c>
      <c r="G7" s="4" t="n">
        <f aca="false">Assumptions!G42</f>
        <v>21.3</v>
      </c>
      <c r="H7" s="4" t="n">
        <f aca="false">Assumptions!H42</f>
        <v>21.8</v>
      </c>
      <c r="I7" s="4" t="n">
        <f aca="false">Assumptions!I42</f>
        <v>22</v>
      </c>
      <c r="J7" s="4" t="n">
        <f aca="false">Assumptions!J42</f>
        <v>22</v>
      </c>
      <c r="K7" s="4" t="n">
        <f aca="false">Assumptions!K42</f>
        <v>22</v>
      </c>
      <c r="L7" s="4" t="n">
        <f aca="false">Assumptions!L42</f>
        <v>22</v>
      </c>
    </row>
    <row r="8" customFormat="false" ht="15" hidden="false" customHeight="false" outlineLevel="0" collapsed="false">
      <c r="A8" s="0" t="s">
        <v>43</v>
      </c>
      <c r="C8" s="0" t="n">
        <f aca="false">C6*C7/100</f>
        <v>5125.89039</v>
      </c>
      <c r="D8" s="0" t="n">
        <f aca="false">D6*D7/100</f>
        <v>5915.781696</v>
      </c>
      <c r="E8" s="0" t="n">
        <f aca="false">E6*E7/100</f>
        <v>6840.122586</v>
      </c>
      <c r="F8" s="0" t="n">
        <f aca="false">F6*F7/100</f>
        <v>7752.08192977845</v>
      </c>
      <c r="G8" s="0" t="n">
        <f aca="false">G6*G7/100</f>
        <v>8614.92235326684</v>
      </c>
      <c r="H8" s="0" t="n">
        <f aca="false">H6*H7/100</f>
        <v>9390.26536506085</v>
      </c>
      <c r="I8" s="0" t="n">
        <f aca="false">I6*I7/100</f>
        <v>9997.61739096616</v>
      </c>
      <c r="J8" s="0" t="n">
        <f aca="false">J6*J7/100</f>
        <v>10447.5101735596</v>
      </c>
      <c r="K8" s="0" t="n">
        <f aca="false">K6*K7/100</f>
        <v>10813.1730296342</v>
      </c>
      <c r="L8" s="0" t="n">
        <f aca="false">L6*L7/100</f>
        <v>11137.5682205233</v>
      </c>
    </row>
    <row r="9" customFormat="false" ht="15" hidden="false" customHeight="false" outlineLevel="0" collapsed="false">
      <c r="A9" s="0" t="s">
        <v>100</v>
      </c>
      <c r="C9" s="4" t="n">
        <f aca="false">Assumptions!C43</f>
        <v>0.75</v>
      </c>
      <c r="D9" s="4" t="n">
        <f aca="false">Assumptions!D43</f>
        <v>0.75</v>
      </c>
      <c r="E9" s="4" t="n">
        <f aca="false">Assumptions!E43</f>
        <v>0.75</v>
      </c>
      <c r="F9" s="4" t="n">
        <f aca="false">Assumptions!F43</f>
        <v>0.75</v>
      </c>
      <c r="G9" s="4" t="n">
        <f aca="false">Assumptions!G43</f>
        <v>0.75</v>
      </c>
      <c r="H9" s="4" t="n">
        <f aca="false">Assumptions!H43</f>
        <v>0.75</v>
      </c>
      <c r="I9" s="4" t="n">
        <f aca="false">Assumptions!I43</f>
        <v>0.75</v>
      </c>
      <c r="J9" s="4" t="n">
        <f aca="false">Assumptions!J43</f>
        <v>0.75</v>
      </c>
      <c r="K9" s="4" t="n">
        <f aca="false">Assumptions!K43</f>
        <v>0.75</v>
      </c>
      <c r="L9" s="4" t="n">
        <f aca="false">Assumptions!L43</f>
        <v>0.75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-210.077475</v>
      </c>
      <c r="D10" s="0" t="n">
        <f aca="false">-D6*D9/100</f>
        <v>-231.0852225</v>
      </c>
      <c r="E10" s="0" t="n">
        <f aca="false">-E6*E9/100</f>
        <v>-256.504596975</v>
      </c>
      <c r="F10" s="0" t="n">
        <f aca="false">-F6*F9/100</f>
        <v>-280.872533687625</v>
      </c>
      <c r="G10" s="0" t="n">
        <f aca="false">-G6*G9/100</f>
        <v>-303.342336382635</v>
      </c>
      <c r="H10" s="0" t="n">
        <f aca="false">-H6*H9/100</f>
        <v>-323.059588247506</v>
      </c>
      <c r="I10" s="0" t="n">
        <f aca="false">-I6*I9/100</f>
        <v>-340.827865601119</v>
      </c>
      <c r="J10" s="0" t="n">
        <f aca="false">-J6*J9/100</f>
        <v>-356.16511955317</v>
      </c>
      <c r="K10" s="0" t="n">
        <f aca="false">-K6*K9/100</f>
        <v>-368.63089873753</v>
      </c>
      <c r="L10" s="0" t="n">
        <f aca="false">-L6*L9/100</f>
        <v>-379.689825699656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4915.812915</v>
      </c>
      <c r="D11" s="0" t="n">
        <f aca="false">D8+D10+D24</f>
        <v>5684.6964735</v>
      </c>
      <c r="E11" s="0" t="n">
        <f aca="false">E8+E10+E24</f>
        <v>6583.617989025</v>
      </c>
      <c r="F11" s="0" t="n">
        <f aca="false">F8+F10+F24</f>
        <v>7471.20939609083</v>
      </c>
      <c r="G11" s="0" t="n">
        <f aca="false">G8+G10+G24</f>
        <v>8311.5800168842</v>
      </c>
      <c r="H11" s="0" t="n">
        <f aca="false">H8+H10+H24</f>
        <v>9067.20577681335</v>
      </c>
      <c r="I11" s="0" t="n">
        <f aca="false">I8+I10+I24</f>
        <v>9656.78952536504</v>
      </c>
      <c r="J11" s="0" t="n">
        <f aca="false">J8+J10+J24</f>
        <v>10091.3450540065</v>
      </c>
      <c r="K11" s="0" t="n">
        <f aca="false">K8+K10+K24</f>
        <v>10444.5421308967</v>
      </c>
      <c r="L11" s="0" t="n">
        <f aca="false">L8+L10+L24</f>
        <v>10757.8783948236</v>
      </c>
    </row>
    <row r="12" customFormat="false" ht="15" hidden="false" customHeight="false" outlineLevel="0" collapsed="false">
      <c r="A12" s="0" t="s">
        <v>117</v>
      </c>
      <c r="C12" s="4" t="n">
        <f aca="false">-C6*Assumptions!C45/100</f>
        <v>-1176.43386</v>
      </c>
      <c r="D12" s="4" t="n">
        <f aca="false">-D6*Assumptions!D45/100</f>
        <v>-1324.888609</v>
      </c>
      <c r="E12" s="4" t="n">
        <f aca="false">-E6*Assumptions!E45/100</f>
        <v>-1470.62635599</v>
      </c>
      <c r="F12" s="4" t="n">
        <f aca="false">-F6*Assumptions!F45/100</f>
        <v>-1572.8861886507</v>
      </c>
      <c r="G12" s="4" t="n">
        <f aca="false">-G6*Assumptions!G45/100</f>
        <v>-1658.27143889174</v>
      </c>
      <c r="H12" s="4" t="n">
        <f aca="false">-H6*Assumptions!H45/100</f>
        <v>-1766.0590824197</v>
      </c>
      <c r="I12" s="4" t="n">
        <f aca="false">-I6*Assumptions!I45/100</f>
        <v>-1817.7486165393</v>
      </c>
      <c r="J12" s="4" t="n">
        <f aca="false">-J6*Assumptions!J45/100</f>
        <v>-1899.54730428357</v>
      </c>
      <c r="K12" s="4" t="n">
        <f aca="false">-K6*Assumptions!K45/100</f>
        <v>-1966.0314599335</v>
      </c>
      <c r="L12" s="4" t="n">
        <f aca="false">-L6*Assumptions!L45/100</f>
        <v>-2025.0124037315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3739.379055</v>
      </c>
      <c r="D13" s="0" t="n">
        <f aca="false">D11+D12</f>
        <v>4359.8078645</v>
      </c>
      <c r="E13" s="0" t="n">
        <f aca="false">E11+E12</f>
        <v>5112.991633035</v>
      </c>
      <c r="F13" s="0" t="n">
        <f aca="false">F11+F12</f>
        <v>5898.32320744013</v>
      </c>
      <c r="G13" s="0" t="n">
        <f aca="false">G11+G12</f>
        <v>6653.30857799246</v>
      </c>
      <c r="H13" s="0" t="n">
        <f aca="false">H11+H12</f>
        <v>7301.14669439365</v>
      </c>
      <c r="I13" s="0" t="n">
        <f aca="false">I11+I12</f>
        <v>7839.04090882574</v>
      </c>
      <c r="J13" s="0" t="n">
        <f aca="false">J11+J12</f>
        <v>8191.7977497229</v>
      </c>
      <c r="K13" s="0" t="n">
        <f aca="false">K11+K12</f>
        <v>8478.5106709632</v>
      </c>
      <c r="L13" s="0" t="n">
        <f aca="false">L11+L12</f>
        <v>8732.8659910921</v>
      </c>
    </row>
    <row r="14" customFormat="false" ht="15" hidden="false" customHeight="false" outlineLevel="0" collapsed="false">
      <c r="A14" s="0" t="s">
        <v>104</v>
      </c>
      <c r="C14" s="4" t="n">
        <f aca="false">Assumptions!C47</f>
        <v>20</v>
      </c>
      <c r="D14" s="4" t="n">
        <f aca="false">Assumptions!D47</f>
        <v>20.5</v>
      </c>
      <c r="E14" s="4" t="n">
        <f aca="false">Assumptions!E47</f>
        <v>21</v>
      </c>
      <c r="F14" s="4" t="n">
        <f aca="false">Assumptions!F47</f>
        <v>21.5</v>
      </c>
      <c r="G14" s="4" t="n">
        <f aca="false">Assumptions!G47</f>
        <v>22</v>
      </c>
      <c r="H14" s="4" t="n">
        <f aca="false">Assumptions!H47</f>
        <v>22.5</v>
      </c>
      <c r="I14" s="4" t="n">
        <f aca="false">Assumptions!I47</f>
        <v>23</v>
      </c>
      <c r="J14" s="4" t="n">
        <f aca="false">Assumptions!J47</f>
        <v>23</v>
      </c>
      <c r="K14" s="4" t="n">
        <f aca="false">Assumptions!K47</f>
        <v>23</v>
      </c>
      <c r="L14" s="4" t="n">
        <f aca="false">Assumptions!L47</f>
        <v>23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2991.503244</v>
      </c>
      <c r="D15" s="0" t="n">
        <f aca="false">D13-MAX(0,D13)*D14/100</f>
        <v>3466.0472522775</v>
      </c>
      <c r="E15" s="0" t="n">
        <f aca="false">E13-MAX(0,E13)*E14/100</f>
        <v>4039.26339009765</v>
      </c>
      <c r="F15" s="0" t="n">
        <f aca="false">F13-MAX(0,F13)*F14/100</f>
        <v>4630.1837178405</v>
      </c>
      <c r="G15" s="0" t="n">
        <f aca="false">G13-MAX(0,G13)*G14/100</f>
        <v>5189.58069083412</v>
      </c>
      <c r="H15" s="0" t="n">
        <f aca="false">H13-MAX(0,H13)*H14/100</f>
        <v>5658.38868815508</v>
      </c>
      <c r="I15" s="0" t="n">
        <f aca="false">I13-MAX(0,I13)*I14/100</f>
        <v>6036.06149979582</v>
      </c>
      <c r="J15" s="0" t="n">
        <f aca="false">J13-MAX(0,J13)*J14/100</f>
        <v>6307.68426728663</v>
      </c>
      <c r="K15" s="0" t="n">
        <f aca="false">K13-MAX(0,K13)*K14/100</f>
        <v>6528.45321664166</v>
      </c>
      <c r="L15" s="0" t="n">
        <f aca="false">L13-MAX(0,L13)*L14/100</f>
        <v>6724.30681314091</v>
      </c>
    </row>
    <row r="16" customFormat="false" ht="15" hidden="false" customHeight="false" outlineLevel="0" collapsed="false">
      <c r="A16" s="0" t="s">
        <v>120</v>
      </c>
      <c r="C16" s="0" t="n">
        <f aca="false">-C12</f>
        <v>1176.43386</v>
      </c>
      <c r="D16" s="0" t="n">
        <f aca="false">-D12</f>
        <v>1324.888609</v>
      </c>
      <c r="E16" s="0" t="n">
        <f aca="false">-E12</f>
        <v>1470.62635599</v>
      </c>
      <c r="F16" s="0" t="n">
        <f aca="false">-F12</f>
        <v>1572.8861886507</v>
      </c>
      <c r="G16" s="0" t="n">
        <f aca="false">-G12</f>
        <v>1658.27143889174</v>
      </c>
      <c r="H16" s="0" t="n">
        <f aca="false">-H12</f>
        <v>1766.0590824197</v>
      </c>
      <c r="I16" s="0" t="n">
        <f aca="false">-I12</f>
        <v>1817.7486165393</v>
      </c>
      <c r="J16" s="0" t="n">
        <f aca="false">-J12</f>
        <v>1899.54730428357</v>
      </c>
      <c r="K16" s="0" t="n">
        <f aca="false">-K12</f>
        <v>1966.0314599335</v>
      </c>
      <c r="L16" s="0" t="n">
        <f aca="false">-L12</f>
        <v>2025.0124037315</v>
      </c>
    </row>
    <row r="17" customFormat="false" ht="15" hidden="false" customHeight="false" outlineLevel="0" collapsed="false">
      <c r="A17" s="0" t="s">
        <v>121</v>
      </c>
      <c r="C17" s="4" t="n">
        <f aca="false">-C6*Assumptions!C46/100</f>
        <v>-1288.47518</v>
      </c>
      <c r="D17" s="4" t="n">
        <f aca="false">-D6*Assumptions!D46/100</f>
        <v>-1478.945424</v>
      </c>
      <c r="E17" s="4" t="n">
        <f aca="false">-E6*Assumptions!E46/100</f>
        <v>-1675.83003357</v>
      </c>
      <c r="F17" s="4" t="n">
        <f aca="false">-F6*Assumptions!F46/100</f>
        <v>-1797.5842156008</v>
      </c>
      <c r="G17" s="4" t="n">
        <f aca="false">-G6*Assumptions!G46/100</f>
        <v>-1860.49966314683</v>
      </c>
      <c r="H17" s="4" t="n">
        <f aca="false">-H6*Assumptions!H46/100</f>
        <v>-1895.2829177187</v>
      </c>
      <c r="I17" s="4" t="n">
        <f aca="false">-I6*Assumptions!I46/100</f>
        <v>-1954.07976277975</v>
      </c>
      <c r="J17" s="4" t="n">
        <f aca="false">-J6*Assumptions!J46/100</f>
        <v>-1994.52466949775</v>
      </c>
      <c r="K17" s="4" t="n">
        <f aca="false">-K6*Assumptions!K46/100</f>
        <v>-2015.18224643183</v>
      </c>
      <c r="L17" s="4" t="n">
        <f aca="false">-L6*Assumptions!L46/100</f>
        <v>-2075.63771382479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(C6-B6)*Assumptions!$B$51/100</f>
        <v>-16.6398000000001</v>
      </c>
      <c r="D18" s="4" t="n">
        <f aca="false">(D6-C6)*Assumptions!$B$51/100</f>
        <v>-168.06198</v>
      </c>
      <c r="E18" s="4" t="n">
        <f aca="false">(E6-D6)*Assumptions!$B$51/100</f>
        <v>-203.3549958</v>
      </c>
      <c r="F18" s="4" t="n">
        <f aca="false">(F6-E6)*Assumptions!$B$51/100</f>
        <v>-194.943493701</v>
      </c>
      <c r="G18" s="4" t="n">
        <f aca="false">(G6-F6)*Assumptions!$B$51/100</f>
        <v>-179.75842156008</v>
      </c>
      <c r="H18" s="4" t="n">
        <f aca="false">(H6-G6)*Assumptions!$B$51/100</f>
        <v>-157.73801491897</v>
      </c>
      <c r="I18" s="4" t="n">
        <f aca="false">(I6-H6)*Assumptions!$B$51/100</f>
        <v>-142.146218828903</v>
      </c>
      <c r="J18" s="4" t="n">
        <f aca="false">(J6-I6)*Assumptions!$B$51/100</f>
        <v>-122.698031616403</v>
      </c>
      <c r="K18" s="4" t="n">
        <f aca="false">(K6-J6)*Assumptions!$B$51/100</f>
        <v>-99.7262334748874</v>
      </c>
      <c r="L18" s="4" t="n">
        <f aca="false">(L6-K6)*Assumptions!$B$51/100</f>
        <v>-88.4714156970073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2862.822124</v>
      </c>
      <c r="D19" s="0" t="n">
        <f aca="false">D15+D16+D17+D18</f>
        <v>3143.9284572775</v>
      </c>
      <c r="E19" s="0" t="n">
        <f aca="false">E15+E16+E17+E18</f>
        <v>3630.70471671765</v>
      </c>
      <c r="F19" s="0" t="n">
        <f aca="false">F15+F16+F17+F18</f>
        <v>4210.5421971894</v>
      </c>
      <c r="G19" s="0" t="n">
        <f aca="false">G15+G16+G17+G18</f>
        <v>4807.59404501895</v>
      </c>
      <c r="H19" s="0" t="n">
        <f aca="false">H15+H16+H17+H18</f>
        <v>5371.4268379371</v>
      </c>
      <c r="I19" s="0" t="n">
        <f aca="false">I15+I16+I17+I18</f>
        <v>5757.58413472647</v>
      </c>
      <c r="J19" s="0" t="n">
        <f aca="false">J15+J16+J17+J18</f>
        <v>6090.00887045605</v>
      </c>
      <c r="K19" s="0" t="n">
        <f aca="false">K15+K16+K17+K18</f>
        <v>6379.57619666844</v>
      </c>
      <c r="L19" s="0" t="n">
        <f aca="false">L15+L16+L17+L18</f>
        <v>6585.21008735062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2614.4494283105</v>
      </c>
      <c r="D21" s="0" t="n">
        <f aca="false">D19*D20</f>
        <v>2622.07081360063</v>
      </c>
      <c r="E21" s="0" t="n">
        <f aca="false">E19*E20</f>
        <v>2765.34023065556</v>
      </c>
      <c r="F21" s="0" t="n">
        <f aca="false">F19*F20</f>
        <v>2928.74491399306</v>
      </c>
      <c r="G21" s="0" t="n">
        <f aca="false">G19*G20</f>
        <v>3053.91674084037</v>
      </c>
      <c r="H21" s="0" t="n">
        <f aca="false">H19*H20</f>
        <v>3116.05381689052</v>
      </c>
      <c r="I21" s="0" t="n">
        <f aca="false">I19*I20</f>
        <v>3050.29230213397</v>
      </c>
      <c r="J21" s="0" t="n">
        <f aca="false">J19*J20</f>
        <v>2946.49000206551</v>
      </c>
      <c r="K21" s="0" t="n">
        <f aca="false">K19*K20</f>
        <v>2818.80320331138</v>
      </c>
      <c r="L21" s="0" t="n">
        <f aca="false">L19*L20</f>
        <v>2657.22569290567</v>
      </c>
    </row>
    <row r="23" customFormat="false" ht="15" hidden="false" customHeight="false" outlineLevel="0" collapsed="false">
      <c r="A23" s="0" t="s">
        <v>101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Assumptions!$B$48</f>
        <v>9.5</v>
      </c>
    </row>
    <row r="28" customFormat="false" ht="15" hidden="false" customHeight="false" outlineLevel="0" collapsed="false">
      <c r="A28" s="0" t="s">
        <v>106</v>
      </c>
      <c r="B28" s="4" t="n">
        <f aca="false">Assumptions!$B$49</f>
        <v>3.25</v>
      </c>
    </row>
    <row r="29" customFormat="false" ht="15" hidden="false" customHeight="false" outlineLevel="0" collapsed="false">
      <c r="A29" s="0" t="s">
        <v>107</v>
      </c>
      <c r="B29" s="4" t="n">
        <f aca="false">Assumptions!$B$50</f>
        <v>11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28573.3871447072</v>
      </c>
    </row>
    <row r="31" customFormat="false" ht="15" hidden="false" customHeight="false" outlineLevel="0" collapsed="false">
      <c r="A31" s="0" t="s">
        <v>129</v>
      </c>
      <c r="B31" s="0" t="n">
        <f aca="false">L19</f>
        <v>6585.21008735062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108787.670643032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72437.3109608568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72437.3109608568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29229.4826219624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57802.8697666696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45264.8697666696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45.0396714096214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-0.221171167047874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1824.39456079672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2531.03301992684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49.3734301964111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57865.782256932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23.6177589167416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145</v>
      </c>
    </row>
    <row r="3" customFormat="false" ht="15" hidden="false" customHeight="false" outlineLevel="0" collapsed="false">
      <c r="A3" s="2" t="s">
        <v>146</v>
      </c>
      <c r="B3" s="2" t="s">
        <v>147</v>
      </c>
      <c r="C3" s="2" t="s">
        <v>137</v>
      </c>
      <c r="D3" s="2" t="s">
        <v>148</v>
      </c>
      <c r="E3" s="2" t="s">
        <v>140</v>
      </c>
      <c r="F3" s="2" t="s">
        <v>149</v>
      </c>
    </row>
    <row r="4" customFormat="false" ht="15" hidden="false" customHeight="false" outlineLevel="0" collapsed="false">
      <c r="A4" s="0" t="s">
        <v>150</v>
      </c>
      <c r="B4" s="4" t="n">
        <f aca="false">DCF_Bear!$B$38</f>
        <v>12.2851096212153</v>
      </c>
      <c r="C4" s="0" t="n">
        <f aca="false">B4/Assumptions!$B$2-1</f>
        <v>-0.78756511116695</v>
      </c>
      <c r="D4" s="4" t="n">
        <f aca="false">Assumptions!$B$24</f>
        <v>0.25</v>
      </c>
      <c r="E4" s="4" t="n">
        <f aca="false">DCF_Bear!$B$43</f>
        <v>15.2488036668074</v>
      </c>
      <c r="F4" s="4" t="n">
        <f aca="false">DCF_Bear!$B$47</f>
        <v>4.5961698043391</v>
      </c>
    </row>
    <row r="5" customFormat="false" ht="15" hidden="false" customHeight="false" outlineLevel="0" collapsed="false">
      <c r="A5" s="0" t="s">
        <v>151</v>
      </c>
      <c r="B5" s="4" t="n">
        <f aca="false">DCF_Base!$B$38</f>
        <v>30.0094239477879</v>
      </c>
      <c r="C5" s="0" t="n">
        <f aca="false">B5/Assumptions!$B$2-1</f>
        <v>-0.481075152208406</v>
      </c>
      <c r="D5" s="4" t="n">
        <f aca="false">Assumptions!$B$38</f>
        <v>0.5</v>
      </c>
      <c r="E5" s="4" t="n">
        <f aca="false">DCF_Base!$B$43</f>
        <v>33.4861555176613</v>
      </c>
      <c r="F5" s="4" t="n">
        <f aca="false">DCF_Base!$B$47</f>
        <v>14.2507446853901</v>
      </c>
    </row>
    <row r="6" customFormat="false" ht="15" hidden="false" customHeight="false" outlineLevel="0" collapsed="false">
      <c r="A6" s="0" t="s">
        <v>152</v>
      </c>
      <c r="B6" s="4" t="n">
        <f aca="false">DCF_Bull!$B$38</f>
        <v>45.0396714096214</v>
      </c>
      <c r="C6" s="0" t="n">
        <f aca="false">B6/Assumptions!$B$2-1</f>
        <v>-0.221171167047874</v>
      </c>
      <c r="D6" s="4" t="n">
        <f aca="false">Assumptions!$B$52</f>
        <v>0.25</v>
      </c>
      <c r="E6" s="4" t="n">
        <f aca="false">DCF_Bull!$B$43</f>
        <v>49.3734301964111</v>
      </c>
      <c r="F6" s="4" t="n">
        <f aca="false">DCF_Bull!$B$47</f>
        <v>23.6177589167416</v>
      </c>
    </row>
    <row r="8" customFormat="false" ht="15" hidden="false" customHeight="false" outlineLevel="0" collapsed="false">
      <c r="A8" s="0" t="s">
        <v>153</v>
      </c>
      <c r="B8" s="0" t="n">
        <f aca="false">SUMPRODUCT(B4:B6,D4:D6)</f>
        <v>29.3359072316031</v>
      </c>
    </row>
    <row r="9" customFormat="false" ht="15" hidden="false" customHeight="false" outlineLevel="0" collapsed="false">
      <c r="A9" s="0" t="s">
        <v>154</v>
      </c>
      <c r="B9" s="0" t="n">
        <f aca="false">SUMPRODUCT(E4:E6,D4:D6)</f>
        <v>32.8986362246353</v>
      </c>
    </row>
    <row r="10" customFormat="false" ht="15" hidden="false" customHeight="false" outlineLevel="0" collapsed="false">
      <c r="A10" s="0" t="s">
        <v>155</v>
      </c>
      <c r="B10" s="0" t="n">
        <f aca="false">1-Assumptions!$B$2/B8</f>
        <v>-0.97130429761179</v>
      </c>
    </row>
    <row r="11" customFormat="false" ht="15" hidden="false" customHeight="false" outlineLevel="0" collapsed="false">
      <c r="A11" s="0" t="s">
        <v>156</v>
      </c>
      <c r="B11" s="0" t="n">
        <f aca="false">IF(ABS(B9-B8)&gt;0.01*ABS(B8),(Assumptions!$B$2-B8)/(B9-B8)*100,"n/a")</f>
        <v>799.782773938868</v>
      </c>
    </row>
    <row r="12" customFormat="false" ht="15" hidden="false" customHeight="false" outlineLevel="0" collapsed="false">
      <c r="A12" s="0" t="s">
        <v>157</v>
      </c>
      <c r="B12" s="0" t="n">
        <f aca="false">SUMPRODUCT(F4:F6,D4:D6)</f>
        <v>14.1788545229652</v>
      </c>
    </row>
    <row r="14" customFormat="false" ht="15" hidden="false" customHeight="false" outlineLevel="0" collapsed="false">
      <c r="A14" s="2" t="s">
        <v>158</v>
      </c>
      <c r="C14" s="0" t="s">
        <v>159</v>
      </c>
    </row>
    <row r="15" customFormat="false" ht="15" hidden="false" customHeight="false" outlineLevel="0" collapsed="false">
      <c r="A15" s="0" t="s">
        <v>160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31.5080684503781</v>
      </c>
      <c r="C15" s="3" t="n">
        <v>9</v>
      </c>
    </row>
    <row r="16" customFormat="false" ht="15" hidden="false" customHeight="false" outlineLevel="0" collapsed="false">
      <c r="A16" s="0" t="s">
        <v>161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30.0094239477879</v>
      </c>
      <c r="C16" s="3" t="n">
        <v>9.5</v>
      </c>
    </row>
    <row r="17" customFormat="false" ht="15" hidden="false" customHeight="false" outlineLevel="0" collapsed="false">
      <c r="A17" s="0" t="s">
        <v>162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28.5766532320168</v>
      </c>
      <c r="C17" s="3" t="n">
        <v>10</v>
      </c>
    </row>
    <row r="18" customFormat="false" ht="15" hidden="false" customHeight="false" outlineLevel="0" collapsed="false">
      <c r="A18" s="0" t="s">
        <v>163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25.895691519516</v>
      </c>
      <c r="C18" s="3" t="n">
        <v>11</v>
      </c>
    </row>
    <row r="19" customFormat="false" ht="15" hidden="false" customHeight="false" outlineLevel="0" collapsed="false">
      <c r="A19" s="0" t="s">
        <v>164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23.4408641956488</v>
      </c>
      <c r="C19" s="3" t="n">
        <v>12</v>
      </c>
    </row>
    <row r="20" customFormat="false" ht="15" hidden="false" customHeight="false" outlineLevel="0" collapsed="false">
      <c r="A20" s="0" t="s">
        <v>165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14.2507446853901</v>
      </c>
      <c r="C20" s="3" t="n">
        <v>15</v>
      </c>
    </row>
    <row r="22" customFormat="false" ht="15" hidden="false" customHeight="false" outlineLevel="0" collapsed="false">
      <c r="A22" s="2" t="s">
        <v>166</v>
      </c>
    </row>
    <row r="23" customFormat="false" ht="15" hidden="false" customHeight="false" outlineLevel="0" collapsed="false">
      <c r="B23" s="3" t="n">
        <v>1.75</v>
      </c>
      <c r="C23" s="3" t="n">
        <v>2.25</v>
      </c>
      <c r="D23" s="3" t="n">
        <v>2.75</v>
      </c>
      <c r="E23" s="3" t="n">
        <v>3.25</v>
      </c>
      <c r="F23" s="3" t="n">
        <v>3.75</v>
      </c>
    </row>
    <row r="24" customFormat="false" ht="15" hidden="false" customHeight="false" outlineLevel="0" collapsed="false">
      <c r="A24" s="3" t="n">
        <v>7.5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36.4353024000114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36.4353024000114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36.4353024000114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36.4353024000114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36.4353024000114</v>
      </c>
    </row>
    <row r="25" customFormat="false" ht="15" hidden="false" customHeight="false" outlineLevel="0" collapsed="false">
      <c r="A25" s="3" t="n">
        <v>8.5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33.0760875549806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33.0760875549806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33.0760875549806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33.0760875549806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33.0760875549806</v>
      </c>
    </row>
    <row r="26" customFormat="false" ht="15" hidden="false" customHeight="false" outlineLevel="0" collapsed="false">
      <c r="A26" s="3" t="n">
        <v>9.5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30.0094239477879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30.0094239477879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30.0094239477879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30.0094239477879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30.0094239477879</v>
      </c>
    </row>
    <row r="27" customFormat="false" ht="15" hidden="false" customHeight="false" outlineLevel="0" collapsed="false">
      <c r="A27" s="3" t="n">
        <v>10.5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27.2064501594801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27.2064501594801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27.2064501594801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27.2064501594801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27.2064501594801</v>
      </c>
    </row>
    <row r="28" customFormat="false" ht="15" hidden="false" customHeight="false" outlineLevel="0" collapsed="false">
      <c r="A28" s="3" t="n">
        <v>11.5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23.7659131195959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24.6414260558414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24.6414260558414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24.6414260558414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24.6414260558414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2026-09-25T23:32:39Z</dcterms:created>
  <dc:creator>openpyxl</dc:creator>
  <dc:description/>
  <dc:language>en-NZ</dc:language>
  <cp:lastModifiedBy/>
  <dcterms:modified xsi:type="dcterms:W3CDTF">2026-09-25T23:32:39Z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