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<sst xmlns="http://schemas.openxmlformats.org/spreadsheetml/2006/main" count="356" uniqueCount="165">
  <si>
    <t xml:space="preserve">Ticker</t>
  </si>
  <si>
    <t xml:space="preserve">3877.HK</t>
  </si>
  <si>
    <t xml:space="preserve">Company</t>
  </si>
  <si>
    <t xml:space="preserve">CSSC (Hong Kong) Shipping Company Limited</t>
  </si>
  <si>
    <t xml:space="preserve">Valuation date</t>
  </si>
  <si>
    <t xml:space="preserve">2026-10-23</t>
  </si>
  <si>
    <t xml:space="preserve">Current price</t>
  </si>
  <si>
    <t xml:space="preserve">Price as of</t>
  </si>
  <si>
    <t xml:space="preserve">2026-10-22T08:08:34Z (HKEX regular close)</t>
  </si>
  <si>
    <t xml:space="preserve">Balance sheet date</t>
  </si>
  <si>
    <t xml:space="preserve">2026-06-30</t>
  </si>
  <si>
    <t xml:space="preserve">Model</t>
  </si>
  <si>
    <t xml:space="preserve">Leasing-company FCFE capitalisation at cost of equity, net debt zero (engine route)</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</si>
  <si>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</si>
  <si>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</si>
  <si>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</si>
  <si>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</si>
  <si>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</si>
  <si>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</si>
  <si>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</si>
  <si>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</si>
  <si>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2026-10-22T13:46:56Z</t>
  </si>
  <si>
    <t xml:space="preserve">Drivers file</t>
  </si>
  <si>
    <t xml:space="preserve">3877.HK_Drivers.json</t>
  </si>
  <si>
    <t xml:space="preserve">Convention</t>
  </si>
  <si>
    <t xml:space="preserve">Percents stored as percents; formulas divide by 100. Blue = input, green = link, black = formula.</t>
  </si>
  <si>
    <t xml:space="preserve">Methodology</t>
  </si>
  <si>
    <t xml:space="preserve">summary: A leveraged ship lessor is valued on the cash it can distribute to equity at constant gearing, discounted at a HKD cost of equity, not on unlevered FCF (its OCF is dominated by lease-book movements and its debt is operating funding). The flows are built from profit before tax plus depreciation so every line ties to the income statement, with tax and NCI folded into one leakage rate and retention sized to the scenario's book growth. The if-converted share count is used because the HK$2.39 CB conversion price sits at the current price and below the base value. ROE (12.6% FY2025, 15.9% annualised H1 FY2026 on windfalls) only modestly exceeds the 10.5% cost of equity, so intrinsic value clusters around 1x if-converted book (HK$2.48/share); the scenarios are mostly a view on where mid-cycle ROE settles and on the exit multiple a cyclical lessor is granted.
key_risks_to_valuation: Shipping cycle: JV tanker income (HK$339m in H1 FY2026 vs HK$131m a year earlier) and vessel disposal gains are geopolitically driven and can reverse within a half-year; 2027-28 record newbuild deliveries (61m CGT) pressuring charter rates, residual values and re-leasing of the growing operating-lease fleet; Leverage: 1.57x gearing and HK$25bn of borrowings/CB; a 50bp rise in average funding cost costs ~HK$125m pre-tax (~6% of earnings); Impairments: FY2024 charged HK$447m, FY2025 HK$79m; a downturn returns to the former; Pillar Two global minimum tax (HK$186m in FY2025) and any further tax-base changes on the Hong Kong/PRC leasing structure; Convertible bond: 978m shares at HK$2.39 (16% of the enlarged count); if-converted basis already assumed, not-converted basis is ~10-12% higher per share; SOE governance and US-China sanctions/export-control exposure through the CSSC Group parent; Exit multiple: all three terminal values depend on a buyer paying 10-14x FCFE (7.5-10x earnings) for a cyclical lessor</t>
  </si>
  <si>
    <t xml:space="preserve">Data sources</t>
  </si>
  <si>
    <t xml:space="preserve">price: Yahoo Finance chart API (3877.HK) at inputs.price_as_of; 52-week range 1.91-2.61
financials: 3877.HK_Metrics.csv (core_metrics, HKD millions, FY2018-FY2025 and H1 FY2023-H1 FY2026); H1 FY2026 interim report for the 30 Jun 2026 balance sheet, EPS note (basic 6,201.3m / diluted 7,039.8m weighted), share capital note (6,204.6m issued), CB note 16 and selected ratios (ROE 15.91%, gearing 1.57x, funding cost 2.78%); FY2025 annual report consolidated income statement and EPS note
qualitative: 3877.HK_Analysis.json (2026-10-23): business model, revenue mix, guidance, bull/bear cases, risks; FY2025 AR and H1 FY2026 interim outlook sections</t>
  </si>
  <si>
    <t xml:space="preserve">Scenario narrative: bear</t>
  </si>
  <si>
    <t xml:space="preserve">Geopolitical premium unwinds into an oversupplied 2027-28 market. JV income collapses to FY2021 levels, charter rates and residual values fall as record deliveries land, impairments revert to the FY2024 level, the book shrinks for three years and ROE drops to 7-8%. Leverage (1.57x gearing, 63% liabilities/assets) magnifies the earnings hit but the A- ratings and parent funding framework prevent a solvency event; the exit multiple de-rates to 10x FCFE.</t>
  </si>
  <si>
    <t xml:space="preserve">Scenario narrative: base</t>
  </si>
  <si>
    <t xml:space="preserve">Mid-cycle normalisation. The H1 FY2026 windfalls (HK$254m vessel disposal gain, HK$339m JV share from the tanker upcycle) are banked but not repeated; funding cost stays at ~2.8%; the financing book keeps running off while the 23 vessels under construction deliver into long charters, so revenue dips 4% in FY2026 then grows 2-3%; Pillar Two keeps leakage at 15%; the book compounds 3% at constant 1.5-1.6x gearing with the balance paid out (payout ~70% of earnings vs 54% in FY2025). Attributable profit ~HK$2.2bn in FY2026 settling at ~HK$1.9-2.0bn, ROE ~12%, about equal to the 10.5% cost of equity plus a little, which is why the base value sits near 1x if-converted book.</t>
  </si>
  <si>
    <t xml:space="preserve">Scenario narrative: bull</t>
  </si>
  <si>
    <t xml:space="preserve">Rate upcycle persists and the yard pipeline converts. Tanker/LNG strength through 2027 keeps JV income above HK$500m, the shipowner funding gap of the 2027-28 delivery wave is captured through CSSC Group's 63% share of global new orders, funding cost falls to ~2.5% on RMB/HKD channels, impairments stay near zero. Margin 78%, book growth 4-5%, ROE 13-14%.</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</si>
  <si>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</si>
  <si>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</si>
  <si>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</si>
  <si>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</si>
  <si>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</si>
  <si>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</si>
  <si>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</si>
  <si>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</si>
  <si>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</si>
  <si>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</si>
  <si>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</si>
  <si>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</si>
  <si>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</si>
  <si>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</si>
  <si>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</si>
  <si>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</si>
  <si>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</si>
  <si>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</si>
  <si>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</si>
  <si>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</si>
  <si>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</si>
  <si>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</si>
  <si>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</si>
  <si>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</si>
  <si>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</si>
  <si>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</si>
  <si>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</si>
  <si>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</si>
  <si>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NetIncomeInclNCI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</si>
  <si>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</si>
  <si>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</si>
  <si>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</si>
  <si>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</si>
  <si>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</si>
  <si>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</si>
  <si>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</si>
  <si>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</si>
  <si>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</si>
  <si>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</si>
  <si>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</si>
  <si>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</si>
  <si>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</si>
  <si>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</si>
  <si>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</si>
  <si>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</si>
  <si>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</si>
  <si>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</si>
  <si>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</si>
  <si>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</si>
  <si>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</si>
  <si>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</si>
  <si>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</si>
  <si>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</si>
  <si>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</si>
  <si>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</si>
  <si>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</si>
  <si>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</si>
  <si>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</si>
  <si>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</si>
  <si>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</si>
  <si>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</si>
  <si>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</si>
  <si>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</si>
  <si>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</si>
  <si>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</si>
  <si>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</si>
  <si>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</si>
  <si>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</si>
  <si>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</si>
  <si>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</si>
  <si>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</si>
  <si>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</si>
  <si>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</si>
  <si>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</si>
  <si>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3877.HK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</si>
  <si>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</si>
  <si>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</si>
  <si>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</si>
  <si>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</si>
  <si>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</si>
  <si>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</si>
  <si>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</si>
  <si>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</si>
  <si>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</si>
  <si>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</si>
  <si>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</si>
  <si>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</si>
  <si>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</si>
  <si>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</si>
  <si>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</si>
  <si>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</si>
  <si>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</si>
  <si>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</si>
  <si>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</si>
  <si>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</si>
  <si>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</si>
  <si>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</si>
  <si>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</si>
  <si>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</si>
  <si>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</si>
  <si>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</si>
  <si>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</si>
  <si>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</si>
  <si>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</si>
  <si>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</si>
  <si>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3877.HK owner-FCF component DCF: base case (millions, HKD)</t>
  </si>
  <si>
    <t xml:space="preserve">3877.HK owner-FCF component DCF: bull case (millions, HKD)</t>
  </si>
  <si>
    <t xml:space="preserve">3877.HK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</si>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</sst>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2104.811</v>
      </c>
      <c r="F2" s="0" t="n">
        <v>582.645</v>
      </c>
      <c r="G2" s="0" t="n">
        <v>27.7</v>
      </c>
      <c r="I2" s="0" t="n">
        <v>690.089</v>
      </c>
      <c r="J2" s="0" t="n">
        <v>32.8</v>
      </c>
      <c r="K2" s="0" t="n">
        <v>0.15</v>
      </c>
      <c r="L2" s="0" t="n">
        <v>-1415.265</v>
      </c>
      <c r="M2" s="0" t="n">
        <v>1289.907</v>
      </c>
      <c r="N2" s="0" t="n">
        <v>-2705.172</v>
      </c>
      <c r="O2" s="0" t="n">
        <v>5736.027</v>
      </c>
      <c r="P2" s="0" t="n">
        <v>29310.059</v>
      </c>
      <c r="Q2" s="0" t="n">
        <v>23544.831</v>
      </c>
      <c r="R2" s="0" t="n">
        <v>22567.489</v>
      </c>
      <c r="S2" s="0" t="n">
        <v>924.06</v>
      </c>
      <c r="T2" s="0" t="n">
        <v>4602.046</v>
      </c>
      <c r="U2" s="0" t="n">
        <v>0</v>
      </c>
      <c r="AA2" s="0" t="s">
        <v>17</v>
      </c>
      <c r="AB2" s="0" t="s">
        <v>14</v>
      </c>
      <c r="AD2" s="0" t="n">
        <v>706.522</v>
      </c>
    </row>
    <row r="3" customFormat="false" ht="15" hidden="false" customHeight="false" outlineLevel="0" collapsed="false">
      <c r="A3" s="0" t="s">
        <v>66</v>
      </c>
      <c r="B3" s="0" t="n">
        <v>2294.397</v>
      </c>
      <c r="F3" s="0" t="n">
        <v>847.648</v>
      </c>
      <c r="G3" s="0" t="n">
        <v>36.9</v>
      </c>
      <c r="I3" s="0" t="n">
        <v>883.089</v>
      </c>
      <c r="J3" s="0" t="n">
        <v>38.5</v>
      </c>
      <c r="K3" s="0" t="n">
        <v>0.163</v>
      </c>
      <c r="L3" s="0" t="n">
        <v>3376.861</v>
      </c>
      <c r="M3" s="0" t="n">
        <v>2438.976</v>
      </c>
      <c r="N3" s="0" t="n">
        <v>937.885</v>
      </c>
      <c r="O3" s="0" t="n">
        <v>8410.758</v>
      </c>
      <c r="P3" s="0" t="n">
        <v>27696.412</v>
      </c>
      <c r="Q3" s="0" t="n">
        <v>19247.168</v>
      </c>
      <c r="R3" s="0" t="n">
        <v>18397.969</v>
      </c>
      <c r="S3" s="0" t="n">
        <v>1895.182</v>
      </c>
      <c r="T3" s="0" t="n">
        <v>5434.2</v>
      </c>
      <c r="U3" s="0" t="n">
        <v>0</v>
      </c>
      <c r="AA3" s="0" t="s">
        <v>17</v>
      </c>
      <c r="AB3" s="0" t="s">
        <v>14</v>
      </c>
      <c r="AD3" s="0" t="n">
        <v>892.379</v>
      </c>
    </row>
    <row r="4" customFormat="false" ht="15" hidden="false" customHeight="false" outlineLevel="0" collapsed="false">
      <c r="A4" s="0" t="s">
        <v>67</v>
      </c>
      <c r="B4" s="0" t="n">
        <v>1861.565</v>
      </c>
      <c r="F4" s="0" t="n">
        <v>1025.784</v>
      </c>
      <c r="G4" s="0" t="n">
        <v>55.1</v>
      </c>
      <c r="I4" s="0" t="n">
        <v>1108.518</v>
      </c>
      <c r="J4" s="0" t="n">
        <v>59.5</v>
      </c>
      <c r="K4" s="0" t="n">
        <v>0.181</v>
      </c>
      <c r="L4" s="0" t="n">
        <v>654.156</v>
      </c>
      <c r="M4" s="0" t="n">
        <v>1461.063</v>
      </c>
      <c r="N4" s="0" t="n">
        <v>-806.907</v>
      </c>
      <c r="O4" s="0" t="n">
        <v>8947.342</v>
      </c>
      <c r="P4" s="0" t="n">
        <v>30530.654</v>
      </c>
      <c r="Q4" s="0" t="n">
        <v>21539.717</v>
      </c>
      <c r="R4" s="0" t="n">
        <v>20515.99</v>
      </c>
      <c r="S4" s="0" t="n">
        <v>2180.28</v>
      </c>
      <c r="T4" s="0" t="n">
        <v>6136.066</v>
      </c>
      <c r="U4" s="0" t="n">
        <v>0</v>
      </c>
      <c r="AA4" s="0" t="s">
        <v>17</v>
      </c>
      <c r="AB4" s="0" t="s">
        <v>14</v>
      </c>
      <c r="AD4" s="0" t="n">
        <v>1113.806</v>
      </c>
    </row>
    <row r="5" customFormat="false" ht="15" hidden="false" customHeight="false" outlineLevel="0" collapsed="false">
      <c r="A5" s="0" t="s">
        <v>68</v>
      </c>
      <c r="B5" s="0" t="n">
        <v>2470.02</v>
      </c>
      <c r="F5" s="0" t="n">
        <v>1359.849</v>
      </c>
      <c r="G5" s="0" t="n">
        <v>55.1</v>
      </c>
      <c r="I5" s="0" t="n">
        <v>1351.626</v>
      </c>
      <c r="J5" s="0" t="n">
        <v>54.7</v>
      </c>
      <c r="K5" s="0" t="n">
        <v>0.22</v>
      </c>
      <c r="L5" s="0" t="n">
        <v>-5019.413</v>
      </c>
      <c r="M5" s="0" t="n">
        <v>5362.166</v>
      </c>
      <c r="N5" s="0" t="n">
        <v>-10381.579</v>
      </c>
      <c r="O5" s="0" t="n">
        <v>10024.506</v>
      </c>
      <c r="P5" s="0" t="n">
        <v>40883.235</v>
      </c>
      <c r="Q5" s="0" t="n">
        <v>30778.769</v>
      </c>
      <c r="R5" s="0" t="n">
        <v>29798.461</v>
      </c>
      <c r="S5" s="0" t="n">
        <v>1427.683</v>
      </c>
      <c r="T5" s="0" t="n">
        <v>6136.066</v>
      </c>
      <c r="U5" s="0" t="n">
        <v>10.355</v>
      </c>
      <c r="AA5" s="0" t="s">
        <v>17</v>
      </c>
      <c r="AB5" s="0" t="s">
        <v>14</v>
      </c>
      <c r="AD5" s="0" t="n">
        <v>1387.642</v>
      </c>
    </row>
    <row r="6" customFormat="false" ht="15" hidden="false" customHeight="false" outlineLevel="0" collapsed="false">
      <c r="A6" s="0" t="s">
        <v>69</v>
      </c>
      <c r="B6" s="0" t="n">
        <v>3208.242</v>
      </c>
      <c r="F6" s="0" t="n">
        <v>1431.669</v>
      </c>
      <c r="G6" s="0" t="n">
        <v>44.6</v>
      </c>
      <c r="I6" s="0" t="n">
        <v>1684.909</v>
      </c>
      <c r="J6" s="0" t="n">
        <v>52.5</v>
      </c>
      <c r="K6" s="0" t="n">
        <v>0.275</v>
      </c>
      <c r="L6" s="0" t="n">
        <v>3844.684</v>
      </c>
      <c r="M6" s="0" t="n">
        <v>1990.801</v>
      </c>
      <c r="N6" s="0" t="n">
        <v>1853.883</v>
      </c>
      <c r="O6" s="0" t="n">
        <v>11512.952</v>
      </c>
      <c r="P6" s="0" t="n">
        <v>40520.89</v>
      </c>
      <c r="Q6" s="0" t="n">
        <v>28878.564</v>
      </c>
      <c r="R6" s="0" t="n">
        <v>27788.264</v>
      </c>
      <c r="S6" s="0" t="n">
        <v>1181.458</v>
      </c>
      <c r="T6" s="0" t="n">
        <v>6136.066</v>
      </c>
      <c r="U6" s="0" t="n">
        <v>15.663</v>
      </c>
      <c r="AA6" s="0" t="s">
        <v>17</v>
      </c>
      <c r="AB6" s="0" t="s">
        <v>14</v>
      </c>
      <c r="AD6" s="0" t="n">
        <v>1734.51</v>
      </c>
    </row>
    <row r="7" customFormat="false" ht="15" hidden="false" customHeight="false" outlineLevel="0" collapsed="false">
      <c r="A7" s="0" t="s">
        <v>70</v>
      </c>
      <c r="B7" s="0" t="n">
        <v>3626.148</v>
      </c>
      <c r="F7" s="0" t="n">
        <v>1547.453</v>
      </c>
      <c r="G7" s="0" t="n">
        <v>42.7</v>
      </c>
      <c r="I7" s="0" t="n">
        <v>1901.606</v>
      </c>
      <c r="J7" s="0" t="n">
        <v>52.4</v>
      </c>
      <c r="K7" s="0" t="n">
        <v>0.31</v>
      </c>
      <c r="L7" s="0" t="n">
        <v>-452.17</v>
      </c>
      <c r="M7" s="0" t="n">
        <v>2626.111</v>
      </c>
      <c r="N7" s="0" t="n">
        <v>-3078.281</v>
      </c>
      <c r="O7" s="0" t="n">
        <v>12711.872</v>
      </c>
      <c r="P7" s="0" t="n">
        <v>45143.559</v>
      </c>
      <c r="Q7" s="0" t="n">
        <v>32313.648</v>
      </c>
      <c r="R7" s="0" t="n">
        <v>31333.427</v>
      </c>
      <c r="S7" s="0" t="n">
        <v>938.005</v>
      </c>
      <c r="T7" s="0" t="n">
        <v>6137.836</v>
      </c>
      <c r="U7" s="0" t="n">
        <v>1.741</v>
      </c>
      <c r="AA7" s="0" t="s">
        <v>17</v>
      </c>
      <c r="AB7" s="0" t="s">
        <v>14</v>
      </c>
      <c r="AD7" s="0" t="n">
        <v>1911.667</v>
      </c>
    </row>
    <row r="8" customFormat="false" ht="15" hidden="false" customHeight="false" outlineLevel="0" collapsed="false">
      <c r="A8" s="0" t="s">
        <v>71</v>
      </c>
      <c r="B8" s="0" t="n">
        <v>4034.369</v>
      </c>
      <c r="F8" s="0" t="n">
        <v>1702.311</v>
      </c>
      <c r="G8" s="0" t="n">
        <v>42.2</v>
      </c>
      <c r="I8" s="0" t="n">
        <v>2105.663</v>
      </c>
      <c r="J8" s="0" t="n">
        <v>52.2</v>
      </c>
      <c r="K8" s="0" t="n">
        <v>0.341</v>
      </c>
      <c r="L8" s="0" t="n">
        <v>6768.311</v>
      </c>
      <c r="M8" s="0" t="n">
        <v>1031.988</v>
      </c>
      <c r="N8" s="0" t="n">
        <v>5736.323</v>
      </c>
      <c r="O8" s="0" t="n">
        <v>14181.121</v>
      </c>
      <c r="P8" s="0" t="n">
        <v>43920.995</v>
      </c>
      <c r="Q8" s="0" t="n">
        <v>29622.959</v>
      </c>
      <c r="R8" s="0" t="n">
        <v>27587.155</v>
      </c>
      <c r="S8" s="0" t="n">
        <v>1773.896</v>
      </c>
      <c r="T8" s="0" t="n">
        <v>6166.266</v>
      </c>
      <c r="U8" s="0" t="n">
        <v>3.406</v>
      </c>
      <c r="AA8" s="0" t="s">
        <v>17</v>
      </c>
      <c r="AB8" s="0" t="s">
        <v>14</v>
      </c>
      <c r="AC8" s="0" t="n">
        <v>0.342</v>
      </c>
      <c r="AD8" s="0" t="n">
        <v>2155.143</v>
      </c>
    </row>
    <row r="9" customFormat="false" ht="15" hidden="false" customHeight="false" outlineLevel="0" collapsed="false">
      <c r="A9" s="0" t="s">
        <v>72</v>
      </c>
      <c r="B9" s="0" t="n">
        <v>4044.191</v>
      </c>
      <c r="F9" s="0" t="n">
        <v>1983.215</v>
      </c>
      <c r="G9" s="0" t="n">
        <v>49</v>
      </c>
      <c r="I9" s="0" t="n">
        <v>1845.236</v>
      </c>
      <c r="J9" s="0" t="n">
        <v>45.6</v>
      </c>
      <c r="K9" s="0" t="n">
        <v>0.297</v>
      </c>
      <c r="L9" s="0" t="n">
        <v>4203.308</v>
      </c>
      <c r="M9" s="0" t="n">
        <v>236.088</v>
      </c>
      <c r="N9" s="0" t="n">
        <v>3967.22</v>
      </c>
      <c r="O9" s="0" t="n">
        <v>15011.335</v>
      </c>
      <c r="P9" s="0" t="n">
        <v>43192.791</v>
      </c>
      <c r="Q9" s="0" t="n">
        <v>28058.968</v>
      </c>
      <c r="R9" s="0" t="n">
        <v>26466.53</v>
      </c>
      <c r="S9" s="0" t="n">
        <v>3706.672</v>
      </c>
      <c r="T9" s="0" t="n">
        <v>6205.621</v>
      </c>
      <c r="U9" s="0" t="n">
        <v>-4.417</v>
      </c>
      <c r="AA9" s="0" t="s">
        <v>17</v>
      </c>
      <c r="AB9" s="0" t="s">
        <v>14</v>
      </c>
      <c r="AC9" s="0" t="n">
        <v>0.298</v>
      </c>
      <c r="AD9" s="0" t="n">
        <v>1980.683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2.345</v>
      </c>
    </row>
    <row r="3" customFormat="false" ht="15" hidden="false" customHeight="false" outlineLevel="0" collapsed="false">
      <c r="A3" s="0" t="s">
        <v>76</v>
      </c>
      <c r="B3" s="3" t="n">
        <v>7193.6</v>
      </c>
    </row>
    <row r="4" customFormat="false" ht="15" hidden="false" customHeight="false" outlineLevel="0" collapsed="false">
      <c r="A4" s="0" t="s">
        <v>77</v>
      </c>
      <c r="B4" s="3" t="n">
        <v>0</v>
      </c>
    </row>
    <row r="5" customFormat="false" ht="15" hidden="false" customHeight="false" outlineLevel="0" collapsed="false">
      <c r="A5" s="0" t="s">
        <v>78</v>
      </c>
      <c r="B5" s="3" t="n">
        <v>610</v>
      </c>
    </row>
    <row r="6" customFormat="false" ht="15" hidden="false" customHeight="false" outlineLevel="0" collapsed="false">
      <c r="A6" s="0" t="s">
        <v>79</v>
      </c>
      <c r="B6" s="3" t="n">
        <v>15</v>
      </c>
    </row>
    <row r="7" customFormat="false" ht="15" hidden="false" customHeight="false" outlineLevel="0" collapsed="false">
      <c r="A7" s="0" t="s">
        <v>80</v>
      </c>
      <c r="B7" s="3" t="n">
        <v>4044.191</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-6</v>
      </c>
      <c r="D13" s="3" t="n">
        <v>-3</v>
      </c>
      <c r="E13" s="3" t="n">
        <v>-2</v>
      </c>
      <c r="F13" s="3" t="n">
        <v>0</v>
      </c>
      <c r="G13" s="3" t="n">
        <v>1</v>
      </c>
      <c r="H13" s="3" t="n">
        <v>2</v>
      </c>
      <c r="I13" s="3" t="n">
        <v>2</v>
      </c>
      <c r="J13" s="3" t="n">
        <v>2</v>
      </c>
      <c r="K13" s="3" t="n">
        <v>2</v>
      </c>
      <c r="L13" s="3" t="n">
        <v>2</v>
      </c>
    </row>
    <row r="14" customFormat="false" ht="15" hidden="false" customHeight="false" outlineLevel="0" collapsed="false">
      <c r="A14" s="0" t="s">
        <v>97</v>
      </c>
      <c r="C14" s="3" t="n">
        <v>82</v>
      </c>
      <c r="D14" s="3" t="n">
        <v>68</v>
      </c>
      <c r="E14" s="3" t="n">
        <v>62</v>
      </c>
      <c r="F14" s="3" t="n">
        <v>62</v>
      </c>
      <c r="G14" s="3" t="n">
        <v>63</v>
      </c>
      <c r="H14" s="3" t="n">
        <v>64</v>
      </c>
      <c r="I14" s="3" t="n">
        <v>65</v>
      </c>
      <c r="J14" s="3" t="n">
        <v>65</v>
      </c>
      <c r="K14" s="3" t="n">
        <v>65</v>
      </c>
      <c r="L14" s="3" t="n">
        <v>65</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19.5</v>
      </c>
      <c r="D17" s="3" t="n">
        <v>20.5</v>
      </c>
      <c r="E17" s="3" t="n">
        <v>21</v>
      </c>
      <c r="F17" s="3" t="n">
        <v>21</v>
      </c>
      <c r="G17" s="3" t="n">
        <v>21</v>
      </c>
      <c r="H17" s="3" t="n">
        <v>21</v>
      </c>
      <c r="I17" s="3" t="n">
        <v>21</v>
      </c>
      <c r="J17" s="3" t="n">
        <v>21</v>
      </c>
      <c r="K17" s="3" t="n">
        <v>21</v>
      </c>
      <c r="L17" s="3" t="n">
        <v>21</v>
      </c>
    </row>
    <row r="18" customFormat="false" ht="15" hidden="false" customHeight="false" outlineLevel="0" collapsed="false">
      <c r="A18" s="0" t="s">
        <v>101</v>
      </c>
      <c r="C18" s="3" t="n">
        <v>27.5</v>
      </c>
      <c r="D18" s="3" t="n">
        <v>28.5</v>
      </c>
      <c r="E18" s="3" t="n">
        <v>29</v>
      </c>
      <c r="F18" s="3" t="n">
        <v>29</v>
      </c>
      <c r="G18" s="3" t="n">
        <v>29</v>
      </c>
      <c r="H18" s="3" t="n">
        <v>29</v>
      </c>
      <c r="I18" s="3" t="n">
        <v>29</v>
      </c>
      <c r="J18" s="3" t="n">
        <v>29</v>
      </c>
      <c r="K18" s="3" t="n">
        <v>29</v>
      </c>
      <c r="L18" s="3" t="n">
        <v>29</v>
      </c>
    </row>
    <row r="19" customFormat="false" ht="15" hidden="false" customHeight="false" outlineLevel="0" collapsed="false">
      <c r="A19" s="0" t="s">
        <v>102</v>
      </c>
      <c r="C19" s="3" t="n">
        <v>15</v>
      </c>
      <c r="D19" s="3" t="n">
        <v>16</v>
      </c>
      <c r="E19" s="3" t="n">
        <v>16</v>
      </c>
      <c r="F19" s="3" t="n">
        <v>16</v>
      </c>
      <c r="G19" s="3" t="n">
        <v>16</v>
      </c>
      <c r="H19" s="3" t="n">
        <v>16</v>
      </c>
      <c r="I19" s="3" t="n">
        <v>16</v>
      </c>
      <c r="J19" s="3" t="n">
        <v>16</v>
      </c>
      <c r="K19" s="3" t="n">
        <v>16</v>
      </c>
      <c r="L19" s="3" t="n">
        <v>16</v>
      </c>
    </row>
    <row r="20" customFormat="false" ht="15" hidden="false" customHeight="false" outlineLevel="0" collapsed="false">
      <c r="A20" s="0" t="s">
        <v>103</v>
      </c>
      <c r="B20" s="3" t="n">
        <v>10.5</v>
      </c>
    </row>
    <row r="21" customFormat="false" ht="15" hidden="false" customHeight="false" outlineLevel="0" collapsed="false">
      <c r="A21" s="0" t="s">
        <v>104</v>
      </c>
      <c r="B21" s="3" t="n">
        <v>2</v>
      </c>
    </row>
    <row r="22" customFormat="false" ht="15" hidden="false" customHeight="false" outlineLevel="0" collapsed="false">
      <c r="A22" s="0" t="s">
        <v>105</v>
      </c>
      <c r="B22" s="3" t="n">
        <v>10</v>
      </c>
    </row>
    <row r="23" customFormat="false" ht="15" hidden="false" customHeight="false" outlineLevel="0" collapsed="false">
      <c r="A23" s="0" t="s">
        <v>106</v>
      </c>
      <c r="B23" s="3" t="n">
        <v>0</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-4</v>
      </c>
      <c r="D27" s="3" t="n">
        <v>2</v>
      </c>
      <c r="E27" s="3" t="n">
        <v>3</v>
      </c>
      <c r="F27" s="3" t="n">
        <v>3</v>
      </c>
      <c r="G27" s="3" t="n">
        <v>3</v>
      </c>
      <c r="H27" s="3" t="n">
        <v>3</v>
      </c>
      <c r="I27" s="3" t="n">
        <v>3</v>
      </c>
      <c r="J27" s="3" t="n">
        <v>3</v>
      </c>
      <c r="K27" s="3" t="n">
        <v>3</v>
      </c>
      <c r="L27" s="3" t="n">
        <v>3</v>
      </c>
    </row>
    <row r="28" customFormat="false" ht="15" hidden="false" customHeight="false" outlineLevel="0" collapsed="false">
      <c r="A28" s="0" t="s">
        <v>97</v>
      </c>
      <c r="C28" s="3" t="n">
        <v>85</v>
      </c>
      <c r="D28" s="3" t="n">
        <v>78</v>
      </c>
      <c r="E28" s="3" t="n">
        <v>75</v>
      </c>
      <c r="F28" s="3" t="n">
        <v>74</v>
      </c>
      <c r="G28" s="3" t="n">
        <v>74</v>
      </c>
      <c r="H28" s="3" t="n">
        <v>74</v>
      </c>
      <c r="I28" s="3" t="n">
        <v>74</v>
      </c>
      <c r="J28" s="3" t="n">
        <v>74</v>
      </c>
      <c r="K28" s="3" t="n">
        <v>74</v>
      </c>
      <c r="L28" s="3" t="n">
        <v>74</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19</v>
      </c>
      <c r="D31" s="3" t="n">
        <v>19.5</v>
      </c>
      <c r="E31" s="3" t="n">
        <v>20</v>
      </c>
      <c r="F31" s="3" t="n">
        <v>20</v>
      </c>
      <c r="G31" s="3" t="n">
        <v>20</v>
      </c>
      <c r="H31" s="3" t="n">
        <v>20</v>
      </c>
      <c r="I31" s="3" t="n">
        <v>20</v>
      </c>
      <c r="J31" s="3" t="n">
        <v>20</v>
      </c>
      <c r="K31" s="3" t="n">
        <v>20</v>
      </c>
      <c r="L31" s="3" t="n">
        <v>20</v>
      </c>
    </row>
    <row r="32" customFormat="false" ht="15" hidden="false" customHeight="false" outlineLevel="0" collapsed="false">
      <c r="A32" s="0" t="s">
        <v>101</v>
      </c>
      <c r="C32" s="3" t="n">
        <v>31</v>
      </c>
      <c r="D32" s="3" t="n">
        <v>31.5</v>
      </c>
      <c r="E32" s="3" t="n">
        <v>32</v>
      </c>
      <c r="F32" s="3" t="n">
        <v>32</v>
      </c>
      <c r="G32" s="3" t="n">
        <v>32</v>
      </c>
      <c r="H32" s="3" t="n">
        <v>32</v>
      </c>
      <c r="I32" s="3" t="n">
        <v>32</v>
      </c>
      <c r="J32" s="3" t="n">
        <v>32</v>
      </c>
      <c r="K32" s="3" t="n">
        <v>32</v>
      </c>
      <c r="L32" s="3" t="n">
        <v>32</v>
      </c>
    </row>
    <row r="33" customFormat="false" ht="15" hidden="false" customHeight="false" outlineLevel="0" collapsed="false">
      <c r="A33" s="0" t="s">
        <v>102</v>
      </c>
      <c r="C33" s="3" t="n">
        <v>14</v>
      </c>
      <c r="D33" s="3" t="n">
        <v>15</v>
      </c>
      <c r="E33" s="3" t="n">
        <v>15</v>
      </c>
      <c r="F33" s="3" t="n">
        <v>15</v>
      </c>
      <c r="G33" s="3" t="n">
        <v>15</v>
      </c>
      <c r="H33" s="3" t="n">
        <v>15</v>
      </c>
      <c r="I33" s="3" t="n">
        <v>15</v>
      </c>
      <c r="J33" s="3" t="n">
        <v>15</v>
      </c>
      <c r="K33" s="3" t="n">
        <v>15</v>
      </c>
      <c r="L33" s="3" t="n">
        <v>15</v>
      </c>
    </row>
    <row r="34" customFormat="false" ht="15" hidden="false" customHeight="false" outlineLevel="0" collapsed="false">
      <c r="A34" s="0" t="s">
        <v>103</v>
      </c>
      <c r="B34" s="3" t="n">
        <v>10.5</v>
      </c>
    </row>
    <row r="35" customFormat="false" ht="15" hidden="false" customHeight="false" outlineLevel="0" collapsed="false">
      <c r="A35" s="0" t="s">
        <v>104</v>
      </c>
      <c r="B35" s="3" t="n">
        <v>2.5</v>
      </c>
    </row>
    <row r="36" customFormat="false" ht="15" hidden="false" customHeight="false" outlineLevel="0" collapsed="false">
      <c r="A36" s="0" t="s">
        <v>105</v>
      </c>
      <c r="B36" s="3" t="n">
        <v>13</v>
      </c>
    </row>
    <row r="37" customFormat="false" ht="15" hidden="false" customHeight="false" outlineLevel="0" collapsed="false">
      <c r="A37" s="0" t="s">
        <v>106</v>
      </c>
      <c r="B37" s="3" t="n">
        <v>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v>
      </c>
      <c r="D41" s="3" t="n">
        <v>4</v>
      </c>
      <c r="E41" s="3" t="n">
        <v>5</v>
      </c>
      <c r="F41" s="3" t="n">
        <v>5</v>
      </c>
      <c r="G41" s="3" t="n">
        <v>4</v>
      </c>
      <c r="H41" s="3" t="n">
        <v>4</v>
      </c>
      <c r="I41" s="3" t="n">
        <v>4</v>
      </c>
      <c r="J41" s="3" t="n">
        <v>3.5</v>
      </c>
      <c r="K41" s="3" t="n">
        <v>3.5</v>
      </c>
      <c r="L41" s="3" t="n">
        <v>3</v>
      </c>
    </row>
    <row r="42" customFormat="false" ht="15" hidden="false" customHeight="false" outlineLevel="0" collapsed="false">
      <c r="A42" s="0" t="s">
        <v>97</v>
      </c>
      <c r="C42" s="3" t="n">
        <v>89</v>
      </c>
      <c r="D42" s="3" t="n">
        <v>82</v>
      </c>
      <c r="E42" s="3" t="n">
        <v>79</v>
      </c>
      <c r="F42" s="3" t="n">
        <v>78</v>
      </c>
      <c r="G42" s="3" t="n">
        <v>78</v>
      </c>
      <c r="H42" s="3" t="n">
        <v>78</v>
      </c>
      <c r="I42" s="3" t="n">
        <v>78</v>
      </c>
      <c r="J42" s="3" t="n">
        <v>78</v>
      </c>
      <c r="K42" s="3" t="n">
        <v>78</v>
      </c>
      <c r="L42" s="3" t="n">
        <v>78</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19</v>
      </c>
      <c r="D45" s="3" t="n">
        <v>19.5</v>
      </c>
      <c r="E45" s="3" t="n">
        <v>19.5</v>
      </c>
      <c r="F45" s="3" t="n">
        <v>19.5</v>
      </c>
      <c r="G45" s="3" t="n">
        <v>19.5</v>
      </c>
      <c r="H45" s="3" t="n">
        <v>19.5</v>
      </c>
      <c r="I45" s="3" t="n">
        <v>19.5</v>
      </c>
      <c r="J45" s="3" t="n">
        <v>19.5</v>
      </c>
      <c r="K45" s="3" t="n">
        <v>19.5</v>
      </c>
      <c r="L45" s="3" t="n">
        <v>19.5</v>
      </c>
    </row>
    <row r="46" customFormat="false" ht="15" hidden="false" customHeight="false" outlineLevel="0" collapsed="false">
      <c r="A46" s="0" t="s">
        <v>101</v>
      </c>
      <c r="C46" s="3" t="n">
        <v>34</v>
      </c>
      <c r="D46" s="3" t="n">
        <v>34.5</v>
      </c>
      <c r="E46" s="3" t="n">
        <v>34.5</v>
      </c>
      <c r="F46" s="3" t="n">
        <v>34.5</v>
      </c>
      <c r="G46" s="3" t="n">
        <v>34.5</v>
      </c>
      <c r="H46" s="3" t="n">
        <v>34.5</v>
      </c>
      <c r="I46" s="3" t="n">
        <v>34.5</v>
      </c>
      <c r="J46" s="3" t="n">
        <v>34.5</v>
      </c>
      <c r="K46" s="3" t="n">
        <v>34.5</v>
      </c>
      <c r="L46" s="3" t="n">
        <v>34.5</v>
      </c>
    </row>
    <row r="47" customFormat="false" ht="15" hidden="false" customHeight="false" outlineLevel="0" collapsed="false">
      <c r="A47" s="0" t="s">
        <v>102</v>
      </c>
      <c r="C47" s="3" t="n">
        <v>13</v>
      </c>
      <c r="D47" s="3" t="n">
        <v>14</v>
      </c>
      <c r="E47" s="3" t="n">
        <v>14</v>
      </c>
      <c r="F47" s="3" t="n">
        <v>14</v>
      </c>
      <c r="G47" s="3" t="n">
        <v>14</v>
      </c>
      <c r="H47" s="3" t="n">
        <v>14</v>
      </c>
      <c r="I47" s="3" t="n">
        <v>14</v>
      </c>
      <c r="J47" s="3" t="n">
        <v>14</v>
      </c>
      <c r="K47" s="3" t="n">
        <v>14</v>
      </c>
      <c r="L47" s="3" t="n">
        <v>14</v>
      </c>
    </row>
    <row r="48" customFormat="false" ht="15" hidden="false" customHeight="false" outlineLevel="0" collapsed="false">
      <c r="A48" s="0" t="s">
        <v>103</v>
      </c>
      <c r="B48" s="3" t="n">
        <v>10.5</v>
      </c>
    </row>
    <row r="49" customFormat="false" ht="15" hidden="false" customHeight="false" outlineLevel="0" collapsed="false">
      <c r="A49" s="0" t="s">
        <v>104</v>
      </c>
      <c r="B49" s="3" t="n">
        <v>3</v>
      </c>
    </row>
    <row r="50" customFormat="false" ht="15" hidden="false" customHeight="false" outlineLevel="0" collapsed="false">
      <c r="A50" s="0" t="s">
        <v>105</v>
      </c>
      <c r="B50" s="3" t="n">
        <v>14</v>
      </c>
    </row>
    <row r="51" customFormat="false" ht="15" hidden="false" customHeight="false" outlineLevel="0" collapsed="false">
      <c r="A51" s="0" t="s">
        <v>106</v>
      </c>
      <c r="B51" s="3" t="n">
        <v>0</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-6</v>
      </c>
      <c r="D5" s="4" t="n">
        <f aca="false">Assumptions!D13</f>
        <v>-3</v>
      </c>
      <c r="E5" s="4" t="n">
        <f aca="false">Assumptions!E13</f>
        <v>-2</v>
      </c>
      <c r="F5" s="4" t="n">
        <f aca="false">Assumptions!F13</f>
        <v>0</v>
      </c>
      <c r="G5" s="4" t="n">
        <f aca="false">Assumptions!G13</f>
        <v>1</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4044.191</v>
      </c>
      <c r="C6" s="0" t="n">
        <f aca="false">B6*(1+C5/100)</f>
        <v>3801.53954</v>
      </c>
      <c r="D6" s="0" t="n">
        <f aca="false">C6*(1+D5/100)</f>
        <v>3687.4933538</v>
      </c>
      <c r="E6" s="0" t="n">
        <f aca="false">D6*(1+E5/100)</f>
        <v>3613.743486724</v>
      </c>
      <c r="F6" s="0" t="n">
        <f aca="false">E6*(1+F5/100)</f>
        <v>3613.743486724</v>
      </c>
      <c r="G6" s="0" t="n">
        <f aca="false">F6*(1+G5/100)</f>
        <v>3649.88092159124</v>
      </c>
      <c r="H6" s="0" t="n">
        <f aca="false">G6*(1+H5/100)</f>
        <v>3722.87854002306</v>
      </c>
      <c r="I6" s="0" t="n">
        <f aca="false">H6*(1+I5/100)</f>
        <v>3797.33611082353</v>
      </c>
      <c r="J6" s="0" t="n">
        <f aca="false">I6*(1+J5/100)</f>
        <v>3873.28283304</v>
      </c>
      <c r="K6" s="0" t="n">
        <f aca="false">J6*(1+K5/100)</f>
        <v>3950.7484897008</v>
      </c>
      <c r="L6" s="0" t="n">
        <f aca="false">K6*(1+L5/100)</f>
        <v>4029.76345949481</v>
      </c>
    </row>
    <row r="7" customFormat="false" ht="15" hidden="false" customHeight="false" outlineLevel="0" collapsed="false">
      <c r="A7" s="0" t="s">
        <v>97</v>
      </c>
      <c r="C7" s="4" t="n">
        <f aca="false">Assumptions!C14</f>
        <v>82</v>
      </c>
      <c r="D7" s="4" t="n">
        <f aca="false">Assumptions!D14</f>
        <v>68</v>
      </c>
      <c r="E7" s="4" t="n">
        <f aca="false">Assumptions!E14</f>
        <v>62</v>
      </c>
      <c r="F7" s="4" t="n">
        <f aca="false">Assumptions!F14</f>
        <v>62</v>
      </c>
      <c r="G7" s="4" t="n">
        <f aca="false">Assumptions!G14</f>
        <v>63</v>
      </c>
      <c r="H7" s="4" t="n">
        <f aca="false">Assumptions!H14</f>
        <v>64</v>
      </c>
      <c r="I7" s="4" t="n">
        <f aca="false">Assumptions!I14</f>
        <v>65</v>
      </c>
      <c r="J7" s="4" t="n">
        <f aca="false">Assumptions!J14</f>
        <v>65</v>
      </c>
      <c r="K7" s="4" t="n">
        <f aca="false">Assumptions!K14</f>
        <v>65</v>
      </c>
      <c r="L7" s="4" t="n">
        <f aca="false">Assumptions!L14</f>
        <v>65</v>
      </c>
    </row>
    <row r="8" customFormat="false" ht="15" hidden="false" customHeight="false" outlineLevel="0" collapsed="false">
      <c r="A8" s="0" t="s">
        <v>43</v>
      </c>
      <c r="C8" s="0" t="n">
        <f aca="false">C6*C7/100</f>
        <v>3117.2624228</v>
      </c>
      <c r="D8" s="0" t="n">
        <f aca="false">D6*D7/100</f>
        <v>2507.495480584</v>
      </c>
      <c r="E8" s="0" t="n">
        <f aca="false">E6*E7/100</f>
        <v>2240.52096176888</v>
      </c>
      <c r="F8" s="0" t="n">
        <f aca="false">F6*F7/100</f>
        <v>2240.52096176888</v>
      </c>
      <c r="G8" s="0" t="n">
        <f aca="false">G6*G7/100</f>
        <v>2299.42498060248</v>
      </c>
      <c r="H8" s="0" t="n">
        <f aca="false">H6*H7/100</f>
        <v>2382.64226561476</v>
      </c>
      <c r="I8" s="0" t="n">
        <f aca="false">I6*I7/100</f>
        <v>2468.26847203529</v>
      </c>
      <c r="J8" s="0" t="n">
        <f aca="false">J6*J7/100</f>
        <v>2517.633841476</v>
      </c>
      <c r="K8" s="0" t="n">
        <f aca="false">K6*K7/100</f>
        <v>2567.98651830552</v>
      </c>
      <c r="L8" s="0" t="n">
        <f aca="false">L6*L7/100</f>
        <v>2619.34624867163</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3117.2624228</v>
      </c>
      <c r="D11" s="0" t="n">
        <f aca="false">D8+D10+D24</f>
        <v>2507.495480584</v>
      </c>
      <c r="E11" s="0" t="n">
        <f aca="false">E8+E10+E24</f>
        <v>2240.52096176888</v>
      </c>
      <c r="F11" s="0" t="n">
        <f aca="false">F8+F10+F24</f>
        <v>2240.52096176888</v>
      </c>
      <c r="G11" s="0" t="n">
        <f aca="false">G8+G10+G24</f>
        <v>2299.42498060248</v>
      </c>
      <c r="H11" s="0" t="n">
        <f aca="false">H8+H10+H24</f>
        <v>2382.64226561476</v>
      </c>
      <c r="I11" s="0" t="n">
        <f aca="false">I8+I10+I24</f>
        <v>2468.26847203529</v>
      </c>
      <c r="J11" s="0" t="n">
        <f aca="false">J8+J10+J24</f>
        <v>2517.633841476</v>
      </c>
      <c r="K11" s="0" t="n">
        <f aca="false">K8+K10+K24</f>
        <v>2567.98651830552</v>
      </c>
      <c r="L11" s="0" t="n">
        <f aca="false">L8+L10+L24</f>
        <v>2619.34624867163</v>
      </c>
    </row>
    <row r="12" customFormat="false" ht="15" hidden="false" customHeight="false" outlineLevel="0" collapsed="false">
      <c r="A12" s="0" t="s">
        <v>115</v>
      </c>
      <c r="C12" s="4" t="n">
        <f aca="false">-C6*Assumptions!C17/100</f>
        <v>-741.3002103</v>
      </c>
      <c r="D12" s="4" t="n">
        <f aca="false">-D6*Assumptions!D17/100</f>
        <v>-755.936137529</v>
      </c>
      <c r="E12" s="4" t="n">
        <f aca="false">-E6*Assumptions!E17/100</f>
        <v>-758.88613221204</v>
      </c>
      <c r="F12" s="4" t="n">
        <f aca="false">-F6*Assumptions!F17/100</f>
        <v>-758.88613221204</v>
      </c>
      <c r="G12" s="4" t="n">
        <f aca="false">-G6*Assumptions!G17/100</f>
        <v>-766.47499353416</v>
      </c>
      <c r="H12" s="4" t="n">
        <f aca="false">-H6*Assumptions!H17/100</f>
        <v>-781.804493404844</v>
      </c>
      <c r="I12" s="4" t="n">
        <f aca="false">-I6*Assumptions!I17/100</f>
        <v>-797.44058327294</v>
      </c>
      <c r="J12" s="4" t="n">
        <f aca="false">-J6*Assumptions!J17/100</f>
        <v>-813.389394938399</v>
      </c>
      <c r="K12" s="4" t="n">
        <f aca="false">-K6*Assumptions!K17/100</f>
        <v>-829.657182837167</v>
      </c>
      <c r="L12" s="4" t="n">
        <f aca="false">-L6*Assumptions!L17/100</f>
        <v>-846.250326493911</v>
      </c>
    </row>
    <row r="13" customFormat="false" ht="15" hidden="false" customHeight="false" outlineLevel="0" collapsed="false">
      <c r="A13" s="0" t="s">
        <v>116</v>
      </c>
      <c r="C13" s="0" t="n">
        <f aca="false">C11+C12</f>
        <v>2375.9622125</v>
      </c>
      <c r="D13" s="0" t="n">
        <f aca="false">D11+D12</f>
        <v>1751.559343055</v>
      </c>
      <c r="E13" s="0" t="n">
        <f aca="false">E11+E12</f>
        <v>1481.63482955684</v>
      </c>
      <c r="F13" s="0" t="n">
        <f aca="false">F11+F12</f>
        <v>1481.63482955684</v>
      </c>
      <c r="G13" s="0" t="n">
        <f aca="false">G11+G12</f>
        <v>1532.94998706832</v>
      </c>
      <c r="H13" s="0" t="n">
        <f aca="false">H11+H12</f>
        <v>1600.83777220992</v>
      </c>
      <c r="I13" s="0" t="n">
        <f aca="false">I11+I12</f>
        <v>1670.82788876235</v>
      </c>
      <c r="J13" s="0" t="n">
        <f aca="false">J11+J12</f>
        <v>1704.2444465376</v>
      </c>
      <c r="K13" s="0" t="n">
        <f aca="false">K11+K12</f>
        <v>1738.32933546835</v>
      </c>
      <c r="L13" s="0" t="n">
        <f aca="false">L11+L12</f>
        <v>1773.09592217772</v>
      </c>
    </row>
    <row r="14" customFormat="false" ht="15" hidden="false" customHeight="false" outlineLevel="0" collapsed="false">
      <c r="A14" s="0" t="s">
        <v>102</v>
      </c>
      <c r="C14" s="4" t="n">
        <f aca="false">Assumptions!C19</f>
        <v>15</v>
      </c>
      <c r="D14" s="4" t="n">
        <f aca="false">Assumptions!D19</f>
        <v>16</v>
      </c>
      <c r="E14" s="4" t="n">
        <f aca="false">Assumptions!E19</f>
        <v>16</v>
      </c>
      <c r="F14" s="4" t="n">
        <f aca="false">Assumptions!F19</f>
        <v>16</v>
      </c>
      <c r="G14" s="4" t="n">
        <f aca="false">Assumptions!G19</f>
        <v>16</v>
      </c>
      <c r="H14" s="4" t="n">
        <f aca="false">Assumptions!H19</f>
        <v>16</v>
      </c>
      <c r="I14" s="4" t="n">
        <f aca="false">Assumptions!I19</f>
        <v>16</v>
      </c>
      <c r="J14" s="4" t="n">
        <f aca="false">Assumptions!J19</f>
        <v>16</v>
      </c>
      <c r="K14" s="4" t="n">
        <f aca="false">Assumptions!K19</f>
        <v>16</v>
      </c>
      <c r="L14" s="4" t="n">
        <f aca="false">Assumptions!L19</f>
        <v>16</v>
      </c>
    </row>
    <row r="15" customFormat="false" ht="15" hidden="false" customHeight="false" outlineLevel="0" collapsed="false">
      <c r="A15" s="0" t="s">
        <v>117</v>
      </c>
      <c r="C15" s="0" t="n">
        <f aca="false">C13-MAX(0,C13)*C14/100</f>
        <v>2019.567880625</v>
      </c>
      <c r="D15" s="0" t="n">
        <f aca="false">D13-MAX(0,D13)*D14/100</f>
        <v>1471.3098481662</v>
      </c>
      <c r="E15" s="0" t="n">
        <f aca="false">E13-MAX(0,E13)*E14/100</f>
        <v>1244.57325682775</v>
      </c>
      <c r="F15" s="0" t="n">
        <f aca="false">F13-MAX(0,F13)*F14/100</f>
        <v>1244.57325682775</v>
      </c>
      <c r="G15" s="0" t="n">
        <f aca="false">G13-MAX(0,G13)*G14/100</f>
        <v>1287.67798913739</v>
      </c>
      <c r="H15" s="0" t="n">
        <f aca="false">H13-MAX(0,H13)*H14/100</f>
        <v>1344.70372865633</v>
      </c>
      <c r="I15" s="0" t="n">
        <f aca="false">I13-MAX(0,I13)*I14/100</f>
        <v>1403.49542656038</v>
      </c>
      <c r="J15" s="0" t="n">
        <f aca="false">J13-MAX(0,J13)*J14/100</f>
        <v>1431.56533509158</v>
      </c>
      <c r="K15" s="0" t="n">
        <f aca="false">K13-MAX(0,K13)*K14/100</f>
        <v>1460.19664179341</v>
      </c>
      <c r="L15" s="0" t="n">
        <f aca="false">L13-MAX(0,L13)*L14/100</f>
        <v>1489.40057462928</v>
      </c>
    </row>
    <row r="16" customFormat="false" ht="15" hidden="false" customHeight="false" outlineLevel="0" collapsed="false">
      <c r="A16" s="0" t="s">
        <v>118</v>
      </c>
      <c r="C16" s="0" t="n">
        <f aca="false">-C12</f>
        <v>741.3002103</v>
      </c>
      <c r="D16" s="0" t="n">
        <f aca="false">-D12</f>
        <v>755.936137529</v>
      </c>
      <c r="E16" s="0" t="n">
        <f aca="false">-E12</f>
        <v>758.88613221204</v>
      </c>
      <c r="F16" s="0" t="n">
        <f aca="false">-F12</f>
        <v>758.88613221204</v>
      </c>
      <c r="G16" s="0" t="n">
        <f aca="false">-G12</f>
        <v>766.47499353416</v>
      </c>
      <c r="H16" s="0" t="n">
        <f aca="false">-H12</f>
        <v>781.804493404844</v>
      </c>
      <c r="I16" s="0" t="n">
        <f aca="false">-I12</f>
        <v>797.44058327294</v>
      </c>
      <c r="J16" s="0" t="n">
        <f aca="false">-J12</f>
        <v>813.389394938399</v>
      </c>
      <c r="K16" s="0" t="n">
        <f aca="false">-K12</f>
        <v>829.657182837167</v>
      </c>
      <c r="L16" s="0" t="n">
        <f aca="false">-L12</f>
        <v>846.250326493911</v>
      </c>
    </row>
    <row r="17" customFormat="false" ht="15" hidden="false" customHeight="false" outlineLevel="0" collapsed="false">
      <c r="A17" s="0" t="s">
        <v>119</v>
      </c>
      <c r="C17" s="4" t="n">
        <f aca="false">-C6*Assumptions!C18/100</f>
        <v>-1045.4233735</v>
      </c>
      <c r="D17" s="4" t="n">
        <f aca="false">-D6*Assumptions!D18/100</f>
        <v>-1050.935605833</v>
      </c>
      <c r="E17" s="4" t="n">
        <f aca="false">-E6*Assumptions!E18/100</f>
        <v>-1047.98561114996</v>
      </c>
      <c r="F17" s="4" t="n">
        <f aca="false">-F6*Assumptions!F18/100</f>
        <v>-1047.98561114996</v>
      </c>
      <c r="G17" s="4" t="n">
        <f aca="false">-G6*Assumptions!G18/100</f>
        <v>-1058.46546726146</v>
      </c>
      <c r="H17" s="4" t="n">
        <f aca="false">-H6*Assumptions!H18/100</f>
        <v>-1079.63477660669</v>
      </c>
      <c r="I17" s="4" t="n">
        <f aca="false">-I6*Assumptions!I18/100</f>
        <v>-1101.22747213882</v>
      </c>
      <c r="J17" s="4" t="n">
        <f aca="false">-J6*Assumptions!J18/100</f>
        <v>-1123.2520215816</v>
      </c>
      <c r="K17" s="4" t="n">
        <f aca="false">-K6*Assumptions!K18/100</f>
        <v>-1145.71706201323</v>
      </c>
      <c r="L17" s="4" t="n">
        <f aca="false">-L6*Assumptions!L18/100</f>
        <v>-1168.6314032535</v>
      </c>
    </row>
    <row r="18" customFormat="false" ht="15" hidden="false" customHeight="false" outlineLevel="0" collapsed="false">
      <c r="A18" s="0" t="s">
        <v>120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121</v>
      </c>
      <c r="C19" s="0" t="n">
        <f aca="false">C15+C16+C17+C18</f>
        <v>1715.444717425</v>
      </c>
      <c r="D19" s="0" t="n">
        <f aca="false">D15+D16+D17+D18</f>
        <v>1176.3103798622</v>
      </c>
      <c r="E19" s="0" t="n">
        <f aca="false">E15+E16+E17+E18</f>
        <v>955.473777889825</v>
      </c>
      <c r="F19" s="0" t="n">
        <f aca="false">F15+F16+F17+F18</f>
        <v>955.473777889825</v>
      </c>
      <c r="G19" s="0" t="n">
        <f aca="false">G15+G16+G17+G18</f>
        <v>995.68751541009</v>
      </c>
      <c r="H19" s="0" t="n">
        <f aca="false">H15+H16+H17+H18</f>
        <v>1046.87344545449</v>
      </c>
      <c r="I19" s="0" t="n">
        <f aca="false">I15+I16+I17+I18</f>
        <v>1099.70853769449</v>
      </c>
      <c r="J19" s="0" t="n">
        <f aca="false">J15+J16+J17+J18</f>
        <v>1121.70270844838</v>
      </c>
      <c r="K19" s="0" t="n">
        <f aca="false">K15+K16+K17+K18</f>
        <v>1144.13676261735</v>
      </c>
      <c r="L19" s="0" t="n">
        <f aca="false">L15+L16+L17+L18</f>
        <v>1167.0194978697</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1552.43865830317</v>
      </c>
      <c r="D21" s="0" t="n">
        <f aca="false">D19*D20</f>
        <v>963.379439292562</v>
      </c>
      <c r="E21" s="0" t="n">
        <f aca="false">E19*E20</f>
        <v>708.160891002636</v>
      </c>
      <c r="F21" s="0" t="n">
        <f aca="false">F19*F20</f>
        <v>640.86958461777</v>
      </c>
      <c r="G21" s="0" t="n">
        <f aca="false">G19*G20</f>
        <v>604.382208879201</v>
      </c>
      <c r="H21" s="0" t="n">
        <f aca="false">H19*H20</f>
        <v>575.069739917092</v>
      </c>
      <c r="I21" s="0" t="n">
        <f aca="false">I19*I20</f>
        <v>546.690655476496</v>
      </c>
      <c r="J21" s="0" t="n">
        <f aca="false">J19*J20</f>
        <v>504.63752813215</v>
      </c>
      <c r="K21" s="0" t="n">
        <f aca="false">K19*K20</f>
        <v>465.819256737369</v>
      </c>
      <c r="L21" s="0" t="n">
        <f aca="false">L19*L20</f>
        <v>429.98700621911</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10.5</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10</v>
      </c>
    </row>
    <row r="30" customFormat="false" ht="15" hidden="false" customHeight="false" outlineLevel="0" collapsed="false">
      <c r="A30" s="0" t="s">
        <v>126</v>
      </c>
      <c r="B30" s="0" t="n">
        <f aca="false">SUM(C21:L21)</f>
        <v>6991.43496857755</v>
      </c>
    </row>
    <row r="31" customFormat="false" ht="15" hidden="false" customHeight="false" outlineLevel="0" collapsed="false">
      <c r="A31" s="0" t="s">
        <v>127</v>
      </c>
      <c r="B31" s="0" t="n">
        <f aca="false">L19</f>
        <v>1167.0194978697</v>
      </c>
    </row>
    <row r="32" customFormat="false" ht="15" hidden="false" customHeight="false" outlineLevel="0" collapsed="false">
      <c r="A32" s="0" t="s">
        <v>128</v>
      </c>
      <c r="B32" s="0" t="n">
        <f aca="false">IF(B27&gt;B28,B31*(1+B28/100)/((B27-B28)/100),B31*B29)</f>
        <v>14004.2339744364</v>
      </c>
    </row>
    <row r="33" customFormat="false" ht="15" hidden="false" customHeight="false" outlineLevel="0" collapsed="false">
      <c r="A33" s="0" t="s">
        <v>129</v>
      </c>
      <c r="B33" s="0" t="n">
        <f aca="false">B31*B29</f>
        <v>11670.194978697</v>
      </c>
    </row>
    <row r="34" customFormat="false" ht="15" hidden="false" customHeight="false" outlineLevel="0" collapsed="false">
      <c r="A34" s="0" t="s">
        <v>130</v>
      </c>
      <c r="B34" s="0" t="n">
        <f aca="false">MAX(0,MIN(B32,B33))</f>
        <v>11670.194978697</v>
      </c>
    </row>
    <row r="35" customFormat="false" ht="15" hidden="false" customHeight="false" outlineLevel="0" collapsed="false">
      <c r="A35" s="0" t="s">
        <v>131</v>
      </c>
      <c r="B35" s="0" t="n">
        <f aca="false">B34/(1+B27/100)^L4</f>
        <v>4299.8700621911</v>
      </c>
    </row>
    <row r="36" customFormat="false" ht="15" hidden="false" customHeight="false" outlineLevel="0" collapsed="false">
      <c r="A36" s="0" t="s">
        <v>132</v>
      </c>
      <c r="B36" s="0" t="n">
        <f aca="false">B30+B35</f>
        <v>11291.3050307687</v>
      </c>
    </row>
    <row r="37" customFormat="false" ht="15" hidden="false" customHeight="false" outlineLevel="0" collapsed="false">
      <c r="A37" s="0" t="s">
        <v>133</v>
      </c>
      <c r="B37" s="0" t="n">
        <f aca="false">B36+Assumptions!$B$5-Assumptions!$B$4</f>
        <v>11901.3050307687</v>
      </c>
    </row>
    <row r="38" customFormat="false" ht="15" hidden="false" customHeight="false" outlineLevel="0" collapsed="false">
      <c r="A38" s="0" t="s">
        <v>134</v>
      </c>
      <c r="B38" s="0" t="n">
        <f aca="false">B37/Assumptions!$B$3*Assumptions!$B$10</f>
        <v>1.65442963617224</v>
      </c>
    </row>
    <row r="39" customFormat="false" ht="15" hidden="false" customHeight="false" outlineLevel="0" collapsed="false">
      <c r="A39" s="0" t="s">
        <v>135</v>
      </c>
      <c r="B39" s="4" t="n">
        <f aca="false">B38/Assumptions!$B$2-1</f>
        <v>-0.294486295875376</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1.65442963617224</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9156.61452174686</v>
      </c>
    </row>
    <row r="47" customFormat="false" ht="15" hidden="false" customHeight="false" outlineLevel="0" collapsed="false">
      <c r="A47" s="0" t="s">
        <v>140</v>
      </c>
      <c r="B47" s="0" t="n">
        <f aca="false">(SUMPRODUCT(C19:L19/(1+B45/100)^C4:L4)+B46/(1+B45/100)^L4+Assumptions!$B$5-Assumptions!$B$4)/Assumptions!$B$3*Assumptions!$B$10</f>
        <v>1.21920842112303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-4</v>
      </c>
      <c r="D5" s="4" t="n">
        <f aca="false">Assumptions!D27</f>
        <v>2</v>
      </c>
      <c r="E5" s="4" t="n">
        <f aca="false">Assumptions!E27</f>
        <v>3</v>
      </c>
      <c r="F5" s="4" t="n">
        <f aca="false">Assumptions!F27</f>
        <v>3</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37</v>
      </c>
      <c r="B6" s="3" t="n">
        <v>4044.191</v>
      </c>
      <c r="C6" s="0" t="n">
        <f aca="false">B6*(1+C5/100)</f>
        <v>3882.42336</v>
      </c>
      <c r="D6" s="0" t="n">
        <f aca="false">C6*(1+D5/100)</f>
        <v>3960.0718272</v>
      </c>
      <c r="E6" s="0" t="n">
        <f aca="false">D6*(1+E5/100)</f>
        <v>4078.873982016</v>
      </c>
      <c r="F6" s="0" t="n">
        <f aca="false">E6*(1+F5/100)</f>
        <v>4201.24020147648</v>
      </c>
      <c r="G6" s="0" t="n">
        <f aca="false">F6*(1+G5/100)</f>
        <v>4327.27740752077</v>
      </c>
      <c r="H6" s="0" t="n">
        <f aca="false">G6*(1+H5/100)</f>
        <v>4457.0957297464</v>
      </c>
      <c r="I6" s="0" t="n">
        <f aca="false">H6*(1+I5/100)</f>
        <v>4590.80860163879</v>
      </c>
      <c r="J6" s="0" t="n">
        <f aca="false">I6*(1+J5/100)</f>
        <v>4728.53285968795</v>
      </c>
      <c r="K6" s="0" t="n">
        <f aca="false">J6*(1+K5/100)</f>
        <v>4870.38884547859</v>
      </c>
      <c r="L6" s="0" t="n">
        <f aca="false">K6*(1+L5/100)</f>
        <v>5016.50051084295</v>
      </c>
    </row>
    <row r="7" customFormat="false" ht="15" hidden="false" customHeight="false" outlineLevel="0" collapsed="false">
      <c r="A7" s="0" t="s">
        <v>97</v>
      </c>
      <c r="C7" s="4" t="n">
        <f aca="false">Assumptions!C28</f>
        <v>85</v>
      </c>
      <c r="D7" s="4" t="n">
        <f aca="false">Assumptions!D28</f>
        <v>78</v>
      </c>
      <c r="E7" s="4" t="n">
        <f aca="false">Assumptions!E28</f>
        <v>75</v>
      </c>
      <c r="F7" s="4" t="n">
        <f aca="false">Assumptions!F28</f>
        <v>74</v>
      </c>
      <c r="G7" s="4" t="n">
        <f aca="false">Assumptions!G28</f>
        <v>74</v>
      </c>
      <c r="H7" s="4" t="n">
        <f aca="false">Assumptions!H28</f>
        <v>74</v>
      </c>
      <c r="I7" s="4" t="n">
        <f aca="false">Assumptions!I28</f>
        <v>74</v>
      </c>
      <c r="J7" s="4" t="n">
        <f aca="false">Assumptions!J28</f>
        <v>74</v>
      </c>
      <c r="K7" s="4" t="n">
        <f aca="false">Assumptions!K28</f>
        <v>74</v>
      </c>
      <c r="L7" s="4" t="n">
        <f aca="false">Assumptions!L28</f>
        <v>74</v>
      </c>
    </row>
    <row r="8" customFormat="false" ht="15" hidden="false" customHeight="false" outlineLevel="0" collapsed="false">
      <c r="A8" s="0" t="s">
        <v>43</v>
      </c>
      <c r="C8" s="0" t="n">
        <f aca="false">C6*C7/100</f>
        <v>3300.059856</v>
      </c>
      <c r="D8" s="0" t="n">
        <f aca="false">D6*D7/100</f>
        <v>3088.856025216</v>
      </c>
      <c r="E8" s="0" t="n">
        <f aca="false">E6*E7/100</f>
        <v>3059.155486512</v>
      </c>
      <c r="F8" s="0" t="n">
        <f aca="false">F6*F7/100</f>
        <v>3108.9177490926</v>
      </c>
      <c r="G8" s="0" t="n">
        <f aca="false">G6*G7/100</f>
        <v>3202.18528156537</v>
      </c>
      <c r="H8" s="0" t="n">
        <f aca="false">H6*H7/100</f>
        <v>3298.25084001233</v>
      </c>
      <c r="I8" s="0" t="n">
        <f aca="false">I6*I7/100</f>
        <v>3397.1983652127</v>
      </c>
      <c r="J8" s="0" t="n">
        <f aca="false">J6*J7/100</f>
        <v>3499.11431616909</v>
      </c>
      <c r="K8" s="0" t="n">
        <f aca="false">K6*K7/100</f>
        <v>3604.08774565416</v>
      </c>
      <c r="L8" s="0" t="n">
        <f aca="false">L6*L7/100</f>
        <v>3712.21037802378</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3300.059856</v>
      </c>
      <c r="D11" s="0" t="n">
        <f aca="false">D8+D10+D24</f>
        <v>3088.856025216</v>
      </c>
      <c r="E11" s="0" t="n">
        <f aca="false">E8+E10+E24</f>
        <v>3059.155486512</v>
      </c>
      <c r="F11" s="0" t="n">
        <f aca="false">F8+F10+F24</f>
        <v>3108.9177490926</v>
      </c>
      <c r="G11" s="0" t="n">
        <f aca="false">G8+G10+G24</f>
        <v>3202.18528156537</v>
      </c>
      <c r="H11" s="0" t="n">
        <f aca="false">H8+H10+H24</f>
        <v>3298.25084001233</v>
      </c>
      <c r="I11" s="0" t="n">
        <f aca="false">I8+I10+I24</f>
        <v>3397.1983652127</v>
      </c>
      <c r="J11" s="0" t="n">
        <f aca="false">J8+J10+J24</f>
        <v>3499.11431616909</v>
      </c>
      <c r="K11" s="0" t="n">
        <f aca="false">K8+K10+K24</f>
        <v>3604.08774565416</v>
      </c>
      <c r="L11" s="0" t="n">
        <f aca="false">L8+L10+L24</f>
        <v>3712.21037802378</v>
      </c>
    </row>
    <row r="12" customFormat="false" ht="15" hidden="false" customHeight="false" outlineLevel="0" collapsed="false">
      <c r="A12" s="0" t="s">
        <v>115</v>
      </c>
      <c r="C12" s="4" t="n">
        <f aca="false">-C6*Assumptions!C31/100</f>
        <v>-737.6604384</v>
      </c>
      <c r="D12" s="4" t="n">
        <f aca="false">-D6*Assumptions!D31/100</f>
        <v>-772.214006304</v>
      </c>
      <c r="E12" s="4" t="n">
        <f aca="false">-E6*Assumptions!E31/100</f>
        <v>-815.7747964032</v>
      </c>
      <c r="F12" s="4" t="n">
        <f aca="false">-F6*Assumptions!F31/100</f>
        <v>-840.248040295296</v>
      </c>
      <c r="G12" s="4" t="n">
        <f aca="false">-G6*Assumptions!G31/100</f>
        <v>-865.455481504155</v>
      </c>
      <c r="H12" s="4" t="n">
        <f aca="false">-H6*Assumptions!H31/100</f>
        <v>-891.41914594928</v>
      </c>
      <c r="I12" s="4" t="n">
        <f aca="false">-I6*Assumptions!I31/100</f>
        <v>-918.161720327758</v>
      </c>
      <c r="J12" s="4" t="n">
        <f aca="false">-J6*Assumptions!J31/100</f>
        <v>-945.706571937591</v>
      </c>
      <c r="K12" s="4" t="n">
        <f aca="false">-K6*Assumptions!K31/100</f>
        <v>-974.077769095718</v>
      </c>
      <c r="L12" s="4" t="n">
        <f aca="false">-L6*Assumptions!L31/100</f>
        <v>-1003.30010216859</v>
      </c>
    </row>
    <row r="13" customFormat="false" ht="15" hidden="false" customHeight="false" outlineLevel="0" collapsed="false">
      <c r="A13" s="0" t="s">
        <v>116</v>
      </c>
      <c r="C13" s="0" t="n">
        <f aca="false">C11+C12</f>
        <v>2562.3994176</v>
      </c>
      <c r="D13" s="0" t="n">
        <f aca="false">D11+D12</f>
        <v>2316.642018912</v>
      </c>
      <c r="E13" s="0" t="n">
        <f aca="false">E11+E12</f>
        <v>2243.3806901088</v>
      </c>
      <c r="F13" s="0" t="n">
        <f aca="false">F11+F12</f>
        <v>2268.6697087973</v>
      </c>
      <c r="G13" s="0" t="n">
        <f aca="false">G11+G12</f>
        <v>2336.72980006122</v>
      </c>
      <c r="H13" s="0" t="n">
        <f aca="false">H11+H12</f>
        <v>2406.83169406305</v>
      </c>
      <c r="I13" s="0" t="n">
        <f aca="false">I11+I12</f>
        <v>2479.03664488495</v>
      </c>
      <c r="J13" s="0" t="n">
        <f aca="false">J11+J12</f>
        <v>2553.40774423149</v>
      </c>
      <c r="K13" s="0" t="n">
        <f aca="false">K11+K12</f>
        <v>2630.00997655844</v>
      </c>
      <c r="L13" s="0" t="n">
        <f aca="false">L11+L12</f>
        <v>2708.91027585519</v>
      </c>
    </row>
    <row r="14" customFormat="false" ht="15" hidden="false" customHeight="false" outlineLevel="0" collapsed="false">
      <c r="A14" s="0" t="s">
        <v>102</v>
      </c>
      <c r="C14" s="4" t="n">
        <f aca="false">Assumptions!C33</f>
        <v>14</v>
      </c>
      <c r="D14" s="4" t="n">
        <f aca="false">Assumptions!D33</f>
        <v>15</v>
      </c>
      <c r="E14" s="4" t="n">
        <f aca="false">Assumptions!E33</f>
        <v>15</v>
      </c>
      <c r="F14" s="4" t="n">
        <f aca="false">Assumptions!F33</f>
        <v>15</v>
      </c>
      <c r="G14" s="4" t="n">
        <f aca="false">Assumptions!G33</f>
        <v>15</v>
      </c>
      <c r="H14" s="4" t="n">
        <f aca="false">Assumptions!H33</f>
        <v>15</v>
      </c>
      <c r="I14" s="4" t="n">
        <f aca="false">Assumptions!I33</f>
        <v>15</v>
      </c>
      <c r="J14" s="4" t="n">
        <f aca="false">Assumptions!J33</f>
        <v>15</v>
      </c>
      <c r="K14" s="4" t="n">
        <f aca="false">Assumptions!K33</f>
        <v>15</v>
      </c>
      <c r="L14" s="4" t="n">
        <f aca="false">Assumptions!L33</f>
        <v>15</v>
      </c>
    </row>
    <row r="15" customFormat="false" ht="15" hidden="false" customHeight="false" outlineLevel="0" collapsed="false">
      <c r="A15" s="0" t="s">
        <v>117</v>
      </c>
      <c r="C15" s="0" t="n">
        <f aca="false">C13-MAX(0,C13)*C14/100</f>
        <v>2203.663499136</v>
      </c>
      <c r="D15" s="0" t="n">
        <f aca="false">D13-MAX(0,D13)*D14/100</f>
        <v>1969.1457160752</v>
      </c>
      <c r="E15" s="0" t="n">
        <f aca="false">E13-MAX(0,E13)*E14/100</f>
        <v>1906.87358659248</v>
      </c>
      <c r="F15" s="0" t="n">
        <f aca="false">F13-MAX(0,F13)*F14/100</f>
        <v>1928.3692524777</v>
      </c>
      <c r="G15" s="0" t="n">
        <f aca="false">G13-MAX(0,G13)*G14/100</f>
        <v>1986.22033005204</v>
      </c>
      <c r="H15" s="0" t="n">
        <f aca="false">H13-MAX(0,H13)*H14/100</f>
        <v>2045.8069399536</v>
      </c>
      <c r="I15" s="0" t="n">
        <f aca="false">I13-MAX(0,I13)*I14/100</f>
        <v>2107.1811481522</v>
      </c>
      <c r="J15" s="0" t="n">
        <f aca="false">J13-MAX(0,J13)*J14/100</f>
        <v>2170.39658259677</v>
      </c>
      <c r="K15" s="0" t="n">
        <f aca="false">K13-MAX(0,K13)*K14/100</f>
        <v>2235.50848007467</v>
      </c>
      <c r="L15" s="0" t="n">
        <f aca="false">L13-MAX(0,L13)*L14/100</f>
        <v>2302.57373447691</v>
      </c>
    </row>
    <row r="16" customFormat="false" ht="15" hidden="false" customHeight="false" outlineLevel="0" collapsed="false">
      <c r="A16" s="0" t="s">
        <v>118</v>
      </c>
      <c r="C16" s="0" t="n">
        <f aca="false">-C12</f>
        <v>737.6604384</v>
      </c>
      <c r="D16" s="0" t="n">
        <f aca="false">-D12</f>
        <v>772.214006304</v>
      </c>
      <c r="E16" s="0" t="n">
        <f aca="false">-E12</f>
        <v>815.7747964032</v>
      </c>
      <c r="F16" s="0" t="n">
        <f aca="false">-F12</f>
        <v>840.248040295296</v>
      </c>
      <c r="G16" s="0" t="n">
        <f aca="false">-G12</f>
        <v>865.455481504155</v>
      </c>
      <c r="H16" s="0" t="n">
        <f aca="false">-H12</f>
        <v>891.41914594928</v>
      </c>
      <c r="I16" s="0" t="n">
        <f aca="false">-I12</f>
        <v>918.161720327758</v>
      </c>
      <c r="J16" s="0" t="n">
        <f aca="false">-J12</f>
        <v>945.706571937591</v>
      </c>
      <c r="K16" s="0" t="n">
        <f aca="false">-K12</f>
        <v>974.077769095718</v>
      </c>
      <c r="L16" s="0" t="n">
        <f aca="false">-L12</f>
        <v>1003.30010216859</v>
      </c>
    </row>
    <row r="17" customFormat="false" ht="15" hidden="false" customHeight="false" outlineLevel="0" collapsed="false">
      <c r="A17" s="0" t="s">
        <v>119</v>
      </c>
      <c r="C17" s="4" t="n">
        <f aca="false">-C6*Assumptions!C32/100</f>
        <v>-1203.5512416</v>
      </c>
      <c r="D17" s="4" t="n">
        <f aca="false">-D6*Assumptions!D32/100</f>
        <v>-1247.422625568</v>
      </c>
      <c r="E17" s="4" t="n">
        <f aca="false">-E6*Assumptions!E32/100</f>
        <v>-1305.23967424512</v>
      </c>
      <c r="F17" s="4" t="n">
        <f aca="false">-F6*Assumptions!F32/100</f>
        <v>-1344.39686447247</v>
      </c>
      <c r="G17" s="4" t="n">
        <f aca="false">-G6*Assumptions!G32/100</f>
        <v>-1384.72877040665</v>
      </c>
      <c r="H17" s="4" t="n">
        <f aca="false">-H6*Assumptions!H32/100</f>
        <v>-1426.27063351885</v>
      </c>
      <c r="I17" s="4" t="n">
        <f aca="false">-I6*Assumptions!I32/100</f>
        <v>-1469.05875252441</v>
      </c>
      <c r="J17" s="4" t="n">
        <f aca="false">-J6*Assumptions!J32/100</f>
        <v>-1513.13051510015</v>
      </c>
      <c r="K17" s="4" t="n">
        <f aca="false">-K6*Assumptions!K32/100</f>
        <v>-1558.52443055315</v>
      </c>
      <c r="L17" s="4" t="n">
        <f aca="false">-L6*Assumptions!L32/100</f>
        <v>-1605.28016346974</v>
      </c>
    </row>
    <row r="18" customFormat="false" ht="15" hidden="false" customHeight="false" outlineLevel="0" collapsed="false">
      <c r="A18" s="0" t="s">
        <v>120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121</v>
      </c>
      <c r="C19" s="0" t="n">
        <f aca="false">C15+C16+C17+C18</f>
        <v>1737.772695936</v>
      </c>
      <c r="D19" s="0" t="n">
        <f aca="false">D15+D16+D17+D18</f>
        <v>1493.9370968112</v>
      </c>
      <c r="E19" s="0" t="n">
        <f aca="false">E15+E16+E17+E18</f>
        <v>1417.40870875056</v>
      </c>
      <c r="F19" s="0" t="n">
        <f aca="false">F15+F16+F17+F18</f>
        <v>1424.22042830053</v>
      </c>
      <c r="G19" s="0" t="n">
        <f aca="false">G15+G16+G17+G18</f>
        <v>1466.94704114954</v>
      </c>
      <c r="H19" s="0" t="n">
        <f aca="false">H15+H16+H17+H18</f>
        <v>1510.95545238403</v>
      </c>
      <c r="I19" s="0" t="n">
        <f aca="false">I15+I16+I17+I18</f>
        <v>1556.28411595555</v>
      </c>
      <c r="J19" s="0" t="n">
        <f aca="false">J15+J16+J17+J18</f>
        <v>1602.97263943422</v>
      </c>
      <c r="K19" s="0" t="n">
        <f aca="false">K15+K16+K17+K18</f>
        <v>1651.06181861724</v>
      </c>
      <c r="L19" s="0" t="n">
        <f aca="false">L15+L16+L17+L18</f>
        <v>1700.59367317576</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1572.64497369774</v>
      </c>
      <c r="D21" s="0" t="n">
        <f aca="false">D19*D20</f>
        <v>1223.51065441838</v>
      </c>
      <c r="E21" s="0" t="n">
        <f aca="false">E19*E20</f>
        <v>1050.52952507027</v>
      </c>
      <c r="F21" s="0" t="n">
        <f aca="false">F19*F20</f>
        <v>955.274310410587</v>
      </c>
      <c r="G21" s="0" t="n">
        <f aca="false">G19*G20</f>
        <v>890.436687532041</v>
      </c>
      <c r="H21" s="0" t="n">
        <f aca="false">H19*H20</f>
        <v>829.999808287784</v>
      </c>
      <c r="I21" s="0" t="n">
        <f aca="false">I19*I20</f>
        <v>773.664979670966</v>
      </c>
      <c r="J21" s="0" t="n">
        <f aca="false">J19*J20</f>
        <v>721.153781955742</v>
      </c>
      <c r="K21" s="0" t="n">
        <f aca="false">K19*K20</f>
        <v>672.206692682728</v>
      </c>
      <c r="L21" s="0" t="n">
        <f aca="false">L19*L20</f>
        <v>626.581804039104</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10.5</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13</v>
      </c>
    </row>
    <row r="30" customFormat="false" ht="15" hidden="false" customHeight="false" outlineLevel="0" collapsed="false">
      <c r="A30" s="0" t="s">
        <v>126</v>
      </c>
      <c r="B30" s="0" t="n">
        <f aca="false">SUM(C21:L21)</f>
        <v>9316.00321776534</v>
      </c>
    </row>
    <row r="31" customFormat="false" ht="15" hidden="false" customHeight="false" outlineLevel="0" collapsed="false">
      <c r="A31" s="0" t="s">
        <v>127</v>
      </c>
      <c r="B31" s="0" t="n">
        <f aca="false">L19</f>
        <v>1700.59367317576</v>
      </c>
    </row>
    <row r="32" customFormat="false" ht="15" hidden="false" customHeight="false" outlineLevel="0" collapsed="false">
      <c r="A32" s="0" t="s">
        <v>128</v>
      </c>
      <c r="B32" s="0" t="n">
        <f aca="false">IF(B27&gt;B28,B31*(1+B28/100)/((B27-B28)/100),B31*B29)</f>
        <v>21788.8564375644</v>
      </c>
    </row>
    <row r="33" customFormat="false" ht="15" hidden="false" customHeight="false" outlineLevel="0" collapsed="false">
      <c r="A33" s="0" t="s">
        <v>129</v>
      </c>
      <c r="B33" s="0" t="n">
        <f aca="false">B31*B29</f>
        <v>22107.7177512849</v>
      </c>
    </row>
    <row r="34" customFormat="false" ht="15" hidden="false" customHeight="false" outlineLevel="0" collapsed="false">
      <c r="A34" s="0" t="s">
        <v>130</v>
      </c>
      <c r="B34" s="0" t="n">
        <f aca="false">MAX(0,MIN(B32,B33))</f>
        <v>21788.8564375644</v>
      </c>
    </row>
    <row r="35" customFormat="false" ht="15" hidden="false" customHeight="false" outlineLevel="0" collapsed="false">
      <c r="A35" s="0" t="s">
        <v>131</v>
      </c>
      <c r="B35" s="0" t="n">
        <f aca="false">B34/(1+B27/100)^L4</f>
        <v>8028.07936425102</v>
      </c>
    </row>
    <row r="36" customFormat="false" ht="15" hidden="false" customHeight="false" outlineLevel="0" collapsed="false">
      <c r="A36" s="0" t="s">
        <v>132</v>
      </c>
      <c r="B36" s="0" t="n">
        <f aca="false">B30+B35</f>
        <v>17344.0825820164</v>
      </c>
    </row>
    <row r="37" customFormat="false" ht="15" hidden="false" customHeight="false" outlineLevel="0" collapsed="false">
      <c r="A37" s="0" t="s">
        <v>133</v>
      </c>
      <c r="B37" s="0" t="n">
        <f aca="false">B36+Assumptions!$B$5-Assumptions!$B$4</f>
        <v>17954.0825820164</v>
      </c>
    </row>
    <row r="38" customFormat="false" ht="15" hidden="false" customHeight="false" outlineLevel="0" collapsed="false">
      <c r="A38" s="0" t="s">
        <v>134</v>
      </c>
      <c r="B38" s="0" t="n">
        <f aca="false">B37/Assumptions!$B$3*Assumptions!$B$10</f>
        <v>2.49584110626339</v>
      </c>
    </row>
    <row r="39" customFormat="false" ht="15" hidden="false" customHeight="false" outlineLevel="0" collapsed="false">
      <c r="A39" s="0" t="s">
        <v>135</v>
      </c>
      <c r="B39" s="4" t="n">
        <f aca="false">B38/Assumptions!$B$2-1</f>
        <v>0.0643245655707438</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2.49584110626339</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13944.8681200412</v>
      </c>
    </row>
    <row r="47" customFormat="false" ht="15" hidden="false" customHeight="false" outlineLevel="0" collapsed="false">
      <c r="A47" s="0" t="s">
        <v>140</v>
      </c>
      <c r="B47" s="0" t="n">
        <f aca="false">(SUMPRODUCT(C19:L19/(1+B45/100)^C4:L4)+B46/(1+B45/100)^L4+Assumptions!$B$5-Assumptions!$B$4)/Assumptions!$B$3*Assumptions!$B$10</f>
        <v>1.64386433303682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v>
      </c>
      <c r="D5" s="4" t="n">
        <f aca="false">Assumptions!D41</f>
        <v>4</v>
      </c>
      <c r="E5" s="4" t="n">
        <f aca="false">Assumptions!E41</f>
        <v>5</v>
      </c>
      <c r="F5" s="4" t="n">
        <f aca="false">Assumptions!F41</f>
        <v>5</v>
      </c>
      <c r="G5" s="4" t="n">
        <f aca="false">Assumptions!G41</f>
        <v>4</v>
      </c>
      <c r="H5" s="4" t="n">
        <f aca="false">Assumptions!H41</f>
        <v>4</v>
      </c>
      <c r="I5" s="4" t="n">
        <f aca="false">Assumptions!I41</f>
        <v>4</v>
      </c>
      <c r="J5" s="4" t="n">
        <f aca="false">Assumptions!J41</f>
        <v>3.5</v>
      </c>
      <c r="K5" s="4" t="n">
        <f aca="false">Assumptions!K41</f>
        <v>3.5</v>
      </c>
      <c r="L5" s="4" t="n">
        <f aca="false">Assumptions!L41</f>
        <v>3</v>
      </c>
    </row>
    <row r="6" customFormat="false" ht="15" hidden="false" customHeight="false" outlineLevel="0" collapsed="false">
      <c r="A6" s="0" t="s">
        <v>37</v>
      </c>
      <c r="B6" s="3" t="n">
        <v>4044.191</v>
      </c>
      <c r="C6" s="0" t="n">
        <f aca="false">B6*(1+C5/100)</f>
        <v>3963.30718</v>
      </c>
      <c r="D6" s="0" t="n">
        <f aca="false">C6*(1+D5/100)</f>
        <v>4121.8394672</v>
      </c>
      <c r="E6" s="0" t="n">
        <f aca="false">D6*(1+E5/100)</f>
        <v>4327.93144056</v>
      </c>
      <c r="F6" s="0" t="n">
        <f aca="false">E6*(1+F5/100)</f>
        <v>4544.328012588</v>
      </c>
      <c r="G6" s="0" t="n">
        <f aca="false">F6*(1+G5/100)</f>
        <v>4726.10113309152</v>
      </c>
      <c r="H6" s="0" t="n">
        <f aca="false">G6*(1+H5/100)</f>
        <v>4915.14517841518</v>
      </c>
      <c r="I6" s="0" t="n">
        <f aca="false">H6*(1+I5/100)</f>
        <v>5111.75098555179</v>
      </c>
      <c r="J6" s="0" t="n">
        <f aca="false">I6*(1+J5/100)</f>
        <v>5290.6622700461</v>
      </c>
      <c r="K6" s="0" t="n">
        <f aca="false">J6*(1+K5/100)</f>
        <v>5475.83544949771</v>
      </c>
      <c r="L6" s="0" t="n">
        <f aca="false">K6*(1+L5/100)</f>
        <v>5640.11051298265</v>
      </c>
    </row>
    <row r="7" customFormat="false" ht="15" hidden="false" customHeight="false" outlineLevel="0" collapsed="false">
      <c r="A7" s="0" t="s">
        <v>97</v>
      </c>
      <c r="C7" s="4" t="n">
        <f aca="false">Assumptions!C42</f>
        <v>89</v>
      </c>
      <c r="D7" s="4" t="n">
        <f aca="false">Assumptions!D42</f>
        <v>82</v>
      </c>
      <c r="E7" s="4" t="n">
        <f aca="false">Assumptions!E42</f>
        <v>79</v>
      </c>
      <c r="F7" s="4" t="n">
        <f aca="false">Assumptions!F42</f>
        <v>78</v>
      </c>
      <c r="G7" s="4" t="n">
        <f aca="false">Assumptions!G42</f>
        <v>78</v>
      </c>
      <c r="H7" s="4" t="n">
        <f aca="false">Assumptions!H42</f>
        <v>78</v>
      </c>
      <c r="I7" s="4" t="n">
        <f aca="false">Assumptions!I42</f>
        <v>78</v>
      </c>
      <c r="J7" s="4" t="n">
        <f aca="false">Assumptions!J42</f>
        <v>78</v>
      </c>
      <c r="K7" s="4" t="n">
        <f aca="false">Assumptions!K42</f>
        <v>78</v>
      </c>
      <c r="L7" s="4" t="n">
        <f aca="false">Assumptions!L42</f>
        <v>78</v>
      </c>
    </row>
    <row r="8" customFormat="false" ht="15" hidden="false" customHeight="false" outlineLevel="0" collapsed="false">
      <c r="A8" s="0" t="s">
        <v>43</v>
      </c>
      <c r="C8" s="0" t="n">
        <f aca="false">C6*C7/100</f>
        <v>3527.3433902</v>
      </c>
      <c r="D8" s="0" t="n">
        <f aca="false">D6*D7/100</f>
        <v>3379.908363104</v>
      </c>
      <c r="E8" s="0" t="n">
        <f aca="false">E6*E7/100</f>
        <v>3419.0658380424</v>
      </c>
      <c r="F8" s="0" t="n">
        <f aca="false">F6*F7/100</f>
        <v>3544.57584981864</v>
      </c>
      <c r="G8" s="0" t="n">
        <f aca="false">G6*G7/100</f>
        <v>3686.35888381139</v>
      </c>
      <c r="H8" s="0" t="n">
        <f aca="false">H6*H7/100</f>
        <v>3833.81323916384</v>
      </c>
      <c r="I8" s="0" t="n">
        <f aca="false">I6*I7/100</f>
        <v>3987.16576873039</v>
      </c>
      <c r="J8" s="0" t="n">
        <f aca="false">J6*J7/100</f>
        <v>4126.71657063596</v>
      </c>
      <c r="K8" s="0" t="n">
        <f aca="false">K6*K7/100</f>
        <v>4271.15165060822</v>
      </c>
      <c r="L8" s="0" t="n">
        <f aca="false">L6*L7/100</f>
        <v>4399.28620012646</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3527.3433902</v>
      </c>
      <c r="D11" s="0" t="n">
        <f aca="false">D8+D10+D24</f>
        <v>3379.908363104</v>
      </c>
      <c r="E11" s="0" t="n">
        <f aca="false">E8+E10+E24</f>
        <v>3419.0658380424</v>
      </c>
      <c r="F11" s="0" t="n">
        <f aca="false">F8+F10+F24</f>
        <v>3544.57584981864</v>
      </c>
      <c r="G11" s="0" t="n">
        <f aca="false">G8+G10+G24</f>
        <v>3686.35888381139</v>
      </c>
      <c r="H11" s="0" t="n">
        <f aca="false">H8+H10+H24</f>
        <v>3833.81323916384</v>
      </c>
      <c r="I11" s="0" t="n">
        <f aca="false">I8+I10+I24</f>
        <v>3987.16576873039</v>
      </c>
      <c r="J11" s="0" t="n">
        <f aca="false">J8+J10+J24</f>
        <v>4126.71657063596</v>
      </c>
      <c r="K11" s="0" t="n">
        <f aca="false">K8+K10+K24</f>
        <v>4271.15165060822</v>
      </c>
      <c r="L11" s="0" t="n">
        <f aca="false">L8+L10+L24</f>
        <v>4399.28620012646</v>
      </c>
    </row>
    <row r="12" customFormat="false" ht="15" hidden="false" customHeight="false" outlineLevel="0" collapsed="false">
      <c r="A12" s="0" t="s">
        <v>115</v>
      </c>
      <c r="C12" s="4" t="n">
        <f aca="false">-C6*Assumptions!C45/100</f>
        <v>-753.0283642</v>
      </c>
      <c r="D12" s="4" t="n">
        <f aca="false">-D6*Assumptions!D45/100</f>
        <v>-803.758696104</v>
      </c>
      <c r="E12" s="4" t="n">
        <f aca="false">-E6*Assumptions!E45/100</f>
        <v>-843.9466309092</v>
      </c>
      <c r="F12" s="4" t="n">
        <f aca="false">-F6*Assumptions!F45/100</f>
        <v>-886.14396245466</v>
      </c>
      <c r="G12" s="4" t="n">
        <f aca="false">-G6*Assumptions!G45/100</f>
        <v>-921.589720952846</v>
      </c>
      <c r="H12" s="4" t="n">
        <f aca="false">-H6*Assumptions!H45/100</f>
        <v>-958.45330979096</v>
      </c>
      <c r="I12" s="4" t="n">
        <f aca="false">-I6*Assumptions!I45/100</f>
        <v>-996.791442182599</v>
      </c>
      <c r="J12" s="4" t="n">
        <f aca="false">-J6*Assumptions!J45/100</f>
        <v>-1031.67914265899</v>
      </c>
      <c r="K12" s="4" t="n">
        <f aca="false">-K6*Assumptions!K45/100</f>
        <v>-1067.78791265205</v>
      </c>
      <c r="L12" s="4" t="n">
        <f aca="false">-L6*Assumptions!L45/100</f>
        <v>-1099.82155003162</v>
      </c>
    </row>
    <row r="13" customFormat="false" ht="15" hidden="false" customHeight="false" outlineLevel="0" collapsed="false">
      <c r="A13" s="0" t="s">
        <v>116</v>
      </c>
      <c r="C13" s="0" t="n">
        <f aca="false">C11+C12</f>
        <v>2774.315026</v>
      </c>
      <c r="D13" s="0" t="n">
        <f aca="false">D11+D12</f>
        <v>2576.149667</v>
      </c>
      <c r="E13" s="0" t="n">
        <f aca="false">E11+E12</f>
        <v>2575.1192071332</v>
      </c>
      <c r="F13" s="0" t="n">
        <f aca="false">F11+F12</f>
        <v>2658.43188736398</v>
      </c>
      <c r="G13" s="0" t="n">
        <f aca="false">G11+G12</f>
        <v>2764.76916285854</v>
      </c>
      <c r="H13" s="0" t="n">
        <f aca="false">H11+H12</f>
        <v>2875.35992937288</v>
      </c>
      <c r="I13" s="0" t="n">
        <f aca="false">I11+I12</f>
        <v>2990.3743265478</v>
      </c>
      <c r="J13" s="0" t="n">
        <f aca="false">J11+J12</f>
        <v>3095.03742797697</v>
      </c>
      <c r="K13" s="0" t="n">
        <f aca="false">K11+K12</f>
        <v>3203.36373795616</v>
      </c>
      <c r="L13" s="0" t="n">
        <f aca="false">L11+L12</f>
        <v>3299.46465009485</v>
      </c>
    </row>
    <row r="14" customFormat="false" ht="15" hidden="false" customHeight="false" outlineLevel="0" collapsed="false">
      <c r="A14" s="0" t="s">
        <v>102</v>
      </c>
      <c r="C14" s="4" t="n">
        <f aca="false">Assumptions!C47</f>
        <v>13</v>
      </c>
      <c r="D14" s="4" t="n">
        <f aca="false">Assumptions!D47</f>
        <v>14</v>
      </c>
      <c r="E14" s="4" t="n">
        <f aca="false">Assumptions!E47</f>
        <v>14</v>
      </c>
      <c r="F14" s="4" t="n">
        <f aca="false">Assumptions!F47</f>
        <v>14</v>
      </c>
      <c r="G14" s="4" t="n">
        <f aca="false">Assumptions!G47</f>
        <v>14</v>
      </c>
      <c r="H14" s="4" t="n">
        <f aca="false">Assumptions!H47</f>
        <v>14</v>
      </c>
      <c r="I14" s="4" t="n">
        <f aca="false">Assumptions!I47</f>
        <v>14</v>
      </c>
      <c r="J14" s="4" t="n">
        <f aca="false">Assumptions!J47</f>
        <v>14</v>
      </c>
      <c r="K14" s="4" t="n">
        <f aca="false">Assumptions!K47</f>
        <v>14</v>
      </c>
      <c r="L14" s="4" t="n">
        <f aca="false">Assumptions!L47</f>
        <v>14</v>
      </c>
    </row>
    <row r="15" customFormat="false" ht="15" hidden="false" customHeight="false" outlineLevel="0" collapsed="false">
      <c r="A15" s="0" t="s">
        <v>117</v>
      </c>
      <c r="C15" s="0" t="n">
        <f aca="false">C13-MAX(0,C13)*C14/100</f>
        <v>2413.65407262</v>
      </c>
      <c r="D15" s="0" t="n">
        <f aca="false">D13-MAX(0,D13)*D14/100</f>
        <v>2215.48871362</v>
      </c>
      <c r="E15" s="0" t="n">
        <f aca="false">E13-MAX(0,E13)*E14/100</f>
        <v>2214.60251813455</v>
      </c>
      <c r="F15" s="0" t="n">
        <f aca="false">F13-MAX(0,F13)*F14/100</f>
        <v>2286.25142313302</v>
      </c>
      <c r="G15" s="0" t="n">
        <f aca="false">G13-MAX(0,G13)*G14/100</f>
        <v>2377.70148005834</v>
      </c>
      <c r="H15" s="0" t="n">
        <f aca="false">H13-MAX(0,H13)*H14/100</f>
        <v>2472.80953926068</v>
      </c>
      <c r="I15" s="0" t="n">
        <f aca="false">I13-MAX(0,I13)*I14/100</f>
        <v>2571.7219208311</v>
      </c>
      <c r="J15" s="0" t="n">
        <f aca="false">J13-MAX(0,J13)*J14/100</f>
        <v>2661.73218806019</v>
      </c>
      <c r="K15" s="0" t="n">
        <f aca="false">K13-MAX(0,K13)*K14/100</f>
        <v>2754.8928146423</v>
      </c>
      <c r="L15" s="0" t="n">
        <f aca="false">L13-MAX(0,L13)*L14/100</f>
        <v>2837.53959908157</v>
      </c>
    </row>
    <row r="16" customFormat="false" ht="15" hidden="false" customHeight="false" outlineLevel="0" collapsed="false">
      <c r="A16" s="0" t="s">
        <v>118</v>
      </c>
      <c r="C16" s="0" t="n">
        <f aca="false">-C12</f>
        <v>753.0283642</v>
      </c>
      <c r="D16" s="0" t="n">
        <f aca="false">-D12</f>
        <v>803.758696104</v>
      </c>
      <c r="E16" s="0" t="n">
        <f aca="false">-E12</f>
        <v>843.9466309092</v>
      </c>
      <c r="F16" s="0" t="n">
        <f aca="false">-F12</f>
        <v>886.14396245466</v>
      </c>
      <c r="G16" s="0" t="n">
        <f aca="false">-G12</f>
        <v>921.589720952846</v>
      </c>
      <c r="H16" s="0" t="n">
        <f aca="false">-H12</f>
        <v>958.45330979096</v>
      </c>
      <c r="I16" s="0" t="n">
        <f aca="false">-I12</f>
        <v>996.791442182599</v>
      </c>
      <c r="J16" s="0" t="n">
        <f aca="false">-J12</f>
        <v>1031.67914265899</v>
      </c>
      <c r="K16" s="0" t="n">
        <f aca="false">-K12</f>
        <v>1067.78791265205</v>
      </c>
      <c r="L16" s="0" t="n">
        <f aca="false">-L12</f>
        <v>1099.82155003162</v>
      </c>
    </row>
    <row r="17" customFormat="false" ht="15" hidden="false" customHeight="false" outlineLevel="0" collapsed="false">
      <c r="A17" s="0" t="s">
        <v>119</v>
      </c>
      <c r="C17" s="4" t="n">
        <f aca="false">-C6*Assumptions!C46/100</f>
        <v>-1347.5244412</v>
      </c>
      <c r="D17" s="4" t="n">
        <f aca="false">-D6*Assumptions!D46/100</f>
        <v>-1422.034616184</v>
      </c>
      <c r="E17" s="4" t="n">
        <f aca="false">-E6*Assumptions!E46/100</f>
        <v>-1493.1363469932</v>
      </c>
      <c r="F17" s="4" t="n">
        <f aca="false">-F6*Assumptions!F46/100</f>
        <v>-1567.79316434286</v>
      </c>
      <c r="G17" s="4" t="n">
        <f aca="false">-G6*Assumptions!G46/100</f>
        <v>-1630.50489091657</v>
      </c>
      <c r="H17" s="4" t="n">
        <f aca="false">-H6*Assumptions!H46/100</f>
        <v>-1695.72508655324</v>
      </c>
      <c r="I17" s="4" t="n">
        <f aca="false">-I6*Assumptions!I46/100</f>
        <v>-1763.55409001537</v>
      </c>
      <c r="J17" s="4" t="n">
        <f aca="false">-J6*Assumptions!J46/100</f>
        <v>-1825.2784831659</v>
      </c>
      <c r="K17" s="4" t="n">
        <f aca="false">-K6*Assumptions!K46/100</f>
        <v>-1889.16323007671</v>
      </c>
      <c r="L17" s="4" t="n">
        <f aca="false">-L6*Assumptions!L46/100</f>
        <v>-1945.83812697901</v>
      </c>
    </row>
    <row r="18" customFormat="false" ht="15" hidden="false" customHeight="false" outlineLevel="0" collapsed="false">
      <c r="A18" s="0" t="s">
        <v>120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121</v>
      </c>
      <c r="C19" s="0" t="n">
        <f aca="false">C15+C16+C17+C18</f>
        <v>1819.15799562</v>
      </c>
      <c r="D19" s="0" t="n">
        <f aca="false">D15+D16+D17+D18</f>
        <v>1597.21279354</v>
      </c>
      <c r="E19" s="0" t="n">
        <f aca="false">E15+E16+E17+E18</f>
        <v>1565.41280205055</v>
      </c>
      <c r="F19" s="0" t="n">
        <f aca="false">F15+F16+F17+F18</f>
        <v>1604.60222124482</v>
      </c>
      <c r="G19" s="0" t="n">
        <f aca="false">G15+G16+G17+G18</f>
        <v>1668.78631009462</v>
      </c>
      <c r="H19" s="0" t="n">
        <f aca="false">H15+H16+H17+H18</f>
        <v>1735.5377624984</v>
      </c>
      <c r="I19" s="0" t="n">
        <f aca="false">I15+I16+I17+I18</f>
        <v>1804.95927299834</v>
      </c>
      <c r="J19" s="0" t="n">
        <f aca="false">J15+J16+J17+J18</f>
        <v>1868.13284755328</v>
      </c>
      <c r="K19" s="0" t="n">
        <f aca="false">K15+K16+K17+K18</f>
        <v>1933.51749721764</v>
      </c>
      <c r="L19" s="0" t="n">
        <f aca="false">L15+L16+L17+L18</f>
        <v>1991.52302213417</v>
      </c>
    </row>
    <row r="20" customFormat="false" ht="15" hidden="false" customHeight="false" outlineLevel="0" collapsed="false">
      <c r="A20" s="0" t="s">
        <v>122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123</v>
      </c>
      <c r="C21" s="0" t="n">
        <f aca="false">C19*C20</f>
        <v>1646.29682861538</v>
      </c>
      <c r="D21" s="0" t="n">
        <f aca="false">D19*D20</f>
        <v>1308.0918028214</v>
      </c>
      <c r="E21" s="0" t="n">
        <f aca="false">E19*E20</f>
        <v>1160.22454026455</v>
      </c>
      <c r="F21" s="0" t="n">
        <f aca="false">F19*F20</f>
        <v>1076.26266968521</v>
      </c>
      <c r="G21" s="0" t="n">
        <f aca="false">G19*G20</f>
        <v>1012.9531008802</v>
      </c>
      <c r="H21" s="0" t="n">
        <f aca="false">H19*H20</f>
        <v>953.367624357837</v>
      </c>
      <c r="I21" s="0" t="n">
        <f aca="false">I19*I20</f>
        <v>897.287175866199</v>
      </c>
      <c r="J21" s="0" t="n">
        <f aca="false">J19*J20</f>
        <v>840.445454318115</v>
      </c>
      <c r="K21" s="0" t="n">
        <f aca="false">K19*K20</f>
        <v>787.204565809274</v>
      </c>
      <c r="L21" s="0" t="n">
        <f aca="false">L19*L20</f>
        <v>733.774391659324</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10.5</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14</v>
      </c>
    </row>
    <row r="30" customFormat="false" ht="15" hidden="false" customHeight="false" outlineLevel="0" collapsed="false">
      <c r="A30" s="0" t="s">
        <v>126</v>
      </c>
      <c r="B30" s="0" t="n">
        <f aca="false">SUM(C21:L21)</f>
        <v>10415.9081542775</v>
      </c>
    </row>
    <row r="31" customFormat="false" ht="15" hidden="false" customHeight="false" outlineLevel="0" collapsed="false">
      <c r="A31" s="0" t="s">
        <v>127</v>
      </c>
      <c r="B31" s="0" t="n">
        <f aca="false">L19</f>
        <v>1991.52302213417</v>
      </c>
    </row>
    <row r="32" customFormat="false" ht="15" hidden="false" customHeight="false" outlineLevel="0" collapsed="false">
      <c r="A32" s="0" t="s">
        <v>128</v>
      </c>
      <c r="B32" s="0" t="n">
        <f aca="false">IF(B27&gt;B28,B31*(1+B28/100)/((B27-B28)/100),B31*B29)</f>
        <v>27350.249503976</v>
      </c>
    </row>
    <row r="33" customFormat="false" ht="15" hidden="false" customHeight="false" outlineLevel="0" collapsed="false">
      <c r="A33" s="0" t="s">
        <v>129</v>
      </c>
      <c r="B33" s="0" t="n">
        <f aca="false">B31*B29</f>
        <v>27881.3223098784</v>
      </c>
    </row>
    <row r="34" customFormat="false" ht="15" hidden="false" customHeight="false" outlineLevel="0" collapsed="false">
      <c r="A34" s="0" t="s">
        <v>130</v>
      </c>
      <c r="B34" s="0" t="n">
        <f aca="false">MAX(0,MIN(B32,B33))</f>
        <v>27350.249503976</v>
      </c>
    </row>
    <row r="35" customFormat="false" ht="15" hidden="false" customHeight="false" outlineLevel="0" collapsed="false">
      <c r="A35" s="0" t="s">
        <v>131</v>
      </c>
      <c r="B35" s="0" t="n">
        <f aca="false">B34/(1+B27/100)^L4</f>
        <v>10077.1683121214</v>
      </c>
    </row>
    <row r="36" customFormat="false" ht="15" hidden="false" customHeight="false" outlineLevel="0" collapsed="false">
      <c r="A36" s="0" t="s">
        <v>132</v>
      </c>
      <c r="B36" s="0" t="n">
        <f aca="false">B30+B35</f>
        <v>20493.0764663989</v>
      </c>
    </row>
    <row r="37" customFormat="false" ht="15" hidden="false" customHeight="false" outlineLevel="0" collapsed="false">
      <c r="A37" s="0" t="s">
        <v>133</v>
      </c>
      <c r="B37" s="0" t="n">
        <f aca="false">B36+Assumptions!$B$5-Assumptions!$B$4</f>
        <v>21103.0764663989</v>
      </c>
    </row>
    <row r="38" customFormat="false" ht="15" hidden="false" customHeight="false" outlineLevel="0" collapsed="false">
      <c r="A38" s="0" t="s">
        <v>134</v>
      </c>
      <c r="B38" s="0" t="n">
        <f aca="false">B37/Assumptions!$B$3*Assumptions!$B$10</f>
        <v>2.93359047853632</v>
      </c>
    </row>
    <row r="39" customFormat="false" ht="15" hidden="false" customHeight="false" outlineLevel="0" collapsed="false">
      <c r="A39" s="0" t="s">
        <v>135</v>
      </c>
      <c r="B39" s="4" t="n">
        <f aca="false">B38/Assumptions!$B$2-1</f>
        <v>0.250998071870499</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2.93359047853632</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17093.905939985</v>
      </c>
    </row>
    <row r="47" customFormat="false" ht="15" hidden="false" customHeight="false" outlineLevel="0" collapsed="false">
      <c r="A47" s="0" t="s">
        <v>140</v>
      </c>
      <c r="B47" s="0" t="n">
        <f aca="false">(SUMPRODUCT(C19:L19/(1+B45/100)^C4:L4)+B46/(1+B45/100)^L4+Assumptions!$B$5-Assumptions!$B$4)/Assumptions!$B$3*Assumptions!$B$10</f>
        <v>1.87428016506714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1.65442963617224</v>
      </c>
      <c r="C4" s="0" t="n">
        <f aca="false">B4/Assumptions!$B$2-1</f>
        <v>-0.294486295875376</v>
      </c>
      <c r="D4" s="4" t="n">
        <f aca="false">Assumptions!$B$24</f>
        <v>0.25</v>
      </c>
      <c r="E4" s="4" t="n">
        <f aca="false">DCF_Bear!$B$43</f>
        <v>1.65442963617224</v>
      </c>
      <c r="F4" s="4" t="n">
        <f aca="false">DCF_Bear!$B$47</f>
        <v>1.21920842112303</v>
      </c>
    </row>
    <row r="5" customFormat="false" ht="15" hidden="false" customHeight="false" outlineLevel="0" collapsed="false">
      <c r="A5" s="0" t="s">
        <v>149</v>
      </c>
      <c r="B5" s="4" t="n">
        <f aca="false">DCF_Base!$B$38</f>
        <v>2.49584110626339</v>
      </c>
      <c r="C5" s="0" t="n">
        <f aca="false">B5/Assumptions!$B$2-1</f>
        <v>0.0643245655707438</v>
      </c>
      <c r="D5" s="4" t="n">
        <f aca="false">Assumptions!$B$38</f>
        <v>0.5</v>
      </c>
      <c r="E5" s="4" t="n">
        <f aca="false">DCF_Base!$B$43</f>
        <v>2.49584110626339</v>
      </c>
      <c r="F5" s="4" t="n">
        <f aca="false">DCF_Base!$B$47</f>
        <v>1.64386433303682</v>
      </c>
    </row>
    <row r="6" customFormat="false" ht="15" hidden="false" customHeight="false" outlineLevel="0" collapsed="false">
      <c r="A6" s="0" t="s">
        <v>150</v>
      </c>
      <c r="B6" s="4" t="n">
        <f aca="false">DCF_Bull!$B$38</f>
        <v>2.93359047853632</v>
      </c>
      <c r="C6" s="0" t="n">
        <f aca="false">B6/Assumptions!$B$2-1</f>
        <v>0.250998071870499</v>
      </c>
      <c r="D6" s="4" t="n">
        <f aca="false">Assumptions!$B$52</f>
        <v>0.25</v>
      </c>
      <c r="E6" s="4" t="n">
        <f aca="false">DCF_Bull!$B$43</f>
        <v>2.93359047853632</v>
      </c>
      <c r="F6" s="4" t="n">
        <f aca="false">DCF_Bull!$B$47</f>
        <v>1.87428016506714</v>
      </c>
    </row>
    <row r="8" customFormat="false" ht="15" hidden="false" customHeight="false" outlineLevel="0" collapsed="false">
      <c r="A8" s="0" t="s">
        <v>151</v>
      </c>
      <c r="B8" s="0" t="n">
        <f aca="false">SUMPRODUCT(B4:B6,D4:D6)</f>
        <v>2.39492558180884</v>
      </c>
    </row>
    <row r="9" customFormat="false" ht="15" hidden="false" customHeight="false" outlineLevel="0" collapsed="false">
      <c r="A9" s="0" t="s">
        <v>152</v>
      </c>
      <c r="B9" s="0" t="n">
        <f aca="false">SUMPRODUCT(E4:E6,D4:D6)</f>
        <v>2.39492558180884</v>
      </c>
    </row>
    <row r="10" customFormat="false" ht="15" hidden="false" customHeight="false" outlineLevel="0" collapsed="false">
      <c r="A10" s="0" t="s">
        <v>153</v>
      </c>
      <c r="B10" s="0" t="n">
        <f aca="false">1-Assumptions!$B$2/B8</f>
        <v>0.0208464021546466</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1.59530431306595</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2.76529231121209</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2.59281196031637</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2.49584110626339</v>
      </c>
      <c r="C17" s="3" t="n">
        <v>10.5</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2.35665946760373</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2.12223169929279</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1.64386433303682</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2.85753336524071</v>
      </c>
      <c r="C24" s="0" t="n">
        <f aca="false">(SUMPRODUCT(DCF_Base!$C$19:$L$19/(1+$A$24/100)^DCF_Base!$C$4:$L$4)+MAX(0,MIN(IF($A$24&gt;$C$23,DCF_Base!$L$19*(1+$C$23/100)/(($A$24-$C$23)/100),DCF_Base!$L$19*DCF_Base!$B$29),DCF_Base!$L$19*DCF_Base!$B$29))/(1+$A$24/100)^DCF_Base!$L$4+Assumptions!$B$5-Assumptions!$B$4)/Assumptions!$B$3*Assumptions!$B$10</f>
        <v>2.85753336524071</v>
      </c>
      <c r="D24" s="0" t="n">
        <f aca="false">(SUMPRODUCT(DCF_Base!$C$19:$L$19/(1+$A$24/100)^DCF_Base!$C$4:$L$4)+MAX(0,MIN(IF($A$24&gt;$D$23,DCF_Base!$L$19*(1+$D$23/100)/(($A$24-$D$23)/100),DCF_Base!$L$19*DCF_Base!$B$29),DCF_Base!$L$19*DCF_Base!$B$29))/(1+$A$24/100)^DCF_Base!$L$4+Assumptions!$B$5-Assumptions!$B$4)/Assumptions!$B$3*Assumptions!$B$10</f>
        <v>2.85753336524071</v>
      </c>
      <c r="E24" s="0" t="n">
        <f aca="false">(SUMPRODUCT(DCF_Base!$C$19:$L$19/(1+$A$24/100)^DCF_Base!$C$4:$L$4)+MAX(0,MIN(IF($A$24&gt;$E$23,DCF_Base!$L$19*(1+$E$23/100)/(($A$24-$E$23)/100),DCF_Base!$L$19*DCF_Base!$B$29),DCF_Base!$L$19*DCF_Base!$B$29))/(1+$A$24/100)^DCF_Base!$L$4+Assumptions!$B$5-Assumptions!$B$4)/Assumptions!$B$3*Assumptions!$B$10</f>
        <v>2.85753336524071</v>
      </c>
      <c r="F24" s="0" t="n">
        <f aca="false">(SUMPRODUCT(DCF_Base!$C$19:$L$19/(1+$A$24/100)^DCF_Base!$C$4:$L$4)+MAX(0,MIN(IF($A$24&gt;$F$23,DCF_Base!$L$19*(1+$F$23/100)/(($A$24-$F$23)/100),DCF_Base!$L$19*DCF_Base!$B$29),DCF_Base!$L$19*DCF_Base!$B$29))/(1+$A$24/100)^DCF_Base!$L$4+Assumptions!$B$5-Assumptions!$B$4)/Assumptions!$B$3*Assumptions!$B$10</f>
        <v>2.85753336524071</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2.64731030923967</v>
      </c>
      <c r="C25" s="0" t="n">
        <f aca="false">(SUMPRODUCT(DCF_Base!$C$19:$L$19/(1+$A$25/100)^DCF_Base!$C$4:$L$4)+MAX(0,MIN(IF($A$25&gt;$C$23,DCF_Base!$L$19*(1+$C$23/100)/(($A$25-$C$23)/100),DCF_Base!$L$19*DCF_Base!$B$29),DCF_Base!$L$19*DCF_Base!$B$29))/(1+$A$25/100)^DCF_Base!$L$4+Assumptions!$B$5-Assumptions!$B$4)/Assumptions!$B$3*Assumptions!$B$10</f>
        <v>2.6771203866438</v>
      </c>
      <c r="D25" s="0" t="n">
        <f aca="false">(SUMPRODUCT(DCF_Base!$C$19:$L$19/(1+$A$25/100)^DCF_Base!$C$4:$L$4)+MAX(0,MIN(IF($A$25&gt;$D$23,DCF_Base!$L$19*(1+$D$23/100)/(($A$25-$D$23)/100),DCF_Base!$L$19*DCF_Base!$B$29),DCF_Base!$L$19*DCF_Base!$B$29))/(1+$A$25/100)^DCF_Base!$L$4+Assumptions!$B$5-Assumptions!$B$4)/Assumptions!$B$3*Assumptions!$B$10</f>
        <v>2.6771203866438</v>
      </c>
      <c r="E25" s="0" t="n">
        <f aca="false">(SUMPRODUCT(DCF_Base!$C$19:$L$19/(1+$A$25/100)^DCF_Base!$C$4:$L$4)+MAX(0,MIN(IF($A$25&gt;$E$23,DCF_Base!$L$19*(1+$E$23/100)/(($A$25-$E$23)/100),DCF_Base!$L$19*DCF_Base!$B$29),DCF_Base!$L$19*DCF_Base!$B$29))/(1+$A$25/100)^DCF_Base!$L$4+Assumptions!$B$5-Assumptions!$B$4)/Assumptions!$B$3*Assumptions!$B$10</f>
        <v>2.6771203866438</v>
      </c>
      <c r="F25" s="0" t="n">
        <f aca="false">(SUMPRODUCT(DCF_Base!$C$19:$L$19/(1+$A$25/100)^DCF_Base!$C$4:$L$4)+MAX(0,MIN(IF($A$25&gt;$F$23,DCF_Base!$L$19*(1+$F$23/100)/(($A$25-$F$23)/100),DCF_Base!$L$19*DCF_Base!$B$29),DCF_Base!$L$19*DCF_Base!$B$29))/(1+$A$25/100)^DCF_Base!$L$4+Assumptions!$B$5-Assumptions!$B$4)/Assumptions!$B$3*Assumptions!$B$10</f>
        <v>2.6771203866438</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2.36216269507861</v>
      </c>
      <c r="C26" s="0" t="n">
        <f aca="false">(SUMPRODUCT(DCF_Base!$C$19:$L$19/(1+$A$26/100)^DCF_Base!$C$4:$L$4)+MAX(0,MIN(IF($A$26&gt;$C$23,DCF_Base!$L$19*(1+$C$23/100)/(($A$26-$C$23)/100),DCF_Base!$L$19*DCF_Base!$B$29),DCF_Base!$L$19*DCF_Base!$B$29))/(1+$A$26/100)^DCF_Base!$L$4+Assumptions!$B$5-Assumptions!$B$4)/Assumptions!$B$3*Assumptions!$B$10</f>
        <v>2.42507018269498</v>
      </c>
      <c r="D26" s="0" t="n">
        <f aca="false">(SUMPRODUCT(DCF_Base!$C$19:$L$19/(1+$A$26/100)^DCF_Base!$C$4:$L$4)+MAX(0,MIN(IF($A$26&gt;$D$23,DCF_Base!$L$19*(1+$D$23/100)/(($A$26-$D$23)/100),DCF_Base!$L$19*DCF_Base!$B$29),DCF_Base!$L$19*DCF_Base!$B$29))/(1+$A$26/100)^DCF_Base!$L$4+Assumptions!$B$5-Assumptions!$B$4)/Assumptions!$B$3*Assumptions!$B$10</f>
        <v>2.49584110626339</v>
      </c>
      <c r="E26" s="0" t="n">
        <f aca="false">(SUMPRODUCT(DCF_Base!$C$19:$L$19/(1+$A$26/100)^DCF_Base!$C$4:$L$4)+MAX(0,MIN(IF($A$26&gt;$E$23,DCF_Base!$L$19*(1+$E$23/100)/(($A$26-$E$23)/100),DCF_Base!$L$19*DCF_Base!$B$29),DCF_Base!$L$19*DCF_Base!$B$29))/(1+$A$26/100)^DCF_Base!$L$4+Assumptions!$B$5-Assumptions!$B$4)/Assumptions!$B$3*Assumptions!$B$10</f>
        <v>2.51217285785611</v>
      </c>
      <c r="F26" s="0" t="n">
        <f aca="false">(SUMPRODUCT(DCF_Base!$C$19:$L$19/(1+$A$26/100)^DCF_Base!$C$4:$L$4)+MAX(0,MIN(IF($A$26&gt;$F$23,DCF_Base!$L$19*(1+$F$23/100)/(($A$26-$F$23)/100),DCF_Base!$L$19*DCF_Base!$B$29),DCF_Base!$L$19*DCF_Base!$B$29))/(1+$A$26/100)^DCF_Base!$L$4+Assumptions!$B$5-Assumptions!$B$4)/Assumptions!$B$3*Assumptions!$B$10</f>
        <v>2.51217285785611</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2.13432300460518</v>
      </c>
      <c r="C27" s="0" t="n">
        <f aca="false">(SUMPRODUCT(DCF_Base!$C$19:$L$19/(1+$A$27/100)^DCF_Base!$C$4:$L$4)+MAX(0,MIN(IF($A$27&gt;$C$23,DCF_Base!$L$19*(1+$C$23/100)/(($A$27-$C$23)/100),DCF_Base!$L$19*DCF_Base!$B$29),DCF_Base!$L$19*DCF_Base!$B$29))/(1+$A$27/100)^DCF_Base!$L$4+Assumptions!$B$5-Assumptions!$B$4)/Assumptions!$B$3*Assumptions!$B$10</f>
        <v>2.18103483295744</v>
      </c>
      <c r="D27" s="0" t="n">
        <f aca="false">(SUMPRODUCT(DCF_Base!$C$19:$L$19/(1+$A$27/100)^DCF_Base!$C$4:$L$4)+MAX(0,MIN(IF($A$27&gt;$D$23,DCF_Base!$L$19*(1+$D$23/100)/(($A$27-$D$23)/100),DCF_Base!$L$19*DCF_Base!$B$29),DCF_Base!$L$19*DCF_Base!$B$29))/(1+$A$27/100)^DCF_Base!$L$4+Assumptions!$B$5-Assumptions!$B$4)/Assumptions!$B$3*Assumptions!$B$10</f>
        <v>2.23293686445995</v>
      </c>
      <c r="E27" s="0" t="n">
        <f aca="false">(SUMPRODUCT(DCF_Base!$C$19:$L$19/(1+$A$27/100)^DCF_Base!$C$4:$L$4)+MAX(0,MIN(IF($A$27&gt;$E$23,DCF_Base!$L$19*(1+$E$23/100)/(($A$27-$E$23)/100),DCF_Base!$L$19*DCF_Base!$B$29),DCF_Base!$L$19*DCF_Base!$B$29))/(1+$A$27/100)^DCF_Base!$L$4+Assumptions!$B$5-Assumptions!$B$4)/Assumptions!$B$3*Assumptions!$B$10</f>
        <v>2.2909450173157</v>
      </c>
      <c r="F27" s="0" t="n">
        <f aca="false">(SUMPRODUCT(DCF_Base!$C$19:$L$19/(1+$A$27/100)^DCF_Base!$C$4:$L$4)+MAX(0,MIN(IF($A$27&gt;$F$23,DCF_Base!$L$19*(1+$F$23/100)/(($A$27-$F$23)/100),DCF_Base!$L$19*DCF_Base!$B$29),DCF_Base!$L$19*DCF_Base!$B$29))/(1+$A$27/100)^DCF_Base!$L$4+Assumptions!$B$5-Assumptions!$B$4)/Assumptions!$B$3*Assumptions!$B$10</f>
        <v>2.35620418927842</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1.94813659305983</v>
      </c>
      <c r="C28" s="0" t="n">
        <f aca="false">(SUMPRODUCT(DCF_Base!$C$19:$L$19/(1+$A$28/100)^DCF_Base!$C$4:$L$4)+MAX(0,MIN(IF($A$28&gt;$C$23,DCF_Base!$L$19*(1+$C$23/100)/(($A$28-$C$23)/100),DCF_Base!$L$19*DCF_Base!$B$29),DCF_Base!$L$19*DCF_Base!$B$29))/(1+$A$28/100)^DCF_Base!$L$4+Assumptions!$B$5-Assumptions!$B$4)/Assumptions!$B$3*Assumptions!$B$10</f>
        <v>1.983590948301</v>
      </c>
      <c r="D28" s="0" t="n">
        <f aca="false">(SUMPRODUCT(DCF_Base!$C$19:$L$19/(1+$A$28/100)^DCF_Base!$C$4:$L$4)+MAX(0,MIN(IF($A$28&gt;$D$23,DCF_Base!$L$19*(1+$D$23/100)/(($A$28-$D$23)/100),DCF_Base!$L$19*DCF_Base!$B$29),DCF_Base!$L$19*DCF_Base!$B$29))/(1+$A$28/100)^DCF_Base!$L$4+Assumptions!$B$5-Assumptions!$B$4)/Assumptions!$B$3*Assumptions!$B$10</f>
        <v>2.02259073906628</v>
      </c>
      <c r="E28" s="0" t="n">
        <f aca="false">(SUMPRODUCT(DCF_Base!$C$19:$L$19/(1+$A$28/100)^DCF_Base!$C$4:$L$4)+MAX(0,MIN(IF($A$28&gt;$E$23,DCF_Base!$L$19*(1+$E$23/100)/(($A$28-$E$23)/100),DCF_Base!$L$19*DCF_Base!$B$29),DCF_Base!$L$19*DCF_Base!$B$29))/(1+$A$28/100)^DCF_Base!$L$4+Assumptions!$B$5-Assumptions!$B$4)/Assumptions!$B$3*Assumptions!$B$10</f>
        <v>2.06569577096476</v>
      </c>
      <c r="F28" s="0" t="n">
        <f aca="false">(SUMPRODUCT(DCF_Base!$C$19:$L$19/(1+$A$28/100)^DCF_Base!$C$4:$L$4)+MAX(0,MIN(IF($A$28&gt;$F$23,DCF_Base!$L$19*(1+$F$23/100)/(($A$28-$F$23)/100),DCF_Base!$L$19*DCF_Base!$B$29),DCF_Base!$L$19*DCF_Base!$B$29))/(1+$A$28/100)^DCF_Base!$L$4+Assumptions!$B$5-Assumptions!$B$4)/Assumptions!$B$3*Assumptions!$B$10</f>
        <v>2.11359025085195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2026-10-22T13:46:56Z</dcterms:created>
  <dc:creator>openpyxl</dc:creator>
  <dc:description/>
  <dc:language>en-NZ</dc:language>
  <cp:lastModifiedBy/>
  <dcterms:modified xsi:type="dcterms:W3CDTF">2026-10-22T13:46:56Z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