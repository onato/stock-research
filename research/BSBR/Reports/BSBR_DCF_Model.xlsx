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<sst xmlns="http://schemas.openxmlformats.org/spreadsheetml/2006/main" count="365" uniqueCount="172">
  <si>
    <t xml:space="preserve">Ticker</t>
  </si>
  <si>
    <t xml:space="preserve">BSBR</t>
  </si>
  <si>
    <t xml:space="preserve">Company</t>
  </si>
  <si>
    <t xml:space="preserve">Banco Santander (Brasil) S.A.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</si>
  <si>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</si>
  <si>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</si>
  <si>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</si>
  <si>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</si>
  <si>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2026-10-02T20:00:03Z regular close (NYSE)</t>
  </si>
  <si>
    <t xml:space="preserve">Balance sheet date</t>
  </si>
  <si>
    <t xml:space="preserve">2026-06-30</t>
  </si>
  <si>
    <t xml:space="preserve">Model</t>
  </si>
  <si>
    <t xml:space="preserve">Bank FCFE at cost of equity (engine route, net debt zero, retention on book growth)</t>
  </si>
  <si>
    <t xml:space="preserve">Currency (model)</t>
  </si>
  <si>
    <t xml:space="preserve">BRL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</si>
  <si>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</si>
  <si>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</si>
  <si>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</si>
  <si>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</si>
  <si>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</si>
  <si>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</si>
  <si>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</si>
  <si>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2026-10-03T21:19:24Z</t>
  </si>
  <si>
    <t xml:space="preserve">Drivers file</t>
  </si>
  <si>
    <t xml:space="preserve">BSBR_Drivers.json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</si>
  <si>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</si>
  <si>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</si>
  <si>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</si>
  <si>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worth its book value times the spread of sustainable ROE over the cost of equity. BSBR trades at ~1.0x managerial book: the market is pricing ROE roughly equal to a ~15% BRL cost of equity. The base case gives modest upside only because it assumes the FY2027 recovery to mid-teens ROE; the bear case (ROE stuck at 12.5%) is worth ~25% less. All values are computed in BRL and converted to USD per ADS at spot, so a BRL move hits the ADR one-for-one.
key_risks_to_valuation: ROE recovery fails: 2Q26 12.5% ROE persists (cost of risk ~4%, spread compression continues); BRL depreciation: the ADR value moves one-for-one with USD/BRL; no FX hedge in the model; IoC (interest-on-capital) tax reform reducing or removing the deduction would lift the leakage rate well above 16%; Brazil fiscal stress keeping Selic and long rates high (raises cost of equity, slows loan growth); Competitive share loss to Nubank, Itau and BTG in cards and SME; Controlling shareholder Santander Spain (~90% economic) sets payout and capital policy; minority float is thin</t>
  </si>
  <si>
    <t xml:space="preserve">Data sources</t>
  </si>
  <si>
    <t xml:space="preserve">price: Yahoo Finance chart API at inputs.price_as_of (BSBR, NYSE); 52-week range 4.94-7.32. FX Yahoo BRL=X; parity SANB11.SA.
financials: BSBR 20-F FY2016-FY2025 (IFRS, BRL millions) via BSBR_Metrics.csv; 3Q25, 4Q25 and 2Q26 managerial earnings releases (6-K) for the TTM revenue, PBT, tax, NCI, recurring net profit, equity, CET1 and share count.
qualitative: BSBR_Analysis.json (dcf_notes_for_analyst: NIM direction, cost-of-risk trend, ROE trajectory and FY2026 12-15% guidance, IoC policy, one-offs).</t>
  </si>
  <si>
    <t xml:space="preserve">Scenario narrative: bear</t>
  </si>
  <si>
    <t xml:space="preserve">Spread compression and elevated credit costs persist: ROE stuck at 12-13%, below the cost of equity, competitive share loss to Nubank/Itau in cards and SME, low single-digit growth. The bank compounds book at a return its owners would not accept.</t>
  </si>
  <si>
    <t xml:space="preserve">Scenario narrative: base</t>
  </si>
  <si>
    <t xml:space="preserve">Trough-to-recovery: FY2026 ROE in the 12-15% guided range, a 'more material' recovery in FY2027 as the mass-market exit, secured-lending mix shift and Selic easing pass through, and a mid-teens (~16.5%) mature ROE -- modestly above a 15% BRL cost of equity, which is why the bank is worth slightly more than book.</t>
  </si>
  <si>
    <t xml:space="preserve">Scenario narrative: bull</t>
  </si>
  <si>
    <t xml:space="preserve">Spread recovery plus credit normalization plus Selic easing all land: ROE back to ~19% (FY2019 levels), 9-10% loan-driven revenue growth, efficiency gains from the branch cut. Requires several independent things to go right.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</si>
  <si>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</si>
  <si>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</si>
  <si>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</si>
  <si>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</si>
  <si>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</si>
  <si>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</si>
  <si>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</si>
  <si>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</si>
  <si>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</si>
  <si>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</si>
  <si>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</si>
  <si>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</si>
  <si>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</si>
  <si>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</si>
  <si>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</si>
  <si>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</si>
  <si>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</si>
  <si>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</si>
  <si>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</si>
  <si>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</si>
  <si>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</si>
  <si>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</si>
  <si>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</si>
  <si>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</si>
  <si>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</si>
  <si>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</si>
  <si>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</si>
  <si>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BasicEPS</t>
  </si>
  <si>
    <t xml:space="preserve">CreditImpairmentCharge</t>
  </si>
  <si>
    <t xml:space="preserve">CustomerDeposits</t>
  </si>
  <si>
    <t xml:space="preserve">NetInterestIncome</t>
  </si>
  <si>
    <t xml:space="preserve">NetLoansAndAdvances</t>
  </si>
  <si>
    <t xml:space="preserve">TotalEquityInclNCI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</si>
  <si>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</si>
  <si>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</si>
  <si>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</si>
  <si>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</si>
  <si>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</si>
  <si>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</si>
  <si>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</si>
  <si>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</si>
  <si>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</si>
  <si>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</si>
  <si>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</si>
  <si>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</si>
  <si>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</si>
  <si>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</si>
  <si>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</si>
  <si>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</si>
  <si>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</si>
  <si>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</si>
  <si>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</si>
  <si>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2026-06-30 (3Q25-2Q26, managerial BRGAAP)</t>
  </si>
  <si>
    <t xml:space="preserve">Currency / units</t>
  </si>
  <si>
    <t xml:space="preserve">BRL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</si>
  <si>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</si>
  <si>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</si>
  <si>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</si>
  <si>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</si>
  <si>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</si>
  <si>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</si>
  <si>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</si>
  <si>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</si>
  <si>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</si>
  <si>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</si>
  <si>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</si>
  <si>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</si>
  <si>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</si>
  <si>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</si>
  <si>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</si>
  <si>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</si>
  <si>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</si>
  <si>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</si>
  <si>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</si>
  <si>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</si>
  <si>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</si>
  <si>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</si>
  <si>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</si>
  <si>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</si>
  <si>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</si>
  <si>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</si>
  <si>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BSBR owner-FCF component DCF: bear case (millions, BRL)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</si>
  <si>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</si>
  <si>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</si>
  <si>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</si>
  <si>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</si>
  <si>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</si>
  <si>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</si>
  <si>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</si>
  <si>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</si>
  <si>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</si>
  <si>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</si>
  <si>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</si>
  <si>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</si>
  <si>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</si>
  <si>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</si>
  <si>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</si>
  <si>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</si>
  <si>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</si>
  <si>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</si>
  <si>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</si>
  <si>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</si>
  <si>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</si>
  <si>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</si>
  <si>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</si>
  <si>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</si>
  <si>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</si>
  <si>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</si>
  <si>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</si>
  <si>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</si>
  <si>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</si>
  <si>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</si>
  <si>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BSBR owner-FCF component DCF: base case (millions, BRL)</t>
  </si>
  <si>
    <t xml:space="preserve">BSBR owner-FCF component DCF: bull case (millions, BRL)</t>
  </si>
  <si>
    <t xml:space="preserve">BSBR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</si>
  <si>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</si>
  <si>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</si>
  <si>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</si>
  <si>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</si>
  <si>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</si>
  <si>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</si>
  <si>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</si>
  <si>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</si>
  <si>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</si>
  <si>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</si>
  <si>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</si>
  <si>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</si>
  <si>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</si>
  <si>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</si>
  <si>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</si>
  <si>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</si>
  <si>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</si>
  <si>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</si>
  <si>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 (WACC)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</si>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</sst>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48836.57</v>
      </c>
      <c r="I2" s="0" t="n">
        <v>7334.563</v>
      </c>
      <c r="J2" s="0" t="n">
        <v>15</v>
      </c>
      <c r="K2" s="0" t="n">
        <v>0.92993</v>
      </c>
      <c r="L2" s="0" t="n">
        <v>6748.607</v>
      </c>
      <c r="M2" s="0" t="n">
        <v>1543.716</v>
      </c>
      <c r="O2" s="0" t="n">
        <v>84087.055</v>
      </c>
      <c r="P2" s="0" t="n">
        <v>634393.24</v>
      </c>
      <c r="Q2" s="0" t="n">
        <v>549580.681</v>
      </c>
      <c r="R2" s="0" t="n">
        <v>108621.119</v>
      </c>
      <c r="S2" s="0" t="n">
        <v>18129.581</v>
      </c>
      <c r="T2" s="0" t="n">
        <v>7518.3</v>
      </c>
      <c r="U2" s="0" t="n">
        <v>86.963</v>
      </c>
      <c r="AA2" s="0" t="s">
        <v>18</v>
      </c>
      <c r="AB2" s="0" t="s">
        <v>14</v>
      </c>
      <c r="AC2" s="0" t="n">
        <v>0.92993</v>
      </c>
      <c r="AD2" s="0" t="n">
        <v>13301.445</v>
      </c>
      <c r="AE2" s="0" t="n">
        <v>247445.177</v>
      </c>
      <c r="AF2" s="0" t="n">
        <v>30586.493</v>
      </c>
      <c r="AH2" s="0" t="n">
        <v>84812.559</v>
      </c>
    </row>
    <row r="3" customFormat="false" ht="15" hidden="false" customHeight="false" outlineLevel="0" collapsed="false">
      <c r="A3" s="0" t="s">
        <v>71</v>
      </c>
      <c r="B3" s="0" t="n">
        <v>48725.161</v>
      </c>
      <c r="I3" s="0" t="n">
        <v>8924.064</v>
      </c>
      <c r="J3" s="0" t="n">
        <v>18.3</v>
      </c>
      <c r="K3" s="0" t="n">
        <v>1.13343</v>
      </c>
      <c r="L3" s="0" t="n">
        <v>50291.05</v>
      </c>
      <c r="M3" s="0" t="n">
        <v>1844.96</v>
      </c>
      <c r="O3" s="0" t="n">
        <v>86650.707</v>
      </c>
      <c r="P3" s="0" t="n">
        <v>645703.039</v>
      </c>
      <c r="Q3" s="0" t="n">
        <v>558615.438</v>
      </c>
      <c r="R3" s="0" t="n">
        <v>79203.143</v>
      </c>
      <c r="S3" s="0" t="n">
        <v>22670.902</v>
      </c>
      <c r="T3" s="0" t="n">
        <v>7505.2</v>
      </c>
      <c r="U3" s="0" t="n">
        <v>87.293</v>
      </c>
      <c r="AA3" s="0" t="s">
        <v>18</v>
      </c>
      <c r="AB3" s="0" t="s">
        <v>14</v>
      </c>
      <c r="AC3" s="0" t="n">
        <v>1.13343</v>
      </c>
      <c r="AD3" s="0" t="n">
        <v>12338.3</v>
      </c>
      <c r="AE3" s="0" t="n">
        <v>276042.141</v>
      </c>
      <c r="AF3" s="0" t="n">
        <v>34946.489</v>
      </c>
      <c r="AH3" s="0" t="n">
        <v>87087.601</v>
      </c>
    </row>
    <row r="4" customFormat="false" ht="15" hidden="false" customHeight="false" outlineLevel="0" collapsed="false">
      <c r="A4" s="0" t="s">
        <v>72</v>
      </c>
      <c r="B4" s="0" t="n">
        <v>49506.959</v>
      </c>
      <c r="I4" s="0" t="n">
        <v>12582.477</v>
      </c>
      <c r="J4" s="0" t="n">
        <v>25.4</v>
      </c>
      <c r="K4" s="0" t="n">
        <v>1.60434</v>
      </c>
      <c r="L4" s="0" t="n">
        <v>8277.374</v>
      </c>
      <c r="M4" s="0" t="n">
        <v>3010.521</v>
      </c>
      <c r="O4" s="0" t="n">
        <v>91065.47</v>
      </c>
      <c r="P4" s="0" t="n">
        <v>723865.007</v>
      </c>
      <c r="Q4" s="0" t="n">
        <v>632269.547</v>
      </c>
      <c r="R4" s="0" t="n">
        <v>94291.783</v>
      </c>
      <c r="S4" s="0" t="n">
        <v>25285.16</v>
      </c>
      <c r="T4" s="0" t="n">
        <v>7475.9</v>
      </c>
      <c r="U4" s="0" t="n">
        <v>58.05</v>
      </c>
      <c r="AA4" s="0" t="s">
        <v>18</v>
      </c>
      <c r="AB4" s="0" t="s">
        <v>14</v>
      </c>
      <c r="AC4" s="0" t="n">
        <v>1.60434</v>
      </c>
      <c r="AD4" s="0" t="n">
        <v>12713.435</v>
      </c>
      <c r="AE4" s="0" t="n">
        <v>304197.8</v>
      </c>
      <c r="AF4" s="0" t="n">
        <v>41921.342</v>
      </c>
      <c r="AG4" s="0" t="n">
        <v>301691.387</v>
      </c>
      <c r="AH4" s="0" t="n">
        <v>91595.46</v>
      </c>
    </row>
    <row r="5" customFormat="false" ht="15" hidden="false" customHeight="false" outlineLevel="0" collapsed="false">
      <c r="A5" s="0" t="s">
        <v>73</v>
      </c>
      <c r="B5" s="0" t="n">
        <v>58768.969</v>
      </c>
      <c r="I5" s="0" t="n">
        <v>16406.932</v>
      </c>
      <c r="J5" s="0" t="n">
        <v>27.9</v>
      </c>
      <c r="K5" s="0" t="n">
        <v>2.09483</v>
      </c>
      <c r="L5" s="0" t="n">
        <v>24871.8</v>
      </c>
      <c r="M5" s="0" t="n">
        <v>3444.508</v>
      </c>
      <c r="O5" s="0" t="n">
        <v>96650.58</v>
      </c>
      <c r="P5" s="0" t="n">
        <v>762237.452</v>
      </c>
      <c r="Q5" s="0" t="n">
        <v>665028.291</v>
      </c>
      <c r="R5" s="0" t="n">
        <v>83878.435</v>
      </c>
      <c r="S5" s="0" t="n">
        <v>21443.663</v>
      </c>
      <c r="T5" s="0" t="n">
        <v>7465.7</v>
      </c>
      <c r="U5" s="0" t="n">
        <v>88.248</v>
      </c>
      <c r="AA5" s="0" t="s">
        <v>18</v>
      </c>
      <c r="AB5" s="0" t="s">
        <v>14</v>
      </c>
      <c r="AC5" s="0" t="n">
        <v>2.09483</v>
      </c>
      <c r="AD5" s="0" t="n">
        <v>13369.905</v>
      </c>
      <c r="AE5" s="0" t="n">
        <v>336514.597</v>
      </c>
      <c r="AF5" s="0" t="n">
        <v>44321.107</v>
      </c>
      <c r="AG5" s="0" t="n">
        <v>326699.48</v>
      </c>
      <c r="AH5" s="0" t="n">
        <v>97209.161</v>
      </c>
    </row>
    <row r="6" customFormat="false" ht="15" hidden="false" customHeight="false" outlineLevel="0" collapsed="false">
      <c r="A6" s="0" t="s">
        <v>74</v>
      </c>
      <c r="B6" s="0" t="n">
        <v>48241.529</v>
      </c>
      <c r="I6" s="0" t="n">
        <v>13418.529</v>
      </c>
      <c r="J6" s="0" t="n">
        <v>27.8</v>
      </c>
      <c r="K6" s="0" t="n">
        <v>1.71345</v>
      </c>
      <c r="L6" s="0" t="n">
        <v>42317.956</v>
      </c>
      <c r="M6" s="0" t="n">
        <v>2005.708</v>
      </c>
      <c r="O6" s="0" t="n">
        <v>105776.987</v>
      </c>
      <c r="P6" s="0" t="n">
        <v>936201.485</v>
      </c>
      <c r="Q6" s="0" t="n">
        <v>830111.613</v>
      </c>
      <c r="R6" s="0" t="n">
        <v>69995.174</v>
      </c>
      <c r="S6" s="0" t="n">
        <v>28446.808</v>
      </c>
      <c r="T6" s="0" t="n">
        <v>7464.8</v>
      </c>
      <c r="U6" s="0" t="n">
        <v>19.348</v>
      </c>
      <c r="AA6" s="0" t="s">
        <v>18</v>
      </c>
      <c r="AB6" s="0" t="s">
        <v>14</v>
      </c>
      <c r="AC6" s="0" t="n">
        <v>1.71345</v>
      </c>
      <c r="AD6" s="0" t="n">
        <v>17450.188</v>
      </c>
      <c r="AE6" s="0" t="n">
        <v>445813.972</v>
      </c>
      <c r="AF6" s="0" t="n">
        <v>44442.712</v>
      </c>
      <c r="AG6" s="0" t="n">
        <v>393768.037</v>
      </c>
      <c r="AH6" s="0" t="n">
        <v>106089.872</v>
      </c>
    </row>
    <row r="7" customFormat="false" ht="15" hidden="false" customHeight="false" outlineLevel="0" collapsed="false">
      <c r="A7" s="0" t="s">
        <v>75</v>
      </c>
      <c r="B7" s="0" t="n">
        <v>63926.107</v>
      </c>
      <c r="I7" s="0" t="n">
        <v>15528.052</v>
      </c>
      <c r="J7" s="0" t="n">
        <v>24.3</v>
      </c>
      <c r="K7" s="0" t="n">
        <v>1.98165</v>
      </c>
      <c r="L7" s="0" t="n">
        <v>6807.143</v>
      </c>
      <c r="M7" s="0" t="n">
        <v>2663.336</v>
      </c>
      <c r="O7" s="0" t="n">
        <v>105640.146</v>
      </c>
      <c r="P7" s="0" t="n">
        <v>931208.396</v>
      </c>
      <c r="Q7" s="0" t="n">
        <v>825233.901</v>
      </c>
      <c r="R7" s="0" t="n">
        <v>106137.984</v>
      </c>
      <c r="S7" s="0" t="n">
        <v>32668.749</v>
      </c>
      <c r="T7" s="0" t="n">
        <v>7469.3</v>
      </c>
      <c r="U7" s="0" t="n">
        <v>24.045</v>
      </c>
      <c r="AA7" s="0" t="s">
        <v>18</v>
      </c>
      <c r="AB7" s="0" t="s">
        <v>14</v>
      </c>
      <c r="AC7" s="0" t="n">
        <v>1.98165</v>
      </c>
      <c r="AD7" s="0" t="n">
        <v>17112.734</v>
      </c>
      <c r="AE7" s="0" t="n">
        <v>468961.069</v>
      </c>
      <c r="AF7" s="0" t="n">
        <v>51318.466</v>
      </c>
      <c r="AG7" s="0" t="n">
        <v>464844.042</v>
      </c>
      <c r="AH7" s="0" t="n">
        <v>105974.495</v>
      </c>
    </row>
    <row r="8" customFormat="false" ht="15" hidden="false" customHeight="false" outlineLevel="0" collapsed="false">
      <c r="A8" s="0" t="s">
        <v>76</v>
      </c>
      <c r="B8" s="0" t="n">
        <v>66474.533</v>
      </c>
      <c r="I8" s="0" t="n">
        <v>14287.093</v>
      </c>
      <c r="J8" s="0" t="n">
        <v>21.5</v>
      </c>
      <c r="K8" s="0" t="n">
        <v>1.83143</v>
      </c>
      <c r="L8" s="0" t="n">
        <v>6847.026</v>
      </c>
      <c r="M8" s="0" t="n">
        <v>2863.659</v>
      </c>
      <c r="O8" s="0" t="n">
        <v>110182.834</v>
      </c>
      <c r="P8" s="0" t="n">
        <v>985450.829</v>
      </c>
      <c r="Q8" s="0" t="n">
        <v>874770.653</v>
      </c>
      <c r="R8" s="0" t="n">
        <v>135580.011</v>
      </c>
      <c r="S8" s="0" t="n">
        <v>49565.334</v>
      </c>
      <c r="T8" s="0" t="n">
        <v>7436.2</v>
      </c>
      <c r="U8" s="0" t="n">
        <v>39.876</v>
      </c>
      <c r="AA8" s="0" t="s">
        <v>18</v>
      </c>
      <c r="AB8" s="0" t="s">
        <v>14</v>
      </c>
      <c r="AC8" s="0" t="n">
        <v>1.83143</v>
      </c>
      <c r="AD8" s="0" t="n">
        <v>24828.749</v>
      </c>
      <c r="AE8" s="0" t="n">
        <v>489953.489</v>
      </c>
      <c r="AF8" s="0" t="n">
        <v>47503.177</v>
      </c>
      <c r="AG8" s="0" t="n">
        <v>490630.028</v>
      </c>
      <c r="AH8" s="0" t="n">
        <v>110680.176</v>
      </c>
    </row>
    <row r="9" customFormat="false" ht="15" hidden="false" customHeight="false" outlineLevel="0" collapsed="false">
      <c r="A9" s="0" t="s">
        <v>77</v>
      </c>
      <c r="B9" s="0" t="n">
        <v>65864.31</v>
      </c>
      <c r="I9" s="0" t="n">
        <v>9449.313</v>
      </c>
      <c r="J9" s="0" t="n">
        <v>14.3</v>
      </c>
      <c r="K9" s="0" t="n">
        <v>1.20883</v>
      </c>
      <c r="L9" s="0" t="n">
        <v>36614.788</v>
      </c>
      <c r="M9" s="0" t="n">
        <v>3352.719</v>
      </c>
      <c r="O9" s="0" t="n">
        <v>114453.004</v>
      </c>
      <c r="P9" s="0" t="n">
        <v>1115652.776</v>
      </c>
      <c r="Q9" s="0" t="n">
        <v>1000796.422</v>
      </c>
      <c r="R9" s="0" t="n">
        <v>150009.982</v>
      </c>
      <c r="S9" s="0" t="n">
        <v>89417.76</v>
      </c>
      <c r="T9" s="0" t="n">
        <v>7451.3</v>
      </c>
      <c r="U9" s="0" t="n">
        <v>163.695</v>
      </c>
      <c r="AA9" s="0" t="s">
        <v>18</v>
      </c>
      <c r="AB9" s="0" t="s">
        <v>14</v>
      </c>
      <c r="AC9" s="0" t="n">
        <v>1.20883</v>
      </c>
      <c r="AD9" s="0" t="n">
        <v>28008.086</v>
      </c>
      <c r="AE9" s="0" t="n">
        <v>583220.576</v>
      </c>
      <c r="AF9" s="0" t="n">
        <v>46884.034</v>
      </c>
      <c r="AG9" s="0" t="n">
        <v>517977.135</v>
      </c>
      <c r="AH9" s="0" t="n">
        <v>114856.354</v>
      </c>
    </row>
    <row r="10" customFormat="false" ht="15" hidden="false" customHeight="false" outlineLevel="0" collapsed="false">
      <c r="A10" s="0" t="s">
        <v>78</v>
      </c>
      <c r="B10" s="0" t="n">
        <v>73757.286</v>
      </c>
      <c r="I10" s="0" t="n">
        <v>13365.506</v>
      </c>
      <c r="J10" s="0" t="n">
        <v>18.1</v>
      </c>
      <c r="K10" s="0" t="n">
        <v>1.70802</v>
      </c>
      <c r="L10" s="0" t="n">
        <v>-21131.267</v>
      </c>
      <c r="M10" s="0" t="n">
        <v>2609.981</v>
      </c>
      <c r="O10" s="0" t="n">
        <v>119491.685</v>
      </c>
      <c r="P10" s="0" t="n">
        <v>1238796.81</v>
      </c>
      <c r="Q10" s="0" t="n">
        <v>1118969.678</v>
      </c>
      <c r="R10" s="0" t="n">
        <v>162815.912</v>
      </c>
      <c r="S10" s="0" t="n">
        <v>67200.905</v>
      </c>
      <c r="T10" s="0" t="n">
        <v>7459.1</v>
      </c>
      <c r="U10" s="0" t="n">
        <v>22.334</v>
      </c>
      <c r="AA10" s="0" t="s">
        <v>18</v>
      </c>
      <c r="AB10" s="0" t="s">
        <v>14</v>
      </c>
      <c r="AC10" s="0" t="n">
        <v>1.70802</v>
      </c>
      <c r="AD10" s="0" t="n">
        <v>28484.03</v>
      </c>
      <c r="AE10" s="0" t="n">
        <v>605068.163</v>
      </c>
      <c r="AF10" s="0" t="n">
        <v>56678.56</v>
      </c>
      <c r="AG10" s="0" t="n">
        <v>566089.914</v>
      </c>
      <c r="AH10" s="0" t="n">
        <v>119827.132</v>
      </c>
    </row>
    <row r="11" customFormat="false" ht="15" hidden="false" customHeight="false" outlineLevel="0" collapsed="false">
      <c r="A11" s="0" t="s">
        <v>79</v>
      </c>
      <c r="B11" s="0" t="n">
        <v>74996.557</v>
      </c>
      <c r="I11" s="0" t="n">
        <v>12766.035</v>
      </c>
      <c r="J11" s="0" t="n">
        <v>17</v>
      </c>
      <c r="K11" s="0" t="n">
        <v>1.62922</v>
      </c>
      <c r="L11" s="0" t="n">
        <v>4992.175</v>
      </c>
      <c r="M11" s="0" t="n">
        <v>3142.724</v>
      </c>
      <c r="O11" s="0" t="n">
        <v>125173.53</v>
      </c>
      <c r="P11" s="0" t="n">
        <v>1270029.465</v>
      </c>
      <c r="Q11" s="0" t="n">
        <v>1143476.321</v>
      </c>
      <c r="R11" s="0" t="n">
        <v>188039.493</v>
      </c>
      <c r="S11" s="0" t="n">
        <v>73272.606</v>
      </c>
      <c r="T11" s="0" t="n">
        <v>7469.2</v>
      </c>
      <c r="U11" s="0" t="n">
        <v>0.227</v>
      </c>
      <c r="AA11" s="0" t="s">
        <v>18</v>
      </c>
      <c r="AB11" s="0" t="s">
        <v>14</v>
      </c>
      <c r="AC11" s="0" t="n">
        <v>1.62922</v>
      </c>
      <c r="AD11" s="0" t="n">
        <v>29539.862</v>
      </c>
      <c r="AE11" s="0" t="n">
        <v>593328.796</v>
      </c>
      <c r="AF11" s="0" t="n">
        <v>57634.318</v>
      </c>
      <c r="AG11" s="0" t="n">
        <v>564548.556</v>
      </c>
      <c r="AH11" s="0" t="n">
        <v>126553.144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5.4</v>
      </c>
    </row>
    <row r="3" customFormat="false" ht="15" hidden="false" customHeight="false" outlineLevel="0" collapsed="false">
      <c r="A3" s="0" t="s">
        <v>83</v>
      </c>
      <c r="B3" s="3" t="n">
        <v>3744</v>
      </c>
    </row>
    <row r="4" customFormat="false" ht="15" hidden="false" customHeight="false" outlineLevel="0" collapsed="false">
      <c r="A4" s="0" t="s">
        <v>84</v>
      </c>
      <c r="B4" s="3" t="n">
        <v>0</v>
      </c>
    </row>
    <row r="5" customFormat="false" ht="15" hidden="false" customHeight="false" outlineLevel="0" collapsed="false">
      <c r="A5" s="0" t="s">
        <v>85</v>
      </c>
      <c r="B5" s="3" t="n">
        <v>0</v>
      </c>
    </row>
    <row r="6" customFormat="false" ht="15" hidden="false" customHeight="false" outlineLevel="0" collapsed="false">
      <c r="A6" s="0" t="s">
        <v>86</v>
      </c>
      <c r="B6" s="3" t="n">
        <v>17</v>
      </c>
    </row>
    <row r="7" customFormat="false" ht="15" hidden="false" customHeight="false" outlineLevel="0" collapsed="false">
      <c r="A7" s="0" t="s">
        <v>87</v>
      </c>
      <c r="B7" s="3" t="n">
        <v>83769</v>
      </c>
    </row>
    <row r="8" customFormat="false" ht="15" hidden="false" customHeight="false" outlineLevel="0" collapsed="false">
      <c r="A8" s="0" t="s">
        <v>88</v>
      </c>
      <c r="B8" s="3" t="s">
        <v>89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0.19149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1</v>
      </c>
      <c r="D13" s="3" t="n">
        <v>4</v>
      </c>
      <c r="E13" s="3" t="n">
        <v>6</v>
      </c>
      <c r="F13" s="3" t="n">
        <v>6</v>
      </c>
      <c r="G13" s="3" t="n">
        <v>5.5</v>
      </c>
      <c r="H13" s="3" t="n">
        <v>5.5</v>
      </c>
      <c r="I13" s="3" t="n">
        <v>5</v>
      </c>
      <c r="J13" s="3" t="n">
        <v>5</v>
      </c>
      <c r="K13" s="3" t="n">
        <v>5</v>
      </c>
      <c r="L13" s="3" t="n">
        <v>5</v>
      </c>
    </row>
    <row r="14" customFormat="false" ht="15" hidden="false" customHeight="false" outlineLevel="0" collapsed="false">
      <c r="A14" s="0" t="s">
        <v>105</v>
      </c>
      <c r="C14" s="3" t="n">
        <v>15.5</v>
      </c>
      <c r="D14" s="3" t="n">
        <v>16.2</v>
      </c>
      <c r="E14" s="3" t="n">
        <v>16.9</v>
      </c>
      <c r="F14" s="3" t="n">
        <v>17.2</v>
      </c>
      <c r="G14" s="3" t="n">
        <v>17.2</v>
      </c>
      <c r="H14" s="3" t="n">
        <v>17.2</v>
      </c>
      <c r="I14" s="3" t="n">
        <v>17.2</v>
      </c>
      <c r="J14" s="3" t="n">
        <v>17.2</v>
      </c>
      <c r="K14" s="3" t="n">
        <v>17.2</v>
      </c>
      <c r="L14" s="3" t="n">
        <v>17.2</v>
      </c>
    </row>
    <row r="15" customFormat="false" ht="15" hidden="false" customHeight="false" outlineLevel="0" collapsed="false">
      <c r="A15" s="0" t="s">
        <v>106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109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110</v>
      </c>
      <c r="C19" s="3" t="n">
        <v>10</v>
      </c>
      <c r="D19" s="3" t="n">
        <v>13</v>
      </c>
      <c r="E19" s="3" t="n">
        <v>15</v>
      </c>
      <c r="F19" s="3" t="n">
        <v>16</v>
      </c>
      <c r="G19" s="3" t="n">
        <v>16</v>
      </c>
      <c r="H19" s="3" t="n">
        <v>16</v>
      </c>
      <c r="I19" s="3" t="n">
        <v>16</v>
      </c>
      <c r="J19" s="3" t="n">
        <v>16</v>
      </c>
      <c r="K19" s="3" t="n">
        <v>16</v>
      </c>
      <c r="L19" s="3" t="n">
        <v>16</v>
      </c>
    </row>
    <row r="20" customFormat="false" ht="15" hidden="false" customHeight="false" outlineLevel="0" collapsed="false">
      <c r="A20" s="0" t="s">
        <v>111</v>
      </c>
      <c r="B20" s="3" t="n">
        <v>15</v>
      </c>
    </row>
    <row r="21" customFormat="false" ht="15" hidden="false" customHeight="false" outlineLevel="0" collapsed="false">
      <c r="A21" s="0" t="s">
        <v>112</v>
      </c>
      <c r="B21" s="3" t="n">
        <v>5</v>
      </c>
    </row>
    <row r="22" customFormat="false" ht="15" hidden="false" customHeight="false" outlineLevel="0" collapsed="false">
      <c r="A22" s="0" t="s">
        <v>113</v>
      </c>
      <c r="B22" s="3" t="n">
        <v>13</v>
      </c>
    </row>
    <row r="23" customFormat="false" ht="15" hidden="false" customHeight="false" outlineLevel="0" collapsed="false">
      <c r="A23" s="0" t="s">
        <v>114</v>
      </c>
      <c r="B23" s="3" t="n">
        <v>-117.2</v>
      </c>
    </row>
    <row r="24" customFormat="false" ht="15" hidden="false" customHeight="false" outlineLevel="0" collapsed="false">
      <c r="A24" s="0" t="s">
        <v>115</v>
      </c>
      <c r="B24" s="3" t="n">
        <v>0.3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3</v>
      </c>
      <c r="D27" s="3" t="n">
        <v>7</v>
      </c>
      <c r="E27" s="3" t="n">
        <v>8</v>
      </c>
      <c r="F27" s="3" t="n">
        <v>8</v>
      </c>
      <c r="G27" s="3" t="n">
        <v>7.5</v>
      </c>
      <c r="H27" s="3" t="n">
        <v>7</v>
      </c>
      <c r="I27" s="3" t="n">
        <v>6.5</v>
      </c>
      <c r="J27" s="3" t="n">
        <v>6</v>
      </c>
      <c r="K27" s="3" t="n">
        <v>6</v>
      </c>
      <c r="L27" s="3" t="n">
        <v>6</v>
      </c>
    </row>
    <row r="28" customFormat="false" ht="15" hidden="false" customHeight="false" outlineLevel="0" collapsed="false">
      <c r="A28" s="0" t="s">
        <v>105</v>
      </c>
      <c r="C28" s="3" t="n">
        <v>17.1</v>
      </c>
      <c r="D28" s="3" t="n">
        <v>18.9</v>
      </c>
      <c r="E28" s="3" t="n">
        <v>20.4</v>
      </c>
      <c r="F28" s="3" t="n">
        <v>21.5</v>
      </c>
      <c r="G28" s="3" t="n">
        <v>21.5</v>
      </c>
      <c r="H28" s="3" t="n">
        <v>21.5</v>
      </c>
      <c r="I28" s="3" t="n">
        <v>21.5</v>
      </c>
      <c r="J28" s="3" t="n">
        <v>21.5</v>
      </c>
      <c r="K28" s="3" t="n">
        <v>21.5</v>
      </c>
      <c r="L28" s="3" t="n">
        <v>21.5</v>
      </c>
    </row>
    <row r="29" customFormat="false" ht="15" hidden="false" customHeight="false" outlineLevel="0" collapsed="false">
      <c r="A29" s="0" t="s">
        <v>106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109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 customFormat="false" ht="15" hidden="false" customHeight="false" outlineLevel="0" collapsed="false">
      <c r="A33" s="0" t="s">
        <v>110</v>
      </c>
      <c r="C33" s="3" t="n">
        <v>10</v>
      </c>
      <c r="D33" s="3" t="n">
        <v>13</v>
      </c>
      <c r="E33" s="3" t="n">
        <v>15</v>
      </c>
      <c r="F33" s="3" t="n">
        <v>16</v>
      </c>
      <c r="G33" s="3" t="n">
        <v>16</v>
      </c>
      <c r="H33" s="3" t="n">
        <v>16</v>
      </c>
      <c r="I33" s="3" t="n">
        <v>16</v>
      </c>
      <c r="J33" s="3" t="n">
        <v>16</v>
      </c>
      <c r="K33" s="3" t="n">
        <v>16</v>
      </c>
      <c r="L33" s="3" t="n">
        <v>16</v>
      </c>
    </row>
    <row r="34" customFormat="false" ht="15" hidden="false" customHeight="false" outlineLevel="0" collapsed="false">
      <c r="A34" s="0" t="s">
        <v>111</v>
      </c>
      <c r="B34" s="3" t="n">
        <v>15</v>
      </c>
    </row>
    <row r="35" customFormat="false" ht="15" hidden="false" customHeight="false" outlineLevel="0" collapsed="false">
      <c r="A35" s="0" t="s">
        <v>112</v>
      </c>
      <c r="B35" s="3" t="n">
        <v>6</v>
      </c>
    </row>
    <row r="36" customFormat="false" ht="15" hidden="false" customHeight="false" outlineLevel="0" collapsed="false">
      <c r="A36" s="0" t="s">
        <v>113</v>
      </c>
      <c r="B36" s="3" t="n">
        <v>13</v>
      </c>
    </row>
    <row r="37" customFormat="false" ht="15" hidden="false" customHeight="false" outlineLevel="0" collapsed="false">
      <c r="A37" s="0" t="s">
        <v>114</v>
      </c>
      <c r="B37" s="3" t="n">
        <v>-117.2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5</v>
      </c>
      <c r="D41" s="3" t="n">
        <v>9</v>
      </c>
      <c r="E41" s="3" t="n">
        <v>10</v>
      </c>
      <c r="F41" s="3" t="n">
        <v>9</v>
      </c>
      <c r="G41" s="3" t="n">
        <v>8</v>
      </c>
      <c r="H41" s="3" t="n">
        <v>7.5</v>
      </c>
      <c r="I41" s="3" t="n">
        <v>7</v>
      </c>
      <c r="J41" s="3" t="n">
        <v>6.5</v>
      </c>
      <c r="K41" s="3" t="n">
        <v>6.5</v>
      </c>
      <c r="L41" s="3" t="n">
        <v>6.5</v>
      </c>
    </row>
    <row r="42" customFormat="false" ht="15" hidden="false" customHeight="false" outlineLevel="0" collapsed="false">
      <c r="A42" s="0" t="s">
        <v>105</v>
      </c>
      <c r="C42" s="3" t="n">
        <v>18</v>
      </c>
      <c r="D42" s="3" t="n">
        <v>21</v>
      </c>
      <c r="E42" s="3" t="n">
        <v>23.2</v>
      </c>
      <c r="F42" s="3" t="n">
        <v>24.5</v>
      </c>
      <c r="G42" s="3" t="n">
        <v>24.5</v>
      </c>
      <c r="H42" s="3" t="n">
        <v>24.5</v>
      </c>
      <c r="I42" s="3" t="n">
        <v>24.5</v>
      </c>
      <c r="J42" s="3" t="n">
        <v>24.5</v>
      </c>
      <c r="K42" s="3" t="n">
        <v>24.5</v>
      </c>
      <c r="L42" s="3" t="n">
        <v>24.5</v>
      </c>
    </row>
    <row r="43" customFormat="false" ht="15" hidden="false" customHeight="false" outlineLevel="0" collapsed="false">
      <c r="A43" s="0" t="s">
        <v>106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109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 customFormat="false" ht="15" hidden="false" customHeight="false" outlineLevel="0" collapsed="false">
      <c r="A47" s="0" t="s">
        <v>110</v>
      </c>
      <c r="C47" s="3" t="n">
        <v>10</v>
      </c>
      <c r="D47" s="3" t="n">
        <v>13</v>
      </c>
      <c r="E47" s="3" t="n">
        <v>15</v>
      </c>
      <c r="F47" s="3" t="n">
        <v>16</v>
      </c>
      <c r="G47" s="3" t="n">
        <v>16</v>
      </c>
      <c r="H47" s="3" t="n">
        <v>16</v>
      </c>
      <c r="I47" s="3" t="n">
        <v>16</v>
      </c>
      <c r="J47" s="3" t="n">
        <v>16</v>
      </c>
      <c r="K47" s="3" t="n">
        <v>16</v>
      </c>
      <c r="L47" s="3" t="n">
        <v>16</v>
      </c>
    </row>
    <row r="48" customFormat="false" ht="15" hidden="false" customHeight="false" outlineLevel="0" collapsed="false">
      <c r="A48" s="0" t="s">
        <v>111</v>
      </c>
      <c r="B48" s="3" t="n">
        <v>15</v>
      </c>
    </row>
    <row r="49" customFormat="false" ht="15" hidden="false" customHeight="false" outlineLevel="0" collapsed="false">
      <c r="A49" s="0" t="s">
        <v>112</v>
      </c>
      <c r="B49" s="3" t="n">
        <v>6.5</v>
      </c>
    </row>
    <row r="50" customFormat="false" ht="15" hidden="false" customHeight="false" outlineLevel="0" collapsed="false">
      <c r="A50" s="0" t="s">
        <v>113</v>
      </c>
      <c r="B50" s="3" t="n">
        <v>13</v>
      </c>
    </row>
    <row r="51" customFormat="false" ht="15" hidden="false" customHeight="false" outlineLevel="0" collapsed="false">
      <c r="A51" s="0" t="s">
        <v>114</v>
      </c>
      <c r="B51" s="3" t="n">
        <v>-117.2</v>
      </c>
    </row>
    <row r="52" customFormat="false" ht="15" hidden="false" customHeight="false" outlineLevel="0" collapsed="false">
      <c r="A52" s="0" t="s">
        <v>115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1</v>
      </c>
      <c r="D5" s="4" t="n">
        <f aca="false">Assumptions!D13</f>
        <v>4</v>
      </c>
      <c r="E5" s="4" t="n">
        <f aca="false">Assumptions!E13</f>
        <v>6</v>
      </c>
      <c r="F5" s="4" t="n">
        <f aca="false">Assumptions!F13</f>
        <v>6</v>
      </c>
      <c r="G5" s="4" t="n">
        <f aca="false">Assumptions!G13</f>
        <v>5.5</v>
      </c>
      <c r="H5" s="4" t="n">
        <f aca="false">Assumptions!H13</f>
        <v>5.5</v>
      </c>
      <c r="I5" s="4" t="n">
        <f aca="false">Assumptions!I13</f>
        <v>5</v>
      </c>
      <c r="J5" s="4" t="n">
        <f aca="false">Assumptions!J13</f>
        <v>5</v>
      </c>
      <c r="K5" s="4" t="n">
        <f aca="false">Assumptions!K13</f>
        <v>5</v>
      </c>
      <c r="L5" s="4" t="n">
        <f aca="false">Assumptions!L13</f>
        <v>5</v>
      </c>
    </row>
    <row r="6" customFormat="false" ht="15" hidden="false" customHeight="false" outlineLevel="0" collapsed="false">
      <c r="A6" s="0" t="s">
        <v>38</v>
      </c>
      <c r="B6" s="3" t="n">
        <v>83769</v>
      </c>
      <c r="C6" s="0" t="n">
        <f aca="false">B6*(1+C5/100)</f>
        <v>84606.69</v>
      </c>
      <c r="D6" s="0" t="n">
        <f aca="false">C6*(1+D5/100)</f>
        <v>87990.9576</v>
      </c>
      <c r="E6" s="0" t="n">
        <f aca="false">D6*(1+E5/100)</f>
        <v>93270.415056</v>
      </c>
      <c r="F6" s="0" t="n">
        <f aca="false">E6*(1+F5/100)</f>
        <v>98866.63995936</v>
      </c>
      <c r="G6" s="0" t="n">
        <f aca="false">F6*(1+G5/100)</f>
        <v>104304.305157125</v>
      </c>
      <c r="H6" s="0" t="n">
        <f aca="false">G6*(1+H5/100)</f>
        <v>110041.041940767</v>
      </c>
      <c r="I6" s="0" t="n">
        <f aca="false">H6*(1+I5/100)</f>
        <v>115543.094037805</v>
      </c>
      <c r="J6" s="0" t="n">
        <f aca="false">I6*(1+J5/100)</f>
        <v>121320.248739695</v>
      </c>
      <c r="K6" s="0" t="n">
        <f aca="false">J6*(1+K5/100)</f>
        <v>127386.26117668</v>
      </c>
      <c r="L6" s="0" t="n">
        <f aca="false">K6*(1+L5/100)</f>
        <v>133755.574235514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15.5</v>
      </c>
      <c r="D7" s="4" t="n">
        <f aca="false">Assumptions!D14</f>
        <v>16.2</v>
      </c>
      <c r="E7" s="4" t="n">
        <f aca="false">Assumptions!E14</f>
        <v>16.9</v>
      </c>
      <c r="F7" s="4" t="n">
        <f aca="false">Assumptions!F14</f>
        <v>17.2</v>
      </c>
      <c r="G7" s="4" t="n">
        <f aca="false">Assumptions!G14</f>
        <v>17.2</v>
      </c>
      <c r="H7" s="4" t="n">
        <f aca="false">Assumptions!H14</f>
        <v>17.2</v>
      </c>
      <c r="I7" s="4" t="n">
        <f aca="false">Assumptions!I14</f>
        <v>17.2</v>
      </c>
      <c r="J7" s="4" t="n">
        <f aca="false">Assumptions!J14</f>
        <v>17.2</v>
      </c>
      <c r="K7" s="4" t="n">
        <f aca="false">Assumptions!K14</f>
        <v>17.2</v>
      </c>
      <c r="L7" s="4" t="n">
        <f aca="false">Assumptions!L14</f>
        <v>17.2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13114.03695</v>
      </c>
      <c r="D8" s="0" t="n">
        <f aca="false">D6*D7/100</f>
        <v>14254.5351312</v>
      </c>
      <c r="E8" s="0" t="n">
        <f aca="false">E6*E7/100</f>
        <v>15762.700144464</v>
      </c>
      <c r="F8" s="0" t="n">
        <f aca="false">F6*F7/100</f>
        <v>17005.0620730099</v>
      </c>
      <c r="G8" s="0" t="n">
        <f aca="false">G6*G7/100</f>
        <v>17940.3404870255</v>
      </c>
      <c r="H8" s="0" t="n">
        <f aca="false">H6*H7/100</f>
        <v>18927.0592138119</v>
      </c>
      <c r="I8" s="0" t="n">
        <f aca="false">I6*I7/100</f>
        <v>19873.4121745025</v>
      </c>
      <c r="J8" s="0" t="n">
        <f aca="false">J6*J7/100</f>
        <v>20867.0827832276</v>
      </c>
      <c r="K8" s="0" t="n">
        <f aca="false">K6*K7/100</f>
        <v>21910.436922389</v>
      </c>
      <c r="L8" s="0" t="n">
        <f aca="false">L6*L7/100</f>
        <v>23005.9587685084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13114.03695</v>
      </c>
      <c r="D11" s="0" t="n">
        <f aca="false">D8+D10+D24</f>
        <v>14254.5351312</v>
      </c>
      <c r="E11" s="0" t="n">
        <f aca="false">E8+E10+E24</f>
        <v>15762.700144464</v>
      </c>
      <c r="F11" s="0" t="n">
        <f aca="false">F8+F10+F24</f>
        <v>17005.0620730099</v>
      </c>
      <c r="G11" s="0" t="n">
        <f aca="false">G8+G10+G24</f>
        <v>17940.3404870255</v>
      </c>
      <c r="H11" s="0" t="n">
        <f aca="false">H8+H10+H24</f>
        <v>18927.0592138119</v>
      </c>
      <c r="I11" s="0" t="n">
        <f aca="false">I8+I10+I24</f>
        <v>19873.4121745025</v>
      </c>
      <c r="J11" s="0" t="n">
        <f aca="false">J8+J10+J24</f>
        <v>20867.0827832276</v>
      </c>
      <c r="K11" s="0" t="n">
        <f aca="false">K8+K10+K24</f>
        <v>21910.436922389</v>
      </c>
      <c r="L11" s="0" t="n">
        <f aca="false">L8+L10+L24</f>
        <v>23005.9587685084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13114.03695</v>
      </c>
      <c r="D13" s="0" t="n">
        <f aca="false">D11+D12</f>
        <v>14254.5351312</v>
      </c>
      <c r="E13" s="0" t="n">
        <f aca="false">E11+E12</f>
        <v>15762.700144464</v>
      </c>
      <c r="F13" s="0" t="n">
        <f aca="false">F11+F12</f>
        <v>17005.0620730099</v>
      </c>
      <c r="G13" s="0" t="n">
        <f aca="false">G11+G12</f>
        <v>17940.3404870255</v>
      </c>
      <c r="H13" s="0" t="n">
        <f aca="false">H11+H12</f>
        <v>18927.0592138119</v>
      </c>
      <c r="I13" s="0" t="n">
        <f aca="false">I11+I12</f>
        <v>19873.4121745025</v>
      </c>
      <c r="J13" s="0" t="n">
        <f aca="false">J11+J12</f>
        <v>20867.0827832276</v>
      </c>
      <c r="K13" s="0" t="n">
        <f aca="false">K11+K12</f>
        <v>21910.436922389</v>
      </c>
      <c r="L13" s="0" t="n">
        <f aca="false">L11+L12</f>
        <v>23005.9587685084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10</v>
      </c>
      <c r="D14" s="4" t="n">
        <f aca="false">Assumptions!D19</f>
        <v>13</v>
      </c>
      <c r="E14" s="4" t="n">
        <f aca="false">Assumptions!E19</f>
        <v>15</v>
      </c>
      <c r="F14" s="4" t="n">
        <f aca="false">Assumptions!F19</f>
        <v>16</v>
      </c>
      <c r="G14" s="4" t="n">
        <f aca="false">Assumptions!G19</f>
        <v>16</v>
      </c>
      <c r="H14" s="4" t="n">
        <f aca="false">Assumptions!H19</f>
        <v>16</v>
      </c>
      <c r="I14" s="4" t="n">
        <f aca="false">Assumptions!I19</f>
        <v>16</v>
      </c>
      <c r="J14" s="4" t="n">
        <f aca="false">Assumptions!J19</f>
        <v>16</v>
      </c>
      <c r="K14" s="4" t="n">
        <f aca="false">Assumptions!K19</f>
        <v>16</v>
      </c>
      <c r="L14" s="4" t="n">
        <f aca="false">Assumptions!L19</f>
        <v>16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11802.633255</v>
      </c>
      <c r="D15" s="0" t="n">
        <f aca="false">D13-MAX(0,D13)*D14/100</f>
        <v>12401.445564144</v>
      </c>
      <c r="E15" s="0" t="n">
        <f aca="false">E13-MAX(0,E13)*E14/100</f>
        <v>13398.2951227944</v>
      </c>
      <c r="F15" s="0" t="n">
        <f aca="false">F13-MAX(0,F13)*F14/100</f>
        <v>14284.2521413283</v>
      </c>
      <c r="G15" s="0" t="n">
        <f aca="false">G13-MAX(0,G13)*G14/100</f>
        <v>15069.8860091014</v>
      </c>
      <c r="H15" s="0" t="n">
        <f aca="false">H13-MAX(0,H13)*H14/100</f>
        <v>15898.729739602</v>
      </c>
      <c r="I15" s="0" t="n">
        <f aca="false">I13-MAX(0,I13)*I14/100</f>
        <v>16693.6662265821</v>
      </c>
      <c r="J15" s="0" t="n">
        <f aca="false">J13-MAX(0,J13)*J14/100</f>
        <v>17528.3495379112</v>
      </c>
      <c r="K15" s="0" t="n">
        <f aca="false">K13-MAX(0,K13)*K14/100</f>
        <v>18404.7670148067</v>
      </c>
      <c r="L15" s="0" t="n">
        <f aca="false">L13-MAX(0,L13)*L14/100</f>
        <v>19325.0053655471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-0</v>
      </c>
      <c r="D17" s="4" t="n">
        <f aca="false">-D6*Assumptions!D18/100</f>
        <v>-0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-981.772680000003</v>
      </c>
      <c r="D18" s="4" t="n">
        <f aca="false">(D6-C6)*Assumptions!$B$23/100</f>
        <v>-3966.36162720001</v>
      </c>
      <c r="E18" s="4" t="n">
        <f aca="false">(E6-D6)*Assumptions!$B$23/100</f>
        <v>-6187.524138432</v>
      </c>
      <c r="F18" s="4" t="n">
        <f aca="false">(F6-E6)*Assumptions!$B$23/100</f>
        <v>-6558.77558673793</v>
      </c>
      <c r="G18" s="4" t="n">
        <f aca="false">(G6-F6)*Assumptions!$B$23/100</f>
        <v>-6372.94361178035</v>
      </c>
      <c r="H18" s="4" t="n">
        <f aca="false">(H6-G6)*Assumptions!$B$23/100</f>
        <v>-6723.45551042826</v>
      </c>
      <c r="I18" s="4" t="n">
        <f aca="false">(I6-H6)*Assumptions!$B$23/100</f>
        <v>-6448.40505772893</v>
      </c>
      <c r="J18" s="4" t="n">
        <f aca="false">(J6-I6)*Assumptions!$B$23/100</f>
        <v>-6770.82531061537</v>
      </c>
      <c r="K18" s="4" t="n">
        <f aca="false">(K6-J6)*Assumptions!$B$23/100</f>
        <v>-7109.36657614614</v>
      </c>
      <c r="L18" s="4" t="n">
        <f aca="false">(L6-K6)*Assumptions!$B$23/100</f>
        <v>-7464.83490495346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10820.860575</v>
      </c>
      <c r="D19" s="0" t="n">
        <f aca="false">D15+D16+D17+D18</f>
        <v>8435.08393694399</v>
      </c>
      <c r="E19" s="0" t="n">
        <f aca="false">E15+E16+E17+E18</f>
        <v>7210.7709843624</v>
      </c>
      <c r="F19" s="0" t="n">
        <f aca="false">F15+F16+F17+F18</f>
        <v>7725.4765545904</v>
      </c>
      <c r="G19" s="0" t="n">
        <f aca="false">G15+G16+G17+G18</f>
        <v>8696.94239732105</v>
      </c>
      <c r="H19" s="0" t="n">
        <f aca="false">H15+H16+H17+H18</f>
        <v>9175.27422917371</v>
      </c>
      <c r="I19" s="0" t="n">
        <f aca="false">I15+I16+I17+I18</f>
        <v>10245.2611688531</v>
      </c>
      <c r="J19" s="0" t="n">
        <f aca="false">J15+J16+J17+J18</f>
        <v>10757.5242272958</v>
      </c>
      <c r="K19" s="0" t="n">
        <f aca="false">K15+K16+K17+K18</f>
        <v>11295.4004386606</v>
      </c>
      <c r="L19" s="0" t="n">
        <f aca="false">L15+L16+L17+L18</f>
        <v>11860.1704605936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0.869565217391304</v>
      </c>
      <c r="D20" s="0" t="n">
        <f aca="false">1/(1+$B$27/100)^D4</f>
        <v>0.756143667296787</v>
      </c>
      <c r="E20" s="0" t="n">
        <f aca="false">1/(1+$B$27/100)^E4</f>
        <v>0.657516232431988</v>
      </c>
      <c r="F20" s="0" t="n">
        <f aca="false">1/(1+$B$27/100)^F4</f>
        <v>0.571753245593033</v>
      </c>
      <c r="G20" s="0" t="n">
        <f aca="false">1/(1+$B$27/100)^G4</f>
        <v>0.49717673529829</v>
      </c>
      <c r="H20" s="0" t="n">
        <f aca="false">1/(1+$B$27/100)^H4</f>
        <v>0.432327595911556</v>
      </c>
      <c r="I20" s="0" t="n">
        <f aca="false">1/(1+$B$27/100)^I4</f>
        <v>0.375937039923093</v>
      </c>
      <c r="J20" s="0" t="n">
        <f aca="false">1/(1+$B$27/100)^J4</f>
        <v>0.326901773846168</v>
      </c>
      <c r="K20" s="0" t="n">
        <f aca="false">1/(1+$B$27/100)^K4</f>
        <v>0.284262412040146</v>
      </c>
      <c r="L20" s="0" t="n">
        <f aca="false">1/(1+$B$27/100)^L4</f>
        <v>0.247184706121866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9409.44397826087</v>
      </c>
      <c r="D21" s="0" t="n">
        <f aca="false">D19*D20</f>
        <v>6378.13530203705</v>
      </c>
      <c r="E21" s="0" t="n">
        <f aca="false">E19*E20</f>
        <v>4741.19897056786</v>
      </c>
      <c r="F21" s="0" t="n">
        <f aca="false">F19*F20</f>
        <v>4417.06629383995</v>
      </c>
      <c r="G21" s="0" t="n">
        <f aca="false">G19*G20</f>
        <v>4323.91742817736</v>
      </c>
      <c r="H21" s="0" t="n">
        <f aca="false">H19*H20</f>
        <v>3966.72424932793</v>
      </c>
      <c r="I21" s="0" t="n">
        <f aca="false">I19*I20</f>
        <v>3851.57315705765</v>
      </c>
      <c r="J21" s="0" t="n">
        <f aca="false">J19*J20</f>
        <v>3516.65375209612</v>
      </c>
      <c r="K21" s="0" t="n">
        <f aca="false">K19*K20</f>
        <v>3210.85777365298</v>
      </c>
      <c r="L21" s="0" t="n">
        <f aca="false">L19*L20</f>
        <v>2931.65274985707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15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46747.2236548748</v>
      </c>
    </row>
    <row r="31" customFormat="false" ht="15" hidden="false" customHeight="false" outlineLevel="0" collapsed="false">
      <c r="A31" s="0" t="s">
        <v>135</v>
      </c>
      <c r="B31" s="0" t="n">
        <f aca="false">L19</f>
        <v>11860.1704605936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124531.789836233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154182.215987717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124531.789836233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30782.3538734992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77529.577528374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77529.577528374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3.96531485066996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-0.265682435061118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3.96531485066996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17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103776.491530194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3.31744163042732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3</v>
      </c>
      <c r="D5" s="4" t="n">
        <f aca="false">Assumptions!D27</f>
        <v>7</v>
      </c>
      <c r="E5" s="4" t="n">
        <f aca="false">Assumptions!E27</f>
        <v>8</v>
      </c>
      <c r="F5" s="4" t="n">
        <f aca="false">Assumptions!F27</f>
        <v>8</v>
      </c>
      <c r="G5" s="4" t="n">
        <f aca="false">Assumptions!G27</f>
        <v>7.5</v>
      </c>
      <c r="H5" s="4" t="n">
        <f aca="false">Assumptions!H27</f>
        <v>7</v>
      </c>
      <c r="I5" s="4" t="n">
        <f aca="false">Assumptions!I27</f>
        <v>6.5</v>
      </c>
      <c r="J5" s="4" t="n">
        <f aca="false">Assumptions!J27</f>
        <v>6</v>
      </c>
      <c r="K5" s="4" t="n">
        <f aca="false">Assumptions!K27</f>
        <v>6</v>
      </c>
      <c r="L5" s="4" t="n">
        <f aca="false">Assumptions!L27</f>
        <v>6</v>
      </c>
    </row>
    <row r="6" customFormat="false" ht="15" hidden="false" customHeight="false" outlineLevel="0" collapsed="false">
      <c r="A6" s="0" t="s">
        <v>38</v>
      </c>
      <c r="B6" s="3" t="n">
        <v>83769</v>
      </c>
      <c r="C6" s="0" t="n">
        <f aca="false">B6*(1+C5/100)</f>
        <v>86282.07</v>
      </c>
      <c r="D6" s="0" t="n">
        <f aca="false">C6*(1+D5/100)</f>
        <v>92321.8149</v>
      </c>
      <c r="E6" s="0" t="n">
        <f aca="false">D6*(1+E5/100)</f>
        <v>99707.560092</v>
      </c>
      <c r="F6" s="0" t="n">
        <f aca="false">E6*(1+F5/100)</f>
        <v>107684.16489936</v>
      </c>
      <c r="G6" s="0" t="n">
        <f aca="false">F6*(1+G5/100)</f>
        <v>115760.477266812</v>
      </c>
      <c r="H6" s="0" t="n">
        <f aca="false">G6*(1+H5/100)</f>
        <v>123863.710675489</v>
      </c>
      <c r="I6" s="0" t="n">
        <f aca="false">H6*(1+I5/100)</f>
        <v>131914.851869396</v>
      </c>
      <c r="J6" s="0" t="n">
        <f aca="false">I6*(1+J5/100)</f>
        <v>139829.742981559</v>
      </c>
      <c r="K6" s="0" t="n">
        <f aca="false">J6*(1+K5/100)</f>
        <v>148219.527560453</v>
      </c>
      <c r="L6" s="0" t="n">
        <f aca="false">K6*(1+L5/100)</f>
        <v>157112.69921408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17.1</v>
      </c>
      <c r="D7" s="4" t="n">
        <f aca="false">Assumptions!D28</f>
        <v>18.9</v>
      </c>
      <c r="E7" s="4" t="n">
        <f aca="false">Assumptions!E28</f>
        <v>20.4</v>
      </c>
      <c r="F7" s="4" t="n">
        <f aca="false">Assumptions!F28</f>
        <v>21.5</v>
      </c>
      <c r="G7" s="4" t="n">
        <f aca="false">Assumptions!G28</f>
        <v>21.5</v>
      </c>
      <c r="H7" s="4" t="n">
        <f aca="false">Assumptions!H28</f>
        <v>21.5</v>
      </c>
      <c r="I7" s="4" t="n">
        <f aca="false">Assumptions!I28</f>
        <v>21.5</v>
      </c>
      <c r="J7" s="4" t="n">
        <f aca="false">Assumptions!J28</f>
        <v>21.5</v>
      </c>
      <c r="K7" s="4" t="n">
        <f aca="false">Assumptions!K28</f>
        <v>21.5</v>
      </c>
      <c r="L7" s="4" t="n">
        <f aca="false">Assumptions!L28</f>
        <v>21.5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14754.23397</v>
      </c>
      <c r="D8" s="0" t="n">
        <f aca="false">D6*D7/100</f>
        <v>17448.8230161</v>
      </c>
      <c r="E8" s="0" t="n">
        <f aca="false">E6*E7/100</f>
        <v>20340.342258768</v>
      </c>
      <c r="F8" s="0" t="n">
        <f aca="false">F6*F7/100</f>
        <v>23152.0954533624</v>
      </c>
      <c r="G8" s="0" t="n">
        <f aca="false">G6*G7/100</f>
        <v>24888.5026123646</v>
      </c>
      <c r="H8" s="0" t="n">
        <f aca="false">H6*H7/100</f>
        <v>26630.6977952301</v>
      </c>
      <c r="I8" s="0" t="n">
        <f aca="false">I6*I7/100</f>
        <v>28361.6931519201</v>
      </c>
      <c r="J8" s="0" t="n">
        <f aca="false">J6*J7/100</f>
        <v>30063.3947410353</v>
      </c>
      <c r="K8" s="0" t="n">
        <f aca="false">K6*K7/100</f>
        <v>31867.1984254974</v>
      </c>
      <c r="L8" s="0" t="n">
        <f aca="false">L6*L7/100</f>
        <v>33779.2303310272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14754.23397</v>
      </c>
      <c r="D11" s="0" t="n">
        <f aca="false">D8+D10+D24</f>
        <v>17448.8230161</v>
      </c>
      <c r="E11" s="0" t="n">
        <f aca="false">E8+E10+E24</f>
        <v>20340.342258768</v>
      </c>
      <c r="F11" s="0" t="n">
        <f aca="false">F8+F10+F24</f>
        <v>23152.0954533624</v>
      </c>
      <c r="G11" s="0" t="n">
        <f aca="false">G8+G10+G24</f>
        <v>24888.5026123646</v>
      </c>
      <c r="H11" s="0" t="n">
        <f aca="false">H8+H10+H24</f>
        <v>26630.6977952301</v>
      </c>
      <c r="I11" s="0" t="n">
        <f aca="false">I8+I10+I24</f>
        <v>28361.6931519201</v>
      </c>
      <c r="J11" s="0" t="n">
        <f aca="false">J8+J10+J24</f>
        <v>30063.3947410353</v>
      </c>
      <c r="K11" s="0" t="n">
        <f aca="false">K8+K10+K24</f>
        <v>31867.1984254974</v>
      </c>
      <c r="L11" s="0" t="n">
        <f aca="false">L8+L10+L24</f>
        <v>33779.2303310272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14754.23397</v>
      </c>
      <c r="D13" s="0" t="n">
        <f aca="false">D11+D12</f>
        <v>17448.8230161</v>
      </c>
      <c r="E13" s="0" t="n">
        <f aca="false">E11+E12</f>
        <v>20340.342258768</v>
      </c>
      <c r="F13" s="0" t="n">
        <f aca="false">F11+F12</f>
        <v>23152.0954533624</v>
      </c>
      <c r="G13" s="0" t="n">
        <f aca="false">G11+G12</f>
        <v>24888.5026123646</v>
      </c>
      <c r="H13" s="0" t="n">
        <f aca="false">H11+H12</f>
        <v>26630.6977952301</v>
      </c>
      <c r="I13" s="0" t="n">
        <f aca="false">I11+I12</f>
        <v>28361.6931519201</v>
      </c>
      <c r="J13" s="0" t="n">
        <f aca="false">J11+J12</f>
        <v>30063.3947410353</v>
      </c>
      <c r="K13" s="0" t="n">
        <f aca="false">K11+K12</f>
        <v>31867.1984254974</v>
      </c>
      <c r="L13" s="0" t="n">
        <f aca="false">L11+L12</f>
        <v>33779.2303310272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10</v>
      </c>
      <c r="D14" s="4" t="n">
        <f aca="false">Assumptions!D33</f>
        <v>13</v>
      </c>
      <c r="E14" s="4" t="n">
        <f aca="false">Assumptions!E33</f>
        <v>15</v>
      </c>
      <c r="F14" s="4" t="n">
        <f aca="false">Assumptions!F33</f>
        <v>16</v>
      </c>
      <c r="G14" s="4" t="n">
        <f aca="false">Assumptions!G33</f>
        <v>16</v>
      </c>
      <c r="H14" s="4" t="n">
        <f aca="false">Assumptions!H33</f>
        <v>16</v>
      </c>
      <c r="I14" s="4" t="n">
        <f aca="false">Assumptions!I33</f>
        <v>16</v>
      </c>
      <c r="J14" s="4" t="n">
        <f aca="false">Assumptions!J33</f>
        <v>16</v>
      </c>
      <c r="K14" s="4" t="n">
        <f aca="false">Assumptions!K33</f>
        <v>16</v>
      </c>
      <c r="L14" s="4" t="n">
        <f aca="false">Assumptions!L33</f>
        <v>16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13278.810573</v>
      </c>
      <c r="D15" s="0" t="n">
        <f aca="false">D13-MAX(0,D13)*D14/100</f>
        <v>15180.476024007</v>
      </c>
      <c r="E15" s="0" t="n">
        <f aca="false">E13-MAX(0,E13)*E14/100</f>
        <v>17289.2909199528</v>
      </c>
      <c r="F15" s="0" t="n">
        <f aca="false">F13-MAX(0,F13)*F14/100</f>
        <v>19447.7601808244</v>
      </c>
      <c r="G15" s="0" t="n">
        <f aca="false">G13-MAX(0,G13)*G14/100</f>
        <v>20906.3421943863</v>
      </c>
      <c r="H15" s="0" t="n">
        <f aca="false">H13-MAX(0,H13)*H14/100</f>
        <v>22369.7861479933</v>
      </c>
      <c r="I15" s="0" t="n">
        <f aca="false">I13-MAX(0,I13)*I14/100</f>
        <v>23823.8222476129</v>
      </c>
      <c r="J15" s="0" t="n">
        <f aca="false">J13-MAX(0,J13)*J14/100</f>
        <v>25253.2515824696</v>
      </c>
      <c r="K15" s="0" t="n">
        <f aca="false">K13-MAX(0,K13)*K14/100</f>
        <v>26768.4466774178</v>
      </c>
      <c r="L15" s="0" t="n">
        <f aca="false">L13-MAX(0,L13)*L14/100</f>
        <v>28374.5534780629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-0</v>
      </c>
      <c r="D17" s="4" t="n">
        <f aca="false">-D6*Assumptions!D32/100</f>
        <v>-0</v>
      </c>
      <c r="E17" s="4" t="n">
        <f aca="false">-E6*Assumptions!E32/100</f>
        <v>-0</v>
      </c>
      <c r="F17" s="4" t="n">
        <f aca="false">-F6*Assumptions!F32/100</f>
        <v>-0</v>
      </c>
      <c r="G17" s="4" t="n">
        <f aca="false">-G6*Assumptions!G32/100</f>
        <v>-0</v>
      </c>
      <c r="H17" s="4" t="n">
        <f aca="false">-H6*Assumptions!H32/100</f>
        <v>-0</v>
      </c>
      <c r="I17" s="4" t="n">
        <f aca="false">-I6*Assumptions!I32/100</f>
        <v>-0</v>
      </c>
      <c r="J17" s="4" t="n">
        <f aca="false">-J6*Assumptions!J32/100</f>
        <v>-0</v>
      </c>
      <c r="K17" s="4" t="n">
        <f aca="false">-K6*Assumptions!K32/100</f>
        <v>-0</v>
      </c>
      <c r="L17" s="4" t="n">
        <f aca="false">-L6*Assumptions!L32/100</f>
        <v>-0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-2945.31804000001</v>
      </c>
      <c r="D18" s="4" t="n">
        <f aca="false">(D6-C6)*Assumptions!$B$37/100</f>
        <v>-7078.58102280001</v>
      </c>
      <c r="E18" s="4" t="n">
        <f aca="false">(E6-D6)*Assumptions!$B$37/100</f>
        <v>-8656.093365024</v>
      </c>
      <c r="F18" s="4" t="n">
        <f aca="false">(F6-E6)*Assumptions!$B$37/100</f>
        <v>-9348.58083422593</v>
      </c>
      <c r="G18" s="4" t="n">
        <f aca="false">(G6-F6)*Assumptions!$B$37/100</f>
        <v>-9465.43809465375</v>
      </c>
      <c r="H18" s="4" t="n">
        <f aca="false">(H6-G6)*Assumptions!$B$37/100</f>
        <v>-9496.98955496927</v>
      </c>
      <c r="I18" s="4" t="n">
        <f aca="false">(I6-H6)*Assumptions!$B$37/100</f>
        <v>-9435.93747925873</v>
      </c>
      <c r="J18" s="4" t="n">
        <f aca="false">(J6-I6)*Assumptions!$B$37/100</f>
        <v>-9276.25238345592</v>
      </c>
      <c r="K18" s="4" t="n">
        <f aca="false">(K6-J6)*Assumptions!$B$37/100</f>
        <v>-9832.82752646326</v>
      </c>
      <c r="L18" s="4" t="n">
        <f aca="false">(L6-K6)*Assumptions!$B$37/100</f>
        <v>-10422.7971780511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10333.492533</v>
      </c>
      <c r="D19" s="0" t="n">
        <f aca="false">D15+D16+D17+D18</f>
        <v>8101.895001207</v>
      </c>
      <c r="E19" s="0" t="n">
        <f aca="false">E15+E16+E17+E18</f>
        <v>8633.1975549288</v>
      </c>
      <c r="F19" s="0" t="n">
        <f aca="false">F15+F16+F17+F18</f>
        <v>10099.1793465985</v>
      </c>
      <c r="G19" s="0" t="n">
        <f aca="false">G15+G16+G17+G18</f>
        <v>11440.9040997325</v>
      </c>
      <c r="H19" s="0" t="n">
        <f aca="false">H15+H16+H17+H18</f>
        <v>12872.796593024</v>
      </c>
      <c r="I19" s="0" t="n">
        <f aca="false">I15+I16+I17+I18</f>
        <v>14387.8847683541</v>
      </c>
      <c r="J19" s="0" t="n">
        <f aca="false">J15+J16+J17+J18</f>
        <v>15976.9991990137</v>
      </c>
      <c r="K19" s="0" t="n">
        <f aca="false">K15+K16+K17+K18</f>
        <v>16935.6191509545</v>
      </c>
      <c r="L19" s="0" t="n">
        <f aca="false">L15+L16+L17+L18</f>
        <v>17951.7563000118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0.869565217391304</v>
      </c>
      <c r="D20" s="0" t="n">
        <f aca="false">1/(1+$B$27/100)^D4</f>
        <v>0.756143667296787</v>
      </c>
      <c r="E20" s="0" t="n">
        <f aca="false">1/(1+$B$27/100)^E4</f>
        <v>0.657516232431988</v>
      </c>
      <c r="F20" s="0" t="n">
        <f aca="false">1/(1+$B$27/100)^F4</f>
        <v>0.571753245593033</v>
      </c>
      <c r="G20" s="0" t="n">
        <f aca="false">1/(1+$B$27/100)^G4</f>
        <v>0.49717673529829</v>
      </c>
      <c r="H20" s="0" t="n">
        <f aca="false">1/(1+$B$27/100)^H4</f>
        <v>0.432327595911556</v>
      </c>
      <c r="I20" s="0" t="n">
        <f aca="false">1/(1+$B$27/100)^I4</f>
        <v>0.375937039923093</v>
      </c>
      <c r="J20" s="0" t="n">
        <f aca="false">1/(1+$B$27/100)^J4</f>
        <v>0.326901773846168</v>
      </c>
      <c r="K20" s="0" t="n">
        <f aca="false">1/(1+$B$27/100)^K4</f>
        <v>0.284262412040146</v>
      </c>
      <c r="L20" s="0" t="n">
        <f aca="false">1/(1+$B$27/100)^L4</f>
        <v>0.247184706121866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8985.64568086956</v>
      </c>
      <c r="D21" s="0" t="n">
        <f aca="false">D19*D20</f>
        <v>6126.19659826616</v>
      </c>
      <c r="E21" s="0" t="n">
        <f aca="false">E19*E20</f>
        <v>5676.46753015784</v>
      </c>
      <c r="F21" s="0" t="n">
        <f aca="false">F19*F20</f>
        <v>5774.23856924382</v>
      </c>
      <c r="G21" s="0" t="n">
        <f aca="false">G19*G20</f>
        <v>5688.15134916583</v>
      </c>
      <c r="H21" s="0" t="n">
        <f aca="false">H19*H20</f>
        <v>5565.26520372055</v>
      </c>
      <c r="I21" s="0" t="n">
        <f aca="false">I19*I20</f>
        <v>5408.9388105696</v>
      </c>
      <c r="J21" s="0" t="n">
        <f aca="false">J19*J20</f>
        <v>5222.90937889638</v>
      </c>
      <c r="K21" s="0" t="n">
        <f aca="false">K19*K20</f>
        <v>4814.15994924362</v>
      </c>
      <c r="L21" s="0" t="n">
        <f aca="false">L19*L20</f>
        <v>4437.39960538977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15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6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57699.3726755231</v>
      </c>
    </row>
    <row r="31" customFormat="false" ht="15" hidden="false" customHeight="false" outlineLevel="0" collapsed="false">
      <c r="A31" s="0" t="s">
        <v>135</v>
      </c>
      <c r="B31" s="0" t="n">
        <f aca="false">L19</f>
        <v>17951.7563000118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211431.796422361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233372.831900154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211431.796422361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52262.7064634796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109962.079139003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109962.079139003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5.62410217263024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0.0415004023389338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5.62410217263024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17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172989.651618296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4.54973161821558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5</v>
      </c>
      <c r="D5" s="4" t="n">
        <f aca="false">Assumptions!D41</f>
        <v>9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7.5</v>
      </c>
      <c r="I5" s="4" t="n">
        <f aca="false">Assumptions!I41</f>
        <v>7</v>
      </c>
      <c r="J5" s="4" t="n">
        <f aca="false">Assumptions!J41</f>
        <v>6.5</v>
      </c>
      <c r="K5" s="4" t="n">
        <f aca="false">Assumptions!K41</f>
        <v>6.5</v>
      </c>
      <c r="L5" s="4" t="n">
        <f aca="false">Assumptions!L41</f>
        <v>6.5</v>
      </c>
    </row>
    <row r="6" customFormat="false" ht="15" hidden="false" customHeight="false" outlineLevel="0" collapsed="false">
      <c r="A6" s="0" t="s">
        <v>38</v>
      </c>
      <c r="B6" s="3" t="n">
        <v>83769</v>
      </c>
      <c r="C6" s="0" t="n">
        <f aca="false">B6*(1+C5/100)</f>
        <v>87957.45</v>
      </c>
      <c r="D6" s="0" t="n">
        <f aca="false">C6*(1+D5/100)</f>
        <v>95873.6205</v>
      </c>
      <c r="E6" s="0" t="n">
        <f aca="false">D6*(1+E5/100)</f>
        <v>105460.98255</v>
      </c>
      <c r="F6" s="0" t="n">
        <f aca="false">E6*(1+F5/100)</f>
        <v>114952.4709795</v>
      </c>
      <c r="G6" s="0" t="n">
        <f aca="false">F6*(1+G5/100)</f>
        <v>124148.66865786</v>
      </c>
      <c r="H6" s="0" t="n">
        <f aca="false">G6*(1+H5/100)</f>
        <v>133459.8188072</v>
      </c>
      <c r="I6" s="0" t="n">
        <f aca="false">H6*(1+I5/100)</f>
        <v>142802.006123704</v>
      </c>
      <c r="J6" s="0" t="n">
        <f aca="false">I6*(1+J5/100)</f>
        <v>152084.136521744</v>
      </c>
      <c r="K6" s="0" t="n">
        <f aca="false">J6*(1+K5/100)</f>
        <v>161969.605395658</v>
      </c>
      <c r="L6" s="0" t="n">
        <f aca="false">K6*(1+L5/100)</f>
        <v>172497.629746375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18</v>
      </c>
      <c r="D7" s="4" t="n">
        <f aca="false">Assumptions!D42</f>
        <v>21</v>
      </c>
      <c r="E7" s="4" t="n">
        <f aca="false">Assumptions!E42</f>
        <v>23.2</v>
      </c>
      <c r="F7" s="4" t="n">
        <f aca="false">Assumptions!F42</f>
        <v>24.5</v>
      </c>
      <c r="G7" s="4" t="n">
        <f aca="false">Assumptions!G42</f>
        <v>24.5</v>
      </c>
      <c r="H7" s="4" t="n">
        <f aca="false">Assumptions!H42</f>
        <v>24.5</v>
      </c>
      <c r="I7" s="4" t="n">
        <f aca="false">Assumptions!I42</f>
        <v>24.5</v>
      </c>
      <c r="J7" s="4" t="n">
        <f aca="false">Assumptions!J42</f>
        <v>24.5</v>
      </c>
      <c r="K7" s="4" t="n">
        <f aca="false">Assumptions!K42</f>
        <v>24.5</v>
      </c>
      <c r="L7" s="4" t="n">
        <f aca="false">Assumptions!L42</f>
        <v>24.5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15832.341</v>
      </c>
      <c r="D8" s="0" t="n">
        <f aca="false">D6*D7/100</f>
        <v>20133.460305</v>
      </c>
      <c r="E8" s="0" t="n">
        <f aca="false">E6*E7/100</f>
        <v>24466.9479516</v>
      </c>
      <c r="F8" s="0" t="n">
        <f aca="false">F6*F7/100</f>
        <v>28163.3553899775</v>
      </c>
      <c r="G8" s="0" t="n">
        <f aca="false">G6*G7/100</f>
        <v>30416.4238211757</v>
      </c>
      <c r="H8" s="0" t="n">
        <f aca="false">H6*H7/100</f>
        <v>32697.6556077639</v>
      </c>
      <c r="I8" s="0" t="n">
        <f aca="false">I6*I7/100</f>
        <v>34986.4915003074</v>
      </c>
      <c r="J8" s="0" t="n">
        <f aca="false">J6*J7/100</f>
        <v>37260.6134478273</v>
      </c>
      <c r="K8" s="0" t="n">
        <f aca="false">K6*K7/100</f>
        <v>39682.5533219361</v>
      </c>
      <c r="L8" s="0" t="n">
        <f aca="false">L6*L7/100</f>
        <v>42261.919287862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15832.341</v>
      </c>
      <c r="D11" s="0" t="n">
        <f aca="false">D8+D10+D24</f>
        <v>20133.460305</v>
      </c>
      <c r="E11" s="0" t="n">
        <f aca="false">E8+E10+E24</f>
        <v>24466.9479516</v>
      </c>
      <c r="F11" s="0" t="n">
        <f aca="false">F8+F10+F24</f>
        <v>28163.3553899775</v>
      </c>
      <c r="G11" s="0" t="n">
        <f aca="false">G8+G10+G24</f>
        <v>30416.4238211757</v>
      </c>
      <c r="H11" s="0" t="n">
        <f aca="false">H8+H10+H24</f>
        <v>32697.6556077639</v>
      </c>
      <c r="I11" s="0" t="n">
        <f aca="false">I8+I10+I24</f>
        <v>34986.4915003074</v>
      </c>
      <c r="J11" s="0" t="n">
        <f aca="false">J8+J10+J24</f>
        <v>37260.6134478273</v>
      </c>
      <c r="K11" s="0" t="n">
        <f aca="false">K8+K10+K24</f>
        <v>39682.5533219361</v>
      </c>
      <c r="L11" s="0" t="n">
        <f aca="false">L8+L10+L24</f>
        <v>42261.919287862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15832.341</v>
      </c>
      <c r="D13" s="0" t="n">
        <f aca="false">D11+D12</f>
        <v>20133.460305</v>
      </c>
      <c r="E13" s="0" t="n">
        <f aca="false">E11+E12</f>
        <v>24466.9479516</v>
      </c>
      <c r="F13" s="0" t="n">
        <f aca="false">F11+F12</f>
        <v>28163.3553899775</v>
      </c>
      <c r="G13" s="0" t="n">
        <f aca="false">G11+G12</f>
        <v>30416.4238211757</v>
      </c>
      <c r="H13" s="0" t="n">
        <f aca="false">H11+H12</f>
        <v>32697.6556077639</v>
      </c>
      <c r="I13" s="0" t="n">
        <f aca="false">I11+I12</f>
        <v>34986.4915003074</v>
      </c>
      <c r="J13" s="0" t="n">
        <f aca="false">J11+J12</f>
        <v>37260.6134478273</v>
      </c>
      <c r="K13" s="0" t="n">
        <f aca="false">K11+K12</f>
        <v>39682.5533219361</v>
      </c>
      <c r="L13" s="0" t="n">
        <f aca="false">L11+L12</f>
        <v>42261.919287862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10</v>
      </c>
      <c r="D14" s="4" t="n">
        <f aca="false">Assumptions!D47</f>
        <v>13</v>
      </c>
      <c r="E14" s="4" t="n">
        <f aca="false">Assumptions!E47</f>
        <v>15</v>
      </c>
      <c r="F14" s="4" t="n">
        <f aca="false">Assumptions!F47</f>
        <v>16</v>
      </c>
      <c r="G14" s="4" t="n">
        <f aca="false">Assumptions!G47</f>
        <v>16</v>
      </c>
      <c r="H14" s="4" t="n">
        <f aca="false">Assumptions!H47</f>
        <v>16</v>
      </c>
      <c r="I14" s="4" t="n">
        <f aca="false">Assumptions!I47</f>
        <v>16</v>
      </c>
      <c r="J14" s="4" t="n">
        <f aca="false">Assumptions!J47</f>
        <v>16</v>
      </c>
      <c r="K14" s="4" t="n">
        <f aca="false">Assumptions!K47</f>
        <v>16</v>
      </c>
      <c r="L14" s="4" t="n">
        <f aca="false">Assumptions!L47</f>
        <v>16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14249.1069</v>
      </c>
      <c r="D15" s="0" t="n">
        <f aca="false">D13-MAX(0,D13)*D14/100</f>
        <v>17516.11046535</v>
      </c>
      <c r="E15" s="0" t="n">
        <f aca="false">E13-MAX(0,E13)*E14/100</f>
        <v>20796.90575886</v>
      </c>
      <c r="F15" s="0" t="n">
        <f aca="false">F13-MAX(0,F13)*F14/100</f>
        <v>23657.2185275811</v>
      </c>
      <c r="G15" s="0" t="n">
        <f aca="false">G13-MAX(0,G13)*G14/100</f>
        <v>25549.7960097876</v>
      </c>
      <c r="H15" s="0" t="n">
        <f aca="false">H13-MAX(0,H13)*H14/100</f>
        <v>27466.0307105217</v>
      </c>
      <c r="I15" s="0" t="n">
        <f aca="false">I13-MAX(0,I13)*I14/100</f>
        <v>29388.6528602582</v>
      </c>
      <c r="J15" s="0" t="n">
        <f aca="false">J13-MAX(0,J13)*J14/100</f>
        <v>31298.915296175</v>
      </c>
      <c r="K15" s="0" t="n">
        <f aca="false">K13-MAX(0,K13)*K14/100</f>
        <v>33333.3447904263</v>
      </c>
      <c r="L15" s="0" t="n">
        <f aca="false">L13-MAX(0,L13)*L14/100</f>
        <v>35500.0122018041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-0</v>
      </c>
      <c r="D17" s="4" t="n">
        <f aca="false">-D6*Assumptions!D46/100</f>
        <v>-0</v>
      </c>
      <c r="E17" s="4" t="n">
        <f aca="false">-E6*Assumptions!E46/100</f>
        <v>-0</v>
      </c>
      <c r="F17" s="4" t="n">
        <f aca="false">-F6*Assumptions!F46/100</f>
        <v>-0</v>
      </c>
      <c r="G17" s="4" t="n">
        <f aca="false">-G6*Assumptions!G46/100</f>
        <v>-0</v>
      </c>
      <c r="H17" s="4" t="n">
        <f aca="false">-H6*Assumptions!H46/100</f>
        <v>-0</v>
      </c>
      <c r="I17" s="4" t="n">
        <f aca="false">-I6*Assumptions!I46/100</f>
        <v>-0</v>
      </c>
      <c r="J17" s="4" t="n">
        <f aca="false">-J6*Assumptions!J46/100</f>
        <v>-0</v>
      </c>
      <c r="K17" s="4" t="n">
        <f aca="false">-K6*Assumptions!K46/100</f>
        <v>-0</v>
      </c>
      <c r="L17" s="4" t="n">
        <f aca="false">-L6*Assumptions!L46/100</f>
        <v>-0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-4908.8634</v>
      </c>
      <c r="D18" s="4" t="n">
        <f aca="false">(D6-C6)*Assumptions!$B$51/100</f>
        <v>-9277.75182600001</v>
      </c>
      <c r="E18" s="4" t="n">
        <f aca="false">(E6-D6)*Assumptions!$B$51/100</f>
        <v>-11236.3883226</v>
      </c>
      <c r="F18" s="4" t="n">
        <f aca="false">(F6-E6)*Assumptions!$B$51/100</f>
        <v>-11124.024439374</v>
      </c>
      <c r="G18" s="4" t="n">
        <f aca="false">(G6-F6)*Assumptions!$B$51/100</f>
        <v>-10777.9436790379</v>
      </c>
      <c r="H18" s="4" t="n">
        <f aca="false">(H6-G6)*Assumptions!$B$51/100</f>
        <v>-10912.6679750259</v>
      </c>
      <c r="I18" s="4" t="n">
        <f aca="false">(I6-H6)*Assumptions!$B$51/100</f>
        <v>-10949.0435349427</v>
      </c>
      <c r="J18" s="4" t="n">
        <f aca="false">(J6-I6)*Assumptions!$B$51/100</f>
        <v>-10878.6568265037</v>
      </c>
      <c r="K18" s="4" t="n">
        <f aca="false">(K6-J6)*Assumptions!$B$51/100</f>
        <v>-11585.7695202265</v>
      </c>
      <c r="L18" s="4" t="n">
        <f aca="false">(L6-K6)*Assumptions!$B$51/100</f>
        <v>-12338.8445390412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9340.2435</v>
      </c>
      <c r="D19" s="0" t="n">
        <f aca="false">D15+D16+D17+D18</f>
        <v>8238.35863934999</v>
      </c>
      <c r="E19" s="0" t="n">
        <f aca="false">E15+E16+E17+E18</f>
        <v>9560.51743625999</v>
      </c>
      <c r="F19" s="0" t="n">
        <f aca="false">F15+F16+F17+F18</f>
        <v>12533.1940882071</v>
      </c>
      <c r="G19" s="0" t="n">
        <f aca="false">G15+G16+G17+G18</f>
        <v>14771.8523307497</v>
      </c>
      <c r="H19" s="0" t="n">
        <f aca="false">H15+H16+H17+H18</f>
        <v>16553.3627354958</v>
      </c>
      <c r="I19" s="0" t="n">
        <f aca="false">I15+I16+I17+I18</f>
        <v>18439.6093253155</v>
      </c>
      <c r="J19" s="0" t="n">
        <f aca="false">J15+J16+J17+J18</f>
        <v>20420.2584696712</v>
      </c>
      <c r="K19" s="0" t="n">
        <f aca="false">K15+K16+K17+K18</f>
        <v>21747.5752701999</v>
      </c>
      <c r="L19" s="0" t="n">
        <f aca="false">L15+L16+L17+L18</f>
        <v>23161.1676627628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0.869565217391304</v>
      </c>
      <c r="D20" s="0" t="n">
        <f aca="false">1/(1+$B$27/100)^D4</f>
        <v>0.756143667296787</v>
      </c>
      <c r="E20" s="0" t="n">
        <f aca="false">1/(1+$B$27/100)^E4</f>
        <v>0.657516232431988</v>
      </c>
      <c r="F20" s="0" t="n">
        <f aca="false">1/(1+$B$27/100)^F4</f>
        <v>0.571753245593033</v>
      </c>
      <c r="G20" s="0" t="n">
        <f aca="false">1/(1+$B$27/100)^G4</f>
        <v>0.49717673529829</v>
      </c>
      <c r="H20" s="0" t="n">
        <f aca="false">1/(1+$B$27/100)^H4</f>
        <v>0.432327595911556</v>
      </c>
      <c r="I20" s="0" t="n">
        <f aca="false">1/(1+$B$27/100)^I4</f>
        <v>0.375937039923093</v>
      </c>
      <c r="J20" s="0" t="n">
        <f aca="false">1/(1+$B$27/100)^J4</f>
        <v>0.326901773846168</v>
      </c>
      <c r="K20" s="0" t="n">
        <f aca="false">1/(1+$B$27/100)^K4</f>
        <v>0.284262412040146</v>
      </c>
      <c r="L20" s="0" t="n">
        <f aca="false">1/(1+$B$27/100)^L4</f>
        <v>0.247184706121866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8121.95086956522</v>
      </c>
      <c r="D21" s="0" t="n">
        <f aca="false">D19*D20</f>
        <v>6229.38271406427</v>
      </c>
      <c r="E21" s="0" t="n">
        <f aca="false">E19*E20</f>
        <v>6286.19540479</v>
      </c>
      <c r="F21" s="0" t="n">
        <f aca="false">F19*F20</f>
        <v>7165.89439757983</v>
      </c>
      <c r="G21" s="0" t="n">
        <f aca="false">G19*G20</f>
        <v>7344.22131611055</v>
      </c>
      <c r="H21" s="0" t="n">
        <f aca="false">H19*H20</f>
        <v>7156.47551568883</v>
      </c>
      <c r="I21" s="0" t="n">
        <f aca="false">I19*I20</f>
        <v>6932.13214709737</v>
      </c>
      <c r="J21" s="0" t="n">
        <f aca="false">J19*J20</f>
        <v>6675.41871613276</v>
      </c>
      <c r="K21" s="0" t="n">
        <f aca="false">K19*K20</f>
        <v>6182.01820233164</v>
      </c>
      <c r="L21" s="0" t="n">
        <f aca="false">L19*L20</f>
        <v>5725.0864221593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15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6.5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67818.7757055198</v>
      </c>
    </row>
    <row r="31" customFormat="false" ht="15" hidden="false" customHeight="false" outlineLevel="0" collapsed="false">
      <c r="A31" s="0" t="s">
        <v>135</v>
      </c>
      <c r="B31" s="0" t="n">
        <f aca="false">L19</f>
        <v>23161.1676627628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290195.806598146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301095.179615917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290195.806598146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71731.9651717606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139550.74087728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139550.74087728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7.13743893445257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0.32174795082455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7.13743893445257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17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234920.414865166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5.66660638123688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3.96531485066996</v>
      </c>
      <c r="C4" s="0" t="n">
        <f aca="false">B4/Assumptions!$B$2-1</f>
        <v>-0.265682435061118</v>
      </c>
      <c r="D4" s="4" t="n">
        <f aca="false">Assumptions!$B$24</f>
        <v>0.3</v>
      </c>
      <c r="E4" s="4" t="n">
        <f aca="false">DCF_Bear!$B$43</f>
        <v>3.96531485066996</v>
      </c>
      <c r="F4" s="4" t="n">
        <f aca="false">DCF_Bear!$B$47</f>
        <v>3.31744163042732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5.62410217263024</v>
      </c>
      <c r="C5" s="0" t="n">
        <f aca="false">B5/Assumptions!$B$2-1</f>
        <v>0.0415004023389338</v>
      </c>
      <c r="D5" s="4" t="n">
        <f aca="false">Assumptions!$B$38</f>
        <v>0.5</v>
      </c>
      <c r="E5" s="4" t="n">
        <f aca="false">DCF_Base!$B$43</f>
        <v>5.62410217263024</v>
      </c>
      <c r="F5" s="4" t="n">
        <f aca="false">DCF_Base!$B$47</f>
        <v>4.54973161821558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7.13743893445257</v>
      </c>
      <c r="C6" s="0" t="n">
        <f aca="false">B6/Assumptions!$B$2-1</f>
        <v>0.32174795082455</v>
      </c>
      <c r="D6" s="4" t="n">
        <f aca="false">Assumptions!$B$52</f>
        <v>0.2</v>
      </c>
      <c r="E6" s="4" t="n">
        <f aca="false">DCF_Bull!$B$43</f>
        <v>7.13743893445257</v>
      </c>
      <c r="F6" s="4" t="n">
        <f aca="false">DCF_Bull!$B$47</f>
        <v>5.66660638123688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5.42913332840662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5.42913332840662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0.00536611032449519</v>
      </c>
    </row>
    <row r="11" customFormat="false" ht="15" hidden="false" customHeight="false" outlineLevel="0" collapsed="false">
      <c r="A11" s="0" t="s">
        <v>162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4.40341957448336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8.95464636976652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8.32448361467949</v>
      </c>
      <c r="C16" s="3" t="n">
        <v>10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7.7495296148525</v>
      </c>
      <c r="C17" s="3" t="n">
        <v>11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7.22435076918423</v>
      </c>
      <c r="C18" s="3" t="n">
        <v>12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5.62410217263024</v>
      </c>
      <c r="C19" s="3" t="n">
        <v>15</v>
      </c>
    </row>
    <row r="21" customFormat="false" ht="15" hidden="false" customHeight="false" outlineLevel="0" collapsed="false">
      <c r="A21" s="2" t="s">
        <v>171</v>
      </c>
    </row>
    <row r="22" customFormat="false" ht="15" hidden="false" customHeight="false" outlineLevel="0" collapsed="false">
      <c r="B22" s="3" t="n">
        <v>5</v>
      </c>
      <c r="C22" s="3" t="n">
        <v>5.5</v>
      </c>
      <c r="D22" s="3" t="n">
        <v>6</v>
      </c>
      <c r="E22" s="3" t="n">
        <v>6.5</v>
      </c>
      <c r="F22" s="3" t="n">
        <v>7</v>
      </c>
    </row>
    <row r="23" customFormat="false" ht="15" hidden="false" customHeight="false" outlineLevel="0" collapsed="false">
      <c r="A23" s="3" t="n">
        <v>13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6.74409741595841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6.74409741595841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6.74409741595841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6.74409741595841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6.74409741595841</v>
      </c>
    </row>
    <row r="24" customFormat="false" ht="15" hidden="false" customHeight="false" outlineLevel="0" collapsed="false">
      <c r="A24" s="3" t="n">
        <v>14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5.97421315304506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6.15874958117285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6.30443623495794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6.30443623495794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6.30443623495794</v>
      </c>
    </row>
    <row r="25" customFormat="false" ht="15" hidden="false" customHeight="false" outlineLevel="0" collapsed="false">
      <c r="A25" s="3" t="n">
        <v>15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5.33410475513217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5.47147195289442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5.62410217263024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5.79468888880558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5.90149100675883</v>
      </c>
    </row>
    <row r="26" customFormat="false" ht="15" hidden="false" customHeight="false" outlineLevel="0" collapsed="false">
      <c r="A26" s="3" t="n">
        <v>16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4.81279173880073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4.91730786872984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5.03227561165187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5.15934522224989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5.30053367846992</v>
      </c>
    </row>
    <row r="27" customFormat="false" ht="15" hidden="false" customHeight="false" outlineLevel="0" collapsed="false">
      <c r="A27" s="3" t="n">
        <v>17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4.38042633284847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4.46139842585013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4.54973161821558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4.64647749556822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4.75289796065611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2026-10-03T21:19:24Z</dcterms:created>
  <dc:creator>openpyxl</dc:creator>
  <dc:description/>
  <dc:language>en-NZ</dc:language>
  <cp:lastModifiedBy/>
  <dcterms:modified xsi:type="dcterms:W3CDTF">2026-10-03T21:19:24Z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