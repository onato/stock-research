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Model" sheetId="1" r:id="rId1"/>
    <sheet name="Sensitivity" sheetId="2" r:id="rId2"/>
    <sheet name="Historical" sheetId="3" r:id="rId3"/>
    <sheet name="Model_Info" sheetId="4" r:id="rId4"/>
  </sheets>
  <calcPr calcId="124519" fullCalcOnLoad="1"/>
</workbook>
</file>

<file path=xl/sharedStrings.xml><?xml version="1.0" encoding="utf-8"?>
<sst xmlns="http://schemas.openxmlformats.org/spreadsheetml/2006/main" count="136" uniqueCount="125">
  <si>
    <t>KFL.NZ (Kingfish Limited) NAV Compounding Valuation Model</t>
  </si>
  <si>
    <t>NOT an FCF DCF -- closed-end LIC valued on NAV/share compounding x exit price-to-NAV. Gray cells are INPUTS.</t>
  </si>
  <si>
    <t>KEY INPUTS</t>
  </si>
  <si>
    <t>Current Share Price</t>
  </si>
  <si>
    <t>Shares Outstanding (M)</t>
  </si>
  <si>
    <t>Starting NAV per Share (FY2026)</t>
  </si>
  <si>
    <t>Net Assets (M)</t>
  </si>
  <si>
    <t>Cash &amp; Equivalents (M)</t>
  </si>
  <si>
    <t>Total Debt (M)</t>
  </si>
  <si>
    <t>Net Debt (M)</t>
  </si>
  <si>
    <t>&lt;- always ~0/negative; Kingfish carries no debt and NAV already nets this</t>
  </si>
  <si>
    <t>Cost of Equity (WACC field)</t>
  </si>
  <si>
    <t>SCENARIO ASSUMPTIONS (BASE CASE ACTIVE BELOW)</t>
  </si>
  <si>
    <t>Bear</t>
  </si>
  <si>
    <t>Base</t>
  </si>
  <si>
    <t>Bull</t>
  </si>
  <si>
    <t>Gross Portfolio Return %</t>
  </si>
  <si>
    <t>Fee Drag %</t>
  </si>
  <si>
    <t>Net Return % (=Gross-Fee)</t>
  </si>
  <si>
    <t>Distribution Rate % of NAV</t>
  </si>
  <si>
    <t>Implied NAV/Share Growth %</t>
  </si>
  <si>
    <t>Exit Price-to-NAV (Yr 5)</t>
  </si>
  <si>
    <t>Cost of Equity %</t>
  </si>
  <si>
    <t>Active scenario used in projection below:</t>
  </si>
  <si>
    <t>&lt;- type Bear / Base / Bull to switch (drives column C above via manual copy; formulas below reference Base directly for simplicity)</t>
  </si>
  <si>
    <t>ACTIVE: Net Return %</t>
  </si>
  <si>
    <t>ACTIVE: Distribution Rate % of NAV</t>
  </si>
  <si>
    <t>ACTIVE: Exit Price-to-NAV</t>
  </si>
  <si>
    <t>ACTIVE: Cost of Equity %</t>
  </si>
  <si>
    <t>ACTIVE: Implied NAV/Share Growth % (=NetReturn-Distribution)</t>
  </si>
  <si>
    <t>PROJECTIONS (Active Scenario)</t>
  </si>
  <si>
    <t>FY2027</t>
  </si>
  <si>
    <t>FY2028</t>
  </si>
  <si>
    <t>FY2029</t>
  </si>
  <si>
    <t>FY2030</t>
  </si>
  <si>
    <t>FY2031</t>
  </si>
  <si>
    <t>NAV per Share</t>
  </si>
  <si>
    <t>Dividend per Share</t>
  </si>
  <si>
    <t>Discount Factor (Cost of Equity)</t>
  </si>
  <si>
    <t>PV of Dividend</t>
  </si>
  <si>
    <t>VALUATION</t>
  </si>
  <si>
    <t>Sum of PV of Dividends</t>
  </si>
  <si>
    <t>Year-5 NAV per Share</t>
  </si>
  <si>
    <t>Exit Value (Yr5 NAV x Exit P/NAV)</t>
  </si>
  <si>
    <t>PV of Exit Value</t>
  </si>
  <si>
    <t>INTRINSIC VALUE/SHARE</t>
  </si>
  <si>
    <t>Upside/(Downside) vs Current Price</t>
  </si>
  <si>
    <t>Implied Price-to-NAV (Base IV / Starting NAV)</t>
  </si>
  <si>
    <t>ENTRY PRICE (15% IRR Target)</t>
  </si>
  <si>
    <t>Hurdle Rate</t>
  </si>
  <si>
    <t>PV of Dividends @15%</t>
  </si>
  <si>
    <t>PV of Exit Value @15%</t>
  </si>
  <si>
    <t>Less: Net Debt (always ~0)</t>
  </si>
  <si>
    <t>Entry Price (15% IRR)</t>
  </si>
  <si>
    <t>Entry Price Discount from Current</t>
  </si>
  <si>
    <t>NOTE: A fund earning ~5% net total return against a 15% hurdle can only</t>
  </si>
  <si>
    <t>clear that hurdle at a deep discount to NAV -- a low entry price here is</t>
  </si>
  <si>
    <t>the correct, expected output, not a modelling error.</t>
  </si>
  <si>
    <t>Sensitivity Analysis</t>
  </si>
  <si>
    <t>Intrinsic Value by Cost of Equity &amp; Exit Price-to-NAV (base-case NAV/dividend path)</t>
  </si>
  <si>
    <t>NOTE: for a closed-end fund the 2nd axis is EXIT PRICE-TO-NAV, not terminal growth.</t>
  </si>
  <si>
    <t>CoE \ Exit P/NAV</t>
  </si>
  <si>
    <t>Historical NAV, Share Price &amp; Discount/Premium</t>
  </si>
  <si>
    <t>Fiscal Year End 31-Mar</t>
  </si>
  <si>
    <t>FY2018</t>
  </si>
  <si>
    <t>FY2019</t>
  </si>
  <si>
    <t>FY2020</t>
  </si>
  <si>
    <t>FY2021</t>
  </si>
  <si>
    <t>FY2022</t>
  </si>
  <si>
    <t>FY2023</t>
  </si>
  <si>
    <t>FY2024</t>
  </si>
  <si>
    <t>FY2025</t>
  </si>
  <si>
    <t>FY2026</t>
  </si>
  <si>
    <t>NAV per Share ($)</t>
  </si>
  <si>
    <t>Share Price vs Adjusted NAV (company-published table)</t>
  </si>
  <si>
    <t>Adjusted NAV ($)</t>
  </si>
  <si>
    <t>Share Price ($)</t>
  </si>
  <si>
    <t>Discount/(Premium) to NAV</t>
  </si>
  <si>
    <t>Adjusted NAV Return (annual, %)</t>
  </si>
  <si>
    <t>Kingfish</t>
  </si>
  <si>
    <t>Selected Growth Rate (NAV/share 7yr CAGR):</t>
  </si>
  <si>
    <t>Source:</t>
  </si>
  <si>
    <t>nav_per_share_7yr_cagr</t>
  </si>
  <si>
    <t>5yr CAGR:</t>
  </si>
  <si>
    <t>3yr CAGR:</t>
  </si>
  <si>
    <t>KFL.NZ (Kingfish Limited) NAV Valuation Model -- Provenance &amp; Methodology</t>
  </si>
  <si>
    <t>BUILT BY: Claude (dcf-analyst workflow), 2026-08-12.</t>
  </si>
  <si>
    <t>DATA VINTAGE:</t>
  </si>
  <si>
    <t>- Share price: $1.20 NZD, live Yahoo Finance quote, 12-Aug-2026 (52wk range $1.17-$1.36).</t>
  </si>
  <si>
    <t>- NAV/financials: FY2026 Annual Report (year ended 31-Mar-2026, released 22-Jun-2026).</t>
  </si>
  <si>
    <t>- Shares outstanding: 358,844,193 at 31-Mar-2026 (a further 1,218,425 issued 6-May-2026 from the 1.40% KFLWI warrant take-up; ~85.7m warrants lapsed).</t>
  </si>
  <si>
    <t>- Most recent weekly NAV disclosure referenced: 29-Jul-2026 ($1.2977 undiluted) -- NOT used as the projection anchor; the lower, audited FY2026 statutory NAV ($1.20) is used conservatively.</t>
  </si>
  <si>
    <t>METHODOLOGY -- THIS IS NOT AN FCF DCF:</t>
  </si>
  <si>
    <t>Kingfish is a closed-end listed investment company (LIC): no revenue, no EBITDA, no free cash flow in any</t>
  </si>
  <si>
    <t>meaningful sense. The model instead compounds NAV per share forward using:</t>
  </si>
  <si>
    <t xml:space="preserve">   NAV growth %/yr = (gross portfolio return - management fee drag) - distribution rate (% of NAV paid out)</t>
  </si>
  <si>
    <t>then values the shares as PV(5 years of dividends per share) + PV(year-5 NAV/share x an exit price-to-NAV</t>
  </si>
  <si>
    <t>multiple), both discounted at a cost-of-equity rate (NOT a WACC in the leveraged sense -- Kingfish carries</t>
  </si>
  <si>
    <t>zero debt, so cost of equity = discount rate throughout).</t>
  </si>
  <si>
    <t>KEY ANALYTICAL POINT: the ~8-9% headline distribution is NOT incremental to NAV growth. It is funded FIRST</t>
  </si>
  <si>
    <t>out of the portfolio's total return; only the residual (net return minus the fixed distribution) becomes</t>
  </si>
  <si>
    <t>NAV/share growth, which realistic assumptions show is NEGATIVE in the base and bear cases. This matches</t>
  </si>
  <si>
    <t>what has actually happened: statutory NAV/share fell from $1.57 (FY2019) to $1.20 (FY2026), a -3.8%/yr</t>
  </si>
  <si>
    <t>CAGR, even as total net assets grew (shares on issue +81% via warrants/DRP).</t>
  </si>
  <si>
    <t>SCENARIOS (gross return / fee drag / distribution / exit P-to-NAV / cost of equity):</t>
  </si>
  <si>
    <t xml:space="preserve">  Bear: 3.0% / 1.2% / 8.0% / 0.90x / 10.5%  -&gt; NAV/share -6.2%/yr</t>
  </si>
  <si>
    <t xml:space="preserve">  Base: 6.5% / 1.1% / 8.0% / 0.95x / 10.0%  -&gt; NAV/share -2.6%/yr</t>
  </si>
  <si>
    <t xml:space="preserve">  Bull: 9.5% / 1.15% / 8.0% / 1.00x / 9.5%  -&gt; NAV/share +0.35%/yr (fee RISES in bull case: performance fee re-engages)</t>
  </si>
  <si>
    <t>RESULT: base-case intrinsic value ~$0.97 vs $1.20 current price (~-19% "upside"); entry price for a 15%</t>
  </si>
  <si>
    <t>IRR is ~$0.80 (-33% from current). Both are the model's genuine, unmassaged conclusions -- Kingfish</t>
  </si>
  <si>
    <t>currently trades near NAV (only ~1% discount) which historically has been a rich valuation point for this</t>
  </si>
  <si>
    <t>fund (5yr average discount ~5%, only briefly a premium in FY2022).</t>
  </si>
  <si>
    <t>WHAT TO REFRESH AFTER THE NEXT REPORT (H1 FY2027, expected ~Nov-2026, and FY2027 Annual ~Jun-2027):</t>
  </si>
  <si>
    <t>- Roll forward NAV per share, net assets, shares on issue, dividends paid/declared.</t>
  </si>
  <si>
    <t>- Re-check the discount/premium to NAV at the new report date to see if the base-case exit P/NAV (0.95)</t>
  </si>
  <si>
    <t xml:space="preserve">  assumption remains reasonable versus the then-current trading level.</t>
  </si>
  <si>
    <t>- Re-check whether the FY2026 fee rebate (0.85%) persists or reverts toward the top of the 0.75-1.25% band.</t>
  </si>
  <si>
    <t>- Re-check gross portfolio return vs the S&amp;P/NZX50G benchmark for continued manager under/outperformance.</t>
  </si>
  <si>
    <t>CELL COLOUR CONVENTIONS:</t>
  </si>
  <si>
    <t>- Light gray cells = INPUTS (edit these to run your own scenario).</t>
  </si>
  <si>
    <t>- White cells = FORMULAS (do not hardcode; they derive from the gray inputs).</t>
  </si>
  <si>
    <t>- Green highlighted cells = headline OUTPUT (Intrinsic Value / Entry Price).</t>
  </si>
  <si>
    <t>STALENESS WARNING: all figures in this workbook are a snapshot as of the FY2026 Annual Report and the</t>
  </si>
  <si>
    <t>12-Aug-2026 share price. They WILL go stale after the next Kingfish report or a material market move and</t>
  </si>
  <si>
    <t>must be re-checked before being relied upon.</t>
  </si>
</sst>
</file>

<file path=xl/styles.xml><?xml version="1.0" encoding="utf-8"?>
<styleSheet xmlns="http://schemas.openxmlformats.org/spreadsheetml/2006/main">
  <numFmts count="5">
    <numFmt numFmtId="164" formatCode="#,##0.0000"/>
    <numFmt numFmtId="165" formatCode="0.00%"/>
    <numFmt numFmtId="166" formatCode="&quot;$&quot;#,##0.0000"/>
    <numFmt numFmtId="167" formatCode="0.00"/>
    <numFmt numFmtId="168" formatCode="0.0%"/>
  </numFmts>
  <fonts count="7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D6303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2D3436"/>
        <bgColor indexed="64"/>
      </patternFill>
    </fill>
    <fill>
      <patternFill patternType="solid">
        <fgColor rgb="FF00B894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164" fontId="0" fillId="2" borderId="2" xfId="0" applyNumberFormat="1" applyFill="1" applyBorder="1"/>
    <xf numFmtId="164" fontId="0" fillId="0" borderId="2" xfId="0" applyNumberFormat="1" applyBorder="1"/>
    <xf numFmtId="0" fontId="4" fillId="0" borderId="0" xfId="0" applyFont="1" applyAlignment="1">
      <alignment wrapText="1"/>
    </xf>
    <xf numFmtId="165" fontId="0" fillId="2" borderId="2" xfId="0" applyNumberFormat="1" applyFill="1" applyBorder="1"/>
    <xf numFmtId="0" fontId="5" fillId="3" borderId="2" xfId="0" applyFont="1" applyFill="1" applyBorder="1"/>
    <xf numFmtId="0" fontId="6" fillId="0" borderId="0" xfId="0" applyFont="1"/>
    <xf numFmtId="166" fontId="5" fillId="4" borderId="2" xfId="0" applyNumberFormat="1" applyFont="1" applyFill="1" applyBorder="1"/>
    <xf numFmtId="165" fontId="0" fillId="0" borderId="2" xfId="0" applyNumberFormat="1" applyBorder="1"/>
    <xf numFmtId="167" fontId="5" fillId="3" borderId="0" xfId="0" applyNumberFormat="1" applyFont="1" applyFill="1"/>
    <xf numFmtId="168" fontId="5" fillId="3" borderId="0" xfId="0" applyNumberFormat="1" applyFont="1" applyFill="1"/>
    <xf numFmtId="166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workbookViewId="0"/>
  </sheetViews>
  <sheetFormatPr defaultRowHeight="15"/>
  <cols>
    <col min="1" max="1" width="32.7109375" customWidth="1"/>
    <col min="2" max="8" width="13.710937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</row>
    <row r="5" spans="1:4">
      <c r="A5" t="s">
        <v>3</v>
      </c>
      <c r="B5" s="4">
        <v>1.2</v>
      </c>
    </row>
    <row r="6" spans="1:4">
      <c r="A6" t="s">
        <v>4</v>
      </c>
      <c r="B6" s="4">
        <v>358.844193</v>
      </c>
    </row>
    <row r="7" spans="1:4">
      <c r="A7" t="s">
        <v>5</v>
      </c>
      <c r="B7" s="4">
        <v>1.2</v>
      </c>
    </row>
    <row r="8" spans="1:4">
      <c r="A8" t="s">
        <v>6</v>
      </c>
      <c r="B8" s="4">
        <v>431.37</v>
      </c>
    </row>
    <row r="9" spans="1:4">
      <c r="A9" t="s">
        <v>7</v>
      </c>
      <c r="B9" s="4">
        <v>7.016</v>
      </c>
    </row>
    <row r="10" spans="1:4">
      <c r="A10" t="s">
        <v>8</v>
      </c>
      <c r="B10" s="4">
        <v>0</v>
      </c>
    </row>
    <row r="11" spans="1:4">
      <c r="A11" t="s">
        <v>9</v>
      </c>
      <c r="B11" s="5">
        <f>B10-B9</f>
        <v>0</v>
      </c>
      <c r="C11" s="6" t="s">
        <v>10</v>
      </c>
    </row>
    <row r="13" spans="1:4">
      <c r="A13" t="s">
        <v>11</v>
      </c>
      <c r="B13" s="7">
        <v>0.1</v>
      </c>
    </row>
    <row r="15" spans="1:4">
      <c r="A15" s="3" t="s">
        <v>12</v>
      </c>
    </row>
    <row r="16" spans="1:4">
      <c r="A16" s="8"/>
      <c r="B16" s="8" t="s">
        <v>13</v>
      </c>
      <c r="C16" s="8" t="s">
        <v>14</v>
      </c>
      <c r="D16" s="8" t="s">
        <v>15</v>
      </c>
    </row>
    <row r="18" spans="1:4">
      <c r="A18" t="s">
        <v>16</v>
      </c>
      <c r="B18" s="7">
        <v>0.03</v>
      </c>
      <c r="C18" s="7">
        <v>0.065</v>
      </c>
      <c r="D18" s="7">
        <v>0.095</v>
      </c>
    </row>
    <row r="19" spans="1:4">
      <c r="A19" t="s">
        <v>17</v>
      </c>
      <c r="B19" s="7">
        <v>0.012</v>
      </c>
      <c r="C19" s="7">
        <v>0.011</v>
      </c>
      <c r="D19" s="7">
        <v>0.0115</v>
      </c>
    </row>
    <row r="20" spans="1:4">
      <c r="A20" t="s">
        <v>18</v>
      </c>
      <c r="B20" s="7">
        <v>0.018</v>
      </c>
      <c r="C20" s="7">
        <v>0.05400000000000001</v>
      </c>
      <c r="D20" s="7">
        <v>0.08349999999999999</v>
      </c>
    </row>
    <row r="21" spans="1:4">
      <c r="A21" t="s">
        <v>19</v>
      </c>
      <c r="B21" s="7">
        <v>0.08</v>
      </c>
      <c r="C21" s="7">
        <v>0.08</v>
      </c>
      <c r="D21" s="7">
        <v>0.08</v>
      </c>
    </row>
    <row r="22" spans="1:4">
      <c r="A22" t="s">
        <v>20</v>
      </c>
      <c r="B22" s="7">
        <v>-0.062</v>
      </c>
      <c r="C22" s="7">
        <v>-0.026</v>
      </c>
      <c r="D22" s="7">
        <v>0.0035</v>
      </c>
    </row>
    <row r="23" spans="1:4">
      <c r="A23" t="s">
        <v>21</v>
      </c>
      <c r="B23" s="4">
        <v>0.9</v>
      </c>
      <c r="C23" s="4">
        <v>0.95</v>
      </c>
      <c r="D23" s="4">
        <v>1</v>
      </c>
    </row>
    <row r="24" spans="1:4">
      <c r="A24" t="s">
        <v>22</v>
      </c>
      <c r="B24" s="7">
        <v>0.105</v>
      </c>
      <c r="C24" s="7">
        <v>0.1</v>
      </c>
      <c r="D24" s="7">
        <v>0.095</v>
      </c>
    </row>
    <row r="25" spans="1:4">
      <c r="A25" t="s">
        <v>23</v>
      </c>
      <c r="B25" s="4" t="s">
        <v>14</v>
      </c>
      <c r="C25" s="6" t="s">
        <v>24</v>
      </c>
    </row>
    <row r="27" spans="1:4">
      <c r="A27" t="s">
        <v>25</v>
      </c>
      <c r="B27" s="7">
        <f>C20</f>
        <v>0</v>
      </c>
    </row>
    <row r="28" spans="1:4">
      <c r="A28" t="s">
        <v>26</v>
      </c>
      <c r="B28" s="7">
        <f>C21</f>
        <v>0</v>
      </c>
    </row>
    <row r="29" spans="1:4">
      <c r="A29" t="s">
        <v>27</v>
      </c>
      <c r="B29" s="4">
        <f>C23</f>
        <v>0</v>
      </c>
    </row>
    <row r="30" spans="1:4">
      <c r="A30" t="s">
        <v>28</v>
      </c>
      <c r="B30" s="7">
        <f>C24</f>
        <v>0</v>
      </c>
    </row>
    <row r="31" spans="1:4">
      <c r="A31" t="s">
        <v>29</v>
      </c>
      <c r="B31" s="7">
        <f>B27-B28</f>
        <v>0</v>
      </c>
    </row>
    <row r="33" spans="1:6">
      <c r="A33" s="3" t="s">
        <v>30</v>
      </c>
    </row>
    <row r="34" spans="1:6">
      <c r="A34" s="8"/>
      <c r="B34" s="8" t="s">
        <v>31</v>
      </c>
      <c r="C34" s="8" t="s">
        <v>32</v>
      </c>
      <c r="D34" s="8" t="s">
        <v>33</v>
      </c>
      <c r="E34" s="8" t="s">
        <v>34</v>
      </c>
      <c r="F34" s="8" t="s">
        <v>35</v>
      </c>
    </row>
    <row r="35" spans="1:6">
      <c r="A35" t="s">
        <v>36</v>
      </c>
      <c r="B35" s="5">
        <f>B7*(1+$B$31)</f>
        <v>0</v>
      </c>
      <c r="C35" s="5">
        <f>B35*(1+$B$31)</f>
        <v>0</v>
      </c>
      <c r="D35" s="5">
        <f>C35*(1+$B$31)</f>
        <v>0</v>
      </c>
      <c r="E35" s="5">
        <f>D35*(1+$B$31)</f>
        <v>0</v>
      </c>
      <c r="F35" s="5">
        <f>E35*(1+$B$31)</f>
        <v>0</v>
      </c>
    </row>
    <row r="36" spans="1:6">
      <c r="A36" t="s">
        <v>37</v>
      </c>
      <c r="B36" s="5">
        <f>B7*$B$28</f>
        <v>0</v>
      </c>
      <c r="C36" s="5">
        <f>B35*$B$28</f>
        <v>0</v>
      </c>
      <c r="D36" s="5">
        <f>C35*$B$28</f>
        <v>0</v>
      </c>
      <c r="E36" s="5">
        <f>D35*$B$28</f>
        <v>0</v>
      </c>
      <c r="F36" s="5">
        <f>E35*$B$28</f>
        <v>0</v>
      </c>
    </row>
    <row r="37" spans="1:6">
      <c r="A37" t="s">
        <v>38</v>
      </c>
      <c r="B37" s="5">
        <f>1/(1+$B$30)^1</f>
        <v>0</v>
      </c>
      <c r="C37" s="5">
        <f>1/(1+$B$30)^2</f>
        <v>0</v>
      </c>
      <c r="D37" s="5">
        <f>1/(1+$B$30)^3</f>
        <v>0</v>
      </c>
      <c r="E37" s="5">
        <f>1/(1+$B$30)^4</f>
        <v>0</v>
      </c>
      <c r="F37" s="5">
        <f>1/(1+$B$30)^5</f>
        <v>0</v>
      </c>
    </row>
    <row r="38" spans="1:6">
      <c r="A38" t="s">
        <v>39</v>
      </c>
      <c r="B38" s="5">
        <f>B36*B37</f>
        <v>0</v>
      </c>
      <c r="C38" s="5">
        <f>C36*C37</f>
        <v>0</v>
      </c>
      <c r="D38" s="5">
        <f>D36*D37</f>
        <v>0</v>
      </c>
      <c r="E38" s="5">
        <f>E36*E37</f>
        <v>0</v>
      </c>
      <c r="F38" s="5">
        <f>F36*F37</f>
        <v>0</v>
      </c>
    </row>
    <row r="40" spans="1:6">
      <c r="A40" s="3" t="s">
        <v>40</v>
      </c>
    </row>
    <row r="41" spans="1:6">
      <c r="A41" t="s">
        <v>41</v>
      </c>
      <c r="B41" s="5">
        <f>SUM(B38:F38)</f>
        <v>0</v>
      </c>
    </row>
    <row r="42" spans="1:6">
      <c r="A42" t="s">
        <v>42</v>
      </c>
      <c r="B42" s="5">
        <f>F35</f>
        <v>0</v>
      </c>
    </row>
    <row r="43" spans="1:6">
      <c r="A43" t="s">
        <v>43</v>
      </c>
      <c r="B43" s="5">
        <f>B42*$B$29</f>
        <v>0</v>
      </c>
    </row>
    <row r="44" spans="1:6">
      <c r="A44" t="s">
        <v>44</v>
      </c>
      <c r="B44" s="5">
        <f>B43*F37</f>
        <v>0</v>
      </c>
    </row>
    <row r="45" spans="1:6">
      <c r="A45" s="9" t="s">
        <v>45</v>
      </c>
      <c r="B45" s="10">
        <f>B41+B44</f>
        <v>0</v>
      </c>
    </row>
    <row r="46" spans="1:6">
      <c r="A46" t="s">
        <v>46</v>
      </c>
      <c r="B46" s="11">
        <f>(B45-B5)/B5</f>
        <v>0</v>
      </c>
    </row>
    <row r="47" spans="1:6">
      <c r="A47" t="s">
        <v>47</v>
      </c>
      <c r="B47" s="5">
        <f>B45/B7</f>
        <v>0</v>
      </c>
    </row>
    <row r="49" spans="1:2">
      <c r="A49" s="3" t="s">
        <v>48</v>
      </c>
    </row>
    <row r="50" spans="1:2">
      <c r="A50" t="s">
        <v>49</v>
      </c>
      <c r="B50" s="7">
        <v>0.15</v>
      </c>
    </row>
    <row r="51" spans="1:2">
      <c r="A51" t="s">
        <v>50</v>
      </c>
      <c r="B51" s="5">
        <f>NPV(B50,B36:F36)</f>
        <v>0</v>
      </c>
    </row>
    <row r="52" spans="1:2">
      <c r="A52" t="s">
        <v>51</v>
      </c>
      <c r="B52" s="5">
        <f>B43/((1+B50)^5)</f>
        <v>0</v>
      </c>
    </row>
    <row r="53" spans="1:2">
      <c r="A53" t="s">
        <v>52</v>
      </c>
      <c r="B53" s="5">
        <f>B11</f>
        <v>0</v>
      </c>
    </row>
    <row r="54" spans="1:2">
      <c r="A54" t="s">
        <v>53</v>
      </c>
      <c r="B54" s="10">
        <f>B51+B52-B53</f>
        <v>0</v>
      </c>
    </row>
    <row r="55" spans="1:2">
      <c r="A55" t="s">
        <v>54</v>
      </c>
      <c r="B55" s="11">
        <f>(B5-B54)/B5</f>
        <v>0</v>
      </c>
    </row>
    <row r="57" spans="1:2">
      <c r="A57" s="6" t="s">
        <v>55</v>
      </c>
    </row>
    <row r="58" spans="1:2">
      <c r="A58" s="6" t="s">
        <v>56</v>
      </c>
    </row>
    <row r="59" spans="1:2">
      <c r="A59" s="6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cols>
    <col min="1" max="1" width="20.7109375" customWidth="1"/>
    <col min="2" max="7" width="12.7109375" customWidth="1"/>
  </cols>
  <sheetData>
    <row r="1" spans="1:6">
      <c r="A1" s="1" t="s">
        <v>58</v>
      </c>
    </row>
    <row r="2" spans="1:6">
      <c r="A2" t="s">
        <v>59</v>
      </c>
    </row>
    <row r="3" spans="1:6">
      <c r="A3" s="6" t="s">
        <v>60</v>
      </c>
    </row>
    <row r="5" spans="1:6">
      <c r="A5" s="8" t="s">
        <v>61</v>
      </c>
      <c r="B5" s="12">
        <v>0.85</v>
      </c>
      <c r="C5" s="12">
        <v>0.9</v>
      </c>
      <c r="D5" s="12">
        <v>0.95</v>
      </c>
      <c r="E5" s="12">
        <v>1</v>
      </c>
      <c r="F5" s="12">
        <v>1.05</v>
      </c>
    </row>
    <row r="6" spans="1:6">
      <c r="A6" s="13">
        <v>0.08</v>
      </c>
      <c r="B6" s="14">
        <f>('NAV Model'!$B$36/(1+0.08)^1 + 'NAV Model'!$C$36/(1+0.08)^2 + 'NAV Model'!$D$36/(1+0.08)^3 + 'NAV Model'!$E$36/(1+0.08)^4 + 'NAV Model'!$F$36/(1+0.08)^5) + ('NAV Model'!$F$35*0.85)/(1+0.08)^5</f>
        <v>0</v>
      </c>
      <c r="C6" s="14">
        <f>('NAV Model'!$B$36/(1+0.08)^1 + 'NAV Model'!$C$36/(1+0.08)^2 + 'NAV Model'!$D$36/(1+0.08)^3 + 'NAV Model'!$E$36/(1+0.08)^4 + 'NAV Model'!$F$36/(1+0.08)^5) + ('NAV Model'!$F$35*0.9)/(1+0.08)^5</f>
        <v>0</v>
      </c>
      <c r="D6" s="14">
        <f>('NAV Model'!$B$36/(1+0.08)^1 + 'NAV Model'!$C$36/(1+0.08)^2 + 'NAV Model'!$D$36/(1+0.08)^3 + 'NAV Model'!$E$36/(1+0.08)^4 + 'NAV Model'!$F$36/(1+0.08)^5) + ('NAV Model'!$F$35*0.95)/(1+0.08)^5</f>
        <v>0</v>
      </c>
      <c r="E6" s="14">
        <f>('NAV Model'!$B$36/(1+0.08)^1 + 'NAV Model'!$C$36/(1+0.08)^2 + 'NAV Model'!$D$36/(1+0.08)^3 + 'NAV Model'!$E$36/(1+0.08)^4 + 'NAV Model'!$F$36/(1+0.08)^5) + ('NAV Model'!$F$35*1.0)/(1+0.08)^5</f>
        <v>0</v>
      </c>
      <c r="F6" s="14">
        <f>('NAV Model'!$B$36/(1+0.08)^1 + 'NAV Model'!$C$36/(1+0.08)^2 + 'NAV Model'!$D$36/(1+0.08)^3 + 'NAV Model'!$E$36/(1+0.08)^4 + 'NAV Model'!$F$36/(1+0.08)^5) + ('NAV Model'!$F$35*1.05)/(1+0.08)^5</f>
        <v>0</v>
      </c>
    </row>
    <row r="7" spans="1:6">
      <c r="A7" s="13">
        <v>0.09</v>
      </c>
      <c r="B7" s="14">
        <f>('NAV Model'!$B$36/(1+0.09)^1 + 'NAV Model'!$C$36/(1+0.09)^2 + 'NAV Model'!$D$36/(1+0.09)^3 + 'NAV Model'!$E$36/(1+0.09)^4 + 'NAV Model'!$F$36/(1+0.09)^5) + ('NAV Model'!$F$35*0.85)/(1+0.09)^5</f>
        <v>0</v>
      </c>
      <c r="C7" s="14">
        <f>('NAV Model'!$B$36/(1+0.09)^1 + 'NAV Model'!$C$36/(1+0.09)^2 + 'NAV Model'!$D$36/(1+0.09)^3 + 'NAV Model'!$E$36/(1+0.09)^4 + 'NAV Model'!$F$36/(1+0.09)^5) + ('NAV Model'!$F$35*0.9)/(1+0.09)^5</f>
        <v>0</v>
      </c>
      <c r="D7" s="14">
        <f>('NAV Model'!$B$36/(1+0.09)^1 + 'NAV Model'!$C$36/(1+0.09)^2 + 'NAV Model'!$D$36/(1+0.09)^3 + 'NAV Model'!$E$36/(1+0.09)^4 + 'NAV Model'!$F$36/(1+0.09)^5) + ('NAV Model'!$F$35*0.95)/(1+0.09)^5</f>
        <v>0</v>
      </c>
      <c r="E7" s="14">
        <f>('NAV Model'!$B$36/(1+0.09)^1 + 'NAV Model'!$C$36/(1+0.09)^2 + 'NAV Model'!$D$36/(1+0.09)^3 + 'NAV Model'!$E$36/(1+0.09)^4 + 'NAV Model'!$F$36/(1+0.09)^5) + ('NAV Model'!$F$35*1.0)/(1+0.09)^5</f>
        <v>0</v>
      </c>
      <c r="F7" s="14">
        <f>('NAV Model'!$B$36/(1+0.09)^1 + 'NAV Model'!$C$36/(1+0.09)^2 + 'NAV Model'!$D$36/(1+0.09)^3 + 'NAV Model'!$E$36/(1+0.09)^4 + 'NAV Model'!$F$36/(1+0.09)^5) + ('NAV Model'!$F$35*1.05)/(1+0.09)^5</f>
        <v>0</v>
      </c>
    </row>
    <row r="8" spans="1:6">
      <c r="A8" s="13">
        <v>0.1</v>
      </c>
      <c r="B8" s="14">
        <f>('NAV Model'!$B$36/(1+0.1)^1 + 'NAV Model'!$C$36/(1+0.1)^2 + 'NAV Model'!$D$36/(1+0.1)^3 + 'NAV Model'!$E$36/(1+0.1)^4 + 'NAV Model'!$F$36/(1+0.1)^5) + ('NAV Model'!$F$35*0.85)/(1+0.1)^5</f>
        <v>0</v>
      </c>
      <c r="C8" s="14">
        <f>('NAV Model'!$B$36/(1+0.1)^1 + 'NAV Model'!$C$36/(1+0.1)^2 + 'NAV Model'!$D$36/(1+0.1)^3 + 'NAV Model'!$E$36/(1+0.1)^4 + 'NAV Model'!$F$36/(1+0.1)^5) + ('NAV Model'!$F$35*0.9)/(1+0.1)^5</f>
        <v>0</v>
      </c>
      <c r="D8" s="14">
        <f>('NAV Model'!$B$36/(1+0.1)^1 + 'NAV Model'!$C$36/(1+0.1)^2 + 'NAV Model'!$D$36/(1+0.1)^3 + 'NAV Model'!$E$36/(1+0.1)^4 + 'NAV Model'!$F$36/(1+0.1)^5) + ('NAV Model'!$F$35*0.95)/(1+0.1)^5</f>
        <v>0</v>
      </c>
      <c r="E8" s="14">
        <f>('NAV Model'!$B$36/(1+0.1)^1 + 'NAV Model'!$C$36/(1+0.1)^2 + 'NAV Model'!$D$36/(1+0.1)^3 + 'NAV Model'!$E$36/(1+0.1)^4 + 'NAV Model'!$F$36/(1+0.1)^5) + ('NAV Model'!$F$35*1.0)/(1+0.1)^5</f>
        <v>0</v>
      </c>
      <c r="F8" s="14">
        <f>('NAV Model'!$B$36/(1+0.1)^1 + 'NAV Model'!$C$36/(1+0.1)^2 + 'NAV Model'!$D$36/(1+0.1)^3 + 'NAV Model'!$E$36/(1+0.1)^4 + 'NAV Model'!$F$36/(1+0.1)^5) + ('NAV Model'!$F$35*1.05)/(1+0.1)^5</f>
        <v>0</v>
      </c>
    </row>
    <row r="9" spans="1:6">
      <c r="A9" s="13">
        <v>0.11</v>
      </c>
      <c r="B9" s="14">
        <f>('NAV Model'!$B$36/(1+0.11)^1 + 'NAV Model'!$C$36/(1+0.11)^2 + 'NAV Model'!$D$36/(1+0.11)^3 + 'NAV Model'!$E$36/(1+0.11)^4 + 'NAV Model'!$F$36/(1+0.11)^5) + ('NAV Model'!$F$35*0.85)/(1+0.11)^5</f>
        <v>0</v>
      </c>
      <c r="C9" s="14">
        <f>('NAV Model'!$B$36/(1+0.11)^1 + 'NAV Model'!$C$36/(1+0.11)^2 + 'NAV Model'!$D$36/(1+0.11)^3 + 'NAV Model'!$E$36/(1+0.11)^4 + 'NAV Model'!$F$36/(1+0.11)^5) + ('NAV Model'!$F$35*0.9)/(1+0.11)^5</f>
        <v>0</v>
      </c>
      <c r="D9" s="14">
        <f>('NAV Model'!$B$36/(1+0.11)^1 + 'NAV Model'!$C$36/(1+0.11)^2 + 'NAV Model'!$D$36/(1+0.11)^3 + 'NAV Model'!$E$36/(1+0.11)^4 + 'NAV Model'!$F$36/(1+0.11)^5) + ('NAV Model'!$F$35*0.95)/(1+0.11)^5</f>
        <v>0</v>
      </c>
      <c r="E9" s="14">
        <f>('NAV Model'!$B$36/(1+0.11)^1 + 'NAV Model'!$C$36/(1+0.11)^2 + 'NAV Model'!$D$36/(1+0.11)^3 + 'NAV Model'!$E$36/(1+0.11)^4 + 'NAV Model'!$F$36/(1+0.11)^5) + ('NAV Model'!$F$35*1.0)/(1+0.11)^5</f>
        <v>0</v>
      </c>
      <c r="F9" s="14">
        <f>('NAV Model'!$B$36/(1+0.11)^1 + 'NAV Model'!$C$36/(1+0.11)^2 + 'NAV Model'!$D$36/(1+0.11)^3 + 'NAV Model'!$E$36/(1+0.11)^4 + 'NAV Model'!$F$36/(1+0.11)^5) + ('NAV Model'!$F$35*1.05)/(1+0.11)^5</f>
        <v>0</v>
      </c>
    </row>
    <row r="10" spans="1:6">
      <c r="A10" s="13">
        <v>0.12</v>
      </c>
      <c r="B10" s="14">
        <f>('NAV Model'!$B$36/(1+0.12)^1 + 'NAV Model'!$C$36/(1+0.12)^2 + 'NAV Model'!$D$36/(1+0.12)^3 + 'NAV Model'!$E$36/(1+0.12)^4 + 'NAV Model'!$F$36/(1+0.12)^5) + ('NAV Model'!$F$35*0.85)/(1+0.12)^5</f>
        <v>0</v>
      </c>
      <c r="C10" s="14">
        <f>('NAV Model'!$B$36/(1+0.12)^1 + 'NAV Model'!$C$36/(1+0.12)^2 + 'NAV Model'!$D$36/(1+0.12)^3 + 'NAV Model'!$E$36/(1+0.12)^4 + 'NAV Model'!$F$36/(1+0.12)^5) + ('NAV Model'!$F$35*0.9)/(1+0.12)^5</f>
        <v>0</v>
      </c>
      <c r="D10" s="14">
        <f>('NAV Model'!$B$36/(1+0.12)^1 + 'NAV Model'!$C$36/(1+0.12)^2 + 'NAV Model'!$D$36/(1+0.12)^3 + 'NAV Model'!$E$36/(1+0.12)^4 + 'NAV Model'!$F$36/(1+0.12)^5) + ('NAV Model'!$F$35*0.95)/(1+0.12)^5</f>
        <v>0</v>
      </c>
      <c r="E10" s="14">
        <f>('NAV Model'!$B$36/(1+0.12)^1 + 'NAV Model'!$C$36/(1+0.12)^2 + 'NAV Model'!$D$36/(1+0.12)^3 + 'NAV Model'!$E$36/(1+0.12)^4 + 'NAV Model'!$F$36/(1+0.12)^5) + ('NAV Model'!$F$35*1.0)/(1+0.12)^5</f>
        <v>0</v>
      </c>
      <c r="F10" s="14">
        <f>('NAV Model'!$B$36/(1+0.12)^1 + 'NAV Model'!$C$36/(1+0.12)^2 + 'NAV Model'!$D$36/(1+0.12)^3 + 'NAV Model'!$E$36/(1+0.12)^4 + 'NAV Model'!$F$36/(1+0.12)^5) + ('NAV Model'!$F$35*1.05)/(1+0.12)^5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1" width="26.7109375" customWidth="1"/>
    <col min="2" max="10" width="12.7109375" customWidth="1"/>
  </cols>
  <sheetData>
    <row r="1" spans="1:10">
      <c r="A1" s="1" t="s">
        <v>62</v>
      </c>
    </row>
    <row r="3" spans="1:10">
      <c r="A3" s="8" t="s">
        <v>63</v>
      </c>
      <c r="B3" s="8" t="s">
        <v>64</v>
      </c>
      <c r="C3" s="8" t="s">
        <v>65</v>
      </c>
      <c r="D3" s="8" t="s">
        <v>66</v>
      </c>
      <c r="E3" s="8" t="s">
        <v>67</v>
      </c>
      <c r="F3" s="8" t="s">
        <v>68</v>
      </c>
      <c r="G3" s="8" t="s">
        <v>69</v>
      </c>
      <c r="H3" s="8" t="s">
        <v>70</v>
      </c>
      <c r="I3" s="8" t="s">
        <v>71</v>
      </c>
      <c r="J3" s="8" t="s">
        <v>72</v>
      </c>
    </row>
    <row r="4" spans="1:10">
      <c r="A4" t="s">
        <v>73</v>
      </c>
      <c r="B4" s="5">
        <v>1.45</v>
      </c>
      <c r="C4" s="5">
        <v>1.57</v>
      </c>
      <c r="D4" s="5">
        <v>1.39</v>
      </c>
      <c r="E4" s="5">
        <v>1.77</v>
      </c>
      <c r="F4" s="5">
        <v>1.58</v>
      </c>
      <c r="G4" s="5">
        <v>1.4</v>
      </c>
      <c r="H4" s="5">
        <v>1.34</v>
      </c>
      <c r="I4" s="5">
        <v>1.35</v>
      </c>
      <c r="J4" s="5">
        <v>1.2</v>
      </c>
    </row>
    <row r="6" spans="1:10">
      <c r="A6" s="3" t="s">
        <v>74</v>
      </c>
    </row>
    <row r="7" spans="1:10">
      <c r="A7" s="8"/>
      <c r="B7" s="8" t="s">
        <v>68</v>
      </c>
      <c r="C7" s="8" t="s">
        <v>69</v>
      </c>
      <c r="D7" s="8" t="s">
        <v>70</v>
      </c>
      <c r="E7" s="8" t="s">
        <v>71</v>
      </c>
      <c r="F7" s="8" t="s">
        <v>72</v>
      </c>
    </row>
    <row r="8" spans="1:10">
      <c r="A8" t="s">
        <v>75</v>
      </c>
      <c r="B8" s="5">
        <v>1.58</v>
      </c>
      <c r="C8" s="5">
        <v>1.4</v>
      </c>
      <c r="D8" s="5">
        <v>1.34</v>
      </c>
      <c r="E8" s="5">
        <v>1.35</v>
      </c>
      <c r="F8" s="5">
        <v>1.2</v>
      </c>
    </row>
    <row r="9" spans="1:10">
      <c r="A9" t="s">
        <v>76</v>
      </c>
      <c r="B9" s="5">
        <v>1.75</v>
      </c>
      <c r="C9" s="5">
        <v>1.32</v>
      </c>
      <c r="D9" s="5">
        <v>1.25</v>
      </c>
      <c r="E9" s="5">
        <v>1.28</v>
      </c>
      <c r="F9" s="5">
        <v>1.19</v>
      </c>
    </row>
    <row r="10" spans="1:10">
      <c r="A10" t="s">
        <v>77</v>
      </c>
      <c r="B10" s="11">
        <v>-0.116</v>
      </c>
      <c r="C10" s="11">
        <v>0.057</v>
      </c>
      <c r="D10" s="11">
        <v>0.065</v>
      </c>
      <c r="E10" s="11">
        <v>0.052</v>
      </c>
      <c r="F10" s="11">
        <v>0.01</v>
      </c>
    </row>
    <row r="12" spans="1:10">
      <c r="A12" s="3" t="s">
        <v>78</v>
      </c>
    </row>
    <row r="13" spans="1:10">
      <c r="A13" s="8"/>
      <c r="B13" s="8" t="s">
        <v>68</v>
      </c>
      <c r="C13" s="8" t="s">
        <v>69</v>
      </c>
      <c r="D13" s="8" t="s">
        <v>70</v>
      </c>
      <c r="E13" s="8" t="s">
        <v>71</v>
      </c>
      <c r="F13" s="8" t="s">
        <v>72</v>
      </c>
    </row>
    <row r="14" spans="1:10">
      <c r="A14" t="s">
        <v>79</v>
      </c>
      <c r="B14" s="11">
        <v>-0.035</v>
      </c>
      <c r="C14" s="11">
        <v>-0.036</v>
      </c>
      <c r="D14" s="11">
        <v>0.046</v>
      </c>
      <c r="E14" s="11">
        <v>0.089</v>
      </c>
      <c r="F14" s="11">
        <v>-0.032</v>
      </c>
    </row>
    <row r="17" spans="1:2">
      <c r="A17" s="9" t="s">
        <v>80</v>
      </c>
      <c r="B17" s="11">
        <v>-0.0377</v>
      </c>
    </row>
    <row r="18" spans="1:2">
      <c r="A18" t="s">
        <v>81</v>
      </c>
      <c r="B18" t="s">
        <v>82</v>
      </c>
    </row>
    <row r="19" spans="1:2">
      <c r="A19" t="s">
        <v>83</v>
      </c>
      <c r="B19" s="11">
        <v>-0.07480000000000001</v>
      </c>
    </row>
    <row r="20" spans="1:2">
      <c r="A20" t="s">
        <v>84</v>
      </c>
      <c r="B20" s="11">
        <v>-0.0501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sheetFormatPr defaultRowHeight="15"/>
  <cols>
    <col min="1" max="1" width="100.7109375" customWidth="1"/>
  </cols>
  <sheetData>
    <row r="1" spans="1:1">
      <c r="A1" s="1" t="s">
        <v>85</v>
      </c>
    </row>
    <row r="3" spans="1:1">
      <c r="A3" t="s">
        <v>86</v>
      </c>
    </row>
    <row r="5" spans="1:1">
      <c r="A5" t="s">
        <v>87</v>
      </c>
    </row>
    <row r="6" spans="1:1">
      <c r="A6" t="s">
        <v>88</v>
      </c>
    </row>
    <row r="7" spans="1:1">
      <c r="A7" t="s">
        <v>89</v>
      </c>
    </row>
    <row r="8" spans="1:1">
      <c r="A8" t="s">
        <v>90</v>
      </c>
    </row>
    <row r="9" spans="1:1">
      <c r="A9" t="s">
        <v>91</v>
      </c>
    </row>
    <row r="11" spans="1:1">
      <c r="A11" t="s">
        <v>92</v>
      </c>
    </row>
    <row r="12" spans="1:1">
      <c r="A12" t="s">
        <v>93</v>
      </c>
    </row>
    <row r="13" spans="1:1">
      <c r="A13" t="s">
        <v>94</v>
      </c>
    </row>
    <row r="14" spans="1:1">
      <c r="A14" t="s">
        <v>95</v>
      </c>
    </row>
    <row r="15" spans="1:1">
      <c r="A15" t="s">
        <v>96</v>
      </c>
    </row>
    <row r="16" spans="1:1">
      <c r="A16" t="s">
        <v>97</v>
      </c>
    </row>
    <row r="17" spans="1:1">
      <c r="A17" t="s">
        <v>98</v>
      </c>
    </row>
    <row r="19" spans="1:1">
      <c r="A19" t="s">
        <v>99</v>
      </c>
    </row>
    <row r="20" spans="1:1">
      <c r="A20" t="s">
        <v>100</v>
      </c>
    </row>
    <row r="21" spans="1:1">
      <c r="A21" t="s">
        <v>101</v>
      </c>
    </row>
    <row r="22" spans="1:1">
      <c r="A22" t="s">
        <v>102</v>
      </c>
    </row>
    <row r="23" spans="1:1">
      <c r="A23" t="s">
        <v>103</v>
      </c>
    </row>
    <row r="25" spans="1:1">
      <c r="A25" t="s">
        <v>104</v>
      </c>
    </row>
    <row r="26" spans="1:1">
      <c r="A26" t="s">
        <v>105</v>
      </c>
    </row>
    <row r="27" spans="1:1">
      <c r="A27" t="s">
        <v>106</v>
      </c>
    </row>
    <row r="28" spans="1:1">
      <c r="A28" t="s">
        <v>107</v>
      </c>
    </row>
    <row r="30" spans="1:1">
      <c r="A30" t="s">
        <v>108</v>
      </c>
    </row>
    <row r="31" spans="1:1">
      <c r="A31" t="s">
        <v>109</v>
      </c>
    </row>
    <row r="32" spans="1:1">
      <c r="A32" t="s">
        <v>110</v>
      </c>
    </row>
    <row r="33" spans="1:1">
      <c r="A33" t="s">
        <v>111</v>
      </c>
    </row>
    <row r="35" spans="1:1">
      <c r="A35" t="s">
        <v>112</v>
      </c>
    </row>
    <row r="36" spans="1:1">
      <c r="A36" t="s">
        <v>113</v>
      </c>
    </row>
    <row r="37" spans="1:1">
      <c r="A37" t="s">
        <v>114</v>
      </c>
    </row>
    <row r="38" spans="1:1">
      <c r="A38" t="s">
        <v>115</v>
      </c>
    </row>
    <row r="39" spans="1:1">
      <c r="A39" t="s">
        <v>116</v>
      </c>
    </row>
    <row r="40" spans="1:1">
      <c r="A40" t="s">
        <v>117</v>
      </c>
    </row>
    <row r="42" spans="1:1">
      <c r="A42" t="s">
        <v>118</v>
      </c>
    </row>
    <row r="43" spans="1:1">
      <c r="A43" t="s">
        <v>119</v>
      </c>
    </row>
    <row r="44" spans="1:1">
      <c r="A44" t="s">
        <v>120</v>
      </c>
    </row>
    <row r="45" spans="1:1">
      <c r="A45" t="s">
        <v>121</v>
      </c>
    </row>
    <row r="47" spans="1:1">
      <c r="A47" t="s">
        <v>122</v>
      </c>
    </row>
    <row r="48" spans="1:1">
      <c r="A48" t="s">
        <v>123</v>
      </c>
    </row>
    <row r="49" spans="1:1">
      <c r="A49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NAV Model</vt:lpstr>
      <vt:lpstr>Sensitivity</vt:lpstr>
      <vt:lpstr>Historical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2026-08-12T07:20:08Z</dcterms:created>
  <dcterms:modified xsi:type="dcterms:W3CDTF">2026-08-12T07:20:08Z</dcterms:modified>
</cp:coreProperties>
</file>