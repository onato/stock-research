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<sst xmlns="http://schemas.openxmlformats.org/spreadsheetml/2006/main" count="355" uniqueCount="165">
  <si>
    <t xml:space="preserve">Ticker</t>
  </si>
  <si>
    <t xml:space="preserve">1138.HK</t>
  </si>
  <si>
    <t xml:space="preserve">Company</t>
  </si>
  <si>
    <t xml:space="preserve">COSCO SHIPPING Energy Transportation Co., Ltd.</t>
  </si>
  <si>
    <t xml:space="preserve">Valuation date</t>
  </si>
  <si>
    <t xml:space="preserve">2026-10-16</t>
  </si>
  <si>
    <t xml:space="preserve">Current price</t>
  </si>
  <si>
    <t xml:space="preserve">Price as of</t>
  </si>
  <si>
    <t xml:space="preserve">2026-10-16T03:59:43Z (HKEX morning-session print, intraday; afternoon session still to trade -- replace at the regular close)</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</si>
  <si>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</si>
  <si>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</si>
  <si>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</si>
  <si>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</si>
  <si>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</si>
  <si>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</si>
  <si>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</si>
  <si>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</si>
  <si>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</si>
  <si>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</si>
  <si>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</si>
  <si>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</si>
  <si>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</si>
  <si>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2026-10-16T04:32:55Z</t>
  </si>
  <si>
    <t xml:space="preserve">Drivers file</t>
  </si>
  <si>
    <t xml:space="preserve">1138.HK_Drivers.json</t>
  </si>
  <si>
    <t xml:space="preserve">Convention</t>
  </si>
  <si>
    <t xml:space="preserve">Percents stored as percents; formulas divide by 100. Blue = input, green = link, black = formula.</t>
  </si>
  <si>
    <t xml:space="preserve">Methodology</t>
  </si>
  <si>
    <t xml:space="preserve">summary: Value the tanker cycle at mid-cycle, not at the FY2026 peak, and value the newbuild programme at what it costs as well as what it earns. The company's reported EBITDA margin went from -7% (FY2021) to 57% (H1 2026) in five years; carrying the latest margin forward would be a bet that the sanctions-driven VLCC supercycle is permanent. The driver paths therefore mean-revert revenue and margin to the FY2023-24 clean mid-cycle level by FY2028-29, charge the contractual RMB29.7bn of vessel commitments (plus H1 2026 spend, net of disposals) through FY2030, and only then let the fleet growth that capex buys show up as 3-4% volume growth. Terminal value is capped at 13x owner FCF (the cyclical range of the house method), the WACC is built in CNY and held identical across scenarios so cycle risk is charged once -- in the flows. At HKD18.37 the H share trades at ~9x annualised H1 2026 earnings and ~10x mid-cycle EV/EBITDA; the probability-weighted DCF value sits well below that, and so does the bull case. The finding is that the market is pricing a multi-year supercycle, not a 2026 peak.
key_risks_to_valuation: Mid-cycle margin judgment (41% base): each 1pp of terminal EBITDA margin is worth roughly RMB0.3-0.4/share; FY2022's 35.7% and FY2024's 42.8% bracket the plausible range; Cycle duration: if TD3C holds above USD70k/day through FY2028 (bull), cumulative FY2026-28 owner FCF roughly doubles versus base; Capex programme: the path assumes no orders beyond the RMB29.7bn committed at Jun 2026; the commitments grew RMB11bn in six months, and further ordering at peak-cycle newbuild prices would lower value (and could trigger another equity raise); Sanctions regime is the bull and the bear: tightening keeps the compliant-fleet premium; relief (Russia/Iran) collapses it; a repeat of the 2019 OFAC designation of a COSCO subsidiary would cut charterer demand for the Group's own tonnage; FX: all values are CNY converted at CNY/HKD 1.1728; a 5% RMB move is a 5% move in the HKD values; USD-linked freight revenue against RMB costs also moves the margin; NCI valued at RMB3.8bn (~9x profit share); valuing it at book (RMB3.2bn) adds ~RMB0.10/share, at 12x subtracts ~RMB0.25/share; Terminal cap at 13x FCF (~5.5x mid-cycle EBITDA) is below where listed LNG carrier owners trade (~9-10x EBITDA) and in line with tanker peers (6-8x); a 15x cap raises base value ~10%</t>
  </si>
  <si>
    <t xml:space="preserve">Data sources</t>
  </si>
  <si>
    <t xml:space="preserve">price: Yahoo Finance chart API at inputs.price_as_of (HKEX intraday morning-session print); 52-week range HKD 9.07-22.40. FX: Yahoo CNYHKD=X same date; parity via Shanghai A-share 600026.SS.
financials: research/1138.HK/Reports/1138.HK_Metrics.csv (FY2018-FY2025 annuals, H1 2023-H1 2026 interims, RMB millions); 1138.HK_Annual_FY2025.txt (segment table, cash-flow statement, EBITDA headline, LNG fleet, note 38(a) SBC); 1138.HK_HalfYear_H1-2026.txt (balance sheet, net-debt table, note 7 finance costs, note 10 diluted shares, note 33 capital commitments, note 36 options); dcf-context KPI lines (cash taxes paid, D&amp;A, dividends, interest income, NCI profit share)
qualitative: research/1138.HK/Reports/1138.HK_Analysis.json (2026-10-16): guidance, growth drivers, bull/bear axes, FY2026 fleet plan</t>
  </si>
  <si>
    <t xml:space="preserve">Scenario narrative: bear</t>
  </si>
  <si>
    <t xml:space="preserve">The cycle breaks in 2027: a Russia settlement and/or Iran sanctions relief releases shadow-fleet tonnage into compliant trade just as ~35 VLCC newbuilds deliver; TD3C falls below USD30k/day, domestic product-tanker volumes keep shrinking, LNG spot rates stay soft. Revenue falls to ~RMB21bn by FY2028 and the clean margin to 36% (FY2022: 35.7%). Committed newbuild capex is non-discretionary, so cash flow is squeezed when rates fall; a further equity raise or dividend cut becomes likely (not modelled).</t>
  </si>
  <si>
    <t xml:space="preserve">Scenario narrative: base</t>
  </si>
  <si>
    <t xml:space="preserve">FY2026 is the peak of a VLCC supercycle (H1 2026 revenue +30%, EBITDA margin 57%, attributable profit +141%), not a new normal. Over FY2027-28 TD3C mean-reverts from &gt;USD90k/day to the USD35-40k ten-year average as ~35 VLCCs deliver and the sanctions-driven tonne-mile windfall fades, taking revenue back to ~RMB25.5bn and the clean EBITDA margin to 41-42% (the FY2023-24 level). From FY2029 the RMB29.7bn newbuild programme -- 18 oil tankers, ~12 consolidated LNG carriers on long-term charters at USD70-80k/day, LPG/VLGC -- adds 3-4%/yr of volume, less the declining domestic coastal business, settling at 2.5% terminal growth. Net capex stays at RMB6-9bn/yr through FY2030 (commitments are contractual) then falls to fleet-replacement level (~20% of revenue, ~D&amp;A). Terminal value is bounded by the 13x cyclical FCF cap, not Gordon.</t>
  </si>
  <si>
    <t xml:space="preserve">Scenario narrative: bull</t>
  </si>
  <si>
    <t xml:space="preserve">Supercycle extends through FY2027-28: EU/US sanctions on Russian and Iranian tonnage keep tightening, the compliant VLCC pool shrinks as the &gt;20-year-old fleet scraps, the 2026-27 orderbook is absorbed by longer tonne-miles (India/Europe re-routing), and TD3C averages USD70k+ for two more years before normalising at a higher plateau. The consolidated LNG fleet grows ~40% on long-term charters and lifts the mid-cycle margin to 44%. Even on this path the current price is not reached: the market is capitalising peak earnings for longer than two years.</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</si>
  <si>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</si>
  <si>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</si>
  <si>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</si>
  <si>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</si>
  <si>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</si>
  <si>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</si>
  <si>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</si>
  <si>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</si>
  <si>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</si>
  <si>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</si>
  <si>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</si>
  <si>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</si>
  <si>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</si>
  <si>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</si>
  <si>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</si>
  <si>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</si>
  <si>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</si>
  <si>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</si>
  <si>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</si>
  <si>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</si>
  <si>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</si>
  <si>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</si>
  <si>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</si>
  <si>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</si>
  <si>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</si>
  <si>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</si>
  <si>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</si>
  <si>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ProfitForPeriodInclNCI</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</si>
  <si>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</si>
  <si>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</si>
  <si>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</si>
  <si>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</si>
  <si>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</si>
  <si>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</si>
  <si>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</si>
  <si>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</si>
  <si>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</si>
  <si>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</si>
  <si>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</si>
  <si>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</si>
  <si>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</si>
  <si>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</si>
  <si>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</si>
  <si>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</si>
  <si>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</si>
  <si>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</si>
  <si>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</si>
  <si>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</si>
  <si>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</si>
  <si>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</si>
  <si>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</si>
  <si>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</si>
  <si>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</si>
  <si>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</si>
  <si>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</si>
  <si>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</si>
  <si>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</si>
  <si>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</si>
  <si>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</si>
  <si>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</si>
  <si>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</si>
  <si>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</si>
  <si>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</si>
  <si>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</si>
  <si>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</si>
  <si>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</si>
  <si>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</si>
  <si>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</si>
  <si>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</si>
  <si>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</si>
  <si>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</si>
  <si>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</si>
  <si>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</si>
  <si>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1138.HK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</si>
  <si>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</si>
  <si>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</si>
  <si>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</si>
  <si>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</si>
  <si>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</si>
  <si>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</si>
  <si>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</si>
  <si>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</si>
  <si>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</si>
  <si>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</si>
  <si>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</si>
  <si>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</si>
  <si>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</si>
  <si>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</si>
  <si>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</si>
  <si>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</si>
  <si>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</si>
  <si>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</si>
  <si>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</si>
  <si>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</si>
  <si>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</si>
  <si>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</si>
  <si>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</si>
  <si>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</si>
  <si>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</si>
  <si>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</si>
  <si>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</si>
  <si>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</si>
  <si>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</si>
  <si>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</si>
  <si>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1138.HK owner-FCF component DCF: base case (millions, CNY)</t>
  </si>
  <si>
    <t xml:space="preserve">1138.HK owner-FCF component DCF: bull case (millions, CNY)</t>
  </si>
  <si>
    <t xml:space="preserve">1138.HK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</si>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</sst>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18.37</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row>
    <row r="2" customFormat="false" ht="15" hidden="false" customHeight="false" outlineLevel="0" collapsed="false">
      <c r="A2" s="0" t="s">
        <v>65</v>
      </c>
      <c r="B2" s="0" t="n">
        <v>12099.685</v>
      </c>
      <c r="D2" s="0" t="n">
        <v>1795.61</v>
      </c>
      <c r="E2" s="0" t="n">
        <v>14.8</v>
      </c>
      <c r="I2" s="0" t="n">
        <v>74.679</v>
      </c>
      <c r="J2" s="0" t="n">
        <v>0.6</v>
      </c>
      <c r="K2" s="0" t="n">
        <v>0.0185</v>
      </c>
      <c r="L2" s="0" t="n">
        <v>2156.032</v>
      </c>
      <c r="M2" s="0" t="n">
        <v>3446.321</v>
      </c>
      <c r="N2" s="0" t="n">
        <v>-1290.289</v>
      </c>
      <c r="O2" s="0" t="n">
        <v>28191.62</v>
      </c>
      <c r="P2" s="0" t="n">
        <v>63416.267</v>
      </c>
      <c r="Q2" s="0" t="n">
        <v>34144.069</v>
      </c>
      <c r="R2" s="0" t="n">
        <v>30989.715</v>
      </c>
      <c r="S2" s="0" t="n">
        <v>3467.924</v>
      </c>
      <c r="T2" s="0" t="n">
        <v>4032.033</v>
      </c>
      <c r="AA2" s="0" t="s">
        <v>18</v>
      </c>
      <c r="AB2" s="0" t="s">
        <v>14</v>
      </c>
      <c r="AC2" s="0" t="n">
        <v>293.406</v>
      </c>
    </row>
    <row r="3" customFormat="false" ht="15" hidden="false" customHeight="false" outlineLevel="0" collapsed="false">
      <c r="A3" s="0" t="s">
        <v>66</v>
      </c>
      <c r="B3" s="0" t="n">
        <v>13721.14</v>
      </c>
      <c r="D3" s="0" t="n">
        <v>2596.12</v>
      </c>
      <c r="E3" s="0" t="n">
        <v>18.9</v>
      </c>
      <c r="I3" s="0" t="n">
        <v>413.857</v>
      </c>
      <c r="J3" s="0" t="n">
        <v>3</v>
      </c>
      <c r="K3" s="0" t="n">
        <v>0.1026</v>
      </c>
      <c r="L3" s="0" t="n">
        <v>5230.362</v>
      </c>
      <c r="M3" s="0" t="n">
        <v>1275.541</v>
      </c>
      <c r="N3" s="0" t="n">
        <v>3954.821</v>
      </c>
      <c r="O3" s="0" t="n">
        <v>28124.735</v>
      </c>
      <c r="P3" s="0" t="n">
        <v>65841.861</v>
      </c>
      <c r="Q3" s="0" t="n">
        <v>36674.255</v>
      </c>
      <c r="R3" s="0" t="n">
        <v>29506.535</v>
      </c>
      <c r="S3" s="0" t="n">
        <v>3919.5</v>
      </c>
      <c r="T3" s="0" t="n">
        <v>4032.033</v>
      </c>
      <c r="AA3" s="0" t="s">
        <v>18</v>
      </c>
      <c r="AB3" s="0" t="s">
        <v>14</v>
      </c>
      <c r="AC3" s="0" t="n">
        <v>671.604</v>
      </c>
    </row>
    <row r="4" customFormat="false" ht="15" hidden="false" customHeight="false" outlineLevel="0" collapsed="false">
      <c r="A4" s="0" t="s">
        <v>67</v>
      </c>
      <c r="B4" s="0" t="n">
        <v>16268.197</v>
      </c>
      <c r="D4" s="0" t="n">
        <v>3881.644</v>
      </c>
      <c r="E4" s="0" t="n">
        <v>23.9</v>
      </c>
      <c r="I4" s="0" t="n">
        <v>2381.415</v>
      </c>
      <c r="J4" s="0" t="n">
        <v>14.6</v>
      </c>
      <c r="K4" s="0" t="n">
        <v>0.52</v>
      </c>
      <c r="L4" s="0" t="n">
        <v>6973.111</v>
      </c>
      <c r="M4" s="0" t="n">
        <v>5506.161</v>
      </c>
      <c r="N4" s="0" t="n">
        <v>1466.95</v>
      </c>
      <c r="O4" s="0" t="n">
        <v>34621.828</v>
      </c>
      <c r="P4" s="0" t="n">
        <v>65959.857</v>
      </c>
      <c r="Q4" s="0" t="n">
        <v>30357.511</v>
      </c>
      <c r="R4" s="0" t="n">
        <v>24009.152</v>
      </c>
      <c r="S4" s="0" t="n">
        <v>4869.963</v>
      </c>
      <c r="T4" s="0" t="n">
        <v>4762.692</v>
      </c>
      <c r="AA4" s="0" t="s">
        <v>18</v>
      </c>
      <c r="AB4" s="0" t="s">
        <v>14</v>
      </c>
      <c r="AC4" s="0" t="n">
        <v>2631.444</v>
      </c>
    </row>
    <row r="5" customFormat="false" ht="15" hidden="false" customHeight="false" outlineLevel="0" collapsed="false">
      <c r="A5" s="0" t="s">
        <v>68</v>
      </c>
      <c r="B5" s="0" t="n">
        <v>12644.7</v>
      </c>
      <c r="D5" s="0" t="n">
        <v>-4089.469</v>
      </c>
      <c r="E5" s="0" t="n">
        <v>-32.3</v>
      </c>
      <c r="I5" s="0" t="n">
        <v>-4985.386</v>
      </c>
      <c r="J5" s="0" t="n">
        <v>-39.4</v>
      </c>
      <c r="K5" s="0" t="n">
        <v>-1.0468</v>
      </c>
      <c r="L5" s="0" t="n">
        <v>3335.953</v>
      </c>
      <c r="M5" s="0" t="n">
        <v>2926.108</v>
      </c>
      <c r="N5" s="0" t="n">
        <v>409.845</v>
      </c>
      <c r="O5" s="0" t="n">
        <v>28591.046</v>
      </c>
      <c r="P5" s="0" t="n">
        <v>59388.937</v>
      </c>
      <c r="Q5" s="0" t="n">
        <v>29466.654</v>
      </c>
      <c r="R5" s="0" t="n">
        <v>23807.75</v>
      </c>
      <c r="S5" s="0" t="n">
        <v>3523.889</v>
      </c>
      <c r="T5" s="0" t="n">
        <v>4762.692</v>
      </c>
      <c r="AA5" s="0" t="s">
        <v>18</v>
      </c>
      <c r="AB5" s="0" t="s">
        <v>14</v>
      </c>
      <c r="AC5" s="0" t="n">
        <v>-4667.108</v>
      </c>
    </row>
    <row r="6" customFormat="false" ht="15" hidden="false" customHeight="false" outlineLevel="0" collapsed="false">
      <c r="A6" s="0" t="s">
        <v>69</v>
      </c>
      <c r="B6" s="0" t="n">
        <v>18566.795</v>
      </c>
      <c r="D6" s="0" t="n">
        <v>3408.8</v>
      </c>
      <c r="E6" s="0" t="n">
        <v>18.4</v>
      </c>
      <c r="I6" s="0" t="n">
        <v>1461.118</v>
      </c>
      <c r="J6" s="0" t="n">
        <v>7.9</v>
      </c>
      <c r="K6" s="0" t="n">
        <v>0.3065</v>
      </c>
      <c r="L6" s="0" t="n">
        <v>4129.839</v>
      </c>
      <c r="M6" s="0" t="n">
        <v>4449.73</v>
      </c>
      <c r="N6" s="0" t="n">
        <v>-319.891</v>
      </c>
      <c r="O6" s="0" t="n">
        <v>31570.483</v>
      </c>
      <c r="P6" s="0" t="n">
        <v>68250.082</v>
      </c>
      <c r="Q6" s="0" t="n">
        <v>34679.692</v>
      </c>
      <c r="R6" s="0" t="n">
        <v>28758.692</v>
      </c>
      <c r="S6" s="0" t="n">
        <v>4239.339</v>
      </c>
      <c r="T6" s="0" t="n">
        <v>4770.776</v>
      </c>
      <c r="AA6" s="0" t="s">
        <v>18</v>
      </c>
      <c r="AB6" s="0" t="s">
        <v>14</v>
      </c>
      <c r="AC6" s="0" t="n">
        <v>1788.592</v>
      </c>
    </row>
    <row r="7" customFormat="false" ht="15" hidden="false" customHeight="false" outlineLevel="0" collapsed="false">
      <c r="A7" s="0" t="s">
        <v>70</v>
      </c>
      <c r="B7" s="0" t="n">
        <v>21912.456</v>
      </c>
      <c r="D7" s="0" t="n">
        <v>6495.09</v>
      </c>
      <c r="E7" s="0" t="n">
        <v>29.6</v>
      </c>
      <c r="I7" s="0" t="n">
        <v>3348.717</v>
      </c>
      <c r="J7" s="0" t="n">
        <v>15.3</v>
      </c>
      <c r="K7" s="0" t="n">
        <v>0.7019</v>
      </c>
      <c r="L7" s="0" t="n">
        <v>8662.352</v>
      </c>
      <c r="M7" s="0" t="n">
        <v>5641.8</v>
      </c>
      <c r="N7" s="0" t="n">
        <v>3020.552</v>
      </c>
      <c r="O7" s="0" t="n">
        <v>34391.504</v>
      </c>
      <c r="P7" s="0" t="n">
        <v>72083.612</v>
      </c>
      <c r="Q7" s="0" t="n">
        <v>34980.289</v>
      </c>
      <c r="R7" s="0" t="n">
        <v>28584.348</v>
      </c>
      <c r="S7" s="0" t="n">
        <v>5627.218</v>
      </c>
      <c r="T7" s="0" t="n">
        <v>4770.776</v>
      </c>
      <c r="U7" s="0" t="n">
        <v>-9.635</v>
      </c>
      <c r="AA7" s="0" t="s">
        <v>18</v>
      </c>
      <c r="AB7" s="0" t="s">
        <v>14</v>
      </c>
      <c r="AC7" s="0" t="n">
        <v>3657.841</v>
      </c>
    </row>
    <row r="8" customFormat="false" ht="15" hidden="false" customHeight="false" outlineLevel="0" collapsed="false">
      <c r="A8" s="0" t="s">
        <v>71</v>
      </c>
      <c r="B8" s="0" t="n">
        <v>23133.486</v>
      </c>
      <c r="D8" s="0" t="n">
        <v>6243.41</v>
      </c>
      <c r="E8" s="0" t="n">
        <v>27</v>
      </c>
      <c r="I8" s="0" t="n">
        <v>4038.089</v>
      </c>
      <c r="J8" s="0" t="n">
        <v>17.5</v>
      </c>
      <c r="K8" s="0" t="n">
        <v>0.8464</v>
      </c>
      <c r="L8" s="0" t="n">
        <v>8625.286</v>
      </c>
      <c r="M8" s="0" t="n">
        <v>7875.356</v>
      </c>
      <c r="N8" s="0" t="n">
        <v>749.93</v>
      </c>
      <c r="O8" s="0" t="n">
        <v>35866.909</v>
      </c>
      <c r="P8" s="0" t="n">
        <v>81042.317</v>
      </c>
      <c r="Q8" s="0" t="n">
        <v>42057.16</v>
      </c>
      <c r="R8" s="0" t="n">
        <v>34981.465</v>
      </c>
      <c r="S8" s="0" t="n">
        <v>5661.734</v>
      </c>
      <c r="T8" s="0" t="n">
        <v>4770.776</v>
      </c>
      <c r="U8" s="0" t="n">
        <v>39.963</v>
      </c>
      <c r="AA8" s="0" t="s">
        <v>18</v>
      </c>
      <c r="AB8" s="0" t="s">
        <v>14</v>
      </c>
      <c r="AC8" s="0" t="n">
        <v>4386.532</v>
      </c>
    </row>
    <row r="9" customFormat="false" ht="15" hidden="false" customHeight="false" outlineLevel="0" collapsed="false">
      <c r="A9" s="0" t="s">
        <v>72</v>
      </c>
      <c r="B9" s="0" t="n">
        <v>23701.066</v>
      </c>
      <c r="D9" s="0" t="n">
        <v>6106.587</v>
      </c>
      <c r="E9" s="0" t="n">
        <v>25.8</v>
      </c>
      <c r="I9" s="0" t="n">
        <v>4037.075</v>
      </c>
      <c r="J9" s="0" t="n">
        <v>17</v>
      </c>
      <c r="K9" s="0" t="n">
        <v>0.8262</v>
      </c>
      <c r="L9" s="0" t="n">
        <v>7389.147</v>
      </c>
      <c r="M9" s="0" t="n">
        <v>5635.137</v>
      </c>
      <c r="N9" s="0" t="n">
        <v>1754.01</v>
      </c>
      <c r="O9" s="0" t="n">
        <v>46405.182</v>
      </c>
      <c r="P9" s="0" t="n">
        <v>92078.58</v>
      </c>
      <c r="Q9" s="0" t="n">
        <v>42435.407</v>
      </c>
      <c r="R9" s="0" t="n">
        <v>34716.533</v>
      </c>
      <c r="S9" s="0" t="n">
        <v>14421.861</v>
      </c>
      <c r="T9" s="0" t="n">
        <v>5465.221</v>
      </c>
      <c r="U9" s="0" t="n">
        <v>68.936</v>
      </c>
      <c r="AA9" s="0" t="s">
        <v>18</v>
      </c>
      <c r="AB9" s="0" t="s">
        <v>14</v>
      </c>
      <c r="AC9" s="0" t="n">
        <v>4422.894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73</v>
      </c>
      <c r="B1" s="2" t="s">
        <v>74</v>
      </c>
    </row>
    <row r="2" customFormat="false" ht="15" hidden="false" customHeight="false" outlineLevel="0" collapsed="false">
      <c r="A2" s="0" t="s">
        <v>75</v>
      </c>
      <c r="B2" s="3" t="n">
        <v>18.37</v>
      </c>
    </row>
    <row r="3" customFormat="false" ht="15" hidden="false" customHeight="false" outlineLevel="0" collapsed="false">
      <c r="A3" s="0" t="s">
        <v>76</v>
      </c>
      <c r="B3" s="3" t="n">
        <v>5479.083</v>
      </c>
    </row>
    <row r="4" customFormat="false" ht="15" hidden="false" customHeight="false" outlineLevel="0" collapsed="false">
      <c r="A4" s="0" t="s">
        <v>77</v>
      </c>
      <c r="B4" s="3" t="n">
        <v>20502.735</v>
      </c>
    </row>
    <row r="5" customFormat="false" ht="15" hidden="false" customHeight="false" outlineLevel="0" collapsed="false">
      <c r="A5" s="0" t="s">
        <v>78</v>
      </c>
      <c r="B5" s="3" t="n">
        <v>-3800</v>
      </c>
    </row>
    <row r="6" customFormat="false" ht="15" hidden="false" customHeight="false" outlineLevel="0" collapsed="false">
      <c r="A6" s="0" t="s">
        <v>79</v>
      </c>
      <c r="B6" s="3" t="n">
        <v>15</v>
      </c>
    </row>
    <row r="7" customFormat="false" ht="15" hidden="false" customHeight="false" outlineLevel="0" collapsed="false">
      <c r="A7" s="0" t="s">
        <v>80</v>
      </c>
      <c r="B7" s="3" t="n">
        <v>23701.066</v>
      </c>
    </row>
    <row r="8" customFormat="false" ht="15" hidden="false" customHeight="false" outlineLevel="0" collapsed="false">
      <c r="A8" s="0" t="s">
        <v>81</v>
      </c>
      <c r="B8" s="3" t="s">
        <v>72</v>
      </c>
    </row>
    <row r="9" customFormat="false" ht="15" hidden="false" customHeight="false" outlineLevel="0" collapsed="false">
      <c r="A9" s="0" t="s">
        <v>82</v>
      </c>
      <c r="B9" s="3" t="s">
        <v>83</v>
      </c>
    </row>
    <row r="10" customFormat="false" ht="15" hidden="false" customHeight="false" outlineLevel="0" collapsed="false">
      <c r="A10" s="0" t="s">
        <v>84</v>
      </c>
      <c r="B10" s="3" t="n">
        <v>1.1728</v>
      </c>
    </row>
    <row r="12" customFormat="false" ht="15" hidden="false" customHeight="false" outlineLevel="0" collapsed="false">
      <c r="A12" s="2" t="s">
        <v>85</v>
      </c>
      <c r="C12" s="2" t="s">
        <v>86</v>
      </c>
      <c r="D12" s="2" t="s">
        <v>87</v>
      </c>
      <c r="E12" s="2" t="s">
        <v>88</v>
      </c>
      <c r="F12" s="2" t="s">
        <v>89</v>
      </c>
      <c r="G12" s="2" t="s">
        <v>90</v>
      </c>
      <c r="H12" s="2" t="s">
        <v>91</v>
      </c>
      <c r="I12" s="2" t="s">
        <v>92</v>
      </c>
      <c r="J12" s="2" t="s">
        <v>93</v>
      </c>
      <c r="K12" s="2" t="s">
        <v>94</v>
      </c>
      <c r="L12" s="2" t="s">
        <v>95</v>
      </c>
    </row>
    <row r="13" customFormat="false" ht="15" hidden="false" customHeight="false" outlineLevel="0" collapsed="false">
      <c r="A13" s="0" t="s">
        <v>96</v>
      </c>
      <c r="C13" s="3" t="n">
        <v>22</v>
      </c>
      <c r="D13" s="3" t="n">
        <v>-18</v>
      </c>
      <c r="E13" s="3" t="n">
        <v>-10</v>
      </c>
      <c r="F13" s="3" t="n">
        <v>2</v>
      </c>
      <c r="G13" s="3" t="n">
        <v>2</v>
      </c>
      <c r="H13" s="3" t="n">
        <v>2</v>
      </c>
      <c r="I13" s="3" t="n">
        <v>2</v>
      </c>
      <c r="J13" s="3" t="n">
        <v>2</v>
      </c>
      <c r="K13" s="3" t="n">
        <v>2</v>
      </c>
      <c r="L13" s="3" t="n">
        <v>2</v>
      </c>
    </row>
    <row r="14" customFormat="false" ht="15" hidden="false" customHeight="false" outlineLevel="0" collapsed="false">
      <c r="A14" s="0" t="s">
        <v>97</v>
      </c>
      <c r="C14" s="3" t="n">
        <v>54</v>
      </c>
      <c r="D14" s="3" t="n">
        <v>42</v>
      </c>
      <c r="E14" s="3" t="n">
        <v>36</v>
      </c>
      <c r="F14" s="3" t="n">
        <v>36</v>
      </c>
      <c r="G14" s="3" t="n">
        <v>37</v>
      </c>
      <c r="H14" s="3" t="n">
        <v>37</v>
      </c>
      <c r="I14" s="3" t="n">
        <v>38</v>
      </c>
      <c r="J14" s="3" t="n">
        <v>38</v>
      </c>
      <c r="K14" s="3" t="n">
        <v>38</v>
      </c>
      <c r="L14" s="3" t="n">
        <v>38</v>
      </c>
    </row>
    <row r="15" customFormat="false" ht="15" hidden="false" customHeight="false" outlineLevel="0" collapsed="false">
      <c r="A15" s="0" t="s">
        <v>98</v>
      </c>
      <c r="C15" s="3" t="n">
        <v>0.25</v>
      </c>
      <c r="D15" s="3" t="n">
        <v>0.25</v>
      </c>
      <c r="E15" s="3" t="n">
        <v>0.25</v>
      </c>
      <c r="F15" s="3" t="n">
        <v>0.25</v>
      </c>
      <c r="G15" s="3" t="n">
        <v>0.25</v>
      </c>
      <c r="H15" s="3" t="n">
        <v>0.25</v>
      </c>
      <c r="I15" s="3" t="n">
        <v>0.25</v>
      </c>
      <c r="J15" s="3" t="n">
        <v>0.25</v>
      </c>
      <c r="K15" s="3" t="n">
        <v>0.25</v>
      </c>
      <c r="L15" s="3" t="n">
        <v>0.25</v>
      </c>
    </row>
    <row r="16" customFormat="false" ht="15" hidden="false" customHeight="false" outlineLevel="0" collapsed="false">
      <c r="A16" s="0" t="s">
        <v>99</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100</v>
      </c>
      <c r="C17" s="3" t="n">
        <v>14.5</v>
      </c>
      <c r="D17" s="3" t="n">
        <v>16.5</v>
      </c>
      <c r="E17" s="3" t="n">
        <v>18.5</v>
      </c>
      <c r="F17" s="3" t="n">
        <v>19.5</v>
      </c>
      <c r="G17" s="3" t="n">
        <v>20</v>
      </c>
      <c r="H17" s="3" t="n">
        <v>20</v>
      </c>
      <c r="I17" s="3" t="n">
        <v>20</v>
      </c>
      <c r="J17" s="3" t="n">
        <v>20</v>
      </c>
      <c r="K17" s="3" t="n">
        <v>20</v>
      </c>
      <c r="L17" s="3" t="n">
        <v>20</v>
      </c>
    </row>
    <row r="18" customFormat="false" ht="15" hidden="false" customHeight="false" outlineLevel="0" collapsed="false">
      <c r="A18" s="0" t="s">
        <v>101</v>
      </c>
      <c r="C18" s="3" t="n">
        <v>31</v>
      </c>
      <c r="D18" s="3" t="n">
        <v>29</v>
      </c>
      <c r="E18" s="3" t="n">
        <v>27</v>
      </c>
      <c r="F18" s="3" t="n">
        <v>25</v>
      </c>
      <c r="G18" s="3" t="n">
        <v>23</v>
      </c>
      <c r="H18" s="3" t="n">
        <v>21</v>
      </c>
      <c r="I18" s="3" t="n">
        <v>20</v>
      </c>
      <c r="J18" s="3" t="n">
        <v>20</v>
      </c>
      <c r="K18" s="3" t="n">
        <v>20</v>
      </c>
      <c r="L18" s="3" t="n">
        <v>20</v>
      </c>
    </row>
    <row r="19" customFormat="false" ht="15" hidden="false" customHeight="false" outlineLevel="0" collapsed="false">
      <c r="A19" s="0" t="s">
        <v>102</v>
      </c>
      <c r="C19" s="3" t="n">
        <v>14</v>
      </c>
      <c r="D19" s="3" t="n">
        <v>14</v>
      </c>
      <c r="E19" s="3" t="n">
        <v>14</v>
      </c>
      <c r="F19" s="3" t="n">
        <v>14</v>
      </c>
      <c r="G19" s="3" t="n">
        <v>14</v>
      </c>
      <c r="H19" s="3" t="n">
        <v>14</v>
      </c>
      <c r="I19" s="3" t="n">
        <v>14</v>
      </c>
      <c r="J19" s="3" t="n">
        <v>14</v>
      </c>
      <c r="K19" s="3" t="n">
        <v>14</v>
      </c>
      <c r="L19" s="3" t="n">
        <v>14</v>
      </c>
    </row>
    <row r="20" customFormat="false" ht="15" hidden="false" customHeight="false" outlineLevel="0" collapsed="false">
      <c r="A20" s="0" t="s">
        <v>103</v>
      </c>
      <c r="B20" s="3" t="n">
        <v>8</v>
      </c>
    </row>
    <row r="21" customFormat="false" ht="15" hidden="false" customHeight="false" outlineLevel="0" collapsed="false">
      <c r="A21" s="0" t="s">
        <v>104</v>
      </c>
      <c r="B21" s="3" t="n">
        <v>2</v>
      </c>
    </row>
    <row r="22" customFormat="false" ht="15" hidden="false" customHeight="false" outlineLevel="0" collapsed="false">
      <c r="A22" s="0" t="s">
        <v>105</v>
      </c>
      <c r="B22" s="3" t="n">
        <v>13</v>
      </c>
    </row>
    <row r="23" customFormat="false" ht="15" hidden="false" customHeight="false" outlineLevel="0" collapsed="false">
      <c r="A23" s="0" t="s">
        <v>106</v>
      </c>
      <c r="B23" s="3" t="n">
        <v>-5</v>
      </c>
    </row>
    <row r="24" customFormat="false" ht="15" hidden="false" customHeight="false" outlineLevel="0" collapsed="false">
      <c r="A24" s="0" t="s">
        <v>107</v>
      </c>
      <c r="B24" s="3" t="n">
        <v>0.25</v>
      </c>
    </row>
    <row r="26" customFormat="false" ht="15" hidden="false" customHeight="false" outlineLevel="0" collapsed="false">
      <c r="A26" s="2" t="s">
        <v>108</v>
      </c>
      <c r="C26" s="2" t="s">
        <v>86</v>
      </c>
      <c r="D26" s="2" t="s">
        <v>87</v>
      </c>
      <c r="E26" s="2" t="s">
        <v>88</v>
      </c>
      <c r="F26" s="2" t="s">
        <v>89</v>
      </c>
      <c r="G26" s="2" t="s">
        <v>90</v>
      </c>
      <c r="H26" s="2" t="s">
        <v>91</v>
      </c>
      <c r="I26" s="2" t="s">
        <v>92</v>
      </c>
      <c r="J26" s="2" t="s">
        <v>93</v>
      </c>
      <c r="K26" s="2" t="s">
        <v>94</v>
      </c>
      <c r="L26" s="2" t="s">
        <v>95</v>
      </c>
    </row>
    <row r="27" customFormat="false" ht="15" hidden="false" customHeight="false" outlineLevel="0" collapsed="false">
      <c r="A27" s="0" t="s">
        <v>96</v>
      </c>
      <c r="C27" s="3" t="n">
        <v>24.5</v>
      </c>
      <c r="D27" s="3" t="n">
        <v>-8</v>
      </c>
      <c r="E27" s="3" t="n">
        <v>-6</v>
      </c>
      <c r="F27" s="3" t="n">
        <v>3</v>
      </c>
      <c r="G27" s="3" t="n">
        <v>4</v>
      </c>
      <c r="H27" s="3" t="n">
        <v>3</v>
      </c>
      <c r="I27" s="3" t="n">
        <v>3</v>
      </c>
      <c r="J27" s="3" t="n">
        <v>2.5</v>
      </c>
      <c r="K27" s="3" t="n">
        <v>2.5</v>
      </c>
      <c r="L27" s="3" t="n">
        <v>2.5</v>
      </c>
    </row>
    <row r="28" customFormat="false" ht="15" hidden="false" customHeight="false" outlineLevel="0" collapsed="false">
      <c r="A28" s="0" t="s">
        <v>97</v>
      </c>
      <c r="C28" s="3" t="n">
        <v>55</v>
      </c>
      <c r="D28" s="3" t="n">
        <v>48</v>
      </c>
      <c r="E28" s="3" t="n">
        <v>42</v>
      </c>
      <c r="F28" s="3" t="n">
        <v>41</v>
      </c>
      <c r="G28" s="3" t="n">
        <v>41</v>
      </c>
      <c r="H28" s="3" t="n">
        <v>41</v>
      </c>
      <c r="I28" s="3" t="n">
        <v>41</v>
      </c>
      <c r="J28" s="3" t="n">
        <v>41</v>
      </c>
      <c r="K28" s="3" t="n">
        <v>41</v>
      </c>
      <c r="L28" s="3" t="n">
        <v>41</v>
      </c>
    </row>
    <row r="29" customFormat="false" ht="15" hidden="false" customHeight="false" outlineLevel="0" collapsed="false">
      <c r="A29" s="0" t="s">
        <v>98</v>
      </c>
      <c r="C29" s="3" t="n">
        <v>0.25</v>
      </c>
      <c r="D29" s="3" t="n">
        <v>0.25</v>
      </c>
      <c r="E29" s="3" t="n">
        <v>0.25</v>
      </c>
      <c r="F29" s="3" t="n">
        <v>0.25</v>
      </c>
      <c r="G29" s="3" t="n">
        <v>0.25</v>
      </c>
      <c r="H29" s="3" t="n">
        <v>0.25</v>
      </c>
      <c r="I29" s="3" t="n">
        <v>0.25</v>
      </c>
      <c r="J29" s="3" t="n">
        <v>0.25</v>
      </c>
      <c r="K29" s="3" t="n">
        <v>0.25</v>
      </c>
      <c r="L29" s="3" t="n">
        <v>0.25</v>
      </c>
    </row>
    <row r="30" customFormat="false" ht="15" hidden="false" customHeight="false" outlineLevel="0" collapsed="false">
      <c r="A30" s="0" t="s">
        <v>99</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100</v>
      </c>
      <c r="C31" s="3" t="n">
        <v>14.5</v>
      </c>
      <c r="D31" s="3" t="n">
        <v>16.5</v>
      </c>
      <c r="E31" s="3" t="n">
        <v>18.5</v>
      </c>
      <c r="F31" s="3" t="n">
        <v>19.5</v>
      </c>
      <c r="G31" s="3" t="n">
        <v>20</v>
      </c>
      <c r="H31" s="3" t="n">
        <v>20</v>
      </c>
      <c r="I31" s="3" t="n">
        <v>20</v>
      </c>
      <c r="J31" s="3" t="n">
        <v>20</v>
      </c>
      <c r="K31" s="3" t="n">
        <v>20</v>
      </c>
      <c r="L31" s="3" t="n">
        <v>20</v>
      </c>
    </row>
    <row r="32" customFormat="false" ht="15" hidden="false" customHeight="false" outlineLevel="0" collapsed="false">
      <c r="A32" s="0" t="s">
        <v>101</v>
      </c>
      <c r="C32" s="3" t="n">
        <v>30.5</v>
      </c>
      <c r="D32" s="3" t="n">
        <v>27.5</v>
      </c>
      <c r="E32" s="3" t="n">
        <v>25.5</v>
      </c>
      <c r="F32" s="3" t="n">
        <v>23</v>
      </c>
      <c r="G32" s="3" t="n">
        <v>21</v>
      </c>
      <c r="H32" s="3" t="n">
        <v>20</v>
      </c>
      <c r="I32" s="3" t="n">
        <v>20</v>
      </c>
      <c r="J32" s="3" t="n">
        <v>20</v>
      </c>
      <c r="K32" s="3" t="n">
        <v>20</v>
      </c>
      <c r="L32" s="3" t="n">
        <v>20</v>
      </c>
    </row>
    <row r="33" customFormat="false" ht="15" hidden="false" customHeight="false" outlineLevel="0" collapsed="false">
      <c r="A33" s="0" t="s">
        <v>102</v>
      </c>
      <c r="C33" s="3" t="n">
        <v>14</v>
      </c>
      <c r="D33" s="3" t="n">
        <v>14</v>
      </c>
      <c r="E33" s="3" t="n">
        <v>14</v>
      </c>
      <c r="F33" s="3" t="n">
        <v>14</v>
      </c>
      <c r="G33" s="3" t="n">
        <v>14</v>
      </c>
      <c r="H33" s="3" t="n">
        <v>14</v>
      </c>
      <c r="I33" s="3" t="n">
        <v>14</v>
      </c>
      <c r="J33" s="3" t="n">
        <v>14</v>
      </c>
      <c r="K33" s="3" t="n">
        <v>14</v>
      </c>
      <c r="L33" s="3" t="n">
        <v>14</v>
      </c>
    </row>
    <row r="34" customFormat="false" ht="15" hidden="false" customHeight="false" outlineLevel="0" collapsed="false">
      <c r="A34" s="0" t="s">
        <v>103</v>
      </c>
      <c r="B34" s="3" t="n">
        <v>8</v>
      </c>
    </row>
    <row r="35" customFormat="false" ht="15" hidden="false" customHeight="false" outlineLevel="0" collapsed="false">
      <c r="A35" s="0" t="s">
        <v>104</v>
      </c>
      <c r="B35" s="3" t="n">
        <v>2.5</v>
      </c>
    </row>
    <row r="36" customFormat="false" ht="15" hidden="false" customHeight="false" outlineLevel="0" collapsed="false">
      <c r="A36" s="0" t="s">
        <v>105</v>
      </c>
      <c r="B36" s="3" t="n">
        <v>13</v>
      </c>
    </row>
    <row r="37" customFormat="false" ht="15" hidden="false" customHeight="false" outlineLevel="0" collapsed="false">
      <c r="A37" s="0" t="s">
        <v>106</v>
      </c>
      <c r="B37" s="3" t="n">
        <v>-5</v>
      </c>
    </row>
    <row r="38" customFormat="false" ht="15" hidden="false" customHeight="false" outlineLevel="0" collapsed="false">
      <c r="A38" s="0" t="s">
        <v>107</v>
      </c>
      <c r="B38" s="3" t="n">
        <v>0.5</v>
      </c>
    </row>
    <row r="40" customFormat="false" ht="15" hidden="false" customHeight="false" outlineLevel="0" collapsed="false">
      <c r="A40" s="2" t="s">
        <v>109</v>
      </c>
      <c r="C40" s="2" t="s">
        <v>86</v>
      </c>
      <c r="D40" s="2" t="s">
        <v>87</v>
      </c>
      <c r="E40" s="2" t="s">
        <v>88</v>
      </c>
      <c r="F40" s="2" t="s">
        <v>89</v>
      </c>
      <c r="G40" s="2" t="s">
        <v>90</v>
      </c>
      <c r="H40" s="2" t="s">
        <v>91</v>
      </c>
      <c r="I40" s="2" t="s">
        <v>92</v>
      </c>
      <c r="J40" s="2" t="s">
        <v>93</v>
      </c>
      <c r="K40" s="2" t="s">
        <v>94</v>
      </c>
      <c r="L40" s="2" t="s">
        <v>95</v>
      </c>
    </row>
    <row r="41" customFormat="false" ht="15" hidden="false" customHeight="false" outlineLevel="0" collapsed="false">
      <c r="A41" s="0" t="s">
        <v>96</v>
      </c>
      <c r="C41" s="3" t="n">
        <v>27</v>
      </c>
      <c r="D41" s="3" t="n">
        <v>3</v>
      </c>
      <c r="E41" s="3" t="n">
        <v>-5</v>
      </c>
      <c r="F41" s="3" t="n">
        <v>-3</v>
      </c>
      <c r="G41" s="3" t="n">
        <v>4</v>
      </c>
      <c r="H41" s="3" t="n">
        <v>4</v>
      </c>
      <c r="I41" s="3" t="n">
        <v>3</v>
      </c>
      <c r="J41" s="3" t="n">
        <v>3</v>
      </c>
      <c r="K41" s="3" t="n">
        <v>3</v>
      </c>
      <c r="L41" s="3" t="n">
        <v>3</v>
      </c>
    </row>
    <row r="42" customFormat="false" ht="15" hidden="false" customHeight="false" outlineLevel="0" collapsed="false">
      <c r="A42" s="0" t="s">
        <v>97</v>
      </c>
      <c r="C42" s="3" t="n">
        <v>56</v>
      </c>
      <c r="D42" s="3" t="n">
        <v>54</v>
      </c>
      <c r="E42" s="3" t="n">
        <v>50</v>
      </c>
      <c r="F42" s="3" t="n">
        <v>46</v>
      </c>
      <c r="G42" s="3" t="n">
        <v>44</v>
      </c>
      <c r="H42" s="3" t="n">
        <v>44</v>
      </c>
      <c r="I42" s="3" t="n">
        <v>44</v>
      </c>
      <c r="J42" s="3" t="n">
        <v>44</v>
      </c>
      <c r="K42" s="3" t="n">
        <v>44</v>
      </c>
      <c r="L42" s="3" t="n">
        <v>44</v>
      </c>
    </row>
    <row r="43" customFormat="false" ht="15" hidden="false" customHeight="false" outlineLevel="0" collapsed="false">
      <c r="A43" s="0" t="s">
        <v>98</v>
      </c>
      <c r="C43" s="3" t="n">
        <v>0.25</v>
      </c>
      <c r="D43" s="3" t="n">
        <v>0.25</v>
      </c>
      <c r="E43" s="3" t="n">
        <v>0.25</v>
      </c>
      <c r="F43" s="3" t="n">
        <v>0.25</v>
      </c>
      <c r="G43" s="3" t="n">
        <v>0.25</v>
      </c>
      <c r="H43" s="3" t="n">
        <v>0.25</v>
      </c>
      <c r="I43" s="3" t="n">
        <v>0.25</v>
      </c>
      <c r="J43" s="3" t="n">
        <v>0.25</v>
      </c>
      <c r="K43" s="3" t="n">
        <v>0.25</v>
      </c>
      <c r="L43" s="3" t="n">
        <v>0.25</v>
      </c>
    </row>
    <row r="44" customFormat="false" ht="15" hidden="false" customHeight="false" outlineLevel="0" collapsed="false">
      <c r="A44" s="0" t="s">
        <v>99</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100</v>
      </c>
      <c r="C45" s="3" t="n">
        <v>14.5</v>
      </c>
      <c r="D45" s="3" t="n">
        <v>16.5</v>
      </c>
      <c r="E45" s="3" t="n">
        <v>18.5</v>
      </c>
      <c r="F45" s="3" t="n">
        <v>19.5</v>
      </c>
      <c r="G45" s="3" t="n">
        <v>20</v>
      </c>
      <c r="H45" s="3" t="n">
        <v>20</v>
      </c>
      <c r="I45" s="3" t="n">
        <v>20</v>
      </c>
      <c r="J45" s="3" t="n">
        <v>20</v>
      </c>
      <c r="K45" s="3" t="n">
        <v>20</v>
      </c>
      <c r="L45" s="3" t="n">
        <v>20</v>
      </c>
    </row>
    <row r="46" customFormat="false" ht="15" hidden="false" customHeight="false" outlineLevel="0" collapsed="false">
      <c r="A46" s="0" t="s">
        <v>101</v>
      </c>
      <c r="C46" s="3" t="n">
        <v>30</v>
      </c>
      <c r="D46" s="3" t="n">
        <v>27</v>
      </c>
      <c r="E46" s="3" t="n">
        <v>25</v>
      </c>
      <c r="F46" s="3" t="n">
        <v>23</v>
      </c>
      <c r="G46" s="3" t="n">
        <v>21</v>
      </c>
      <c r="H46" s="3" t="n">
        <v>20</v>
      </c>
      <c r="I46" s="3" t="n">
        <v>20</v>
      </c>
      <c r="J46" s="3" t="n">
        <v>20</v>
      </c>
      <c r="K46" s="3" t="n">
        <v>20</v>
      </c>
      <c r="L46" s="3" t="n">
        <v>20</v>
      </c>
    </row>
    <row r="47" customFormat="false" ht="15" hidden="false" customHeight="false" outlineLevel="0" collapsed="false">
      <c r="A47" s="0" t="s">
        <v>102</v>
      </c>
      <c r="C47" s="3" t="n">
        <v>14</v>
      </c>
      <c r="D47" s="3" t="n">
        <v>14</v>
      </c>
      <c r="E47" s="3" t="n">
        <v>14</v>
      </c>
      <c r="F47" s="3" t="n">
        <v>14</v>
      </c>
      <c r="G47" s="3" t="n">
        <v>14</v>
      </c>
      <c r="H47" s="3" t="n">
        <v>14</v>
      </c>
      <c r="I47" s="3" t="n">
        <v>14</v>
      </c>
      <c r="J47" s="3" t="n">
        <v>14</v>
      </c>
      <c r="K47" s="3" t="n">
        <v>14</v>
      </c>
      <c r="L47" s="3" t="n">
        <v>14</v>
      </c>
    </row>
    <row r="48" customFormat="false" ht="15" hidden="false" customHeight="false" outlineLevel="0" collapsed="false">
      <c r="A48" s="0" t="s">
        <v>103</v>
      </c>
      <c r="B48" s="3" t="n">
        <v>8</v>
      </c>
    </row>
    <row r="49" customFormat="false" ht="15" hidden="false" customHeight="false" outlineLevel="0" collapsed="false">
      <c r="A49" s="0" t="s">
        <v>104</v>
      </c>
      <c r="B49" s="3" t="n">
        <v>2.5</v>
      </c>
    </row>
    <row r="50" customFormat="false" ht="15" hidden="false" customHeight="false" outlineLevel="0" collapsed="false">
      <c r="A50" s="0" t="s">
        <v>105</v>
      </c>
      <c r="B50" s="3" t="n">
        <v>13</v>
      </c>
    </row>
    <row r="51" customFormat="false" ht="15" hidden="false" customHeight="false" outlineLevel="0" collapsed="false">
      <c r="A51" s="0" t="s">
        <v>106</v>
      </c>
      <c r="B51" s="3" t="n">
        <v>-5</v>
      </c>
    </row>
    <row r="52" customFormat="false" ht="15" hidden="false" customHeight="false" outlineLevel="0" collapsed="false">
      <c r="A52" s="0" t="s">
        <v>107</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110</v>
      </c>
    </row>
    <row r="3" customFormat="false" ht="15" hidden="false" customHeight="false" outlineLevel="0" collapsed="false">
      <c r="A3" s="0" t="s">
        <v>111</v>
      </c>
      <c r="B3" s="0" t="s">
        <v>72</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Assumptions!C13</f>
        <v>22</v>
      </c>
      <c r="D5" s="4" t="n">
        <f aca="false">Assumptions!D13</f>
        <v>-18</v>
      </c>
      <c r="E5" s="4" t="n">
        <f aca="false">Assumptions!E13</f>
        <v>-10</v>
      </c>
      <c r="F5" s="4" t="n">
        <f aca="false">Assumptions!F13</f>
        <v>2</v>
      </c>
      <c r="G5" s="4" t="n">
        <f aca="false">Assumptions!G13</f>
        <v>2</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23701.066</v>
      </c>
      <c r="C6" s="0" t="n">
        <f aca="false">B6*(1+C5/100)</f>
        <v>28915.30052</v>
      </c>
      <c r="D6" s="0" t="n">
        <f aca="false">C6*(1+D5/100)</f>
        <v>23710.5464264</v>
      </c>
      <c r="E6" s="0" t="n">
        <f aca="false">D6*(1+E5/100)</f>
        <v>21339.49178376</v>
      </c>
      <c r="F6" s="0" t="n">
        <f aca="false">E6*(1+F5/100)</f>
        <v>21766.2816194352</v>
      </c>
      <c r="G6" s="0" t="n">
        <f aca="false">F6*(1+G5/100)</f>
        <v>22201.6072518239</v>
      </c>
      <c r="H6" s="0" t="n">
        <f aca="false">G6*(1+H5/100)</f>
        <v>22645.6393968604</v>
      </c>
      <c r="I6" s="0" t="n">
        <f aca="false">H6*(1+I5/100)</f>
        <v>23098.5521847976</v>
      </c>
      <c r="J6" s="0" t="n">
        <f aca="false">I6*(1+J5/100)</f>
        <v>23560.5232284935</v>
      </c>
      <c r="K6" s="0" t="n">
        <f aca="false">J6*(1+K5/100)</f>
        <v>24031.7336930634</v>
      </c>
      <c r="L6" s="0" t="n">
        <f aca="false">K6*(1+L5/100)</f>
        <v>24512.3683669247</v>
      </c>
    </row>
    <row r="7" customFormat="false" ht="15" hidden="false" customHeight="false" outlineLevel="0" collapsed="false">
      <c r="A7" s="0" t="s">
        <v>97</v>
      </c>
      <c r="C7" s="4" t="n">
        <f aca="false">Assumptions!C14</f>
        <v>54</v>
      </c>
      <c r="D7" s="4" t="n">
        <f aca="false">Assumptions!D14</f>
        <v>42</v>
      </c>
      <c r="E7" s="4" t="n">
        <f aca="false">Assumptions!E14</f>
        <v>36</v>
      </c>
      <c r="F7" s="4" t="n">
        <f aca="false">Assumptions!F14</f>
        <v>36</v>
      </c>
      <c r="G7" s="4" t="n">
        <f aca="false">Assumptions!G14</f>
        <v>37</v>
      </c>
      <c r="H7" s="4" t="n">
        <f aca="false">Assumptions!H14</f>
        <v>37</v>
      </c>
      <c r="I7" s="4" t="n">
        <f aca="false">Assumptions!I14</f>
        <v>38</v>
      </c>
      <c r="J7" s="4" t="n">
        <f aca="false">Assumptions!J14</f>
        <v>38</v>
      </c>
      <c r="K7" s="4" t="n">
        <f aca="false">Assumptions!K14</f>
        <v>38</v>
      </c>
      <c r="L7" s="4" t="n">
        <f aca="false">Assumptions!L14</f>
        <v>38</v>
      </c>
    </row>
    <row r="8" customFormat="false" ht="15" hidden="false" customHeight="false" outlineLevel="0" collapsed="false">
      <c r="A8" s="0" t="s">
        <v>44</v>
      </c>
      <c r="C8" s="0" t="n">
        <f aca="false">C6*C7/100</f>
        <v>15614.2622808</v>
      </c>
      <c r="D8" s="0" t="n">
        <f aca="false">D6*D7/100</f>
        <v>9958.429499088</v>
      </c>
      <c r="E8" s="0" t="n">
        <f aca="false">E6*E7/100</f>
        <v>7682.2170421536</v>
      </c>
      <c r="F8" s="0" t="n">
        <f aca="false">F6*F7/100</f>
        <v>7835.86138299667</v>
      </c>
      <c r="G8" s="0" t="n">
        <f aca="false">G6*G7/100</f>
        <v>8214.59468317484</v>
      </c>
      <c r="H8" s="0" t="n">
        <f aca="false">H6*H7/100</f>
        <v>8378.88657683834</v>
      </c>
      <c r="I8" s="0" t="n">
        <f aca="false">I6*I7/100</f>
        <v>8777.44983022308</v>
      </c>
      <c r="J8" s="0" t="n">
        <f aca="false">J6*J7/100</f>
        <v>8952.99882682755</v>
      </c>
      <c r="K8" s="0" t="n">
        <f aca="false">K6*K7/100</f>
        <v>9132.0588033641</v>
      </c>
      <c r="L8" s="0" t="n">
        <f aca="false">L6*L7/100</f>
        <v>9314.69997943138</v>
      </c>
    </row>
    <row r="9" customFormat="false" ht="15" hidden="false" customHeight="false" outlineLevel="0" collapsed="false">
      <c r="A9" s="0" t="s">
        <v>98</v>
      </c>
      <c r="C9" s="4" t="n">
        <f aca="false">Assumptions!C15</f>
        <v>0.25</v>
      </c>
      <c r="D9" s="4" t="n">
        <f aca="false">Assumptions!D15</f>
        <v>0.25</v>
      </c>
      <c r="E9" s="4" t="n">
        <f aca="false">Assumptions!E15</f>
        <v>0.25</v>
      </c>
      <c r="F9" s="4" t="n">
        <f aca="false">Assumptions!F15</f>
        <v>0.25</v>
      </c>
      <c r="G9" s="4" t="n">
        <f aca="false">Assumptions!G15</f>
        <v>0.25</v>
      </c>
      <c r="H9" s="4" t="n">
        <f aca="false">Assumptions!H15</f>
        <v>0.25</v>
      </c>
      <c r="I9" s="4" t="n">
        <f aca="false">Assumptions!I15</f>
        <v>0.25</v>
      </c>
      <c r="J9" s="4" t="n">
        <f aca="false">Assumptions!J15</f>
        <v>0.25</v>
      </c>
      <c r="K9" s="4" t="n">
        <f aca="false">Assumptions!K15</f>
        <v>0.25</v>
      </c>
      <c r="L9" s="4" t="n">
        <f aca="false">Assumptions!L15</f>
        <v>0.25</v>
      </c>
    </row>
    <row r="10" customFormat="false" ht="15" hidden="false" customHeight="false" outlineLevel="0" collapsed="false">
      <c r="A10" s="0" t="s">
        <v>113</v>
      </c>
      <c r="C10" s="0" t="n">
        <f aca="false">-C6*C9/100</f>
        <v>-72.2882513</v>
      </c>
      <c r="D10" s="0" t="n">
        <f aca="false">-D6*D9/100</f>
        <v>-59.276366066</v>
      </c>
      <c r="E10" s="0" t="n">
        <f aca="false">-E6*E9/100</f>
        <v>-53.3487294594</v>
      </c>
      <c r="F10" s="0" t="n">
        <f aca="false">-F6*F9/100</f>
        <v>-54.415704048588</v>
      </c>
      <c r="G10" s="0" t="n">
        <f aca="false">-G6*G9/100</f>
        <v>-55.5040181295598</v>
      </c>
      <c r="H10" s="0" t="n">
        <f aca="false">-H6*H9/100</f>
        <v>-56.614098492151</v>
      </c>
      <c r="I10" s="0" t="n">
        <f aca="false">-I6*I9/100</f>
        <v>-57.746380461994</v>
      </c>
      <c r="J10" s="0" t="n">
        <f aca="false">-J6*J9/100</f>
        <v>-58.9013080712339</v>
      </c>
      <c r="K10" s="0" t="n">
        <f aca="false">-K6*K9/100</f>
        <v>-60.0793342326585</v>
      </c>
      <c r="L10" s="0" t="n">
        <f aca="false">-L6*L9/100</f>
        <v>-61.2809209173117</v>
      </c>
    </row>
    <row r="11" customFormat="false" ht="15" hidden="false" customHeight="false" outlineLevel="0" collapsed="false">
      <c r="A11" s="0" t="s">
        <v>114</v>
      </c>
      <c r="C11" s="0" t="n">
        <f aca="false">C8+C10+C24</f>
        <v>15541.9740295</v>
      </c>
      <c r="D11" s="0" t="n">
        <f aca="false">D8+D10+D24</f>
        <v>9899.153133022</v>
      </c>
      <c r="E11" s="0" t="n">
        <f aca="false">E8+E10+E24</f>
        <v>7628.8683126942</v>
      </c>
      <c r="F11" s="0" t="n">
        <f aca="false">F8+F10+F24</f>
        <v>7781.44567894809</v>
      </c>
      <c r="G11" s="0" t="n">
        <f aca="false">G8+G10+G24</f>
        <v>8159.09066504528</v>
      </c>
      <c r="H11" s="0" t="n">
        <f aca="false">H8+H10+H24</f>
        <v>8322.27247834619</v>
      </c>
      <c r="I11" s="0" t="n">
        <f aca="false">I8+I10+I24</f>
        <v>8719.70344976109</v>
      </c>
      <c r="J11" s="0" t="n">
        <f aca="false">J8+J10+J24</f>
        <v>8894.09751875631</v>
      </c>
      <c r="K11" s="0" t="n">
        <f aca="false">K8+K10+K24</f>
        <v>9071.97946913144</v>
      </c>
      <c r="L11" s="0" t="n">
        <f aca="false">L8+L10+L24</f>
        <v>9253.41905851407</v>
      </c>
    </row>
    <row r="12" customFormat="false" ht="15" hidden="false" customHeight="false" outlineLevel="0" collapsed="false">
      <c r="A12" s="0" t="s">
        <v>115</v>
      </c>
      <c r="C12" s="4" t="n">
        <f aca="false">-C6*Assumptions!C17/100</f>
        <v>-4192.7185754</v>
      </c>
      <c r="D12" s="4" t="n">
        <f aca="false">-D6*Assumptions!D17/100</f>
        <v>-3912.240160356</v>
      </c>
      <c r="E12" s="4" t="n">
        <f aca="false">-E6*Assumptions!E17/100</f>
        <v>-3947.8059799956</v>
      </c>
      <c r="F12" s="4" t="n">
        <f aca="false">-F6*Assumptions!F17/100</f>
        <v>-4244.42491578987</v>
      </c>
      <c r="G12" s="4" t="n">
        <f aca="false">-G6*Assumptions!G17/100</f>
        <v>-4440.32145036478</v>
      </c>
      <c r="H12" s="4" t="n">
        <f aca="false">-H6*Assumptions!H17/100</f>
        <v>-4529.12787937208</v>
      </c>
      <c r="I12" s="4" t="n">
        <f aca="false">-I6*Assumptions!I17/100</f>
        <v>-4619.71043695952</v>
      </c>
      <c r="J12" s="4" t="n">
        <f aca="false">-J6*Assumptions!J17/100</f>
        <v>-4712.10464569871</v>
      </c>
      <c r="K12" s="4" t="n">
        <f aca="false">-K6*Assumptions!K17/100</f>
        <v>-4806.34673861268</v>
      </c>
      <c r="L12" s="4" t="n">
        <f aca="false">-L6*Assumptions!L17/100</f>
        <v>-4902.47367338494</v>
      </c>
    </row>
    <row r="13" customFormat="false" ht="15" hidden="false" customHeight="false" outlineLevel="0" collapsed="false">
      <c r="A13" s="0" t="s">
        <v>116</v>
      </c>
      <c r="C13" s="0" t="n">
        <f aca="false">C11+C12</f>
        <v>11349.2554541</v>
      </c>
      <c r="D13" s="0" t="n">
        <f aca="false">D11+D12</f>
        <v>5986.912972666</v>
      </c>
      <c r="E13" s="0" t="n">
        <f aca="false">E11+E12</f>
        <v>3681.0623326986</v>
      </c>
      <c r="F13" s="0" t="n">
        <f aca="false">F11+F12</f>
        <v>3537.02076315822</v>
      </c>
      <c r="G13" s="0" t="n">
        <f aca="false">G11+G12</f>
        <v>3718.7692146805</v>
      </c>
      <c r="H13" s="0" t="n">
        <f aca="false">H11+H12</f>
        <v>3793.14459897411</v>
      </c>
      <c r="I13" s="0" t="n">
        <f aca="false">I11+I12</f>
        <v>4099.99301280157</v>
      </c>
      <c r="J13" s="0" t="n">
        <f aca="false">J11+J12</f>
        <v>4181.9928730576</v>
      </c>
      <c r="K13" s="0" t="n">
        <f aca="false">K11+K12</f>
        <v>4265.63273051876</v>
      </c>
      <c r="L13" s="0" t="n">
        <f aca="false">L11+L12</f>
        <v>4350.94538512913</v>
      </c>
    </row>
    <row r="14" customFormat="false" ht="15" hidden="false" customHeight="false" outlineLevel="0" collapsed="false">
      <c r="A14" s="0" t="s">
        <v>102</v>
      </c>
      <c r="C14" s="4" t="n">
        <f aca="false">Assumptions!C19</f>
        <v>14</v>
      </c>
      <c r="D14" s="4" t="n">
        <f aca="false">Assumptions!D19</f>
        <v>14</v>
      </c>
      <c r="E14" s="4" t="n">
        <f aca="false">Assumptions!E19</f>
        <v>14</v>
      </c>
      <c r="F14" s="4" t="n">
        <f aca="false">Assumptions!F19</f>
        <v>14</v>
      </c>
      <c r="G14" s="4" t="n">
        <f aca="false">Assumptions!G19</f>
        <v>14</v>
      </c>
      <c r="H14" s="4" t="n">
        <f aca="false">Assumptions!H19</f>
        <v>14</v>
      </c>
      <c r="I14" s="4" t="n">
        <f aca="false">Assumptions!I19</f>
        <v>14</v>
      </c>
      <c r="J14" s="4" t="n">
        <f aca="false">Assumptions!J19</f>
        <v>14</v>
      </c>
      <c r="K14" s="4" t="n">
        <f aca="false">Assumptions!K19</f>
        <v>14</v>
      </c>
      <c r="L14" s="4" t="n">
        <f aca="false">Assumptions!L19</f>
        <v>14</v>
      </c>
    </row>
    <row r="15" customFormat="false" ht="15" hidden="false" customHeight="false" outlineLevel="0" collapsed="false">
      <c r="A15" s="0" t="s">
        <v>117</v>
      </c>
      <c r="C15" s="0" t="n">
        <f aca="false">C13-MAX(0,C13)*C14/100</f>
        <v>9760.359690526</v>
      </c>
      <c r="D15" s="0" t="n">
        <f aca="false">D13-MAX(0,D13)*D14/100</f>
        <v>5148.74515649276</v>
      </c>
      <c r="E15" s="0" t="n">
        <f aca="false">E13-MAX(0,E13)*E14/100</f>
        <v>3165.7136061208</v>
      </c>
      <c r="F15" s="0" t="n">
        <f aca="false">F13-MAX(0,F13)*F14/100</f>
        <v>3041.83785631607</v>
      </c>
      <c r="G15" s="0" t="n">
        <f aca="false">G13-MAX(0,G13)*G14/100</f>
        <v>3198.14152462523</v>
      </c>
      <c r="H15" s="0" t="n">
        <f aca="false">H13-MAX(0,H13)*H14/100</f>
        <v>3262.10435511774</v>
      </c>
      <c r="I15" s="0" t="n">
        <f aca="false">I13-MAX(0,I13)*I14/100</f>
        <v>3525.99399100935</v>
      </c>
      <c r="J15" s="0" t="n">
        <f aca="false">J13-MAX(0,J13)*J14/100</f>
        <v>3596.51387082954</v>
      </c>
      <c r="K15" s="0" t="n">
        <f aca="false">K13-MAX(0,K13)*K14/100</f>
        <v>3668.44414824613</v>
      </c>
      <c r="L15" s="0" t="n">
        <f aca="false">L13-MAX(0,L13)*L14/100</f>
        <v>3741.81303121105</v>
      </c>
    </row>
    <row r="16" customFormat="false" ht="15" hidden="false" customHeight="false" outlineLevel="0" collapsed="false">
      <c r="A16" s="0" t="s">
        <v>118</v>
      </c>
      <c r="C16" s="0" t="n">
        <f aca="false">-C12</f>
        <v>4192.7185754</v>
      </c>
      <c r="D16" s="0" t="n">
        <f aca="false">-D12</f>
        <v>3912.240160356</v>
      </c>
      <c r="E16" s="0" t="n">
        <f aca="false">-E12</f>
        <v>3947.8059799956</v>
      </c>
      <c r="F16" s="0" t="n">
        <f aca="false">-F12</f>
        <v>4244.42491578987</v>
      </c>
      <c r="G16" s="0" t="n">
        <f aca="false">-G12</f>
        <v>4440.32145036478</v>
      </c>
      <c r="H16" s="0" t="n">
        <f aca="false">-H12</f>
        <v>4529.12787937208</v>
      </c>
      <c r="I16" s="0" t="n">
        <f aca="false">-I12</f>
        <v>4619.71043695952</v>
      </c>
      <c r="J16" s="0" t="n">
        <f aca="false">-J12</f>
        <v>4712.10464569871</v>
      </c>
      <c r="K16" s="0" t="n">
        <f aca="false">-K12</f>
        <v>4806.34673861268</v>
      </c>
      <c r="L16" s="0" t="n">
        <f aca="false">-L12</f>
        <v>4902.47367338494</v>
      </c>
    </row>
    <row r="17" customFormat="false" ht="15" hidden="false" customHeight="false" outlineLevel="0" collapsed="false">
      <c r="A17" s="0" t="s">
        <v>119</v>
      </c>
      <c r="C17" s="4" t="n">
        <f aca="false">-C6*Assumptions!C18/100</f>
        <v>-8963.7431612</v>
      </c>
      <c r="D17" s="4" t="n">
        <f aca="false">-D6*Assumptions!D18/100</f>
        <v>-6876.058463656</v>
      </c>
      <c r="E17" s="4" t="n">
        <f aca="false">-E6*Assumptions!E18/100</f>
        <v>-5761.6627816152</v>
      </c>
      <c r="F17" s="4" t="n">
        <f aca="false">-F6*Assumptions!F18/100</f>
        <v>-5441.5704048588</v>
      </c>
      <c r="G17" s="4" t="n">
        <f aca="false">-G6*Assumptions!G18/100</f>
        <v>-5106.3696679195</v>
      </c>
      <c r="H17" s="4" t="n">
        <f aca="false">-H6*Assumptions!H18/100</f>
        <v>-4755.58427334068</v>
      </c>
      <c r="I17" s="4" t="n">
        <f aca="false">-I6*Assumptions!I18/100</f>
        <v>-4619.71043695952</v>
      </c>
      <c r="J17" s="4" t="n">
        <f aca="false">-J6*Assumptions!J18/100</f>
        <v>-4712.10464569871</v>
      </c>
      <c r="K17" s="4" t="n">
        <f aca="false">-K6*Assumptions!K18/100</f>
        <v>-4806.34673861268</v>
      </c>
      <c r="L17" s="4" t="n">
        <f aca="false">-L6*Assumptions!L18/100</f>
        <v>-4902.47367338494</v>
      </c>
    </row>
    <row r="18" customFormat="false" ht="15" hidden="false" customHeight="false" outlineLevel="0" collapsed="false">
      <c r="A18" s="0" t="s">
        <v>120</v>
      </c>
      <c r="C18" s="4" t="n">
        <f aca="false">(C6-B6)*Assumptions!$B$23/100</f>
        <v>-260.711726</v>
      </c>
      <c r="D18" s="4" t="n">
        <f aca="false">(D6-C6)*Assumptions!$B$23/100</f>
        <v>260.23770468</v>
      </c>
      <c r="E18" s="4" t="n">
        <f aca="false">(E6-D6)*Assumptions!$B$23/100</f>
        <v>118.552732132</v>
      </c>
      <c r="F18" s="4" t="n">
        <f aca="false">(F6-E6)*Assumptions!$B$23/100</f>
        <v>-21.3394917837601</v>
      </c>
      <c r="G18" s="4" t="n">
        <f aca="false">(G6-F6)*Assumptions!$B$23/100</f>
        <v>-21.7662816194352</v>
      </c>
      <c r="H18" s="4" t="n">
        <f aca="false">(H6-G6)*Assumptions!$B$23/100</f>
        <v>-22.201607251824</v>
      </c>
      <c r="I18" s="4" t="n">
        <f aca="false">(I6-H6)*Assumptions!$B$23/100</f>
        <v>-22.6456393968603</v>
      </c>
      <c r="J18" s="4" t="n">
        <f aca="false">(J6-I6)*Assumptions!$B$23/100</f>
        <v>-23.0985521847977</v>
      </c>
      <c r="K18" s="4" t="n">
        <f aca="false">(K6-J6)*Assumptions!$B$23/100</f>
        <v>-23.5605232284935</v>
      </c>
      <c r="L18" s="4" t="n">
        <f aca="false">(L6-K6)*Assumptions!$B$23/100</f>
        <v>-24.0317336930635</v>
      </c>
    </row>
    <row r="19" customFormat="false" ht="15" hidden="false" customHeight="false" outlineLevel="0" collapsed="false">
      <c r="A19" s="0" t="s">
        <v>121</v>
      </c>
      <c r="C19" s="0" t="n">
        <f aca="false">C15+C16+C17+C18</f>
        <v>4728.623378726</v>
      </c>
      <c r="D19" s="0" t="n">
        <f aca="false">D15+D16+D17+D18</f>
        <v>2445.16455787276</v>
      </c>
      <c r="E19" s="0" t="n">
        <f aca="false">E15+E16+E17+E18</f>
        <v>1470.4095366332</v>
      </c>
      <c r="F19" s="0" t="n">
        <f aca="false">F15+F16+F17+F18</f>
        <v>1823.35287546337</v>
      </c>
      <c r="G19" s="0" t="n">
        <f aca="false">G15+G16+G17+G18</f>
        <v>2510.32702545108</v>
      </c>
      <c r="H19" s="0" t="n">
        <f aca="false">H15+H16+H17+H18</f>
        <v>3013.44635389731</v>
      </c>
      <c r="I19" s="0" t="n">
        <f aca="false">I15+I16+I17+I18</f>
        <v>3503.34835161249</v>
      </c>
      <c r="J19" s="0" t="n">
        <f aca="false">J15+J16+J17+J18</f>
        <v>3573.41531864474</v>
      </c>
      <c r="K19" s="0" t="n">
        <f aca="false">K15+K16+K17+K18</f>
        <v>3644.88362501764</v>
      </c>
      <c r="L19" s="0" t="n">
        <f aca="false">L15+L16+L17+L18</f>
        <v>3717.78129751799</v>
      </c>
    </row>
    <row r="20" customFormat="false" ht="15" hidden="false" customHeight="false" outlineLevel="0" collapsed="false">
      <c r="A20" s="0" t="s">
        <v>122</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123</v>
      </c>
      <c r="C21" s="0" t="n">
        <f aca="false">C19*C20</f>
        <v>4378.35498030185</v>
      </c>
      <c r="D21" s="0" t="n">
        <f aca="false">D19*D20</f>
        <v>2096.33449749036</v>
      </c>
      <c r="E21" s="0" t="n">
        <f aca="false">E19*E20</f>
        <v>1167.25849768296</v>
      </c>
      <c r="F21" s="0" t="n">
        <f aca="false">F19*F20</f>
        <v>1340.21879564783</v>
      </c>
      <c r="G21" s="0" t="n">
        <f aca="false">G19*G20</f>
        <v>1708.48639258173</v>
      </c>
      <c r="H21" s="0" t="n">
        <f aca="false">H19*H20</f>
        <v>1898.98236446772</v>
      </c>
      <c r="I21" s="0" t="n">
        <f aca="false">I19*I20</f>
        <v>2044.17011442332</v>
      </c>
      <c r="J21" s="0" t="n">
        <f aca="false">J19*J20</f>
        <v>1930.60510806647</v>
      </c>
      <c r="K21" s="0" t="n">
        <f aca="false">K19*K20</f>
        <v>1823.34926872944</v>
      </c>
      <c r="L21" s="0" t="n">
        <f aca="false">L19*L20</f>
        <v>1722.05208713336</v>
      </c>
    </row>
    <row r="23" customFormat="false" ht="15" hidden="false" customHeight="false" outlineLevel="0" collapsed="false">
      <c r="A23" s="0" t="s">
        <v>99</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125</v>
      </c>
    </row>
    <row r="27" customFormat="false" ht="15" hidden="false" customHeight="false" outlineLevel="0" collapsed="false">
      <c r="A27" s="0" t="s">
        <v>103</v>
      </c>
      <c r="B27" s="4" t="n">
        <f aca="false">Assumptions!$B$20</f>
        <v>8</v>
      </c>
    </row>
    <row r="28" customFormat="false" ht="15" hidden="false" customHeight="false" outlineLevel="0" collapsed="false">
      <c r="A28" s="0" t="s">
        <v>104</v>
      </c>
      <c r="B28" s="4" t="n">
        <f aca="false">Assumptions!$B$21</f>
        <v>2</v>
      </c>
    </row>
    <row r="29" customFormat="false" ht="15" hidden="false" customHeight="false" outlineLevel="0" collapsed="false">
      <c r="A29" s="0" t="s">
        <v>105</v>
      </c>
      <c r="B29" s="4" t="n">
        <f aca="false">Assumptions!$B$22</f>
        <v>13</v>
      </c>
    </row>
    <row r="30" customFormat="false" ht="15" hidden="false" customHeight="false" outlineLevel="0" collapsed="false">
      <c r="A30" s="0" t="s">
        <v>126</v>
      </c>
      <c r="B30" s="0" t="n">
        <f aca="false">SUM(C21:L21)</f>
        <v>20109.812106525</v>
      </c>
    </row>
    <row r="31" customFormat="false" ht="15" hidden="false" customHeight="false" outlineLevel="0" collapsed="false">
      <c r="A31" s="0" t="s">
        <v>127</v>
      </c>
      <c r="B31" s="0" t="n">
        <f aca="false">L19</f>
        <v>3717.78129751799</v>
      </c>
    </row>
    <row r="32" customFormat="false" ht="15" hidden="false" customHeight="false" outlineLevel="0" collapsed="false">
      <c r="A32" s="0" t="s">
        <v>128</v>
      </c>
      <c r="B32" s="0" t="n">
        <f aca="false">IF(B27&gt;B28,B31*(1+B28/100)/((B27-B28)/100),B31*B29)</f>
        <v>63202.2820578058</v>
      </c>
    </row>
    <row r="33" customFormat="false" ht="15" hidden="false" customHeight="false" outlineLevel="0" collapsed="false">
      <c r="A33" s="0" t="s">
        <v>129</v>
      </c>
      <c r="B33" s="0" t="n">
        <f aca="false">B31*B29</f>
        <v>48331.1568677339</v>
      </c>
    </row>
    <row r="34" customFormat="false" ht="15" hidden="false" customHeight="false" outlineLevel="0" collapsed="false">
      <c r="A34" s="0" t="s">
        <v>130</v>
      </c>
      <c r="B34" s="0" t="n">
        <f aca="false">MAX(0,MIN(B32,B33))</f>
        <v>48331.1568677339</v>
      </c>
    </row>
    <row r="35" customFormat="false" ht="15" hidden="false" customHeight="false" outlineLevel="0" collapsed="false">
      <c r="A35" s="0" t="s">
        <v>131</v>
      </c>
      <c r="B35" s="0" t="n">
        <f aca="false">B34/(1+B27/100)^L4</f>
        <v>22386.6771327337</v>
      </c>
    </row>
    <row r="36" customFormat="false" ht="15" hidden="false" customHeight="false" outlineLevel="0" collapsed="false">
      <c r="A36" s="0" t="s">
        <v>132</v>
      </c>
      <c r="B36" s="0" t="n">
        <f aca="false">B30+B35</f>
        <v>42496.4892392587</v>
      </c>
    </row>
    <row r="37" customFormat="false" ht="15" hidden="false" customHeight="false" outlineLevel="0" collapsed="false">
      <c r="A37" s="0" t="s">
        <v>133</v>
      </c>
      <c r="B37" s="0" t="n">
        <f aca="false">B36+Assumptions!$B$5-Assumptions!$B$4</f>
        <v>18193.7542392587</v>
      </c>
    </row>
    <row r="38" customFormat="false" ht="15" hidden="false" customHeight="false" outlineLevel="0" collapsed="false">
      <c r="A38" s="0" t="s">
        <v>134</v>
      </c>
      <c r="B38" s="0" t="n">
        <f aca="false">B37/Assumptions!$B$3*Assumptions!$B$10</f>
        <v>3.89438067862864</v>
      </c>
    </row>
    <row r="39" customFormat="false" ht="15" hidden="false" customHeight="false" outlineLevel="0" collapsed="false">
      <c r="A39" s="0" t="s">
        <v>135</v>
      </c>
      <c r="B39" s="4" t="n">
        <f aca="false">B38/Assumptions!$B$2-1</f>
        <v>-0.78800322925266</v>
      </c>
    </row>
    <row r="41" customFormat="false" ht="15" hidden="false" customHeight="false" outlineLevel="0" collapsed="false">
      <c r="A41" s="0" t="s">
        <v>136</v>
      </c>
      <c r="B41" s="0" t="n">
        <f aca="false">SUMPRODUCT(-C10:L10/(1+$B$27/100)^C4:L4)</f>
        <v>397.508742378904</v>
      </c>
    </row>
    <row r="42" customFormat="false" ht="15" hidden="false" customHeight="false" outlineLevel="0" collapsed="false">
      <c r="A42" s="0" t="s">
        <v>137</v>
      </c>
      <c r="B42" s="0" t="n">
        <f aca="false">IF(B27&gt;B28,-L10*(1+B28/100)/((B27-B28)/100),-L10*20)/(1+B27/100)^L4</f>
        <v>482.543699716432</v>
      </c>
    </row>
    <row r="43" customFormat="false" ht="15" hidden="false" customHeight="false" outlineLevel="0" collapsed="false">
      <c r="A43" s="0" t="s">
        <v>138</v>
      </c>
      <c r="B43" s="0" t="n">
        <f aca="false">(B37+B41+B42)/Assumptions!$B$3*Assumptions!$B$10</f>
        <v>4.08275627069202</v>
      </c>
    </row>
    <row r="45" customFormat="false" ht="15" hidden="false" customHeight="false" outlineLevel="0" collapsed="false">
      <c r="A45" s="0" t="s">
        <v>79</v>
      </c>
      <c r="B45" s="4" t="n">
        <f aca="false">Assumptions!$B$6</f>
        <v>15</v>
      </c>
    </row>
    <row r="46" customFormat="false" ht="15" hidden="false" customHeight="false" outlineLevel="0" collapsed="false">
      <c r="A46" s="0" t="s">
        <v>139</v>
      </c>
      <c r="B46" s="0" t="n">
        <f aca="false">MAX(0,MIN(IF(B45&gt;B28,B31*(1+B28/100)/((B45-B28)/100),B31*B29),B31*B29))</f>
        <v>29170.2840266796</v>
      </c>
    </row>
    <row r="47" customFormat="false" ht="15" hidden="false" customHeight="false" outlineLevel="0" collapsed="false">
      <c r="A47" s="0" t="s">
        <v>140</v>
      </c>
      <c r="B47" s="0" t="n">
        <f aca="false">(SUMPRODUCT(C19:L19/(1+B45/100)^C4:L4)+B46/(1+B45/100)^L4+Assumptions!$B$5-Assumptions!$B$4)/Assumptions!$B$3*Assumptions!$B$10</f>
        <v>-0.456156469672431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141</v>
      </c>
    </row>
    <row r="3" customFormat="false" ht="15" hidden="false" customHeight="false" outlineLevel="0" collapsed="false">
      <c r="A3" s="0" t="s">
        <v>111</v>
      </c>
      <c r="B3" s="0" t="s">
        <v>72</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Assumptions!C27</f>
        <v>24.5</v>
      </c>
      <c r="D5" s="4" t="n">
        <f aca="false">Assumptions!D27</f>
        <v>-8</v>
      </c>
      <c r="E5" s="4" t="n">
        <f aca="false">Assumptions!E27</f>
        <v>-6</v>
      </c>
      <c r="F5" s="4" t="n">
        <f aca="false">Assumptions!F27</f>
        <v>3</v>
      </c>
      <c r="G5" s="4" t="n">
        <f aca="false">Assumptions!G27</f>
        <v>4</v>
      </c>
      <c r="H5" s="4" t="n">
        <f aca="false">Assumptions!H27</f>
        <v>3</v>
      </c>
      <c r="I5" s="4" t="n">
        <f aca="false">Assumptions!I27</f>
        <v>3</v>
      </c>
      <c r="J5" s="4" t="n">
        <f aca="false">Assumptions!J27</f>
        <v>2.5</v>
      </c>
      <c r="K5" s="4" t="n">
        <f aca="false">Assumptions!K27</f>
        <v>2.5</v>
      </c>
      <c r="L5" s="4" t="n">
        <f aca="false">Assumptions!L27</f>
        <v>2.5</v>
      </c>
    </row>
    <row r="6" customFormat="false" ht="15" hidden="false" customHeight="false" outlineLevel="0" collapsed="false">
      <c r="A6" s="0" t="s">
        <v>38</v>
      </c>
      <c r="B6" s="3" t="n">
        <v>23701.066</v>
      </c>
      <c r="C6" s="0" t="n">
        <f aca="false">B6*(1+C5/100)</f>
        <v>29507.82717</v>
      </c>
      <c r="D6" s="0" t="n">
        <f aca="false">C6*(1+D5/100)</f>
        <v>27147.2009964</v>
      </c>
      <c r="E6" s="0" t="n">
        <f aca="false">D6*(1+E5/100)</f>
        <v>25518.368936616</v>
      </c>
      <c r="F6" s="0" t="n">
        <f aca="false">E6*(1+F5/100)</f>
        <v>26283.9200047145</v>
      </c>
      <c r="G6" s="0" t="n">
        <f aca="false">F6*(1+G5/100)</f>
        <v>27335.2768049031</v>
      </c>
      <c r="H6" s="0" t="n">
        <f aca="false">G6*(1+H5/100)</f>
        <v>28155.3351090502</v>
      </c>
      <c r="I6" s="0" t="n">
        <f aca="false">H6*(1+I5/100)</f>
        <v>28999.9951623217</v>
      </c>
      <c r="J6" s="0" t="n">
        <f aca="false">I6*(1+J5/100)</f>
        <v>29724.9950413797</v>
      </c>
      <c r="K6" s="0" t="n">
        <f aca="false">J6*(1+K5/100)</f>
        <v>30468.1199174142</v>
      </c>
      <c r="L6" s="0" t="n">
        <f aca="false">K6*(1+L5/100)</f>
        <v>31229.8229153495</v>
      </c>
    </row>
    <row r="7" customFormat="false" ht="15" hidden="false" customHeight="false" outlineLevel="0" collapsed="false">
      <c r="A7" s="0" t="s">
        <v>97</v>
      </c>
      <c r="C7" s="4" t="n">
        <f aca="false">Assumptions!C28</f>
        <v>55</v>
      </c>
      <c r="D7" s="4" t="n">
        <f aca="false">Assumptions!D28</f>
        <v>48</v>
      </c>
      <c r="E7" s="4" t="n">
        <f aca="false">Assumptions!E28</f>
        <v>42</v>
      </c>
      <c r="F7" s="4" t="n">
        <f aca="false">Assumptions!F28</f>
        <v>41</v>
      </c>
      <c r="G7" s="4" t="n">
        <f aca="false">Assumptions!G28</f>
        <v>41</v>
      </c>
      <c r="H7" s="4" t="n">
        <f aca="false">Assumptions!H28</f>
        <v>41</v>
      </c>
      <c r="I7" s="4" t="n">
        <f aca="false">Assumptions!I28</f>
        <v>41</v>
      </c>
      <c r="J7" s="4" t="n">
        <f aca="false">Assumptions!J28</f>
        <v>41</v>
      </c>
      <c r="K7" s="4" t="n">
        <f aca="false">Assumptions!K28</f>
        <v>41</v>
      </c>
      <c r="L7" s="4" t="n">
        <f aca="false">Assumptions!L28</f>
        <v>41</v>
      </c>
    </row>
    <row r="8" customFormat="false" ht="15" hidden="false" customHeight="false" outlineLevel="0" collapsed="false">
      <c r="A8" s="0" t="s">
        <v>44</v>
      </c>
      <c r="C8" s="0" t="n">
        <f aca="false">C6*C7/100</f>
        <v>16229.3049435</v>
      </c>
      <c r="D8" s="0" t="n">
        <f aca="false">D6*D7/100</f>
        <v>13030.656478272</v>
      </c>
      <c r="E8" s="0" t="n">
        <f aca="false">E6*E7/100</f>
        <v>10717.7149533787</v>
      </c>
      <c r="F8" s="0" t="n">
        <f aca="false">F6*F7/100</f>
        <v>10776.4072019329</v>
      </c>
      <c r="G8" s="0" t="n">
        <f aca="false">G6*G7/100</f>
        <v>11207.4634900103</v>
      </c>
      <c r="H8" s="0" t="n">
        <f aca="false">H6*H7/100</f>
        <v>11543.6873947106</v>
      </c>
      <c r="I8" s="0" t="n">
        <f aca="false">I6*I7/100</f>
        <v>11889.9980165519</v>
      </c>
      <c r="J8" s="0" t="n">
        <f aca="false">J6*J7/100</f>
        <v>12187.2479669657</v>
      </c>
      <c r="K8" s="0" t="n">
        <f aca="false">K6*K7/100</f>
        <v>12491.9291661398</v>
      </c>
      <c r="L8" s="0" t="n">
        <f aca="false">L6*L7/100</f>
        <v>12804.2273952933</v>
      </c>
    </row>
    <row r="9" customFormat="false" ht="15" hidden="false" customHeight="false" outlineLevel="0" collapsed="false">
      <c r="A9" s="0" t="s">
        <v>98</v>
      </c>
      <c r="C9" s="4" t="n">
        <f aca="false">Assumptions!C29</f>
        <v>0.25</v>
      </c>
      <c r="D9" s="4" t="n">
        <f aca="false">Assumptions!D29</f>
        <v>0.25</v>
      </c>
      <c r="E9" s="4" t="n">
        <f aca="false">Assumptions!E29</f>
        <v>0.25</v>
      </c>
      <c r="F9" s="4" t="n">
        <f aca="false">Assumptions!F29</f>
        <v>0.25</v>
      </c>
      <c r="G9" s="4" t="n">
        <f aca="false">Assumptions!G29</f>
        <v>0.25</v>
      </c>
      <c r="H9" s="4" t="n">
        <f aca="false">Assumptions!H29</f>
        <v>0.25</v>
      </c>
      <c r="I9" s="4" t="n">
        <f aca="false">Assumptions!I29</f>
        <v>0.25</v>
      </c>
      <c r="J9" s="4" t="n">
        <f aca="false">Assumptions!J29</f>
        <v>0.25</v>
      </c>
      <c r="K9" s="4" t="n">
        <f aca="false">Assumptions!K29</f>
        <v>0.25</v>
      </c>
      <c r="L9" s="4" t="n">
        <f aca="false">Assumptions!L29</f>
        <v>0.25</v>
      </c>
    </row>
    <row r="10" customFormat="false" ht="15" hidden="false" customHeight="false" outlineLevel="0" collapsed="false">
      <c r="A10" s="0" t="s">
        <v>113</v>
      </c>
      <c r="C10" s="0" t="n">
        <f aca="false">-C6*C9/100</f>
        <v>-73.769567925</v>
      </c>
      <c r="D10" s="0" t="n">
        <f aca="false">-D6*D9/100</f>
        <v>-67.868002491</v>
      </c>
      <c r="E10" s="0" t="n">
        <f aca="false">-E6*E9/100</f>
        <v>-63.79592234154</v>
      </c>
      <c r="F10" s="0" t="n">
        <f aca="false">-F6*F9/100</f>
        <v>-65.7098000117862</v>
      </c>
      <c r="G10" s="0" t="n">
        <f aca="false">-G6*G9/100</f>
        <v>-68.3381920122577</v>
      </c>
      <c r="H10" s="0" t="n">
        <f aca="false">-H6*H9/100</f>
        <v>-70.3883377726254</v>
      </c>
      <c r="I10" s="0" t="n">
        <f aca="false">-I6*I9/100</f>
        <v>-72.4999879058042</v>
      </c>
      <c r="J10" s="0" t="n">
        <f aca="false">-J6*J9/100</f>
        <v>-74.3124876034492</v>
      </c>
      <c r="K10" s="0" t="n">
        <f aca="false">-K6*K9/100</f>
        <v>-76.1702997935355</v>
      </c>
      <c r="L10" s="0" t="n">
        <f aca="false">-L6*L9/100</f>
        <v>-78.0745572883739</v>
      </c>
    </row>
    <row r="11" customFormat="false" ht="15" hidden="false" customHeight="false" outlineLevel="0" collapsed="false">
      <c r="A11" s="0" t="s">
        <v>114</v>
      </c>
      <c r="C11" s="0" t="n">
        <f aca="false">C8+C10+C24</f>
        <v>16155.535375575</v>
      </c>
      <c r="D11" s="0" t="n">
        <f aca="false">D8+D10+D24</f>
        <v>12962.788475781</v>
      </c>
      <c r="E11" s="0" t="n">
        <f aca="false">E8+E10+E24</f>
        <v>10653.9190310372</v>
      </c>
      <c r="F11" s="0" t="n">
        <f aca="false">F8+F10+F24</f>
        <v>10710.6974019212</v>
      </c>
      <c r="G11" s="0" t="n">
        <f aca="false">G8+G10+G24</f>
        <v>11139.125297998</v>
      </c>
      <c r="H11" s="0" t="n">
        <f aca="false">H8+H10+H24</f>
        <v>11473.2990569379</v>
      </c>
      <c r="I11" s="0" t="n">
        <f aca="false">I8+I10+I24</f>
        <v>11817.4980286461</v>
      </c>
      <c r="J11" s="0" t="n">
        <f aca="false">J8+J10+J24</f>
        <v>12112.9354793622</v>
      </c>
      <c r="K11" s="0" t="n">
        <f aca="false">K8+K10+K24</f>
        <v>12415.7588663463</v>
      </c>
      <c r="L11" s="0" t="n">
        <f aca="false">L8+L10+L24</f>
        <v>12726.1528380049</v>
      </c>
    </row>
    <row r="12" customFormat="false" ht="15" hidden="false" customHeight="false" outlineLevel="0" collapsed="false">
      <c r="A12" s="0" t="s">
        <v>115</v>
      </c>
      <c r="C12" s="4" t="n">
        <f aca="false">-C6*Assumptions!C31/100</f>
        <v>-4278.63493965</v>
      </c>
      <c r="D12" s="4" t="n">
        <f aca="false">-D6*Assumptions!D31/100</f>
        <v>-4479.288164406</v>
      </c>
      <c r="E12" s="4" t="n">
        <f aca="false">-E6*Assumptions!E31/100</f>
        <v>-4720.89825327396</v>
      </c>
      <c r="F12" s="4" t="n">
        <f aca="false">-F6*Assumptions!F31/100</f>
        <v>-5125.36440091932</v>
      </c>
      <c r="G12" s="4" t="n">
        <f aca="false">-G6*Assumptions!G31/100</f>
        <v>-5467.05536098061</v>
      </c>
      <c r="H12" s="4" t="n">
        <f aca="false">-H6*Assumptions!H31/100</f>
        <v>-5631.06702181003</v>
      </c>
      <c r="I12" s="4" t="n">
        <f aca="false">-I6*Assumptions!I31/100</f>
        <v>-5799.99903246433</v>
      </c>
      <c r="J12" s="4" t="n">
        <f aca="false">-J6*Assumptions!J31/100</f>
        <v>-5944.99900827594</v>
      </c>
      <c r="K12" s="4" t="n">
        <f aca="false">-K6*Assumptions!K31/100</f>
        <v>-6093.62398348284</v>
      </c>
      <c r="L12" s="4" t="n">
        <f aca="false">-L6*Assumptions!L31/100</f>
        <v>-6245.96458306991</v>
      </c>
    </row>
    <row r="13" customFormat="false" ht="15" hidden="false" customHeight="false" outlineLevel="0" collapsed="false">
      <c r="A13" s="0" t="s">
        <v>116</v>
      </c>
      <c r="C13" s="0" t="n">
        <f aca="false">C11+C12</f>
        <v>11876.900435925</v>
      </c>
      <c r="D13" s="0" t="n">
        <f aca="false">D11+D12</f>
        <v>8483.500311375</v>
      </c>
      <c r="E13" s="0" t="n">
        <f aca="false">E11+E12</f>
        <v>5933.02077776322</v>
      </c>
      <c r="F13" s="0" t="n">
        <f aca="false">F11+F12</f>
        <v>5585.33300100183</v>
      </c>
      <c r="G13" s="0" t="n">
        <f aca="false">G11+G12</f>
        <v>5672.06993701739</v>
      </c>
      <c r="H13" s="0" t="n">
        <f aca="false">H11+H12</f>
        <v>5842.23203512791</v>
      </c>
      <c r="I13" s="0" t="n">
        <f aca="false">I11+I12</f>
        <v>6017.49899618174</v>
      </c>
      <c r="J13" s="0" t="n">
        <f aca="false">J11+J12</f>
        <v>6167.93647108629</v>
      </c>
      <c r="K13" s="0" t="n">
        <f aca="false">K11+K12</f>
        <v>6322.13488286344</v>
      </c>
      <c r="L13" s="0" t="n">
        <f aca="false">L11+L12</f>
        <v>6480.18825493503</v>
      </c>
    </row>
    <row r="14" customFormat="false" ht="15" hidden="false" customHeight="false" outlineLevel="0" collapsed="false">
      <c r="A14" s="0" t="s">
        <v>102</v>
      </c>
      <c r="C14" s="4" t="n">
        <f aca="false">Assumptions!C33</f>
        <v>14</v>
      </c>
      <c r="D14" s="4" t="n">
        <f aca="false">Assumptions!D33</f>
        <v>14</v>
      </c>
      <c r="E14" s="4" t="n">
        <f aca="false">Assumptions!E33</f>
        <v>14</v>
      </c>
      <c r="F14" s="4" t="n">
        <f aca="false">Assumptions!F33</f>
        <v>14</v>
      </c>
      <c r="G14" s="4" t="n">
        <f aca="false">Assumptions!G33</f>
        <v>14</v>
      </c>
      <c r="H14" s="4" t="n">
        <f aca="false">Assumptions!H33</f>
        <v>14</v>
      </c>
      <c r="I14" s="4" t="n">
        <f aca="false">Assumptions!I33</f>
        <v>14</v>
      </c>
      <c r="J14" s="4" t="n">
        <f aca="false">Assumptions!J33</f>
        <v>14</v>
      </c>
      <c r="K14" s="4" t="n">
        <f aca="false">Assumptions!K33</f>
        <v>14</v>
      </c>
      <c r="L14" s="4" t="n">
        <f aca="false">Assumptions!L33</f>
        <v>14</v>
      </c>
    </row>
    <row r="15" customFormat="false" ht="15" hidden="false" customHeight="false" outlineLevel="0" collapsed="false">
      <c r="A15" s="0" t="s">
        <v>117</v>
      </c>
      <c r="C15" s="0" t="n">
        <f aca="false">C13-MAX(0,C13)*C14/100</f>
        <v>10214.1343748955</v>
      </c>
      <c r="D15" s="0" t="n">
        <f aca="false">D13-MAX(0,D13)*D14/100</f>
        <v>7295.8102677825</v>
      </c>
      <c r="E15" s="0" t="n">
        <f aca="false">E13-MAX(0,E13)*E14/100</f>
        <v>5102.39786887637</v>
      </c>
      <c r="F15" s="0" t="n">
        <f aca="false">F13-MAX(0,F13)*F14/100</f>
        <v>4803.38638086157</v>
      </c>
      <c r="G15" s="0" t="n">
        <f aca="false">G13-MAX(0,G13)*G14/100</f>
        <v>4877.98014583495</v>
      </c>
      <c r="H15" s="0" t="n">
        <f aca="false">H13-MAX(0,H13)*H14/100</f>
        <v>5024.31955021</v>
      </c>
      <c r="I15" s="0" t="n">
        <f aca="false">I13-MAX(0,I13)*I14/100</f>
        <v>5175.0491367163</v>
      </c>
      <c r="J15" s="0" t="n">
        <f aca="false">J13-MAX(0,J13)*J14/100</f>
        <v>5304.42536513421</v>
      </c>
      <c r="K15" s="0" t="n">
        <f aca="false">K13-MAX(0,K13)*K14/100</f>
        <v>5437.03599926256</v>
      </c>
      <c r="L15" s="0" t="n">
        <f aca="false">L13-MAX(0,L13)*L14/100</f>
        <v>5572.96189924413</v>
      </c>
    </row>
    <row r="16" customFormat="false" ht="15" hidden="false" customHeight="false" outlineLevel="0" collapsed="false">
      <c r="A16" s="0" t="s">
        <v>118</v>
      </c>
      <c r="C16" s="0" t="n">
        <f aca="false">-C12</f>
        <v>4278.63493965</v>
      </c>
      <c r="D16" s="0" t="n">
        <f aca="false">-D12</f>
        <v>4479.288164406</v>
      </c>
      <c r="E16" s="0" t="n">
        <f aca="false">-E12</f>
        <v>4720.89825327396</v>
      </c>
      <c r="F16" s="0" t="n">
        <f aca="false">-F12</f>
        <v>5125.36440091932</v>
      </c>
      <c r="G16" s="0" t="n">
        <f aca="false">-G12</f>
        <v>5467.05536098061</v>
      </c>
      <c r="H16" s="0" t="n">
        <f aca="false">-H12</f>
        <v>5631.06702181003</v>
      </c>
      <c r="I16" s="0" t="n">
        <f aca="false">-I12</f>
        <v>5799.99903246433</v>
      </c>
      <c r="J16" s="0" t="n">
        <f aca="false">-J12</f>
        <v>5944.99900827594</v>
      </c>
      <c r="K16" s="0" t="n">
        <f aca="false">-K12</f>
        <v>6093.62398348284</v>
      </c>
      <c r="L16" s="0" t="n">
        <f aca="false">-L12</f>
        <v>6245.96458306991</v>
      </c>
    </row>
    <row r="17" customFormat="false" ht="15" hidden="false" customHeight="false" outlineLevel="0" collapsed="false">
      <c r="A17" s="0" t="s">
        <v>119</v>
      </c>
      <c r="C17" s="4" t="n">
        <f aca="false">-C6*Assumptions!C32/100</f>
        <v>-8999.88728685</v>
      </c>
      <c r="D17" s="4" t="n">
        <f aca="false">-D6*Assumptions!D32/100</f>
        <v>-7465.48027401</v>
      </c>
      <c r="E17" s="4" t="n">
        <f aca="false">-E6*Assumptions!E32/100</f>
        <v>-6507.18407883708</v>
      </c>
      <c r="F17" s="4" t="n">
        <f aca="false">-F6*Assumptions!F32/100</f>
        <v>-6045.30160108433</v>
      </c>
      <c r="G17" s="4" t="n">
        <f aca="false">-G6*Assumptions!G32/100</f>
        <v>-5740.40812902964</v>
      </c>
      <c r="H17" s="4" t="n">
        <f aca="false">-H6*Assumptions!H32/100</f>
        <v>-5631.06702181003</v>
      </c>
      <c r="I17" s="4" t="n">
        <f aca="false">-I6*Assumptions!I32/100</f>
        <v>-5799.99903246433</v>
      </c>
      <c r="J17" s="4" t="n">
        <f aca="false">-J6*Assumptions!J32/100</f>
        <v>-5944.99900827594</v>
      </c>
      <c r="K17" s="4" t="n">
        <f aca="false">-K6*Assumptions!K32/100</f>
        <v>-6093.62398348284</v>
      </c>
      <c r="L17" s="4" t="n">
        <f aca="false">-L6*Assumptions!L32/100</f>
        <v>-6245.96458306991</v>
      </c>
    </row>
    <row r="18" customFormat="false" ht="15" hidden="false" customHeight="false" outlineLevel="0" collapsed="false">
      <c r="A18" s="0" t="s">
        <v>120</v>
      </c>
      <c r="C18" s="4" t="n">
        <f aca="false">(C6-B6)*Assumptions!$B$37/100</f>
        <v>-290.3380585</v>
      </c>
      <c r="D18" s="4" t="n">
        <f aca="false">(D6-C6)*Assumptions!$B$37/100</f>
        <v>118.03130868</v>
      </c>
      <c r="E18" s="4" t="n">
        <f aca="false">(E6-D6)*Assumptions!$B$37/100</f>
        <v>81.4416029892002</v>
      </c>
      <c r="F18" s="4" t="n">
        <f aca="false">(F6-E6)*Assumptions!$B$37/100</f>
        <v>-38.277553404924</v>
      </c>
      <c r="G18" s="4" t="n">
        <f aca="false">(G6-F6)*Assumptions!$B$37/100</f>
        <v>-52.567840009429</v>
      </c>
      <c r="H18" s="4" t="n">
        <f aca="false">(H6-G6)*Assumptions!$B$37/100</f>
        <v>-41.0029152073546</v>
      </c>
      <c r="I18" s="4" t="n">
        <f aca="false">(I6-H6)*Assumptions!$B$37/100</f>
        <v>-42.2330026635753</v>
      </c>
      <c r="J18" s="4" t="n">
        <f aca="false">(J6-I6)*Assumptions!$B$37/100</f>
        <v>-36.249993952902</v>
      </c>
      <c r="K18" s="4" t="n">
        <f aca="false">(K6-J6)*Assumptions!$B$37/100</f>
        <v>-37.1562438017245</v>
      </c>
      <c r="L18" s="4" t="n">
        <f aca="false">(L6-K6)*Assumptions!$B$37/100</f>
        <v>-38.0851498967677</v>
      </c>
    </row>
    <row r="19" customFormat="false" ht="15" hidden="false" customHeight="false" outlineLevel="0" collapsed="false">
      <c r="A19" s="0" t="s">
        <v>121</v>
      </c>
      <c r="C19" s="0" t="n">
        <f aca="false">C15+C16+C17+C18</f>
        <v>5202.5439691955</v>
      </c>
      <c r="D19" s="0" t="n">
        <f aca="false">D15+D16+D17+D18</f>
        <v>4427.6494668585</v>
      </c>
      <c r="E19" s="0" t="n">
        <f aca="false">E15+E16+E17+E18</f>
        <v>3397.55364630245</v>
      </c>
      <c r="F19" s="0" t="n">
        <f aca="false">F15+F16+F17+F18</f>
        <v>3845.17162729164</v>
      </c>
      <c r="G19" s="0" t="n">
        <f aca="false">G15+G16+G17+G18</f>
        <v>4552.05953777649</v>
      </c>
      <c r="H19" s="0" t="n">
        <f aca="false">H15+H16+H17+H18</f>
        <v>4983.31663500265</v>
      </c>
      <c r="I19" s="0" t="n">
        <f aca="false">I15+I16+I17+I18</f>
        <v>5132.81613405272</v>
      </c>
      <c r="J19" s="0" t="n">
        <f aca="false">J15+J16+J17+J18</f>
        <v>5268.17537118131</v>
      </c>
      <c r="K19" s="0" t="n">
        <f aca="false">K15+K16+K17+K18</f>
        <v>5399.87975546084</v>
      </c>
      <c r="L19" s="0" t="n">
        <f aca="false">L15+L16+L17+L18</f>
        <v>5534.87674934736</v>
      </c>
    </row>
    <row r="20" customFormat="false" ht="15" hidden="false" customHeight="false" outlineLevel="0" collapsed="false">
      <c r="A20" s="0" t="s">
        <v>122</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123</v>
      </c>
      <c r="C21" s="0" t="n">
        <f aca="false">C19*C20</f>
        <v>4817.17034184769</v>
      </c>
      <c r="D21" s="0" t="n">
        <f aca="false">D19*D20</f>
        <v>3795.99577062629</v>
      </c>
      <c r="E21" s="0" t="n">
        <f aca="false">E19*E20</f>
        <v>2697.08762503052</v>
      </c>
      <c r="F21" s="0" t="n">
        <f aca="false">F19*F20</f>
        <v>2826.31593518527</v>
      </c>
      <c r="G21" s="0" t="n">
        <f aca="false">G19*G20</f>
        <v>3098.05523330791</v>
      </c>
      <c r="H21" s="0" t="n">
        <f aca="false">H19*H20</f>
        <v>3140.33478451998</v>
      </c>
      <c r="I21" s="0" t="n">
        <f aca="false">I19*I20</f>
        <v>2994.94891486628</v>
      </c>
      <c r="J21" s="0" t="n">
        <f aca="false">J19*J20</f>
        <v>2846.23123114891</v>
      </c>
      <c r="K21" s="0" t="n">
        <f aca="false">K19*K20</f>
        <v>2701.28427030336</v>
      </c>
      <c r="L21" s="0" t="n">
        <f aca="false">L19*L20</f>
        <v>2563.71886764902</v>
      </c>
    </row>
    <row r="23" customFormat="false" ht="15" hidden="false" customHeight="false" outlineLevel="0" collapsed="false">
      <c r="A23" s="0" t="s">
        <v>99</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125</v>
      </c>
    </row>
    <row r="27" customFormat="false" ht="15" hidden="false" customHeight="false" outlineLevel="0" collapsed="false">
      <c r="A27" s="0" t="s">
        <v>103</v>
      </c>
      <c r="B27" s="4" t="n">
        <f aca="false">Assumptions!$B$34</f>
        <v>8</v>
      </c>
    </row>
    <row r="28" customFormat="false" ht="15" hidden="false" customHeight="false" outlineLevel="0" collapsed="false">
      <c r="A28" s="0" t="s">
        <v>104</v>
      </c>
      <c r="B28" s="4" t="n">
        <f aca="false">Assumptions!$B$35</f>
        <v>2.5</v>
      </c>
    </row>
    <row r="29" customFormat="false" ht="15" hidden="false" customHeight="false" outlineLevel="0" collapsed="false">
      <c r="A29" s="0" t="s">
        <v>105</v>
      </c>
      <c r="B29" s="4" t="n">
        <f aca="false">Assumptions!$B$36</f>
        <v>13</v>
      </c>
    </row>
    <row r="30" customFormat="false" ht="15" hidden="false" customHeight="false" outlineLevel="0" collapsed="false">
      <c r="A30" s="0" t="s">
        <v>126</v>
      </c>
      <c r="B30" s="0" t="n">
        <f aca="false">SUM(C21:L21)</f>
        <v>31481.1429744852</v>
      </c>
    </row>
    <row r="31" customFormat="false" ht="15" hidden="false" customHeight="false" outlineLevel="0" collapsed="false">
      <c r="A31" s="0" t="s">
        <v>127</v>
      </c>
      <c r="B31" s="0" t="n">
        <f aca="false">L19</f>
        <v>5534.87674934736</v>
      </c>
    </row>
    <row r="32" customFormat="false" ht="15" hidden="false" customHeight="false" outlineLevel="0" collapsed="false">
      <c r="A32" s="0" t="s">
        <v>128</v>
      </c>
      <c r="B32" s="0" t="n">
        <f aca="false">IF(B27&gt;B28,B31*(1+B28/100)/((B27-B28)/100),B31*B29)</f>
        <v>103149.975783292</v>
      </c>
    </row>
    <row r="33" customFormat="false" ht="15" hidden="false" customHeight="false" outlineLevel="0" collapsed="false">
      <c r="A33" s="0" t="s">
        <v>129</v>
      </c>
      <c r="B33" s="0" t="n">
        <f aca="false">B31*B29</f>
        <v>71953.3977415157</v>
      </c>
    </row>
    <row r="34" customFormat="false" ht="15" hidden="false" customHeight="false" outlineLevel="0" collapsed="false">
      <c r="A34" s="0" t="s">
        <v>130</v>
      </c>
      <c r="B34" s="0" t="n">
        <f aca="false">MAX(0,MIN(B32,B33))</f>
        <v>71953.3977415157</v>
      </c>
    </row>
    <row r="35" customFormat="false" ht="15" hidden="false" customHeight="false" outlineLevel="0" collapsed="false">
      <c r="A35" s="0" t="s">
        <v>131</v>
      </c>
      <c r="B35" s="0" t="n">
        <f aca="false">B34/(1+B27/100)^L4</f>
        <v>33328.3452794373</v>
      </c>
    </row>
    <row r="36" customFormat="false" ht="15" hidden="false" customHeight="false" outlineLevel="0" collapsed="false">
      <c r="A36" s="0" t="s">
        <v>132</v>
      </c>
      <c r="B36" s="0" t="n">
        <f aca="false">B30+B35</f>
        <v>64809.4882539225</v>
      </c>
    </row>
    <row r="37" customFormat="false" ht="15" hidden="false" customHeight="false" outlineLevel="0" collapsed="false">
      <c r="A37" s="0" t="s">
        <v>133</v>
      </c>
      <c r="B37" s="0" t="n">
        <f aca="false">B36+Assumptions!$B$5-Assumptions!$B$4</f>
        <v>40506.7532539225</v>
      </c>
    </row>
    <row r="38" customFormat="false" ht="15" hidden="false" customHeight="false" outlineLevel="0" collapsed="false">
      <c r="A38" s="0" t="s">
        <v>134</v>
      </c>
      <c r="B38" s="0" t="n">
        <f aca="false">B37/Assumptions!$B$3*Assumptions!$B$10</f>
        <v>8.67048741846041</v>
      </c>
    </row>
    <row r="39" customFormat="false" ht="15" hidden="false" customHeight="false" outlineLevel="0" collapsed="false">
      <c r="A39" s="0" t="s">
        <v>135</v>
      </c>
      <c r="B39" s="4" t="n">
        <f aca="false">B38/Assumptions!$B$2-1</f>
        <v>-0.528008306017397</v>
      </c>
    </row>
    <row r="41" customFormat="false" ht="15" hidden="false" customHeight="false" outlineLevel="0" collapsed="false">
      <c r="A41" s="0" t="s">
        <v>136</v>
      </c>
      <c r="B41" s="0" t="n">
        <f aca="false">SUMPRODUCT(-C10:L10/(1+$B$27/100)^C4:L4)</f>
        <v>473.01888275919</v>
      </c>
    </row>
    <row r="42" customFormat="false" ht="15" hidden="false" customHeight="false" outlineLevel="0" collapsed="false">
      <c r="A42" s="0" t="s">
        <v>137</v>
      </c>
      <c r="B42" s="0" t="n">
        <f aca="false">IF(B27&gt;B28,-L10*(1+B28/100)/((B27-B28)/100),-L10*20)/(1+B27/100)^L4</f>
        <v>673.958494256293</v>
      </c>
    </row>
    <row r="43" customFormat="false" ht="15" hidden="false" customHeight="false" outlineLevel="0" collapsed="false">
      <c r="A43" s="0" t="s">
        <v>138</v>
      </c>
      <c r="B43" s="0" t="n">
        <f aca="false">(B37+B41+B42)/Assumptions!$B$3*Assumptions!$B$10</f>
        <v>8.91599840410596</v>
      </c>
    </row>
    <row r="45" customFormat="false" ht="15" hidden="false" customHeight="false" outlineLevel="0" collapsed="false">
      <c r="A45" s="0" t="s">
        <v>79</v>
      </c>
      <c r="B45" s="4" t="n">
        <f aca="false">Assumptions!$B$6</f>
        <v>15</v>
      </c>
    </row>
    <row r="46" customFormat="false" ht="15" hidden="false" customHeight="false" outlineLevel="0" collapsed="false">
      <c r="A46" s="0" t="s">
        <v>139</v>
      </c>
      <c r="B46" s="0" t="n">
        <f aca="false">MAX(0,MIN(IF(B45&gt;B28,B31*(1+B28/100)/((B45-B28)/100),B31*B29),B31*B29))</f>
        <v>45385.9893446483</v>
      </c>
    </row>
    <row r="47" customFormat="false" ht="15" hidden="false" customHeight="false" outlineLevel="0" collapsed="false">
      <c r="A47" s="0" t="s">
        <v>140</v>
      </c>
      <c r="B47" s="0" t="n">
        <f aca="false">(SUMPRODUCT(C19:L19/(1+B45/100)^C4:L4)+B46/(1+B45/100)^L4+Assumptions!$B$5-Assumptions!$B$4)/Assumptions!$B$3*Assumptions!$B$10</f>
        <v>2.18177920123763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142</v>
      </c>
    </row>
    <row r="3" customFormat="false" ht="15" hidden="false" customHeight="false" outlineLevel="0" collapsed="false">
      <c r="A3" s="0" t="s">
        <v>111</v>
      </c>
      <c r="B3" s="0" t="s">
        <v>72</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Assumptions!C41</f>
        <v>27</v>
      </c>
      <c r="D5" s="4" t="n">
        <f aca="false">Assumptions!D41</f>
        <v>3</v>
      </c>
      <c r="E5" s="4" t="n">
        <f aca="false">Assumptions!E41</f>
        <v>-5</v>
      </c>
      <c r="F5" s="4" t="n">
        <f aca="false">Assumptions!F41</f>
        <v>-3</v>
      </c>
      <c r="G5" s="4" t="n">
        <f aca="false">Assumptions!G41</f>
        <v>4</v>
      </c>
      <c r="H5" s="4" t="n">
        <f aca="false">Assumptions!H41</f>
        <v>4</v>
      </c>
      <c r="I5" s="4" t="n">
        <f aca="false">Assumptions!I41</f>
        <v>3</v>
      </c>
      <c r="J5" s="4" t="n">
        <f aca="false">Assumptions!J41</f>
        <v>3</v>
      </c>
      <c r="K5" s="4" t="n">
        <f aca="false">Assumptions!K41</f>
        <v>3</v>
      </c>
      <c r="L5" s="4" t="n">
        <f aca="false">Assumptions!L41</f>
        <v>3</v>
      </c>
    </row>
    <row r="6" customFormat="false" ht="15" hidden="false" customHeight="false" outlineLevel="0" collapsed="false">
      <c r="A6" s="0" t="s">
        <v>38</v>
      </c>
      <c r="B6" s="3" t="n">
        <v>23701.066</v>
      </c>
      <c r="C6" s="0" t="n">
        <f aca="false">B6*(1+C5/100)</f>
        <v>30100.35382</v>
      </c>
      <c r="D6" s="0" t="n">
        <f aca="false">C6*(1+D5/100)</f>
        <v>31003.3644346</v>
      </c>
      <c r="E6" s="0" t="n">
        <f aca="false">D6*(1+E5/100)</f>
        <v>29453.19621287</v>
      </c>
      <c r="F6" s="0" t="n">
        <f aca="false">E6*(1+F5/100)</f>
        <v>28569.6003264839</v>
      </c>
      <c r="G6" s="0" t="n">
        <f aca="false">F6*(1+G5/100)</f>
        <v>29712.3843395433</v>
      </c>
      <c r="H6" s="0" t="n">
        <f aca="false">G6*(1+H5/100)</f>
        <v>30900.879713125</v>
      </c>
      <c r="I6" s="0" t="n">
        <f aca="false">H6*(1+I5/100)</f>
        <v>31827.9061045187</v>
      </c>
      <c r="J6" s="0" t="n">
        <f aca="false">I6*(1+J5/100)</f>
        <v>32782.7432876543</v>
      </c>
      <c r="K6" s="0" t="n">
        <f aca="false">J6*(1+K5/100)</f>
        <v>33766.2255862839</v>
      </c>
      <c r="L6" s="0" t="n">
        <f aca="false">K6*(1+L5/100)</f>
        <v>34779.2123538725</v>
      </c>
    </row>
    <row r="7" customFormat="false" ht="15" hidden="false" customHeight="false" outlineLevel="0" collapsed="false">
      <c r="A7" s="0" t="s">
        <v>97</v>
      </c>
      <c r="C7" s="4" t="n">
        <f aca="false">Assumptions!C42</f>
        <v>56</v>
      </c>
      <c r="D7" s="4" t="n">
        <f aca="false">Assumptions!D42</f>
        <v>54</v>
      </c>
      <c r="E7" s="4" t="n">
        <f aca="false">Assumptions!E42</f>
        <v>50</v>
      </c>
      <c r="F7" s="4" t="n">
        <f aca="false">Assumptions!F42</f>
        <v>46</v>
      </c>
      <c r="G7" s="4" t="n">
        <f aca="false">Assumptions!G42</f>
        <v>44</v>
      </c>
      <c r="H7" s="4" t="n">
        <f aca="false">Assumptions!H42</f>
        <v>44</v>
      </c>
      <c r="I7" s="4" t="n">
        <f aca="false">Assumptions!I42</f>
        <v>44</v>
      </c>
      <c r="J7" s="4" t="n">
        <f aca="false">Assumptions!J42</f>
        <v>44</v>
      </c>
      <c r="K7" s="4" t="n">
        <f aca="false">Assumptions!K42</f>
        <v>44</v>
      </c>
      <c r="L7" s="4" t="n">
        <f aca="false">Assumptions!L42</f>
        <v>44</v>
      </c>
    </row>
    <row r="8" customFormat="false" ht="15" hidden="false" customHeight="false" outlineLevel="0" collapsed="false">
      <c r="A8" s="0" t="s">
        <v>44</v>
      </c>
      <c r="C8" s="0" t="n">
        <f aca="false">C6*C7/100</f>
        <v>16856.1981392</v>
      </c>
      <c r="D8" s="0" t="n">
        <f aca="false">D6*D7/100</f>
        <v>16741.816794684</v>
      </c>
      <c r="E8" s="0" t="n">
        <f aca="false">E6*E7/100</f>
        <v>14726.598106435</v>
      </c>
      <c r="F8" s="0" t="n">
        <f aca="false">F6*F7/100</f>
        <v>13142.0161501826</v>
      </c>
      <c r="G8" s="0" t="n">
        <f aca="false">G6*G7/100</f>
        <v>13073.449109399</v>
      </c>
      <c r="H8" s="0" t="n">
        <f aca="false">H6*H7/100</f>
        <v>13596.387073775</v>
      </c>
      <c r="I8" s="0" t="n">
        <f aca="false">I6*I7/100</f>
        <v>14004.2786859882</v>
      </c>
      <c r="J8" s="0" t="n">
        <f aca="false">J6*J7/100</f>
        <v>14424.4070465679</v>
      </c>
      <c r="K8" s="0" t="n">
        <f aca="false">K6*K7/100</f>
        <v>14857.1392579649</v>
      </c>
      <c r="L8" s="0" t="n">
        <f aca="false">L6*L7/100</f>
        <v>15302.8534357039</v>
      </c>
    </row>
    <row r="9" customFormat="false" ht="15" hidden="false" customHeight="false" outlineLevel="0" collapsed="false">
      <c r="A9" s="0" t="s">
        <v>98</v>
      </c>
      <c r="C9" s="4" t="n">
        <f aca="false">Assumptions!C43</f>
        <v>0.25</v>
      </c>
      <c r="D9" s="4" t="n">
        <f aca="false">Assumptions!D43</f>
        <v>0.25</v>
      </c>
      <c r="E9" s="4" t="n">
        <f aca="false">Assumptions!E43</f>
        <v>0.25</v>
      </c>
      <c r="F9" s="4" t="n">
        <f aca="false">Assumptions!F43</f>
        <v>0.25</v>
      </c>
      <c r="G9" s="4" t="n">
        <f aca="false">Assumptions!G43</f>
        <v>0.25</v>
      </c>
      <c r="H9" s="4" t="n">
        <f aca="false">Assumptions!H43</f>
        <v>0.25</v>
      </c>
      <c r="I9" s="4" t="n">
        <f aca="false">Assumptions!I43</f>
        <v>0.25</v>
      </c>
      <c r="J9" s="4" t="n">
        <f aca="false">Assumptions!J43</f>
        <v>0.25</v>
      </c>
      <c r="K9" s="4" t="n">
        <f aca="false">Assumptions!K43</f>
        <v>0.25</v>
      </c>
      <c r="L9" s="4" t="n">
        <f aca="false">Assumptions!L43</f>
        <v>0.25</v>
      </c>
    </row>
    <row r="10" customFormat="false" ht="15" hidden="false" customHeight="false" outlineLevel="0" collapsed="false">
      <c r="A10" s="0" t="s">
        <v>113</v>
      </c>
      <c r="C10" s="0" t="n">
        <f aca="false">-C6*C9/100</f>
        <v>-75.25088455</v>
      </c>
      <c r="D10" s="0" t="n">
        <f aca="false">-D6*D9/100</f>
        <v>-77.5084110865</v>
      </c>
      <c r="E10" s="0" t="n">
        <f aca="false">-E6*E9/100</f>
        <v>-73.632990532175</v>
      </c>
      <c r="F10" s="0" t="n">
        <f aca="false">-F6*F9/100</f>
        <v>-71.4240008162097</v>
      </c>
      <c r="G10" s="0" t="n">
        <f aca="false">-G6*G9/100</f>
        <v>-74.2809608488581</v>
      </c>
      <c r="H10" s="0" t="n">
        <f aca="false">-H6*H9/100</f>
        <v>-77.2521992828125</v>
      </c>
      <c r="I10" s="0" t="n">
        <f aca="false">-I6*I9/100</f>
        <v>-79.5697652612968</v>
      </c>
      <c r="J10" s="0" t="n">
        <f aca="false">-J6*J9/100</f>
        <v>-81.9568582191358</v>
      </c>
      <c r="K10" s="0" t="n">
        <f aca="false">-K6*K9/100</f>
        <v>-84.4155639657098</v>
      </c>
      <c r="L10" s="0" t="n">
        <f aca="false">-L6*L9/100</f>
        <v>-86.9480308846811</v>
      </c>
    </row>
    <row r="11" customFormat="false" ht="15" hidden="false" customHeight="false" outlineLevel="0" collapsed="false">
      <c r="A11" s="0" t="s">
        <v>114</v>
      </c>
      <c r="C11" s="0" t="n">
        <f aca="false">C8+C10+C24</f>
        <v>16780.94725465</v>
      </c>
      <c r="D11" s="0" t="n">
        <f aca="false">D8+D10+D24</f>
        <v>16664.3083835975</v>
      </c>
      <c r="E11" s="0" t="n">
        <f aca="false">E8+E10+E24</f>
        <v>14652.9651159028</v>
      </c>
      <c r="F11" s="0" t="n">
        <f aca="false">F8+F10+F24</f>
        <v>13070.5921493664</v>
      </c>
      <c r="G11" s="0" t="n">
        <f aca="false">G8+G10+G24</f>
        <v>12999.1681485502</v>
      </c>
      <c r="H11" s="0" t="n">
        <f aca="false">H8+H10+H24</f>
        <v>13519.1348744922</v>
      </c>
      <c r="I11" s="0" t="n">
        <f aca="false">I8+I10+I24</f>
        <v>13924.7089207269</v>
      </c>
      <c r="J11" s="0" t="n">
        <f aca="false">J8+J10+J24</f>
        <v>14342.4501883488</v>
      </c>
      <c r="K11" s="0" t="n">
        <f aca="false">K8+K10+K24</f>
        <v>14772.7236939992</v>
      </c>
      <c r="L11" s="0" t="n">
        <f aca="false">L8+L10+L24</f>
        <v>15215.9054048192</v>
      </c>
    </row>
    <row r="12" customFormat="false" ht="15" hidden="false" customHeight="false" outlineLevel="0" collapsed="false">
      <c r="A12" s="0" t="s">
        <v>115</v>
      </c>
      <c r="C12" s="4" t="n">
        <f aca="false">-C6*Assumptions!C45/100</f>
        <v>-4364.5513039</v>
      </c>
      <c r="D12" s="4" t="n">
        <f aca="false">-D6*Assumptions!D45/100</f>
        <v>-5115.555131709</v>
      </c>
      <c r="E12" s="4" t="n">
        <f aca="false">-E6*Assumptions!E45/100</f>
        <v>-5448.84129938095</v>
      </c>
      <c r="F12" s="4" t="n">
        <f aca="false">-F6*Assumptions!F45/100</f>
        <v>-5571.07206366436</v>
      </c>
      <c r="G12" s="4" t="n">
        <f aca="false">-G6*Assumptions!G45/100</f>
        <v>-5942.47686790865</v>
      </c>
      <c r="H12" s="4" t="n">
        <f aca="false">-H6*Assumptions!H45/100</f>
        <v>-6180.175942625</v>
      </c>
      <c r="I12" s="4" t="n">
        <f aca="false">-I6*Assumptions!I45/100</f>
        <v>-6365.58122090375</v>
      </c>
      <c r="J12" s="4" t="n">
        <f aca="false">-J6*Assumptions!J45/100</f>
        <v>-6556.54865753086</v>
      </c>
      <c r="K12" s="4" t="n">
        <f aca="false">-K6*Assumptions!K45/100</f>
        <v>-6753.24511725679</v>
      </c>
      <c r="L12" s="4" t="n">
        <f aca="false">-L6*Assumptions!L45/100</f>
        <v>-6955.84247077449</v>
      </c>
    </row>
    <row r="13" customFormat="false" ht="15" hidden="false" customHeight="false" outlineLevel="0" collapsed="false">
      <c r="A13" s="0" t="s">
        <v>116</v>
      </c>
      <c r="C13" s="0" t="n">
        <f aca="false">C11+C12</f>
        <v>12416.39595075</v>
      </c>
      <c r="D13" s="0" t="n">
        <f aca="false">D11+D12</f>
        <v>11548.7532518885</v>
      </c>
      <c r="E13" s="0" t="n">
        <f aca="false">E11+E12</f>
        <v>9204.12381652188</v>
      </c>
      <c r="F13" s="0" t="n">
        <f aca="false">F11+F12</f>
        <v>7499.52008570202</v>
      </c>
      <c r="G13" s="0" t="n">
        <f aca="false">G11+G12</f>
        <v>7056.69128064152</v>
      </c>
      <c r="H13" s="0" t="n">
        <f aca="false">H11+H12</f>
        <v>7338.95893186718</v>
      </c>
      <c r="I13" s="0" t="n">
        <f aca="false">I11+I12</f>
        <v>7559.1276998232</v>
      </c>
      <c r="J13" s="0" t="n">
        <f aca="false">J11+J12</f>
        <v>7785.9015308179</v>
      </c>
      <c r="K13" s="0" t="n">
        <f aca="false">K11+K12</f>
        <v>8019.47857674244</v>
      </c>
      <c r="L13" s="0" t="n">
        <f aca="false">L11+L12</f>
        <v>8260.06293404471</v>
      </c>
    </row>
    <row r="14" customFormat="false" ht="15" hidden="false" customHeight="false" outlineLevel="0" collapsed="false">
      <c r="A14" s="0" t="s">
        <v>102</v>
      </c>
      <c r="C14" s="4" t="n">
        <f aca="false">Assumptions!C47</f>
        <v>14</v>
      </c>
      <c r="D14" s="4" t="n">
        <f aca="false">Assumptions!D47</f>
        <v>14</v>
      </c>
      <c r="E14" s="4" t="n">
        <f aca="false">Assumptions!E47</f>
        <v>14</v>
      </c>
      <c r="F14" s="4" t="n">
        <f aca="false">Assumptions!F47</f>
        <v>14</v>
      </c>
      <c r="G14" s="4" t="n">
        <f aca="false">Assumptions!G47</f>
        <v>14</v>
      </c>
      <c r="H14" s="4" t="n">
        <f aca="false">Assumptions!H47</f>
        <v>14</v>
      </c>
      <c r="I14" s="4" t="n">
        <f aca="false">Assumptions!I47</f>
        <v>14</v>
      </c>
      <c r="J14" s="4" t="n">
        <f aca="false">Assumptions!J47</f>
        <v>14</v>
      </c>
      <c r="K14" s="4" t="n">
        <f aca="false">Assumptions!K47</f>
        <v>14</v>
      </c>
      <c r="L14" s="4" t="n">
        <f aca="false">Assumptions!L47</f>
        <v>14</v>
      </c>
    </row>
    <row r="15" customFormat="false" ht="15" hidden="false" customHeight="false" outlineLevel="0" collapsed="false">
      <c r="A15" s="0" t="s">
        <v>117</v>
      </c>
      <c r="C15" s="0" t="n">
        <f aca="false">C13-MAX(0,C13)*C14/100</f>
        <v>10678.100517645</v>
      </c>
      <c r="D15" s="0" t="n">
        <f aca="false">D13-MAX(0,D13)*D14/100</f>
        <v>9931.92779662411</v>
      </c>
      <c r="E15" s="0" t="n">
        <f aca="false">E13-MAX(0,E13)*E14/100</f>
        <v>7915.54648220881</v>
      </c>
      <c r="F15" s="0" t="n">
        <f aca="false">F13-MAX(0,F13)*F14/100</f>
        <v>6449.58727370374</v>
      </c>
      <c r="G15" s="0" t="n">
        <f aca="false">G13-MAX(0,G13)*G14/100</f>
        <v>6068.75450135171</v>
      </c>
      <c r="H15" s="0" t="n">
        <f aca="false">H13-MAX(0,H13)*H14/100</f>
        <v>6311.50468140578</v>
      </c>
      <c r="I15" s="0" t="n">
        <f aca="false">I13-MAX(0,I13)*I14/100</f>
        <v>6500.84982184795</v>
      </c>
      <c r="J15" s="0" t="n">
        <f aca="false">J13-MAX(0,J13)*J14/100</f>
        <v>6695.87531650339</v>
      </c>
      <c r="K15" s="0" t="n">
        <f aca="false">K13-MAX(0,K13)*K14/100</f>
        <v>6896.75157599849</v>
      </c>
      <c r="L15" s="0" t="n">
        <f aca="false">L13-MAX(0,L13)*L14/100</f>
        <v>7103.65412327845</v>
      </c>
    </row>
    <row r="16" customFormat="false" ht="15" hidden="false" customHeight="false" outlineLevel="0" collapsed="false">
      <c r="A16" s="0" t="s">
        <v>118</v>
      </c>
      <c r="C16" s="0" t="n">
        <f aca="false">-C12</f>
        <v>4364.5513039</v>
      </c>
      <c r="D16" s="0" t="n">
        <f aca="false">-D12</f>
        <v>5115.555131709</v>
      </c>
      <c r="E16" s="0" t="n">
        <f aca="false">-E12</f>
        <v>5448.84129938095</v>
      </c>
      <c r="F16" s="0" t="n">
        <f aca="false">-F12</f>
        <v>5571.07206366436</v>
      </c>
      <c r="G16" s="0" t="n">
        <f aca="false">-G12</f>
        <v>5942.47686790865</v>
      </c>
      <c r="H16" s="0" t="n">
        <f aca="false">-H12</f>
        <v>6180.175942625</v>
      </c>
      <c r="I16" s="0" t="n">
        <f aca="false">-I12</f>
        <v>6365.58122090375</v>
      </c>
      <c r="J16" s="0" t="n">
        <f aca="false">-J12</f>
        <v>6556.54865753086</v>
      </c>
      <c r="K16" s="0" t="n">
        <f aca="false">-K12</f>
        <v>6753.24511725679</v>
      </c>
      <c r="L16" s="0" t="n">
        <f aca="false">-L12</f>
        <v>6955.84247077449</v>
      </c>
    </row>
    <row r="17" customFormat="false" ht="15" hidden="false" customHeight="false" outlineLevel="0" collapsed="false">
      <c r="A17" s="0" t="s">
        <v>119</v>
      </c>
      <c r="C17" s="4" t="n">
        <f aca="false">-C6*Assumptions!C46/100</f>
        <v>-9030.106146</v>
      </c>
      <c r="D17" s="4" t="n">
        <f aca="false">-D6*Assumptions!D46/100</f>
        <v>-8370.908397342</v>
      </c>
      <c r="E17" s="4" t="n">
        <f aca="false">-E6*Assumptions!E46/100</f>
        <v>-7363.2990532175</v>
      </c>
      <c r="F17" s="4" t="n">
        <f aca="false">-F6*Assumptions!F46/100</f>
        <v>-6571.0080750913</v>
      </c>
      <c r="G17" s="4" t="n">
        <f aca="false">-G6*Assumptions!G46/100</f>
        <v>-6239.60071130408</v>
      </c>
      <c r="H17" s="4" t="n">
        <f aca="false">-H6*Assumptions!H46/100</f>
        <v>-6180.175942625</v>
      </c>
      <c r="I17" s="4" t="n">
        <f aca="false">-I6*Assumptions!I46/100</f>
        <v>-6365.58122090375</v>
      </c>
      <c r="J17" s="4" t="n">
        <f aca="false">-J6*Assumptions!J46/100</f>
        <v>-6556.54865753086</v>
      </c>
      <c r="K17" s="4" t="n">
        <f aca="false">-K6*Assumptions!K46/100</f>
        <v>-6753.24511725679</v>
      </c>
      <c r="L17" s="4" t="n">
        <f aca="false">-L6*Assumptions!L46/100</f>
        <v>-6955.84247077449</v>
      </c>
    </row>
    <row r="18" customFormat="false" ht="15" hidden="false" customHeight="false" outlineLevel="0" collapsed="false">
      <c r="A18" s="0" t="s">
        <v>120</v>
      </c>
      <c r="C18" s="4" t="n">
        <f aca="false">(C6-B6)*Assumptions!$B$51/100</f>
        <v>-319.964391</v>
      </c>
      <c r="D18" s="4" t="n">
        <f aca="false">(D6-C6)*Assumptions!$B$51/100</f>
        <v>-45.15053073</v>
      </c>
      <c r="E18" s="4" t="n">
        <f aca="false">(E6-D6)*Assumptions!$B$51/100</f>
        <v>77.5084110865</v>
      </c>
      <c r="F18" s="4" t="n">
        <f aca="false">(F6-E6)*Assumptions!$B$51/100</f>
        <v>44.1797943193051</v>
      </c>
      <c r="G18" s="4" t="n">
        <f aca="false">(G6-F6)*Assumptions!$B$51/100</f>
        <v>-57.1392006529679</v>
      </c>
      <c r="H18" s="4" t="n">
        <f aca="false">(H6-G6)*Assumptions!$B$51/100</f>
        <v>-59.4247686790866</v>
      </c>
      <c r="I18" s="4" t="n">
        <f aca="false">(I6-H6)*Assumptions!$B$51/100</f>
        <v>-46.3513195696874</v>
      </c>
      <c r="J18" s="4" t="n">
        <f aca="false">(J6-I6)*Assumptions!$B$51/100</f>
        <v>-47.7418591567783</v>
      </c>
      <c r="K18" s="4" t="n">
        <f aca="false">(K6-J6)*Assumptions!$B$51/100</f>
        <v>-49.1741149314814</v>
      </c>
      <c r="L18" s="4" t="n">
        <f aca="false">(L6-K6)*Assumptions!$B$51/100</f>
        <v>-50.6493383794259</v>
      </c>
    </row>
    <row r="19" customFormat="false" ht="15" hidden="false" customHeight="false" outlineLevel="0" collapsed="false">
      <c r="A19" s="0" t="s">
        <v>121</v>
      </c>
      <c r="C19" s="0" t="n">
        <f aca="false">C15+C16+C17+C18</f>
        <v>5692.581284545</v>
      </c>
      <c r="D19" s="0" t="n">
        <f aca="false">D15+D16+D17+D18</f>
        <v>6631.42400026111</v>
      </c>
      <c r="E19" s="0" t="n">
        <f aca="false">E15+E16+E17+E18</f>
        <v>6078.59713945876</v>
      </c>
      <c r="F19" s="0" t="n">
        <f aca="false">F15+F16+F17+F18</f>
        <v>5493.83105659611</v>
      </c>
      <c r="G19" s="0" t="n">
        <f aca="false">G15+G16+G17+G18</f>
        <v>5714.49145730331</v>
      </c>
      <c r="H19" s="0" t="n">
        <f aca="false">H15+H16+H17+H18</f>
        <v>6252.07991272669</v>
      </c>
      <c r="I19" s="0" t="n">
        <f aca="false">I15+I16+I17+I18</f>
        <v>6454.49850227827</v>
      </c>
      <c r="J19" s="0" t="n">
        <f aca="false">J15+J16+J17+J18</f>
        <v>6648.13345734661</v>
      </c>
      <c r="K19" s="0" t="n">
        <f aca="false">K15+K16+K17+K18</f>
        <v>6847.57746106701</v>
      </c>
      <c r="L19" s="0" t="n">
        <f aca="false">L15+L16+L17+L18</f>
        <v>7053.00478489902</v>
      </c>
    </row>
    <row r="20" customFormat="false" ht="15" hidden="false" customHeight="false" outlineLevel="0" collapsed="false">
      <c r="A20" s="0" t="s">
        <v>122</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123</v>
      </c>
      <c r="C21" s="0" t="n">
        <f aca="false">C19*C20</f>
        <v>5270.90859680093</v>
      </c>
      <c r="D21" s="0" t="n">
        <f aca="false">D19*D20</f>
        <v>5685.37722930479</v>
      </c>
      <c r="E21" s="0" t="n">
        <f aca="false">E19*E20</f>
        <v>4825.38638947534</v>
      </c>
      <c r="F21" s="0" t="n">
        <f aca="false">F19*F20</f>
        <v>4038.12983281842</v>
      </c>
      <c r="G21" s="0" t="n">
        <f aca="false">G19*G20</f>
        <v>3889.18686543356</v>
      </c>
      <c r="H21" s="0" t="n">
        <f aca="false">H19*H20</f>
        <v>3939.87086584633</v>
      </c>
      <c r="I21" s="0" t="n">
        <f aca="false">I19*I20</f>
        <v>3766.1378823132</v>
      </c>
      <c r="J21" s="0" t="n">
        <f aca="false">J19*J20</f>
        <v>3591.77964702092</v>
      </c>
      <c r="K21" s="0" t="n">
        <f aca="false">K19*K20</f>
        <v>3425.49355225143</v>
      </c>
      <c r="L21" s="0" t="n">
        <f aca="false">L19*L20</f>
        <v>3266.90588779535</v>
      </c>
    </row>
    <row r="23" customFormat="false" ht="15" hidden="false" customHeight="false" outlineLevel="0" collapsed="false">
      <c r="A23" s="0" t="s">
        <v>99</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125</v>
      </c>
    </row>
    <row r="27" customFormat="false" ht="15" hidden="false" customHeight="false" outlineLevel="0" collapsed="false">
      <c r="A27" s="0" t="s">
        <v>103</v>
      </c>
      <c r="B27" s="4" t="n">
        <f aca="false">Assumptions!$B$48</f>
        <v>8</v>
      </c>
    </row>
    <row r="28" customFormat="false" ht="15" hidden="false" customHeight="false" outlineLevel="0" collapsed="false">
      <c r="A28" s="0" t="s">
        <v>104</v>
      </c>
      <c r="B28" s="4" t="n">
        <f aca="false">Assumptions!$B$49</f>
        <v>2.5</v>
      </c>
    </row>
    <row r="29" customFormat="false" ht="15" hidden="false" customHeight="false" outlineLevel="0" collapsed="false">
      <c r="A29" s="0" t="s">
        <v>105</v>
      </c>
      <c r="B29" s="4" t="n">
        <f aca="false">Assumptions!$B$50</f>
        <v>13</v>
      </c>
    </row>
    <row r="30" customFormat="false" ht="15" hidden="false" customHeight="false" outlineLevel="0" collapsed="false">
      <c r="A30" s="0" t="s">
        <v>126</v>
      </c>
      <c r="B30" s="0" t="n">
        <f aca="false">SUM(C21:L21)</f>
        <v>41699.1767490603</v>
      </c>
    </row>
    <row r="31" customFormat="false" ht="15" hidden="false" customHeight="false" outlineLevel="0" collapsed="false">
      <c r="A31" s="0" t="s">
        <v>127</v>
      </c>
      <c r="B31" s="0" t="n">
        <f aca="false">L19</f>
        <v>7053.00478489902</v>
      </c>
    </row>
    <row r="32" customFormat="false" ht="15" hidden="false" customHeight="false" outlineLevel="0" collapsed="false">
      <c r="A32" s="0" t="s">
        <v>128</v>
      </c>
      <c r="B32" s="0" t="n">
        <f aca="false">IF(B27&gt;B28,B31*(1+B28/100)/((B27-B28)/100),B31*B29)</f>
        <v>131442.361900391</v>
      </c>
    </row>
    <row r="33" customFormat="false" ht="15" hidden="false" customHeight="false" outlineLevel="0" collapsed="false">
      <c r="A33" s="0" t="s">
        <v>129</v>
      </c>
      <c r="B33" s="0" t="n">
        <f aca="false">B31*B29</f>
        <v>91689.0622036873</v>
      </c>
    </row>
    <row r="34" customFormat="false" ht="15" hidden="false" customHeight="false" outlineLevel="0" collapsed="false">
      <c r="A34" s="0" t="s">
        <v>130</v>
      </c>
      <c r="B34" s="0" t="n">
        <f aca="false">MAX(0,MIN(B32,B33))</f>
        <v>91689.0622036873</v>
      </c>
    </row>
    <row r="35" customFormat="false" ht="15" hidden="false" customHeight="false" outlineLevel="0" collapsed="false">
      <c r="A35" s="0" t="s">
        <v>131</v>
      </c>
      <c r="B35" s="0" t="n">
        <f aca="false">B34/(1+B27/100)^L4</f>
        <v>42469.7765413395</v>
      </c>
    </row>
    <row r="36" customFormat="false" ht="15" hidden="false" customHeight="false" outlineLevel="0" collapsed="false">
      <c r="A36" s="0" t="s">
        <v>132</v>
      </c>
      <c r="B36" s="0" t="n">
        <f aca="false">B30+B35</f>
        <v>84168.9532903998</v>
      </c>
    </row>
    <row r="37" customFormat="false" ht="15" hidden="false" customHeight="false" outlineLevel="0" collapsed="false">
      <c r="A37" s="0" t="s">
        <v>133</v>
      </c>
      <c r="B37" s="0" t="n">
        <f aca="false">B36+Assumptions!$B$5-Assumptions!$B$4</f>
        <v>59866.2182903997</v>
      </c>
    </row>
    <row r="38" customFormat="false" ht="15" hidden="false" customHeight="false" outlineLevel="0" collapsed="false">
      <c r="A38" s="0" t="s">
        <v>134</v>
      </c>
      <c r="B38" s="0" t="n">
        <f aca="false">B37/Assumptions!$B$3*Assumptions!$B$10</f>
        <v>12.8143889791377</v>
      </c>
    </row>
    <row r="39" customFormat="false" ht="15" hidden="false" customHeight="false" outlineLevel="0" collapsed="false">
      <c r="A39" s="0" t="s">
        <v>135</v>
      </c>
      <c r="B39" s="4" t="n">
        <f aca="false">B38/Assumptions!$B$2-1</f>
        <v>-0.302428471467735</v>
      </c>
    </row>
    <row r="41" customFormat="false" ht="15" hidden="false" customHeight="false" outlineLevel="0" collapsed="false">
      <c r="A41" s="0" t="s">
        <v>136</v>
      </c>
      <c r="B41" s="0" t="n">
        <f aca="false">SUMPRODUCT(-C10:L10/(1+$B$27/100)^C4:L4)</f>
        <v>519.524587324324</v>
      </c>
    </row>
    <row r="42" customFormat="false" ht="15" hidden="false" customHeight="false" outlineLevel="0" collapsed="false">
      <c r="A42" s="0" t="s">
        <v>137</v>
      </c>
      <c r="B42" s="0" t="n">
        <f aca="false">IF(B27&gt;B28,-L10*(1+B28/100)/((B27-B28)/100),-L10*20)/(1+B27/100)^L4</f>
        <v>750.556468186537</v>
      </c>
    </row>
    <row r="43" customFormat="false" ht="15" hidden="false" customHeight="false" outlineLevel="0" collapsed="false">
      <c r="A43" s="0" t="s">
        <v>138</v>
      </c>
      <c r="B43" s="0" t="n">
        <f aca="false">(B37+B41+B42)/Assumptions!$B$3*Assumptions!$B$10</f>
        <v>13.0862503584786</v>
      </c>
    </row>
    <row r="45" customFormat="false" ht="15" hidden="false" customHeight="false" outlineLevel="0" collapsed="false">
      <c r="A45" s="0" t="s">
        <v>79</v>
      </c>
      <c r="B45" s="4" t="n">
        <f aca="false">Assumptions!$B$6</f>
        <v>15</v>
      </c>
    </row>
    <row r="46" customFormat="false" ht="15" hidden="false" customHeight="false" outlineLevel="0" collapsed="false">
      <c r="A46" s="0" t="s">
        <v>139</v>
      </c>
      <c r="B46" s="0" t="n">
        <f aca="false">MAX(0,MIN(IF(B45&gt;B28,B31*(1+B28/100)/((B45-B28)/100),B31*B29),B31*B29))</f>
        <v>57834.639236172</v>
      </c>
    </row>
    <row r="47" customFormat="false" ht="15" hidden="false" customHeight="false" outlineLevel="0" collapsed="false">
      <c r="A47" s="0" t="s">
        <v>140</v>
      </c>
      <c r="B47" s="0" t="n">
        <f aca="false">(SUMPRODUCT(C19:L19/(1+B45/100)^C4:L4)+B46/(1+B45/100)^L4+Assumptions!$B$5-Assumptions!$B$4)/Assumptions!$B$3*Assumptions!$B$10</f>
        <v>4.47988464276261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143</v>
      </c>
    </row>
    <row r="3" customFormat="false" ht="15" hidden="false" customHeight="false" outlineLevel="0" collapsed="false">
      <c r="A3" s="2" t="s">
        <v>144</v>
      </c>
      <c r="B3" s="2" t="s">
        <v>145</v>
      </c>
      <c r="C3" s="2" t="s">
        <v>135</v>
      </c>
      <c r="D3" s="2" t="s">
        <v>146</v>
      </c>
      <c r="E3" s="2" t="s">
        <v>138</v>
      </c>
      <c r="F3" s="2" t="s">
        <v>147</v>
      </c>
    </row>
    <row r="4" customFormat="false" ht="15" hidden="false" customHeight="false" outlineLevel="0" collapsed="false">
      <c r="A4" s="0" t="s">
        <v>148</v>
      </c>
      <c r="B4" s="4" t="n">
        <f aca="false">DCF_Bear!$B$38</f>
        <v>3.89438067862864</v>
      </c>
      <c r="C4" s="0" t="n">
        <f aca="false">B4/Assumptions!$B$2-1</f>
        <v>-0.78800322925266</v>
      </c>
      <c r="D4" s="4" t="n">
        <f aca="false">Assumptions!$B$24</f>
        <v>0.25</v>
      </c>
      <c r="E4" s="4" t="n">
        <f aca="false">DCF_Bear!$B$43</f>
        <v>4.08275627069202</v>
      </c>
      <c r="F4" s="4" t="n">
        <f aca="false">DCF_Bear!$B$47</f>
        <v>-0.456156469672431</v>
      </c>
    </row>
    <row r="5" customFormat="false" ht="15" hidden="false" customHeight="false" outlineLevel="0" collapsed="false">
      <c r="A5" s="0" t="s">
        <v>149</v>
      </c>
      <c r="B5" s="4" t="n">
        <f aca="false">DCF_Base!$B$38</f>
        <v>8.67048741846041</v>
      </c>
      <c r="C5" s="0" t="n">
        <f aca="false">B5/Assumptions!$B$2-1</f>
        <v>-0.528008306017397</v>
      </c>
      <c r="D5" s="4" t="n">
        <f aca="false">Assumptions!$B$38</f>
        <v>0.5</v>
      </c>
      <c r="E5" s="4" t="n">
        <f aca="false">DCF_Base!$B$43</f>
        <v>8.91599840410596</v>
      </c>
      <c r="F5" s="4" t="n">
        <f aca="false">DCF_Base!$B$47</f>
        <v>2.18177920123763</v>
      </c>
    </row>
    <row r="6" customFormat="false" ht="15" hidden="false" customHeight="false" outlineLevel="0" collapsed="false">
      <c r="A6" s="0" t="s">
        <v>150</v>
      </c>
      <c r="B6" s="4" t="n">
        <f aca="false">DCF_Bull!$B$38</f>
        <v>12.8143889791377</v>
      </c>
      <c r="C6" s="0" t="n">
        <f aca="false">B6/Assumptions!$B$2-1</f>
        <v>-0.302428471467735</v>
      </c>
      <c r="D6" s="4" t="n">
        <f aca="false">Assumptions!$B$52</f>
        <v>0.25</v>
      </c>
      <c r="E6" s="4" t="n">
        <f aca="false">DCF_Bull!$B$43</f>
        <v>13.0862503584786</v>
      </c>
      <c r="F6" s="4" t="n">
        <f aca="false">DCF_Bull!$B$47</f>
        <v>4.47988464276261</v>
      </c>
    </row>
    <row r="8" customFormat="false" ht="15" hidden="false" customHeight="false" outlineLevel="0" collapsed="false">
      <c r="A8" s="0" t="s">
        <v>151</v>
      </c>
      <c r="B8" s="0" t="n">
        <f aca="false">SUMPRODUCT(B4:B6,D4:D6)</f>
        <v>8.51243612367179</v>
      </c>
    </row>
    <row r="9" customFormat="false" ht="15" hidden="false" customHeight="false" outlineLevel="0" collapsed="false">
      <c r="A9" s="0" t="s">
        <v>152</v>
      </c>
      <c r="B9" s="0" t="n">
        <f aca="false">SUMPRODUCT(E4:E6,D4:D6)</f>
        <v>8.75025085934563</v>
      </c>
    </row>
    <row r="10" customFormat="false" ht="15" hidden="false" customHeight="false" outlineLevel="0" collapsed="false">
      <c r="A10" s="0" t="s">
        <v>153</v>
      </c>
      <c r="B10" s="0" t="n">
        <f aca="false">1-Assumptions!$B$2/B8</f>
        <v>-1.15801913026</v>
      </c>
    </row>
    <row r="11" customFormat="false" ht="15" hidden="false" customHeight="false" outlineLevel="0" collapsed="false">
      <c r="A11" s="0" t="s">
        <v>154</v>
      </c>
      <c r="B11" s="0" t="n">
        <f aca="false">IF(ABS(B9-B8)&gt;0.01*ABS(B8),(Assumptions!$B$2-B8)/(B9-B8)*100,"n/a")</f>
        <v>4145.06016559369</v>
      </c>
    </row>
    <row r="12" customFormat="false" ht="15" hidden="false" customHeight="false" outlineLevel="0" collapsed="false">
      <c r="A12" s="0" t="s">
        <v>155</v>
      </c>
      <c r="B12" s="0" t="n">
        <f aca="false">SUMPRODUCT(F4:F6,D4:D6)</f>
        <v>2.09682164389136</v>
      </c>
    </row>
    <row r="14" customFormat="false" ht="15" hidden="false" customHeight="false" outlineLevel="0" collapsed="false">
      <c r="A14" s="2" t="s">
        <v>156</v>
      </c>
      <c r="C14" s="0" t="s">
        <v>157</v>
      </c>
    </row>
    <row r="15" customFormat="false" ht="15" hidden="false" customHeight="false" outlineLevel="0" collapsed="false">
      <c r="A15" s="0" t="s">
        <v>158</v>
      </c>
      <c r="B15" s="0" t="n">
        <f aca="false">(SUMPRODUCT(DCF_Base!$C$19:$L$19/(1+$C$15/100)^DCF_Base!$C$4:$L$4)+MAX(0,MIN(IF($C$15&gt;DCF_Base!$B$28,DCF_Base!$L$19*(1+DCF_Base!$B$28/100)/(($C$15-DCF_Base!$B$28)/100),DCF_Base!$L$19*DCF_Base!$B$29),DCF_Base!$L$19*DCF_Base!$B$29))/(1+$C$15/100)^DCF_Base!$L$4+Assumptions!$B$5-Assumptions!$B$4)/Assumptions!$B$3*Assumptions!$B$10</f>
        <v>8.67048741846041</v>
      </c>
      <c r="C15" s="3" t="n">
        <v>8</v>
      </c>
    </row>
    <row r="16" customFormat="false" ht="15" hidden="false" customHeight="false" outlineLevel="0" collapsed="false">
      <c r="A16" s="0" t="s">
        <v>159</v>
      </c>
      <c r="B16" s="0" t="n">
        <f aca="false">(SUMPRODUCT(DCF_Base!$C$19:$L$19/(1+$C$16/100)^DCF_Base!$C$4:$L$4)+MAX(0,MIN(IF($C$16&gt;DCF_Base!$B$28,DCF_Base!$L$19*(1+DCF_Base!$B$28/100)/(($C$16-DCF_Base!$B$28)/100),DCF_Base!$L$19*DCF_Base!$B$29),DCF_Base!$L$19*DCF_Base!$B$29))/(1+$C$16/100)^DCF_Base!$L$4+Assumptions!$B$5-Assumptions!$B$4)/Assumptions!$B$3*Assumptions!$B$10</f>
        <v>7.73669319915974</v>
      </c>
      <c r="C16" s="3" t="n">
        <v>9</v>
      </c>
    </row>
    <row r="17" customFormat="false" ht="15" hidden="false" customHeight="false" outlineLevel="0" collapsed="false">
      <c r="A17" s="0" t="s">
        <v>160</v>
      </c>
      <c r="B17" s="0" t="n">
        <f aca="false">(SUMPRODUCT(DCF_Base!$C$19:$L$19/(1+$C$17/100)^DCF_Base!$C$4:$L$4)+MAX(0,MIN(IF($C$17&gt;DCF_Base!$B$28,DCF_Base!$L$19*(1+DCF_Base!$B$28/100)/(($C$17-DCF_Base!$B$28)/100),DCF_Base!$L$19*DCF_Base!$B$29),DCF_Base!$L$19*DCF_Base!$B$29))/(1+$C$17/100)^DCF_Base!$L$4+Assumptions!$B$5-Assumptions!$B$4)/Assumptions!$B$3*Assumptions!$B$10</f>
        <v>6.88411262813723</v>
      </c>
      <c r="C17" s="3" t="n">
        <v>10</v>
      </c>
    </row>
    <row r="18" customFormat="false" ht="15" hidden="false" customHeight="false" outlineLevel="0" collapsed="false">
      <c r="A18" s="0" t="s">
        <v>161</v>
      </c>
      <c r="B18" s="0" t="n">
        <f aca="false">(SUMPRODUCT(DCF_Base!$C$19:$L$19/(1+$C$18/100)^DCF_Base!$C$4:$L$4)+MAX(0,MIN(IF($C$18&gt;DCF_Base!$B$28,DCF_Base!$L$19*(1+DCF_Base!$B$28/100)/(($C$18-DCF_Base!$B$28)/100),DCF_Base!$L$19*DCF_Base!$B$29),DCF_Base!$L$19*DCF_Base!$B$29))/(1+$C$18/100)^DCF_Base!$L$4+Assumptions!$B$5-Assumptions!$B$4)/Assumptions!$B$3*Assumptions!$B$10</f>
        <v>5.71203667894006</v>
      </c>
      <c r="C18" s="3" t="n">
        <v>11</v>
      </c>
    </row>
    <row r="19" customFormat="false" ht="15" hidden="false" customHeight="false" outlineLevel="0" collapsed="false">
      <c r="A19" s="0" t="s">
        <v>162</v>
      </c>
      <c r="B19" s="0" t="n">
        <f aca="false">(SUMPRODUCT(DCF_Base!$C$19:$L$19/(1+$C$19/100)^DCF_Base!$C$4:$L$4)+MAX(0,MIN(IF($C$19&gt;DCF_Base!$B$28,DCF_Base!$L$19*(1+DCF_Base!$B$28/100)/(($C$19-DCF_Base!$B$28)/100),DCF_Base!$L$19*DCF_Base!$B$29),DCF_Base!$L$19*DCF_Base!$B$29))/(1+$C$19/100)^DCF_Base!$L$4+Assumptions!$B$5-Assumptions!$B$4)/Assumptions!$B$3*Assumptions!$B$10</f>
        <v>4.54821927714694</v>
      </c>
      <c r="C19" s="3" t="n">
        <v>12</v>
      </c>
    </row>
    <row r="20" customFormat="false" ht="15" hidden="false" customHeight="false" outlineLevel="0" collapsed="false">
      <c r="A20" s="0" t="s">
        <v>163</v>
      </c>
      <c r="B20" s="0" t="n">
        <f aca="false">(SUMPRODUCT(DCF_Base!$C$19:$L$19/(1+$C$20/100)^DCF_Base!$C$4:$L$4)+MAX(0,MIN(IF($C$20&gt;DCF_Base!$B$28,DCF_Base!$L$19*(1+DCF_Base!$B$28/100)/(($C$20-DCF_Base!$B$28)/100),DCF_Base!$L$19*DCF_Base!$B$29),DCF_Base!$L$19*DCF_Base!$B$29))/(1+$C$20/100)^DCF_Base!$L$4+Assumptions!$B$5-Assumptions!$B$4)/Assumptions!$B$3*Assumptions!$B$10</f>
        <v>2.18177920123763</v>
      </c>
      <c r="C20" s="3" t="n">
        <v>15</v>
      </c>
    </row>
    <row r="22" customFormat="false" ht="15" hidden="false" customHeight="false" outlineLevel="0" collapsed="false">
      <c r="A22" s="2" t="s">
        <v>164</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6</v>
      </c>
      <c r="B24" s="0" t="n">
        <f aca="false">(SUMPRODUCT(DCF_Base!$C$19:$L$19/(1+$A$24/100)^DCF_Base!$C$4:$L$4)+MAX(0,MIN(IF($A$24&gt;$B$23,DCF_Base!$L$19*(1+$B$23/100)/(($A$24-$B$23)/100),DCF_Base!$L$19*DCF_Base!$B$29),DCF_Base!$L$19*DCF_Base!$B$29))/(1+$A$24/100)^DCF_Base!$L$4+Assumptions!$B$5-Assumptions!$B$4)/Assumptions!$B$3*Assumptions!$B$10</f>
        <v>10.8187658634027</v>
      </c>
      <c r="C24" s="0" t="n">
        <f aca="false">(SUMPRODUCT(DCF_Base!$C$19:$L$19/(1+$A$24/100)^DCF_Base!$C$4:$L$4)+MAX(0,MIN(IF($A$24&gt;$C$23,DCF_Base!$L$19*(1+$C$23/100)/(($A$24-$C$23)/100),DCF_Base!$L$19*DCF_Base!$B$29),DCF_Base!$L$19*DCF_Base!$B$29))/(1+$A$24/100)^DCF_Base!$L$4+Assumptions!$B$5-Assumptions!$B$4)/Assumptions!$B$3*Assumptions!$B$10</f>
        <v>10.8187658634027</v>
      </c>
      <c r="D24" s="0" t="n">
        <f aca="false">(SUMPRODUCT(DCF_Base!$C$19:$L$19/(1+$A$24/100)^DCF_Base!$C$4:$L$4)+MAX(0,MIN(IF($A$24&gt;$D$23,DCF_Base!$L$19*(1+$D$23/100)/(($A$24-$D$23)/100),DCF_Base!$L$19*DCF_Base!$B$29),DCF_Base!$L$19*DCF_Base!$B$29))/(1+$A$24/100)^DCF_Base!$L$4+Assumptions!$B$5-Assumptions!$B$4)/Assumptions!$B$3*Assumptions!$B$10</f>
        <v>10.8187658634027</v>
      </c>
      <c r="E24" s="0" t="n">
        <f aca="false">(SUMPRODUCT(DCF_Base!$C$19:$L$19/(1+$A$24/100)^DCF_Base!$C$4:$L$4)+MAX(0,MIN(IF($A$24&gt;$E$23,DCF_Base!$L$19*(1+$E$23/100)/(($A$24-$E$23)/100),DCF_Base!$L$19*DCF_Base!$B$29),DCF_Base!$L$19*DCF_Base!$B$29))/(1+$A$24/100)^DCF_Base!$L$4+Assumptions!$B$5-Assumptions!$B$4)/Assumptions!$B$3*Assumptions!$B$10</f>
        <v>10.8187658634027</v>
      </c>
      <c r="F24" s="0" t="n">
        <f aca="false">(SUMPRODUCT(DCF_Base!$C$19:$L$19/(1+$A$24/100)^DCF_Base!$C$4:$L$4)+MAX(0,MIN(IF($A$24&gt;$F$23,DCF_Base!$L$19*(1+$F$23/100)/(($A$24-$F$23)/100),DCF_Base!$L$19*DCF_Base!$B$29),DCF_Base!$L$19*DCF_Base!$B$29))/(1+$A$24/100)^DCF_Base!$L$4+Assumptions!$B$5-Assumptions!$B$4)/Assumptions!$B$3*Assumptions!$B$10</f>
        <v>10.8187658634027</v>
      </c>
    </row>
    <row r="25" customFormat="false" ht="15" hidden="false" customHeight="false" outlineLevel="0" collapsed="false">
      <c r="A25" s="3" t="n">
        <v>7</v>
      </c>
      <c r="B25" s="0" t="n">
        <f aca="false">(SUMPRODUCT(DCF_Base!$C$19:$L$19/(1+$A$25/100)^DCF_Base!$C$4:$L$4)+MAX(0,MIN(IF($A$25&gt;$B$23,DCF_Base!$L$19*(1+$B$23/100)/(($A$25-$B$23)/100),DCF_Base!$L$19*DCF_Base!$B$29),DCF_Base!$L$19*DCF_Base!$B$29))/(1+$A$25/100)^DCF_Base!$L$4+Assumptions!$B$5-Assumptions!$B$4)/Assumptions!$B$3*Assumptions!$B$10</f>
        <v>9.69447974301453</v>
      </c>
      <c r="C25" s="0" t="n">
        <f aca="false">(SUMPRODUCT(DCF_Base!$C$19:$L$19/(1+$A$25/100)^DCF_Base!$C$4:$L$4)+MAX(0,MIN(IF($A$25&gt;$C$23,DCF_Base!$L$19*(1+$C$23/100)/(($A$25-$C$23)/100),DCF_Base!$L$19*DCF_Base!$B$29),DCF_Base!$L$19*DCF_Base!$B$29))/(1+$A$25/100)^DCF_Base!$L$4+Assumptions!$B$5-Assumptions!$B$4)/Assumptions!$B$3*Assumptions!$B$10</f>
        <v>9.69447974301453</v>
      </c>
      <c r="D25" s="0" t="n">
        <f aca="false">(SUMPRODUCT(DCF_Base!$C$19:$L$19/(1+$A$25/100)^DCF_Base!$C$4:$L$4)+MAX(0,MIN(IF($A$25&gt;$D$23,DCF_Base!$L$19*(1+$D$23/100)/(($A$25-$D$23)/100),DCF_Base!$L$19*DCF_Base!$B$29),DCF_Base!$L$19*DCF_Base!$B$29))/(1+$A$25/100)^DCF_Base!$L$4+Assumptions!$B$5-Assumptions!$B$4)/Assumptions!$B$3*Assumptions!$B$10</f>
        <v>9.69447974301453</v>
      </c>
      <c r="E25" s="0" t="n">
        <f aca="false">(SUMPRODUCT(DCF_Base!$C$19:$L$19/(1+$A$25/100)^DCF_Base!$C$4:$L$4)+MAX(0,MIN(IF($A$25&gt;$E$23,DCF_Base!$L$19*(1+$E$23/100)/(($A$25-$E$23)/100),DCF_Base!$L$19*DCF_Base!$B$29),DCF_Base!$L$19*DCF_Base!$B$29))/(1+$A$25/100)^DCF_Base!$L$4+Assumptions!$B$5-Assumptions!$B$4)/Assumptions!$B$3*Assumptions!$B$10</f>
        <v>9.69447974301453</v>
      </c>
      <c r="F25" s="0" t="n">
        <f aca="false">(SUMPRODUCT(DCF_Base!$C$19:$L$19/(1+$A$25/100)^DCF_Base!$C$4:$L$4)+MAX(0,MIN(IF($A$25&gt;$F$23,DCF_Base!$L$19*(1+$F$23/100)/(($A$25-$F$23)/100),DCF_Base!$L$19*DCF_Base!$B$29),DCF_Base!$L$19*DCF_Base!$B$29))/(1+$A$25/100)^DCF_Base!$L$4+Assumptions!$B$5-Assumptions!$B$4)/Assumptions!$B$3*Assumptions!$B$10</f>
        <v>9.69447974301453</v>
      </c>
    </row>
    <row r="26" customFormat="false" ht="15" hidden="false" customHeight="false" outlineLevel="0" collapsed="false">
      <c r="A26" s="3" t="n">
        <v>8</v>
      </c>
      <c r="B26" s="0" t="n">
        <f aca="false">(SUMPRODUCT(DCF_Base!$C$19:$L$19/(1+$A$26/100)^DCF_Base!$C$4:$L$4)+MAX(0,MIN(IF($A$26&gt;$B$23,DCF_Base!$L$19*(1+$B$23/100)/(($A$26-$B$23)/100),DCF_Base!$L$19*DCF_Base!$B$29),DCF_Base!$L$19*DCF_Base!$B$29))/(1+$A$26/100)^DCF_Base!$L$4+Assumptions!$B$5-Assumptions!$B$4)/Assumptions!$B$3*Assumptions!$B$10</f>
        <v>8.67048741846041</v>
      </c>
      <c r="C26" s="0" t="n">
        <f aca="false">(SUMPRODUCT(DCF_Base!$C$19:$L$19/(1+$A$26/100)^DCF_Base!$C$4:$L$4)+MAX(0,MIN(IF($A$26&gt;$C$23,DCF_Base!$L$19*(1+$C$23/100)/(($A$26-$C$23)/100),DCF_Base!$L$19*DCF_Base!$B$29),DCF_Base!$L$19*DCF_Base!$B$29))/(1+$A$26/100)^DCF_Base!$L$4+Assumptions!$B$5-Assumptions!$B$4)/Assumptions!$B$3*Assumptions!$B$10</f>
        <v>8.67048741846041</v>
      </c>
      <c r="D26" s="0" t="n">
        <f aca="false">(SUMPRODUCT(DCF_Base!$C$19:$L$19/(1+$A$26/100)^DCF_Base!$C$4:$L$4)+MAX(0,MIN(IF($A$26&gt;$D$23,DCF_Base!$L$19*(1+$D$23/100)/(($A$26-$D$23)/100),DCF_Base!$L$19*DCF_Base!$B$29),DCF_Base!$L$19*DCF_Base!$B$29))/(1+$A$26/100)^DCF_Base!$L$4+Assumptions!$B$5-Assumptions!$B$4)/Assumptions!$B$3*Assumptions!$B$10</f>
        <v>8.67048741846041</v>
      </c>
      <c r="E26" s="0" t="n">
        <f aca="false">(SUMPRODUCT(DCF_Base!$C$19:$L$19/(1+$A$26/100)^DCF_Base!$C$4:$L$4)+MAX(0,MIN(IF($A$26&gt;$E$23,DCF_Base!$L$19*(1+$E$23/100)/(($A$26-$E$23)/100),DCF_Base!$L$19*DCF_Base!$B$29),DCF_Base!$L$19*DCF_Base!$B$29))/(1+$A$26/100)^DCF_Base!$L$4+Assumptions!$B$5-Assumptions!$B$4)/Assumptions!$B$3*Assumptions!$B$10</f>
        <v>8.67048741846041</v>
      </c>
      <c r="F26" s="0" t="n">
        <f aca="false">(SUMPRODUCT(DCF_Base!$C$19:$L$19/(1+$A$26/100)^DCF_Base!$C$4:$L$4)+MAX(0,MIN(IF($A$26&gt;$F$23,DCF_Base!$L$19*(1+$F$23/100)/(($A$26-$F$23)/100),DCF_Base!$L$19*DCF_Base!$B$29),DCF_Base!$L$19*DCF_Base!$B$29))/(1+$A$26/100)^DCF_Base!$L$4+Assumptions!$B$5-Assumptions!$B$4)/Assumptions!$B$3*Assumptions!$B$10</f>
        <v>8.67048741846041</v>
      </c>
    </row>
    <row r="27" customFormat="false" ht="15" hidden="false" customHeight="false" outlineLevel="0" collapsed="false">
      <c r="A27" s="3" t="n">
        <v>9</v>
      </c>
      <c r="B27" s="0" t="n">
        <f aca="false">(SUMPRODUCT(DCF_Base!$C$19:$L$19/(1+$A$27/100)^DCF_Base!$C$4:$L$4)+MAX(0,MIN(IF($A$27&gt;$B$23,DCF_Base!$L$19*(1+$B$23/100)/(($A$27-$B$23)/100),DCF_Base!$L$19*DCF_Base!$B$29),DCF_Base!$L$19*DCF_Base!$B$29))/(1+$A$27/100)^DCF_Base!$L$4+Assumptions!$B$5-Assumptions!$B$4)/Assumptions!$B$3*Assumptions!$B$10</f>
        <v>7.73669319915974</v>
      </c>
      <c r="C27" s="0" t="n">
        <f aca="false">(SUMPRODUCT(DCF_Base!$C$19:$L$19/(1+$A$27/100)^DCF_Base!$C$4:$L$4)+MAX(0,MIN(IF($A$27&gt;$C$23,DCF_Base!$L$19*(1+$C$23/100)/(($A$27-$C$23)/100),DCF_Base!$L$19*DCF_Base!$B$29),DCF_Base!$L$19*DCF_Base!$B$29))/(1+$A$27/100)^DCF_Base!$L$4+Assumptions!$B$5-Assumptions!$B$4)/Assumptions!$B$3*Assumptions!$B$10</f>
        <v>7.73669319915974</v>
      </c>
      <c r="D27" s="0" t="n">
        <f aca="false">(SUMPRODUCT(DCF_Base!$C$19:$L$19/(1+$A$27/100)^DCF_Base!$C$4:$L$4)+MAX(0,MIN(IF($A$27&gt;$D$23,DCF_Base!$L$19*(1+$D$23/100)/(($A$27-$D$23)/100),DCF_Base!$L$19*DCF_Base!$B$29),DCF_Base!$L$19*DCF_Base!$B$29))/(1+$A$27/100)^DCF_Base!$L$4+Assumptions!$B$5-Assumptions!$B$4)/Assumptions!$B$3*Assumptions!$B$10</f>
        <v>7.73669319915974</v>
      </c>
      <c r="E27" s="0" t="n">
        <f aca="false">(SUMPRODUCT(DCF_Base!$C$19:$L$19/(1+$A$27/100)^DCF_Base!$C$4:$L$4)+MAX(0,MIN(IF($A$27&gt;$E$23,DCF_Base!$L$19*(1+$E$23/100)/(($A$27-$E$23)/100),DCF_Base!$L$19*DCF_Base!$B$29),DCF_Base!$L$19*DCF_Base!$B$29))/(1+$A$27/100)^DCF_Base!$L$4+Assumptions!$B$5-Assumptions!$B$4)/Assumptions!$B$3*Assumptions!$B$10</f>
        <v>7.73669319915974</v>
      </c>
      <c r="F27" s="0" t="n">
        <f aca="false">(SUMPRODUCT(DCF_Base!$C$19:$L$19/(1+$A$27/100)^DCF_Base!$C$4:$L$4)+MAX(0,MIN(IF($A$27&gt;$F$23,DCF_Base!$L$19*(1+$F$23/100)/(($A$27-$F$23)/100),DCF_Base!$L$19*DCF_Base!$B$29),DCF_Base!$L$19*DCF_Base!$B$29))/(1+$A$27/100)^DCF_Base!$L$4+Assumptions!$B$5-Assumptions!$B$4)/Assumptions!$B$3*Assumptions!$B$10</f>
        <v>7.73669319915974</v>
      </c>
    </row>
    <row r="28" customFormat="false" ht="15" hidden="false" customHeight="false" outlineLevel="0" collapsed="false">
      <c r="A28" s="3" t="n">
        <v>10</v>
      </c>
      <c r="B28" s="0" t="n">
        <f aca="false">(SUMPRODUCT(DCF_Base!$C$19:$L$19/(1+$A$28/100)^DCF_Base!$C$4:$L$4)+MAX(0,MIN(IF($A$28&gt;$B$23,DCF_Base!$L$19*(1+$B$23/100)/(($A$28-$B$23)/100),DCF_Base!$L$19*DCF_Base!$B$29),DCF_Base!$L$19*DCF_Base!$B$29))/(1+$A$28/100)^DCF_Base!$L$4+Assumptions!$B$5-Assumptions!$B$4)/Assumptions!$B$3*Assumptions!$B$10</f>
        <v>6.40047424066905</v>
      </c>
      <c r="C28" s="0" t="n">
        <f aca="false">(SUMPRODUCT(DCF_Base!$C$19:$L$19/(1+$A$28/100)^DCF_Base!$C$4:$L$4)+MAX(0,MIN(IF($A$28&gt;$C$23,DCF_Base!$L$19*(1+$C$23/100)/(($A$28-$C$23)/100),DCF_Base!$L$19*DCF_Base!$B$29),DCF_Base!$L$19*DCF_Base!$B$29))/(1+$A$28/100)^DCF_Base!$L$4+Assumptions!$B$5-Assumptions!$B$4)/Assumptions!$B$3*Assumptions!$B$10</f>
        <v>6.76992023109613</v>
      </c>
      <c r="D28" s="0" t="n">
        <f aca="false">(SUMPRODUCT(DCF_Base!$C$19:$L$19/(1+$A$28/100)^DCF_Base!$C$4:$L$4)+MAX(0,MIN(IF($A$28&gt;$D$23,DCF_Base!$L$19*(1+$D$23/100)/(($A$28-$D$23)/100),DCF_Base!$L$19*DCF_Base!$B$29),DCF_Base!$L$19*DCF_Base!$B$29))/(1+$A$28/100)^DCF_Base!$L$4+Assumptions!$B$5-Assumptions!$B$4)/Assumptions!$B$3*Assumptions!$B$10</f>
        <v>6.88411262813723</v>
      </c>
      <c r="E28" s="0" t="n">
        <f aca="false">(SUMPRODUCT(DCF_Base!$C$19:$L$19/(1+$A$28/100)^DCF_Base!$C$4:$L$4)+MAX(0,MIN(IF($A$28&gt;$E$23,DCF_Base!$L$19*(1+$E$23/100)/(($A$28-$E$23)/100),DCF_Base!$L$19*DCF_Base!$B$29),DCF_Base!$L$19*DCF_Base!$B$29))/(1+$A$28/100)^DCF_Base!$L$4+Assumptions!$B$5-Assumptions!$B$4)/Assumptions!$B$3*Assumptions!$B$10</f>
        <v>6.88411262813723</v>
      </c>
      <c r="F28" s="0" t="n">
        <f aca="false">(SUMPRODUCT(DCF_Base!$C$19:$L$19/(1+$A$28/100)^DCF_Base!$C$4:$L$4)+MAX(0,MIN(IF($A$28&gt;$F$23,DCF_Base!$L$19*(1+$F$23/100)/(($A$28-$F$23)/100),DCF_Base!$L$19*DCF_Base!$B$29),DCF_Base!$L$19*DCF_Base!$B$29))/(1+$A$28/100)^DCF_Base!$L$4+Assumptions!$B$5-Assumptions!$B$4)/Assumptions!$B$3*Assumptions!$B$10</f>
        <v>6.88411262813723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2026-10-16T04:32:55Z</dcterms:created>
  <dc:creator>openpyxl</dc:creator>
  <dc:description/>
  <dc:language>en-NZ</dc:language>
  <cp:lastModifiedBy/>
  <dcterms:modified xsi:type="dcterms:W3CDTF">2026-10-16T04:32:55Z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