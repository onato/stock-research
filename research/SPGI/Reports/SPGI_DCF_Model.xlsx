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<sst xmlns="http://schemas.openxmlformats.org/spreadsheetml/2006/main" count="390" uniqueCount="176">
  <si>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</si>
  <si>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SPGI</t>
  </si>
  <si>
    <t xml:space="preserve">Company</t>
  </si>
  <si>
    <t xml:space="preserve">S&amp;P Global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</si>
  <si>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</si>
  <si>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</si>
  <si>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</si>
  <si>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</si>
  <si>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regular-session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</si>
  <si>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</si>
  <si>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</si>
  <si>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</si>
  <si>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</si>
  <si>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</si>
  <si>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</si>
  <si>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</si>
  <si>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</si>
  <si>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</si>
  <si>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</si>
  <si>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</si>
  <si>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</si>
  <si>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2026-10-02T08:56:11Z</t>
  </si>
  <si>
    <t xml:space="preserve">Drivers file</t>
  </si>
  <si>
    <t xml:space="preserve">SPGI_Drivers.json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</si>
  <si>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</si>
  <si>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</si>
  <si>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</si>
  <si>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the post-spin continuing business only. SBC plus withholding taxes are expensed and the share count held flat; the 27% CME stake in Indices is charged once as NCI leakage in the flows; net debt is the 30-Jun-2026 balance sheet adjusted for the Mobility notes that left with the spin. Historical consolidated CAGRs (IHS Markit merger, Mobility) are reported but not used to drive the projection; year 1 is anchored to the 8-K/A pro forma FY2025 and FY2026 guidance.
key_risks_to_valuation: Debt-issuance cyclicality: Ratings (~35% of revenue, ~65% margin) swings with rates and credit spreads; a 2022-style issuance freeze is the bear case; AI disintermediation of Market Intelligence research/desktop products; Terminal value carries most of the value at an 8.5% WACC; +/-1pp on WACC moves base value roughly 15-20%; Pro forma continuing-ops figures are preliminary until the Q3-2026 10-Q recasts history as discontinued operations; Regulatory risk to the issuer-pays ratings model and to index-provider concentration (low probability, high impact); Net debt will rise through H2-2026 as the &gt;$7B buyback is completed; the per-share value is unaffected only if repurchases happen below intrinsic value</t>
  </si>
  <si>
    <t xml:space="preserve">Data sources</t>
  </si>
  <si>
    <t xml:space="preserve">price: Yahoo Finance chart API at inputs.price_as_of; 52-week range 361.03-522.47 (pre-1-Jul-2026 prints include the Mobility business and are not comparable)
financials: SPGI 10-Q for Q2 2026 (filed 2026-07-28: balance sheet, debt table incl. Mobility Global notes, segment table, share count, cash flow); 8-K/A filed 2026-07-06 Ex 99.2 (Article 11 pro forma continuing-operations income statements FY2023-25 and Q1-26, pro forma balance sheet 31-Mar-2026, $1.974B Mobility cash distribution) and Ex 99.1 (recast segments, pro forma non-GAAP adjusted operating profit $6,974M and adjusted EPS $15.85 for FY2025); SEC XBRL companyfacts; research/SPGI/Reports/SPGI_Metrics.csv (consolidated pre-spin history)
qualitative: research/SPGI/Reports/SPGI_Analysis.json (2026-10-02): segment mix, FY2026 guidance, Investor Day medium-term targets, bull/bear points</t>
  </si>
  <si>
    <t xml:space="preserve">Scenario narrative: bear</t>
  </si>
  <si>
    <t xml:space="preserve">Ratings is the largest and most cyclical segment and it is coming off record issuance. In the bear, a higher-for-longer rate shock or credit event in 2027 freezes issuance (2022 analogue: Ratings fell ~30%), taking group revenue flat for a year and compressing margins ~2pp on negative operating leverage; at the same time AI research tools steadily erode the desktop/research slice of Market Intelligence (~6-10% of revenue), capping recovery at 3-4.5% growth. Leverage taken on for buybacks limits flexibility; terminal value 18x on 2.5% growth.</t>
  </si>
  <si>
    <t xml:space="preserve">Scenario narrative: base</t>
  </si>
  <si>
    <t xml:space="preserve">Post-spin S&amp;P Global compounds revenue at roughly its 7-9% medium-term target after a normal give-back from the 2025-26 issuance boom: Ratings grows mid-single-digit through the cycle with private-credit ratings (~25% growth) as the structural kicker, Indices compounds low-double-digit on passive AUM, Market Intelligence holds mid-single-digit subscription growth while AI is absorbed as a product feature (Spark Assist) rather than a substitute, and Energy/Platts grows mid-single-digit. Margins add 40-50bp a year as the simpler portfolio and scale leverage come through, with SPGI still spending ~$300M a year on 'non-recurring' restructuring. Capital return (&gt;$7B FY26) keeps the count flat or falling.</t>
  </si>
  <si>
    <t xml:space="preserve">Scenario narrative: bull</t>
  </si>
  <si>
    <t xml:space="preserve">Three things go right together: (1) the 2027-28 leveraged-loan refinancing wall, AI/hyperscaler data-centre debt and private-credit ratings keep issuance-linked Ratings revenue near high-single-digit growth with no meaningful down-year; (2) Indices sustains mid-teens growth as passive share gains and private-markets/thematic indices broaden the franchise; (3) Market Intelligence uses proprietary data + GenAI to raise price and retention, so group margins reach ~58.5% pre-SBC EBITDA. Revenue growth runs 9%+ for five years and the market keeps paying ~22x terminal owner FCF for a duopoly benchmark franchise.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</si>
  <si>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</si>
  <si>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</si>
  <si>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</si>
  <si>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</si>
  <si>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</si>
  <si>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</si>
  <si>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</si>
  <si>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</si>
  <si>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</si>
  <si>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</si>
  <si>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</si>
  <si>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</si>
  <si>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</si>
  <si>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</si>
  <si>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</si>
  <si>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</si>
  <si>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</si>
  <si>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</si>
  <si>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</si>
  <si>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</si>
  <si>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</si>
  <si>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</si>
  <si>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</si>
  <si>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</si>
  <si>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</si>
  <si>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</si>
  <si>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</si>
  <si>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</si>
  <si>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</si>
  <si>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</si>
  <si>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</si>
  <si>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</si>
  <si>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</si>
  <si>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</si>
  <si>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</si>
  <si>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</si>
  <si>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</si>
  <si>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</si>
  <si>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</si>
  <si>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</si>
  <si>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</si>
  <si>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</si>
  <si>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</si>
  <si>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</si>
  <si>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</si>
  <si>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</si>
  <si>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</si>
  <si>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</si>
  <si>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</si>
  <si>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</si>
  <si>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</si>
  <si>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</si>
  <si>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</si>
  <si>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</si>
  <si>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</si>
  <si>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</si>
  <si>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FY2025 (continuing operations, pro forma ex-Mobility)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</si>
  <si>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</si>
  <si>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</si>
  <si>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</si>
  <si>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</si>
  <si>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</si>
  <si>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</si>
  <si>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</si>
  <si>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</si>
  <si>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</si>
  <si>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</si>
  <si>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</si>
  <si>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</si>
  <si>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</si>
  <si>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</si>
  <si>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</si>
  <si>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</si>
  <si>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</si>
  <si>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</si>
  <si>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</si>
  <si>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</si>
  <si>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</si>
  <si>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</si>
  <si>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</si>
  <si>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</si>
  <si>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</si>
  <si>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</si>
  <si>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</si>
  <si>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</si>
  <si>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SPGI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</si>
  <si>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</si>
  <si>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</si>
  <si>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</si>
  <si>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</si>
  <si>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</si>
  <si>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</si>
  <si>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</si>
  <si>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</si>
  <si>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</si>
  <si>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</si>
  <si>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</si>
  <si>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</si>
  <si>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</si>
  <si>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</si>
  <si>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</si>
  <si>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</si>
  <si>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</si>
  <si>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</si>
  <si>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</si>
  <si>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</si>
  <si>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</si>
  <si>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</si>
  <si>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</si>
  <si>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</si>
  <si>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</si>
  <si>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</si>
  <si>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</si>
  <si>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</si>
  <si>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</si>
  <si>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</si>
  <si>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SPGI owner-FCF component DCF: base case (millions, USD)</t>
  </si>
  <si>
    <t xml:space="preserve">SPGI owner-FCF component DCF: bull case (millions, USD)</t>
  </si>
  <si>
    <t xml:space="preserve">SPGI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</si>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</sst>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388.16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2730.043</v>
      </c>
      <c r="S2" s="0" t="n">
        <v>353.498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6772.281</v>
      </c>
      <c r="C3" s="0" t="n">
        <v>2527.6</v>
      </c>
      <c r="F3" s="0" t="n">
        <v>1676.912</v>
      </c>
      <c r="G3" s="0" t="n">
        <v>24.7614060905033</v>
      </c>
      <c r="I3" s="0" t="n">
        <v>1027.358</v>
      </c>
      <c r="J3" s="0" t="n">
        <v>15.1700438892007</v>
      </c>
      <c r="K3" s="0" t="n">
        <v>3.01</v>
      </c>
      <c r="L3" s="0" t="n">
        <v>1716.951</v>
      </c>
      <c r="M3" s="0" t="n">
        <v>229.609</v>
      </c>
      <c r="N3" s="0" t="n">
        <v>1487.342</v>
      </c>
      <c r="O3" s="0" t="n">
        <v>1677.762</v>
      </c>
      <c r="S3" s="0" t="n">
        <v>396.096</v>
      </c>
      <c r="T3" s="0" t="n">
        <v>344.785</v>
      </c>
      <c r="U3" s="0" t="n">
        <v>124.692</v>
      </c>
      <c r="V3" s="0" t="n">
        <v>0.82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6355.055</v>
      </c>
      <c r="C4" s="0" t="n">
        <v>2518.43</v>
      </c>
      <c r="F4" s="0" t="n">
        <v>1374.684</v>
      </c>
      <c r="G4" s="0" t="n">
        <v>21.6313470143059</v>
      </c>
      <c r="H4" s="0" t="n">
        <v>1853.384</v>
      </c>
      <c r="I4" s="0" t="n">
        <v>819.365</v>
      </c>
      <c r="J4" s="0" t="n">
        <v>12.8931220894233</v>
      </c>
      <c r="K4" s="0" t="n">
        <v>2.53</v>
      </c>
      <c r="L4" s="0" t="n">
        <v>1178.05</v>
      </c>
      <c r="M4" s="0" t="n">
        <v>131.331</v>
      </c>
      <c r="N4" s="0" t="n">
        <v>1046.719</v>
      </c>
      <c r="O4" s="0" t="n">
        <v>1353</v>
      </c>
      <c r="P4" s="0" t="n">
        <v>6080.142</v>
      </c>
      <c r="Q4" s="0" t="n">
        <v>4727.271</v>
      </c>
      <c r="R4" s="0" t="n">
        <v>1197.611</v>
      </c>
      <c r="S4" s="0" t="n">
        <v>472</v>
      </c>
      <c r="T4" s="0" t="n">
        <v>318.687</v>
      </c>
      <c r="U4" s="0" t="n">
        <v>-1.934</v>
      </c>
      <c r="V4" s="0" t="n">
        <v>0.88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5870</v>
      </c>
      <c r="C5" s="0" t="n">
        <v>2339</v>
      </c>
      <c r="F5" s="0" t="n">
        <v>1259</v>
      </c>
      <c r="G5" s="0" t="n">
        <v>21.4480408858603</v>
      </c>
      <c r="H5" s="0" t="n">
        <v>1709</v>
      </c>
      <c r="I5" s="0" t="n">
        <v>750</v>
      </c>
      <c r="J5" s="0" t="n">
        <v>12.7768313458262</v>
      </c>
      <c r="K5" s="0" t="n">
        <v>2.34</v>
      </c>
      <c r="L5" s="0" t="n">
        <v>1330</v>
      </c>
      <c r="M5" s="0" t="n">
        <v>92</v>
      </c>
      <c r="N5" s="0" t="n">
        <v>1238</v>
      </c>
      <c r="O5" s="0" t="n">
        <v>1929</v>
      </c>
      <c r="P5" s="0" t="n">
        <v>6475.25</v>
      </c>
      <c r="Q5" s="0" t="n">
        <v>4546.073</v>
      </c>
      <c r="R5" s="0" t="n">
        <v>1197.8</v>
      </c>
      <c r="S5" s="0" t="n">
        <v>1118</v>
      </c>
      <c r="T5" s="0" t="n">
        <v>313</v>
      </c>
      <c r="U5" s="0" t="n">
        <v>22</v>
      </c>
      <c r="V5" s="0" t="n">
        <v>0.9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3639</v>
      </c>
      <c r="C6" s="0" t="n">
        <v>1206</v>
      </c>
      <c r="F6" s="0" t="n">
        <v>1026</v>
      </c>
      <c r="G6" s="0" t="n">
        <v>28.1945589447651</v>
      </c>
      <c r="H6" s="0" t="n">
        <v>1134</v>
      </c>
      <c r="I6" s="0" t="n">
        <v>851</v>
      </c>
      <c r="J6" s="0" t="n">
        <v>23.3855454795273</v>
      </c>
      <c r="K6" s="0" t="n">
        <v>2.68</v>
      </c>
      <c r="L6" s="0" t="n">
        <v>704</v>
      </c>
      <c r="M6" s="0" t="n">
        <v>86</v>
      </c>
      <c r="N6" s="0" t="n">
        <v>618</v>
      </c>
      <c r="O6" s="0" t="n">
        <v>2292</v>
      </c>
      <c r="P6" s="0" t="n">
        <v>7047</v>
      </c>
      <c r="Q6" s="0" t="n">
        <v>4755</v>
      </c>
      <c r="R6" s="0" t="n">
        <v>1198</v>
      </c>
      <c r="S6" s="0" t="n">
        <v>1416</v>
      </c>
      <c r="T6" s="0" t="n">
        <v>312.2</v>
      </c>
      <c r="U6" s="0" t="n">
        <v>51</v>
      </c>
      <c r="V6" s="0" t="n">
        <v>0.94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3954</v>
      </c>
      <c r="C7" s="0" t="n">
        <v>1387</v>
      </c>
      <c r="F7" s="0" t="n">
        <v>1077</v>
      </c>
      <c r="G7" s="0" t="n">
        <v>27.2382397572079</v>
      </c>
      <c r="H7" s="0" t="n">
        <v>1203</v>
      </c>
      <c r="I7" s="0" t="n">
        <v>934</v>
      </c>
      <c r="J7" s="0" t="n">
        <v>23.6216489630754</v>
      </c>
      <c r="K7" s="0" t="n">
        <v>3.05</v>
      </c>
      <c r="L7" s="0" t="n">
        <v>924</v>
      </c>
      <c r="M7" s="0" t="n">
        <v>92</v>
      </c>
      <c r="N7" s="0" t="n">
        <v>832</v>
      </c>
      <c r="O7" s="0" t="n">
        <v>1584</v>
      </c>
      <c r="P7" s="0" t="n">
        <v>6620</v>
      </c>
      <c r="Q7" s="0" t="n">
        <v>5036</v>
      </c>
      <c r="R7" s="0" t="n">
        <v>1198</v>
      </c>
      <c r="S7" s="0" t="n">
        <v>835</v>
      </c>
      <c r="T7" s="0" t="n">
        <v>303.6</v>
      </c>
      <c r="U7" s="0" t="n">
        <v>77</v>
      </c>
      <c r="V7" s="0" t="n">
        <v>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4270</v>
      </c>
      <c r="C8" s="0" t="n">
        <v>1433</v>
      </c>
      <c r="F8" s="0" t="n">
        <v>1170</v>
      </c>
      <c r="G8" s="0" t="n">
        <v>27.4004683840749</v>
      </c>
      <c r="H8" s="0" t="n">
        <v>1311</v>
      </c>
      <c r="I8" s="0" t="n">
        <v>492</v>
      </c>
      <c r="J8" s="0" t="n">
        <v>11.5222482435597</v>
      </c>
      <c r="K8" s="0" t="n">
        <v>1.57</v>
      </c>
      <c r="L8" s="0" t="n">
        <v>730</v>
      </c>
      <c r="M8" s="0" t="n">
        <v>96</v>
      </c>
      <c r="N8" s="0" t="n">
        <v>634</v>
      </c>
      <c r="O8" s="0" t="n">
        <v>840</v>
      </c>
      <c r="P8" s="0" t="n">
        <v>7052</v>
      </c>
      <c r="Q8" s="0" t="n">
        <v>5402</v>
      </c>
      <c r="R8" s="0" t="n">
        <v>1256</v>
      </c>
      <c r="S8" s="0" t="n">
        <v>760</v>
      </c>
      <c r="T8" s="0" t="n">
        <v>284.6</v>
      </c>
      <c r="U8" s="0" t="n">
        <v>90</v>
      </c>
      <c r="V8" s="0" t="n">
        <v>1.02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4702</v>
      </c>
      <c r="C9" s="0" t="n">
        <v>1564</v>
      </c>
      <c r="F9" s="0" t="n">
        <v>1358</v>
      </c>
      <c r="G9" s="0" t="n">
        <v>28.8813270948533</v>
      </c>
      <c r="H9" s="0" t="n">
        <v>1495</v>
      </c>
      <c r="I9" s="0" t="n">
        <v>1466</v>
      </c>
      <c r="J9" s="0" t="n">
        <v>31.1782220331774</v>
      </c>
      <c r="K9" s="0" t="n">
        <v>5.01</v>
      </c>
      <c r="L9" s="0" t="n">
        <v>782</v>
      </c>
      <c r="M9" s="0" t="n">
        <v>117</v>
      </c>
      <c r="N9" s="0" t="n">
        <v>665</v>
      </c>
      <c r="O9" s="0" t="n">
        <v>1344</v>
      </c>
      <c r="P9" s="0" t="n">
        <v>6061</v>
      </c>
      <c r="Q9" s="0" t="n">
        <v>3907</v>
      </c>
      <c r="R9" s="0" t="n">
        <v>799</v>
      </c>
      <c r="S9" s="0" t="n">
        <v>1542</v>
      </c>
      <c r="T9" s="0" t="n">
        <v>279.8</v>
      </c>
      <c r="U9" s="0" t="n">
        <v>96</v>
      </c>
      <c r="V9" s="0" t="n">
        <v>1.12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5051</v>
      </c>
      <c r="C10" s="0" t="n">
        <v>1651</v>
      </c>
      <c r="F10" s="0" t="n">
        <v>113</v>
      </c>
      <c r="G10" s="0" t="n">
        <v>2.23718075628588</v>
      </c>
      <c r="H10" s="0" t="n">
        <v>247</v>
      </c>
      <c r="I10" s="0" t="n">
        <v>-115</v>
      </c>
      <c r="J10" s="0" t="n">
        <v>-2.27677687586617</v>
      </c>
      <c r="K10" s="0" t="n">
        <v>-0.42</v>
      </c>
      <c r="L10" s="0" t="n">
        <v>1209</v>
      </c>
      <c r="M10" s="0" t="n">
        <v>92</v>
      </c>
      <c r="N10" s="0" t="n">
        <v>1117</v>
      </c>
      <c r="O10" s="0" t="n">
        <v>539</v>
      </c>
      <c r="P10" s="0" t="n">
        <v>6773</v>
      </c>
      <c r="Q10" s="0" t="n">
        <v>5424</v>
      </c>
      <c r="R10" s="0" t="n">
        <v>795</v>
      </c>
      <c r="S10" s="0" t="n">
        <v>2497</v>
      </c>
      <c r="T10" s="0" t="n">
        <v>272</v>
      </c>
      <c r="U10" s="0" t="n">
        <v>100</v>
      </c>
      <c r="V10" s="0" t="n">
        <v>1.2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5313</v>
      </c>
      <c r="C11" s="0" t="n">
        <v>1718</v>
      </c>
      <c r="F11" s="0" t="n">
        <v>1917</v>
      </c>
      <c r="G11" s="0" t="n">
        <v>36.0813099943535</v>
      </c>
      <c r="H11" s="0" t="n">
        <v>2074</v>
      </c>
      <c r="I11" s="0" t="n">
        <v>1268</v>
      </c>
      <c r="J11" s="0" t="n">
        <v>23.8659890833804</v>
      </c>
      <c r="K11" s="0" t="n">
        <v>4.26</v>
      </c>
      <c r="L11" s="0" t="n">
        <v>356</v>
      </c>
      <c r="M11" s="0" t="n">
        <v>139</v>
      </c>
      <c r="N11" s="0" t="n">
        <v>217</v>
      </c>
      <c r="O11" s="0" t="n">
        <v>243</v>
      </c>
      <c r="P11" s="0" t="n">
        <v>8183</v>
      </c>
      <c r="Q11" s="0" t="n">
        <v>7020</v>
      </c>
      <c r="R11" s="0" t="n">
        <v>3611</v>
      </c>
      <c r="S11" s="0" t="n">
        <v>1481</v>
      </c>
      <c r="T11" s="0" t="n">
        <v>274.6</v>
      </c>
      <c r="U11" s="0" t="n">
        <v>78</v>
      </c>
      <c r="V11" s="0" t="n">
        <v>1.32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5661</v>
      </c>
      <c r="C12" s="0" t="n">
        <v>1773</v>
      </c>
      <c r="F12" s="0" t="n">
        <v>3341</v>
      </c>
      <c r="G12" s="0" t="n">
        <v>59.0178413707825</v>
      </c>
      <c r="H12" s="0" t="n">
        <v>3522</v>
      </c>
      <c r="I12" s="0" t="n">
        <v>2228</v>
      </c>
      <c r="J12" s="0" t="n">
        <v>39.3570040628864</v>
      </c>
      <c r="K12" s="0" t="n">
        <v>8.02</v>
      </c>
      <c r="L12" s="0" t="n">
        <v>1560</v>
      </c>
      <c r="M12" s="0" t="n">
        <v>115</v>
      </c>
      <c r="N12" s="0" t="n">
        <v>1445</v>
      </c>
      <c r="O12" s="0" t="n">
        <v>701</v>
      </c>
      <c r="P12" s="0" t="n">
        <v>8669</v>
      </c>
      <c r="Q12" s="0" t="n">
        <v>6888</v>
      </c>
      <c r="R12" s="0" t="n">
        <v>3564</v>
      </c>
      <c r="S12" s="0" t="n">
        <v>2392</v>
      </c>
      <c r="T12" s="0" t="n">
        <v>265.2</v>
      </c>
      <c r="U12" s="0" t="n">
        <v>76</v>
      </c>
      <c r="V12" s="0" t="n">
        <v>1.44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6063</v>
      </c>
      <c r="C13" s="0" t="n">
        <v>1694</v>
      </c>
      <c r="F13" s="0" t="n">
        <v>2583</v>
      </c>
      <c r="G13" s="0" t="n">
        <v>42.6026719445819</v>
      </c>
      <c r="H13" s="0" t="n">
        <v>2763</v>
      </c>
      <c r="I13" s="0" t="n">
        <v>1638</v>
      </c>
      <c r="J13" s="0" t="n">
        <v>27.0163285502227</v>
      </c>
      <c r="K13" s="0" t="n">
        <v>5.84</v>
      </c>
      <c r="L13" s="0" t="n">
        <v>2016</v>
      </c>
      <c r="M13" s="0" t="n">
        <v>123</v>
      </c>
      <c r="N13" s="0" t="n">
        <v>1893</v>
      </c>
      <c r="O13" s="0" t="n">
        <v>766</v>
      </c>
      <c r="P13" s="0" t="n">
        <v>9425</v>
      </c>
      <c r="Q13" s="0" t="n">
        <v>7307</v>
      </c>
      <c r="R13" s="0" t="n">
        <v>3569</v>
      </c>
      <c r="S13" s="0" t="n">
        <v>2777</v>
      </c>
      <c r="T13" s="0" t="n">
        <v>258.9</v>
      </c>
      <c r="U13" s="0" t="n">
        <v>99</v>
      </c>
      <c r="V13" s="0" t="n">
        <v>1.64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6258</v>
      </c>
      <c r="C14" s="0" t="n">
        <v>1838</v>
      </c>
      <c r="F14" s="0" t="n">
        <v>2790</v>
      </c>
      <c r="G14" s="0" t="n">
        <v>44.5829338446788</v>
      </c>
      <c r="H14" s="0" t="n">
        <v>2996</v>
      </c>
      <c r="I14" s="0" t="n">
        <v>2121</v>
      </c>
      <c r="J14" s="0" t="n">
        <v>33.8926174496644</v>
      </c>
      <c r="K14" s="0" t="n">
        <v>7.8</v>
      </c>
      <c r="L14" s="0" t="n">
        <v>2064</v>
      </c>
      <c r="M14" s="0" t="n">
        <v>113</v>
      </c>
      <c r="N14" s="0" t="n">
        <v>1951</v>
      </c>
      <c r="O14" s="0" t="n">
        <v>684</v>
      </c>
      <c r="P14" s="0" t="n">
        <v>9441</v>
      </c>
      <c r="Q14" s="0" t="n">
        <v>7137</v>
      </c>
      <c r="R14" s="0" t="n">
        <v>3662</v>
      </c>
      <c r="S14" s="0" t="n">
        <v>1917</v>
      </c>
      <c r="T14" s="0" t="n">
        <v>253.2</v>
      </c>
      <c r="U14" s="0" t="n">
        <v>94</v>
      </c>
      <c r="V14" s="0" t="n">
        <v>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6699</v>
      </c>
      <c r="C15" s="0" t="n">
        <v>1976</v>
      </c>
      <c r="F15" s="0" t="n">
        <v>3226</v>
      </c>
      <c r="G15" s="0" t="n">
        <v>48.1564412598895</v>
      </c>
      <c r="H15" s="0" t="n">
        <v>3430</v>
      </c>
      <c r="I15" s="0" t="n">
        <v>2303</v>
      </c>
      <c r="J15" s="0" t="n">
        <v>34.3782654127482</v>
      </c>
      <c r="K15" s="0" t="n">
        <v>8.65</v>
      </c>
      <c r="L15" s="0" t="n">
        <v>2776</v>
      </c>
      <c r="M15" s="0" t="n">
        <v>115</v>
      </c>
      <c r="N15" s="0" t="n">
        <v>2661</v>
      </c>
      <c r="O15" s="0" t="n">
        <v>536</v>
      </c>
      <c r="P15" s="0" t="n">
        <v>11348</v>
      </c>
      <c r="Q15" s="0" t="n">
        <v>8544</v>
      </c>
      <c r="R15" s="0" t="n">
        <v>3948</v>
      </c>
      <c r="S15" s="0" t="n">
        <v>2866</v>
      </c>
      <c r="T15" s="0" t="n">
        <v>246.9</v>
      </c>
      <c r="U15" s="0" t="n">
        <v>78</v>
      </c>
      <c r="V15" s="0" t="n">
        <v>2.28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7442</v>
      </c>
      <c r="C16" s="0" t="n">
        <v>2094</v>
      </c>
      <c r="F16" s="0" t="n">
        <v>3617</v>
      </c>
      <c r="G16" s="0" t="n">
        <v>48.6025262026337</v>
      </c>
      <c r="H16" s="0" t="n">
        <v>3823</v>
      </c>
      <c r="I16" s="0" t="n">
        <v>2534</v>
      </c>
      <c r="J16" s="0" t="n">
        <v>34.049986562752</v>
      </c>
      <c r="K16" s="0" t="n">
        <v>9.71</v>
      </c>
      <c r="L16" s="0" t="n">
        <v>3567</v>
      </c>
      <c r="M16" s="0" t="n">
        <v>76</v>
      </c>
      <c r="N16" s="0" t="n">
        <v>3491</v>
      </c>
      <c r="O16" s="0" t="n">
        <v>571</v>
      </c>
      <c r="P16" s="0" t="n">
        <v>12537</v>
      </c>
      <c r="Q16" s="0" t="n">
        <v>9185</v>
      </c>
      <c r="R16" s="0" t="n">
        <v>4110</v>
      </c>
      <c r="S16" s="0" t="n">
        <v>4108</v>
      </c>
      <c r="T16" s="0" t="n">
        <v>242.1</v>
      </c>
      <c r="U16" s="0" t="n">
        <v>90</v>
      </c>
      <c r="V16" s="0" t="n">
        <v>2.68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8297</v>
      </c>
      <c r="C17" s="0" t="n">
        <v>2180</v>
      </c>
      <c r="F17" s="0" t="n">
        <v>4221</v>
      </c>
      <c r="G17" s="0" t="n">
        <v>50.873809810775</v>
      </c>
      <c r="H17" s="0" t="n">
        <v>4399</v>
      </c>
      <c r="I17" s="0" t="n">
        <v>3263</v>
      </c>
      <c r="J17" s="0" t="n">
        <v>39.3274677594311</v>
      </c>
      <c r="K17" s="0" t="n">
        <v>12.56</v>
      </c>
      <c r="L17" s="0" t="n">
        <v>3598</v>
      </c>
      <c r="M17" s="0" t="n">
        <v>35</v>
      </c>
      <c r="N17" s="0" t="n">
        <v>3563</v>
      </c>
      <c r="O17" s="0" t="n">
        <v>2107</v>
      </c>
      <c r="P17" s="0" t="n">
        <v>15026</v>
      </c>
      <c r="Q17" s="0" t="n">
        <v>9490</v>
      </c>
      <c r="R17" s="0" t="n">
        <v>4114</v>
      </c>
      <c r="S17" s="0" t="n">
        <v>6497</v>
      </c>
      <c r="T17" s="0" t="n">
        <v>241.8</v>
      </c>
      <c r="U17" s="0" t="n">
        <v>122</v>
      </c>
      <c r="V17" s="0" t="n">
        <v>3.08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11181</v>
      </c>
      <c r="C18" s="0" t="n">
        <v>3753</v>
      </c>
      <c r="F18" s="0" t="n">
        <v>4944</v>
      </c>
      <c r="G18" s="0" t="n">
        <v>44.2178696002147</v>
      </c>
      <c r="H18" s="0" t="n">
        <v>5957</v>
      </c>
      <c r="I18" s="0" t="n">
        <v>3522</v>
      </c>
      <c r="J18" s="0" t="n">
        <v>31.4998658438422</v>
      </c>
      <c r="K18" s="0" t="n">
        <v>10.25</v>
      </c>
      <c r="L18" s="0" t="n">
        <v>2603</v>
      </c>
      <c r="M18" s="0" t="n">
        <v>89</v>
      </c>
      <c r="N18" s="0" t="n">
        <v>2514</v>
      </c>
      <c r="O18" s="0" t="n">
        <v>36477</v>
      </c>
      <c r="P18" s="0" t="n">
        <v>61784</v>
      </c>
      <c r="Q18" s="0" t="n">
        <v>22040</v>
      </c>
      <c r="R18" s="0" t="n">
        <v>11182</v>
      </c>
      <c r="S18" s="0" t="n">
        <v>1286</v>
      </c>
      <c r="T18" s="0" t="n">
        <v>321.9</v>
      </c>
      <c r="U18" s="0" t="n">
        <v>214</v>
      </c>
      <c r="V18" s="0" t="n">
        <v>3.32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12497</v>
      </c>
      <c r="C19" s="0" t="n">
        <v>4141</v>
      </c>
      <c r="F19" s="0" t="n">
        <v>4020</v>
      </c>
      <c r="G19" s="0" t="n">
        <v>32.1677202528607</v>
      </c>
      <c r="H19" s="0" t="n">
        <v>5163</v>
      </c>
      <c r="I19" s="0" t="n">
        <v>2893</v>
      </c>
      <c r="J19" s="0" t="n">
        <v>23.1495558934144</v>
      </c>
      <c r="K19" s="0" t="n">
        <v>8.25</v>
      </c>
      <c r="L19" s="0" t="n">
        <v>3710</v>
      </c>
      <c r="M19" s="0" t="n">
        <v>143</v>
      </c>
      <c r="N19" s="0" t="n">
        <v>3567</v>
      </c>
      <c r="O19" s="0" t="n">
        <v>34300</v>
      </c>
      <c r="P19" s="0" t="n">
        <v>60589</v>
      </c>
      <c r="Q19" s="0" t="n">
        <v>22489</v>
      </c>
      <c r="R19" s="0" t="n">
        <v>11506</v>
      </c>
      <c r="S19" s="0" t="n">
        <v>1290</v>
      </c>
      <c r="T19" s="0" t="n">
        <v>318.9</v>
      </c>
      <c r="U19" s="0" t="n">
        <v>171</v>
      </c>
      <c r="V19" s="0" t="n">
        <v>3.6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14208</v>
      </c>
      <c r="C20" s="0" t="n">
        <v>4361</v>
      </c>
      <c r="F20" s="0" t="n">
        <v>5580</v>
      </c>
      <c r="G20" s="0" t="n">
        <v>39.2736486486487</v>
      </c>
      <c r="H20" s="0" t="n">
        <v>6753</v>
      </c>
      <c r="I20" s="0" t="n">
        <v>4167</v>
      </c>
      <c r="J20" s="0" t="n">
        <v>29.3285472972973</v>
      </c>
      <c r="K20" s="0" t="n">
        <v>12.36</v>
      </c>
      <c r="L20" s="0" t="n">
        <v>5689</v>
      </c>
      <c r="M20" s="0" t="n">
        <v>124</v>
      </c>
      <c r="N20" s="0" t="n">
        <v>5565</v>
      </c>
      <c r="O20" s="0" t="n">
        <v>33256</v>
      </c>
      <c r="P20" s="0" t="n">
        <v>60221</v>
      </c>
      <c r="Q20" s="0" t="n">
        <v>22713</v>
      </c>
      <c r="R20" s="0" t="n">
        <v>11402</v>
      </c>
      <c r="S20" s="0" t="n">
        <v>1666</v>
      </c>
      <c r="T20" s="0" t="n">
        <v>311.9</v>
      </c>
      <c r="U20" s="0" t="n">
        <v>247</v>
      </c>
      <c r="V20" s="0" t="n">
        <v>3.64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15336</v>
      </c>
      <c r="C21" s="0" t="n">
        <v>4563</v>
      </c>
      <c r="F21" s="0" t="n">
        <v>6478</v>
      </c>
      <c r="G21" s="0" t="n">
        <v>42.2404799165363</v>
      </c>
      <c r="H21" s="0" t="n">
        <v>7657</v>
      </c>
      <c r="I21" s="0" t="n">
        <v>4820</v>
      </c>
      <c r="J21" s="0" t="n">
        <v>31.4293166405843</v>
      </c>
      <c r="K21" s="0" t="n">
        <v>14.67</v>
      </c>
      <c r="L21" s="0" t="n">
        <v>5651</v>
      </c>
      <c r="M21" s="0" t="n">
        <v>195</v>
      </c>
      <c r="N21" s="0" t="n">
        <v>5456</v>
      </c>
      <c r="O21" s="0" t="n">
        <v>31235</v>
      </c>
      <c r="P21" s="0" t="n">
        <v>61200</v>
      </c>
      <c r="Q21" s="0" t="n">
        <v>25048</v>
      </c>
      <c r="R21" s="0" t="n">
        <v>13806</v>
      </c>
      <c r="S21" s="0" t="n">
        <v>1745</v>
      </c>
      <c r="T21" s="0" t="n">
        <v>305.1</v>
      </c>
      <c r="U21" s="0" t="n">
        <v>236</v>
      </c>
      <c r="V21" s="0" t="n">
        <v>3.84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388.16</v>
      </c>
    </row>
    <row r="3" customFormat="false" ht="15" hidden="false" customHeight="false" outlineLevel="0" collapsed="false">
      <c r="A3" s="0" t="s">
        <v>86</v>
      </c>
      <c r="B3" s="3" t="n">
        <v>294.9</v>
      </c>
    </row>
    <row r="4" customFormat="false" ht="15" hidden="false" customHeight="false" outlineLevel="0" collapsed="false">
      <c r="A4" s="0" t="s">
        <v>87</v>
      </c>
      <c r="B4" s="3" t="n">
        <v>9176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13589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7</v>
      </c>
      <c r="D13" s="3" t="n">
        <v>0</v>
      </c>
      <c r="E13" s="3" t="n">
        <v>2.5</v>
      </c>
      <c r="F13" s="3" t="n">
        <v>4</v>
      </c>
      <c r="G13" s="3" t="n">
        <v>4.5</v>
      </c>
      <c r="H13" s="3" t="n">
        <v>4.5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108</v>
      </c>
      <c r="C14" s="3" t="n">
        <v>54</v>
      </c>
      <c r="D14" s="3" t="n">
        <v>52</v>
      </c>
      <c r="E14" s="3" t="n">
        <v>52</v>
      </c>
      <c r="F14" s="3" t="n">
        <v>52.5</v>
      </c>
      <c r="G14" s="3" t="n">
        <v>53</v>
      </c>
      <c r="H14" s="3" t="n">
        <v>53.2</v>
      </c>
      <c r="I14" s="3" t="n">
        <v>53.4</v>
      </c>
      <c r="J14" s="3" t="n">
        <v>53.5</v>
      </c>
      <c r="K14" s="3" t="n">
        <v>53.5</v>
      </c>
      <c r="L14" s="3" t="n">
        <v>53.5</v>
      </c>
    </row>
    <row r="15" customFormat="false" ht="15" hidden="false" customHeight="false" outlineLevel="0" collapsed="false">
      <c r="A15" s="0" t="s">
        <v>109</v>
      </c>
      <c r="C15" s="3" t="n">
        <v>2.3</v>
      </c>
      <c r="D15" s="3" t="n">
        <v>2.4</v>
      </c>
      <c r="E15" s="3" t="n">
        <v>2.4</v>
      </c>
      <c r="F15" s="3" t="n">
        <v>2.35</v>
      </c>
      <c r="G15" s="3" t="n">
        <v>2.3</v>
      </c>
      <c r="H15" s="3" t="n">
        <v>2.3</v>
      </c>
      <c r="I15" s="3" t="n">
        <v>2.3</v>
      </c>
      <c r="J15" s="3" t="n">
        <v>2.3</v>
      </c>
      <c r="K15" s="3" t="n">
        <v>2.3</v>
      </c>
      <c r="L15" s="3" t="n">
        <v>2.3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0.8</v>
      </c>
      <c r="D17" s="3" t="n">
        <v>0.85</v>
      </c>
      <c r="E17" s="3" t="n">
        <v>0.85</v>
      </c>
      <c r="F17" s="3" t="n">
        <v>0.85</v>
      </c>
      <c r="G17" s="3" t="n">
        <v>0.85</v>
      </c>
      <c r="H17" s="3" t="n">
        <v>0.85</v>
      </c>
      <c r="I17" s="3" t="n">
        <v>0.85</v>
      </c>
      <c r="J17" s="3" t="n">
        <v>0.85</v>
      </c>
      <c r="K17" s="3" t="n">
        <v>0.85</v>
      </c>
      <c r="L17" s="3" t="n">
        <v>0.85</v>
      </c>
    </row>
    <row r="18" customFormat="false" ht="15" hidden="false" customHeight="false" outlineLevel="0" collapsed="false">
      <c r="A18" s="0" t="s">
        <v>112</v>
      </c>
      <c r="C18" s="3" t="n">
        <v>1.1</v>
      </c>
      <c r="D18" s="3" t="n">
        <v>1.3</v>
      </c>
      <c r="E18" s="3" t="n">
        <v>1.3</v>
      </c>
      <c r="F18" s="3" t="n">
        <v>1.3</v>
      </c>
      <c r="G18" s="3" t="n">
        <v>1.3</v>
      </c>
      <c r="H18" s="3" t="n">
        <v>1.3</v>
      </c>
      <c r="I18" s="3" t="n">
        <v>1.3</v>
      </c>
      <c r="J18" s="3" t="n">
        <v>1.3</v>
      </c>
      <c r="K18" s="3" t="n">
        <v>1.3</v>
      </c>
      <c r="L18" s="3" t="n">
        <v>1.3</v>
      </c>
    </row>
    <row r="19" customFormat="false" ht="15" hidden="false" customHeight="false" outlineLevel="0" collapsed="false">
      <c r="A19" s="0" t="s">
        <v>113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114</v>
      </c>
      <c r="B20" s="3" t="n">
        <v>8.5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18</v>
      </c>
    </row>
    <row r="23" customFormat="false" ht="15" hidden="false" customHeight="false" outlineLevel="0" collapsed="false">
      <c r="A23" s="0" t="s">
        <v>117</v>
      </c>
      <c r="B23" s="3" t="n">
        <v>5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8</v>
      </c>
      <c r="D27" s="3" t="n">
        <v>6.5</v>
      </c>
      <c r="E27" s="3" t="n">
        <v>7</v>
      </c>
      <c r="F27" s="3" t="n">
        <v>7</v>
      </c>
      <c r="G27" s="3" t="n">
        <v>6.5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108</v>
      </c>
      <c r="C28" s="3" t="n">
        <v>54.2</v>
      </c>
      <c r="D28" s="3" t="n">
        <v>54.7</v>
      </c>
      <c r="E28" s="3" t="n">
        <v>55.2</v>
      </c>
      <c r="F28" s="3" t="n">
        <v>55.6</v>
      </c>
      <c r="G28" s="3" t="n">
        <v>56</v>
      </c>
      <c r="H28" s="3" t="n">
        <v>56.3</v>
      </c>
      <c r="I28" s="3" t="n">
        <v>56.5</v>
      </c>
      <c r="J28" s="3" t="n">
        <v>56.6</v>
      </c>
      <c r="K28" s="3" t="n">
        <v>56.7</v>
      </c>
      <c r="L28" s="3" t="n">
        <v>56.7</v>
      </c>
    </row>
    <row r="29" customFormat="false" ht="15" hidden="false" customHeight="false" outlineLevel="0" collapsed="false">
      <c r="A29" s="0" t="s">
        <v>109</v>
      </c>
      <c r="C29" s="3" t="n">
        <v>2.3</v>
      </c>
      <c r="D29" s="3" t="n">
        <v>2.3</v>
      </c>
      <c r="E29" s="3" t="n">
        <v>2.3</v>
      </c>
      <c r="F29" s="3" t="n">
        <v>2.25</v>
      </c>
      <c r="G29" s="3" t="n">
        <v>2.25</v>
      </c>
      <c r="H29" s="3" t="n">
        <v>2.2</v>
      </c>
      <c r="I29" s="3" t="n">
        <v>2.2</v>
      </c>
      <c r="J29" s="3" t="n">
        <v>2.2</v>
      </c>
      <c r="K29" s="3" t="n">
        <v>2.2</v>
      </c>
      <c r="L29" s="3" t="n">
        <v>2.2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0.8</v>
      </c>
      <c r="D31" s="3" t="n">
        <v>0.8</v>
      </c>
      <c r="E31" s="3" t="n">
        <v>0.8</v>
      </c>
      <c r="F31" s="3" t="n">
        <v>0.8</v>
      </c>
      <c r="G31" s="3" t="n">
        <v>0.8</v>
      </c>
      <c r="H31" s="3" t="n">
        <v>0.8</v>
      </c>
      <c r="I31" s="3" t="n">
        <v>0.8</v>
      </c>
      <c r="J31" s="3" t="n">
        <v>0.8</v>
      </c>
      <c r="K31" s="3" t="n">
        <v>0.8</v>
      </c>
      <c r="L31" s="3" t="n">
        <v>0.8</v>
      </c>
    </row>
    <row r="32" customFormat="false" ht="15" hidden="false" customHeight="false" outlineLevel="0" collapsed="false">
      <c r="A32" s="0" t="s">
        <v>112</v>
      </c>
      <c r="C32" s="3" t="n">
        <v>1.1</v>
      </c>
      <c r="D32" s="3" t="n">
        <v>1.2</v>
      </c>
      <c r="E32" s="3" t="n">
        <v>1.2</v>
      </c>
      <c r="F32" s="3" t="n">
        <v>1.2</v>
      </c>
      <c r="G32" s="3" t="n">
        <v>1.2</v>
      </c>
      <c r="H32" s="3" t="n">
        <v>1.2</v>
      </c>
      <c r="I32" s="3" t="n">
        <v>1.2</v>
      </c>
      <c r="J32" s="3" t="n">
        <v>1.2</v>
      </c>
      <c r="K32" s="3" t="n">
        <v>1.2</v>
      </c>
      <c r="L32" s="3" t="n">
        <v>1.2</v>
      </c>
    </row>
    <row r="33" customFormat="false" ht="15" hidden="false" customHeight="false" outlineLevel="0" collapsed="false">
      <c r="A33" s="0" t="s">
        <v>113</v>
      </c>
      <c r="C33" s="3" t="n">
        <v>28</v>
      </c>
      <c r="D33" s="3" t="n">
        <v>28.1</v>
      </c>
      <c r="E33" s="3" t="n">
        <v>28.2</v>
      </c>
      <c r="F33" s="3" t="n">
        <v>28.3</v>
      </c>
      <c r="G33" s="3" t="n">
        <v>28.4</v>
      </c>
      <c r="H33" s="3" t="n">
        <v>28.5</v>
      </c>
      <c r="I33" s="3" t="n">
        <v>28.5</v>
      </c>
      <c r="J33" s="3" t="n">
        <v>28.5</v>
      </c>
      <c r="K33" s="3" t="n">
        <v>28.5</v>
      </c>
      <c r="L33" s="3" t="n">
        <v>28.5</v>
      </c>
    </row>
    <row r="34" customFormat="false" ht="15" hidden="false" customHeight="false" outlineLevel="0" collapsed="false">
      <c r="A34" s="0" t="s">
        <v>114</v>
      </c>
      <c r="B34" s="3" t="n">
        <v>8.5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20</v>
      </c>
    </row>
    <row r="37" customFormat="false" ht="15" hidden="false" customHeight="false" outlineLevel="0" collapsed="false">
      <c r="A37" s="0" t="s">
        <v>117</v>
      </c>
      <c r="B37" s="3" t="n">
        <v>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9.5</v>
      </c>
      <c r="D41" s="3" t="n">
        <v>9</v>
      </c>
      <c r="E41" s="3" t="n">
        <v>9</v>
      </c>
      <c r="F41" s="3" t="n">
        <v>8.5</v>
      </c>
      <c r="G41" s="3" t="n">
        <v>8</v>
      </c>
      <c r="H41" s="3" t="n">
        <v>7.5</v>
      </c>
      <c r="I41" s="3" t="n">
        <v>7</v>
      </c>
      <c r="J41" s="3" t="n">
        <v>6</v>
      </c>
      <c r="K41" s="3" t="n">
        <v>5.5</v>
      </c>
      <c r="L41" s="3" t="n">
        <v>5</v>
      </c>
    </row>
    <row r="42" customFormat="false" ht="15" hidden="false" customHeight="false" outlineLevel="0" collapsed="false">
      <c r="A42" s="0" t="s">
        <v>108</v>
      </c>
      <c r="C42" s="3" t="n">
        <v>54.5</v>
      </c>
      <c r="D42" s="3" t="n">
        <v>55.3</v>
      </c>
      <c r="E42" s="3" t="n">
        <v>56.1</v>
      </c>
      <c r="F42" s="3" t="n">
        <v>56.8</v>
      </c>
      <c r="G42" s="3" t="n">
        <v>57.4</v>
      </c>
      <c r="H42" s="3" t="n">
        <v>57.9</v>
      </c>
      <c r="I42" s="3" t="n">
        <v>58.3</v>
      </c>
      <c r="J42" s="3" t="n">
        <v>58.5</v>
      </c>
      <c r="K42" s="3" t="n">
        <v>58.5</v>
      </c>
      <c r="L42" s="3" t="n">
        <v>58.5</v>
      </c>
    </row>
    <row r="43" customFormat="false" ht="15" hidden="false" customHeight="false" outlineLevel="0" collapsed="false">
      <c r="A43" s="0" t="s">
        <v>109</v>
      </c>
      <c r="C43" s="3" t="n">
        <v>2.3</v>
      </c>
      <c r="D43" s="3" t="n">
        <v>2.3</v>
      </c>
      <c r="E43" s="3" t="n">
        <v>2.3</v>
      </c>
      <c r="F43" s="3" t="n">
        <v>2.25</v>
      </c>
      <c r="G43" s="3" t="n">
        <v>2.25</v>
      </c>
      <c r="H43" s="3" t="n">
        <v>2.2</v>
      </c>
      <c r="I43" s="3" t="n">
        <v>2.2</v>
      </c>
      <c r="J43" s="3" t="n">
        <v>2.2</v>
      </c>
      <c r="K43" s="3" t="n">
        <v>2.2</v>
      </c>
      <c r="L43" s="3" t="n">
        <v>2.2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0.8</v>
      </c>
      <c r="D45" s="3" t="n">
        <v>0.8</v>
      </c>
      <c r="E45" s="3" t="n">
        <v>0.8</v>
      </c>
      <c r="F45" s="3" t="n">
        <v>0.8</v>
      </c>
      <c r="G45" s="3" t="n">
        <v>0.8</v>
      </c>
      <c r="H45" s="3" t="n">
        <v>0.8</v>
      </c>
      <c r="I45" s="3" t="n">
        <v>0.8</v>
      </c>
      <c r="J45" s="3" t="n">
        <v>0.8</v>
      </c>
      <c r="K45" s="3" t="n">
        <v>0.8</v>
      </c>
      <c r="L45" s="3" t="n">
        <v>0.8</v>
      </c>
    </row>
    <row r="46" customFormat="false" ht="15" hidden="false" customHeight="false" outlineLevel="0" collapsed="false">
      <c r="A46" s="0" t="s">
        <v>112</v>
      </c>
      <c r="C46" s="3" t="n">
        <v>1.1</v>
      </c>
      <c r="D46" s="3" t="n">
        <v>1.2</v>
      </c>
      <c r="E46" s="3" t="n">
        <v>1.2</v>
      </c>
      <c r="F46" s="3" t="n">
        <v>1.2</v>
      </c>
      <c r="G46" s="3" t="n">
        <v>1.2</v>
      </c>
      <c r="H46" s="3" t="n">
        <v>1.2</v>
      </c>
      <c r="I46" s="3" t="n">
        <v>1.2</v>
      </c>
      <c r="J46" s="3" t="n">
        <v>1.2</v>
      </c>
      <c r="K46" s="3" t="n">
        <v>1.2</v>
      </c>
      <c r="L46" s="3" t="n">
        <v>1.2</v>
      </c>
    </row>
    <row r="47" customFormat="false" ht="15" hidden="false" customHeight="false" outlineLevel="0" collapsed="false">
      <c r="A47" s="0" t="s">
        <v>113</v>
      </c>
      <c r="C47" s="3" t="n">
        <v>28</v>
      </c>
      <c r="D47" s="3" t="n">
        <v>28.2</v>
      </c>
      <c r="E47" s="3" t="n">
        <v>28.4</v>
      </c>
      <c r="F47" s="3" t="n">
        <v>28.6</v>
      </c>
      <c r="G47" s="3" t="n">
        <v>28.8</v>
      </c>
      <c r="H47" s="3" t="n">
        <v>29</v>
      </c>
      <c r="I47" s="3" t="n">
        <v>29</v>
      </c>
      <c r="J47" s="3" t="n">
        <v>29</v>
      </c>
      <c r="K47" s="3" t="n">
        <v>29</v>
      </c>
      <c r="L47" s="3" t="n">
        <v>29</v>
      </c>
    </row>
    <row r="48" customFormat="false" ht="15" hidden="false" customHeight="false" outlineLevel="0" collapsed="false">
      <c r="A48" s="0" t="s">
        <v>114</v>
      </c>
      <c r="B48" s="3" t="n">
        <v>8.5</v>
      </c>
    </row>
    <row r="49" customFormat="false" ht="15" hidden="false" customHeight="false" outlineLevel="0" collapsed="false">
      <c r="A49" s="0" t="s">
        <v>115</v>
      </c>
      <c r="B49" s="3" t="n">
        <v>3.5</v>
      </c>
    </row>
    <row r="50" customFormat="false" ht="15" hidden="false" customHeight="false" outlineLevel="0" collapsed="false">
      <c r="A50" s="0" t="s">
        <v>116</v>
      </c>
      <c r="B50" s="3" t="n">
        <v>22</v>
      </c>
    </row>
    <row r="51" customFormat="false" ht="15" hidden="false" customHeight="false" outlineLevel="0" collapsed="false">
      <c r="A51" s="0" t="s">
        <v>117</v>
      </c>
      <c r="B51" s="3" t="n">
        <v>5</v>
      </c>
    </row>
    <row r="52" customFormat="false" ht="15" hidden="false" customHeight="false" outlineLevel="0" collapsed="false">
      <c r="A52" s="0" t="s">
        <v>118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7</v>
      </c>
      <c r="D5" s="4" t="n">
        <f aca="false">Assumptions!D13</f>
        <v>0</v>
      </c>
      <c r="E5" s="4" t="n">
        <f aca="false">Assumptions!E13</f>
        <v>2.5</v>
      </c>
      <c r="F5" s="4" t="n">
        <f aca="false">Assumptions!F13</f>
        <v>4</v>
      </c>
      <c r="G5" s="4" t="n">
        <f aca="false">Assumptions!G13</f>
        <v>4.5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13589</v>
      </c>
      <c r="C6" s="0" t="n">
        <f aca="false">B6*(1+C5/100)</f>
        <v>14540.23</v>
      </c>
      <c r="D6" s="0" t="n">
        <f aca="false">C6*(1+D5/100)</f>
        <v>14540.23</v>
      </c>
      <c r="E6" s="0" t="n">
        <f aca="false">D6*(1+E5/100)</f>
        <v>14903.73575</v>
      </c>
      <c r="F6" s="0" t="n">
        <f aca="false">E6*(1+F5/100)</f>
        <v>15499.88518</v>
      </c>
      <c r="G6" s="0" t="n">
        <f aca="false">F6*(1+G5/100)</f>
        <v>16197.3800131</v>
      </c>
      <c r="H6" s="0" t="n">
        <f aca="false">G6*(1+H5/100)</f>
        <v>16926.2621136895</v>
      </c>
      <c r="I6" s="0" t="n">
        <f aca="false">H6*(1+I5/100)</f>
        <v>17603.3125982371</v>
      </c>
      <c r="J6" s="0" t="n">
        <f aca="false">I6*(1+J5/100)</f>
        <v>18219.4285391754</v>
      </c>
      <c r="K6" s="0" t="n">
        <f aca="false">J6*(1+K5/100)</f>
        <v>18766.0113953506</v>
      </c>
      <c r="L6" s="0" t="n">
        <f aca="false">K6*(1+L5/100)</f>
        <v>19328.9917372112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54</v>
      </c>
      <c r="D7" s="4" t="n">
        <f aca="false">Assumptions!D14</f>
        <v>52</v>
      </c>
      <c r="E7" s="4" t="n">
        <f aca="false">Assumptions!E14</f>
        <v>52</v>
      </c>
      <c r="F7" s="4" t="n">
        <f aca="false">Assumptions!F14</f>
        <v>52.5</v>
      </c>
      <c r="G7" s="4" t="n">
        <f aca="false">Assumptions!G14</f>
        <v>53</v>
      </c>
      <c r="H7" s="4" t="n">
        <f aca="false">Assumptions!H14</f>
        <v>53.2</v>
      </c>
      <c r="I7" s="4" t="n">
        <f aca="false">Assumptions!I14</f>
        <v>53.4</v>
      </c>
      <c r="J7" s="4" t="n">
        <f aca="false">Assumptions!J14</f>
        <v>53.5</v>
      </c>
      <c r="K7" s="4" t="n">
        <f aca="false">Assumptions!K14</f>
        <v>53.5</v>
      </c>
      <c r="L7" s="4" t="n">
        <f aca="false">Assumptions!L14</f>
        <v>53.5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7851.7242</v>
      </c>
      <c r="D8" s="0" t="n">
        <f aca="false">D6*D7/100</f>
        <v>7560.9196</v>
      </c>
      <c r="E8" s="0" t="n">
        <f aca="false">E6*E7/100</f>
        <v>7749.94259</v>
      </c>
      <c r="F8" s="0" t="n">
        <f aca="false">F6*F7/100</f>
        <v>8137.4397195</v>
      </c>
      <c r="G8" s="0" t="n">
        <f aca="false">G6*G7/100</f>
        <v>8584.611406943</v>
      </c>
      <c r="H8" s="0" t="n">
        <f aca="false">H6*H7/100</f>
        <v>9004.77144448281</v>
      </c>
      <c r="I8" s="0" t="n">
        <f aca="false">I6*I7/100</f>
        <v>9400.1689274586</v>
      </c>
      <c r="J8" s="0" t="n">
        <f aca="false">J6*J7/100</f>
        <v>9747.39426845883</v>
      </c>
      <c r="K8" s="0" t="n">
        <f aca="false">K6*K7/100</f>
        <v>10039.8160965126</v>
      </c>
      <c r="L8" s="0" t="n">
        <f aca="false">L6*L7/100</f>
        <v>10341.010579408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2.3</v>
      </c>
      <c r="D9" s="4" t="n">
        <f aca="false">Assumptions!D15</f>
        <v>2.4</v>
      </c>
      <c r="E9" s="4" t="n">
        <f aca="false">Assumptions!E15</f>
        <v>2.4</v>
      </c>
      <c r="F9" s="4" t="n">
        <f aca="false">Assumptions!F15</f>
        <v>2.35</v>
      </c>
      <c r="G9" s="4" t="n">
        <f aca="false">Assumptions!G15</f>
        <v>2.3</v>
      </c>
      <c r="H9" s="4" t="n">
        <f aca="false">Assumptions!H15</f>
        <v>2.3</v>
      </c>
      <c r="I9" s="4" t="n">
        <f aca="false">Assumptions!I15</f>
        <v>2.3</v>
      </c>
      <c r="J9" s="4" t="n">
        <f aca="false">Assumptions!J15</f>
        <v>2.3</v>
      </c>
      <c r="K9" s="4" t="n">
        <f aca="false">Assumptions!K15</f>
        <v>2.3</v>
      </c>
      <c r="L9" s="4" t="n">
        <f aca="false">Assumptions!L15</f>
        <v>2.3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-334.42529</v>
      </c>
      <c r="D10" s="0" t="n">
        <f aca="false">-D6*D9/100</f>
        <v>-348.96552</v>
      </c>
      <c r="E10" s="0" t="n">
        <f aca="false">-E6*E9/100</f>
        <v>-357.689658</v>
      </c>
      <c r="F10" s="0" t="n">
        <f aca="false">-F6*F9/100</f>
        <v>-364.24730173</v>
      </c>
      <c r="G10" s="0" t="n">
        <f aca="false">-G6*G9/100</f>
        <v>-372.5397403013</v>
      </c>
      <c r="H10" s="0" t="n">
        <f aca="false">-H6*H9/100</f>
        <v>-389.304028614858</v>
      </c>
      <c r="I10" s="0" t="n">
        <f aca="false">-I6*I9/100</f>
        <v>-404.876189759453</v>
      </c>
      <c r="J10" s="0" t="n">
        <f aca="false">-J6*J9/100</f>
        <v>-419.046856401034</v>
      </c>
      <c r="K10" s="0" t="n">
        <f aca="false">-K6*K9/100</f>
        <v>-431.618262093065</v>
      </c>
      <c r="L10" s="0" t="n">
        <f aca="false">-L6*L9/100</f>
        <v>-444.566809955857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7517.29891</v>
      </c>
      <c r="D11" s="0" t="n">
        <f aca="false">D8+D10+D24</f>
        <v>7211.95408</v>
      </c>
      <c r="E11" s="0" t="n">
        <f aca="false">E8+E10+E24</f>
        <v>7392.252932</v>
      </c>
      <c r="F11" s="0" t="n">
        <f aca="false">F8+F10+F24</f>
        <v>7773.19241777</v>
      </c>
      <c r="G11" s="0" t="n">
        <f aca="false">G8+G10+G24</f>
        <v>8212.0716666417</v>
      </c>
      <c r="H11" s="0" t="n">
        <f aca="false">H8+H10+H24</f>
        <v>8615.46741586796</v>
      </c>
      <c r="I11" s="0" t="n">
        <f aca="false">I8+I10+I24</f>
        <v>8995.29273769915</v>
      </c>
      <c r="J11" s="0" t="n">
        <f aca="false">J8+J10+J24</f>
        <v>9328.34741205779</v>
      </c>
      <c r="K11" s="0" t="n">
        <f aca="false">K8+K10+K24</f>
        <v>9608.19783441953</v>
      </c>
      <c r="L11" s="0" t="n">
        <f aca="false">L8+L10+L24</f>
        <v>9896.44376945211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-116.32184</v>
      </c>
      <c r="D12" s="4" t="n">
        <f aca="false">-D6*Assumptions!D17/100</f>
        <v>-123.591955</v>
      </c>
      <c r="E12" s="4" t="n">
        <f aca="false">-E6*Assumptions!E17/100</f>
        <v>-126.681753875</v>
      </c>
      <c r="F12" s="4" t="n">
        <f aca="false">-F6*Assumptions!F17/100</f>
        <v>-131.74902403</v>
      </c>
      <c r="G12" s="4" t="n">
        <f aca="false">-G6*Assumptions!G17/100</f>
        <v>-137.67773011135</v>
      </c>
      <c r="H12" s="4" t="n">
        <f aca="false">-H6*Assumptions!H17/100</f>
        <v>-143.873227966361</v>
      </c>
      <c r="I12" s="4" t="n">
        <f aca="false">-I6*Assumptions!I17/100</f>
        <v>-149.628157085015</v>
      </c>
      <c r="J12" s="4" t="n">
        <f aca="false">-J6*Assumptions!J17/100</f>
        <v>-154.865142582991</v>
      </c>
      <c r="K12" s="4" t="n">
        <f aca="false">-K6*Assumptions!K17/100</f>
        <v>-159.51109686048</v>
      </c>
      <c r="L12" s="4" t="n">
        <f aca="false">-L6*Assumptions!L17/100</f>
        <v>-164.296429766295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7400.97707</v>
      </c>
      <c r="D13" s="0" t="n">
        <f aca="false">D11+D12</f>
        <v>7088.362125</v>
      </c>
      <c r="E13" s="0" t="n">
        <f aca="false">E11+E12</f>
        <v>7265.571178125</v>
      </c>
      <c r="F13" s="0" t="n">
        <f aca="false">F11+F12</f>
        <v>7641.44339374</v>
      </c>
      <c r="G13" s="0" t="n">
        <f aca="false">G11+G12</f>
        <v>8074.39393653035</v>
      </c>
      <c r="H13" s="0" t="n">
        <f aca="false">H11+H12</f>
        <v>8471.5941879016</v>
      </c>
      <c r="I13" s="0" t="n">
        <f aca="false">I11+I12</f>
        <v>8845.66458061413</v>
      </c>
      <c r="J13" s="0" t="n">
        <f aca="false">J11+J12</f>
        <v>9173.4822694748</v>
      </c>
      <c r="K13" s="0" t="n">
        <f aca="false">K11+K12</f>
        <v>9448.68673755905</v>
      </c>
      <c r="L13" s="0" t="n">
        <f aca="false">L11+L12</f>
        <v>9732.14733968582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5328.7034904</v>
      </c>
      <c r="D15" s="0" t="n">
        <f aca="false">D13-MAX(0,D13)*D14/100</f>
        <v>5103.62073</v>
      </c>
      <c r="E15" s="0" t="n">
        <f aca="false">E13-MAX(0,E13)*E14/100</f>
        <v>5231.21124825</v>
      </c>
      <c r="F15" s="0" t="n">
        <f aca="false">F13-MAX(0,F13)*F14/100</f>
        <v>5501.8392434928</v>
      </c>
      <c r="G15" s="0" t="n">
        <f aca="false">G13-MAX(0,G13)*G14/100</f>
        <v>5813.56363430185</v>
      </c>
      <c r="H15" s="0" t="n">
        <f aca="false">H13-MAX(0,H13)*H14/100</f>
        <v>6099.54781528915</v>
      </c>
      <c r="I15" s="0" t="n">
        <f aca="false">I13-MAX(0,I13)*I14/100</f>
        <v>6368.87849804218</v>
      </c>
      <c r="J15" s="0" t="n">
        <f aca="false">J13-MAX(0,J13)*J14/100</f>
        <v>6604.90723402186</v>
      </c>
      <c r="K15" s="0" t="n">
        <f aca="false">K13-MAX(0,K13)*K14/100</f>
        <v>6803.05445104251</v>
      </c>
      <c r="L15" s="0" t="n">
        <f aca="false">L13-MAX(0,L13)*L14/100</f>
        <v>7007.14608457379</v>
      </c>
    </row>
    <row r="16" customFormat="false" ht="15" hidden="false" customHeight="false" outlineLevel="0" collapsed="false">
      <c r="A16" s="0" t="s">
        <v>129</v>
      </c>
      <c r="C16" s="0" t="n">
        <f aca="false">-C12</f>
        <v>116.32184</v>
      </c>
      <c r="D16" s="0" t="n">
        <f aca="false">-D12</f>
        <v>123.591955</v>
      </c>
      <c r="E16" s="0" t="n">
        <f aca="false">-E12</f>
        <v>126.681753875</v>
      </c>
      <c r="F16" s="0" t="n">
        <f aca="false">-F12</f>
        <v>131.74902403</v>
      </c>
      <c r="G16" s="0" t="n">
        <f aca="false">-G12</f>
        <v>137.67773011135</v>
      </c>
      <c r="H16" s="0" t="n">
        <f aca="false">-H12</f>
        <v>143.873227966361</v>
      </c>
      <c r="I16" s="0" t="n">
        <f aca="false">-I12</f>
        <v>149.628157085015</v>
      </c>
      <c r="J16" s="0" t="n">
        <f aca="false">-J12</f>
        <v>154.865142582991</v>
      </c>
      <c r="K16" s="0" t="n">
        <f aca="false">-K12</f>
        <v>159.51109686048</v>
      </c>
      <c r="L16" s="0" t="n">
        <f aca="false">-L12</f>
        <v>164.296429766295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-159.94253</v>
      </c>
      <c r="D17" s="4" t="n">
        <f aca="false">-D6*Assumptions!D18/100</f>
        <v>-189.02299</v>
      </c>
      <c r="E17" s="4" t="n">
        <f aca="false">-E6*Assumptions!E18/100</f>
        <v>-193.74856475</v>
      </c>
      <c r="F17" s="4" t="n">
        <f aca="false">-F6*Assumptions!F18/100</f>
        <v>-201.49850734</v>
      </c>
      <c r="G17" s="4" t="n">
        <f aca="false">-G6*Assumptions!G18/100</f>
        <v>-210.5659401703</v>
      </c>
      <c r="H17" s="4" t="n">
        <f aca="false">-H6*Assumptions!H18/100</f>
        <v>-220.041407477964</v>
      </c>
      <c r="I17" s="4" t="n">
        <f aca="false">-I6*Assumptions!I18/100</f>
        <v>-228.843063777082</v>
      </c>
      <c r="J17" s="4" t="n">
        <f aca="false">-J6*Assumptions!J18/100</f>
        <v>-236.85257100928</v>
      </c>
      <c r="K17" s="4" t="n">
        <f aca="false">-K6*Assumptions!K18/100</f>
        <v>-243.958148139558</v>
      </c>
      <c r="L17" s="4" t="n">
        <f aca="false">-L6*Assumptions!L18/100</f>
        <v>-251.276892583745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47.5615000000001</v>
      </c>
      <c r="D18" s="4" t="n">
        <f aca="false">(D6-C6)*Assumptions!$B$23/100</f>
        <v>0</v>
      </c>
      <c r="E18" s="4" t="n">
        <f aca="false">(E6-D6)*Assumptions!$B$23/100</f>
        <v>18.1752874999999</v>
      </c>
      <c r="F18" s="4" t="n">
        <f aca="false">(F6-E6)*Assumptions!$B$23/100</f>
        <v>29.8074715000001</v>
      </c>
      <c r="G18" s="4" t="n">
        <f aca="false">(G6-F6)*Assumptions!$B$23/100</f>
        <v>34.874741655</v>
      </c>
      <c r="H18" s="4" t="n">
        <f aca="false">(H6-G6)*Assumptions!$B$23/100</f>
        <v>36.4441050294749</v>
      </c>
      <c r="I18" s="4" t="n">
        <f aca="false">(I6-H6)*Assumptions!$B$23/100</f>
        <v>33.852524227379</v>
      </c>
      <c r="J18" s="4" t="n">
        <f aca="false">(J6-I6)*Assumptions!$B$23/100</f>
        <v>30.8057970469148</v>
      </c>
      <c r="K18" s="4" t="n">
        <f aca="false">(K6-J6)*Assumptions!$B$23/100</f>
        <v>27.329142808763</v>
      </c>
      <c r="L18" s="4" t="n">
        <f aca="false">(L6-K6)*Assumptions!$B$23/100</f>
        <v>28.1490170930259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5332.6443004</v>
      </c>
      <c r="D19" s="0" t="n">
        <f aca="false">D15+D16+D17+D18</f>
        <v>5038.189695</v>
      </c>
      <c r="E19" s="0" t="n">
        <f aca="false">E15+E16+E17+E18</f>
        <v>5182.319724875</v>
      </c>
      <c r="F19" s="0" t="n">
        <f aca="false">F15+F16+F17+F18</f>
        <v>5461.8972316828</v>
      </c>
      <c r="G19" s="0" t="n">
        <f aca="false">G15+G16+G17+G18</f>
        <v>5775.5501658979</v>
      </c>
      <c r="H19" s="0" t="n">
        <f aca="false">H15+H16+H17+H18</f>
        <v>6059.82374080702</v>
      </c>
      <c r="I19" s="0" t="n">
        <f aca="false">I15+I16+I17+I18</f>
        <v>6323.51611557749</v>
      </c>
      <c r="J19" s="0" t="n">
        <f aca="false">J15+J16+J17+J18</f>
        <v>6553.72560264248</v>
      </c>
      <c r="K19" s="0" t="n">
        <f aca="false">K15+K16+K17+K18</f>
        <v>6745.9365425722</v>
      </c>
      <c r="L19" s="0" t="n">
        <f aca="false">L15+L16+L17+L18</f>
        <v>6948.31463884936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4914.87953953917</v>
      </c>
      <c r="D21" s="0" t="n">
        <f aca="false">D19*D20</f>
        <v>4279.71687230564</v>
      </c>
      <c r="E21" s="0" t="n">
        <f aca="false">E19*E20</f>
        <v>4057.28008126195</v>
      </c>
      <c r="F21" s="0" t="n">
        <f aca="false">F19*F20</f>
        <v>3941.16458569663</v>
      </c>
      <c r="G21" s="0" t="n">
        <f aca="false">G19*G20</f>
        <v>3841.00320480317</v>
      </c>
      <c r="H21" s="0" t="n">
        <f aca="false">H19*H20</f>
        <v>3714.33921175882</v>
      </c>
      <c r="I21" s="0" t="n">
        <f aca="false">I19*I20</f>
        <v>3572.32088322579</v>
      </c>
      <c r="J21" s="0" t="n">
        <f aca="false">J19*J20</f>
        <v>3412.32469001537</v>
      </c>
      <c r="K21" s="0" t="n">
        <f aca="false">K19*K20</f>
        <v>3237.23783774535</v>
      </c>
      <c r="L21" s="0" t="n">
        <f aca="false">L19*L20</f>
        <v>3073.13822385043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38043.4051302023</v>
      </c>
    </row>
    <row r="31" customFormat="false" ht="15" hidden="false" customHeight="false" outlineLevel="0" collapsed="false">
      <c r="A31" s="0" t="s">
        <v>138</v>
      </c>
      <c r="B31" s="0" t="n">
        <f aca="false">L19</f>
        <v>6948.31463884936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118700.375080343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125069.663499289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118700.375080343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52499.4446574448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90542.8497876471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81366.8497876471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275.913359741089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-0.289176216660427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2484.56450919997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3359.01752423797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295.728829505205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56976.1800385648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113.70204926267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8</v>
      </c>
      <c r="D5" s="4" t="n">
        <f aca="false">Assumptions!D27</f>
        <v>6.5</v>
      </c>
      <c r="E5" s="4" t="n">
        <f aca="false">Assumptions!E27</f>
        <v>7</v>
      </c>
      <c r="F5" s="4" t="n">
        <f aca="false">Assumptions!F27</f>
        <v>7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13589</v>
      </c>
      <c r="C6" s="0" t="n">
        <f aca="false">B6*(1+C5/100)</f>
        <v>14676.12</v>
      </c>
      <c r="D6" s="0" t="n">
        <f aca="false">C6*(1+D5/100)</f>
        <v>15630.0678</v>
      </c>
      <c r="E6" s="0" t="n">
        <f aca="false">D6*(1+E5/100)</f>
        <v>16724.172546</v>
      </c>
      <c r="F6" s="0" t="n">
        <f aca="false">E6*(1+F5/100)</f>
        <v>17894.86462422</v>
      </c>
      <c r="G6" s="0" t="n">
        <f aca="false">F6*(1+G5/100)</f>
        <v>19058.0308247943</v>
      </c>
      <c r="H6" s="0" t="n">
        <f aca="false">G6*(1+H5/100)</f>
        <v>20201.512674282</v>
      </c>
      <c r="I6" s="0" t="n">
        <f aca="false">H6*(1+I5/100)</f>
        <v>21312.5958713675</v>
      </c>
      <c r="J6" s="0" t="n">
        <f aca="false">I6*(1+J5/100)</f>
        <v>22378.2256649358</v>
      </c>
      <c r="K6" s="0" t="n">
        <f aca="false">J6*(1+K5/100)</f>
        <v>23385.245819858</v>
      </c>
      <c r="L6" s="0" t="n">
        <f aca="false">K6*(1+L5/100)</f>
        <v>24320.6556526523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54.2</v>
      </c>
      <c r="D7" s="4" t="n">
        <f aca="false">Assumptions!D28</f>
        <v>54.7</v>
      </c>
      <c r="E7" s="4" t="n">
        <f aca="false">Assumptions!E28</f>
        <v>55.2</v>
      </c>
      <c r="F7" s="4" t="n">
        <f aca="false">Assumptions!F28</f>
        <v>55.6</v>
      </c>
      <c r="G7" s="4" t="n">
        <f aca="false">Assumptions!G28</f>
        <v>56</v>
      </c>
      <c r="H7" s="4" t="n">
        <f aca="false">Assumptions!H28</f>
        <v>56.3</v>
      </c>
      <c r="I7" s="4" t="n">
        <f aca="false">Assumptions!I28</f>
        <v>56.5</v>
      </c>
      <c r="J7" s="4" t="n">
        <f aca="false">Assumptions!J28</f>
        <v>56.6</v>
      </c>
      <c r="K7" s="4" t="n">
        <f aca="false">Assumptions!K28</f>
        <v>56.7</v>
      </c>
      <c r="L7" s="4" t="n">
        <f aca="false">Assumptions!L28</f>
        <v>56.7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7954.45704</v>
      </c>
      <c r="D8" s="0" t="n">
        <f aca="false">D6*D7/100</f>
        <v>8549.6470866</v>
      </c>
      <c r="E8" s="0" t="n">
        <f aca="false">E6*E7/100</f>
        <v>9231.743245392</v>
      </c>
      <c r="F8" s="0" t="n">
        <f aca="false">F6*F7/100</f>
        <v>9949.54473106632</v>
      </c>
      <c r="G8" s="0" t="n">
        <f aca="false">G6*G7/100</f>
        <v>10672.4972618848</v>
      </c>
      <c r="H8" s="0" t="n">
        <f aca="false">H6*H7/100</f>
        <v>11373.4516356207</v>
      </c>
      <c r="I8" s="0" t="n">
        <f aca="false">I6*I7/100</f>
        <v>12041.6166673226</v>
      </c>
      <c r="J8" s="0" t="n">
        <f aca="false">J6*J7/100</f>
        <v>12666.0757263537</v>
      </c>
      <c r="K8" s="0" t="n">
        <f aca="false">K6*K7/100</f>
        <v>13259.4343798595</v>
      </c>
      <c r="L8" s="0" t="n">
        <f aca="false">L6*L7/100</f>
        <v>13789.8117550538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2.3</v>
      </c>
      <c r="D9" s="4" t="n">
        <f aca="false">Assumptions!D29</f>
        <v>2.3</v>
      </c>
      <c r="E9" s="4" t="n">
        <f aca="false">Assumptions!E29</f>
        <v>2.3</v>
      </c>
      <c r="F9" s="4" t="n">
        <f aca="false">Assumptions!F29</f>
        <v>2.25</v>
      </c>
      <c r="G9" s="4" t="n">
        <f aca="false">Assumptions!G29</f>
        <v>2.25</v>
      </c>
      <c r="H9" s="4" t="n">
        <f aca="false">Assumptions!H29</f>
        <v>2.2</v>
      </c>
      <c r="I9" s="4" t="n">
        <f aca="false">Assumptions!I29</f>
        <v>2.2</v>
      </c>
      <c r="J9" s="4" t="n">
        <f aca="false">Assumptions!J29</f>
        <v>2.2</v>
      </c>
      <c r="K9" s="4" t="n">
        <f aca="false">Assumptions!K29</f>
        <v>2.2</v>
      </c>
      <c r="L9" s="4" t="n">
        <f aca="false">Assumptions!L29</f>
        <v>2.2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-337.55076</v>
      </c>
      <c r="D10" s="0" t="n">
        <f aca="false">-D6*D9/100</f>
        <v>-359.4915594</v>
      </c>
      <c r="E10" s="0" t="n">
        <f aca="false">-E6*E9/100</f>
        <v>-384.655968558</v>
      </c>
      <c r="F10" s="0" t="n">
        <f aca="false">-F6*F9/100</f>
        <v>-402.63445404495</v>
      </c>
      <c r="G10" s="0" t="n">
        <f aca="false">-G6*G9/100</f>
        <v>-428.805693557872</v>
      </c>
      <c r="H10" s="0" t="n">
        <f aca="false">-H6*H9/100</f>
        <v>-444.433278834203</v>
      </c>
      <c r="I10" s="0" t="n">
        <f aca="false">-I6*I9/100</f>
        <v>-468.877109170084</v>
      </c>
      <c r="J10" s="0" t="n">
        <f aca="false">-J6*J9/100</f>
        <v>-492.320964628589</v>
      </c>
      <c r="K10" s="0" t="n">
        <f aca="false">-K6*K9/100</f>
        <v>-514.475408036875</v>
      </c>
      <c r="L10" s="0" t="n">
        <f aca="false">-L6*L9/100</f>
        <v>-535.05442435835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7616.90628</v>
      </c>
      <c r="D11" s="0" t="n">
        <f aca="false">D8+D10+D24</f>
        <v>8190.1555272</v>
      </c>
      <c r="E11" s="0" t="n">
        <f aca="false">E8+E10+E24</f>
        <v>8847.087276834</v>
      </c>
      <c r="F11" s="0" t="n">
        <f aca="false">F8+F10+F24</f>
        <v>9546.91027702137</v>
      </c>
      <c r="G11" s="0" t="n">
        <f aca="false">G8+G10+G24</f>
        <v>10243.6915683269</v>
      </c>
      <c r="H11" s="0" t="n">
        <f aca="false">H8+H10+H24</f>
        <v>10929.0183567865</v>
      </c>
      <c r="I11" s="0" t="n">
        <f aca="false">I8+I10+I24</f>
        <v>11572.7395581525</v>
      </c>
      <c r="J11" s="0" t="n">
        <f aca="false">J8+J10+J24</f>
        <v>12173.7547617251</v>
      </c>
      <c r="K11" s="0" t="n">
        <f aca="false">K8+K10+K24</f>
        <v>12744.9589718226</v>
      </c>
      <c r="L11" s="0" t="n">
        <f aca="false">L8+L10+L24</f>
        <v>13254.7573306955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-117.40896</v>
      </c>
      <c r="D12" s="4" t="n">
        <f aca="false">-D6*Assumptions!D31/100</f>
        <v>-125.0405424</v>
      </c>
      <c r="E12" s="4" t="n">
        <f aca="false">-E6*Assumptions!E31/100</f>
        <v>-133.793380368</v>
      </c>
      <c r="F12" s="4" t="n">
        <f aca="false">-F6*Assumptions!F31/100</f>
        <v>-143.15891699376</v>
      </c>
      <c r="G12" s="4" t="n">
        <f aca="false">-G6*Assumptions!G31/100</f>
        <v>-152.464246598354</v>
      </c>
      <c r="H12" s="4" t="n">
        <f aca="false">-H6*Assumptions!H31/100</f>
        <v>-161.612101394256</v>
      </c>
      <c r="I12" s="4" t="n">
        <f aca="false">-I6*Assumptions!I31/100</f>
        <v>-170.50076697094</v>
      </c>
      <c r="J12" s="4" t="n">
        <f aca="false">-J6*Assumptions!J31/100</f>
        <v>-179.025805319487</v>
      </c>
      <c r="K12" s="4" t="n">
        <f aca="false">-K6*Assumptions!K31/100</f>
        <v>-187.081966558864</v>
      </c>
      <c r="L12" s="4" t="n">
        <f aca="false">-L6*Assumptions!L31/100</f>
        <v>-194.565245221218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7499.49732</v>
      </c>
      <c r="D13" s="0" t="n">
        <f aca="false">D11+D12</f>
        <v>8065.1149848</v>
      </c>
      <c r="E13" s="0" t="n">
        <f aca="false">E11+E12</f>
        <v>8713.293896466</v>
      </c>
      <c r="F13" s="0" t="n">
        <f aca="false">F11+F12</f>
        <v>9403.75136002761</v>
      </c>
      <c r="G13" s="0" t="n">
        <f aca="false">G11+G12</f>
        <v>10091.2273217286</v>
      </c>
      <c r="H13" s="0" t="n">
        <f aca="false">H11+H12</f>
        <v>10767.4062553923</v>
      </c>
      <c r="I13" s="0" t="n">
        <f aca="false">I11+I12</f>
        <v>11402.2387911816</v>
      </c>
      <c r="J13" s="0" t="n">
        <f aca="false">J11+J12</f>
        <v>11994.7289564056</v>
      </c>
      <c r="K13" s="0" t="n">
        <f aca="false">K11+K12</f>
        <v>12557.8770052637</v>
      </c>
      <c r="L13" s="0" t="n">
        <f aca="false">L11+L12</f>
        <v>13060.1920854743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28</v>
      </c>
      <c r="D14" s="4" t="n">
        <f aca="false">Assumptions!D33</f>
        <v>28.1</v>
      </c>
      <c r="E14" s="4" t="n">
        <f aca="false">Assumptions!E33</f>
        <v>28.2</v>
      </c>
      <c r="F14" s="4" t="n">
        <f aca="false">Assumptions!F33</f>
        <v>28.3</v>
      </c>
      <c r="G14" s="4" t="n">
        <f aca="false">Assumptions!G33</f>
        <v>28.4</v>
      </c>
      <c r="H14" s="4" t="n">
        <f aca="false">Assumptions!H33</f>
        <v>28.5</v>
      </c>
      <c r="I14" s="4" t="n">
        <f aca="false">Assumptions!I33</f>
        <v>28.5</v>
      </c>
      <c r="J14" s="4" t="n">
        <f aca="false">Assumptions!J33</f>
        <v>28.5</v>
      </c>
      <c r="K14" s="4" t="n">
        <f aca="false">Assumptions!K33</f>
        <v>28.5</v>
      </c>
      <c r="L14" s="4" t="n">
        <f aca="false">Assumptions!L33</f>
        <v>28.5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5399.6380704</v>
      </c>
      <c r="D15" s="0" t="n">
        <f aca="false">D13-MAX(0,D13)*D14/100</f>
        <v>5798.8176740712</v>
      </c>
      <c r="E15" s="0" t="n">
        <f aca="false">E13-MAX(0,E13)*E14/100</f>
        <v>6256.14501766259</v>
      </c>
      <c r="F15" s="0" t="n">
        <f aca="false">F13-MAX(0,F13)*F14/100</f>
        <v>6742.4897251398</v>
      </c>
      <c r="G15" s="0" t="n">
        <f aca="false">G13-MAX(0,G13)*G14/100</f>
        <v>7225.31876235767</v>
      </c>
      <c r="H15" s="0" t="n">
        <f aca="false">H13-MAX(0,H13)*H14/100</f>
        <v>7698.69547260548</v>
      </c>
      <c r="I15" s="0" t="n">
        <f aca="false">I13-MAX(0,I13)*I14/100</f>
        <v>8152.60073569484</v>
      </c>
      <c r="J15" s="0" t="n">
        <f aca="false">J13-MAX(0,J13)*J14/100</f>
        <v>8576.23120383001</v>
      </c>
      <c r="K15" s="0" t="n">
        <f aca="false">K13-MAX(0,K13)*K14/100</f>
        <v>8978.88205876356</v>
      </c>
      <c r="L15" s="0" t="n">
        <f aca="false">L13-MAX(0,L13)*L14/100</f>
        <v>9338.0373411141</v>
      </c>
    </row>
    <row r="16" customFormat="false" ht="15" hidden="false" customHeight="false" outlineLevel="0" collapsed="false">
      <c r="A16" s="0" t="s">
        <v>129</v>
      </c>
      <c r="C16" s="0" t="n">
        <f aca="false">-C12</f>
        <v>117.40896</v>
      </c>
      <c r="D16" s="0" t="n">
        <f aca="false">-D12</f>
        <v>125.0405424</v>
      </c>
      <c r="E16" s="0" t="n">
        <f aca="false">-E12</f>
        <v>133.793380368</v>
      </c>
      <c r="F16" s="0" t="n">
        <f aca="false">-F12</f>
        <v>143.15891699376</v>
      </c>
      <c r="G16" s="0" t="n">
        <f aca="false">-G12</f>
        <v>152.464246598354</v>
      </c>
      <c r="H16" s="0" t="n">
        <f aca="false">-H12</f>
        <v>161.612101394256</v>
      </c>
      <c r="I16" s="0" t="n">
        <f aca="false">-I12</f>
        <v>170.50076697094</v>
      </c>
      <c r="J16" s="0" t="n">
        <f aca="false">-J12</f>
        <v>179.025805319487</v>
      </c>
      <c r="K16" s="0" t="n">
        <f aca="false">-K12</f>
        <v>187.081966558864</v>
      </c>
      <c r="L16" s="0" t="n">
        <f aca="false">-L12</f>
        <v>194.565245221218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-161.43732</v>
      </c>
      <c r="D17" s="4" t="n">
        <f aca="false">-D6*Assumptions!D32/100</f>
        <v>-187.5608136</v>
      </c>
      <c r="E17" s="4" t="n">
        <f aca="false">-E6*Assumptions!E32/100</f>
        <v>-200.690070552</v>
      </c>
      <c r="F17" s="4" t="n">
        <f aca="false">-F6*Assumptions!F32/100</f>
        <v>-214.73837549064</v>
      </c>
      <c r="G17" s="4" t="n">
        <f aca="false">-G6*Assumptions!G32/100</f>
        <v>-228.696369897532</v>
      </c>
      <c r="H17" s="4" t="n">
        <f aca="false">-H6*Assumptions!H32/100</f>
        <v>-242.418152091384</v>
      </c>
      <c r="I17" s="4" t="n">
        <f aca="false">-I6*Assumptions!I32/100</f>
        <v>-255.75115045641</v>
      </c>
      <c r="J17" s="4" t="n">
        <f aca="false">-J6*Assumptions!J32/100</f>
        <v>-268.53870797923</v>
      </c>
      <c r="K17" s="4" t="n">
        <f aca="false">-K6*Assumptions!K32/100</f>
        <v>-280.622949838296</v>
      </c>
      <c r="L17" s="4" t="n">
        <f aca="false">-L6*Assumptions!L32/100</f>
        <v>-291.847867831827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54.356</v>
      </c>
      <c r="D18" s="4" t="n">
        <f aca="false">(D6-C6)*Assumptions!$B$37/100</f>
        <v>47.69739</v>
      </c>
      <c r="E18" s="4" t="n">
        <f aca="false">(E6-D6)*Assumptions!$B$37/100</f>
        <v>54.7052373</v>
      </c>
      <c r="F18" s="4" t="n">
        <f aca="false">(F6-E6)*Assumptions!$B$37/100</f>
        <v>58.534603911</v>
      </c>
      <c r="G18" s="4" t="n">
        <f aca="false">(G6-F6)*Assumptions!$B$37/100</f>
        <v>58.1583100287149</v>
      </c>
      <c r="H18" s="4" t="n">
        <f aca="false">(H6-G6)*Assumptions!$B$37/100</f>
        <v>57.174092474383</v>
      </c>
      <c r="I18" s="4" t="n">
        <f aca="false">(I6-H6)*Assumptions!$B$37/100</f>
        <v>55.5541598542754</v>
      </c>
      <c r="J18" s="4" t="n">
        <f aca="false">(J6-I6)*Assumptions!$B$37/100</f>
        <v>53.2814896784188</v>
      </c>
      <c r="K18" s="4" t="n">
        <f aca="false">(K6-J6)*Assumptions!$B$37/100</f>
        <v>50.3510077461056</v>
      </c>
      <c r="L18" s="4" t="n">
        <f aca="false">(L6-K6)*Assumptions!$B$37/100</f>
        <v>46.7704916397159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5409.9657104</v>
      </c>
      <c r="D19" s="0" t="n">
        <f aca="false">D15+D16+D17+D18</f>
        <v>5783.9947928712</v>
      </c>
      <c r="E19" s="0" t="n">
        <f aca="false">E15+E16+E17+E18</f>
        <v>6243.95356477859</v>
      </c>
      <c r="F19" s="0" t="n">
        <f aca="false">F15+F16+F17+F18</f>
        <v>6729.44487055392</v>
      </c>
      <c r="G19" s="0" t="n">
        <f aca="false">G15+G16+G17+G18</f>
        <v>7207.2449490872</v>
      </c>
      <c r="H19" s="0" t="n">
        <f aca="false">H15+H16+H17+H18</f>
        <v>7675.06351438274</v>
      </c>
      <c r="I19" s="0" t="n">
        <f aca="false">I15+I16+I17+I18</f>
        <v>8122.90451206365</v>
      </c>
      <c r="J19" s="0" t="n">
        <f aca="false">J15+J16+J17+J18</f>
        <v>8539.99979084869</v>
      </c>
      <c r="K19" s="0" t="n">
        <f aca="false">K15+K16+K17+K18</f>
        <v>8935.69208323024</v>
      </c>
      <c r="L19" s="0" t="n">
        <f aca="false">L15+L16+L17+L18</f>
        <v>9287.52521014321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4986.1435118894</v>
      </c>
      <c r="D21" s="0" t="n">
        <f aca="false">D19*D20</f>
        <v>4913.24495561274</v>
      </c>
      <c r="E21" s="0" t="n">
        <f aca="false">E19*E20</f>
        <v>4888.44181209058</v>
      </c>
      <c r="F21" s="0" t="n">
        <f aca="false">F19*F20</f>
        <v>4855.79436599059</v>
      </c>
      <c r="G21" s="0" t="n">
        <f aca="false">G19*G20</f>
        <v>4793.14526790914</v>
      </c>
      <c r="H21" s="0" t="n">
        <f aca="false">H19*H20</f>
        <v>4704.39250109521</v>
      </c>
      <c r="I21" s="0" t="n">
        <f aca="false">I19*I20</f>
        <v>4588.84280367552</v>
      </c>
      <c r="J21" s="0" t="n">
        <f aca="false">J19*J20</f>
        <v>4446.51697460285</v>
      </c>
      <c r="K21" s="0" t="n">
        <f aca="false">K19*K20</f>
        <v>4288.05701561562</v>
      </c>
      <c r="L21" s="0" t="n">
        <f aca="false">L19*L20</f>
        <v>4107.73694223382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46572.3161507155</v>
      </c>
    </row>
    <row r="31" customFormat="false" ht="15" hidden="false" customHeight="false" outlineLevel="0" collapsed="false">
      <c r="A31" s="0" t="s">
        <v>138</v>
      </c>
      <c r="B31" s="0" t="n">
        <f aca="false">L19</f>
        <v>9287.52521014321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173930.017571773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185750.504202864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173930.017571773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76926.7100091061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123499.026159822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114323.026159822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387.667094472097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-0.00126985142184299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2770.49867707256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4431.74856707272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412.089770783204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79717.9247203959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153.077847445629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9.5</v>
      </c>
      <c r="D5" s="4" t="n">
        <f aca="false">Assumptions!D41</f>
        <v>9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7.5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5.5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13589</v>
      </c>
      <c r="C6" s="0" t="n">
        <f aca="false">B6*(1+C5/100)</f>
        <v>14879.955</v>
      </c>
      <c r="D6" s="0" t="n">
        <f aca="false">C6*(1+D5/100)</f>
        <v>16219.15095</v>
      </c>
      <c r="E6" s="0" t="n">
        <f aca="false">D6*(1+E5/100)</f>
        <v>17678.8745355</v>
      </c>
      <c r="F6" s="0" t="n">
        <f aca="false">E6*(1+F5/100)</f>
        <v>19181.5788710175</v>
      </c>
      <c r="G6" s="0" t="n">
        <f aca="false">F6*(1+G5/100)</f>
        <v>20716.1051806989</v>
      </c>
      <c r="H6" s="0" t="n">
        <f aca="false">G6*(1+H5/100)</f>
        <v>22269.8130692513</v>
      </c>
      <c r="I6" s="0" t="n">
        <f aca="false">H6*(1+I5/100)</f>
        <v>23828.6999840989</v>
      </c>
      <c r="J6" s="0" t="n">
        <f aca="false">I6*(1+J5/100)</f>
        <v>25258.4219831449</v>
      </c>
      <c r="K6" s="0" t="n">
        <f aca="false">J6*(1+K5/100)</f>
        <v>26647.6351922178</v>
      </c>
      <c r="L6" s="0" t="n">
        <f aca="false">K6*(1+L5/100)</f>
        <v>27980.0169518287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54.5</v>
      </c>
      <c r="D7" s="4" t="n">
        <f aca="false">Assumptions!D42</f>
        <v>55.3</v>
      </c>
      <c r="E7" s="4" t="n">
        <f aca="false">Assumptions!E42</f>
        <v>56.1</v>
      </c>
      <c r="F7" s="4" t="n">
        <f aca="false">Assumptions!F42</f>
        <v>56.8</v>
      </c>
      <c r="G7" s="4" t="n">
        <f aca="false">Assumptions!G42</f>
        <v>57.4</v>
      </c>
      <c r="H7" s="4" t="n">
        <f aca="false">Assumptions!H42</f>
        <v>57.9</v>
      </c>
      <c r="I7" s="4" t="n">
        <f aca="false">Assumptions!I42</f>
        <v>58.3</v>
      </c>
      <c r="J7" s="4" t="n">
        <f aca="false">Assumptions!J42</f>
        <v>58.5</v>
      </c>
      <c r="K7" s="4" t="n">
        <f aca="false">Assumptions!K42</f>
        <v>58.5</v>
      </c>
      <c r="L7" s="4" t="n">
        <f aca="false">Assumptions!L42</f>
        <v>58.5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8109.575475</v>
      </c>
      <c r="D8" s="0" t="n">
        <f aca="false">D6*D7/100</f>
        <v>8969.19047535</v>
      </c>
      <c r="E8" s="0" t="n">
        <f aca="false">E6*E7/100</f>
        <v>9917.8486144155</v>
      </c>
      <c r="F8" s="0" t="n">
        <f aca="false">F6*F7/100</f>
        <v>10895.1367987379</v>
      </c>
      <c r="G8" s="0" t="n">
        <f aca="false">G6*G7/100</f>
        <v>11891.0443737212</v>
      </c>
      <c r="H8" s="0" t="n">
        <f aca="false">H6*H7/100</f>
        <v>12894.2217670965</v>
      </c>
      <c r="I8" s="0" t="n">
        <f aca="false">I6*I7/100</f>
        <v>13892.1320907297</v>
      </c>
      <c r="J8" s="0" t="n">
        <f aca="false">J6*J7/100</f>
        <v>14776.1768601397</v>
      </c>
      <c r="K8" s="0" t="n">
        <f aca="false">K6*K7/100</f>
        <v>15588.8665874474</v>
      </c>
      <c r="L8" s="0" t="n">
        <f aca="false">L6*L7/100</f>
        <v>16368.3099168198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2.3</v>
      </c>
      <c r="D9" s="4" t="n">
        <f aca="false">Assumptions!D43</f>
        <v>2.3</v>
      </c>
      <c r="E9" s="4" t="n">
        <f aca="false">Assumptions!E43</f>
        <v>2.3</v>
      </c>
      <c r="F9" s="4" t="n">
        <f aca="false">Assumptions!F43</f>
        <v>2.25</v>
      </c>
      <c r="G9" s="4" t="n">
        <f aca="false">Assumptions!G43</f>
        <v>2.25</v>
      </c>
      <c r="H9" s="4" t="n">
        <f aca="false">Assumptions!H43</f>
        <v>2.2</v>
      </c>
      <c r="I9" s="4" t="n">
        <f aca="false">Assumptions!I43</f>
        <v>2.2</v>
      </c>
      <c r="J9" s="4" t="n">
        <f aca="false">Assumptions!J43</f>
        <v>2.2</v>
      </c>
      <c r="K9" s="4" t="n">
        <f aca="false">Assumptions!K43</f>
        <v>2.2</v>
      </c>
      <c r="L9" s="4" t="n">
        <f aca="false">Assumptions!L43</f>
        <v>2.2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-342.238965</v>
      </c>
      <c r="D10" s="0" t="n">
        <f aca="false">-D6*D9/100</f>
        <v>-373.04047185</v>
      </c>
      <c r="E10" s="0" t="n">
        <f aca="false">-E6*E9/100</f>
        <v>-406.6141143165</v>
      </c>
      <c r="F10" s="0" t="n">
        <f aca="false">-F6*F9/100</f>
        <v>-431.585524597894</v>
      </c>
      <c r="G10" s="0" t="n">
        <f aca="false">-G6*G9/100</f>
        <v>-466.112366565725</v>
      </c>
      <c r="H10" s="0" t="n">
        <f aca="false">-H6*H9/100</f>
        <v>-489.935887523529</v>
      </c>
      <c r="I10" s="0" t="n">
        <f aca="false">-I6*I9/100</f>
        <v>-524.231399650176</v>
      </c>
      <c r="J10" s="0" t="n">
        <f aca="false">-J6*J9/100</f>
        <v>-555.685283629187</v>
      </c>
      <c r="K10" s="0" t="n">
        <f aca="false">-K6*K9/100</f>
        <v>-586.247974228792</v>
      </c>
      <c r="L10" s="0" t="n">
        <f aca="false">-L6*L9/100</f>
        <v>-615.560372940232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7767.33651</v>
      </c>
      <c r="D11" s="0" t="n">
        <f aca="false">D8+D10+D24</f>
        <v>8596.1500035</v>
      </c>
      <c r="E11" s="0" t="n">
        <f aca="false">E8+E10+E24</f>
        <v>9511.234500099</v>
      </c>
      <c r="F11" s="0" t="n">
        <f aca="false">F8+F10+F24</f>
        <v>10463.55127414</v>
      </c>
      <c r="G11" s="0" t="n">
        <f aca="false">G8+G10+G24</f>
        <v>11424.9320071554</v>
      </c>
      <c r="H11" s="0" t="n">
        <f aca="false">H8+H10+H24</f>
        <v>12404.285879573</v>
      </c>
      <c r="I11" s="0" t="n">
        <f aca="false">I8+I10+I24</f>
        <v>13367.9006910795</v>
      </c>
      <c r="J11" s="0" t="n">
        <f aca="false">J8+J10+J24</f>
        <v>14220.4915765106</v>
      </c>
      <c r="K11" s="0" t="n">
        <f aca="false">K8+K10+K24</f>
        <v>15002.6186132186</v>
      </c>
      <c r="L11" s="0" t="n">
        <f aca="false">L8+L10+L24</f>
        <v>15752.7495438796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-119.03964</v>
      </c>
      <c r="D12" s="4" t="n">
        <f aca="false">-D6*Assumptions!D45/100</f>
        <v>-129.7532076</v>
      </c>
      <c r="E12" s="4" t="n">
        <f aca="false">-E6*Assumptions!E45/100</f>
        <v>-141.430996284</v>
      </c>
      <c r="F12" s="4" t="n">
        <f aca="false">-F6*Assumptions!F45/100</f>
        <v>-153.45263096814</v>
      </c>
      <c r="G12" s="4" t="n">
        <f aca="false">-G6*Assumptions!G45/100</f>
        <v>-165.728841445591</v>
      </c>
      <c r="H12" s="4" t="n">
        <f aca="false">-H6*Assumptions!H45/100</f>
        <v>-178.158504554011</v>
      </c>
      <c r="I12" s="4" t="n">
        <f aca="false">-I6*Assumptions!I45/100</f>
        <v>-190.629599872791</v>
      </c>
      <c r="J12" s="4" t="n">
        <f aca="false">-J6*Assumptions!J45/100</f>
        <v>-202.067375865159</v>
      </c>
      <c r="K12" s="4" t="n">
        <f aca="false">-K6*Assumptions!K45/100</f>
        <v>-213.181081537743</v>
      </c>
      <c r="L12" s="4" t="n">
        <f aca="false">-L6*Assumptions!L45/100</f>
        <v>-223.84013561463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7648.29687</v>
      </c>
      <c r="D13" s="0" t="n">
        <f aca="false">D11+D12</f>
        <v>8466.3967959</v>
      </c>
      <c r="E13" s="0" t="n">
        <f aca="false">E11+E12</f>
        <v>9369.803503815</v>
      </c>
      <c r="F13" s="0" t="n">
        <f aca="false">F11+F12</f>
        <v>10310.0986431719</v>
      </c>
      <c r="G13" s="0" t="n">
        <f aca="false">G11+G12</f>
        <v>11259.2031657099</v>
      </c>
      <c r="H13" s="0" t="n">
        <f aca="false">H11+H12</f>
        <v>12226.127375019</v>
      </c>
      <c r="I13" s="0" t="n">
        <f aca="false">I11+I12</f>
        <v>13177.2710912067</v>
      </c>
      <c r="J13" s="0" t="n">
        <f aca="false">J11+J12</f>
        <v>14018.4242006454</v>
      </c>
      <c r="K13" s="0" t="n">
        <f aca="false">K11+K12</f>
        <v>14789.4375316809</v>
      </c>
      <c r="L13" s="0" t="n">
        <f aca="false">L11+L12</f>
        <v>15528.9094082649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28</v>
      </c>
      <c r="D14" s="4" t="n">
        <f aca="false">Assumptions!D47</f>
        <v>28.2</v>
      </c>
      <c r="E14" s="4" t="n">
        <f aca="false">Assumptions!E47</f>
        <v>28.4</v>
      </c>
      <c r="F14" s="4" t="n">
        <f aca="false">Assumptions!F47</f>
        <v>28.6</v>
      </c>
      <c r="G14" s="4" t="n">
        <f aca="false">Assumptions!G47</f>
        <v>28.8</v>
      </c>
      <c r="H14" s="4" t="n">
        <f aca="false">Assumptions!H47</f>
        <v>29</v>
      </c>
      <c r="I14" s="4" t="n">
        <f aca="false">Assumptions!I47</f>
        <v>29</v>
      </c>
      <c r="J14" s="4" t="n">
        <f aca="false">Assumptions!J47</f>
        <v>29</v>
      </c>
      <c r="K14" s="4" t="n">
        <f aca="false">Assumptions!K47</f>
        <v>29</v>
      </c>
      <c r="L14" s="4" t="n">
        <f aca="false">Assumptions!L47</f>
        <v>29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5506.7737464</v>
      </c>
      <c r="D15" s="0" t="n">
        <f aca="false">D13-MAX(0,D13)*D14/100</f>
        <v>6078.8728994562</v>
      </c>
      <c r="E15" s="0" t="n">
        <f aca="false">E13-MAX(0,E13)*E14/100</f>
        <v>6708.77930873154</v>
      </c>
      <c r="F15" s="0" t="n">
        <f aca="false">F13-MAX(0,F13)*F14/100</f>
        <v>7361.41043122474</v>
      </c>
      <c r="G15" s="0" t="n">
        <f aca="false">G13-MAX(0,G13)*G14/100</f>
        <v>8016.55265398542</v>
      </c>
      <c r="H15" s="0" t="n">
        <f aca="false">H13-MAX(0,H13)*H14/100</f>
        <v>8680.55043626347</v>
      </c>
      <c r="I15" s="0" t="n">
        <f aca="false">I13-MAX(0,I13)*I14/100</f>
        <v>9355.86247475676</v>
      </c>
      <c r="J15" s="0" t="n">
        <f aca="false">J13-MAX(0,J13)*J14/100</f>
        <v>9953.08118245823</v>
      </c>
      <c r="K15" s="0" t="n">
        <f aca="false">K13-MAX(0,K13)*K14/100</f>
        <v>10500.5006474934</v>
      </c>
      <c r="L15" s="0" t="n">
        <f aca="false">L13-MAX(0,L13)*L14/100</f>
        <v>11025.5256798681</v>
      </c>
    </row>
    <row r="16" customFormat="false" ht="15" hidden="false" customHeight="false" outlineLevel="0" collapsed="false">
      <c r="A16" s="0" t="s">
        <v>129</v>
      </c>
      <c r="C16" s="0" t="n">
        <f aca="false">-C12</f>
        <v>119.03964</v>
      </c>
      <c r="D16" s="0" t="n">
        <f aca="false">-D12</f>
        <v>129.7532076</v>
      </c>
      <c r="E16" s="0" t="n">
        <f aca="false">-E12</f>
        <v>141.430996284</v>
      </c>
      <c r="F16" s="0" t="n">
        <f aca="false">-F12</f>
        <v>153.45263096814</v>
      </c>
      <c r="G16" s="0" t="n">
        <f aca="false">-G12</f>
        <v>165.728841445591</v>
      </c>
      <c r="H16" s="0" t="n">
        <f aca="false">-H12</f>
        <v>178.158504554011</v>
      </c>
      <c r="I16" s="0" t="n">
        <f aca="false">-I12</f>
        <v>190.629599872791</v>
      </c>
      <c r="J16" s="0" t="n">
        <f aca="false">-J12</f>
        <v>202.067375865159</v>
      </c>
      <c r="K16" s="0" t="n">
        <f aca="false">-K12</f>
        <v>213.181081537743</v>
      </c>
      <c r="L16" s="0" t="n">
        <f aca="false">-L12</f>
        <v>223.84013561463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-163.679505</v>
      </c>
      <c r="D17" s="4" t="n">
        <f aca="false">-D6*Assumptions!D46/100</f>
        <v>-194.6298114</v>
      </c>
      <c r="E17" s="4" t="n">
        <f aca="false">-E6*Assumptions!E46/100</f>
        <v>-212.146494426</v>
      </c>
      <c r="F17" s="4" t="n">
        <f aca="false">-F6*Assumptions!F46/100</f>
        <v>-230.17894645221</v>
      </c>
      <c r="G17" s="4" t="n">
        <f aca="false">-G6*Assumptions!G46/100</f>
        <v>-248.593262168387</v>
      </c>
      <c r="H17" s="4" t="n">
        <f aca="false">-H6*Assumptions!H46/100</f>
        <v>-267.237756831016</v>
      </c>
      <c r="I17" s="4" t="n">
        <f aca="false">-I6*Assumptions!I46/100</f>
        <v>-285.944399809187</v>
      </c>
      <c r="J17" s="4" t="n">
        <f aca="false">-J6*Assumptions!J46/100</f>
        <v>-303.101063797738</v>
      </c>
      <c r="K17" s="4" t="n">
        <f aca="false">-K6*Assumptions!K46/100</f>
        <v>-319.771622306614</v>
      </c>
      <c r="L17" s="4" t="n">
        <f aca="false">-L6*Assumptions!L46/100</f>
        <v>-335.760203421945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64.54775</v>
      </c>
      <c r="D18" s="4" t="n">
        <f aca="false">(D6-C6)*Assumptions!$B$51/100</f>
        <v>66.9597975000001</v>
      </c>
      <c r="E18" s="4" t="n">
        <f aca="false">(E6-D6)*Assumptions!$B$51/100</f>
        <v>72.9861792750001</v>
      </c>
      <c r="F18" s="4" t="n">
        <f aca="false">(F6-E6)*Assumptions!$B$51/100</f>
        <v>75.1352167758751</v>
      </c>
      <c r="G18" s="4" t="n">
        <f aca="false">(G6-F6)*Assumptions!$B$51/100</f>
        <v>76.7263154840701</v>
      </c>
      <c r="H18" s="4" t="n">
        <f aca="false">(H6-G6)*Assumptions!$B$51/100</f>
        <v>77.6853944276209</v>
      </c>
      <c r="I18" s="4" t="n">
        <f aca="false">(I6-H6)*Assumptions!$B$51/100</f>
        <v>77.9443457423797</v>
      </c>
      <c r="J18" s="4" t="n">
        <f aca="false">(J6-I6)*Assumptions!$B$51/100</f>
        <v>71.4860999522969</v>
      </c>
      <c r="K18" s="4" t="n">
        <f aca="false">(K6-J6)*Assumptions!$B$51/100</f>
        <v>69.4606604536482</v>
      </c>
      <c r="L18" s="4" t="n">
        <f aca="false">(L6-K6)*Assumptions!$B$51/100</f>
        <v>66.6190879805447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5526.6816314</v>
      </c>
      <c r="D19" s="0" t="n">
        <f aca="false">D15+D16+D17+D18</f>
        <v>6080.9560931562</v>
      </c>
      <c r="E19" s="0" t="n">
        <f aca="false">E15+E16+E17+E18</f>
        <v>6711.04998986454</v>
      </c>
      <c r="F19" s="0" t="n">
        <f aca="false">F15+F16+F17+F18</f>
        <v>7359.81933251655</v>
      </c>
      <c r="G19" s="0" t="n">
        <f aca="false">G15+G16+G17+G18</f>
        <v>8010.41454874669</v>
      </c>
      <c r="H19" s="0" t="n">
        <f aca="false">H15+H16+H17+H18</f>
        <v>8669.15657841409</v>
      </c>
      <c r="I19" s="0" t="n">
        <f aca="false">I15+I16+I17+I18</f>
        <v>9338.49202056274</v>
      </c>
      <c r="J19" s="0" t="n">
        <f aca="false">J15+J16+J17+J18</f>
        <v>9923.53359447795</v>
      </c>
      <c r="K19" s="0" t="n">
        <f aca="false">K15+K16+K17+K18</f>
        <v>10463.3707671782</v>
      </c>
      <c r="L19" s="0" t="n">
        <f aca="false">L15+L16+L17+L18</f>
        <v>10980.2247000413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5093.71578930876</v>
      </c>
      <c r="D21" s="0" t="n">
        <f aca="false">D19*D20</f>
        <v>5165.50030211404</v>
      </c>
      <c r="E21" s="0" t="n">
        <f aca="false">E19*E20</f>
        <v>5254.13538603841</v>
      </c>
      <c r="F21" s="0" t="n">
        <f aca="false">F19*F20</f>
        <v>5310.65636720207</v>
      </c>
      <c r="G21" s="0" t="n">
        <f aca="false">G19*G20</f>
        <v>5327.28953428709</v>
      </c>
      <c r="H21" s="0" t="n">
        <f aca="false">H19*H20</f>
        <v>5313.71696428122</v>
      </c>
      <c r="I21" s="0" t="n">
        <f aca="false">I19*I20</f>
        <v>5275.56021889684</v>
      </c>
      <c r="J21" s="0" t="n">
        <f aca="false">J19*J20</f>
        <v>5166.88075603603</v>
      </c>
      <c r="K21" s="0" t="n">
        <f aca="false">K19*K20</f>
        <v>5021.15896645427</v>
      </c>
      <c r="L21" s="0" t="n">
        <f aca="false">L19*L20</f>
        <v>4856.39323865615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51785.0075232749</v>
      </c>
    </row>
    <row r="31" customFormat="false" ht="15" hidden="false" customHeight="false" outlineLevel="0" collapsed="false">
      <c r="A31" s="0" t="s">
        <v>138</v>
      </c>
      <c r="B31" s="0" t="n">
        <f aca="false">L19</f>
        <v>10980.2247000413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227290.651290856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241564.943400909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227290.651290856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100527.340040182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152312.347563457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143136.347563457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485.372490889987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0.250444380899596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3011.42335449351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5635.64486304102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514.694526215638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98822.022300372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181.246197956904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275.913359741089</v>
      </c>
      <c r="C4" s="0" t="n">
        <f aca="false">B4/Assumptions!$B$2-1</f>
        <v>-0.289176216660427</v>
      </c>
      <c r="D4" s="4" t="n">
        <f aca="false">Assumptions!$B$24</f>
        <v>0.2</v>
      </c>
      <c r="E4" s="4" t="n">
        <f aca="false">DCF_Bear!$B$43</f>
        <v>295.728829505205</v>
      </c>
      <c r="F4" s="4" t="n">
        <f aca="false">DCF_Bear!$B$47</f>
        <v>113.70204926267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387.667094472097</v>
      </c>
      <c r="C5" s="0" t="n">
        <f aca="false">B5/Assumptions!$B$2-1</f>
        <v>-0.00126985142184299</v>
      </c>
      <c r="D5" s="4" t="n">
        <f aca="false">Assumptions!$B$38</f>
        <v>0.5</v>
      </c>
      <c r="E5" s="4" t="n">
        <f aca="false">DCF_Base!$B$43</f>
        <v>412.089770783204</v>
      </c>
      <c r="F5" s="4" t="n">
        <f aca="false">DCF_Base!$B$47</f>
        <v>153.077847445629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485.372490889987</v>
      </c>
      <c r="C6" s="0" t="n">
        <f aca="false">B6/Assumptions!$B$2-1</f>
        <v>0.250444380899596</v>
      </c>
      <c r="D6" s="4" t="n">
        <f aca="false">Assumptions!$B$52</f>
        <v>0.3</v>
      </c>
      <c r="E6" s="4" t="n">
        <f aca="false">DCF_Bull!$B$43</f>
        <v>514.694526215638</v>
      </c>
      <c r="F6" s="4" t="n">
        <f aca="false">DCF_Bull!$B$47</f>
        <v>181.246197956904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394.627966451263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419.599009157335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0.0163900356820287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-25.9018677249304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153.65319296242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387.667094472097</v>
      </c>
      <c r="C15" s="3" t="n">
        <v>8.5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351.370624097819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294.432095735659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251.836757901328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218.796925521329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153.077847445629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479.086176436636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479.086176436636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479.086176436636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479.086176436636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479.086176436636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418.250648057522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440.476984706165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440.476984706165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440.476984706165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440.476984706165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345.392296260793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364.768245440974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387.667094472097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405.395235657483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405.395235657483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292.149538869718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305.402376019623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320.694111192591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338.534468894386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359.618527996508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251.587264136302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261.015399787986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271.700620193227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283.912300656361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298.002701190746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2026-10-02T08:56:11Z</dcterms:created>
  <dc:creator>openpyxl</dc:creator>
  <dc:description/>
  <dc:language>en-NZ</dc:language>
  <cp:lastModifiedBy/>
  <dcterms:modified xsi:type="dcterms:W3CDTF">2026-10-02T08:56:11Z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