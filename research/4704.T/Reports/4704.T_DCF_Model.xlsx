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<sst xmlns="http://schemas.openxmlformats.org/spreadsheetml/2006/main" count="361" uniqueCount="166">
  <si>
    <t xml:space="preserve">Ticker</t>
  </si>
  <si>
    <t xml:space="preserve">4704.T</t>
  </si>
  <si>
    <t xml:space="preserve">Company</t>
  </si>
  <si>
    <t xml:space="preserve">Trend Micro Incorporated</t>
  </si>
  <si>
    <t xml:space="preserve">Valuation date</t>
  </si>
  <si>
    <t xml:space="preserve">2026-10-31</t>
  </si>
  <si>
    <t xml:space="preserve">Current price</t>
  </si>
  <si>
    <t xml:space="preserve">Price as of</t>
  </si>
  <si>
    <t xml:space="preserve">2026-10-30T06:30:00Z (TSE regular close 15:30 JST, Friday 30-Oct-2026; valuation date is a Saturday so this is the latest close)</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</si>
  <si>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</si>
  <si>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</si>
  <si>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</si>
  <si>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</si>
  <si>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</si>
  <si>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</si>
  <si>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</si>
  <si>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</si>
  <si>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</si>
  <si>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</si>
  <si>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</si>
  <si>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</si>
  <si>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2026-10-31T05:50:11Z</t>
  </si>
  <si>
    <t xml:space="preserve">Drivers file</t>
  </si>
  <si>
    <t xml:space="preserve">4704.T_Drivers.json</t>
  </si>
  <si>
    <t xml:space="preserve">Convention</t>
  </si>
  <si>
    <t xml:space="preserve">Percents stored as percents; formulas divide by 100. Blue = input, green = link, black = formula.</t>
  </si>
  <si>
    <t xml:space="preserve">Methodology</t>
  </si>
  <si>
    <t xml:space="preserve">summary: Value the owner cash flows of a mature, net-cash, J-GAAP security-software company in yen at a yen cost of equity, taking the August 2026 guidance cut at face value for the current year and allowing only a partial, gradual margin recovery thereafter. SBC is expensed and the diluted count held flat; interest income is stripped and the cash plus securities added once in the bridge; capex is kept at the company's actual 8% reinvestment rate rather than a software-peer 2-3%. The house basis is the headline; the street basis differs by only the ~0.5%-of-revenue SBC charge, so the house/street band is narrow for this name.
key_risks_to_valuation: AI-token and cloud cost intensity proves structural, so the base-case recovery to a 20% operating margin by FY2030 does not occur (bear path: 15-16.5%).; Company-wide ARR growth stays at ~5% or lower as legacy standalone-SaaS run-off continues to cancel Vision One gains, undermining even the base-case ~5% growth path.; Yen appreciation: roughly two-thirds of revenue is non-yen; management's FY2026 forecast assumes USD 156 / EUR 183, and a stronger yen cuts reported sales and margins (people cost is partly yen-denominated).; The virtual-stock-option (cash-settled) provision is marked to the share price; the H1 FY2026 cost base was flattered by its release and reverses with the share price near its 52-week high.; Terminal value is roughly 55-60% of enterprise value in the base case; a 1pp change in WACC or terminal growth moves the per-share value materially (see sensitivity grid).; Take-private speculation can hold the price above the fundamental range for extended periods and then unwind; no takeover premium is included in any scenario.</t>
  </si>
  <si>
    <t xml:space="preserve">Data sources</t>
  </si>
  <si>
    <t xml:space="preserve">price: Yahoo Finance chart API (query1.finance.yahoo.com, 4704.T) at inputs.price_as_of; 52-week range 4,789-8,059.
financials: research/4704.T/Reports/4704.T_Metrics.csv (FY2016-FY2025 annual plus quarters through H1 FY2026, JPY millions, derived from the Tanshin filings); FY2025 Tanshin consolidated statements (cash-flow SBC add-back, interest income, cash taxes paid, diluted-EPS share table); H1 FY2026 (Q2-2026) Tanshin cover (shares issued, treasury stock), balance sheet (cash, marketable securities, deferred revenue, no interest-bearing debt) and revised FY2026 forecast table.
qualitative: research/4704.T/Reports/4704.T_Analysis.json (2026-10-31): business model, competitive position, August 2026 guidance cut, management's FY2028 margin target, bull/bear cases.</t>
  </si>
  <si>
    <t xml:space="preserve">Scenario narrative: bear</t>
  </si>
  <si>
    <t xml:space="preserve">AI functionality becomes table stakes whose inference cost the company bears without pricing power against Microsoft, CrowdStrike and Palo Alto Networks; operating margin settles at 15-16.5% (the FY2022-FY2024 range) and total ARR stalls as legacy run-off cancels platform gains while a firmer yen shrinks the translated USD/EUR book. Growth of ~2% in yen, capex at 8.5% and 1.5% terminal growth. The balance sheet holds (no debt, JPY 226bn cash and securities) so this is a value-trap path, not a solvency one; the ~70% payout plus buybacks continues but on a lower earnings base.</t>
  </si>
  <si>
    <t xml:space="preserve">Scenario narrative: base</t>
  </si>
  <si>
    <t xml:space="preserve">Trend Micro's two axes are (1) whether the AI/cloud-token cost overrun that cut FY2026 operating-income guidance from JPY 56.4bn to 44.4bn is a one-year investment spike or a structural shift in the cost of competing, and (2) whether Vision One/TrendAI (+49% ARR, ~45% of enterprise ARR) can lift company-wide ARR growth off ~5% once the legacy standalone-SaaS run-off is lapped. The base case takes FY2026 at the revised guidance, lets operating margin recover only to ~20% (the FY2025 level and the ten-year average) by FY2030 rather than management's 25-27% FY2028 target, and grows revenue at ~5% constant-currency decaying to 2% in yen. Capex stays at 8% of revenue (capitalised software and data-centre equipment are real reinvestment for this company, which is why FY2025 owner FCF was only 13% of revenue against a 21% operating margin). The result is a steady, cash-generative, net-cash Japanese software franchise growing modestly, valued on the flows it actually produces, with the JPY 226bn of cash and securities added once and the interest on it stripped from the flows.</t>
  </si>
  <si>
    <t xml:space="preserve">Scenario narrative: bull</t>
  </si>
  <si>
    <t xml:space="preserve">The AI-token cost is a transitional investment that consumption pricing passes through, and the credit-based Vision One model pulls total ARR into double digits as management targets, so sales compound 8-10% to FY2028 and operating margin reaches 24% by FY2029 (the low end of the 25-27% target, a year late). Renewed take-private interest (Bain, Advent, EQT, KKR circled in 2024-25) is not modelled as a premium; it is a reason the bull outcome can be crystallised rather than a separate value.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</si>
  <si>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</si>
  <si>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</si>
  <si>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</si>
  <si>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</si>
  <si>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</si>
  <si>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</si>
  <si>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</si>
  <si>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</si>
  <si>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</si>
  <si>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</si>
  <si>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</si>
  <si>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</si>
  <si>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</si>
  <si>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</si>
  <si>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</si>
  <si>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</si>
  <si>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</si>
  <si>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</si>
  <si>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</si>
  <si>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</si>
  <si>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</si>
  <si>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</si>
  <si>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</si>
  <si>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</si>
  <si>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</si>
  <si>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</si>
  <si>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</si>
  <si>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EPSBasic</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</si>
  <si>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</si>
  <si>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</si>
  <si>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</si>
  <si>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</si>
  <si>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</si>
  <si>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</si>
  <si>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</si>
  <si>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</si>
  <si>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</si>
  <si>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</si>
  <si>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</si>
  <si>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</si>
  <si>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</si>
  <si>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</si>
  <si>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</si>
  <si>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</si>
  <si>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</si>
  <si>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</si>
  <si>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</si>
  <si>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</si>
  <si>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</si>
  <si>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</si>
  <si>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</si>
  <si>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</si>
  <si>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</si>
  <si>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</si>
  <si>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</si>
  <si>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</si>
  <si>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</si>
  <si>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</si>
  <si>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</si>
  <si>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</si>
  <si>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</si>
  <si>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</si>
  <si>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</si>
  <si>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</si>
  <si>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</si>
  <si>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</si>
  <si>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</si>
  <si>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</si>
  <si>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</si>
  <si>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</si>
  <si>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</si>
  <si>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</si>
  <si>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</si>
  <si>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</si>
  <si>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</si>
  <si>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4704.T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</si>
  <si>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</si>
  <si>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</si>
  <si>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</si>
  <si>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</si>
  <si>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</si>
  <si>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</si>
  <si>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</si>
  <si>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</si>
  <si>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</si>
  <si>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</si>
  <si>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</si>
  <si>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</si>
  <si>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</si>
  <si>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</si>
  <si>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</si>
  <si>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</si>
  <si>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</si>
  <si>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</si>
  <si>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</si>
  <si>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</si>
  <si>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</si>
  <si>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</si>
  <si>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</si>
  <si>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</si>
  <si>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</si>
  <si>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</si>
  <si>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</si>
  <si>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</si>
  <si>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</si>
  <si>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</si>
  <si>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4704.T owner-FCF component DCF: base case (millions, JPY)</t>
  </si>
  <si>
    <t xml:space="preserve">4704.T owner-FCF component DCF: bull case (millions, JPY)</t>
  </si>
  <si>
    <t xml:space="preserve">4704.T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</si>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</sst>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7311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131936</v>
      </c>
      <c r="C2" s="0" t="n">
        <v>23040</v>
      </c>
      <c r="D2" s="0" t="n">
        <v>108895</v>
      </c>
      <c r="E2" s="0" t="n">
        <v>82.5</v>
      </c>
      <c r="F2" s="0" t="n">
        <v>34360</v>
      </c>
      <c r="G2" s="0" t="n">
        <v>26</v>
      </c>
      <c r="H2" s="0" t="n">
        <v>45550</v>
      </c>
      <c r="I2" s="0" t="n">
        <v>24651</v>
      </c>
      <c r="J2" s="0" t="n">
        <v>18.7</v>
      </c>
      <c r="K2" s="0" t="n">
        <v>178.8</v>
      </c>
      <c r="L2" s="0" t="n">
        <v>33510</v>
      </c>
      <c r="M2" s="0" t="n">
        <v>9015</v>
      </c>
      <c r="N2" s="0" t="n">
        <v>24495</v>
      </c>
      <c r="O2" s="0" t="n">
        <v>164861</v>
      </c>
      <c r="P2" s="0" t="n">
        <v>308537</v>
      </c>
      <c r="Q2" s="0" t="n">
        <v>142065</v>
      </c>
      <c r="R2" s="0" t="n">
        <v>0</v>
      </c>
      <c r="S2" s="0" t="n">
        <v>102375</v>
      </c>
      <c r="T2" s="0" t="n">
        <v>137.142</v>
      </c>
      <c r="U2" s="0" t="n">
        <v>646</v>
      </c>
      <c r="V2" s="0" t="n">
        <v>141</v>
      </c>
      <c r="AA2" s="0" t="s">
        <v>17</v>
      </c>
      <c r="AB2" s="0" t="s">
        <v>14</v>
      </c>
      <c r="AC2" s="0" t="n">
        <v>179.63</v>
      </c>
    </row>
    <row r="3" customFormat="false" ht="15" hidden="false" customHeight="false" outlineLevel="0" collapsed="false">
      <c r="A3" s="0" t="s">
        <v>65</v>
      </c>
      <c r="B3" s="0" t="n">
        <v>148811</v>
      </c>
      <c r="C3" s="0" t="n">
        <v>28138</v>
      </c>
      <c r="D3" s="0" t="n">
        <v>120672</v>
      </c>
      <c r="E3" s="0" t="n">
        <v>81.1</v>
      </c>
      <c r="F3" s="0" t="n">
        <v>36441</v>
      </c>
      <c r="G3" s="0" t="n">
        <v>24.5</v>
      </c>
      <c r="H3" s="0" t="n">
        <v>50391</v>
      </c>
      <c r="I3" s="0" t="n">
        <v>25691</v>
      </c>
      <c r="J3" s="0" t="n">
        <v>17.3</v>
      </c>
      <c r="K3" s="0" t="n">
        <v>185.24</v>
      </c>
      <c r="L3" s="0" t="n">
        <v>46915</v>
      </c>
      <c r="M3" s="0" t="n">
        <v>12228</v>
      </c>
      <c r="N3" s="0" t="n">
        <v>34687</v>
      </c>
      <c r="O3" s="0" t="n">
        <v>175409</v>
      </c>
      <c r="P3" s="0" t="n">
        <v>331157</v>
      </c>
      <c r="Q3" s="0" t="n">
        <v>154079</v>
      </c>
      <c r="R3" s="0" t="n">
        <v>0</v>
      </c>
      <c r="S3" s="0" t="n">
        <v>98440</v>
      </c>
      <c r="T3" s="0" t="n">
        <v>137.635</v>
      </c>
      <c r="U3" s="0" t="n">
        <v>542</v>
      </c>
      <c r="V3" s="0" t="n">
        <v>149</v>
      </c>
      <c r="AA3" s="0" t="s">
        <v>17</v>
      </c>
      <c r="AB3" s="0" t="s">
        <v>14</v>
      </c>
      <c r="AC3" s="0" t="n">
        <v>187.01</v>
      </c>
    </row>
    <row r="4" customFormat="false" ht="15" hidden="false" customHeight="false" outlineLevel="0" collapsed="false">
      <c r="A4" s="0" t="s">
        <v>66</v>
      </c>
      <c r="B4" s="0" t="n">
        <v>160410</v>
      </c>
      <c r="C4" s="0" t="n">
        <v>32728</v>
      </c>
      <c r="D4" s="0" t="n">
        <v>127681</v>
      </c>
      <c r="E4" s="0" t="n">
        <v>79.6</v>
      </c>
      <c r="F4" s="0" t="n">
        <v>35836</v>
      </c>
      <c r="G4" s="0" t="n">
        <v>22.3</v>
      </c>
      <c r="H4" s="0" t="n">
        <v>51750</v>
      </c>
      <c r="I4" s="0" t="n">
        <v>28314</v>
      </c>
      <c r="J4" s="0" t="n">
        <v>17.7</v>
      </c>
      <c r="K4" s="0" t="n">
        <v>202.58</v>
      </c>
      <c r="L4" s="0" t="n">
        <v>49959</v>
      </c>
      <c r="M4" s="0" t="n">
        <v>12428</v>
      </c>
      <c r="N4" s="0" t="n">
        <v>37531</v>
      </c>
      <c r="O4" s="0" t="n">
        <v>185984</v>
      </c>
      <c r="P4" s="0" t="n">
        <v>346243</v>
      </c>
      <c r="Q4" s="0" t="n">
        <v>159160</v>
      </c>
      <c r="R4" s="0" t="n">
        <v>0</v>
      </c>
      <c r="S4" s="0" t="n">
        <v>131627</v>
      </c>
      <c r="T4" s="0" t="n">
        <v>139.63</v>
      </c>
      <c r="U4" s="0" t="n">
        <v>771</v>
      </c>
      <c r="V4" s="0" t="n">
        <v>163</v>
      </c>
      <c r="AA4" s="0" t="s">
        <v>17</v>
      </c>
      <c r="AB4" s="0" t="s">
        <v>14</v>
      </c>
      <c r="AC4" s="0" t="n">
        <v>204.38</v>
      </c>
    </row>
    <row r="5" customFormat="false" ht="15" hidden="false" customHeight="false" outlineLevel="0" collapsed="false">
      <c r="A5" s="0" t="s">
        <v>67</v>
      </c>
      <c r="B5" s="0" t="n">
        <v>165195</v>
      </c>
      <c r="C5" s="0" t="n">
        <v>32299</v>
      </c>
      <c r="D5" s="0" t="n">
        <v>132895</v>
      </c>
      <c r="E5" s="0" t="n">
        <v>80.4</v>
      </c>
      <c r="F5" s="0" t="n">
        <v>37686</v>
      </c>
      <c r="G5" s="0" t="n">
        <v>22.8</v>
      </c>
      <c r="H5" s="0" t="n">
        <v>53503</v>
      </c>
      <c r="I5" s="0" t="n">
        <v>27946</v>
      </c>
      <c r="J5" s="0" t="n">
        <v>16.9</v>
      </c>
      <c r="K5" s="0" t="n">
        <v>200.31</v>
      </c>
      <c r="L5" s="0" t="n">
        <v>45109</v>
      </c>
      <c r="M5" s="0" t="n">
        <v>10692</v>
      </c>
      <c r="N5" s="0" t="n">
        <v>34417</v>
      </c>
      <c r="O5" s="0" t="n">
        <v>186170</v>
      </c>
      <c r="P5" s="0" t="n">
        <v>359710</v>
      </c>
      <c r="Q5" s="0" t="n">
        <v>172285</v>
      </c>
      <c r="R5" s="0" t="n">
        <v>0</v>
      </c>
      <c r="S5" s="0" t="n">
        <v>148127</v>
      </c>
      <c r="T5" s="0" t="n">
        <v>139.147</v>
      </c>
      <c r="U5" s="0" t="n">
        <v>444</v>
      </c>
      <c r="V5" s="0" t="n">
        <v>160</v>
      </c>
      <c r="AA5" s="0" t="s">
        <v>17</v>
      </c>
      <c r="AB5" s="0" t="s">
        <v>14</v>
      </c>
      <c r="AC5" s="0" t="n">
        <v>200.94</v>
      </c>
    </row>
    <row r="6" customFormat="false" ht="15" hidden="false" customHeight="false" outlineLevel="0" collapsed="false">
      <c r="A6" s="0" t="s">
        <v>68</v>
      </c>
      <c r="B6" s="0" t="n">
        <v>174061</v>
      </c>
      <c r="C6" s="0" t="n">
        <v>38166</v>
      </c>
      <c r="D6" s="0" t="n">
        <v>135894</v>
      </c>
      <c r="E6" s="0" t="n">
        <v>78.1</v>
      </c>
      <c r="F6" s="0" t="n">
        <v>39464</v>
      </c>
      <c r="G6" s="0" t="n">
        <v>22.7</v>
      </c>
      <c r="H6" s="0" t="n">
        <v>62141</v>
      </c>
      <c r="I6" s="0" t="n">
        <v>26904</v>
      </c>
      <c r="J6" s="0" t="n">
        <v>15.5</v>
      </c>
      <c r="K6" s="0" t="n">
        <v>192.87</v>
      </c>
      <c r="L6" s="0" t="n">
        <v>54310</v>
      </c>
      <c r="M6" s="0" t="n">
        <v>11840</v>
      </c>
      <c r="N6" s="0" t="n">
        <v>42470</v>
      </c>
      <c r="O6" s="0" t="n">
        <v>187310</v>
      </c>
      <c r="P6" s="0" t="n">
        <v>376701</v>
      </c>
      <c r="Q6" s="0" t="n">
        <v>187340</v>
      </c>
      <c r="R6" s="0" t="n">
        <v>0</v>
      </c>
      <c r="S6" s="0" t="n">
        <v>174162</v>
      </c>
      <c r="T6" s="0" t="n">
        <v>139.158</v>
      </c>
      <c r="U6" s="0" t="n">
        <v>691</v>
      </c>
      <c r="V6" s="0" t="n">
        <v>153</v>
      </c>
      <c r="AA6" s="0" t="s">
        <v>17</v>
      </c>
      <c r="AB6" s="0" t="s">
        <v>14</v>
      </c>
      <c r="AC6" s="0" t="n">
        <v>193.39</v>
      </c>
    </row>
    <row r="7" customFormat="false" ht="15" hidden="false" customHeight="false" outlineLevel="0" collapsed="false">
      <c r="A7" s="0" t="s">
        <v>69</v>
      </c>
      <c r="B7" s="0" t="n">
        <v>190359</v>
      </c>
      <c r="C7" s="0" t="n">
        <v>42017</v>
      </c>
      <c r="D7" s="0" t="n">
        <v>148341</v>
      </c>
      <c r="E7" s="0" t="n">
        <v>77.9</v>
      </c>
      <c r="F7" s="0" t="n">
        <v>43641</v>
      </c>
      <c r="G7" s="0" t="n">
        <v>22.9</v>
      </c>
      <c r="H7" s="0" t="n">
        <v>64535</v>
      </c>
      <c r="I7" s="0" t="n">
        <v>38367</v>
      </c>
      <c r="J7" s="0" t="n">
        <v>20.2</v>
      </c>
      <c r="K7" s="0" t="n">
        <v>275.06</v>
      </c>
      <c r="L7" s="0" t="n">
        <v>55267</v>
      </c>
      <c r="M7" s="0" t="n">
        <v>18787</v>
      </c>
      <c r="N7" s="0" t="n">
        <v>36480</v>
      </c>
      <c r="O7" s="0" t="n">
        <v>219084</v>
      </c>
      <c r="P7" s="0" t="n">
        <v>420457</v>
      </c>
      <c r="Q7" s="0" t="n">
        <v>199023</v>
      </c>
      <c r="R7" s="0" t="n">
        <v>0</v>
      </c>
      <c r="S7" s="0" t="n">
        <v>225681</v>
      </c>
      <c r="T7" s="0" t="n">
        <v>139.675</v>
      </c>
      <c r="U7" s="0" t="n">
        <v>714</v>
      </c>
      <c r="V7" s="0" t="n">
        <v>195</v>
      </c>
      <c r="AA7" s="0" t="s">
        <v>17</v>
      </c>
      <c r="AB7" s="0" t="s">
        <v>14</v>
      </c>
      <c r="AC7" s="0" t="n">
        <v>275.2</v>
      </c>
    </row>
    <row r="8" customFormat="false" ht="15" hidden="false" customHeight="false" outlineLevel="0" collapsed="false">
      <c r="A8" s="0" t="s">
        <v>70</v>
      </c>
      <c r="B8" s="0" t="n">
        <v>223795</v>
      </c>
      <c r="C8" s="0" t="n">
        <v>54300</v>
      </c>
      <c r="D8" s="0" t="n">
        <v>169494</v>
      </c>
      <c r="E8" s="0" t="n">
        <v>75.7</v>
      </c>
      <c r="F8" s="0" t="n">
        <v>31340</v>
      </c>
      <c r="G8" s="0" t="n">
        <v>14</v>
      </c>
      <c r="H8" s="0" t="n">
        <v>56525</v>
      </c>
      <c r="I8" s="0" t="n">
        <v>29843</v>
      </c>
      <c r="J8" s="0" t="n">
        <v>13.3</v>
      </c>
      <c r="K8" s="0" t="n">
        <v>213.22</v>
      </c>
      <c r="L8" s="0" t="n">
        <v>56903</v>
      </c>
      <c r="M8" s="0" t="n">
        <v>20979</v>
      </c>
      <c r="N8" s="0" t="n">
        <v>35924</v>
      </c>
      <c r="O8" s="0" t="n">
        <v>226776</v>
      </c>
      <c r="P8" s="0" t="n">
        <v>470799</v>
      </c>
      <c r="Q8" s="0" t="n">
        <v>242120</v>
      </c>
      <c r="R8" s="0" t="n">
        <v>0</v>
      </c>
      <c r="S8" s="0" t="n">
        <v>207643</v>
      </c>
      <c r="T8" s="0" t="n">
        <v>139.154</v>
      </c>
      <c r="U8" s="0" t="n">
        <v>980</v>
      </c>
      <c r="V8" s="0" t="n">
        <v>151</v>
      </c>
      <c r="AA8" s="0" t="s">
        <v>17</v>
      </c>
      <c r="AB8" s="0" t="s">
        <v>14</v>
      </c>
      <c r="AC8" s="0" t="n">
        <v>213.59</v>
      </c>
    </row>
    <row r="9" customFormat="false" ht="15" hidden="false" customHeight="false" outlineLevel="0" collapsed="false">
      <c r="A9" s="0" t="s">
        <v>71</v>
      </c>
      <c r="B9" s="0" t="n">
        <v>248691</v>
      </c>
      <c r="C9" s="0" t="n">
        <v>63662</v>
      </c>
      <c r="D9" s="0" t="n">
        <v>185028</v>
      </c>
      <c r="E9" s="0" t="n">
        <v>74.4</v>
      </c>
      <c r="F9" s="0" t="n">
        <v>32602</v>
      </c>
      <c r="G9" s="0" t="n">
        <v>13.1</v>
      </c>
      <c r="H9" s="0" t="n">
        <v>60917</v>
      </c>
      <c r="I9" s="0" t="n">
        <v>10731</v>
      </c>
      <c r="J9" s="0" t="n">
        <v>4.3</v>
      </c>
      <c r="K9" s="0" t="n">
        <v>78.38</v>
      </c>
      <c r="L9" s="0" t="n">
        <v>57227</v>
      </c>
      <c r="M9" s="0" t="n">
        <v>26361</v>
      </c>
      <c r="N9" s="0" t="n">
        <v>30866</v>
      </c>
      <c r="O9" s="0" t="n">
        <v>211998</v>
      </c>
      <c r="P9" s="0" t="n">
        <v>492628</v>
      </c>
      <c r="Q9" s="0" t="n">
        <v>278205</v>
      </c>
      <c r="R9" s="0" t="n">
        <v>0</v>
      </c>
      <c r="S9" s="0" t="n">
        <v>261265</v>
      </c>
      <c r="T9" s="0" t="n">
        <v>135.66</v>
      </c>
      <c r="U9" s="0" t="n">
        <v>826</v>
      </c>
      <c r="V9" s="0" t="n">
        <v>738</v>
      </c>
      <c r="AA9" s="0" t="s">
        <v>17</v>
      </c>
      <c r="AB9" s="0" t="s">
        <v>14</v>
      </c>
      <c r="AC9" s="0" t="n">
        <v>78.45</v>
      </c>
    </row>
    <row r="10" customFormat="false" ht="15" hidden="false" customHeight="false" outlineLevel="0" collapsed="false">
      <c r="A10" s="0" t="s">
        <v>72</v>
      </c>
      <c r="B10" s="0" t="n">
        <v>272638</v>
      </c>
      <c r="C10" s="0" t="n">
        <v>64980</v>
      </c>
      <c r="D10" s="0" t="n">
        <v>207657</v>
      </c>
      <c r="E10" s="0" t="n">
        <v>76.2</v>
      </c>
      <c r="F10" s="0" t="n">
        <v>48105</v>
      </c>
      <c r="G10" s="0" t="n">
        <v>17.6</v>
      </c>
      <c r="H10" s="0" t="n">
        <v>77032</v>
      </c>
      <c r="I10" s="0" t="n">
        <v>34358</v>
      </c>
      <c r="J10" s="0" t="n">
        <v>12.6</v>
      </c>
      <c r="K10" s="0" t="n">
        <v>257.66</v>
      </c>
      <c r="L10" s="0" t="n">
        <v>46781</v>
      </c>
      <c r="M10" s="0" t="n">
        <v>24940</v>
      </c>
      <c r="N10" s="0" t="n">
        <v>21841</v>
      </c>
      <c r="O10" s="0" t="n">
        <v>116965</v>
      </c>
      <c r="P10" s="0" t="n">
        <v>400316</v>
      </c>
      <c r="Q10" s="0" t="n">
        <v>280870</v>
      </c>
      <c r="R10" s="0" t="n">
        <v>0</v>
      </c>
      <c r="S10" s="0" t="n">
        <v>187392</v>
      </c>
      <c r="T10" s="0" t="n">
        <v>131.297</v>
      </c>
      <c r="U10" s="0" t="n">
        <v>1241</v>
      </c>
      <c r="V10" s="0" t="n">
        <v>184</v>
      </c>
      <c r="AA10" s="0" t="s">
        <v>17</v>
      </c>
      <c r="AB10" s="0" t="s">
        <v>14</v>
      </c>
      <c r="AC10" s="0" t="n">
        <v>259.05</v>
      </c>
    </row>
    <row r="11" customFormat="false" ht="15" hidden="false" customHeight="false" outlineLevel="0" collapsed="false">
      <c r="A11" s="0" t="s">
        <v>73</v>
      </c>
      <c r="B11" s="0" t="n">
        <v>275984</v>
      </c>
      <c r="C11" s="0" t="n">
        <v>63717</v>
      </c>
      <c r="D11" s="0" t="n">
        <v>212267</v>
      </c>
      <c r="E11" s="0" t="n">
        <v>76.9</v>
      </c>
      <c r="F11" s="0" t="n">
        <v>57777</v>
      </c>
      <c r="G11" s="0" t="n">
        <v>20.9</v>
      </c>
      <c r="H11" s="0" t="n">
        <v>84834</v>
      </c>
      <c r="I11" s="0" t="n">
        <v>34523</v>
      </c>
      <c r="J11" s="0" t="n">
        <v>12.5</v>
      </c>
      <c r="K11" s="0" t="n">
        <v>260.9</v>
      </c>
      <c r="L11" s="0" t="n">
        <v>64637</v>
      </c>
      <c r="M11" s="0" t="n">
        <v>22857</v>
      </c>
      <c r="N11" s="0" t="n">
        <v>41780</v>
      </c>
      <c r="O11" s="0" t="n">
        <v>127519</v>
      </c>
      <c r="P11" s="0" t="n">
        <v>422238</v>
      </c>
      <c r="Q11" s="0" t="n">
        <v>291111</v>
      </c>
      <c r="R11" s="0" t="n">
        <v>0</v>
      </c>
      <c r="S11" s="0" t="n">
        <v>230458</v>
      </c>
      <c r="T11" s="0" t="n">
        <v>130.68</v>
      </c>
      <c r="U11" s="0" t="n">
        <v>1410</v>
      </c>
      <c r="V11" s="0" t="n">
        <v>185</v>
      </c>
      <c r="AA11" s="0" t="s">
        <v>17</v>
      </c>
      <c r="AB11" s="0" t="s">
        <v>14</v>
      </c>
      <c r="AC11" s="0" t="n">
        <v>262.42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7311</v>
      </c>
    </row>
    <row r="3" customFormat="false" ht="15" hidden="false" customHeight="false" outlineLevel="0" collapsed="false">
      <c r="A3" s="0" t="s">
        <v>77</v>
      </c>
      <c r="B3" s="3" t="n">
        <v>130.56</v>
      </c>
    </row>
    <row r="4" customFormat="false" ht="15" hidden="false" customHeight="false" outlineLevel="0" collapsed="false">
      <c r="A4" s="0" t="s">
        <v>78</v>
      </c>
      <c r="B4" s="3" t="n">
        <v>-214195</v>
      </c>
    </row>
    <row r="5" customFormat="false" ht="15" hidden="false" customHeight="false" outlineLevel="0" collapsed="false">
      <c r="A5" s="0" t="s">
        <v>79</v>
      </c>
      <c r="B5" s="3" t="n">
        <v>11461</v>
      </c>
    </row>
    <row r="6" customFormat="false" ht="15" hidden="false" customHeight="false" outlineLevel="0" collapsed="false">
      <c r="A6" s="0" t="s">
        <v>80</v>
      </c>
      <c r="B6" s="3" t="n">
        <v>15</v>
      </c>
    </row>
    <row r="7" customFormat="false" ht="15" hidden="false" customHeight="false" outlineLevel="0" collapsed="false">
      <c r="A7" s="0" t="s">
        <v>81</v>
      </c>
      <c r="B7" s="3" t="n">
        <v>275984</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8.5</v>
      </c>
      <c r="D13" s="3" t="n">
        <v>2</v>
      </c>
      <c r="E13" s="3" t="n">
        <v>2</v>
      </c>
      <c r="F13" s="3" t="n">
        <v>2</v>
      </c>
      <c r="G13" s="3" t="n">
        <v>2</v>
      </c>
      <c r="H13" s="3" t="n">
        <v>2</v>
      </c>
      <c r="I13" s="3" t="n">
        <v>2</v>
      </c>
      <c r="J13" s="3" t="n">
        <v>1.5</v>
      </c>
      <c r="K13" s="3" t="n">
        <v>1.5</v>
      </c>
      <c r="L13" s="3" t="n">
        <v>1.5</v>
      </c>
    </row>
    <row r="14" customFormat="false" ht="15" hidden="false" customHeight="false" outlineLevel="0" collapsed="false">
      <c r="A14" s="0" t="s">
        <v>98</v>
      </c>
      <c r="C14" s="3" t="n">
        <v>23.5</v>
      </c>
      <c r="D14" s="3" t="n">
        <v>23.5</v>
      </c>
      <c r="E14" s="3" t="n">
        <v>24</v>
      </c>
      <c r="F14" s="3" t="n">
        <v>24.5</v>
      </c>
      <c r="G14" s="3" t="n">
        <v>25</v>
      </c>
      <c r="H14" s="3" t="n">
        <v>25</v>
      </c>
      <c r="I14" s="3" t="n">
        <v>25</v>
      </c>
      <c r="J14" s="3" t="n">
        <v>25</v>
      </c>
      <c r="K14" s="3" t="n">
        <v>25</v>
      </c>
      <c r="L14" s="3" t="n">
        <v>25</v>
      </c>
    </row>
    <row r="15" customFormat="false" ht="15" hidden="false" customHeight="false" outlineLevel="0" collapsed="false">
      <c r="A15" s="0" t="s">
        <v>99</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9</v>
      </c>
      <c r="D17" s="3" t="n">
        <v>8.8</v>
      </c>
      <c r="E17" s="3" t="n">
        <v>8.6</v>
      </c>
      <c r="F17" s="3" t="n">
        <v>8.4</v>
      </c>
      <c r="G17" s="3" t="n">
        <v>8.2</v>
      </c>
      <c r="H17" s="3" t="n">
        <v>8</v>
      </c>
      <c r="I17" s="3" t="n">
        <v>8</v>
      </c>
      <c r="J17" s="3" t="n">
        <v>8</v>
      </c>
      <c r="K17" s="3" t="n">
        <v>8</v>
      </c>
      <c r="L17" s="3" t="n">
        <v>8</v>
      </c>
    </row>
    <row r="18" customFormat="false" ht="15" hidden="false" customHeight="false" outlineLevel="0" collapsed="false">
      <c r="A18" s="0" t="s">
        <v>102</v>
      </c>
      <c r="C18" s="3" t="n">
        <v>8.5</v>
      </c>
      <c r="D18" s="3" t="n">
        <v>8.5</v>
      </c>
      <c r="E18" s="3" t="n">
        <v>8.5</v>
      </c>
      <c r="F18" s="3" t="n">
        <v>8.5</v>
      </c>
      <c r="G18" s="3" t="n">
        <v>8.5</v>
      </c>
      <c r="H18" s="3" t="n">
        <v>8.5</v>
      </c>
      <c r="I18" s="3" t="n">
        <v>8.5</v>
      </c>
      <c r="J18" s="3" t="n">
        <v>8.5</v>
      </c>
      <c r="K18" s="3" t="n">
        <v>8.5</v>
      </c>
      <c r="L18" s="3" t="n">
        <v>8.5</v>
      </c>
    </row>
    <row r="19" customFormat="false" ht="15" hidden="false" customHeight="false" outlineLevel="0" collapsed="false">
      <c r="A19" s="0" t="s">
        <v>103</v>
      </c>
      <c r="C19" s="3" t="n">
        <v>33</v>
      </c>
      <c r="D19" s="3" t="n">
        <v>33</v>
      </c>
      <c r="E19" s="3" t="n">
        <v>33</v>
      </c>
      <c r="F19" s="3" t="n">
        <v>33</v>
      </c>
      <c r="G19" s="3" t="n">
        <v>33</v>
      </c>
      <c r="H19" s="3" t="n">
        <v>33</v>
      </c>
      <c r="I19" s="3" t="n">
        <v>33</v>
      </c>
      <c r="J19" s="3" t="n">
        <v>33</v>
      </c>
      <c r="K19" s="3" t="n">
        <v>33</v>
      </c>
      <c r="L19" s="3" t="n">
        <v>33</v>
      </c>
    </row>
    <row r="20" customFormat="false" ht="15" hidden="false" customHeight="false" outlineLevel="0" collapsed="false">
      <c r="A20" s="0" t="s">
        <v>104</v>
      </c>
      <c r="B20" s="3" t="n">
        <v>8</v>
      </c>
    </row>
    <row r="21" customFormat="false" ht="15" hidden="false" customHeight="false" outlineLevel="0" collapsed="false">
      <c r="A21" s="0" t="s">
        <v>105</v>
      </c>
      <c r="B21" s="3" t="n">
        <v>1.5</v>
      </c>
    </row>
    <row r="22" customFormat="false" ht="15" hidden="false" customHeight="false" outlineLevel="0" collapsed="false">
      <c r="A22" s="0" t="s">
        <v>106</v>
      </c>
      <c r="B22" s="3" t="n">
        <v>18</v>
      </c>
    </row>
    <row r="23" customFormat="false" ht="15" hidden="false" customHeight="false" outlineLevel="0" collapsed="false">
      <c r="A23" s="0" t="s">
        <v>107</v>
      </c>
      <c r="B23" s="3" t="n">
        <v>5</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9.2</v>
      </c>
      <c r="D27" s="3" t="n">
        <v>5.5</v>
      </c>
      <c r="E27" s="3" t="n">
        <v>5</v>
      </c>
      <c r="F27" s="3" t="n">
        <v>5</v>
      </c>
      <c r="G27" s="3" t="n">
        <v>4.5</v>
      </c>
      <c r="H27" s="3" t="n">
        <v>4</v>
      </c>
      <c r="I27" s="3" t="n">
        <v>3.5</v>
      </c>
      <c r="J27" s="3" t="n">
        <v>3</v>
      </c>
      <c r="K27" s="3" t="n">
        <v>2.5</v>
      </c>
      <c r="L27" s="3" t="n">
        <v>2</v>
      </c>
    </row>
    <row r="28" customFormat="false" ht="15" hidden="false" customHeight="false" outlineLevel="0" collapsed="false">
      <c r="A28" s="0" t="s">
        <v>98</v>
      </c>
      <c r="C28" s="3" t="n">
        <v>24.2</v>
      </c>
      <c r="D28" s="3" t="n">
        <v>25.8</v>
      </c>
      <c r="E28" s="3" t="n">
        <v>27.1</v>
      </c>
      <c r="F28" s="3" t="n">
        <v>27.9</v>
      </c>
      <c r="G28" s="3" t="n">
        <v>28.7</v>
      </c>
      <c r="H28" s="3" t="n">
        <v>28.5</v>
      </c>
      <c r="I28" s="3" t="n">
        <v>28.5</v>
      </c>
      <c r="J28" s="3" t="n">
        <v>28.5</v>
      </c>
      <c r="K28" s="3" t="n">
        <v>28.5</v>
      </c>
      <c r="L28" s="3" t="n">
        <v>28.5</v>
      </c>
    </row>
    <row r="29" customFormat="false" ht="15" hidden="false" customHeight="false" outlineLevel="0" collapsed="false">
      <c r="A29" s="0" t="s">
        <v>99</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9</v>
      </c>
      <c r="D31" s="3" t="n">
        <v>8.8</v>
      </c>
      <c r="E31" s="3" t="n">
        <v>8.6</v>
      </c>
      <c r="F31" s="3" t="n">
        <v>8.4</v>
      </c>
      <c r="G31" s="3" t="n">
        <v>8.2</v>
      </c>
      <c r="H31" s="3" t="n">
        <v>8</v>
      </c>
      <c r="I31" s="3" t="n">
        <v>8</v>
      </c>
      <c r="J31" s="3" t="n">
        <v>8</v>
      </c>
      <c r="K31" s="3" t="n">
        <v>8</v>
      </c>
      <c r="L31" s="3" t="n">
        <v>8</v>
      </c>
    </row>
    <row r="32" customFormat="false" ht="15" hidden="false" customHeight="false" outlineLevel="0" collapsed="false">
      <c r="A32" s="0" t="s">
        <v>102</v>
      </c>
      <c r="C32" s="3" t="n">
        <v>8</v>
      </c>
      <c r="D32" s="3" t="n">
        <v>8</v>
      </c>
      <c r="E32" s="3" t="n">
        <v>8</v>
      </c>
      <c r="F32" s="3" t="n">
        <v>8</v>
      </c>
      <c r="G32" s="3" t="n">
        <v>8</v>
      </c>
      <c r="H32" s="3" t="n">
        <v>8</v>
      </c>
      <c r="I32" s="3" t="n">
        <v>8</v>
      </c>
      <c r="J32" s="3" t="n">
        <v>8</v>
      </c>
      <c r="K32" s="3" t="n">
        <v>8</v>
      </c>
      <c r="L32" s="3" t="n">
        <v>8</v>
      </c>
    </row>
    <row r="33" customFormat="false" ht="15" hidden="false" customHeight="false" outlineLevel="0" collapsed="false">
      <c r="A33" s="0" t="s">
        <v>103</v>
      </c>
      <c r="C33" s="3" t="n">
        <v>33</v>
      </c>
      <c r="D33" s="3" t="n">
        <v>33</v>
      </c>
      <c r="E33" s="3" t="n">
        <v>33</v>
      </c>
      <c r="F33" s="3" t="n">
        <v>33</v>
      </c>
      <c r="G33" s="3" t="n">
        <v>33</v>
      </c>
      <c r="H33" s="3" t="n">
        <v>33</v>
      </c>
      <c r="I33" s="3" t="n">
        <v>33</v>
      </c>
      <c r="J33" s="3" t="n">
        <v>33</v>
      </c>
      <c r="K33" s="3" t="n">
        <v>33</v>
      </c>
      <c r="L33" s="3" t="n">
        <v>33</v>
      </c>
    </row>
    <row r="34" customFormat="false" ht="15" hidden="false" customHeight="false" outlineLevel="0" collapsed="false">
      <c r="A34" s="0" t="s">
        <v>104</v>
      </c>
      <c r="B34" s="3" t="n">
        <v>8</v>
      </c>
    </row>
    <row r="35" customFormat="false" ht="15" hidden="false" customHeight="false" outlineLevel="0" collapsed="false">
      <c r="A35" s="0" t="s">
        <v>105</v>
      </c>
      <c r="B35" s="3" t="n">
        <v>2</v>
      </c>
    </row>
    <row r="36" customFormat="false" ht="15" hidden="false" customHeight="false" outlineLevel="0" collapsed="false">
      <c r="A36" s="0" t="s">
        <v>106</v>
      </c>
      <c r="B36" s="3" t="n">
        <v>18</v>
      </c>
    </row>
    <row r="37" customFormat="false" ht="15" hidden="false" customHeight="false" outlineLevel="0" collapsed="false">
      <c r="A37" s="0" t="s">
        <v>107</v>
      </c>
      <c r="B37" s="3" t="n">
        <v>10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9.5</v>
      </c>
      <c r="D41" s="3" t="n">
        <v>8</v>
      </c>
      <c r="E41" s="3" t="n">
        <v>8</v>
      </c>
      <c r="F41" s="3" t="n">
        <v>7</v>
      </c>
      <c r="G41" s="3" t="n">
        <v>6</v>
      </c>
      <c r="H41" s="3" t="n">
        <v>5</v>
      </c>
      <c r="I41" s="3" t="n">
        <v>4.5</v>
      </c>
      <c r="J41" s="3" t="n">
        <v>4</v>
      </c>
      <c r="K41" s="3" t="n">
        <v>3</v>
      </c>
      <c r="L41" s="3" t="n">
        <v>2.5</v>
      </c>
    </row>
    <row r="42" customFormat="false" ht="15" hidden="false" customHeight="false" outlineLevel="0" collapsed="false">
      <c r="A42" s="0" t="s">
        <v>98</v>
      </c>
      <c r="C42" s="3" t="n">
        <v>24.5</v>
      </c>
      <c r="D42" s="3" t="n">
        <v>27.5</v>
      </c>
      <c r="E42" s="3" t="n">
        <v>30</v>
      </c>
      <c r="F42" s="3" t="n">
        <v>32</v>
      </c>
      <c r="G42" s="3" t="n">
        <v>32.5</v>
      </c>
      <c r="H42" s="3" t="n">
        <v>32.5</v>
      </c>
      <c r="I42" s="3" t="n">
        <v>32.5</v>
      </c>
      <c r="J42" s="3" t="n">
        <v>32.5</v>
      </c>
      <c r="K42" s="3" t="n">
        <v>32.5</v>
      </c>
      <c r="L42" s="3" t="n">
        <v>32.5</v>
      </c>
    </row>
    <row r="43" customFormat="false" ht="15" hidden="false" customHeight="false" outlineLevel="0" collapsed="false">
      <c r="A43" s="0" t="s">
        <v>99</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9</v>
      </c>
      <c r="D45" s="3" t="n">
        <v>8.8</v>
      </c>
      <c r="E45" s="3" t="n">
        <v>8.6</v>
      </c>
      <c r="F45" s="3" t="n">
        <v>8.4</v>
      </c>
      <c r="G45" s="3" t="n">
        <v>8.2</v>
      </c>
      <c r="H45" s="3" t="n">
        <v>8</v>
      </c>
      <c r="I45" s="3" t="n">
        <v>8</v>
      </c>
      <c r="J45" s="3" t="n">
        <v>8</v>
      </c>
      <c r="K45" s="3" t="n">
        <v>8</v>
      </c>
      <c r="L45" s="3" t="n">
        <v>8</v>
      </c>
    </row>
    <row r="46" customFormat="false" ht="15" hidden="false" customHeight="false" outlineLevel="0" collapsed="false">
      <c r="A46" s="0" t="s">
        <v>102</v>
      </c>
      <c r="C46" s="3" t="n">
        <v>8</v>
      </c>
      <c r="D46" s="3" t="n">
        <v>8</v>
      </c>
      <c r="E46" s="3" t="n">
        <v>8</v>
      </c>
      <c r="F46" s="3" t="n">
        <v>8</v>
      </c>
      <c r="G46" s="3" t="n">
        <v>8</v>
      </c>
      <c r="H46" s="3" t="n">
        <v>8</v>
      </c>
      <c r="I46" s="3" t="n">
        <v>8</v>
      </c>
      <c r="J46" s="3" t="n">
        <v>8</v>
      </c>
      <c r="K46" s="3" t="n">
        <v>8</v>
      </c>
      <c r="L46" s="3" t="n">
        <v>8</v>
      </c>
    </row>
    <row r="47" customFormat="false" ht="15" hidden="false" customHeight="false" outlineLevel="0" collapsed="false">
      <c r="A47" s="0" t="s">
        <v>103</v>
      </c>
      <c r="C47" s="3" t="n">
        <v>33</v>
      </c>
      <c r="D47" s="3" t="n">
        <v>33</v>
      </c>
      <c r="E47" s="3" t="n">
        <v>33</v>
      </c>
      <c r="F47" s="3" t="n">
        <v>33</v>
      </c>
      <c r="G47" s="3" t="n">
        <v>33</v>
      </c>
      <c r="H47" s="3" t="n">
        <v>33</v>
      </c>
      <c r="I47" s="3" t="n">
        <v>33</v>
      </c>
      <c r="J47" s="3" t="n">
        <v>33</v>
      </c>
      <c r="K47" s="3" t="n">
        <v>33</v>
      </c>
      <c r="L47" s="3" t="n">
        <v>33</v>
      </c>
    </row>
    <row r="48" customFormat="false" ht="15" hidden="false" customHeight="false" outlineLevel="0" collapsed="false">
      <c r="A48" s="0" t="s">
        <v>104</v>
      </c>
      <c r="B48" s="3" t="n">
        <v>8</v>
      </c>
    </row>
    <row r="49" customFormat="false" ht="15" hidden="false" customHeight="false" outlineLevel="0" collapsed="false">
      <c r="A49" s="0" t="s">
        <v>105</v>
      </c>
      <c r="B49" s="3" t="n">
        <v>2.5</v>
      </c>
    </row>
    <row r="50" customFormat="false" ht="15" hidden="false" customHeight="false" outlineLevel="0" collapsed="false">
      <c r="A50" s="0" t="s">
        <v>106</v>
      </c>
      <c r="B50" s="3" t="n">
        <v>18</v>
      </c>
    </row>
    <row r="51" customFormat="false" ht="15" hidden="false" customHeight="false" outlineLevel="0" collapsed="false">
      <c r="A51" s="0" t="s">
        <v>107</v>
      </c>
      <c r="B51" s="3" t="n">
        <v>15</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8.5</v>
      </c>
      <c r="D5" s="4" t="n">
        <f aca="false">Assumptions!D13</f>
        <v>2</v>
      </c>
      <c r="E5" s="4" t="n">
        <f aca="false">Assumptions!E13</f>
        <v>2</v>
      </c>
      <c r="F5" s="4" t="n">
        <f aca="false">Assumptions!F13</f>
        <v>2</v>
      </c>
      <c r="G5" s="4" t="n">
        <f aca="false">Assumptions!G13</f>
        <v>2</v>
      </c>
      <c r="H5" s="4" t="n">
        <f aca="false">Assumptions!H13</f>
        <v>2</v>
      </c>
      <c r="I5" s="4" t="n">
        <f aca="false">Assumptions!I13</f>
        <v>2</v>
      </c>
      <c r="J5" s="4" t="n">
        <f aca="false">Assumptions!J13</f>
        <v>1.5</v>
      </c>
      <c r="K5" s="4" t="n">
        <f aca="false">Assumptions!K13</f>
        <v>1.5</v>
      </c>
      <c r="L5" s="4" t="n">
        <f aca="false">Assumptions!L13</f>
        <v>1.5</v>
      </c>
    </row>
    <row r="6" customFormat="false" ht="15" hidden="false" customHeight="false" outlineLevel="0" collapsed="false">
      <c r="A6" s="0" t="s">
        <v>37</v>
      </c>
      <c r="B6" s="3" t="n">
        <v>275984</v>
      </c>
      <c r="C6" s="0" t="n">
        <f aca="false">B6*(1+C5/100)</f>
        <v>299442.64</v>
      </c>
      <c r="D6" s="0" t="n">
        <f aca="false">C6*(1+D5/100)</f>
        <v>305431.4928</v>
      </c>
      <c r="E6" s="0" t="n">
        <f aca="false">D6*(1+E5/100)</f>
        <v>311540.122656</v>
      </c>
      <c r="F6" s="0" t="n">
        <f aca="false">E6*(1+F5/100)</f>
        <v>317770.92510912</v>
      </c>
      <c r="G6" s="0" t="n">
        <f aca="false">F6*(1+G5/100)</f>
        <v>324126.343611302</v>
      </c>
      <c r="H6" s="0" t="n">
        <f aca="false">G6*(1+H5/100)</f>
        <v>330608.870483529</v>
      </c>
      <c r="I6" s="0" t="n">
        <f aca="false">H6*(1+I5/100)</f>
        <v>337221.047893199</v>
      </c>
      <c r="J6" s="0" t="n">
        <f aca="false">I6*(1+J5/100)</f>
        <v>342279.363611597</v>
      </c>
      <c r="K6" s="0" t="n">
        <f aca="false">J6*(1+K5/100)</f>
        <v>347413.554065771</v>
      </c>
      <c r="L6" s="0" t="n">
        <f aca="false">K6*(1+L5/100)</f>
        <v>352624.757376757</v>
      </c>
    </row>
    <row r="7" customFormat="false" ht="15" hidden="false" customHeight="false" outlineLevel="0" collapsed="false">
      <c r="A7" s="0" t="s">
        <v>98</v>
      </c>
      <c r="C7" s="4" t="n">
        <f aca="false">Assumptions!C14</f>
        <v>23.5</v>
      </c>
      <c r="D7" s="4" t="n">
        <f aca="false">Assumptions!D14</f>
        <v>23.5</v>
      </c>
      <c r="E7" s="4" t="n">
        <f aca="false">Assumptions!E14</f>
        <v>24</v>
      </c>
      <c r="F7" s="4" t="n">
        <f aca="false">Assumptions!F14</f>
        <v>24.5</v>
      </c>
      <c r="G7" s="4" t="n">
        <f aca="false">Assumptions!G14</f>
        <v>25</v>
      </c>
      <c r="H7" s="4" t="n">
        <f aca="false">Assumptions!H14</f>
        <v>25</v>
      </c>
      <c r="I7" s="4" t="n">
        <f aca="false">Assumptions!I14</f>
        <v>25</v>
      </c>
      <c r="J7" s="4" t="n">
        <f aca="false">Assumptions!J14</f>
        <v>25</v>
      </c>
      <c r="K7" s="4" t="n">
        <f aca="false">Assumptions!K14</f>
        <v>25</v>
      </c>
      <c r="L7" s="4" t="n">
        <f aca="false">Assumptions!L14</f>
        <v>25</v>
      </c>
    </row>
    <row r="8" customFormat="false" ht="15" hidden="false" customHeight="false" outlineLevel="0" collapsed="false">
      <c r="A8" s="0" t="s">
        <v>43</v>
      </c>
      <c r="C8" s="0" t="n">
        <f aca="false">C6*C7/100</f>
        <v>70369.0204</v>
      </c>
      <c r="D8" s="0" t="n">
        <f aca="false">D6*D7/100</f>
        <v>71776.400808</v>
      </c>
      <c r="E8" s="0" t="n">
        <f aca="false">E6*E7/100</f>
        <v>74769.62943744</v>
      </c>
      <c r="F8" s="0" t="n">
        <f aca="false">F6*F7/100</f>
        <v>77853.8766517344</v>
      </c>
      <c r="G8" s="0" t="n">
        <f aca="false">G6*G7/100</f>
        <v>81031.5859028256</v>
      </c>
      <c r="H8" s="0" t="n">
        <f aca="false">H6*H7/100</f>
        <v>82652.2176208821</v>
      </c>
      <c r="I8" s="0" t="n">
        <f aca="false">I6*I7/100</f>
        <v>84305.2619732998</v>
      </c>
      <c r="J8" s="0" t="n">
        <f aca="false">J6*J7/100</f>
        <v>85569.8409028993</v>
      </c>
      <c r="K8" s="0" t="n">
        <f aca="false">K6*K7/100</f>
        <v>86853.3885164427</v>
      </c>
      <c r="L8" s="0" t="n">
        <f aca="false">L6*L7/100</f>
        <v>88156.1893441894</v>
      </c>
    </row>
    <row r="9" customFormat="false" ht="15" hidden="false" customHeight="false" outlineLevel="0" collapsed="false">
      <c r="A9" s="0" t="s">
        <v>99</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114</v>
      </c>
      <c r="C10" s="0" t="n">
        <f aca="false">-C6*C9/100</f>
        <v>-1497.2132</v>
      </c>
      <c r="D10" s="0" t="n">
        <f aca="false">-D6*D9/100</f>
        <v>-1527.157464</v>
      </c>
      <c r="E10" s="0" t="n">
        <f aca="false">-E6*E9/100</f>
        <v>-1557.70061328</v>
      </c>
      <c r="F10" s="0" t="n">
        <f aca="false">-F6*F9/100</f>
        <v>-1588.8546255456</v>
      </c>
      <c r="G10" s="0" t="n">
        <f aca="false">-G6*G9/100</f>
        <v>-1620.63171805651</v>
      </c>
      <c r="H10" s="0" t="n">
        <f aca="false">-H6*H9/100</f>
        <v>-1653.04435241764</v>
      </c>
      <c r="I10" s="0" t="n">
        <f aca="false">-I6*I9/100</f>
        <v>-1686.105239466</v>
      </c>
      <c r="J10" s="0" t="n">
        <f aca="false">-J6*J9/100</f>
        <v>-1711.39681805799</v>
      </c>
      <c r="K10" s="0" t="n">
        <f aca="false">-K6*K9/100</f>
        <v>-1737.06777032885</v>
      </c>
      <c r="L10" s="0" t="n">
        <f aca="false">-L6*L9/100</f>
        <v>-1763.12378688379</v>
      </c>
    </row>
    <row r="11" customFormat="false" ht="15" hidden="false" customHeight="false" outlineLevel="0" collapsed="false">
      <c r="A11" s="0" t="s">
        <v>115</v>
      </c>
      <c r="C11" s="0" t="n">
        <f aca="false">C8+C10+C24</f>
        <v>68871.8072</v>
      </c>
      <c r="D11" s="0" t="n">
        <f aca="false">D8+D10+D24</f>
        <v>70249.243344</v>
      </c>
      <c r="E11" s="0" t="n">
        <f aca="false">E8+E10+E24</f>
        <v>73211.92882416</v>
      </c>
      <c r="F11" s="0" t="n">
        <f aca="false">F8+F10+F24</f>
        <v>76265.0220261888</v>
      </c>
      <c r="G11" s="0" t="n">
        <f aca="false">G8+G10+G24</f>
        <v>79410.9541847691</v>
      </c>
      <c r="H11" s="0" t="n">
        <f aca="false">H8+H10+H24</f>
        <v>80999.1732684645</v>
      </c>
      <c r="I11" s="0" t="n">
        <f aca="false">I8+I10+I24</f>
        <v>82619.1567338338</v>
      </c>
      <c r="J11" s="0" t="n">
        <f aca="false">J8+J10+J24</f>
        <v>83858.4440848413</v>
      </c>
      <c r="K11" s="0" t="n">
        <f aca="false">K8+K10+K24</f>
        <v>85116.3207461139</v>
      </c>
      <c r="L11" s="0" t="n">
        <f aca="false">L8+L10+L24</f>
        <v>86393.0655573056</v>
      </c>
    </row>
    <row r="12" customFormat="false" ht="15" hidden="false" customHeight="false" outlineLevel="0" collapsed="false">
      <c r="A12" s="0" t="s">
        <v>116</v>
      </c>
      <c r="C12" s="4" t="n">
        <f aca="false">-C6*Assumptions!C17/100</f>
        <v>-26949.8376</v>
      </c>
      <c r="D12" s="4" t="n">
        <f aca="false">-D6*Assumptions!D17/100</f>
        <v>-26877.9713664</v>
      </c>
      <c r="E12" s="4" t="n">
        <f aca="false">-E6*Assumptions!E17/100</f>
        <v>-26792.450548416</v>
      </c>
      <c r="F12" s="4" t="n">
        <f aca="false">-F6*Assumptions!F17/100</f>
        <v>-26692.7577091661</v>
      </c>
      <c r="G12" s="4" t="n">
        <f aca="false">-G6*Assumptions!G17/100</f>
        <v>-26578.3601761268</v>
      </c>
      <c r="H12" s="4" t="n">
        <f aca="false">-H6*Assumptions!H17/100</f>
        <v>-26448.7096386823</v>
      </c>
      <c r="I12" s="4" t="n">
        <f aca="false">-I6*Assumptions!I17/100</f>
        <v>-26977.6838314559</v>
      </c>
      <c r="J12" s="4" t="n">
        <f aca="false">-J6*Assumptions!J17/100</f>
        <v>-27382.3490889278</v>
      </c>
      <c r="K12" s="4" t="n">
        <f aca="false">-K6*Assumptions!K17/100</f>
        <v>-27793.0843252617</v>
      </c>
      <c r="L12" s="4" t="n">
        <f aca="false">-L6*Assumptions!L17/100</f>
        <v>-28209.9805901406</v>
      </c>
    </row>
    <row r="13" customFormat="false" ht="15" hidden="false" customHeight="false" outlineLevel="0" collapsed="false">
      <c r="A13" s="0" t="s">
        <v>117</v>
      </c>
      <c r="C13" s="0" t="n">
        <f aca="false">C11+C12</f>
        <v>41921.9696</v>
      </c>
      <c r="D13" s="0" t="n">
        <f aca="false">D11+D12</f>
        <v>43371.2719776</v>
      </c>
      <c r="E13" s="0" t="n">
        <f aca="false">E11+E12</f>
        <v>46419.478275744</v>
      </c>
      <c r="F13" s="0" t="n">
        <f aca="false">F11+F12</f>
        <v>49572.2643170227</v>
      </c>
      <c r="G13" s="0" t="n">
        <f aca="false">G11+G12</f>
        <v>52832.5940086423</v>
      </c>
      <c r="H13" s="0" t="n">
        <f aca="false">H11+H12</f>
        <v>54550.4636297822</v>
      </c>
      <c r="I13" s="0" t="n">
        <f aca="false">I11+I12</f>
        <v>55641.4729023778</v>
      </c>
      <c r="J13" s="0" t="n">
        <f aca="false">J11+J12</f>
        <v>56476.0949959135</v>
      </c>
      <c r="K13" s="0" t="n">
        <f aca="false">K11+K12</f>
        <v>57323.2364208522</v>
      </c>
      <c r="L13" s="0" t="n">
        <f aca="false">L11+L12</f>
        <v>58183.084967165</v>
      </c>
    </row>
    <row r="14" customFormat="false" ht="15" hidden="false" customHeight="false" outlineLevel="0" collapsed="false">
      <c r="A14" s="0" t="s">
        <v>103</v>
      </c>
      <c r="C14" s="4" t="n">
        <f aca="false">Assumptions!C19</f>
        <v>33</v>
      </c>
      <c r="D14" s="4" t="n">
        <f aca="false">Assumptions!D19</f>
        <v>33</v>
      </c>
      <c r="E14" s="4" t="n">
        <f aca="false">Assumptions!E19</f>
        <v>33</v>
      </c>
      <c r="F14" s="4" t="n">
        <f aca="false">Assumptions!F19</f>
        <v>33</v>
      </c>
      <c r="G14" s="4" t="n">
        <f aca="false">Assumptions!G19</f>
        <v>33</v>
      </c>
      <c r="H14" s="4" t="n">
        <f aca="false">Assumptions!H19</f>
        <v>33</v>
      </c>
      <c r="I14" s="4" t="n">
        <f aca="false">Assumptions!I19</f>
        <v>33</v>
      </c>
      <c r="J14" s="4" t="n">
        <f aca="false">Assumptions!J19</f>
        <v>33</v>
      </c>
      <c r="K14" s="4" t="n">
        <f aca="false">Assumptions!K19</f>
        <v>33</v>
      </c>
      <c r="L14" s="4" t="n">
        <f aca="false">Assumptions!L19</f>
        <v>33</v>
      </c>
    </row>
    <row r="15" customFormat="false" ht="15" hidden="false" customHeight="false" outlineLevel="0" collapsed="false">
      <c r="A15" s="0" t="s">
        <v>118</v>
      </c>
      <c r="C15" s="0" t="n">
        <f aca="false">C13-MAX(0,C13)*C14/100</f>
        <v>28087.719632</v>
      </c>
      <c r="D15" s="0" t="n">
        <f aca="false">D13-MAX(0,D13)*D14/100</f>
        <v>29058.752224992</v>
      </c>
      <c r="E15" s="0" t="n">
        <f aca="false">E13-MAX(0,E13)*E14/100</f>
        <v>31101.0504447485</v>
      </c>
      <c r="F15" s="0" t="n">
        <f aca="false">F13-MAX(0,F13)*F14/100</f>
        <v>33213.4170924052</v>
      </c>
      <c r="G15" s="0" t="n">
        <f aca="false">G13-MAX(0,G13)*G14/100</f>
        <v>35397.8379857903</v>
      </c>
      <c r="H15" s="0" t="n">
        <f aca="false">H13-MAX(0,H13)*H14/100</f>
        <v>36548.8106319541</v>
      </c>
      <c r="I15" s="0" t="n">
        <f aca="false">I13-MAX(0,I13)*I14/100</f>
        <v>37279.7868445932</v>
      </c>
      <c r="J15" s="0" t="n">
        <f aca="false">J13-MAX(0,J13)*J14/100</f>
        <v>37838.9836472621</v>
      </c>
      <c r="K15" s="0" t="n">
        <f aca="false">K13-MAX(0,K13)*K14/100</f>
        <v>38406.568401971</v>
      </c>
      <c r="L15" s="0" t="n">
        <f aca="false">L13-MAX(0,L13)*L14/100</f>
        <v>38982.6669280005</v>
      </c>
    </row>
    <row r="16" customFormat="false" ht="15" hidden="false" customHeight="false" outlineLevel="0" collapsed="false">
      <c r="A16" s="0" t="s">
        <v>119</v>
      </c>
      <c r="C16" s="0" t="n">
        <f aca="false">-C12</f>
        <v>26949.8376</v>
      </c>
      <c r="D16" s="0" t="n">
        <f aca="false">-D12</f>
        <v>26877.9713664</v>
      </c>
      <c r="E16" s="0" t="n">
        <f aca="false">-E12</f>
        <v>26792.450548416</v>
      </c>
      <c r="F16" s="0" t="n">
        <f aca="false">-F12</f>
        <v>26692.7577091661</v>
      </c>
      <c r="G16" s="0" t="n">
        <f aca="false">-G12</f>
        <v>26578.3601761268</v>
      </c>
      <c r="H16" s="0" t="n">
        <f aca="false">-H12</f>
        <v>26448.7096386823</v>
      </c>
      <c r="I16" s="0" t="n">
        <f aca="false">-I12</f>
        <v>26977.6838314559</v>
      </c>
      <c r="J16" s="0" t="n">
        <f aca="false">-J12</f>
        <v>27382.3490889278</v>
      </c>
      <c r="K16" s="0" t="n">
        <f aca="false">-K12</f>
        <v>27793.0843252617</v>
      </c>
      <c r="L16" s="0" t="n">
        <f aca="false">-L12</f>
        <v>28209.9805901406</v>
      </c>
    </row>
    <row r="17" customFormat="false" ht="15" hidden="false" customHeight="false" outlineLevel="0" collapsed="false">
      <c r="A17" s="0" t="s">
        <v>120</v>
      </c>
      <c r="C17" s="4" t="n">
        <f aca="false">-C6*Assumptions!C18/100</f>
        <v>-25452.6244</v>
      </c>
      <c r="D17" s="4" t="n">
        <f aca="false">-D6*Assumptions!D18/100</f>
        <v>-25961.676888</v>
      </c>
      <c r="E17" s="4" t="n">
        <f aca="false">-E6*Assumptions!E18/100</f>
        <v>-26480.91042576</v>
      </c>
      <c r="F17" s="4" t="n">
        <f aca="false">-F6*Assumptions!F18/100</f>
        <v>-27010.5286342752</v>
      </c>
      <c r="G17" s="4" t="n">
        <f aca="false">-G6*Assumptions!G18/100</f>
        <v>-27550.7392069607</v>
      </c>
      <c r="H17" s="4" t="n">
        <f aca="false">-H6*Assumptions!H18/100</f>
        <v>-28101.7539910999</v>
      </c>
      <c r="I17" s="4" t="n">
        <f aca="false">-I6*Assumptions!I18/100</f>
        <v>-28663.7890709219</v>
      </c>
      <c r="J17" s="4" t="n">
        <f aca="false">-J6*Assumptions!J18/100</f>
        <v>-29093.7459069857</v>
      </c>
      <c r="K17" s="4" t="n">
        <f aca="false">-K6*Assumptions!K18/100</f>
        <v>-29530.1520955905</v>
      </c>
      <c r="L17" s="4" t="n">
        <f aca="false">-L6*Assumptions!L18/100</f>
        <v>-29973.1043770244</v>
      </c>
    </row>
    <row r="18" customFormat="false" ht="15" hidden="false" customHeight="false" outlineLevel="0" collapsed="false">
      <c r="A18" s="0" t="s">
        <v>121</v>
      </c>
      <c r="C18" s="4" t="n">
        <f aca="false">(C6-B6)*Assumptions!$B$23/100</f>
        <v>1172.932</v>
      </c>
      <c r="D18" s="4" t="n">
        <f aca="false">(D6-C6)*Assumptions!$B$23/100</f>
        <v>299.44264</v>
      </c>
      <c r="E18" s="4" t="n">
        <f aca="false">(E6-D6)*Assumptions!$B$23/100</f>
        <v>305.431492800001</v>
      </c>
      <c r="F18" s="4" t="n">
        <f aca="false">(F6-E6)*Assumptions!$B$23/100</f>
        <v>311.540122656</v>
      </c>
      <c r="G18" s="4" t="n">
        <f aca="false">(G6-F6)*Assumptions!$B$23/100</f>
        <v>317.77092510912</v>
      </c>
      <c r="H18" s="4" t="n">
        <f aca="false">(H6-G6)*Assumptions!$B$23/100</f>
        <v>324.126343611302</v>
      </c>
      <c r="I18" s="4" t="n">
        <f aca="false">(I6-H6)*Assumptions!$B$23/100</f>
        <v>330.608870483527</v>
      </c>
      <c r="J18" s="4" t="n">
        <f aca="false">(J6-I6)*Assumptions!$B$23/100</f>
        <v>252.915785919898</v>
      </c>
      <c r="K18" s="4" t="n">
        <f aca="false">(K6-J6)*Assumptions!$B$23/100</f>
        <v>256.709522708698</v>
      </c>
      <c r="L18" s="4" t="n">
        <f aca="false">(L6-K6)*Assumptions!$B$23/100</f>
        <v>260.560165549326</v>
      </c>
    </row>
    <row r="19" customFormat="false" ht="15" hidden="false" customHeight="false" outlineLevel="0" collapsed="false">
      <c r="A19" s="0" t="s">
        <v>122</v>
      </c>
      <c r="C19" s="0" t="n">
        <f aca="false">C15+C16+C17+C18</f>
        <v>30757.864832</v>
      </c>
      <c r="D19" s="0" t="n">
        <f aca="false">D15+D16+D17+D18</f>
        <v>30274.489343392</v>
      </c>
      <c r="E19" s="0" t="n">
        <f aca="false">E15+E16+E17+E18</f>
        <v>31718.0220602045</v>
      </c>
      <c r="F19" s="0" t="n">
        <f aca="false">F15+F16+F17+F18</f>
        <v>33207.1862899521</v>
      </c>
      <c r="G19" s="0" t="n">
        <f aca="false">G15+G16+G17+G18</f>
        <v>34743.2298800656</v>
      </c>
      <c r="H19" s="0" t="n">
        <f aca="false">H15+H16+H17+H18</f>
        <v>35219.8926231477</v>
      </c>
      <c r="I19" s="0" t="n">
        <f aca="false">I15+I16+I17+I18</f>
        <v>35924.2904756107</v>
      </c>
      <c r="J19" s="0" t="n">
        <f aca="false">J15+J16+J17+J18</f>
        <v>36380.502615124</v>
      </c>
      <c r="K19" s="0" t="n">
        <f aca="false">K15+K16+K17+K18</f>
        <v>36926.2101543508</v>
      </c>
      <c r="L19" s="0" t="n">
        <f aca="false">L15+L16+L17+L18</f>
        <v>37480.1033066661</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28479.5044740741</v>
      </c>
      <c r="D21" s="0" t="n">
        <f aca="false">D19*D20</f>
        <v>25955.4949789026</v>
      </c>
      <c r="E21" s="0" t="n">
        <f aca="false">E19*E20</f>
        <v>25178.7885327793</v>
      </c>
      <c r="F21" s="0" t="n">
        <f aca="false">F19*F20</f>
        <v>24408.2732504879</v>
      </c>
      <c r="G21" s="0" t="n">
        <f aca="false">G19*G20</f>
        <v>23645.6584670536</v>
      </c>
      <c r="H21" s="0" t="n">
        <f aca="false">H19*H20</f>
        <v>22194.506593192</v>
      </c>
      <c r="I21" s="0" t="n">
        <f aca="false">I19*I20</f>
        <v>20961.4784491258</v>
      </c>
      <c r="J21" s="0" t="n">
        <f aca="false">J19*J20</f>
        <v>19655.2535654942</v>
      </c>
      <c r="K21" s="0" t="n">
        <f aca="false">K19*K20</f>
        <v>18472.2984897932</v>
      </c>
      <c r="L21" s="0" t="n">
        <f aca="false">L19*L20</f>
        <v>17360.539784389</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8</v>
      </c>
    </row>
    <row r="28" customFormat="false" ht="15" hidden="false" customHeight="false" outlineLevel="0" collapsed="false">
      <c r="A28" s="0" t="s">
        <v>105</v>
      </c>
      <c r="B28" s="4" t="n">
        <f aca="false">Assumptions!$B$21</f>
        <v>1.5</v>
      </c>
    </row>
    <row r="29" customFormat="false" ht="15" hidden="false" customHeight="false" outlineLevel="0" collapsed="false">
      <c r="A29" s="0" t="s">
        <v>106</v>
      </c>
      <c r="B29" s="4" t="n">
        <f aca="false">Assumptions!$B$22</f>
        <v>18</v>
      </c>
    </row>
    <row r="30" customFormat="false" ht="15" hidden="false" customHeight="false" outlineLevel="0" collapsed="false">
      <c r="A30" s="0" t="s">
        <v>127</v>
      </c>
      <c r="B30" s="0" t="n">
        <f aca="false">SUM(C21:L21)</f>
        <v>226311.796585292</v>
      </c>
    </row>
    <row r="31" customFormat="false" ht="15" hidden="false" customHeight="false" outlineLevel="0" collapsed="false">
      <c r="A31" s="0" t="s">
        <v>128</v>
      </c>
      <c r="B31" s="0" t="n">
        <f aca="false">L19</f>
        <v>37480.1033066661</v>
      </c>
    </row>
    <row r="32" customFormat="false" ht="15" hidden="false" customHeight="false" outlineLevel="0" collapsed="false">
      <c r="A32" s="0" t="s">
        <v>129</v>
      </c>
      <c r="B32" s="0" t="n">
        <f aca="false">IF(B27&gt;B28,B31*(1+B28/100)/((B27-B28)/100),B31*B29)</f>
        <v>585266.228557939</v>
      </c>
    </row>
    <row r="33" customFormat="false" ht="15" hidden="false" customHeight="false" outlineLevel="0" collapsed="false">
      <c r="A33" s="0" t="s">
        <v>130</v>
      </c>
      <c r="B33" s="0" t="n">
        <f aca="false">B31*B29</f>
        <v>674641.859519989</v>
      </c>
    </row>
    <row r="34" customFormat="false" ht="15" hidden="false" customHeight="false" outlineLevel="0" collapsed="false">
      <c r="A34" s="0" t="s">
        <v>131</v>
      </c>
      <c r="B34" s="0" t="n">
        <f aca="false">MAX(0,MIN(B32,B33))</f>
        <v>585266.228557939</v>
      </c>
    </row>
    <row r="35" customFormat="false" ht="15" hidden="false" customHeight="false" outlineLevel="0" collapsed="false">
      <c r="A35" s="0" t="s">
        <v>132</v>
      </c>
      <c r="B35" s="0" t="n">
        <f aca="false">B34/(1+B27/100)^L4</f>
        <v>271091.50586392</v>
      </c>
    </row>
    <row r="36" customFormat="false" ht="15" hidden="false" customHeight="false" outlineLevel="0" collapsed="false">
      <c r="A36" s="0" t="s">
        <v>133</v>
      </c>
      <c r="B36" s="0" t="n">
        <f aca="false">B30+B35</f>
        <v>497403.302449212</v>
      </c>
    </row>
    <row r="37" customFormat="false" ht="15" hidden="false" customHeight="false" outlineLevel="0" collapsed="false">
      <c r="A37" s="0" t="s">
        <v>134</v>
      </c>
      <c r="B37" s="0" t="n">
        <f aca="false">B36+Assumptions!$B$5-Assumptions!$B$4</f>
        <v>723059.302449212</v>
      </c>
    </row>
    <row r="38" customFormat="false" ht="15" hidden="false" customHeight="false" outlineLevel="0" collapsed="false">
      <c r="A38" s="0" t="s">
        <v>135</v>
      </c>
      <c r="B38" s="0" t="n">
        <f aca="false">B37/Assumptions!$B$3*Assumptions!$B$10</f>
        <v>5538.13803959261</v>
      </c>
    </row>
    <row r="39" customFormat="false" ht="15" hidden="false" customHeight="false" outlineLevel="0" collapsed="false">
      <c r="A39" s="0" t="s">
        <v>136</v>
      </c>
      <c r="B39" s="4" t="n">
        <f aca="false">B38/Assumptions!$B$2-1</f>
        <v>-0.242492403283735</v>
      </c>
    </row>
    <row r="41" customFormat="false" ht="15" hidden="false" customHeight="false" outlineLevel="0" collapsed="false">
      <c r="A41" s="0" t="s">
        <v>137</v>
      </c>
      <c r="B41" s="0" t="n">
        <f aca="false">SUMPRODUCT(-C10:L10/(1+$B$27/100)^C4:L4)</f>
        <v>10838.7559831792</v>
      </c>
    </row>
    <row r="42" customFormat="false" ht="15" hidden="false" customHeight="false" outlineLevel="0" collapsed="false">
      <c r="A42" s="0" t="s">
        <v>138</v>
      </c>
      <c r="B42" s="0" t="n">
        <f aca="false">IF(B27&gt;B28,-L10*(1+B28/100)/((B27-B28)/100),-L10*20)/(1+B27/100)^L4</f>
        <v>12752.5764403593</v>
      </c>
    </row>
    <row r="43" customFormat="false" ht="15" hidden="false" customHeight="false" outlineLevel="0" collapsed="false">
      <c r="A43" s="0" t="s">
        <v>139</v>
      </c>
      <c r="B43" s="0" t="n">
        <f aca="false">(B37+B41+B42)/Assumptions!$B$3*Assumptions!$B$10</f>
        <v>5718.83145582682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281794.850787156</v>
      </c>
    </row>
    <row r="47" customFormat="false" ht="15" hidden="false" customHeight="false" outlineLevel="0" collapsed="false">
      <c r="A47" s="0" t="s">
        <v>141</v>
      </c>
      <c r="B47" s="0" t="n">
        <f aca="false">(SUMPRODUCT(C19:L19/(1+B45/100)^C4:L4)+B46/(1+B45/100)^L4+Assumptions!$B$5-Assumptions!$B$4)/Assumptions!$B$3*Assumptions!$B$10</f>
        <v>3542.05010997686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9.2</v>
      </c>
      <c r="D5" s="4" t="n">
        <f aca="false">Assumptions!D27</f>
        <v>5.5</v>
      </c>
      <c r="E5" s="4" t="n">
        <f aca="false">Assumptions!E27</f>
        <v>5</v>
      </c>
      <c r="F5" s="4" t="n">
        <f aca="false">Assumptions!F27</f>
        <v>5</v>
      </c>
      <c r="G5" s="4" t="n">
        <f aca="false">Assumptions!G27</f>
        <v>4.5</v>
      </c>
      <c r="H5" s="4" t="n">
        <f aca="false">Assumptions!H27</f>
        <v>4</v>
      </c>
      <c r="I5" s="4" t="n">
        <f aca="false">Assumptions!I27</f>
        <v>3.5</v>
      </c>
      <c r="J5" s="4" t="n">
        <f aca="false">Assumptions!J27</f>
        <v>3</v>
      </c>
      <c r="K5" s="4" t="n">
        <f aca="false">Assumptions!K27</f>
        <v>2.5</v>
      </c>
      <c r="L5" s="4" t="n">
        <f aca="false">Assumptions!L27</f>
        <v>2</v>
      </c>
    </row>
    <row r="6" customFormat="false" ht="15" hidden="false" customHeight="false" outlineLevel="0" collapsed="false">
      <c r="A6" s="0" t="s">
        <v>37</v>
      </c>
      <c r="B6" s="3" t="n">
        <v>275984</v>
      </c>
      <c r="C6" s="0" t="n">
        <f aca="false">B6*(1+C5/100)</f>
        <v>301374.528</v>
      </c>
      <c r="D6" s="0" t="n">
        <f aca="false">C6*(1+D5/100)</f>
        <v>317950.12704</v>
      </c>
      <c r="E6" s="0" t="n">
        <f aca="false">D6*(1+E5/100)</f>
        <v>333847.633392</v>
      </c>
      <c r="F6" s="0" t="n">
        <f aca="false">E6*(1+F5/100)</f>
        <v>350540.0150616</v>
      </c>
      <c r="G6" s="0" t="n">
        <f aca="false">F6*(1+G5/100)</f>
        <v>366314.315739372</v>
      </c>
      <c r="H6" s="0" t="n">
        <f aca="false">G6*(1+H5/100)</f>
        <v>380966.888368947</v>
      </c>
      <c r="I6" s="0" t="n">
        <f aca="false">H6*(1+I5/100)</f>
        <v>394300.72946186</v>
      </c>
      <c r="J6" s="0" t="n">
        <f aca="false">I6*(1+J5/100)</f>
        <v>406129.751345716</v>
      </c>
      <c r="K6" s="0" t="n">
        <f aca="false">J6*(1+K5/100)</f>
        <v>416282.995129359</v>
      </c>
      <c r="L6" s="0" t="n">
        <f aca="false">K6*(1+L5/100)</f>
        <v>424608.655031946</v>
      </c>
    </row>
    <row r="7" customFormat="false" ht="15" hidden="false" customHeight="false" outlineLevel="0" collapsed="false">
      <c r="A7" s="0" t="s">
        <v>98</v>
      </c>
      <c r="C7" s="4" t="n">
        <f aca="false">Assumptions!C28</f>
        <v>24.2</v>
      </c>
      <c r="D7" s="4" t="n">
        <f aca="false">Assumptions!D28</f>
        <v>25.8</v>
      </c>
      <c r="E7" s="4" t="n">
        <f aca="false">Assumptions!E28</f>
        <v>27.1</v>
      </c>
      <c r="F7" s="4" t="n">
        <f aca="false">Assumptions!F28</f>
        <v>27.9</v>
      </c>
      <c r="G7" s="4" t="n">
        <f aca="false">Assumptions!G28</f>
        <v>28.7</v>
      </c>
      <c r="H7" s="4" t="n">
        <f aca="false">Assumptions!H28</f>
        <v>28.5</v>
      </c>
      <c r="I7" s="4" t="n">
        <f aca="false">Assumptions!I28</f>
        <v>28.5</v>
      </c>
      <c r="J7" s="4" t="n">
        <f aca="false">Assumptions!J28</f>
        <v>28.5</v>
      </c>
      <c r="K7" s="4" t="n">
        <f aca="false">Assumptions!K28</f>
        <v>28.5</v>
      </c>
      <c r="L7" s="4" t="n">
        <f aca="false">Assumptions!L28</f>
        <v>28.5</v>
      </c>
    </row>
    <row r="8" customFormat="false" ht="15" hidden="false" customHeight="false" outlineLevel="0" collapsed="false">
      <c r="A8" s="0" t="s">
        <v>43</v>
      </c>
      <c r="C8" s="0" t="n">
        <f aca="false">C6*C7/100</f>
        <v>72932.635776</v>
      </c>
      <c r="D8" s="0" t="n">
        <f aca="false">D6*D7/100</f>
        <v>82031.13277632</v>
      </c>
      <c r="E8" s="0" t="n">
        <f aca="false">E6*E7/100</f>
        <v>90472.708649232</v>
      </c>
      <c r="F8" s="0" t="n">
        <f aca="false">F6*F7/100</f>
        <v>97800.6642021864</v>
      </c>
      <c r="G8" s="0" t="n">
        <f aca="false">G6*G7/100</f>
        <v>105132.2086172</v>
      </c>
      <c r="H8" s="0" t="n">
        <f aca="false">H6*H7/100</f>
        <v>108575.56318515</v>
      </c>
      <c r="I8" s="0" t="n">
        <f aca="false">I6*I7/100</f>
        <v>112375.70789663</v>
      </c>
      <c r="J8" s="0" t="n">
        <f aca="false">J6*J7/100</f>
        <v>115746.979133529</v>
      </c>
      <c r="K8" s="0" t="n">
        <f aca="false">K6*K7/100</f>
        <v>118640.653611867</v>
      </c>
      <c r="L8" s="0" t="n">
        <f aca="false">L6*L7/100</f>
        <v>121013.466684105</v>
      </c>
    </row>
    <row r="9" customFormat="false" ht="15" hidden="false" customHeight="false" outlineLevel="0" collapsed="false">
      <c r="A9" s="0" t="s">
        <v>99</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114</v>
      </c>
      <c r="C10" s="0" t="n">
        <f aca="false">-C6*C9/100</f>
        <v>-1506.87264</v>
      </c>
      <c r="D10" s="0" t="n">
        <f aca="false">-D6*D9/100</f>
        <v>-1589.7506352</v>
      </c>
      <c r="E10" s="0" t="n">
        <f aca="false">-E6*E9/100</f>
        <v>-1669.23816696</v>
      </c>
      <c r="F10" s="0" t="n">
        <f aca="false">-F6*F9/100</f>
        <v>-1752.700075308</v>
      </c>
      <c r="G10" s="0" t="n">
        <f aca="false">-G6*G9/100</f>
        <v>-1831.57157869686</v>
      </c>
      <c r="H10" s="0" t="n">
        <f aca="false">-H6*H9/100</f>
        <v>-1904.83444184473</v>
      </c>
      <c r="I10" s="0" t="n">
        <f aca="false">-I6*I9/100</f>
        <v>-1971.5036473093</v>
      </c>
      <c r="J10" s="0" t="n">
        <f aca="false">-J6*J9/100</f>
        <v>-2030.64875672858</v>
      </c>
      <c r="K10" s="0" t="n">
        <f aca="false">-K6*K9/100</f>
        <v>-2081.41497564679</v>
      </c>
      <c r="L10" s="0" t="n">
        <f aca="false">-L6*L9/100</f>
        <v>-2123.04327515973</v>
      </c>
    </row>
    <row r="11" customFormat="false" ht="15" hidden="false" customHeight="false" outlineLevel="0" collapsed="false">
      <c r="A11" s="0" t="s">
        <v>115</v>
      </c>
      <c r="C11" s="0" t="n">
        <f aca="false">C8+C10+C24</f>
        <v>71425.763136</v>
      </c>
      <c r="D11" s="0" t="n">
        <f aca="false">D8+D10+D24</f>
        <v>80441.38214112</v>
      </c>
      <c r="E11" s="0" t="n">
        <f aca="false">E8+E10+E24</f>
        <v>88803.470482272</v>
      </c>
      <c r="F11" s="0" t="n">
        <f aca="false">F8+F10+F24</f>
        <v>96047.9641268784</v>
      </c>
      <c r="G11" s="0" t="n">
        <f aca="false">G8+G10+G24</f>
        <v>103300.637038503</v>
      </c>
      <c r="H11" s="0" t="n">
        <f aca="false">H8+H10+H24</f>
        <v>106670.728743305</v>
      </c>
      <c r="I11" s="0" t="n">
        <f aca="false">I8+I10+I24</f>
        <v>110404.204249321</v>
      </c>
      <c r="J11" s="0" t="n">
        <f aca="false">J8+J10+J24</f>
        <v>113716.3303768</v>
      </c>
      <c r="K11" s="0" t="n">
        <f aca="false">K8+K10+K24</f>
        <v>116559.23863622</v>
      </c>
      <c r="L11" s="0" t="n">
        <f aca="false">L8+L10+L24</f>
        <v>118890.423408945</v>
      </c>
    </row>
    <row r="12" customFormat="false" ht="15" hidden="false" customHeight="false" outlineLevel="0" collapsed="false">
      <c r="A12" s="0" t="s">
        <v>116</v>
      </c>
      <c r="C12" s="4" t="n">
        <f aca="false">-C6*Assumptions!C31/100</f>
        <v>-27123.70752</v>
      </c>
      <c r="D12" s="4" t="n">
        <f aca="false">-D6*Assumptions!D31/100</f>
        <v>-27979.61117952</v>
      </c>
      <c r="E12" s="4" t="n">
        <f aca="false">-E6*Assumptions!E31/100</f>
        <v>-28710.896471712</v>
      </c>
      <c r="F12" s="4" t="n">
        <f aca="false">-F6*Assumptions!F31/100</f>
        <v>-29445.3612651744</v>
      </c>
      <c r="G12" s="4" t="n">
        <f aca="false">-G6*Assumptions!G31/100</f>
        <v>-30037.7738906285</v>
      </c>
      <c r="H12" s="4" t="n">
        <f aca="false">-H6*Assumptions!H31/100</f>
        <v>-30477.3510695158</v>
      </c>
      <c r="I12" s="4" t="n">
        <f aca="false">-I6*Assumptions!I31/100</f>
        <v>-31544.0583569488</v>
      </c>
      <c r="J12" s="4" t="n">
        <f aca="false">-J6*Assumptions!J31/100</f>
        <v>-32490.3801076573</v>
      </c>
      <c r="K12" s="4" t="n">
        <f aca="false">-K6*Assumptions!K31/100</f>
        <v>-33302.6396103487</v>
      </c>
      <c r="L12" s="4" t="n">
        <f aca="false">-L6*Assumptions!L31/100</f>
        <v>-33968.6924025557</v>
      </c>
    </row>
    <row r="13" customFormat="false" ht="15" hidden="false" customHeight="false" outlineLevel="0" collapsed="false">
      <c r="A13" s="0" t="s">
        <v>117</v>
      </c>
      <c r="C13" s="0" t="n">
        <f aca="false">C11+C12</f>
        <v>44302.055616</v>
      </c>
      <c r="D13" s="0" t="n">
        <f aca="false">D11+D12</f>
        <v>52461.7709616</v>
      </c>
      <c r="E13" s="0" t="n">
        <f aca="false">E11+E12</f>
        <v>60092.57401056</v>
      </c>
      <c r="F13" s="0" t="n">
        <f aca="false">F11+F12</f>
        <v>66602.602861704</v>
      </c>
      <c r="G13" s="0" t="n">
        <f aca="false">G11+G12</f>
        <v>73262.8631478744</v>
      </c>
      <c r="H13" s="0" t="n">
        <f aca="false">H11+H12</f>
        <v>76193.3776737894</v>
      </c>
      <c r="I13" s="0" t="n">
        <f aca="false">I11+I12</f>
        <v>78860.145892372</v>
      </c>
      <c r="J13" s="0" t="n">
        <f aca="false">J11+J12</f>
        <v>81225.9502691432</v>
      </c>
      <c r="K13" s="0" t="n">
        <f aca="false">K11+K12</f>
        <v>83256.5990258718</v>
      </c>
      <c r="L13" s="0" t="n">
        <f aca="false">L11+L12</f>
        <v>84921.7310063892</v>
      </c>
    </row>
    <row r="14" customFormat="false" ht="15" hidden="false" customHeight="false" outlineLevel="0" collapsed="false">
      <c r="A14" s="0" t="s">
        <v>103</v>
      </c>
      <c r="C14" s="4" t="n">
        <f aca="false">Assumptions!C33</f>
        <v>33</v>
      </c>
      <c r="D14" s="4" t="n">
        <f aca="false">Assumptions!D33</f>
        <v>33</v>
      </c>
      <c r="E14" s="4" t="n">
        <f aca="false">Assumptions!E33</f>
        <v>33</v>
      </c>
      <c r="F14" s="4" t="n">
        <f aca="false">Assumptions!F33</f>
        <v>33</v>
      </c>
      <c r="G14" s="4" t="n">
        <f aca="false">Assumptions!G33</f>
        <v>33</v>
      </c>
      <c r="H14" s="4" t="n">
        <f aca="false">Assumptions!H33</f>
        <v>33</v>
      </c>
      <c r="I14" s="4" t="n">
        <f aca="false">Assumptions!I33</f>
        <v>33</v>
      </c>
      <c r="J14" s="4" t="n">
        <f aca="false">Assumptions!J33</f>
        <v>33</v>
      </c>
      <c r="K14" s="4" t="n">
        <f aca="false">Assumptions!K33</f>
        <v>33</v>
      </c>
      <c r="L14" s="4" t="n">
        <f aca="false">Assumptions!L33</f>
        <v>33</v>
      </c>
    </row>
    <row r="15" customFormat="false" ht="15" hidden="false" customHeight="false" outlineLevel="0" collapsed="false">
      <c r="A15" s="0" t="s">
        <v>118</v>
      </c>
      <c r="C15" s="0" t="n">
        <f aca="false">C13-MAX(0,C13)*C14/100</f>
        <v>29682.37726272</v>
      </c>
      <c r="D15" s="0" t="n">
        <f aca="false">D13-MAX(0,D13)*D14/100</f>
        <v>35149.386544272</v>
      </c>
      <c r="E15" s="0" t="n">
        <f aca="false">E13-MAX(0,E13)*E14/100</f>
        <v>40262.0245870752</v>
      </c>
      <c r="F15" s="0" t="n">
        <f aca="false">F13-MAX(0,F13)*F14/100</f>
        <v>44623.7439173417</v>
      </c>
      <c r="G15" s="0" t="n">
        <f aca="false">G13-MAX(0,G13)*G14/100</f>
        <v>49086.1183090758</v>
      </c>
      <c r="H15" s="0" t="n">
        <f aca="false">H13-MAX(0,H13)*H14/100</f>
        <v>51049.5630414389</v>
      </c>
      <c r="I15" s="0" t="n">
        <f aca="false">I13-MAX(0,I13)*I14/100</f>
        <v>52836.2977478893</v>
      </c>
      <c r="J15" s="0" t="n">
        <f aca="false">J13-MAX(0,J13)*J14/100</f>
        <v>54421.3866803259</v>
      </c>
      <c r="K15" s="0" t="n">
        <f aca="false">K13-MAX(0,K13)*K14/100</f>
        <v>55781.9213473341</v>
      </c>
      <c r="L15" s="0" t="n">
        <f aca="false">L13-MAX(0,L13)*L14/100</f>
        <v>56897.5597742808</v>
      </c>
    </row>
    <row r="16" customFormat="false" ht="15" hidden="false" customHeight="false" outlineLevel="0" collapsed="false">
      <c r="A16" s="0" t="s">
        <v>119</v>
      </c>
      <c r="C16" s="0" t="n">
        <f aca="false">-C12</f>
        <v>27123.70752</v>
      </c>
      <c r="D16" s="0" t="n">
        <f aca="false">-D12</f>
        <v>27979.61117952</v>
      </c>
      <c r="E16" s="0" t="n">
        <f aca="false">-E12</f>
        <v>28710.896471712</v>
      </c>
      <c r="F16" s="0" t="n">
        <f aca="false">-F12</f>
        <v>29445.3612651744</v>
      </c>
      <c r="G16" s="0" t="n">
        <f aca="false">-G12</f>
        <v>30037.7738906285</v>
      </c>
      <c r="H16" s="0" t="n">
        <f aca="false">-H12</f>
        <v>30477.3510695158</v>
      </c>
      <c r="I16" s="0" t="n">
        <f aca="false">-I12</f>
        <v>31544.0583569488</v>
      </c>
      <c r="J16" s="0" t="n">
        <f aca="false">-J12</f>
        <v>32490.3801076573</v>
      </c>
      <c r="K16" s="0" t="n">
        <f aca="false">-K12</f>
        <v>33302.6396103487</v>
      </c>
      <c r="L16" s="0" t="n">
        <f aca="false">-L12</f>
        <v>33968.6924025557</v>
      </c>
    </row>
    <row r="17" customFormat="false" ht="15" hidden="false" customHeight="false" outlineLevel="0" collapsed="false">
      <c r="A17" s="0" t="s">
        <v>120</v>
      </c>
      <c r="C17" s="4" t="n">
        <f aca="false">-C6*Assumptions!C32/100</f>
        <v>-24109.96224</v>
      </c>
      <c r="D17" s="4" t="n">
        <f aca="false">-D6*Assumptions!D32/100</f>
        <v>-25436.0101632</v>
      </c>
      <c r="E17" s="4" t="n">
        <f aca="false">-E6*Assumptions!E32/100</f>
        <v>-26707.81067136</v>
      </c>
      <c r="F17" s="4" t="n">
        <f aca="false">-F6*Assumptions!F32/100</f>
        <v>-28043.201204928</v>
      </c>
      <c r="G17" s="4" t="n">
        <f aca="false">-G6*Assumptions!G32/100</f>
        <v>-29305.1452591498</v>
      </c>
      <c r="H17" s="4" t="n">
        <f aca="false">-H6*Assumptions!H32/100</f>
        <v>-30477.3510695158</v>
      </c>
      <c r="I17" s="4" t="n">
        <f aca="false">-I6*Assumptions!I32/100</f>
        <v>-31544.0583569488</v>
      </c>
      <c r="J17" s="4" t="n">
        <f aca="false">-J6*Assumptions!J32/100</f>
        <v>-32490.3801076573</v>
      </c>
      <c r="K17" s="4" t="n">
        <f aca="false">-K6*Assumptions!K32/100</f>
        <v>-33302.6396103487</v>
      </c>
      <c r="L17" s="4" t="n">
        <f aca="false">-L6*Assumptions!L32/100</f>
        <v>-33968.6924025557</v>
      </c>
    </row>
    <row r="18" customFormat="false" ht="15" hidden="false" customHeight="false" outlineLevel="0" collapsed="false">
      <c r="A18" s="0" t="s">
        <v>121</v>
      </c>
      <c r="C18" s="4" t="n">
        <f aca="false">(C6-B6)*Assumptions!$B$37/100</f>
        <v>2539.05280000001</v>
      </c>
      <c r="D18" s="4" t="n">
        <f aca="false">(D6-C6)*Assumptions!$B$37/100</f>
        <v>1657.559904</v>
      </c>
      <c r="E18" s="4" t="n">
        <f aca="false">(E6-D6)*Assumptions!$B$37/100</f>
        <v>1589.7506352</v>
      </c>
      <c r="F18" s="4" t="n">
        <f aca="false">(F6-E6)*Assumptions!$B$37/100</f>
        <v>1669.23816696</v>
      </c>
      <c r="G18" s="4" t="n">
        <f aca="false">(G6-F6)*Assumptions!$B$37/100</f>
        <v>1577.4300677772</v>
      </c>
      <c r="H18" s="4" t="n">
        <f aca="false">(H6-G6)*Assumptions!$B$37/100</f>
        <v>1465.25726295749</v>
      </c>
      <c r="I18" s="4" t="n">
        <f aca="false">(I6-H6)*Assumptions!$B$37/100</f>
        <v>1333.38410929131</v>
      </c>
      <c r="J18" s="4" t="n">
        <f aca="false">(J6-I6)*Assumptions!$B$37/100</f>
        <v>1182.90218838558</v>
      </c>
      <c r="K18" s="4" t="n">
        <f aca="false">(K6-J6)*Assumptions!$B$37/100</f>
        <v>1015.32437836429</v>
      </c>
      <c r="L18" s="4" t="n">
        <f aca="false">(L6-K6)*Assumptions!$B$37/100</f>
        <v>832.565990258718</v>
      </c>
    </row>
    <row r="19" customFormat="false" ht="15" hidden="false" customHeight="false" outlineLevel="0" collapsed="false">
      <c r="A19" s="0" t="s">
        <v>122</v>
      </c>
      <c r="C19" s="0" t="n">
        <f aca="false">C15+C16+C17+C18</f>
        <v>35235.17534272</v>
      </c>
      <c r="D19" s="0" t="n">
        <f aca="false">D15+D16+D17+D18</f>
        <v>39350.547464592</v>
      </c>
      <c r="E19" s="0" t="n">
        <f aca="false">E15+E16+E17+E18</f>
        <v>43854.8610226272</v>
      </c>
      <c r="F19" s="0" t="n">
        <f aca="false">F15+F16+F17+F18</f>
        <v>47695.1421445481</v>
      </c>
      <c r="G19" s="0" t="n">
        <f aca="false">G15+G16+G17+G18</f>
        <v>51396.1770083318</v>
      </c>
      <c r="H19" s="0" t="n">
        <f aca="false">H15+H16+H17+H18</f>
        <v>52514.8203043964</v>
      </c>
      <c r="I19" s="0" t="n">
        <f aca="false">I15+I16+I17+I18</f>
        <v>54169.6818571806</v>
      </c>
      <c r="J19" s="0" t="n">
        <f aca="false">J15+J16+J17+J18</f>
        <v>55604.2888687115</v>
      </c>
      <c r="K19" s="0" t="n">
        <f aca="false">K15+K16+K17+K18</f>
        <v>56797.2457256984</v>
      </c>
      <c r="L19" s="0" t="n">
        <f aca="false">L15+L16+L17+L18</f>
        <v>57730.1257645395</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32625.1623543704</v>
      </c>
      <c r="D21" s="0" t="n">
        <f aca="false">D19*D20</f>
        <v>33736.7519415226</v>
      </c>
      <c r="E21" s="0" t="n">
        <f aca="false">E19*E20</f>
        <v>34813.4026052202</v>
      </c>
      <c r="F21" s="0" t="n">
        <f aca="false">F19*F20</f>
        <v>35057.3533096131</v>
      </c>
      <c r="G21" s="0" t="n">
        <f aca="false">G19*G20</f>
        <v>34979.3744636431</v>
      </c>
      <c r="H21" s="0" t="n">
        <f aca="false">H19*H20</f>
        <v>33093.2447170547</v>
      </c>
      <c r="I21" s="0" t="n">
        <f aca="false">I19*I20</f>
        <v>31607.4890780703</v>
      </c>
      <c r="J21" s="0" t="n">
        <f aca="false">J19*J20</f>
        <v>30041.2671206244</v>
      </c>
      <c r="K21" s="0" t="n">
        <f aca="false">K19*K20</f>
        <v>28412.7635101923</v>
      </c>
      <c r="L21" s="0" t="n">
        <f aca="false">L19*L20</f>
        <v>26740.2183204445</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8</v>
      </c>
    </row>
    <row r="28" customFormat="false" ht="15" hidden="false" customHeight="false" outlineLevel="0" collapsed="false">
      <c r="A28" s="0" t="s">
        <v>105</v>
      </c>
      <c r="B28" s="4" t="n">
        <f aca="false">Assumptions!$B$35</f>
        <v>2</v>
      </c>
    </row>
    <row r="29" customFormat="false" ht="15" hidden="false" customHeight="false" outlineLevel="0" collapsed="false">
      <c r="A29" s="0" t="s">
        <v>106</v>
      </c>
      <c r="B29" s="4" t="n">
        <f aca="false">Assumptions!$B$36</f>
        <v>18</v>
      </c>
    </row>
    <row r="30" customFormat="false" ht="15" hidden="false" customHeight="false" outlineLevel="0" collapsed="false">
      <c r="A30" s="0" t="s">
        <v>127</v>
      </c>
      <c r="B30" s="0" t="n">
        <f aca="false">SUM(C21:L21)</f>
        <v>321107.027420756</v>
      </c>
    </row>
    <row r="31" customFormat="false" ht="15" hidden="false" customHeight="false" outlineLevel="0" collapsed="false">
      <c r="A31" s="0" t="s">
        <v>128</v>
      </c>
      <c r="B31" s="0" t="n">
        <f aca="false">L19</f>
        <v>57730.1257645395</v>
      </c>
    </row>
    <row r="32" customFormat="false" ht="15" hidden="false" customHeight="false" outlineLevel="0" collapsed="false">
      <c r="A32" s="0" t="s">
        <v>129</v>
      </c>
      <c r="B32" s="0" t="n">
        <f aca="false">IF(B27&gt;B28,B31*(1+B28/100)/((B27-B28)/100),B31*B29)</f>
        <v>981412.137997171</v>
      </c>
    </row>
    <row r="33" customFormat="false" ht="15" hidden="false" customHeight="false" outlineLevel="0" collapsed="false">
      <c r="A33" s="0" t="s">
        <v>130</v>
      </c>
      <c r="B33" s="0" t="n">
        <f aca="false">B31*B29</f>
        <v>1039142.26376171</v>
      </c>
    </row>
    <row r="34" customFormat="false" ht="15" hidden="false" customHeight="false" outlineLevel="0" collapsed="false">
      <c r="A34" s="0" t="s">
        <v>131</v>
      </c>
      <c r="B34" s="0" t="n">
        <f aca="false">MAX(0,MIN(B32,B33))</f>
        <v>981412.137997171</v>
      </c>
    </row>
    <row r="35" customFormat="false" ht="15" hidden="false" customHeight="false" outlineLevel="0" collapsed="false">
      <c r="A35" s="0" t="s">
        <v>132</v>
      </c>
      <c r="B35" s="0" t="n">
        <f aca="false">B34/(1+B27/100)^L4</f>
        <v>454583.711447557</v>
      </c>
    </row>
    <row r="36" customFormat="false" ht="15" hidden="false" customHeight="false" outlineLevel="0" collapsed="false">
      <c r="A36" s="0" t="s">
        <v>133</v>
      </c>
      <c r="B36" s="0" t="n">
        <f aca="false">B30+B35</f>
        <v>775690.738868313</v>
      </c>
    </row>
    <row r="37" customFormat="false" ht="15" hidden="false" customHeight="false" outlineLevel="0" collapsed="false">
      <c r="A37" s="0" t="s">
        <v>134</v>
      </c>
      <c r="B37" s="0" t="n">
        <f aca="false">B36+Assumptions!$B$5-Assumptions!$B$4</f>
        <v>1001346.73886831</v>
      </c>
    </row>
    <row r="38" customFormat="false" ht="15" hidden="false" customHeight="false" outlineLevel="0" collapsed="false">
      <c r="A38" s="0" t="s">
        <v>135</v>
      </c>
      <c r="B38" s="0" t="n">
        <f aca="false">B37/Assumptions!$B$3*Assumptions!$B$10</f>
        <v>7669.62882098892</v>
      </c>
    </row>
    <row r="39" customFormat="false" ht="15" hidden="false" customHeight="false" outlineLevel="0" collapsed="false">
      <c r="A39" s="0" t="s">
        <v>136</v>
      </c>
      <c r="B39" s="4" t="n">
        <f aca="false">B38/Assumptions!$B$2-1</f>
        <v>0.049053319790578</v>
      </c>
    </row>
    <row r="41" customFormat="false" ht="15" hidden="false" customHeight="false" outlineLevel="0" collapsed="false">
      <c r="A41" s="0" t="s">
        <v>137</v>
      </c>
      <c r="B41" s="0" t="n">
        <f aca="false">SUMPRODUCT(-C10:L10/(1+$B$27/100)^C4:L4)</f>
        <v>12090.5502746996</v>
      </c>
    </row>
    <row r="42" customFormat="false" ht="15" hidden="false" customHeight="false" outlineLevel="0" collapsed="false">
      <c r="A42" s="0" t="s">
        <v>138</v>
      </c>
      <c r="B42" s="0" t="n">
        <f aca="false">IF(B27&gt;B28,-L10*(1+B28/100)/((B27-B28)/100),-L10*20)/(1+B27/100)^L4</f>
        <v>16717.4569395914</v>
      </c>
    </row>
    <row r="43" customFormat="false" ht="15" hidden="false" customHeight="false" outlineLevel="0" collapsed="false">
      <c r="A43" s="0" t="s">
        <v>139</v>
      </c>
      <c r="B43" s="0" t="n">
        <f aca="false">(B37+B41+B42)/Assumptions!$B$3*Assumptions!$B$10</f>
        <v>7890.27838604936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452959.448306387</v>
      </c>
    </row>
    <row r="47" customFormat="false" ht="15" hidden="false" customHeight="false" outlineLevel="0" collapsed="false">
      <c r="A47" s="0" t="s">
        <v>141</v>
      </c>
      <c r="B47" s="0" t="n">
        <f aca="false">(SUMPRODUCT(C19:L19/(1+B45/100)^C4:L4)+B46/(1+B45/100)^L4+Assumptions!$B$5-Assumptions!$B$4)/Assumptions!$B$3*Assumptions!$B$10</f>
        <v>4376.02006635346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9.5</v>
      </c>
      <c r="D5" s="4" t="n">
        <f aca="false">Assumptions!D41</f>
        <v>8</v>
      </c>
      <c r="E5" s="4" t="n">
        <f aca="false">Assumptions!E41</f>
        <v>8</v>
      </c>
      <c r="F5" s="4" t="n">
        <f aca="false">Assumptions!F41</f>
        <v>7</v>
      </c>
      <c r="G5" s="4" t="n">
        <f aca="false">Assumptions!G41</f>
        <v>6</v>
      </c>
      <c r="H5" s="4" t="n">
        <f aca="false">Assumptions!H41</f>
        <v>5</v>
      </c>
      <c r="I5" s="4" t="n">
        <f aca="false">Assumptions!I41</f>
        <v>4.5</v>
      </c>
      <c r="J5" s="4" t="n">
        <f aca="false">Assumptions!J41</f>
        <v>4</v>
      </c>
      <c r="K5" s="4" t="n">
        <f aca="false">Assumptions!K41</f>
        <v>3</v>
      </c>
      <c r="L5" s="4" t="n">
        <f aca="false">Assumptions!L41</f>
        <v>2.5</v>
      </c>
    </row>
    <row r="6" customFormat="false" ht="15" hidden="false" customHeight="false" outlineLevel="0" collapsed="false">
      <c r="A6" s="0" t="s">
        <v>37</v>
      </c>
      <c r="B6" s="3" t="n">
        <v>275984</v>
      </c>
      <c r="C6" s="0" t="n">
        <f aca="false">B6*(1+C5/100)</f>
        <v>302202.48</v>
      </c>
      <c r="D6" s="0" t="n">
        <f aca="false">C6*(1+D5/100)</f>
        <v>326378.6784</v>
      </c>
      <c r="E6" s="0" t="n">
        <f aca="false">D6*(1+E5/100)</f>
        <v>352488.972672</v>
      </c>
      <c r="F6" s="0" t="n">
        <f aca="false">E6*(1+F5/100)</f>
        <v>377163.20075904</v>
      </c>
      <c r="G6" s="0" t="n">
        <f aca="false">F6*(1+G5/100)</f>
        <v>399792.992804582</v>
      </c>
      <c r="H6" s="0" t="n">
        <f aca="false">G6*(1+H5/100)</f>
        <v>419782.642444812</v>
      </c>
      <c r="I6" s="0" t="n">
        <f aca="false">H6*(1+I5/100)</f>
        <v>438672.861354828</v>
      </c>
      <c r="J6" s="0" t="n">
        <f aca="false">I6*(1+J5/100)</f>
        <v>456219.775809021</v>
      </c>
      <c r="K6" s="0" t="n">
        <f aca="false">J6*(1+K5/100)</f>
        <v>469906.369083292</v>
      </c>
      <c r="L6" s="0" t="n">
        <f aca="false">K6*(1+L5/100)</f>
        <v>481654.028310374</v>
      </c>
    </row>
    <row r="7" customFormat="false" ht="15" hidden="false" customHeight="false" outlineLevel="0" collapsed="false">
      <c r="A7" s="0" t="s">
        <v>98</v>
      </c>
      <c r="C7" s="4" t="n">
        <f aca="false">Assumptions!C42</f>
        <v>24.5</v>
      </c>
      <c r="D7" s="4" t="n">
        <f aca="false">Assumptions!D42</f>
        <v>27.5</v>
      </c>
      <c r="E7" s="4" t="n">
        <f aca="false">Assumptions!E42</f>
        <v>30</v>
      </c>
      <c r="F7" s="4" t="n">
        <f aca="false">Assumptions!F42</f>
        <v>32</v>
      </c>
      <c r="G7" s="4" t="n">
        <f aca="false">Assumptions!G42</f>
        <v>32.5</v>
      </c>
      <c r="H7" s="4" t="n">
        <f aca="false">Assumptions!H42</f>
        <v>32.5</v>
      </c>
      <c r="I7" s="4" t="n">
        <f aca="false">Assumptions!I42</f>
        <v>32.5</v>
      </c>
      <c r="J7" s="4" t="n">
        <f aca="false">Assumptions!J42</f>
        <v>32.5</v>
      </c>
      <c r="K7" s="4" t="n">
        <f aca="false">Assumptions!K42</f>
        <v>32.5</v>
      </c>
      <c r="L7" s="4" t="n">
        <f aca="false">Assumptions!L42</f>
        <v>32.5</v>
      </c>
    </row>
    <row r="8" customFormat="false" ht="15" hidden="false" customHeight="false" outlineLevel="0" collapsed="false">
      <c r="A8" s="0" t="s">
        <v>43</v>
      </c>
      <c r="C8" s="0" t="n">
        <f aca="false">C6*C7/100</f>
        <v>74039.6076</v>
      </c>
      <c r="D8" s="0" t="n">
        <f aca="false">D6*D7/100</f>
        <v>89754.13656</v>
      </c>
      <c r="E8" s="0" t="n">
        <f aca="false">E6*E7/100</f>
        <v>105746.6918016</v>
      </c>
      <c r="F8" s="0" t="n">
        <f aca="false">F6*F7/100</f>
        <v>120692.224242893</v>
      </c>
      <c r="G8" s="0" t="n">
        <f aca="false">G6*G7/100</f>
        <v>129932.722661489</v>
      </c>
      <c r="H8" s="0" t="n">
        <f aca="false">H6*H7/100</f>
        <v>136429.358794564</v>
      </c>
      <c r="I8" s="0" t="n">
        <f aca="false">I6*I7/100</f>
        <v>142568.679940319</v>
      </c>
      <c r="J8" s="0" t="n">
        <f aca="false">J6*J7/100</f>
        <v>148271.427137932</v>
      </c>
      <c r="K8" s="0" t="n">
        <f aca="false">K6*K7/100</f>
        <v>152719.56995207</v>
      </c>
      <c r="L8" s="0" t="n">
        <f aca="false">L6*L7/100</f>
        <v>156537.559200872</v>
      </c>
    </row>
    <row r="9" customFormat="false" ht="15" hidden="false" customHeight="false" outlineLevel="0" collapsed="false">
      <c r="A9" s="0" t="s">
        <v>99</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114</v>
      </c>
      <c r="C10" s="0" t="n">
        <f aca="false">-C6*C9/100</f>
        <v>-1511.0124</v>
      </c>
      <c r="D10" s="0" t="n">
        <f aca="false">-D6*D9/100</f>
        <v>-1631.893392</v>
      </c>
      <c r="E10" s="0" t="n">
        <f aca="false">-E6*E9/100</f>
        <v>-1762.44486336</v>
      </c>
      <c r="F10" s="0" t="n">
        <f aca="false">-F6*F9/100</f>
        <v>-1885.8160037952</v>
      </c>
      <c r="G10" s="0" t="n">
        <f aca="false">-G6*G9/100</f>
        <v>-1998.96496402291</v>
      </c>
      <c r="H10" s="0" t="n">
        <f aca="false">-H6*H9/100</f>
        <v>-2098.91321222406</v>
      </c>
      <c r="I10" s="0" t="n">
        <f aca="false">-I6*I9/100</f>
        <v>-2193.36430677414</v>
      </c>
      <c r="J10" s="0" t="n">
        <f aca="false">-J6*J9/100</f>
        <v>-2281.09887904511</v>
      </c>
      <c r="K10" s="0" t="n">
        <f aca="false">-K6*K9/100</f>
        <v>-2349.53184541646</v>
      </c>
      <c r="L10" s="0" t="n">
        <f aca="false">-L6*L9/100</f>
        <v>-2408.27014155187</v>
      </c>
    </row>
    <row r="11" customFormat="false" ht="15" hidden="false" customHeight="false" outlineLevel="0" collapsed="false">
      <c r="A11" s="0" t="s">
        <v>115</v>
      </c>
      <c r="C11" s="0" t="n">
        <f aca="false">C8+C10+C24</f>
        <v>72528.5952</v>
      </c>
      <c r="D11" s="0" t="n">
        <f aca="false">D8+D10+D24</f>
        <v>88122.243168</v>
      </c>
      <c r="E11" s="0" t="n">
        <f aca="false">E8+E10+E24</f>
        <v>103984.24693824</v>
      </c>
      <c r="F11" s="0" t="n">
        <f aca="false">F8+F10+F24</f>
        <v>118806.408239098</v>
      </c>
      <c r="G11" s="0" t="n">
        <f aca="false">G8+G10+G24</f>
        <v>127933.757697466</v>
      </c>
      <c r="H11" s="0" t="n">
        <f aca="false">H8+H10+H24</f>
        <v>134330.44558234</v>
      </c>
      <c r="I11" s="0" t="n">
        <f aca="false">I8+I10+I24</f>
        <v>140375.315633545</v>
      </c>
      <c r="J11" s="0" t="n">
        <f aca="false">J8+J10+J24</f>
        <v>145990.328258887</v>
      </c>
      <c r="K11" s="0" t="n">
        <f aca="false">K8+K10+K24</f>
        <v>150370.038106653</v>
      </c>
      <c r="L11" s="0" t="n">
        <f aca="false">L8+L10+L24</f>
        <v>154129.28905932</v>
      </c>
    </row>
    <row r="12" customFormat="false" ht="15" hidden="false" customHeight="false" outlineLevel="0" collapsed="false">
      <c r="A12" s="0" t="s">
        <v>116</v>
      </c>
      <c r="C12" s="4" t="n">
        <f aca="false">-C6*Assumptions!C45/100</f>
        <v>-27198.2232</v>
      </c>
      <c r="D12" s="4" t="n">
        <f aca="false">-D6*Assumptions!D45/100</f>
        <v>-28721.3236992</v>
      </c>
      <c r="E12" s="4" t="n">
        <f aca="false">-E6*Assumptions!E45/100</f>
        <v>-30314.051649792</v>
      </c>
      <c r="F12" s="4" t="n">
        <f aca="false">-F6*Assumptions!F45/100</f>
        <v>-31681.7088637594</v>
      </c>
      <c r="G12" s="4" t="n">
        <f aca="false">-G6*Assumptions!G45/100</f>
        <v>-32783.0254099758</v>
      </c>
      <c r="H12" s="4" t="n">
        <f aca="false">-H6*Assumptions!H45/100</f>
        <v>-33582.6113955849</v>
      </c>
      <c r="I12" s="4" t="n">
        <f aca="false">-I6*Assumptions!I45/100</f>
        <v>-35093.8289083863</v>
      </c>
      <c r="J12" s="4" t="n">
        <f aca="false">-J6*Assumptions!J45/100</f>
        <v>-36497.5820647217</v>
      </c>
      <c r="K12" s="4" t="n">
        <f aca="false">-K6*Assumptions!K45/100</f>
        <v>-37592.5095266634</v>
      </c>
      <c r="L12" s="4" t="n">
        <f aca="false">-L6*Assumptions!L45/100</f>
        <v>-38532.3222648299</v>
      </c>
    </row>
    <row r="13" customFormat="false" ht="15" hidden="false" customHeight="false" outlineLevel="0" collapsed="false">
      <c r="A13" s="0" t="s">
        <v>117</v>
      </c>
      <c r="C13" s="0" t="n">
        <f aca="false">C11+C12</f>
        <v>45330.372</v>
      </c>
      <c r="D13" s="0" t="n">
        <f aca="false">D11+D12</f>
        <v>59400.9194688</v>
      </c>
      <c r="E13" s="0" t="n">
        <f aca="false">E11+E12</f>
        <v>73670.195288448</v>
      </c>
      <c r="F13" s="0" t="n">
        <f aca="false">F11+F12</f>
        <v>87124.6993753382</v>
      </c>
      <c r="G13" s="0" t="n">
        <f aca="false">G11+G12</f>
        <v>95150.7322874906</v>
      </c>
      <c r="H13" s="0" t="n">
        <f aca="false">H11+H12</f>
        <v>100747.834186755</v>
      </c>
      <c r="I13" s="0" t="n">
        <f aca="false">I11+I12</f>
        <v>105281.486725159</v>
      </c>
      <c r="J13" s="0" t="n">
        <f aca="false">J11+J12</f>
        <v>109492.746194165</v>
      </c>
      <c r="K13" s="0" t="n">
        <f aca="false">K11+K12</f>
        <v>112777.52857999</v>
      </c>
      <c r="L13" s="0" t="n">
        <f aca="false">L11+L12</f>
        <v>115596.96679449</v>
      </c>
    </row>
    <row r="14" customFormat="false" ht="15" hidden="false" customHeight="false" outlineLevel="0" collapsed="false">
      <c r="A14" s="0" t="s">
        <v>103</v>
      </c>
      <c r="C14" s="4" t="n">
        <f aca="false">Assumptions!C47</f>
        <v>33</v>
      </c>
      <c r="D14" s="4" t="n">
        <f aca="false">Assumptions!D47</f>
        <v>33</v>
      </c>
      <c r="E14" s="4" t="n">
        <f aca="false">Assumptions!E47</f>
        <v>33</v>
      </c>
      <c r="F14" s="4" t="n">
        <f aca="false">Assumptions!F47</f>
        <v>33</v>
      </c>
      <c r="G14" s="4" t="n">
        <f aca="false">Assumptions!G47</f>
        <v>33</v>
      </c>
      <c r="H14" s="4" t="n">
        <f aca="false">Assumptions!H47</f>
        <v>33</v>
      </c>
      <c r="I14" s="4" t="n">
        <f aca="false">Assumptions!I47</f>
        <v>33</v>
      </c>
      <c r="J14" s="4" t="n">
        <f aca="false">Assumptions!J47</f>
        <v>33</v>
      </c>
      <c r="K14" s="4" t="n">
        <f aca="false">Assumptions!K47</f>
        <v>33</v>
      </c>
      <c r="L14" s="4" t="n">
        <f aca="false">Assumptions!L47</f>
        <v>33</v>
      </c>
    </row>
    <row r="15" customFormat="false" ht="15" hidden="false" customHeight="false" outlineLevel="0" collapsed="false">
      <c r="A15" s="0" t="s">
        <v>118</v>
      </c>
      <c r="C15" s="0" t="n">
        <f aca="false">C13-MAX(0,C13)*C14/100</f>
        <v>30371.34924</v>
      </c>
      <c r="D15" s="0" t="n">
        <f aca="false">D13-MAX(0,D13)*D14/100</f>
        <v>39798.616044096</v>
      </c>
      <c r="E15" s="0" t="n">
        <f aca="false">E13-MAX(0,E13)*E14/100</f>
        <v>49359.0308432602</v>
      </c>
      <c r="F15" s="0" t="n">
        <f aca="false">F13-MAX(0,F13)*F14/100</f>
        <v>58373.5485814766</v>
      </c>
      <c r="G15" s="0" t="n">
        <f aca="false">G13-MAX(0,G13)*G14/100</f>
        <v>63750.9906326187</v>
      </c>
      <c r="H15" s="0" t="n">
        <f aca="false">H13-MAX(0,H13)*H14/100</f>
        <v>67501.0489051257</v>
      </c>
      <c r="I15" s="0" t="n">
        <f aca="false">I13-MAX(0,I13)*I14/100</f>
        <v>70538.5961058564</v>
      </c>
      <c r="J15" s="0" t="n">
        <f aca="false">J13-MAX(0,J13)*J14/100</f>
        <v>73360.1399500906</v>
      </c>
      <c r="K15" s="0" t="n">
        <f aca="false">K13-MAX(0,K13)*K14/100</f>
        <v>75560.9441485934</v>
      </c>
      <c r="L15" s="0" t="n">
        <f aca="false">L13-MAX(0,L13)*L14/100</f>
        <v>77449.9677523082</v>
      </c>
    </row>
    <row r="16" customFormat="false" ht="15" hidden="false" customHeight="false" outlineLevel="0" collapsed="false">
      <c r="A16" s="0" t="s">
        <v>119</v>
      </c>
      <c r="C16" s="0" t="n">
        <f aca="false">-C12</f>
        <v>27198.2232</v>
      </c>
      <c r="D16" s="0" t="n">
        <f aca="false">-D12</f>
        <v>28721.3236992</v>
      </c>
      <c r="E16" s="0" t="n">
        <f aca="false">-E12</f>
        <v>30314.051649792</v>
      </c>
      <c r="F16" s="0" t="n">
        <f aca="false">-F12</f>
        <v>31681.7088637594</v>
      </c>
      <c r="G16" s="0" t="n">
        <f aca="false">-G12</f>
        <v>32783.0254099758</v>
      </c>
      <c r="H16" s="0" t="n">
        <f aca="false">-H12</f>
        <v>33582.6113955849</v>
      </c>
      <c r="I16" s="0" t="n">
        <f aca="false">-I12</f>
        <v>35093.8289083863</v>
      </c>
      <c r="J16" s="0" t="n">
        <f aca="false">-J12</f>
        <v>36497.5820647217</v>
      </c>
      <c r="K16" s="0" t="n">
        <f aca="false">-K12</f>
        <v>37592.5095266634</v>
      </c>
      <c r="L16" s="0" t="n">
        <f aca="false">-L12</f>
        <v>38532.3222648299</v>
      </c>
    </row>
    <row r="17" customFormat="false" ht="15" hidden="false" customHeight="false" outlineLevel="0" collapsed="false">
      <c r="A17" s="0" t="s">
        <v>120</v>
      </c>
      <c r="C17" s="4" t="n">
        <f aca="false">-C6*Assumptions!C46/100</f>
        <v>-24176.1984</v>
      </c>
      <c r="D17" s="4" t="n">
        <f aca="false">-D6*Assumptions!D46/100</f>
        <v>-26110.294272</v>
      </c>
      <c r="E17" s="4" t="n">
        <f aca="false">-E6*Assumptions!E46/100</f>
        <v>-28199.11781376</v>
      </c>
      <c r="F17" s="4" t="n">
        <f aca="false">-F6*Assumptions!F46/100</f>
        <v>-30173.0560607232</v>
      </c>
      <c r="G17" s="4" t="n">
        <f aca="false">-G6*Assumptions!G46/100</f>
        <v>-31983.4394243666</v>
      </c>
      <c r="H17" s="4" t="n">
        <f aca="false">-H6*Assumptions!H46/100</f>
        <v>-33582.6113955849</v>
      </c>
      <c r="I17" s="4" t="n">
        <f aca="false">-I6*Assumptions!I46/100</f>
        <v>-35093.8289083863</v>
      </c>
      <c r="J17" s="4" t="n">
        <f aca="false">-J6*Assumptions!J46/100</f>
        <v>-36497.5820647217</v>
      </c>
      <c r="K17" s="4" t="n">
        <f aca="false">-K6*Assumptions!K46/100</f>
        <v>-37592.5095266634</v>
      </c>
      <c r="L17" s="4" t="n">
        <f aca="false">-L6*Assumptions!L46/100</f>
        <v>-38532.3222648299</v>
      </c>
    </row>
    <row r="18" customFormat="false" ht="15" hidden="false" customHeight="false" outlineLevel="0" collapsed="false">
      <c r="A18" s="0" t="s">
        <v>121</v>
      </c>
      <c r="C18" s="4" t="n">
        <f aca="false">(C6-B6)*Assumptions!$B$51/100</f>
        <v>3932.772</v>
      </c>
      <c r="D18" s="4" t="n">
        <f aca="false">(D6-C6)*Assumptions!$B$51/100</f>
        <v>3626.42976</v>
      </c>
      <c r="E18" s="4" t="n">
        <f aca="false">(E6-D6)*Assumptions!$B$51/100</f>
        <v>3916.5441408</v>
      </c>
      <c r="F18" s="4" t="n">
        <f aca="false">(F6-E6)*Assumptions!$B$51/100</f>
        <v>3701.134213056</v>
      </c>
      <c r="G18" s="4" t="n">
        <f aca="false">(G6-F6)*Assumptions!$B$51/100</f>
        <v>3394.46880683137</v>
      </c>
      <c r="H18" s="4" t="n">
        <f aca="false">(H6-G6)*Assumptions!$B$51/100</f>
        <v>2998.44744603437</v>
      </c>
      <c r="I18" s="4" t="n">
        <f aca="false">(I6-H6)*Assumptions!$B$51/100</f>
        <v>2833.53283650247</v>
      </c>
      <c r="J18" s="4" t="n">
        <f aca="false">(J6-I6)*Assumptions!$B$51/100</f>
        <v>2632.03716812897</v>
      </c>
      <c r="K18" s="4" t="n">
        <f aca="false">(K6-J6)*Assumptions!$B$51/100</f>
        <v>2052.9889911406</v>
      </c>
      <c r="L18" s="4" t="n">
        <f aca="false">(L6-K6)*Assumptions!$B$51/100</f>
        <v>1762.14888406234</v>
      </c>
    </row>
    <row r="19" customFormat="false" ht="15" hidden="false" customHeight="false" outlineLevel="0" collapsed="false">
      <c r="A19" s="0" t="s">
        <v>122</v>
      </c>
      <c r="C19" s="0" t="n">
        <f aca="false">C15+C16+C17+C18</f>
        <v>37326.14604</v>
      </c>
      <c r="D19" s="0" t="n">
        <f aca="false">D15+D16+D17+D18</f>
        <v>46036.075231296</v>
      </c>
      <c r="E19" s="0" t="n">
        <f aca="false">E15+E16+E17+E18</f>
        <v>55390.5088200922</v>
      </c>
      <c r="F19" s="0" t="n">
        <f aca="false">F15+F16+F17+F18</f>
        <v>63583.3355975688</v>
      </c>
      <c r="G19" s="0" t="n">
        <f aca="false">G15+G16+G17+G18</f>
        <v>67945.0454250592</v>
      </c>
      <c r="H19" s="0" t="n">
        <f aca="false">H15+H16+H17+H18</f>
        <v>70499.4963511601</v>
      </c>
      <c r="I19" s="0" t="n">
        <f aca="false">I15+I16+I17+I18</f>
        <v>73372.1289423588</v>
      </c>
      <c r="J19" s="0" t="n">
        <f aca="false">J15+J16+J17+J18</f>
        <v>75992.1771182196</v>
      </c>
      <c r="K19" s="0" t="n">
        <f aca="false">K15+K16+K17+K18</f>
        <v>77613.9331397339</v>
      </c>
      <c r="L19" s="0" t="n">
        <f aca="false">L15+L16+L17+L18</f>
        <v>79212.1166363705</v>
      </c>
    </row>
    <row r="20" customFormat="false" ht="15" hidden="false" customHeight="false" outlineLevel="0" collapsed="false">
      <c r="A20" s="0" t="s">
        <v>123</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124</v>
      </c>
      <c r="C21" s="0" t="n">
        <f aca="false">C19*C20</f>
        <v>34561.2463333333</v>
      </c>
      <c r="D21" s="0" t="n">
        <f aca="false">D19*D20</f>
        <v>39468.5144301235</v>
      </c>
      <c r="E21" s="0" t="n">
        <f aca="false">E19*E20</f>
        <v>43970.7717479012</v>
      </c>
      <c r="F21" s="0" t="n">
        <f aca="false">F19*F20</f>
        <v>46735.6498045885</v>
      </c>
      <c r="G21" s="0" t="n">
        <f aca="false">G19*G20</f>
        <v>46242.2562379904</v>
      </c>
      <c r="H21" s="0" t="n">
        <f aca="false">H19*H20</f>
        <v>44426.6413110573</v>
      </c>
      <c r="I21" s="0" t="n">
        <f aca="false">I19*I20</f>
        <v>42811.9325178012</v>
      </c>
      <c r="J21" s="0" t="n">
        <f aca="false">J19*J20</f>
        <v>41056.2087625371</v>
      </c>
      <c r="K21" s="0" t="n">
        <f aca="false">K19*K20</f>
        <v>38826.289888162</v>
      </c>
      <c r="L21" s="0" t="n">
        <f aca="false">L19*L20</f>
        <v>36690.5366033713</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8</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18</v>
      </c>
    </row>
    <row r="30" customFormat="false" ht="15" hidden="false" customHeight="false" outlineLevel="0" collapsed="false">
      <c r="A30" s="0" t="s">
        <v>127</v>
      </c>
      <c r="B30" s="0" t="n">
        <f aca="false">SUM(C21:L21)</f>
        <v>414790.047636866</v>
      </c>
    </row>
    <row r="31" customFormat="false" ht="15" hidden="false" customHeight="false" outlineLevel="0" collapsed="false">
      <c r="A31" s="0" t="s">
        <v>128</v>
      </c>
      <c r="B31" s="0" t="n">
        <f aca="false">L19</f>
        <v>79212.1166363705</v>
      </c>
    </row>
    <row r="32" customFormat="false" ht="15" hidden="false" customHeight="false" outlineLevel="0" collapsed="false">
      <c r="A32" s="0" t="s">
        <v>129</v>
      </c>
      <c r="B32" s="0" t="n">
        <f aca="false">IF(B27&gt;B28,B31*(1+B28/100)/((B27-B28)/100),B31*B29)</f>
        <v>1476225.81004145</v>
      </c>
    </row>
    <row r="33" customFormat="false" ht="15" hidden="false" customHeight="false" outlineLevel="0" collapsed="false">
      <c r="A33" s="0" t="s">
        <v>130</v>
      </c>
      <c r="B33" s="0" t="n">
        <f aca="false">B31*B29</f>
        <v>1425818.09945467</v>
      </c>
    </row>
    <row r="34" customFormat="false" ht="15" hidden="false" customHeight="false" outlineLevel="0" collapsed="false">
      <c r="A34" s="0" t="s">
        <v>131</v>
      </c>
      <c r="B34" s="0" t="n">
        <f aca="false">MAX(0,MIN(B32,B33))</f>
        <v>1425818.09945467</v>
      </c>
    </row>
    <row r="35" customFormat="false" ht="15" hidden="false" customHeight="false" outlineLevel="0" collapsed="false">
      <c r="A35" s="0" t="s">
        <v>132</v>
      </c>
      <c r="B35" s="0" t="n">
        <f aca="false">B34/(1+B27/100)^L4</f>
        <v>660429.658860683</v>
      </c>
    </row>
    <row r="36" customFormat="false" ht="15" hidden="false" customHeight="false" outlineLevel="0" collapsed="false">
      <c r="A36" s="0" t="s">
        <v>133</v>
      </c>
      <c r="B36" s="0" t="n">
        <f aca="false">B30+B35</f>
        <v>1075219.70649755</v>
      </c>
    </row>
    <row r="37" customFormat="false" ht="15" hidden="false" customHeight="false" outlineLevel="0" collapsed="false">
      <c r="A37" s="0" t="s">
        <v>134</v>
      </c>
      <c r="B37" s="0" t="n">
        <f aca="false">B36+Assumptions!$B$5-Assumptions!$B$4</f>
        <v>1300875.70649755</v>
      </c>
    </row>
    <row r="38" customFormat="false" ht="15" hidden="false" customHeight="false" outlineLevel="0" collapsed="false">
      <c r="A38" s="0" t="s">
        <v>135</v>
      </c>
      <c r="B38" s="0" t="n">
        <f aca="false">B37/Assumptions!$B$3*Assumptions!$B$10</f>
        <v>9963.81515393343</v>
      </c>
    </row>
    <row r="39" customFormat="false" ht="15" hidden="false" customHeight="false" outlineLevel="0" collapsed="false">
      <c r="A39" s="0" t="s">
        <v>136</v>
      </c>
      <c r="B39" s="4" t="n">
        <f aca="false">B38/Assumptions!$B$2-1</f>
        <v>0.362852572005667</v>
      </c>
    </row>
    <row r="41" customFormat="false" ht="15" hidden="false" customHeight="false" outlineLevel="0" collapsed="false">
      <c r="A41" s="0" t="s">
        <v>137</v>
      </c>
      <c r="B41" s="0" t="n">
        <f aca="false">SUMPRODUCT(-C10:L10/(1+$B$27/100)^C4:L4)</f>
        <v>13069.5807272794</v>
      </c>
    </row>
    <row r="42" customFormat="false" ht="15" hidden="false" customHeight="false" outlineLevel="0" collapsed="false">
      <c r="A42" s="0" t="s">
        <v>138</v>
      </c>
      <c r="B42" s="0" t="n">
        <f aca="false">IF(B27&gt;B28,-L10*(1+B28/100)/((B27-B28)/100),-L10*20)/(1+B27/100)^L4</f>
        <v>20788.771332609</v>
      </c>
    </row>
    <row r="43" customFormat="false" ht="15" hidden="false" customHeight="false" outlineLevel="0" collapsed="false">
      <c r="A43" s="0" t="s">
        <v>139</v>
      </c>
      <c r="B43" s="0" t="n">
        <f aca="false">(B37+B41+B42)/Assumptions!$B$3*Assumptions!$B$10</f>
        <v>10223.1468945882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649539.356418238</v>
      </c>
    </row>
    <row r="47" customFormat="false" ht="15" hidden="false" customHeight="false" outlineLevel="0" collapsed="false">
      <c r="A47" s="0" t="s">
        <v>141</v>
      </c>
      <c r="B47" s="0" t="n">
        <f aca="false">(SUMPRODUCT(C19:L19/(1+B45/100)^C4:L4)+B46/(1+B45/100)^L4+Assumptions!$B$5-Assumptions!$B$4)/Assumptions!$B$3*Assumptions!$B$10</f>
        <v>5243.42322962576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5538.13803959261</v>
      </c>
      <c r="C4" s="0" t="n">
        <f aca="false">B4/Assumptions!$B$2-1</f>
        <v>-0.242492403283735</v>
      </c>
      <c r="D4" s="4" t="n">
        <f aca="false">Assumptions!$B$24</f>
        <v>0.25</v>
      </c>
      <c r="E4" s="4" t="n">
        <f aca="false">DCF_Bear!$B$43</f>
        <v>5718.83145582682</v>
      </c>
      <c r="F4" s="4" t="n">
        <f aca="false">DCF_Bear!$B$47</f>
        <v>3542.05010997686</v>
      </c>
    </row>
    <row r="5" customFormat="false" ht="15" hidden="false" customHeight="false" outlineLevel="0" collapsed="false">
      <c r="A5" s="0" t="s">
        <v>150</v>
      </c>
      <c r="B5" s="4" t="n">
        <f aca="false">DCF_Base!$B$38</f>
        <v>7669.62882098892</v>
      </c>
      <c r="C5" s="0" t="n">
        <f aca="false">B5/Assumptions!$B$2-1</f>
        <v>0.049053319790578</v>
      </c>
      <c r="D5" s="4" t="n">
        <f aca="false">Assumptions!$B$38</f>
        <v>0.5</v>
      </c>
      <c r="E5" s="4" t="n">
        <f aca="false">DCF_Base!$B$43</f>
        <v>7890.27838604936</v>
      </c>
      <c r="F5" s="4" t="n">
        <f aca="false">DCF_Base!$B$47</f>
        <v>4376.02006635346</v>
      </c>
    </row>
    <row r="6" customFormat="false" ht="15" hidden="false" customHeight="false" outlineLevel="0" collapsed="false">
      <c r="A6" s="0" t="s">
        <v>151</v>
      </c>
      <c r="B6" s="4" t="n">
        <f aca="false">DCF_Bull!$B$38</f>
        <v>9963.81515393343</v>
      </c>
      <c r="C6" s="0" t="n">
        <f aca="false">B6/Assumptions!$B$2-1</f>
        <v>0.362852572005667</v>
      </c>
      <c r="D6" s="4" t="n">
        <f aca="false">Assumptions!$B$52</f>
        <v>0.25</v>
      </c>
      <c r="E6" s="4" t="n">
        <f aca="false">DCF_Bull!$B$43</f>
        <v>10223.1468945882</v>
      </c>
      <c r="F6" s="4" t="n">
        <f aca="false">DCF_Bull!$B$47</f>
        <v>5243.42322962576</v>
      </c>
    </row>
    <row r="8" customFormat="false" ht="15" hidden="false" customHeight="false" outlineLevel="0" collapsed="false">
      <c r="A8" s="0" t="s">
        <v>152</v>
      </c>
      <c r="B8" s="0" t="n">
        <f aca="false">SUMPRODUCT(B4:B6,D4:D6)</f>
        <v>7710.30270887597</v>
      </c>
    </row>
    <row r="9" customFormat="false" ht="15" hidden="false" customHeight="false" outlineLevel="0" collapsed="false">
      <c r="A9" s="0" t="s">
        <v>153</v>
      </c>
      <c r="B9" s="0" t="n">
        <f aca="false">SUMPRODUCT(E4:E6,D4:D6)</f>
        <v>7930.63378062844</v>
      </c>
    </row>
    <row r="10" customFormat="false" ht="15" hidden="false" customHeight="false" outlineLevel="0" collapsed="false">
      <c r="A10" s="0" t="s">
        <v>154</v>
      </c>
      <c r="B10" s="0" t="n">
        <f aca="false">1-Assumptions!$B$2/B8</f>
        <v>0.0517882013135876</v>
      </c>
    </row>
    <row r="11" customFormat="false" ht="15" hidden="false" customHeight="false" outlineLevel="0" collapsed="false">
      <c r="A11" s="0" t="s">
        <v>155</v>
      </c>
      <c r="B11" s="0" t="n">
        <f aca="false">IF(ABS(B9-B8)&gt;0.01*ABS(B8),(Assumptions!$B$2-B8)/(B9-B8)*100,"n/a")</f>
        <v>-181.228505675571</v>
      </c>
    </row>
    <row r="12" customFormat="false" ht="15" hidden="false" customHeight="false" outlineLevel="0" collapsed="false">
      <c r="A12" s="0" t="s">
        <v>156</v>
      </c>
      <c r="B12" s="0" t="n">
        <f aca="false">SUMPRODUCT(F4:F6,D4:D6)</f>
        <v>4384.37836807739</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7669.62882098892</v>
      </c>
      <c r="C15" s="3" t="n">
        <v>8</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6792.91920006518</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6136.30254888512</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5626.37427715613</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5219.09379396819</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4376.02006635346</v>
      </c>
      <c r="C20" s="3" t="n">
        <v>15</v>
      </c>
    </row>
    <row r="22" customFormat="false" ht="15" hidden="false" customHeight="false" outlineLevel="0" collapsed="false">
      <c r="A22" s="2" t="s">
        <v>165</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8892.19394605136</v>
      </c>
      <c r="C24" s="0" t="n">
        <f aca="false">(SUMPRODUCT(DCF_Base!$C$19:$L$19/(1+$A$24/100)^DCF_Base!$C$4:$L$4)+MAX(0,MIN(IF($A$24&gt;$C$23,DCF_Base!$L$19*(1+$C$23/100)/(($A$24-$C$23)/100),DCF_Base!$L$19*DCF_Base!$B$29),DCF_Base!$L$19*DCF_Base!$B$29))/(1+$A$24/100)^DCF_Base!$L$4+Assumptions!$B$5-Assumptions!$B$4)/Assumptions!$B$3*Assumptions!$B$10</f>
        <v>8892.19394605136</v>
      </c>
      <c r="D24" s="0" t="n">
        <f aca="false">(SUMPRODUCT(DCF_Base!$C$19:$L$19/(1+$A$24/100)^DCF_Base!$C$4:$L$4)+MAX(0,MIN(IF($A$24&gt;$D$23,DCF_Base!$L$19*(1+$D$23/100)/(($A$24-$D$23)/100),DCF_Base!$L$19*DCF_Base!$B$29),DCF_Base!$L$19*DCF_Base!$B$29))/(1+$A$24/100)^DCF_Base!$L$4+Assumptions!$B$5-Assumptions!$B$4)/Assumptions!$B$3*Assumptions!$B$10</f>
        <v>8892.19394605136</v>
      </c>
      <c r="E24" s="0" t="n">
        <f aca="false">(SUMPRODUCT(DCF_Base!$C$19:$L$19/(1+$A$24/100)^DCF_Base!$C$4:$L$4)+MAX(0,MIN(IF($A$24&gt;$E$23,DCF_Base!$L$19*(1+$E$23/100)/(($A$24-$E$23)/100),DCF_Base!$L$19*DCF_Base!$B$29),DCF_Base!$L$19*DCF_Base!$B$29))/(1+$A$24/100)^DCF_Base!$L$4+Assumptions!$B$5-Assumptions!$B$4)/Assumptions!$B$3*Assumptions!$B$10</f>
        <v>8892.19394605136</v>
      </c>
      <c r="F24" s="0" t="n">
        <f aca="false">(SUMPRODUCT(DCF_Base!$C$19:$L$19/(1+$A$24/100)^DCF_Base!$C$4:$L$4)+MAX(0,MIN(IF($A$24&gt;$F$23,DCF_Base!$L$19*(1+$F$23/100)/(($A$24-$F$23)/100),DCF_Base!$L$19*DCF_Base!$B$29),DCF_Base!$L$19*DCF_Base!$B$29))/(1+$A$24/100)^DCF_Base!$L$4+Assumptions!$B$5-Assumptions!$B$4)/Assumptions!$B$3*Assumptions!$B$10</f>
        <v>8892.19394605136</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8096.85467542448</v>
      </c>
      <c r="C25" s="0" t="n">
        <f aca="false">(SUMPRODUCT(DCF_Base!$C$19:$L$19/(1+$A$25/100)^DCF_Base!$C$4:$L$4)+MAX(0,MIN(IF($A$25&gt;$C$23,DCF_Base!$L$19*(1+$C$23/100)/(($A$25-$C$23)/100),DCF_Base!$L$19*DCF_Base!$B$29),DCF_Base!$L$19*DCF_Base!$B$29))/(1+$A$25/100)^DCF_Base!$L$4+Assumptions!$B$5-Assumptions!$B$4)/Assumptions!$B$3*Assumptions!$B$10</f>
        <v>8359.09614801788</v>
      </c>
      <c r="D25" s="0" t="n">
        <f aca="false">(SUMPRODUCT(DCF_Base!$C$19:$L$19/(1+$A$25/100)^DCF_Base!$C$4:$L$4)+MAX(0,MIN(IF($A$25&gt;$D$23,DCF_Base!$L$19*(1+$D$23/100)/(($A$25-$D$23)/100),DCF_Base!$L$19*DCF_Base!$B$29),DCF_Base!$L$19*DCF_Base!$B$29))/(1+$A$25/100)^DCF_Base!$L$4+Assumptions!$B$5-Assumptions!$B$4)/Assumptions!$B$3*Assumptions!$B$10</f>
        <v>8359.09614801788</v>
      </c>
      <c r="E25" s="0" t="n">
        <f aca="false">(SUMPRODUCT(DCF_Base!$C$19:$L$19/(1+$A$25/100)^DCF_Base!$C$4:$L$4)+MAX(0,MIN(IF($A$25&gt;$E$23,DCF_Base!$L$19*(1+$E$23/100)/(($A$25-$E$23)/100),DCF_Base!$L$19*DCF_Base!$B$29),DCF_Base!$L$19*DCF_Base!$B$29))/(1+$A$25/100)^DCF_Base!$L$4+Assumptions!$B$5-Assumptions!$B$4)/Assumptions!$B$3*Assumptions!$B$10</f>
        <v>8359.09614801788</v>
      </c>
      <c r="F25" s="0" t="n">
        <f aca="false">(SUMPRODUCT(DCF_Base!$C$19:$L$19/(1+$A$25/100)^DCF_Base!$C$4:$L$4)+MAX(0,MIN(IF($A$25&gt;$F$23,DCF_Base!$L$19*(1+$F$23/100)/(($A$25-$F$23)/100),DCF_Base!$L$19*DCF_Base!$B$29),DCF_Base!$L$19*DCF_Base!$B$29))/(1+$A$25/100)^DCF_Base!$L$4+Assumptions!$B$5-Assumptions!$B$4)/Assumptions!$B$3*Assumptions!$B$10</f>
        <v>8359.09614801788</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7142.9701093205</v>
      </c>
      <c r="C26" s="0" t="n">
        <f aca="false">(SUMPRODUCT(DCF_Base!$C$19:$L$19/(1+$A$26/100)^DCF_Base!$C$4:$L$4)+MAX(0,MIN(IF($A$26&gt;$C$23,DCF_Base!$L$19*(1+$C$23/100)/(($A$26-$C$23)/100),DCF_Base!$L$19*DCF_Base!$B$29),DCF_Base!$L$19*DCF_Base!$B$29))/(1+$A$26/100)^DCF_Base!$L$4+Assumptions!$B$5-Assumptions!$B$4)/Assumptions!$B$3*Assumptions!$B$10</f>
        <v>7386.04336085977</v>
      </c>
      <c r="D26" s="0" t="n">
        <f aca="false">(SUMPRODUCT(DCF_Base!$C$19:$L$19/(1+$A$26/100)^DCF_Base!$C$4:$L$4)+MAX(0,MIN(IF($A$26&gt;$D$23,DCF_Base!$L$19*(1+$D$23/100)/(($A$26-$D$23)/100),DCF_Base!$L$19*DCF_Base!$B$29),DCF_Base!$L$19*DCF_Base!$B$29))/(1+$A$26/100)^DCF_Base!$L$4+Assumptions!$B$5-Assumptions!$B$4)/Assumptions!$B$3*Assumptions!$B$10</f>
        <v>7669.62882098892</v>
      </c>
      <c r="E26" s="0" t="n">
        <f aca="false">(SUMPRODUCT(DCF_Base!$C$19:$L$19/(1+$A$26/100)^DCF_Base!$C$4:$L$4)+MAX(0,MIN(IF($A$26&gt;$E$23,DCF_Base!$L$19*(1+$E$23/100)/(($A$26-$E$23)/100),DCF_Base!$L$19*DCF_Base!$B$29),DCF_Base!$L$19*DCF_Base!$B$29))/(1+$A$26/100)^DCF_Base!$L$4+Assumptions!$B$5-Assumptions!$B$4)/Assumptions!$B$3*Assumptions!$B$10</f>
        <v>7874.4405421933</v>
      </c>
      <c r="F26" s="0" t="n">
        <f aca="false">(SUMPRODUCT(DCF_Base!$C$19:$L$19/(1+$A$26/100)^DCF_Base!$C$4:$L$4)+MAX(0,MIN(IF($A$26&gt;$F$23,DCF_Base!$L$19*(1+$F$23/100)/(($A$26-$F$23)/100),DCF_Base!$L$19*DCF_Base!$B$29),DCF_Base!$L$19*DCF_Base!$B$29))/(1+$A$26/100)^DCF_Base!$L$4+Assumptions!$B$5-Assumptions!$B$4)/Assumptions!$B$3*Assumptions!$B$10</f>
        <v>7874.4405421933</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6429.36777301243</v>
      </c>
      <c r="C27" s="0" t="n">
        <f aca="false">(SUMPRODUCT(DCF_Base!$C$19:$L$19/(1+$A$27/100)^DCF_Base!$C$4:$L$4)+MAX(0,MIN(IF($A$27&gt;$C$23,DCF_Base!$L$19*(1+$C$23/100)/(($A$27-$C$23)/100),DCF_Base!$L$19*DCF_Base!$B$29),DCF_Base!$L$19*DCF_Base!$B$29))/(1+$A$27/100)^DCF_Base!$L$4+Assumptions!$B$5-Assumptions!$B$4)/Assumptions!$B$3*Assumptions!$B$10</f>
        <v>6599.02510563705</v>
      </c>
      <c r="D27" s="0" t="n">
        <f aca="false">(SUMPRODUCT(DCF_Base!$C$19:$L$19/(1+$A$27/100)^DCF_Base!$C$4:$L$4)+MAX(0,MIN(IF($A$27&gt;$D$23,DCF_Base!$L$19*(1+$D$23/100)/(($A$27-$D$23)/100),DCF_Base!$L$19*DCF_Base!$B$29),DCF_Base!$L$19*DCF_Base!$B$29))/(1+$A$27/100)^DCF_Base!$L$4+Assumptions!$B$5-Assumptions!$B$4)/Assumptions!$B$3*Assumptions!$B$10</f>
        <v>6792.91920006518</v>
      </c>
      <c r="E27" s="0" t="n">
        <f aca="false">(SUMPRODUCT(DCF_Base!$C$19:$L$19/(1+$A$27/100)^DCF_Base!$C$4:$L$4)+MAX(0,MIN(IF($A$27&gt;$E$23,DCF_Base!$L$19*(1+$E$23/100)/(($A$27-$E$23)/100),DCF_Base!$L$19*DCF_Base!$B$29),DCF_Base!$L$19*DCF_Base!$B$29))/(1+$A$27/100)^DCF_Base!$L$4+Assumptions!$B$5-Assumptions!$B$4)/Assumptions!$B$3*Assumptions!$B$10</f>
        <v>7016.64315517456</v>
      </c>
      <c r="F27" s="0" t="n">
        <f aca="false">(SUMPRODUCT(DCF_Base!$C$19:$L$19/(1+$A$27/100)^DCF_Base!$C$4:$L$4)+MAX(0,MIN(IF($A$27&gt;$F$23,DCF_Base!$L$19*(1+$F$23/100)/(($A$27-$F$23)/100),DCF_Base!$L$19*DCF_Base!$B$29),DCF_Base!$L$19*DCF_Base!$B$29))/(1+$A$27/100)^DCF_Base!$L$4+Assumptions!$B$5-Assumptions!$B$4)/Assumptions!$B$3*Assumptions!$B$10</f>
        <v>7277.65443613551</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5875.85174673067</v>
      </c>
      <c r="C28" s="0" t="n">
        <f aca="false">(SUMPRODUCT(DCF_Base!$C$19:$L$19/(1+$A$28/100)^DCF_Base!$C$4:$L$4)+MAX(0,MIN(IF($A$28&gt;$C$23,DCF_Base!$L$19*(1+$C$23/100)/(($A$28-$C$23)/100),DCF_Base!$L$19*DCF_Base!$B$29),DCF_Base!$L$19*DCF_Base!$B$29))/(1+$A$28/100)^DCF_Base!$L$4+Assumptions!$B$5-Assumptions!$B$4)/Assumptions!$B$3*Assumptions!$B$10</f>
        <v>5998.41683009747</v>
      </c>
      <c r="D28" s="0" t="n">
        <f aca="false">(SUMPRODUCT(DCF_Base!$C$19:$L$19/(1+$A$28/100)^DCF_Base!$C$4:$L$4)+MAX(0,MIN(IF($A$28&gt;$D$23,DCF_Base!$L$19*(1+$D$23/100)/(($A$28-$D$23)/100),DCF_Base!$L$19*DCF_Base!$B$29),DCF_Base!$L$19*DCF_Base!$B$29))/(1+$A$28/100)^DCF_Base!$L$4+Assumptions!$B$5-Assumptions!$B$4)/Assumptions!$B$3*Assumptions!$B$10</f>
        <v>6136.30254888512</v>
      </c>
      <c r="E28" s="0" t="n">
        <f aca="false">(SUMPRODUCT(DCF_Base!$C$19:$L$19/(1+$A$28/100)^DCF_Base!$C$4:$L$4)+MAX(0,MIN(IF($A$28&gt;$E$23,DCF_Base!$L$19*(1+$E$23/100)/(($A$28-$E$23)/100),DCF_Base!$L$19*DCF_Base!$B$29),DCF_Base!$L$19*DCF_Base!$B$29))/(1+$A$28/100)^DCF_Base!$L$4+Assumptions!$B$5-Assumptions!$B$4)/Assumptions!$B$3*Assumptions!$B$10</f>
        <v>6292.57303017779</v>
      </c>
      <c r="F28" s="0" t="n">
        <f aca="false">(SUMPRODUCT(DCF_Base!$C$19:$L$19/(1+$A$28/100)^DCF_Base!$C$4:$L$4)+MAX(0,MIN(IF($A$28&gt;$F$23,DCF_Base!$L$19*(1+$F$23/100)/(($A$28-$F$23)/100),DCF_Base!$L$19*DCF_Base!$B$29),DCF_Base!$L$19*DCF_Base!$B$29))/(1+$A$28/100)^DCF_Base!$L$4+Assumptions!$B$5-Assumptions!$B$4)/Assumptions!$B$3*Assumptions!$B$10</f>
        <v>6471.16786594084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2026-10-31T05:50:11Z</dcterms:created>
  <dc:creator>openpyxl</dc:creator>
  <dc:description/>
  <dc:language>en-NZ</dc:language>
  <cp:lastModifiedBy/>
  <dcterms:modified xsi:type="dcterms:W3CDTF">2026-10-31T05:50:11Z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