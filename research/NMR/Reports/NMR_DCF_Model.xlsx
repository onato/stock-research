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<sst xmlns="http://schemas.openxmlformats.org/spreadsheetml/2006/main" count="390" uniqueCount="177">
  <si>
    <t xml:space="preserve">Ticker</t>
  </si>
  <si>
    <t xml:space="preserve">NMR</t>
  </si>
  <si>
    <t xml:space="preserve">Company</t>
  </si>
  <si>
    <t xml:space="preserve">Nomura Holdings,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</si>
  <si>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</si>
  <si>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</si>
  <si>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</si>
  <si>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</si>
  <si>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</si>
  <si>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</si>
  <si>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2026-03-31</t>
  </si>
  <si>
    <t xml:space="preserve">Model</t>
  </si>
  <si>
    <t xml:space="preserve">Broker-dealer FCFE at cost of equity (engine route), net debt zero, retention on common equity</t>
  </si>
  <si>
    <t xml:space="preserve">Currency (model)</t>
  </si>
  <si>
    <t xml:space="preserve">JPY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</si>
  <si>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</si>
  <si>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</si>
  <si>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</si>
  <si>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</si>
  <si>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</si>
  <si>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</si>
  <si>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</si>
  <si>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2026-10-03T23:33:25Z</t>
  </si>
  <si>
    <t xml:space="preserve">Drivers file</t>
  </si>
  <si>
    <t xml:space="preserve">NMR_Drivers.json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</si>
  <si>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</si>
  <si>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</si>
  <si>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</si>
  <si>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Nomura is valued as a financial institution: free cash flow to equity (profit to common less the retention needed to grow book) discounted at a JPY cost of equity, with net debt zero because the balance sheet's liabilities are operating funding. The question the model answers is whether today's ~1.2x book is earned by a sustainable ~10% ROE or capitalises a cyclical peak.
key_risks_to_valuation: Peak-cycle base: FY26 ROE 10.1% and Q1 FY27 15.4% annualised versus a ~7% FY17-26 average; the base case still assumes ~9.7% through the cycle.; Trading and risk-management losses (Archegos FY3/21 ~USD2.9bn; FY3/19 loss year) are lumpy and not captured in smooth paths.; Regulatory/conduct risk: the 2024-25 JGB-futures manipulation case and the employee robbery scandal hit Japanese retail franchise and corporate bond underwriting.; JPY/USD: the ADS value moves 1:1 with the yen; a stronger yen lifts USD value with no change in the business.; No filing text extracted; the Q1 FY3/27 figures come from NMR_Analysis.json, not a parsed 6-K, and the balance sheet anchor is 2026-03-31.</t>
  </si>
  <si>
    <t xml:space="preserve">Data sources</t>
  </si>
  <si>
    <t xml:space="preserve">price: Yahoo Finance chart API at inputs.price_as_of; 52-week range 6.71-10.94. Tokyo 8604.T and JPY=X from the same API for the parity check.
financials: SEC XBRL companyfacts (CIK 0001163653), Form 20-F FY3/26 (year ended 2026-03-31): net revenue, pre-tax income, tax, NI attributable and NCI, NHI shareholders' equity, goodwill, SBC, dividends paid, buybacks, shares outstanding, weighted basic/diluted shares; research/NMR/Reports/NMR_Metrics.csv and kpis (equity-award taxes, cash taxes).
qualitative: research/NMR/Reports/NMR_Analysis.json (2026-10-04: Q1 FY3/27 results, Vision 2030 targets, H2 commentary, CET1) and research/NMR/info.json.</t>
  </si>
  <si>
    <t xml:space="preserve">Scenario narrative: bear</t>
  </si>
  <si>
    <t xml:space="preserve">The market cycle turns after a strong first half: Japanese equity turnover and international trading fall back toward FY3/23 conditions (ROE 3.1%), net revenue drops 10% then 2% in FY3/28-29, and margins compress to 18-20%. A risk-management loss of the Archegos kind, Macquarie-integration disappointment (goodwill JPY172.5bn), or another conduct case like the 2024-25 JGB-futures spoofing matter adds to the drag. ROE settles at ~6.5%, well below the cost of equity, and the stock is worth materially less than book.</t>
  </si>
  <si>
    <t xml:space="preserve">Scenario narrative: base</t>
  </si>
  <si>
    <t xml:space="preserve">Nomura's FY3/26 ROE of 10.1% (record attributable profit JPY362bn) and Q1 FY3/27's annualised 15.4% are partly structural and partly cyclical. Structural: Wealth Management's 17 straight quarters of net inflows into recurring, AUM-based fees as Japanese households move savings into NISA accounts; Investment Management enlarged by the Macquarie public asset-management acquisition (AUM ~US$770bn, 35%+ outside Japan); a reformed Wholesale cost base. Cyclical: strong equity markets, record Equities revenue (+41% YoY in Q1) and FICC activity, which management already says slowed into H2. The base case books a strong FY3/27 (+10% net revenue, ROE ~12%) then lets ROE settle near 9.7% -- just above the 9.5% JPY cost of equity and below the raised 10-12%+ Vision 2030 target -- so the business is worth about book plus a modest premium for growth.</t>
  </si>
  <si>
    <t xml:space="preserve">Scenario narrative: bull</t>
  </si>
  <si>
    <t xml:space="preserve">Vision 2030 is delivered and held: Japan's savings-to-investment shift proves durable and Nomura captures it through wealth inflows and the enlarged asset manager scaling on a fixed platform, while Wholesale earns through the cycle without a repeat of the Archegos (FY3/21) or FY3/19 international losses. ROE stays ~11.5-12% and pre-tax income passes the JPY750bn target by FY3/30, with terminal growth 2.5%.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</si>
  <si>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</si>
  <si>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</si>
  <si>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</si>
  <si>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</si>
  <si>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</si>
  <si>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</si>
  <si>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</si>
  <si>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</si>
  <si>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</si>
  <si>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</si>
  <si>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</si>
  <si>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</si>
  <si>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</si>
  <si>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</si>
  <si>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</si>
  <si>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</si>
  <si>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</si>
  <si>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</si>
  <si>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</si>
  <si>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</si>
  <si>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</si>
  <si>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</si>
  <si>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</si>
  <si>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</si>
  <si>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</si>
  <si>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</si>
  <si>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</si>
  <si>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</si>
  <si>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</si>
  <si>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</si>
  <si>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</si>
  <si>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</si>
  <si>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</si>
  <si>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</si>
  <si>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</si>
  <si>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</si>
  <si>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</si>
  <si>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</si>
  <si>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</si>
  <si>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</si>
  <si>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</si>
  <si>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</si>
  <si>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</si>
  <si>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</si>
  <si>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</si>
  <si>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</si>
  <si>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</si>
  <si>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</si>
  <si>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</si>
  <si>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</si>
  <si>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</si>
  <si>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</si>
  <si>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</si>
  <si>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</si>
  <si>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</si>
  <si>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</si>
  <si>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 (year ended 2026-03-31; Nomura calls it FY2025/26)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</si>
  <si>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</si>
  <si>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</si>
  <si>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</si>
  <si>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</si>
  <si>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</si>
  <si>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</si>
  <si>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</si>
  <si>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</si>
  <si>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</si>
  <si>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</si>
  <si>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</si>
  <si>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</si>
  <si>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</si>
  <si>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</si>
  <si>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</si>
  <si>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</si>
  <si>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</si>
  <si>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</si>
  <si>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</si>
  <si>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</si>
  <si>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</si>
  <si>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</si>
  <si>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</si>
  <si>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</si>
  <si>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</si>
  <si>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</si>
  <si>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</si>
  <si>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</si>
  <si>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NMR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</si>
  <si>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</si>
  <si>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</si>
  <si>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</si>
  <si>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</si>
  <si>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</si>
  <si>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</si>
  <si>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</si>
  <si>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</si>
  <si>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</si>
  <si>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</si>
  <si>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</si>
  <si>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</si>
  <si>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</si>
  <si>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</si>
  <si>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</si>
  <si>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</si>
  <si>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</si>
  <si>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</si>
  <si>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</si>
  <si>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</si>
  <si>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</si>
  <si>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</si>
  <si>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</si>
  <si>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</si>
  <si>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</si>
  <si>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</si>
  <si>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</si>
  <si>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</si>
  <si>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</si>
  <si>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</si>
  <si>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NMR owner-FCF component DCF: base case (millions, JPY)</t>
  </si>
  <si>
    <t xml:space="preserve">NMR owner-FCF component DCF: bull case (millions, JPY)</t>
  </si>
  <si>
    <t xml:space="preserve">NMR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</si>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</sst>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9.73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S2" s="0" t="n">
        <v>410028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1593722</v>
      </c>
      <c r="I3" s="0" t="n">
        <v>-68169</v>
      </c>
      <c r="J3" s="0" t="n">
        <v>-4.277345735329</v>
      </c>
      <c r="K3" s="0" t="n">
        <v>-35.57</v>
      </c>
      <c r="L3" s="0" t="n">
        <v>-647906</v>
      </c>
      <c r="M3" s="0" t="n">
        <v>126285</v>
      </c>
      <c r="N3" s="0" t="n">
        <v>-774191</v>
      </c>
      <c r="O3" s="0" t="n">
        <v>2001102</v>
      </c>
      <c r="S3" s="0" t="n">
        <v>507236</v>
      </c>
      <c r="T3" s="0" t="n">
        <v>1906.885059</v>
      </c>
      <c r="U3" s="0" t="n">
        <v>13188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664511</v>
      </c>
      <c r="I4" s="0" t="n">
        <v>-709411</v>
      </c>
      <c r="J4" s="0" t="n">
        <v>-106.756848268877</v>
      </c>
      <c r="K4" s="0" t="n">
        <v>-366.16</v>
      </c>
      <c r="L4" s="0" t="n">
        <v>-712629</v>
      </c>
      <c r="M4" s="0" t="n">
        <v>95978</v>
      </c>
      <c r="N4" s="0" t="n">
        <v>-808607</v>
      </c>
      <c r="O4" s="0" t="n">
        <v>1551546</v>
      </c>
      <c r="P4" s="0" t="n">
        <v>24837848</v>
      </c>
      <c r="Q4" s="0" t="n">
        <v>23286302</v>
      </c>
      <c r="R4" s="0" t="n">
        <v>5483028</v>
      </c>
      <c r="S4" s="0" t="n">
        <v>613566</v>
      </c>
      <c r="T4" s="0" t="n">
        <v>2604.779843</v>
      </c>
      <c r="U4" s="0" t="n">
        <v>16476</v>
      </c>
      <c r="V4" s="0" t="n">
        <v>25.5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1356751</v>
      </c>
      <c r="I5" s="0" t="n">
        <v>68086</v>
      </c>
      <c r="J5" s="0" t="n">
        <v>5.0183121294917</v>
      </c>
      <c r="K5" s="0" t="n">
        <v>21.68</v>
      </c>
      <c r="L5" s="0" t="n">
        <v>-1500770</v>
      </c>
      <c r="M5" s="0" t="n">
        <v>83079</v>
      </c>
      <c r="N5" s="0" t="n">
        <v>-1583849</v>
      </c>
      <c r="O5" s="0" t="n">
        <v>2133014</v>
      </c>
      <c r="P5" s="0" t="n">
        <v>32230428</v>
      </c>
      <c r="Q5" s="0" t="n">
        <v>30097414</v>
      </c>
      <c r="R5" s="0" t="n">
        <v>7199061</v>
      </c>
      <c r="S5" s="0" t="n">
        <v>1020647</v>
      </c>
      <c r="T5" s="0" t="n">
        <v>3669.044614</v>
      </c>
      <c r="U5" s="0" t="n">
        <v>9737</v>
      </c>
      <c r="V5" s="0" t="n">
        <v>8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1385492</v>
      </c>
      <c r="I6" s="0" t="n">
        <v>31925</v>
      </c>
      <c r="J6" s="0" t="n">
        <v>2.30423560727886</v>
      </c>
      <c r="K6" s="0" t="n">
        <v>7.9</v>
      </c>
      <c r="L6" s="0" t="n">
        <v>-235090</v>
      </c>
      <c r="M6" s="0" t="n">
        <v>186350</v>
      </c>
      <c r="N6" s="0" t="n">
        <v>-421440</v>
      </c>
      <c r="O6" s="0" t="n">
        <v>2091636</v>
      </c>
      <c r="P6" s="0" t="n">
        <v>36692990</v>
      </c>
      <c r="Q6" s="0" t="n">
        <v>34601354</v>
      </c>
      <c r="R6" s="0" t="n">
        <v>8402917</v>
      </c>
      <c r="S6" s="0" t="n">
        <v>1620340</v>
      </c>
      <c r="T6" s="0" t="n">
        <v>3600.886932</v>
      </c>
      <c r="U6" s="0" t="n">
        <v>18638</v>
      </c>
      <c r="V6" s="0" t="n">
        <v>8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1851760</v>
      </c>
      <c r="I7" s="0" t="n">
        <v>26054</v>
      </c>
      <c r="J7" s="0" t="n">
        <v>1.40698578649501</v>
      </c>
      <c r="K7" s="0" t="n">
        <v>3.18</v>
      </c>
      <c r="L7" s="0" t="n">
        <v>290863</v>
      </c>
      <c r="M7" s="0" t="n">
        <v>182568</v>
      </c>
      <c r="N7" s="0" t="n">
        <v>108295</v>
      </c>
      <c r="O7" s="0" t="n">
        <v>2389137</v>
      </c>
      <c r="P7" s="0" t="n">
        <v>35697312</v>
      </c>
      <c r="Q7" s="0" t="n">
        <v>33308175</v>
      </c>
      <c r="R7" s="0" t="n">
        <v>8504840</v>
      </c>
      <c r="S7" s="0" t="n">
        <v>1070520</v>
      </c>
      <c r="T7" s="0" t="n">
        <v>3663.483895</v>
      </c>
      <c r="U7" s="0" t="n">
        <v>26869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2079943</v>
      </c>
      <c r="I8" s="0" t="n">
        <v>107234</v>
      </c>
      <c r="J8" s="0" t="n">
        <v>5.15562205310434</v>
      </c>
      <c r="K8" s="0" t="n">
        <v>29.04</v>
      </c>
      <c r="L8" s="0" t="n">
        <v>549501</v>
      </c>
      <c r="M8" s="0" t="n">
        <v>271975</v>
      </c>
      <c r="N8" s="0" t="n">
        <v>277526</v>
      </c>
      <c r="O8" s="0" t="n">
        <v>2318983</v>
      </c>
      <c r="P8" s="0" t="n">
        <v>37942439</v>
      </c>
      <c r="Q8" s="0" t="n">
        <v>35623456</v>
      </c>
      <c r="R8" s="0" t="n">
        <v>7592368</v>
      </c>
      <c r="S8" s="0" t="n">
        <v>805087</v>
      </c>
      <c r="T8" s="0" t="n">
        <v>3710.960252</v>
      </c>
      <c r="U8" s="0" t="n">
        <v>21955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1831844</v>
      </c>
      <c r="I9" s="0" t="n">
        <v>216449</v>
      </c>
      <c r="J9" s="0" t="n">
        <v>11.8159079048216</v>
      </c>
      <c r="K9" s="0" t="n">
        <v>57.57</v>
      </c>
      <c r="L9" s="0" t="n">
        <v>457426</v>
      </c>
      <c r="M9" s="0" t="n">
        <v>214336</v>
      </c>
      <c r="N9" s="0" t="n">
        <v>243090</v>
      </c>
      <c r="O9" s="0" t="n">
        <v>2553213</v>
      </c>
      <c r="P9" s="0" t="n">
        <v>43520314</v>
      </c>
      <c r="Q9" s="0" t="n">
        <v>40967101</v>
      </c>
      <c r="R9" s="0" t="n">
        <v>8227063</v>
      </c>
      <c r="S9" s="0" t="n">
        <v>1489792</v>
      </c>
      <c r="T9" s="0" t="n">
        <v>3717.630462</v>
      </c>
      <c r="U9" s="0" t="n">
        <v>21091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1930588</v>
      </c>
      <c r="I10" s="0" t="n">
        <v>225979</v>
      </c>
      <c r="J10" s="0" t="n">
        <v>11.7051903357941</v>
      </c>
      <c r="K10" s="0" t="n">
        <v>61.66</v>
      </c>
      <c r="L10" s="0" t="n">
        <v>-77028</v>
      </c>
      <c r="M10" s="0" t="n">
        <v>209468</v>
      </c>
      <c r="N10" s="0" t="n">
        <v>-286496</v>
      </c>
      <c r="O10" s="0" t="n">
        <v>2744946</v>
      </c>
      <c r="P10" s="0" t="n">
        <v>41783236</v>
      </c>
      <c r="Q10" s="0" t="n">
        <v>39038290</v>
      </c>
      <c r="R10" s="0" t="n">
        <v>8336296</v>
      </c>
      <c r="S10" s="0" t="n">
        <v>1315408</v>
      </c>
      <c r="T10" s="0" t="n">
        <v>3598.865213</v>
      </c>
      <c r="U10" s="0" t="n">
        <v>19364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1723096</v>
      </c>
      <c r="I11" s="0" t="n">
        <v>142562</v>
      </c>
      <c r="J11" s="0" t="n">
        <v>8.27359589947397</v>
      </c>
      <c r="K11" s="0" t="n">
        <v>36.53</v>
      </c>
      <c r="L11" s="0" t="n">
        <v>1238372</v>
      </c>
      <c r="M11" s="0" t="n">
        <v>324722</v>
      </c>
      <c r="N11" s="0" t="n">
        <v>913650</v>
      </c>
      <c r="O11" s="0" t="n">
        <v>2743015</v>
      </c>
      <c r="P11" s="0" t="n">
        <v>41090167</v>
      </c>
      <c r="Q11" s="0" t="n">
        <v>38347152</v>
      </c>
      <c r="R11" s="0" t="n">
        <v>8129559</v>
      </c>
      <c r="S11" s="0" t="n">
        <v>3476261</v>
      </c>
      <c r="T11" s="0" t="n">
        <v>3608.391999</v>
      </c>
      <c r="U11" s="0" t="n">
        <v>16890</v>
      </c>
      <c r="AA11" s="0" t="s">
        <v>18</v>
      </c>
      <c r="AB11" s="0" t="s">
        <v>16</v>
      </c>
    </row>
    <row r="12" customFormat="false" ht="15" hidden="false" customHeight="false" outlineLevel="0" collapsed="false">
      <c r="A12" s="0" t="s">
        <v>74</v>
      </c>
      <c r="B12" s="0" t="n">
        <v>1715516</v>
      </c>
      <c r="I12" s="0" t="n">
        <v>242566</v>
      </c>
      <c r="J12" s="0" t="n">
        <v>14.1395358597646</v>
      </c>
      <c r="K12" s="0" t="n">
        <v>67.29</v>
      </c>
      <c r="L12" s="0" t="n">
        <v>1304994</v>
      </c>
      <c r="M12" s="0" t="n">
        <v>312880</v>
      </c>
      <c r="N12" s="0" t="n">
        <v>992114</v>
      </c>
      <c r="O12" s="0" t="n">
        <v>2843791</v>
      </c>
      <c r="P12" s="0" t="n">
        <v>42852078</v>
      </c>
      <c r="Q12" s="0" t="n">
        <v>40008287</v>
      </c>
      <c r="R12" s="0" t="n">
        <v>7195408</v>
      </c>
      <c r="S12" s="0" t="n">
        <v>2536840</v>
      </c>
      <c r="T12" s="0" t="n">
        <v>3528.429451</v>
      </c>
      <c r="U12" s="0" t="n">
        <v>8960</v>
      </c>
      <c r="AA12" s="0" t="s">
        <v>18</v>
      </c>
      <c r="AB12" s="0" t="s">
        <v>16</v>
      </c>
    </row>
    <row r="13" customFormat="false" ht="15" hidden="false" customHeight="false" outlineLevel="0" collapsed="false">
      <c r="A13" s="0" t="s">
        <v>75</v>
      </c>
      <c r="B13" s="0" t="n">
        <v>1972158</v>
      </c>
      <c r="I13" s="0" t="n">
        <v>224292</v>
      </c>
      <c r="J13" s="0" t="n">
        <v>11.3729224534748</v>
      </c>
      <c r="K13" s="0" t="n">
        <v>63.13</v>
      </c>
      <c r="L13" s="0" t="n">
        <v>-445690</v>
      </c>
      <c r="M13" s="0" t="n">
        <v>285161</v>
      </c>
      <c r="N13" s="0" t="n">
        <v>-730851</v>
      </c>
      <c r="O13" s="0" t="n">
        <v>2799824</v>
      </c>
      <c r="P13" s="0" t="n">
        <v>40343947</v>
      </c>
      <c r="Q13" s="0" t="n">
        <v>37544123</v>
      </c>
      <c r="R13" s="0" t="n">
        <v>7382507</v>
      </c>
      <c r="S13" s="0" t="n">
        <v>2354639</v>
      </c>
      <c r="T13" s="0" t="n">
        <v>3392.937486</v>
      </c>
      <c r="U13" s="0" t="n">
        <v>9650</v>
      </c>
      <c r="AA13" s="0" t="s">
        <v>18</v>
      </c>
      <c r="AB13" s="0" t="s">
        <v>16</v>
      </c>
    </row>
    <row r="14" customFormat="false" ht="15" hidden="false" customHeight="false" outlineLevel="0" collapsed="false">
      <c r="A14" s="0" t="s">
        <v>76</v>
      </c>
      <c r="B14" s="0" t="n">
        <v>1835118</v>
      </c>
      <c r="I14" s="0" t="n">
        <v>-100442</v>
      </c>
      <c r="J14" s="0" t="n">
        <v>-5.47332651088377</v>
      </c>
      <c r="K14" s="0" t="n">
        <v>-29.92</v>
      </c>
      <c r="L14" s="0" t="n">
        <v>-361165</v>
      </c>
      <c r="M14" s="0" t="n">
        <v>319090</v>
      </c>
      <c r="N14" s="0" t="n">
        <v>-680255</v>
      </c>
      <c r="O14" s="0" t="n">
        <v>2680793</v>
      </c>
      <c r="P14" s="0" t="n">
        <v>40969439</v>
      </c>
      <c r="Q14" s="0" t="n">
        <v>38288646</v>
      </c>
      <c r="R14" s="0" t="n">
        <v>7915769</v>
      </c>
      <c r="S14" s="0" t="n">
        <v>2686659</v>
      </c>
      <c r="T14" s="0" t="n">
        <v>3310.800799</v>
      </c>
      <c r="U14" s="0" t="n">
        <v>21814</v>
      </c>
      <c r="AA14" s="0" t="s">
        <v>18</v>
      </c>
      <c r="AB14" s="0" t="s">
        <v>16</v>
      </c>
    </row>
    <row r="15" customFormat="false" ht="15" hidden="false" customHeight="false" outlineLevel="0" collapsed="false">
      <c r="A15" s="0" t="s">
        <v>77</v>
      </c>
      <c r="B15" s="0" t="n">
        <v>1952482</v>
      </c>
      <c r="I15" s="0" t="n">
        <v>219367</v>
      </c>
      <c r="J15" s="0" t="n">
        <v>11.2352892369814</v>
      </c>
      <c r="K15" s="0" t="n">
        <v>67.76</v>
      </c>
      <c r="L15" s="0" t="n">
        <v>-15943</v>
      </c>
      <c r="M15" s="0" t="n">
        <v>206745</v>
      </c>
      <c r="N15" s="0" t="n">
        <v>-222688</v>
      </c>
      <c r="O15" s="0" t="n">
        <v>2731264</v>
      </c>
      <c r="P15" s="0" t="n">
        <v>43999815</v>
      </c>
      <c r="Q15" s="0" t="n">
        <v>41268551</v>
      </c>
      <c r="R15" s="0" t="n">
        <v>7775665</v>
      </c>
      <c r="S15" s="0" t="n">
        <v>3191889</v>
      </c>
      <c r="T15" s="0" t="n">
        <v>3038.587493</v>
      </c>
      <c r="U15" s="0" t="n">
        <v>12694</v>
      </c>
      <c r="AA15" s="0" t="s">
        <v>18</v>
      </c>
      <c r="AB15" s="0" t="s">
        <v>16</v>
      </c>
    </row>
    <row r="16" customFormat="false" ht="15" hidden="false" customHeight="false" outlineLevel="0" collapsed="false">
      <c r="A16" s="0" t="s">
        <v>78</v>
      </c>
      <c r="B16" s="0" t="n">
        <v>1617235</v>
      </c>
      <c r="I16" s="0" t="n">
        <v>160397</v>
      </c>
      <c r="J16" s="0" t="n">
        <v>9.91797728839655</v>
      </c>
      <c r="K16" s="0" t="n">
        <v>50.11</v>
      </c>
      <c r="L16" s="0" t="n">
        <v>667610</v>
      </c>
      <c r="M16" s="0" t="n">
        <v>119875</v>
      </c>
      <c r="N16" s="0" t="n">
        <v>547735</v>
      </c>
      <c r="O16" s="0" t="n">
        <v>2756451</v>
      </c>
      <c r="P16" s="0" t="n">
        <v>42516480</v>
      </c>
      <c r="Q16" s="0" t="n">
        <v>39760029</v>
      </c>
      <c r="R16" s="0" t="n">
        <v>7975012</v>
      </c>
      <c r="S16" s="0" t="n">
        <v>3509754</v>
      </c>
      <c r="T16" s="0" t="n">
        <v>3063.155434</v>
      </c>
      <c r="U16" s="0" t="n">
        <v>28251</v>
      </c>
      <c r="AA16" s="0" t="s">
        <v>18</v>
      </c>
      <c r="AB16" s="0" t="s">
        <v>16</v>
      </c>
    </row>
    <row r="17" customFormat="false" ht="15" hidden="false" customHeight="false" outlineLevel="0" collapsed="false">
      <c r="A17" s="0" t="s">
        <v>79</v>
      </c>
      <c r="B17" s="0" t="n">
        <v>1593999</v>
      </c>
      <c r="I17" s="0" t="n">
        <v>146533</v>
      </c>
      <c r="J17" s="0" t="n">
        <v>9.19279121254154</v>
      </c>
      <c r="K17" s="0" t="n">
        <v>46.68</v>
      </c>
      <c r="L17" s="0" t="n">
        <v>-862832</v>
      </c>
      <c r="M17" s="0" t="n">
        <v>111331</v>
      </c>
      <c r="N17" s="0" t="n">
        <v>-974163</v>
      </c>
      <c r="O17" s="0" t="n">
        <v>2972803</v>
      </c>
      <c r="P17" s="0" t="n">
        <v>43412156</v>
      </c>
      <c r="Q17" s="0" t="n">
        <v>40439353</v>
      </c>
      <c r="R17" s="0" t="n">
        <v>9258306</v>
      </c>
      <c r="S17" s="0" t="n">
        <v>3316238</v>
      </c>
      <c r="T17" s="0" t="n">
        <v>3017.804012</v>
      </c>
      <c r="U17" s="0" t="n">
        <v>27941</v>
      </c>
      <c r="AA17" s="0" t="s">
        <v>18</v>
      </c>
      <c r="AB17" s="0" t="s">
        <v>16</v>
      </c>
    </row>
    <row r="18" customFormat="false" ht="15" hidden="false" customHeight="false" outlineLevel="0" collapsed="false">
      <c r="A18" s="0" t="s">
        <v>80</v>
      </c>
      <c r="B18" s="0" t="n">
        <v>2486726</v>
      </c>
      <c r="I18" s="0" t="n">
        <v>92786</v>
      </c>
      <c r="J18" s="0" t="n">
        <v>3.73125145271333</v>
      </c>
      <c r="K18" s="0" t="n">
        <v>30.86</v>
      </c>
      <c r="L18" s="0" t="n">
        <v>-694820</v>
      </c>
      <c r="M18" s="0" t="n">
        <v>171165</v>
      </c>
      <c r="N18" s="0" t="n">
        <v>-865985</v>
      </c>
      <c r="O18" s="0" t="n">
        <v>3224142</v>
      </c>
      <c r="P18" s="0" t="n">
        <v>47771802</v>
      </c>
      <c r="Q18" s="0" t="n">
        <v>44547660</v>
      </c>
      <c r="R18" s="0" t="n">
        <v>10399210</v>
      </c>
      <c r="S18" s="0" t="n">
        <v>3820685</v>
      </c>
      <c r="T18" s="0" t="n">
        <v>3003.679324</v>
      </c>
      <c r="U18" s="0" t="n">
        <v>35216</v>
      </c>
      <c r="AA18" s="0" t="s">
        <v>18</v>
      </c>
      <c r="AB18" s="0" t="s">
        <v>16</v>
      </c>
    </row>
    <row r="19" customFormat="false" ht="15" hidden="false" customHeight="false" outlineLevel="0" collapsed="false">
      <c r="A19" s="0" t="s">
        <v>81</v>
      </c>
      <c r="B19" s="0" t="n">
        <v>4157294</v>
      </c>
      <c r="I19" s="0" t="n">
        <v>177220</v>
      </c>
      <c r="J19" s="0" t="n">
        <v>4.26286906819677</v>
      </c>
      <c r="K19" s="0" t="n">
        <v>54.97</v>
      </c>
      <c r="L19" s="0" t="n">
        <v>132640</v>
      </c>
      <c r="M19" s="0" t="n">
        <v>145784</v>
      </c>
      <c r="N19" s="0" t="n">
        <v>-13144</v>
      </c>
      <c r="O19" s="0" t="n">
        <v>3448513</v>
      </c>
      <c r="P19" s="0" t="n">
        <v>55147203</v>
      </c>
      <c r="Q19" s="0" t="n">
        <v>51698690</v>
      </c>
      <c r="R19" s="0" t="n">
        <v>12452115</v>
      </c>
      <c r="S19" s="0" t="n">
        <v>4239359</v>
      </c>
      <c r="T19" s="0" t="n">
        <v>2970.75516</v>
      </c>
      <c r="U19" s="0" t="n">
        <v>35577</v>
      </c>
      <c r="AA19" s="0" t="s">
        <v>18</v>
      </c>
      <c r="AB19" s="0" t="s">
        <v>16</v>
      </c>
    </row>
    <row r="20" customFormat="false" ht="15" hidden="false" customHeight="false" outlineLevel="0" collapsed="false">
      <c r="A20" s="0" t="s">
        <v>82</v>
      </c>
      <c r="B20" s="0" t="n">
        <v>4736743</v>
      </c>
      <c r="I20" s="0" t="n">
        <v>347255</v>
      </c>
      <c r="J20" s="0" t="n">
        <v>7.33109227163053</v>
      </c>
      <c r="K20" s="0" t="n">
        <v>115.3</v>
      </c>
      <c r="L20" s="0" t="n">
        <v>-678611</v>
      </c>
      <c r="M20" s="0" t="n">
        <v>189971</v>
      </c>
      <c r="N20" s="0" t="n">
        <v>-868582</v>
      </c>
      <c r="O20" s="0" t="n">
        <v>3580999</v>
      </c>
      <c r="P20" s="0" t="n">
        <v>56802170</v>
      </c>
      <c r="Q20" s="0" t="n">
        <v>53221171</v>
      </c>
      <c r="R20" s="0" t="n">
        <v>13373678</v>
      </c>
      <c r="S20" s="0" t="n">
        <v>4424462</v>
      </c>
      <c r="T20" s="0" t="n">
        <v>2956.210965</v>
      </c>
      <c r="U20" s="0" t="n">
        <v>38578</v>
      </c>
      <c r="AA20" s="0" t="s">
        <v>18</v>
      </c>
      <c r="AB20" s="0" t="s">
        <v>16</v>
      </c>
    </row>
    <row r="21" customFormat="false" ht="15" hidden="false" customHeight="false" outlineLevel="0" collapsed="false">
      <c r="A21" s="0" t="s">
        <v>83</v>
      </c>
      <c r="B21" s="0" t="n">
        <v>4758486</v>
      </c>
      <c r="I21" s="0" t="n">
        <v>374382</v>
      </c>
      <c r="J21" s="0" t="n">
        <v>7.8676705153698</v>
      </c>
      <c r="K21" s="0" t="n">
        <v>123.08</v>
      </c>
      <c r="L21" s="0" t="n">
        <v>-842960</v>
      </c>
      <c r="M21" s="0" t="n">
        <v>353818</v>
      </c>
      <c r="N21" s="0" t="n">
        <v>-1196778</v>
      </c>
      <c r="O21" s="0" t="n">
        <v>3854915</v>
      </c>
      <c r="P21" s="0" t="n">
        <v>62645925</v>
      </c>
      <c r="Q21" s="0" t="n">
        <v>58791010</v>
      </c>
      <c r="R21" s="0" t="n">
        <v>15544956</v>
      </c>
      <c r="S21" s="0" t="n">
        <v>4298693</v>
      </c>
      <c r="T21" s="0" t="n">
        <v>2901.337224</v>
      </c>
      <c r="U21" s="0" t="n">
        <v>40836</v>
      </c>
      <c r="AA21" s="0" t="s">
        <v>18</v>
      </c>
      <c r="AB2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9.73</v>
      </c>
    </row>
    <row r="3" customFormat="false" ht="15" hidden="false" customHeight="false" outlineLevel="0" collapsed="false">
      <c r="A3" s="0" t="s">
        <v>87</v>
      </c>
      <c r="B3" s="3" t="n">
        <v>3000.2</v>
      </c>
    </row>
    <row r="4" customFormat="false" ht="15" hidden="false" customHeight="false" outlineLevel="0" collapsed="false">
      <c r="A4" s="0" t="s">
        <v>88</v>
      </c>
      <c r="B4" s="3" t="n">
        <v>0</v>
      </c>
    </row>
    <row r="5" customFormat="false" ht="15" hidden="false" customHeight="false" outlineLevel="0" collapsed="false">
      <c r="A5" s="0" t="s">
        <v>89</v>
      </c>
      <c r="B5" s="3" t="n">
        <v>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2167713</v>
      </c>
    </row>
    <row r="8" customFormat="false" ht="15" hidden="false" customHeight="false" outlineLevel="0" collapsed="false">
      <c r="A8" s="0" t="s">
        <v>92</v>
      </c>
      <c r="B8" s="3" t="s">
        <v>93</v>
      </c>
    </row>
    <row r="9" customFormat="false" ht="15" hidden="false" customHeight="false" outlineLevel="0" collapsed="false">
      <c r="A9" s="0" t="s">
        <v>94</v>
      </c>
      <c r="B9" s="3" t="s">
        <v>95</v>
      </c>
    </row>
    <row r="10" customFormat="false" ht="15" hidden="false" customHeight="false" outlineLevel="0" collapsed="false">
      <c r="A10" s="0" t="s">
        <v>96</v>
      </c>
      <c r="B10" s="3" t="n">
        <v>0.0063359</v>
      </c>
    </row>
    <row r="12" customFormat="false" ht="15" hidden="false" customHeight="false" outlineLevel="0" collapsed="false">
      <c r="A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</row>
    <row r="13" customFormat="false" ht="15" hidden="false" customHeight="false" outlineLevel="0" collapsed="false">
      <c r="A13" s="0" t="s">
        <v>108</v>
      </c>
      <c r="C13" s="3" t="n">
        <v>2</v>
      </c>
      <c r="D13" s="3" t="n">
        <v>-10</v>
      </c>
      <c r="E13" s="3" t="n">
        <v>-2</v>
      </c>
      <c r="F13" s="3" t="n">
        <v>3</v>
      </c>
      <c r="G13" s="3" t="n">
        <v>3</v>
      </c>
      <c r="H13" s="3" t="n">
        <v>2.5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109</v>
      </c>
      <c r="C14" s="3" t="n">
        <v>25</v>
      </c>
      <c r="D14" s="3" t="n">
        <v>18</v>
      </c>
      <c r="E14" s="3" t="n">
        <v>18</v>
      </c>
      <c r="F14" s="3" t="n">
        <v>19</v>
      </c>
      <c r="G14" s="3" t="n">
        <v>20</v>
      </c>
      <c r="H14" s="3" t="n">
        <v>20</v>
      </c>
      <c r="I14" s="3" t="n">
        <v>20</v>
      </c>
      <c r="J14" s="3" t="n">
        <v>20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110</v>
      </c>
      <c r="C15" s="3" t="n">
        <v>2.8</v>
      </c>
      <c r="D15" s="3" t="n">
        <v>2.9</v>
      </c>
      <c r="E15" s="3" t="n">
        <v>2.9</v>
      </c>
      <c r="F15" s="3" t="n">
        <v>2.85</v>
      </c>
      <c r="G15" s="3" t="n">
        <v>2.8</v>
      </c>
      <c r="H15" s="3" t="n">
        <v>2.75</v>
      </c>
      <c r="I15" s="3" t="n">
        <v>2.7</v>
      </c>
      <c r="J15" s="3" t="n">
        <v>2.7</v>
      </c>
      <c r="K15" s="3" t="n">
        <v>2.7</v>
      </c>
      <c r="L15" s="3" t="n">
        <v>2.7</v>
      </c>
    </row>
    <row r="16" customFormat="false" ht="15" hidden="false" customHeight="false" outlineLevel="0" collapsed="false">
      <c r="A16" s="0" t="s">
        <v>111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113</v>
      </c>
      <c r="C18" s="3" t="n">
        <v>0</v>
      </c>
      <c r="D18" s="3" t="n">
        <v>0</v>
      </c>
      <c r="E18" s="3" t="n">
        <v>0</v>
      </c>
      <c r="F18" s="3" t="n">
        <v>5.65</v>
      </c>
      <c r="G18" s="3" t="n">
        <v>5.65</v>
      </c>
      <c r="H18" s="3" t="n">
        <v>4.73</v>
      </c>
      <c r="I18" s="3" t="n">
        <v>3.8</v>
      </c>
      <c r="J18" s="3" t="n">
        <v>3.8</v>
      </c>
      <c r="K18" s="3" t="n">
        <v>2.87</v>
      </c>
      <c r="L18" s="3" t="n">
        <v>2.87</v>
      </c>
    </row>
    <row r="19" customFormat="false" ht="15" hidden="false" customHeight="false" outlineLevel="0" collapsed="false">
      <c r="A19" s="0" t="s">
        <v>114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115</v>
      </c>
      <c r="B20" s="3" t="n">
        <v>9.5</v>
      </c>
    </row>
    <row r="21" customFormat="false" ht="15" hidden="false" customHeight="false" outlineLevel="0" collapsed="false">
      <c r="A21" s="0" t="s">
        <v>116</v>
      </c>
      <c r="B21" s="3" t="n">
        <v>1.5</v>
      </c>
    </row>
    <row r="22" customFormat="false" ht="15" hidden="false" customHeight="false" outlineLevel="0" collapsed="false">
      <c r="A22" s="0" t="s">
        <v>117</v>
      </c>
      <c r="B22" s="3" t="n">
        <v>15</v>
      </c>
    </row>
    <row r="23" customFormat="false" ht="15" hidden="false" customHeight="false" outlineLevel="0" collapsed="false">
      <c r="A23" s="0" t="s">
        <v>118</v>
      </c>
      <c r="B23" s="3" t="n">
        <v>0</v>
      </c>
    </row>
    <row r="24" customFormat="false" ht="15" hidden="false" customHeight="false" outlineLevel="0" collapsed="false">
      <c r="A24" s="0" t="s">
        <v>119</v>
      </c>
      <c r="B24" s="3" t="n">
        <v>0.25</v>
      </c>
    </row>
    <row r="26" customFormat="false" ht="15" hidden="false" customHeight="false" outlineLevel="0" collapsed="false">
      <c r="A26" s="2" t="s">
        <v>120</v>
      </c>
      <c r="C26" s="2" t="s">
        <v>98</v>
      </c>
      <c r="D26" s="2" t="s">
        <v>99</v>
      </c>
      <c r="E26" s="2" t="s">
        <v>100</v>
      </c>
      <c r="F26" s="2" t="s">
        <v>101</v>
      </c>
      <c r="G26" s="2" t="s">
        <v>102</v>
      </c>
      <c r="H26" s="2" t="s">
        <v>103</v>
      </c>
      <c r="I26" s="2" t="s">
        <v>104</v>
      </c>
      <c r="J26" s="2" t="s">
        <v>105</v>
      </c>
      <c r="K26" s="2" t="s">
        <v>106</v>
      </c>
      <c r="L26" s="2" t="s">
        <v>107</v>
      </c>
    </row>
    <row r="27" customFormat="false" ht="15" hidden="false" customHeight="false" outlineLevel="0" collapsed="false">
      <c r="A27" s="0" t="s">
        <v>108</v>
      </c>
      <c r="C27" s="3" t="n">
        <v>10</v>
      </c>
      <c r="D27" s="3" t="n">
        <v>4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109</v>
      </c>
      <c r="C28" s="3" t="n">
        <v>28.5</v>
      </c>
      <c r="D28" s="3" t="n">
        <v>27</v>
      </c>
      <c r="E28" s="3" t="n">
        <v>26</v>
      </c>
      <c r="F28" s="3" t="n">
        <v>25.5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110</v>
      </c>
      <c r="C29" s="3" t="n">
        <v>2.72</v>
      </c>
      <c r="D29" s="3" t="n">
        <v>2.7</v>
      </c>
      <c r="E29" s="3" t="n">
        <v>2.65</v>
      </c>
      <c r="F29" s="3" t="n">
        <v>2.6</v>
      </c>
      <c r="G29" s="3" t="n">
        <v>2.55</v>
      </c>
      <c r="H29" s="3" t="n">
        <v>2.5</v>
      </c>
      <c r="I29" s="3" t="n">
        <v>2.5</v>
      </c>
      <c r="J29" s="3" t="n">
        <v>2.5</v>
      </c>
      <c r="K29" s="3" t="n">
        <v>2.5</v>
      </c>
      <c r="L29" s="3" t="n">
        <v>2.5</v>
      </c>
    </row>
    <row r="30" customFormat="false" ht="15" hidden="false" customHeight="false" outlineLevel="0" collapsed="false">
      <c r="A30" s="0" t="s">
        <v>111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113</v>
      </c>
      <c r="C32" s="3" t="n">
        <v>7.77</v>
      </c>
      <c r="D32" s="3" t="n">
        <v>6.58</v>
      </c>
      <c r="E32" s="3" t="n">
        <v>5.78</v>
      </c>
      <c r="F32" s="3" t="n">
        <v>4.98</v>
      </c>
      <c r="G32" s="3" t="n">
        <v>4.98</v>
      </c>
      <c r="H32" s="3" t="n">
        <v>4.17</v>
      </c>
      <c r="I32" s="3" t="n">
        <v>4.17</v>
      </c>
      <c r="J32" s="3" t="n">
        <v>3.35</v>
      </c>
      <c r="K32" s="3" t="n">
        <v>3.35</v>
      </c>
      <c r="L32" s="3" t="n">
        <v>3.35</v>
      </c>
    </row>
    <row r="33" customFormat="false" ht="15" hidden="false" customHeight="false" outlineLevel="0" collapsed="false">
      <c r="A33" s="0" t="s">
        <v>114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115</v>
      </c>
      <c r="B34" s="3" t="n">
        <v>9.5</v>
      </c>
    </row>
    <row r="35" customFormat="false" ht="15" hidden="false" customHeight="false" outlineLevel="0" collapsed="false">
      <c r="A35" s="0" t="s">
        <v>116</v>
      </c>
      <c r="B35" s="3" t="n">
        <v>2</v>
      </c>
    </row>
    <row r="36" customFormat="false" ht="15" hidden="false" customHeight="false" outlineLevel="0" collapsed="false">
      <c r="A36" s="0" t="s">
        <v>117</v>
      </c>
      <c r="B36" s="3" t="n">
        <v>15</v>
      </c>
    </row>
    <row r="37" customFormat="false" ht="15" hidden="false" customHeight="false" outlineLevel="0" collapsed="false">
      <c r="A37" s="0" t="s">
        <v>118</v>
      </c>
      <c r="B37" s="3" t="n">
        <v>0</v>
      </c>
    </row>
    <row r="38" customFormat="false" ht="15" hidden="false" customHeight="false" outlineLevel="0" collapsed="false">
      <c r="A38" s="0" t="s">
        <v>119</v>
      </c>
      <c r="B38" s="3" t="n">
        <v>0.5</v>
      </c>
    </row>
    <row r="40" customFormat="false" ht="15" hidden="false" customHeight="false" outlineLevel="0" collapsed="false">
      <c r="A40" s="2" t="s">
        <v>121</v>
      </c>
      <c r="C40" s="2" t="s">
        <v>98</v>
      </c>
      <c r="D40" s="2" t="s">
        <v>99</v>
      </c>
      <c r="E40" s="2" t="s">
        <v>100</v>
      </c>
      <c r="F40" s="2" t="s">
        <v>101</v>
      </c>
      <c r="G40" s="2" t="s">
        <v>102</v>
      </c>
      <c r="H40" s="2" t="s">
        <v>103</v>
      </c>
      <c r="I40" s="2" t="s">
        <v>104</v>
      </c>
      <c r="J40" s="2" t="s">
        <v>105</v>
      </c>
      <c r="K40" s="2" t="s">
        <v>106</v>
      </c>
      <c r="L40" s="2" t="s">
        <v>107</v>
      </c>
    </row>
    <row r="41" customFormat="false" ht="15" hidden="false" customHeight="false" outlineLevel="0" collapsed="false">
      <c r="A41" s="0" t="s">
        <v>108</v>
      </c>
      <c r="C41" s="3" t="n">
        <v>12</v>
      </c>
      <c r="D41" s="3" t="n">
        <v>7</v>
      </c>
      <c r="E41" s="3" t="n">
        <v>6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109</v>
      </c>
      <c r="C42" s="3" t="n">
        <v>30</v>
      </c>
      <c r="D42" s="3" t="n">
        <v>29.5</v>
      </c>
      <c r="E42" s="3" t="n">
        <v>29.5</v>
      </c>
      <c r="F42" s="3" t="n">
        <v>29.5</v>
      </c>
      <c r="G42" s="3" t="n">
        <v>29</v>
      </c>
      <c r="H42" s="3" t="n">
        <v>29</v>
      </c>
      <c r="I42" s="3" t="n">
        <v>29</v>
      </c>
      <c r="J42" s="3" t="n">
        <v>29</v>
      </c>
      <c r="K42" s="3" t="n">
        <v>29</v>
      </c>
      <c r="L42" s="3" t="n">
        <v>29</v>
      </c>
    </row>
    <row r="43" customFormat="false" ht="15" hidden="false" customHeight="false" outlineLevel="0" collapsed="false">
      <c r="A43" s="0" t="s">
        <v>110</v>
      </c>
      <c r="C43" s="3" t="n">
        <v>2.72</v>
      </c>
      <c r="D43" s="3" t="n">
        <v>2.7</v>
      </c>
      <c r="E43" s="3" t="n">
        <v>2.65</v>
      </c>
      <c r="F43" s="3" t="n">
        <v>2.6</v>
      </c>
      <c r="G43" s="3" t="n">
        <v>2.55</v>
      </c>
      <c r="H43" s="3" t="n">
        <v>2.5</v>
      </c>
      <c r="I43" s="3" t="n">
        <v>2.5</v>
      </c>
      <c r="J43" s="3" t="n">
        <v>2.5</v>
      </c>
      <c r="K43" s="3" t="n">
        <v>2.5</v>
      </c>
      <c r="L43" s="3" t="n">
        <v>2.5</v>
      </c>
    </row>
    <row r="44" customFormat="false" ht="15" hidden="false" customHeight="false" outlineLevel="0" collapsed="false">
      <c r="A44" s="0" t="s">
        <v>111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113</v>
      </c>
      <c r="C46" s="3" t="n">
        <v>13.75</v>
      </c>
      <c r="D46" s="3" t="n">
        <v>11.19</v>
      </c>
      <c r="E46" s="3" t="n">
        <v>9.68</v>
      </c>
      <c r="F46" s="3" t="n">
        <v>8.15</v>
      </c>
      <c r="G46" s="3" t="n">
        <v>6.58</v>
      </c>
      <c r="H46" s="3" t="n">
        <v>5.78</v>
      </c>
      <c r="I46" s="3" t="n">
        <v>4.98</v>
      </c>
      <c r="J46" s="3" t="n">
        <v>4.98</v>
      </c>
      <c r="K46" s="3" t="n">
        <v>4.17</v>
      </c>
      <c r="L46" s="3" t="n">
        <v>4.17</v>
      </c>
    </row>
    <row r="47" customFormat="false" ht="15" hidden="false" customHeight="false" outlineLevel="0" collapsed="false">
      <c r="A47" s="0" t="s">
        <v>114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115</v>
      </c>
      <c r="B48" s="3" t="n">
        <v>9.5</v>
      </c>
    </row>
    <row r="49" customFormat="false" ht="15" hidden="false" customHeight="false" outlineLevel="0" collapsed="false">
      <c r="A49" s="0" t="s">
        <v>116</v>
      </c>
      <c r="B49" s="3" t="n">
        <v>2.5</v>
      </c>
    </row>
    <row r="50" customFormat="false" ht="15" hidden="false" customHeight="false" outlineLevel="0" collapsed="false">
      <c r="A50" s="0" t="s">
        <v>117</v>
      </c>
      <c r="B50" s="3" t="n">
        <v>15</v>
      </c>
    </row>
    <row r="51" customFormat="false" ht="15" hidden="false" customHeight="false" outlineLevel="0" collapsed="false">
      <c r="A51" s="0" t="s">
        <v>118</v>
      </c>
      <c r="B51" s="3" t="n">
        <v>0</v>
      </c>
    </row>
    <row r="52" customFormat="false" ht="15" hidden="false" customHeight="false" outlineLevel="0" collapsed="false">
      <c r="A52" s="0" t="s">
        <v>119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122</v>
      </c>
    </row>
    <row r="3" customFormat="false" ht="15" hidden="false" customHeight="false" outlineLevel="0" collapsed="false">
      <c r="A3" s="0" t="s">
        <v>123</v>
      </c>
      <c r="B3" s="0" t="s">
        <v>93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Assumptions!C13</f>
        <v>2</v>
      </c>
      <c r="D5" s="4" t="n">
        <f aca="false">Assumptions!D13</f>
        <v>-10</v>
      </c>
      <c r="E5" s="4" t="n">
        <f aca="false">Assumptions!E13</f>
        <v>-2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2167713</v>
      </c>
      <c r="C6" s="0" t="n">
        <f aca="false">B6*(1+C5/100)</f>
        <v>2211067.26</v>
      </c>
      <c r="D6" s="0" t="n">
        <f aca="false">C6*(1+D5/100)</f>
        <v>1989960.534</v>
      </c>
      <c r="E6" s="0" t="n">
        <f aca="false">D6*(1+E5/100)</f>
        <v>1950161.32332</v>
      </c>
      <c r="F6" s="0" t="n">
        <f aca="false">E6*(1+F5/100)</f>
        <v>2008666.1630196</v>
      </c>
      <c r="G6" s="0" t="n">
        <f aca="false">F6*(1+G5/100)</f>
        <v>2068926.14791019</v>
      </c>
      <c r="H6" s="0" t="n">
        <f aca="false">G6*(1+H5/100)</f>
        <v>2120649.30160794</v>
      </c>
      <c r="I6" s="0" t="n">
        <f aca="false">H6*(1+I5/100)</f>
        <v>2163062.2876401</v>
      </c>
      <c r="J6" s="0" t="n">
        <f aca="false">I6*(1+J5/100)</f>
        <v>2206323.5333929</v>
      </c>
      <c r="K6" s="0" t="n">
        <f aca="false">J6*(1+K5/100)</f>
        <v>2239418.3863938</v>
      </c>
      <c r="L6" s="0" t="n">
        <f aca="false">K6*(1+L5/100)</f>
        <v>2273009.6621897</v>
      </c>
    </row>
    <row r="7" customFormat="false" ht="15" hidden="false" customHeight="false" outlineLevel="0" collapsed="false">
      <c r="A7" s="0" t="s">
        <v>109</v>
      </c>
      <c r="C7" s="4" t="n">
        <f aca="false">Assumptions!C14</f>
        <v>25</v>
      </c>
      <c r="D7" s="4" t="n">
        <f aca="false">Assumptions!D14</f>
        <v>18</v>
      </c>
      <c r="E7" s="4" t="n">
        <f aca="false">Assumptions!E14</f>
        <v>18</v>
      </c>
      <c r="F7" s="4" t="n">
        <f aca="false">Assumptions!F14</f>
        <v>19</v>
      </c>
      <c r="G7" s="4" t="n">
        <f aca="false">Assumptions!G14</f>
        <v>20</v>
      </c>
      <c r="H7" s="4" t="n">
        <f aca="false">Assumptions!H14</f>
        <v>20</v>
      </c>
      <c r="I7" s="4" t="n">
        <f aca="false">Assumptions!I14</f>
        <v>20</v>
      </c>
      <c r="J7" s="4" t="n">
        <f aca="false">Assumptions!J14</f>
        <v>20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552766.815</v>
      </c>
      <c r="D8" s="0" t="n">
        <f aca="false">D6*D7/100</f>
        <v>358192.89612</v>
      </c>
      <c r="E8" s="0" t="n">
        <f aca="false">E6*E7/100</f>
        <v>351029.0381976</v>
      </c>
      <c r="F8" s="0" t="n">
        <f aca="false">F6*F7/100</f>
        <v>381646.570973724</v>
      </c>
      <c r="G8" s="0" t="n">
        <f aca="false">G6*G7/100</f>
        <v>413785.229582038</v>
      </c>
      <c r="H8" s="0" t="n">
        <f aca="false">H6*H7/100</f>
        <v>424129.860321589</v>
      </c>
      <c r="I8" s="0" t="n">
        <f aca="false">I6*I7/100</f>
        <v>432612.45752802</v>
      </c>
      <c r="J8" s="0" t="n">
        <f aca="false">J6*J7/100</f>
        <v>441264.706678581</v>
      </c>
      <c r="K8" s="0" t="n">
        <f aca="false">K6*K7/100</f>
        <v>447883.67727876</v>
      </c>
      <c r="L8" s="0" t="n">
        <f aca="false">L6*L7/100</f>
        <v>454601.932437941</v>
      </c>
    </row>
    <row r="9" customFormat="false" ht="15" hidden="false" customHeight="false" outlineLevel="0" collapsed="false">
      <c r="A9" s="0" t="s">
        <v>110</v>
      </c>
      <c r="C9" s="4" t="n">
        <f aca="false">Assumptions!C15</f>
        <v>2.8</v>
      </c>
      <c r="D9" s="4" t="n">
        <f aca="false">Assumptions!D15</f>
        <v>2.9</v>
      </c>
      <c r="E9" s="4" t="n">
        <f aca="false">Assumptions!E15</f>
        <v>2.9</v>
      </c>
      <c r="F9" s="4" t="n">
        <f aca="false">Assumptions!F15</f>
        <v>2.85</v>
      </c>
      <c r="G9" s="4" t="n">
        <f aca="false">Assumptions!G15</f>
        <v>2.8</v>
      </c>
      <c r="H9" s="4" t="n">
        <f aca="false">Assumptions!H15</f>
        <v>2.75</v>
      </c>
      <c r="I9" s="4" t="n">
        <f aca="false">Assumptions!I15</f>
        <v>2.7</v>
      </c>
      <c r="J9" s="4" t="n">
        <f aca="false">Assumptions!J15</f>
        <v>2.7</v>
      </c>
      <c r="K9" s="4" t="n">
        <f aca="false">Assumptions!K15</f>
        <v>2.7</v>
      </c>
      <c r="L9" s="4" t="n">
        <f aca="false">Assumptions!L15</f>
        <v>2.7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-61909.88328</v>
      </c>
      <c r="D10" s="0" t="n">
        <f aca="false">-D6*D9/100</f>
        <v>-57708.855486</v>
      </c>
      <c r="E10" s="0" t="n">
        <f aca="false">-E6*E9/100</f>
        <v>-56554.67837628</v>
      </c>
      <c r="F10" s="0" t="n">
        <f aca="false">-F6*F9/100</f>
        <v>-57246.9856460586</v>
      </c>
      <c r="G10" s="0" t="n">
        <f aca="false">-G6*G9/100</f>
        <v>-57929.9321414853</v>
      </c>
      <c r="H10" s="0" t="n">
        <f aca="false">-H6*H9/100</f>
        <v>-58317.8557942184</v>
      </c>
      <c r="I10" s="0" t="n">
        <f aca="false">-I6*I9/100</f>
        <v>-58402.6817662828</v>
      </c>
      <c r="J10" s="0" t="n">
        <f aca="false">-J6*J9/100</f>
        <v>-59570.7354016084</v>
      </c>
      <c r="K10" s="0" t="n">
        <f aca="false">-K6*K9/100</f>
        <v>-60464.2964326325</v>
      </c>
      <c r="L10" s="0" t="n">
        <f aca="false">-L6*L9/100</f>
        <v>-61371.260879122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490856.93172</v>
      </c>
      <c r="D11" s="0" t="n">
        <f aca="false">D8+D10+D24</f>
        <v>300484.040634</v>
      </c>
      <c r="E11" s="0" t="n">
        <f aca="false">E8+E10+E24</f>
        <v>294474.35982132</v>
      </c>
      <c r="F11" s="0" t="n">
        <f aca="false">F8+F10+F24</f>
        <v>324399.585327665</v>
      </c>
      <c r="G11" s="0" t="n">
        <f aca="false">G8+G10+G24</f>
        <v>355855.297440552</v>
      </c>
      <c r="H11" s="0" t="n">
        <f aca="false">H8+H10+H24</f>
        <v>365812.00452737</v>
      </c>
      <c r="I11" s="0" t="n">
        <f aca="false">I8+I10+I24</f>
        <v>374209.775761738</v>
      </c>
      <c r="J11" s="0" t="n">
        <f aca="false">J8+J10+J24</f>
        <v>381693.971276972</v>
      </c>
      <c r="K11" s="0" t="n">
        <f aca="false">K8+K10+K24</f>
        <v>387419.380846127</v>
      </c>
      <c r="L11" s="0" t="n">
        <f aca="false">L8+L10+L24</f>
        <v>393230.671558819</v>
      </c>
    </row>
    <row r="12" customFormat="false" ht="15" hidden="false" customHeight="false" outlineLevel="0" collapsed="false">
      <c r="A12" s="0" t="s">
        <v>127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490856.93172</v>
      </c>
      <c r="D13" s="0" t="n">
        <f aca="false">D11+D12</f>
        <v>300484.040634</v>
      </c>
      <c r="E13" s="0" t="n">
        <f aca="false">E11+E12</f>
        <v>294474.35982132</v>
      </c>
      <c r="F13" s="0" t="n">
        <f aca="false">F11+F12</f>
        <v>324399.585327665</v>
      </c>
      <c r="G13" s="0" t="n">
        <f aca="false">G11+G12</f>
        <v>355855.297440552</v>
      </c>
      <c r="H13" s="0" t="n">
        <f aca="false">H11+H12</f>
        <v>365812.00452737</v>
      </c>
      <c r="I13" s="0" t="n">
        <f aca="false">I11+I12</f>
        <v>374209.775761738</v>
      </c>
      <c r="J13" s="0" t="n">
        <f aca="false">J11+J12</f>
        <v>381693.971276972</v>
      </c>
      <c r="K13" s="0" t="n">
        <f aca="false">K11+K12</f>
        <v>387419.380846127</v>
      </c>
      <c r="L13" s="0" t="n">
        <f aca="false">L11+L12</f>
        <v>393230.671558819</v>
      </c>
    </row>
    <row r="14" customFormat="false" ht="15" hidden="false" customHeight="false" outlineLevel="0" collapsed="false">
      <c r="A14" s="0" t="s">
        <v>114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353416.9908384</v>
      </c>
      <c r="D15" s="0" t="n">
        <f aca="false">D13-MAX(0,D13)*D14/100</f>
        <v>216348.50925648</v>
      </c>
      <c r="E15" s="0" t="n">
        <f aca="false">E13-MAX(0,E13)*E14/100</f>
        <v>212021.53907135</v>
      </c>
      <c r="F15" s="0" t="n">
        <f aca="false">F13-MAX(0,F13)*F14/100</f>
        <v>233567.701435919</v>
      </c>
      <c r="G15" s="0" t="n">
        <f aca="false">G13-MAX(0,G13)*G14/100</f>
        <v>256215.814157198</v>
      </c>
      <c r="H15" s="0" t="n">
        <f aca="false">H13-MAX(0,H13)*H14/100</f>
        <v>263384.643259707</v>
      </c>
      <c r="I15" s="0" t="n">
        <f aca="false">I13-MAX(0,I13)*I14/100</f>
        <v>269431.038548451</v>
      </c>
      <c r="J15" s="0" t="n">
        <f aca="false">J13-MAX(0,J13)*J14/100</f>
        <v>274819.65931942</v>
      </c>
      <c r="K15" s="0" t="n">
        <f aca="false">K13-MAX(0,K13)*K14/100</f>
        <v>278941.954209211</v>
      </c>
      <c r="L15" s="0" t="n">
        <f aca="false">L13-MAX(0,L13)*L14/100</f>
        <v>283126.08352235</v>
      </c>
    </row>
    <row r="16" customFormat="false" ht="15" hidden="false" customHeight="false" outlineLevel="0" collapsed="false">
      <c r="A16" s="0" t="s">
        <v>130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131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-113489.638210607</v>
      </c>
      <c r="G17" s="4" t="n">
        <f aca="false">-G6*Assumptions!G18/100</f>
        <v>-116894.327356926</v>
      </c>
      <c r="H17" s="4" t="n">
        <f aca="false">-H6*Assumptions!H18/100</f>
        <v>-100306.711966056</v>
      </c>
      <c r="I17" s="4" t="n">
        <f aca="false">-I6*Assumptions!I18/100</f>
        <v>-82196.3669303239</v>
      </c>
      <c r="J17" s="4" t="n">
        <f aca="false">-J6*Assumptions!J18/100</f>
        <v>-83840.2942689304</v>
      </c>
      <c r="K17" s="4" t="n">
        <f aca="false">-K6*Assumptions!K18/100</f>
        <v>-64271.307689502</v>
      </c>
      <c r="L17" s="4" t="n">
        <f aca="false">-L6*Assumptions!L18/100</f>
        <v>-65235.3773048445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353416.9908384</v>
      </c>
      <c r="D19" s="0" t="n">
        <f aca="false">D15+D16+D17+D18</f>
        <v>216348.50925648</v>
      </c>
      <c r="E19" s="0" t="n">
        <f aca="false">E15+E16+E17+E18</f>
        <v>212021.53907135</v>
      </c>
      <c r="F19" s="0" t="n">
        <f aca="false">F15+F16+F17+F18</f>
        <v>120078.063225312</v>
      </c>
      <c r="G19" s="0" t="n">
        <f aca="false">G15+G16+G17+G18</f>
        <v>139321.486800272</v>
      </c>
      <c r="H19" s="0" t="n">
        <f aca="false">H15+H16+H17+H18</f>
        <v>163077.931293651</v>
      </c>
      <c r="I19" s="0" t="n">
        <f aca="false">I15+I16+I17+I18</f>
        <v>187234.671618127</v>
      </c>
      <c r="J19" s="0" t="n">
        <f aca="false">J15+J16+J17+J18</f>
        <v>190979.36505049</v>
      </c>
      <c r="K19" s="0" t="n">
        <f aca="false">K15+K16+K17+K18</f>
        <v>214670.646519709</v>
      </c>
      <c r="L19" s="0" t="n">
        <f aca="false">L15+L16+L17+L18</f>
        <v>217890.706217505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322755.242774795</v>
      </c>
      <c r="D21" s="0" t="n">
        <f aca="false">D19*D20</f>
        <v>180437.029466842</v>
      </c>
      <c r="E21" s="0" t="n">
        <f aca="false">E19*E20</f>
        <v>161487.021805941</v>
      </c>
      <c r="F21" s="0" t="n">
        <f aca="false">F19*F20</f>
        <v>83523.2139908298</v>
      </c>
      <c r="G21" s="0" t="n">
        <f aca="false">G19*G20</f>
        <v>88500.8627837346</v>
      </c>
      <c r="H21" s="0" t="n">
        <f aca="false">H19*H20</f>
        <v>94604.2132919284</v>
      </c>
      <c r="I21" s="0" t="n">
        <f aca="false">I19*I20</f>
        <v>99194.4649292541</v>
      </c>
      <c r="J21" s="0" t="n">
        <f aca="false">J19*J20</f>
        <v>92400.3234957436</v>
      </c>
      <c r="K21" s="0" t="n">
        <f aca="false">K19*K20</f>
        <v>94851.8032252183</v>
      </c>
      <c r="L21" s="0" t="n">
        <f aca="false">L19*L20</f>
        <v>87921.9911174398</v>
      </c>
    </row>
    <row r="23" customFormat="false" ht="15" hidden="false" customHeight="false" outlineLevel="0" collapsed="false">
      <c r="A23" s="0" t="s">
        <v>111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1305676.16688173</v>
      </c>
    </row>
    <row r="31" customFormat="false" ht="15" hidden="false" customHeight="false" outlineLevel="0" collapsed="false">
      <c r="A31" s="0" t="s">
        <v>139</v>
      </c>
      <c r="B31" s="0" t="n">
        <f aca="false">L19</f>
        <v>217890.706217505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2764488.3351346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3268360.59326258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2764488.3351346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1115510.26230252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2421186.42918424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2421186.42918424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5.113124157279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-0.474499058861357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369435.900584176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314195.462989443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6.55683456207404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1638215.30970939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3.10731219921276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123</v>
      </c>
      <c r="B3" s="0" t="s">
        <v>93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Assumptions!C27</f>
        <v>10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2167713</v>
      </c>
      <c r="C6" s="0" t="n">
        <f aca="false">B6*(1+C5/100)</f>
        <v>2384484.3</v>
      </c>
      <c r="D6" s="0" t="n">
        <f aca="false">C6*(1+D5/100)</f>
        <v>2479863.672</v>
      </c>
      <c r="E6" s="0" t="n">
        <f aca="false">D6*(1+E5/100)</f>
        <v>2566658.90052</v>
      </c>
      <c r="F6" s="0" t="n">
        <f aca="false">E6*(1+F5/100)</f>
        <v>2643658.6675356</v>
      </c>
      <c r="G6" s="0" t="n">
        <f aca="false">F6*(1+G5/100)</f>
        <v>2722968.42756167</v>
      </c>
      <c r="H6" s="0" t="n">
        <f aca="false">G6*(1+H5/100)</f>
        <v>2791042.63825071</v>
      </c>
      <c r="I6" s="0" t="n">
        <f aca="false">H6*(1+I5/100)</f>
        <v>2860818.70420698</v>
      </c>
      <c r="J6" s="0" t="n">
        <f aca="false">I6*(1+J5/100)</f>
        <v>2918035.07829112</v>
      </c>
      <c r="K6" s="0" t="n">
        <f aca="false">J6*(1+K5/100)</f>
        <v>2976395.77985694</v>
      </c>
      <c r="L6" s="0" t="n">
        <f aca="false">K6*(1+L5/100)</f>
        <v>3035923.69545408</v>
      </c>
    </row>
    <row r="7" customFormat="false" ht="15" hidden="false" customHeight="false" outlineLevel="0" collapsed="false">
      <c r="A7" s="0" t="s">
        <v>109</v>
      </c>
      <c r="C7" s="4" t="n">
        <f aca="false">Assumptions!C28</f>
        <v>28.5</v>
      </c>
      <c r="D7" s="4" t="n">
        <f aca="false">Assumptions!D28</f>
        <v>27</v>
      </c>
      <c r="E7" s="4" t="n">
        <f aca="false">Assumptions!E28</f>
        <v>26</v>
      </c>
      <c r="F7" s="4" t="n">
        <f aca="false">Assumptions!F28</f>
        <v>25.5</v>
      </c>
      <c r="G7" s="4" t="n">
        <f aca="false">Assumptions!G28</f>
        <v>25</v>
      </c>
      <c r="H7" s="4" t="n">
        <f aca="false">Assumptions!H28</f>
        <v>25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679578.0255</v>
      </c>
      <c r="D8" s="0" t="n">
        <f aca="false">D6*D7/100</f>
        <v>669563.19144</v>
      </c>
      <c r="E8" s="0" t="n">
        <f aca="false">E6*E7/100</f>
        <v>667331.3141352</v>
      </c>
      <c r="F8" s="0" t="n">
        <f aca="false">F6*F7/100</f>
        <v>674132.960221578</v>
      </c>
      <c r="G8" s="0" t="n">
        <f aca="false">G6*G7/100</f>
        <v>680742.106890417</v>
      </c>
      <c r="H8" s="0" t="n">
        <f aca="false">H6*H7/100</f>
        <v>697760.659562678</v>
      </c>
      <c r="I8" s="0" t="n">
        <f aca="false">I6*I7/100</f>
        <v>715204.676051744</v>
      </c>
      <c r="J8" s="0" t="n">
        <f aca="false">J6*J7/100</f>
        <v>729508.769572779</v>
      </c>
      <c r="K8" s="0" t="n">
        <f aca="false">K6*K7/100</f>
        <v>744098.944964235</v>
      </c>
      <c r="L8" s="0" t="n">
        <f aca="false">L6*L7/100</f>
        <v>758980.92386352</v>
      </c>
    </row>
    <row r="9" customFormat="false" ht="15" hidden="false" customHeight="false" outlineLevel="0" collapsed="false">
      <c r="A9" s="0" t="s">
        <v>110</v>
      </c>
      <c r="C9" s="4" t="n">
        <f aca="false">Assumptions!C29</f>
        <v>2.72</v>
      </c>
      <c r="D9" s="4" t="n">
        <f aca="false">Assumptions!D29</f>
        <v>2.7</v>
      </c>
      <c r="E9" s="4" t="n">
        <f aca="false">Assumptions!E29</f>
        <v>2.65</v>
      </c>
      <c r="F9" s="4" t="n">
        <f aca="false">Assumptions!F29</f>
        <v>2.6</v>
      </c>
      <c r="G9" s="4" t="n">
        <f aca="false">Assumptions!G29</f>
        <v>2.55</v>
      </c>
      <c r="H9" s="4" t="n">
        <f aca="false">Assumptions!H29</f>
        <v>2.5</v>
      </c>
      <c r="I9" s="4" t="n">
        <f aca="false">Assumptions!I29</f>
        <v>2.5</v>
      </c>
      <c r="J9" s="4" t="n">
        <f aca="false">Assumptions!J29</f>
        <v>2.5</v>
      </c>
      <c r="K9" s="4" t="n">
        <f aca="false">Assumptions!K29</f>
        <v>2.5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-64857.97296</v>
      </c>
      <c r="D10" s="0" t="n">
        <f aca="false">-D6*D9/100</f>
        <v>-66956.319144</v>
      </c>
      <c r="E10" s="0" t="n">
        <f aca="false">-E6*E9/100</f>
        <v>-68016.46086378</v>
      </c>
      <c r="F10" s="0" t="n">
        <f aca="false">-F6*F9/100</f>
        <v>-68735.1253559256</v>
      </c>
      <c r="G10" s="0" t="n">
        <f aca="false">-G6*G9/100</f>
        <v>-69435.6949028225</v>
      </c>
      <c r="H10" s="0" t="n">
        <f aca="false">-H6*H9/100</f>
        <v>-69776.0659562677</v>
      </c>
      <c r="I10" s="0" t="n">
        <f aca="false">-I6*I9/100</f>
        <v>-71520.4676051744</v>
      </c>
      <c r="J10" s="0" t="n">
        <f aca="false">-J6*J9/100</f>
        <v>-72950.8769572779</v>
      </c>
      <c r="K10" s="0" t="n">
        <f aca="false">-K6*K9/100</f>
        <v>-74409.8944964235</v>
      </c>
      <c r="L10" s="0" t="n">
        <f aca="false">-L6*L9/100</f>
        <v>-75898.092386352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614720.05254</v>
      </c>
      <c r="D11" s="0" t="n">
        <f aca="false">D8+D10+D24</f>
        <v>602606.872296</v>
      </c>
      <c r="E11" s="0" t="n">
        <f aca="false">E8+E10+E24</f>
        <v>599314.85327142</v>
      </c>
      <c r="F11" s="0" t="n">
        <f aca="false">F8+F10+F24</f>
        <v>605397.834865652</v>
      </c>
      <c r="G11" s="0" t="n">
        <f aca="false">G8+G10+G24</f>
        <v>611306.411987595</v>
      </c>
      <c r="H11" s="0" t="n">
        <f aca="false">H8+H10+H24</f>
        <v>627984.59360641</v>
      </c>
      <c r="I11" s="0" t="n">
        <f aca="false">I8+I10+I24</f>
        <v>643684.20844657</v>
      </c>
      <c r="J11" s="0" t="n">
        <f aca="false">J8+J10+J24</f>
        <v>656557.892615501</v>
      </c>
      <c r="K11" s="0" t="n">
        <f aca="false">K8+K10+K24</f>
        <v>669689.050467811</v>
      </c>
      <c r="L11" s="0" t="n">
        <f aca="false">L8+L10+L24</f>
        <v>683082.831477168</v>
      </c>
    </row>
    <row r="12" customFormat="false" ht="15" hidden="false" customHeight="false" outlineLevel="0" collapsed="false">
      <c r="A12" s="0" t="s">
        <v>127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614720.05254</v>
      </c>
      <c r="D13" s="0" t="n">
        <f aca="false">D11+D12</f>
        <v>602606.872296</v>
      </c>
      <c r="E13" s="0" t="n">
        <f aca="false">E11+E12</f>
        <v>599314.85327142</v>
      </c>
      <c r="F13" s="0" t="n">
        <f aca="false">F11+F12</f>
        <v>605397.834865652</v>
      </c>
      <c r="G13" s="0" t="n">
        <f aca="false">G11+G12</f>
        <v>611306.411987595</v>
      </c>
      <c r="H13" s="0" t="n">
        <f aca="false">H11+H12</f>
        <v>627984.59360641</v>
      </c>
      <c r="I13" s="0" t="n">
        <f aca="false">I11+I12</f>
        <v>643684.20844657</v>
      </c>
      <c r="J13" s="0" t="n">
        <f aca="false">J11+J12</f>
        <v>656557.892615501</v>
      </c>
      <c r="K13" s="0" t="n">
        <f aca="false">K11+K12</f>
        <v>669689.050467811</v>
      </c>
      <c r="L13" s="0" t="n">
        <f aca="false">L11+L12</f>
        <v>683082.831477168</v>
      </c>
    </row>
    <row r="14" customFormat="false" ht="15" hidden="false" customHeight="false" outlineLevel="0" collapsed="false">
      <c r="A14" s="0" t="s">
        <v>114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442598.4378288</v>
      </c>
      <c r="D15" s="0" t="n">
        <f aca="false">D13-MAX(0,D13)*D14/100</f>
        <v>433876.94805312</v>
      </c>
      <c r="E15" s="0" t="n">
        <f aca="false">E13-MAX(0,E13)*E14/100</f>
        <v>431506.694355422</v>
      </c>
      <c r="F15" s="0" t="n">
        <f aca="false">F13-MAX(0,F13)*F14/100</f>
        <v>435886.44110327</v>
      </c>
      <c r="G15" s="0" t="n">
        <f aca="false">G13-MAX(0,G13)*G14/100</f>
        <v>440140.616631068</v>
      </c>
      <c r="H15" s="0" t="n">
        <f aca="false">H13-MAX(0,H13)*H14/100</f>
        <v>452148.907396615</v>
      </c>
      <c r="I15" s="0" t="n">
        <f aca="false">I13-MAX(0,I13)*I14/100</f>
        <v>463452.63008153</v>
      </c>
      <c r="J15" s="0" t="n">
        <f aca="false">J13-MAX(0,J13)*J14/100</f>
        <v>472721.682683161</v>
      </c>
      <c r="K15" s="0" t="n">
        <f aca="false">K13-MAX(0,K13)*K14/100</f>
        <v>482176.116336824</v>
      </c>
      <c r="L15" s="0" t="n">
        <f aca="false">L13-MAX(0,L13)*L14/100</f>
        <v>491819.638663561</v>
      </c>
    </row>
    <row r="16" customFormat="false" ht="15" hidden="false" customHeight="false" outlineLevel="0" collapsed="false">
      <c r="A16" s="0" t="s">
        <v>130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131</v>
      </c>
      <c r="C17" s="4" t="n">
        <f aca="false">-C6*Assumptions!C32/100</f>
        <v>-185274.43011</v>
      </c>
      <c r="D17" s="4" t="n">
        <f aca="false">-D6*Assumptions!D32/100</f>
        <v>-163175.0296176</v>
      </c>
      <c r="E17" s="4" t="n">
        <f aca="false">-E6*Assumptions!E32/100</f>
        <v>-148352.884450056</v>
      </c>
      <c r="F17" s="4" t="n">
        <f aca="false">-F6*Assumptions!F32/100</f>
        <v>-131654.201643273</v>
      </c>
      <c r="G17" s="4" t="n">
        <f aca="false">-G6*Assumptions!G32/100</f>
        <v>-135603.827692571</v>
      </c>
      <c r="H17" s="4" t="n">
        <f aca="false">-H6*Assumptions!H32/100</f>
        <v>-116386.478015055</v>
      </c>
      <c r="I17" s="4" t="n">
        <f aca="false">-I6*Assumptions!I32/100</f>
        <v>-119296.139965431</v>
      </c>
      <c r="J17" s="4" t="n">
        <f aca="false">-J6*Assumptions!J32/100</f>
        <v>-97754.1751227524</v>
      </c>
      <c r="K17" s="4" t="n">
        <f aca="false">-K6*Assumptions!K32/100</f>
        <v>-99709.2586252075</v>
      </c>
      <c r="L17" s="4" t="n">
        <f aca="false">-L6*Assumptions!L32/100</f>
        <v>-101703.443797712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257324.0077188</v>
      </c>
      <c r="D19" s="0" t="n">
        <f aca="false">D15+D16+D17+D18</f>
        <v>270701.91843552</v>
      </c>
      <c r="E19" s="0" t="n">
        <f aca="false">E15+E16+E17+E18</f>
        <v>283153.809905366</v>
      </c>
      <c r="F19" s="0" t="n">
        <f aca="false">F15+F16+F17+F18</f>
        <v>304232.239459997</v>
      </c>
      <c r="G19" s="0" t="n">
        <f aca="false">G15+G16+G17+G18</f>
        <v>304536.788938497</v>
      </c>
      <c r="H19" s="0" t="n">
        <f aca="false">H15+H16+H17+H18</f>
        <v>335762.42938156</v>
      </c>
      <c r="I19" s="0" t="n">
        <f aca="false">I15+I16+I17+I18</f>
        <v>344156.490116099</v>
      </c>
      <c r="J19" s="0" t="n">
        <f aca="false">J15+J16+J17+J18</f>
        <v>374967.507560408</v>
      </c>
      <c r="K19" s="0" t="n">
        <f aca="false">K15+K16+K17+K18</f>
        <v>382466.857711617</v>
      </c>
      <c r="L19" s="0" t="n">
        <f aca="false">L15+L16+L17+L18</f>
        <v>390116.194865849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234999.093807123</v>
      </c>
      <c r="D21" s="0" t="n">
        <f aca="false">D19*D20</f>
        <v>225768.368829274</v>
      </c>
      <c r="E21" s="0" t="n">
        <f aca="false">E19*E20</f>
        <v>215665.189842978</v>
      </c>
      <c r="F21" s="0" t="n">
        <f aca="false">F19*F20</f>
        <v>211616.125017332</v>
      </c>
      <c r="G21" s="0" t="n">
        <f aca="false">G19*G20</f>
        <v>193450.193429836</v>
      </c>
      <c r="H21" s="0" t="n">
        <f aca="false">H19*H20</f>
        <v>194781.355347411</v>
      </c>
      <c r="I21" s="0" t="n">
        <f aca="false">I19*I20</f>
        <v>182329.57920648</v>
      </c>
      <c r="J21" s="0" t="n">
        <f aca="false">J19*J20</f>
        <v>181418.1285492</v>
      </c>
      <c r="K21" s="0" t="n">
        <f aca="false">K19*K20</f>
        <v>168992.229333502</v>
      </c>
      <c r="L21" s="0" t="n">
        <f aca="false">L19*L20</f>
        <v>157417.41910518</v>
      </c>
    </row>
    <row r="23" customFormat="false" ht="15" hidden="false" customHeight="false" outlineLevel="0" collapsed="false">
      <c r="A23" s="0" t="s">
        <v>111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1966437.68246832</v>
      </c>
    </row>
    <row r="31" customFormat="false" ht="15" hidden="false" customHeight="false" outlineLevel="0" collapsed="false">
      <c r="A31" s="0" t="s">
        <v>139</v>
      </c>
      <c r="B31" s="0" t="n">
        <f aca="false">L19</f>
        <v>390116.194865849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5305580.25017555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5851742.92298774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5305580.25017555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2140876.89983044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4107314.58229876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4107314.58229876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8.6739332251139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-0.108537181386033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435964.224311675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416513.015531215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10.4742167208544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3060911.68279358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4.85479730510062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123</v>
      </c>
      <c r="B3" s="0" t="s">
        <v>93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Assumptions!C41</f>
        <v>12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2167713</v>
      </c>
      <c r="C6" s="0" t="n">
        <f aca="false">B6*(1+C5/100)</f>
        <v>2427838.56</v>
      </c>
      <c r="D6" s="0" t="n">
        <f aca="false">C6*(1+D5/100)</f>
        <v>2597787.2592</v>
      </c>
      <c r="E6" s="0" t="n">
        <f aca="false">D6*(1+E5/100)</f>
        <v>2753654.494752</v>
      </c>
      <c r="F6" s="0" t="n">
        <f aca="false">E6*(1+F5/100)</f>
        <v>2891337.2194896</v>
      </c>
      <c r="G6" s="0" t="n">
        <f aca="false">F6*(1+G5/100)</f>
        <v>3006990.70826918</v>
      </c>
      <c r="H6" s="0" t="n">
        <f aca="false">G6*(1+H5/100)</f>
        <v>3112235.38305861</v>
      </c>
      <c r="I6" s="0" t="n">
        <f aca="false">H6*(1+I5/100)</f>
        <v>3205602.44455036</v>
      </c>
      <c r="J6" s="0" t="n">
        <f aca="false">I6*(1+J5/100)</f>
        <v>3301770.51788687</v>
      </c>
      <c r="K6" s="0" t="n">
        <f aca="false">J6*(1+K5/100)</f>
        <v>3384314.78083405</v>
      </c>
      <c r="L6" s="0" t="n">
        <f aca="false">K6*(1+L5/100)</f>
        <v>3468922.6503549</v>
      </c>
    </row>
    <row r="7" customFormat="false" ht="15" hidden="false" customHeight="false" outlineLevel="0" collapsed="false">
      <c r="A7" s="0" t="s">
        <v>109</v>
      </c>
      <c r="C7" s="4" t="n">
        <f aca="false">Assumptions!C42</f>
        <v>30</v>
      </c>
      <c r="D7" s="4" t="n">
        <f aca="false">Assumptions!D42</f>
        <v>29.5</v>
      </c>
      <c r="E7" s="4" t="n">
        <f aca="false">Assumptions!E42</f>
        <v>29.5</v>
      </c>
      <c r="F7" s="4" t="n">
        <f aca="false">Assumptions!F42</f>
        <v>29.5</v>
      </c>
      <c r="G7" s="4" t="n">
        <f aca="false">Assumptions!G42</f>
        <v>29</v>
      </c>
      <c r="H7" s="4" t="n">
        <f aca="false">Assumptions!H42</f>
        <v>29</v>
      </c>
      <c r="I7" s="4" t="n">
        <f aca="false">Assumptions!I42</f>
        <v>29</v>
      </c>
      <c r="J7" s="4" t="n">
        <f aca="false">Assumptions!J42</f>
        <v>29</v>
      </c>
      <c r="K7" s="4" t="n">
        <f aca="false">Assumptions!K42</f>
        <v>29</v>
      </c>
      <c r="L7" s="4" t="n">
        <f aca="false">Assumptions!L42</f>
        <v>29</v>
      </c>
    </row>
    <row r="8" customFormat="false" ht="15" hidden="false" customHeight="false" outlineLevel="0" collapsed="false">
      <c r="A8" s="0" t="s">
        <v>44</v>
      </c>
      <c r="C8" s="0" t="n">
        <f aca="false">C6*C7/100</f>
        <v>728351.568</v>
      </c>
      <c r="D8" s="0" t="n">
        <f aca="false">D6*D7/100</f>
        <v>766347.241464</v>
      </c>
      <c r="E8" s="0" t="n">
        <f aca="false">E6*E7/100</f>
        <v>812328.07595184</v>
      </c>
      <c r="F8" s="0" t="n">
        <f aca="false">F6*F7/100</f>
        <v>852944.479749432</v>
      </c>
      <c r="G8" s="0" t="n">
        <f aca="false">G6*G7/100</f>
        <v>872027.305398064</v>
      </c>
      <c r="H8" s="0" t="n">
        <f aca="false">H6*H7/100</f>
        <v>902548.261086996</v>
      </c>
      <c r="I8" s="0" t="n">
        <f aca="false">I6*I7/100</f>
        <v>929624.708919606</v>
      </c>
      <c r="J8" s="0" t="n">
        <f aca="false">J6*J7/100</f>
        <v>957513.450187194</v>
      </c>
      <c r="K8" s="0" t="n">
        <f aca="false">K6*K7/100</f>
        <v>981451.286441873</v>
      </c>
      <c r="L8" s="0" t="n">
        <f aca="false">L6*L7/100</f>
        <v>1005987.56860292</v>
      </c>
    </row>
    <row r="9" customFormat="false" ht="15" hidden="false" customHeight="false" outlineLevel="0" collapsed="false">
      <c r="A9" s="0" t="s">
        <v>110</v>
      </c>
      <c r="C9" s="4" t="n">
        <f aca="false">Assumptions!C43</f>
        <v>2.72</v>
      </c>
      <c r="D9" s="4" t="n">
        <f aca="false">Assumptions!D43</f>
        <v>2.7</v>
      </c>
      <c r="E9" s="4" t="n">
        <f aca="false">Assumptions!E43</f>
        <v>2.65</v>
      </c>
      <c r="F9" s="4" t="n">
        <f aca="false">Assumptions!F43</f>
        <v>2.6</v>
      </c>
      <c r="G9" s="4" t="n">
        <f aca="false">Assumptions!G43</f>
        <v>2.55</v>
      </c>
      <c r="H9" s="4" t="n">
        <f aca="false">Assumptions!H43</f>
        <v>2.5</v>
      </c>
      <c r="I9" s="4" t="n">
        <f aca="false">Assumptions!I43</f>
        <v>2.5</v>
      </c>
      <c r="J9" s="4" t="n">
        <f aca="false">Assumptions!J43</f>
        <v>2.5</v>
      </c>
      <c r="K9" s="4" t="n">
        <f aca="false">Assumptions!K43</f>
        <v>2.5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-66037.208832</v>
      </c>
      <c r="D10" s="0" t="n">
        <f aca="false">-D6*D9/100</f>
        <v>-70140.2559984</v>
      </c>
      <c r="E10" s="0" t="n">
        <f aca="false">-E6*E9/100</f>
        <v>-72971.844110928</v>
      </c>
      <c r="F10" s="0" t="n">
        <f aca="false">-F6*F9/100</f>
        <v>-75174.7677067296</v>
      </c>
      <c r="G10" s="0" t="n">
        <f aca="false">-G6*G9/100</f>
        <v>-76678.2630608642</v>
      </c>
      <c r="H10" s="0" t="n">
        <f aca="false">-H6*H9/100</f>
        <v>-77805.8845764652</v>
      </c>
      <c r="I10" s="0" t="n">
        <f aca="false">-I6*I9/100</f>
        <v>-80140.0611137591</v>
      </c>
      <c r="J10" s="0" t="n">
        <f aca="false">-J6*J9/100</f>
        <v>-82544.2629471719</v>
      </c>
      <c r="K10" s="0" t="n">
        <f aca="false">-K6*K9/100</f>
        <v>-84607.8695208512</v>
      </c>
      <c r="L10" s="0" t="n">
        <f aca="false">-L6*L9/100</f>
        <v>-86723.0662588724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662314.359168</v>
      </c>
      <c r="D11" s="0" t="n">
        <f aca="false">D8+D10+D24</f>
        <v>696206.9854656</v>
      </c>
      <c r="E11" s="0" t="n">
        <f aca="false">E8+E10+E24</f>
        <v>739356.231840912</v>
      </c>
      <c r="F11" s="0" t="n">
        <f aca="false">F8+F10+F24</f>
        <v>777769.712042703</v>
      </c>
      <c r="G11" s="0" t="n">
        <f aca="false">G8+G10+G24</f>
        <v>795349.042337199</v>
      </c>
      <c r="H11" s="0" t="n">
        <f aca="false">H8+H10+H24</f>
        <v>824742.376510531</v>
      </c>
      <c r="I11" s="0" t="n">
        <f aca="false">I8+I10+I24</f>
        <v>849484.647805846</v>
      </c>
      <c r="J11" s="0" t="n">
        <f aca="false">J8+J10+J24</f>
        <v>874969.187240022</v>
      </c>
      <c r="K11" s="0" t="n">
        <f aca="false">K8+K10+K24</f>
        <v>896843.416921022</v>
      </c>
      <c r="L11" s="0" t="n">
        <f aca="false">L8+L10+L24</f>
        <v>919264.502344048</v>
      </c>
    </row>
    <row r="12" customFormat="false" ht="15" hidden="false" customHeight="false" outlineLevel="0" collapsed="false">
      <c r="A12" s="0" t="s">
        <v>127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662314.359168</v>
      </c>
      <c r="D13" s="0" t="n">
        <f aca="false">D11+D12</f>
        <v>696206.9854656</v>
      </c>
      <c r="E13" s="0" t="n">
        <f aca="false">E11+E12</f>
        <v>739356.231840912</v>
      </c>
      <c r="F13" s="0" t="n">
        <f aca="false">F11+F12</f>
        <v>777769.712042703</v>
      </c>
      <c r="G13" s="0" t="n">
        <f aca="false">G11+G12</f>
        <v>795349.042337199</v>
      </c>
      <c r="H13" s="0" t="n">
        <f aca="false">H11+H12</f>
        <v>824742.376510531</v>
      </c>
      <c r="I13" s="0" t="n">
        <f aca="false">I11+I12</f>
        <v>849484.647805846</v>
      </c>
      <c r="J13" s="0" t="n">
        <f aca="false">J11+J12</f>
        <v>874969.187240022</v>
      </c>
      <c r="K13" s="0" t="n">
        <f aca="false">K11+K12</f>
        <v>896843.416921022</v>
      </c>
      <c r="L13" s="0" t="n">
        <f aca="false">L11+L12</f>
        <v>919264.502344048</v>
      </c>
    </row>
    <row r="14" customFormat="false" ht="15" hidden="false" customHeight="false" outlineLevel="0" collapsed="false">
      <c r="A14" s="0" t="s">
        <v>114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476866.33860096</v>
      </c>
      <c r="D15" s="0" t="n">
        <f aca="false">D13-MAX(0,D13)*D14/100</f>
        <v>501269.029535232</v>
      </c>
      <c r="E15" s="0" t="n">
        <f aca="false">E13-MAX(0,E13)*E14/100</f>
        <v>532336.486925457</v>
      </c>
      <c r="F15" s="0" t="n">
        <f aca="false">F13-MAX(0,F13)*F14/100</f>
        <v>559994.192670746</v>
      </c>
      <c r="G15" s="0" t="n">
        <f aca="false">G13-MAX(0,G13)*G14/100</f>
        <v>572651.310482784</v>
      </c>
      <c r="H15" s="0" t="n">
        <f aca="false">H13-MAX(0,H13)*H14/100</f>
        <v>593814.511087582</v>
      </c>
      <c r="I15" s="0" t="n">
        <f aca="false">I13-MAX(0,I13)*I14/100</f>
        <v>611628.94642021</v>
      </c>
      <c r="J15" s="0" t="n">
        <f aca="false">J13-MAX(0,J13)*J14/100</f>
        <v>629977.814812816</v>
      </c>
      <c r="K15" s="0" t="n">
        <f aca="false">K13-MAX(0,K13)*K14/100</f>
        <v>645727.260183136</v>
      </c>
      <c r="L15" s="0" t="n">
        <f aca="false">L13-MAX(0,L13)*L14/100</f>
        <v>661870.441687714</v>
      </c>
    </row>
    <row r="16" customFormat="false" ht="15" hidden="false" customHeight="false" outlineLevel="0" collapsed="false">
      <c r="A16" s="0" t="s">
        <v>130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131</v>
      </c>
      <c r="C17" s="4" t="n">
        <f aca="false">-C6*Assumptions!C46/100</f>
        <v>-333827.802</v>
      </c>
      <c r="D17" s="4" t="n">
        <f aca="false">-D6*Assumptions!D46/100</f>
        <v>-290692.39430448</v>
      </c>
      <c r="E17" s="4" t="n">
        <f aca="false">-E6*Assumptions!E46/100</f>
        <v>-266553.755091994</v>
      </c>
      <c r="F17" s="4" t="n">
        <f aca="false">-F6*Assumptions!F46/100</f>
        <v>-235643.983388402</v>
      </c>
      <c r="G17" s="4" t="n">
        <f aca="false">-G6*Assumptions!G46/100</f>
        <v>-197859.988604112</v>
      </c>
      <c r="H17" s="4" t="n">
        <f aca="false">-H6*Assumptions!H46/100</f>
        <v>-179887.205140787</v>
      </c>
      <c r="I17" s="4" t="n">
        <f aca="false">-I6*Assumptions!I46/100</f>
        <v>-159639.001738608</v>
      </c>
      <c r="J17" s="4" t="n">
        <f aca="false">-J6*Assumptions!J46/100</f>
        <v>-164428.171790766</v>
      </c>
      <c r="K17" s="4" t="n">
        <f aca="false">-K6*Assumptions!K46/100</f>
        <v>-141125.92636078</v>
      </c>
      <c r="L17" s="4" t="n">
        <f aca="false">-L6*Assumptions!L46/100</f>
        <v>-144654.074519799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143038.53660096</v>
      </c>
      <c r="D19" s="0" t="n">
        <f aca="false">D15+D16+D17+D18</f>
        <v>210576.635230752</v>
      </c>
      <c r="E19" s="0" t="n">
        <f aca="false">E15+E16+E17+E18</f>
        <v>265782.731833463</v>
      </c>
      <c r="F19" s="0" t="n">
        <f aca="false">F15+F16+F17+F18</f>
        <v>324350.209282343</v>
      </c>
      <c r="G19" s="0" t="n">
        <f aca="false">G15+G16+G17+G18</f>
        <v>374791.321878671</v>
      </c>
      <c r="H19" s="0" t="n">
        <f aca="false">H15+H16+H17+H18</f>
        <v>413927.305946795</v>
      </c>
      <c r="I19" s="0" t="n">
        <f aca="false">I15+I16+I17+I18</f>
        <v>451989.944681601</v>
      </c>
      <c r="J19" s="0" t="n">
        <f aca="false">J15+J16+J17+J18</f>
        <v>465549.643022049</v>
      </c>
      <c r="K19" s="0" t="n">
        <f aca="false">K15+K16+K17+K18</f>
        <v>504601.333822356</v>
      </c>
      <c r="L19" s="0" t="n">
        <f aca="false">L15+L16+L17+L18</f>
        <v>517216.367167915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130628.800548822</v>
      </c>
      <c r="D21" s="0" t="n">
        <f aca="false">D19*D20</f>
        <v>175623.223227833</v>
      </c>
      <c r="E21" s="0" t="n">
        <f aca="false">E19*E20</f>
        <v>202434.441327158</v>
      </c>
      <c r="F21" s="0" t="n">
        <f aca="false">F19*F20</f>
        <v>225609.667662836</v>
      </c>
      <c r="G21" s="0" t="n">
        <f aca="false">G19*G20</f>
        <v>238077.816364891</v>
      </c>
      <c r="H21" s="0" t="n">
        <f aca="false">H19*H20</f>
        <v>240126.096943373</v>
      </c>
      <c r="I21" s="0" t="n">
        <f aca="false">I19*I20</f>
        <v>239458.324297635</v>
      </c>
      <c r="J21" s="0" t="n">
        <f aca="false">J19*J20</f>
        <v>225243.903220606</v>
      </c>
      <c r="K21" s="0" t="n">
        <f aca="false">K19*K20</f>
        <v>222957.107545239</v>
      </c>
      <c r="L21" s="0" t="n">
        <f aca="false">L19*L20</f>
        <v>208704.141766091</v>
      </c>
    </row>
    <row r="23" customFormat="false" ht="15" hidden="false" customHeight="false" outlineLevel="0" collapsed="false">
      <c r="A23" s="0" t="s">
        <v>111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2108863.52290448</v>
      </c>
    </row>
    <row r="31" customFormat="false" ht="15" hidden="false" customHeight="false" outlineLevel="0" collapsed="false">
      <c r="A31" s="0" t="s">
        <v>139</v>
      </c>
      <c r="B31" s="0" t="n">
        <f aca="false">L19</f>
        <v>517216.367167915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7573525.37638733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7758245.50751873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7573525.37638733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3056024.93300348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5164888.45590796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5164888.45590796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10.9073450995891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0.121001551859107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475291.07684638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512411.960597498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12.9932019341137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4241174.21077691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5.59813643501272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2" t="s">
        <v>156</v>
      </c>
      <c r="B3" s="2" t="s">
        <v>157</v>
      </c>
      <c r="C3" s="2" t="s">
        <v>147</v>
      </c>
      <c r="D3" s="2" t="s">
        <v>158</v>
      </c>
      <c r="E3" s="2" t="s">
        <v>150</v>
      </c>
      <c r="F3" s="2" t="s">
        <v>159</v>
      </c>
    </row>
    <row r="4" customFormat="false" ht="15" hidden="false" customHeight="false" outlineLevel="0" collapsed="false">
      <c r="A4" s="0" t="s">
        <v>160</v>
      </c>
      <c r="B4" s="4" t="n">
        <f aca="false">DCF_Bear!$B$38</f>
        <v>5.113124157279</v>
      </c>
      <c r="C4" s="0" t="n">
        <f aca="false">B4/Assumptions!$B$2-1</f>
        <v>-0.474499058861357</v>
      </c>
      <c r="D4" s="4" t="n">
        <f aca="false">Assumptions!$B$24</f>
        <v>0.25</v>
      </c>
      <c r="E4" s="4" t="n">
        <f aca="false">DCF_Bear!$B$43</f>
        <v>6.55683456207404</v>
      </c>
      <c r="F4" s="4" t="n">
        <f aca="false">DCF_Bear!$B$47</f>
        <v>3.10731219921276</v>
      </c>
    </row>
    <row r="5" customFormat="false" ht="15" hidden="false" customHeight="false" outlineLevel="0" collapsed="false">
      <c r="A5" s="0" t="s">
        <v>161</v>
      </c>
      <c r="B5" s="4" t="n">
        <f aca="false">DCF_Base!$B$38</f>
        <v>8.6739332251139</v>
      </c>
      <c r="C5" s="0" t="n">
        <f aca="false">B5/Assumptions!$B$2-1</f>
        <v>-0.108537181386033</v>
      </c>
      <c r="D5" s="4" t="n">
        <f aca="false">Assumptions!$B$38</f>
        <v>0.5</v>
      </c>
      <c r="E5" s="4" t="n">
        <f aca="false">DCF_Base!$B$43</f>
        <v>10.4742167208544</v>
      </c>
      <c r="F5" s="4" t="n">
        <f aca="false">DCF_Base!$B$47</f>
        <v>4.85479730510062</v>
      </c>
    </row>
    <row r="6" customFormat="false" ht="15" hidden="false" customHeight="false" outlineLevel="0" collapsed="false">
      <c r="A6" s="0" t="s">
        <v>162</v>
      </c>
      <c r="B6" s="4" t="n">
        <f aca="false">DCF_Bull!$B$38</f>
        <v>10.9073450995891</v>
      </c>
      <c r="C6" s="0" t="n">
        <f aca="false">B6/Assumptions!$B$2-1</f>
        <v>0.121001551859107</v>
      </c>
      <c r="D6" s="4" t="n">
        <f aca="false">Assumptions!$B$52</f>
        <v>0.25</v>
      </c>
      <c r="E6" s="4" t="n">
        <f aca="false">DCF_Bull!$B$43</f>
        <v>12.9932019341137</v>
      </c>
      <c r="F6" s="4" t="n">
        <f aca="false">DCF_Bull!$B$47</f>
        <v>5.59813643501272</v>
      </c>
    </row>
    <row r="8" customFormat="false" ht="15" hidden="false" customHeight="false" outlineLevel="0" collapsed="false">
      <c r="A8" s="0" t="s">
        <v>163</v>
      </c>
      <c r="B8" s="0" t="n">
        <f aca="false">SUMPRODUCT(B4:B6,D4:D6)</f>
        <v>8.34208392677398</v>
      </c>
    </row>
    <row r="9" customFormat="false" ht="15" hidden="false" customHeight="false" outlineLevel="0" collapsed="false">
      <c r="A9" s="0" t="s">
        <v>164</v>
      </c>
      <c r="B9" s="0" t="n">
        <f aca="false">SUMPRODUCT(E4:E6,D4:D6)</f>
        <v>10.1246174844741</v>
      </c>
    </row>
    <row r="10" customFormat="false" ht="15" hidden="false" customHeight="false" outlineLevel="0" collapsed="false">
      <c r="A10" s="0" t="s">
        <v>165</v>
      </c>
      <c r="B10" s="0" t="n">
        <f aca="false">1-Assumptions!$B$2/B8</f>
        <v>-0.166375222954962</v>
      </c>
    </row>
    <row r="11" customFormat="false" ht="15" hidden="false" customHeight="false" outlineLevel="0" collapsed="false">
      <c r="A11" s="0" t="s">
        <v>166</v>
      </c>
      <c r="B11" s="0" t="n">
        <f aca="false">IF(ABS(B9-B8)&gt;0.01*ABS(B8),(Assumptions!$B$2-B8)/(B9-B8)*100,"n/a")</f>
        <v>77.8619884731223</v>
      </c>
    </row>
    <row r="12" customFormat="false" ht="15" hidden="false" customHeight="false" outlineLevel="0" collapsed="false">
      <c r="A12" s="0" t="s">
        <v>167</v>
      </c>
      <c r="B12" s="0" t="n">
        <f aca="false">SUMPRODUCT(F4:F6,D4:D6)</f>
        <v>4.60376081110668</v>
      </c>
    </row>
    <row r="14" customFormat="false" ht="15" hidden="false" customHeight="false" outlineLevel="0" collapsed="false">
      <c r="A14" s="2" t="s">
        <v>168</v>
      </c>
      <c r="C14" s="0" t="s">
        <v>169</v>
      </c>
    </row>
    <row r="15" customFormat="false" ht="15" hidden="false" customHeight="false" outlineLevel="0" collapsed="false">
      <c r="A15" s="0" t="s">
        <v>170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9.32324282545254</v>
      </c>
      <c r="C15" s="3" t="n">
        <v>9</v>
      </c>
    </row>
    <row r="16" customFormat="false" ht="15" hidden="false" customHeight="false" outlineLevel="0" collapsed="false">
      <c r="A16" s="0" t="s">
        <v>171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8.6739332251139</v>
      </c>
      <c r="C16" s="3" t="n">
        <v>9.5</v>
      </c>
    </row>
    <row r="17" customFormat="false" ht="15" hidden="false" customHeight="false" outlineLevel="0" collapsed="false">
      <c r="A17" s="0" t="s">
        <v>172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8.1065252443112</v>
      </c>
      <c r="C17" s="3" t="n">
        <v>10</v>
      </c>
    </row>
    <row r="18" customFormat="false" ht="15" hidden="false" customHeight="false" outlineLevel="0" collapsed="false">
      <c r="A18" s="0" t="s">
        <v>173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7.16272226748435</v>
      </c>
      <c r="C18" s="3" t="n">
        <v>11</v>
      </c>
    </row>
    <row r="19" customFormat="false" ht="15" hidden="false" customHeight="false" outlineLevel="0" collapsed="false">
      <c r="A19" s="0" t="s">
        <v>174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6.4098042180602</v>
      </c>
      <c r="C19" s="3" t="n">
        <v>12</v>
      </c>
    </row>
    <row r="20" customFormat="false" ht="15" hidden="false" customHeight="false" outlineLevel="0" collapsed="false">
      <c r="A20" s="0" t="s">
        <v>175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4.85479730510062</v>
      </c>
      <c r="C20" s="3" t="n">
        <v>15</v>
      </c>
    </row>
    <row r="22" customFormat="false" ht="15" hidden="false" customHeight="false" outlineLevel="0" collapsed="false">
      <c r="A22" s="2" t="s">
        <v>176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10.5691221552261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10.5691221552261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10.5691221552261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10.5691221552261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10.5691221552261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9.26240811621882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9.63893426671179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9.82112433953097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9.82112433953097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9.82112433953097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8.10292176409976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8.37058338645014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8.6739332251139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9.02061875501534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9.13934667621446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7.19115805587405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7.38731129058139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7.60654137643076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7.85317522301131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8.13269358246927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6.45610577636248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6.60339093462358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6.76617979375428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6.9470563038995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7.14921240347356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2026-10-03T23:33:25Z</dcterms:created>
  <dc:creator>openpyxl</dc:creator>
  <dc:description/>
  <dc:language>en-NZ</dc:language>
  <cp:lastModifiedBy/>
  <dcterms:modified xsi:type="dcterms:W3CDTF">2026-10-03T23:33:25Z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