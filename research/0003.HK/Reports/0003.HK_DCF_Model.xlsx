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<sst xmlns="http://schemas.openxmlformats.org/spreadsheetml/2006/main" count="359" uniqueCount="166">
  <si>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</si>
  <si>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0003.HK</t>
  </si>
  <si>
    <t xml:space="preserve">Company</t>
  </si>
  <si>
    <t xml:space="preserve">The Hong Kong and China Gas Company Limited (Towngas)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</si>
  <si>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</si>
  <si>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</si>
  <si>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</si>
  <si>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</si>
  <si>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(Friday HKEX close;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</si>
  <si>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</si>
  <si>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</si>
  <si>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</si>
  <si>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</si>
  <si>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</si>
  <si>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</si>
  <si>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</si>
  <si>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</si>
  <si>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</si>
  <si>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</si>
  <si>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</si>
  <si>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</si>
  <si>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2026-10-10T11:28:18Z</t>
  </si>
  <si>
    <t xml:space="preserve">Drivers file</t>
  </si>
  <si>
    <t xml:space="preserve">0003.HK_Drivers.json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</si>
  <si>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</si>
  <si>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</si>
  <si>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</si>
  <si>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of the consolidated operations at an HKD 7% WACC, plus a sum-of-parts bridge for the HK$52bn equity-accounted portfolio and HK$4.7bn of securities, less the NCI stake and HK$54.5bn of net debt. The market prices Towngas as a ~4.9% dividend yield bond proxy; the DCF asks whether the cash the operations generate supports that, and the answer is shaped by the fact that the dividend (6.53bn) has exceeded equity-level free cash flow for years, with the gap borrowed.
key_risks_to_valuation: Associates/JVs bridge (30bn, ~0.58x book) is a judgment mark worth ~HK$1.6/share; at book it would add ~HK$1.2/share; WACC: at 6% (yield-investor cost of capital for HK utilities) the value rises materially; the 18x terminal cap binds at 7%/2%; EcoCeres IPO valuation (42.3% stake) could crystallise value above the bridge mark; RMB/HKD translation: roughly half of operating profit is RMB-denominated; Capex normalisation: the base assumes group capex stays near FY2025-H1 FY2026 levels rather than reverting to the 12-15% of revenue spent in FY2021-2023</t>
  </si>
  <si>
    <t xml:space="preserve">Data sources</t>
  </si>
  <si>
    <t xml:space="preserve">price: Yahoo Finance chart API at inputs.price_as_of; 52-week range 6.40-7.76
financials: 0003.HK_Metrics.csv (core_metrics + kpis), FY2025 Annual Report (income statement, balance sheet, cash flow statement, notes 20-22, 40), H1 FY2026 Interim Report (balance sheet at 30 June 2026, note 9 EPS, note 14 share capital)
qualitative: 0003.HK_Analysis.json (2026-10-11)</t>
  </si>
  <si>
    <t xml:space="preserve">Scenario narrative: bear</t>
  </si>
  <si>
    <t xml:space="preserve">The mainland property slump persists and city-gas volumes stagnate on warm winters and industrial weakness; connection income falls away faster, renewables stay squeezed by midday-valley pricing, and the post-2028 HK tariff reset is politically capped while opex and the HK$13.1bn HK capex programme rise. Revenue grows ~1.5%, EBITDA margin erodes to 20.5% and capex stays ~8.3-9% as the sprawl of growth ventures (SAF, green methanol, hydrogen, data centres) keeps absorbing capital. Leverage stays near 43% gearing with dividends funded partly by debt.</t>
  </si>
  <si>
    <t xml:space="preserve">Scenario narrative: base</t>
  </si>
  <si>
    <t xml:space="preserve">Towngas stays what it has been since 2022: a ~flat-volume HK gas monopoly earning its tariff (+4.4% Aug-2026, then a two-year freeze) beside a mainland city-gas platform whose new-connection income keeps shrinking with the property market while the RMB0.54-0.55/m3 dollar margin holds as residential cost pass-through approaches completion. Gas+ services, water trusteeship and Towngas Lifestyle replace connection income but do not accelerate growth; renewables recover from midday-valley pricing to modest profitability. Group capex settles near maintenance plus ~0.5pp of revenue. Revenue compounds ~3% fading to 2%, EBITDA margin ~22%. Associates (IFC, mainland gas JVs, EcoCeres) are carried in the bridge at ~0.58x book.</t>
  </si>
  <si>
    <t xml:space="preserve">Scenario narrative: bull</t>
  </si>
  <si>
    <t xml:space="preserve">Mainland reform works in Towngas's favour: pass-through completes (residential 100%), Gas+ and integrated energy services lift the dollar margin toward RMB0.58/m3, distributed PV reaches the 3.8 GW target with power-market reform easing valley pricing, and Northern Metropolis adds a multi-year HK connection pipeline. Revenue 4-5% early, EBITDA margin to 23.5%, terminal growth 2.5%. (EcoCeres's IPO at a premium valuation would add on top through the bridge, which is held at the base mark.)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</si>
  <si>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</si>
  <si>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</si>
  <si>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</si>
  <si>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</si>
  <si>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</si>
  <si>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</si>
  <si>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</si>
  <si>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</si>
  <si>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</si>
  <si>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</si>
  <si>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</si>
  <si>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</si>
  <si>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</si>
  <si>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</si>
  <si>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</si>
  <si>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</si>
  <si>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</si>
  <si>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</si>
  <si>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</si>
  <si>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</si>
  <si>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</si>
  <si>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</si>
  <si>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</si>
  <si>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</si>
  <si>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</si>
  <si>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</si>
  <si>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</si>
  <si>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</si>
  <si>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</si>
  <si>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</si>
  <si>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</si>
  <si>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</si>
  <si>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</si>
  <si>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</si>
  <si>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</si>
  <si>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</si>
  <si>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</si>
  <si>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</si>
  <si>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</si>
  <si>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</si>
  <si>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</si>
  <si>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</si>
  <si>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</si>
  <si>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</si>
  <si>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</si>
  <si>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</si>
  <si>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</si>
  <si>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</si>
  <si>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</si>
  <si>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</si>
  <si>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</si>
  <si>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</si>
  <si>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</si>
  <si>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</si>
  <si>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</si>
  <si>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</si>
  <si>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</si>
  <si>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</si>
  <si>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</si>
  <si>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</si>
  <si>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</si>
  <si>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</si>
  <si>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</si>
  <si>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</si>
  <si>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</si>
  <si>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</si>
  <si>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</si>
  <si>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</si>
  <si>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</si>
  <si>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</si>
  <si>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</si>
  <si>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</si>
  <si>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</si>
  <si>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</si>
  <si>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</si>
  <si>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0003.HK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</si>
  <si>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</si>
  <si>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</si>
  <si>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</si>
  <si>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</si>
  <si>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</si>
  <si>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</si>
  <si>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</si>
  <si>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</si>
  <si>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</si>
  <si>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</si>
  <si>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</si>
  <si>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</si>
  <si>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</si>
  <si>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</si>
  <si>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</si>
  <si>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</si>
  <si>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</si>
  <si>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</si>
  <si>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</si>
  <si>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</si>
  <si>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</si>
  <si>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</si>
  <si>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</si>
  <si>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</si>
  <si>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</si>
  <si>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</si>
  <si>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</si>
  <si>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</si>
  <si>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</si>
  <si>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</si>
  <si>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0003.HK owner-FCF component DCF: base case (millions, HKD)</t>
  </si>
  <si>
    <t xml:space="preserve">0003.HK owner-FCF component DCF: bull case (millions, HKD)</t>
  </si>
  <si>
    <t xml:space="preserve">0003.HK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</si>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</sst>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7.135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32476.5</v>
      </c>
      <c r="F2" s="0" t="n">
        <v>7631.3</v>
      </c>
      <c r="G2" s="0" t="n">
        <v>23.5</v>
      </c>
      <c r="H2" s="0" t="n">
        <v>10006.1</v>
      </c>
      <c r="I2" s="0" t="n">
        <v>8225.3</v>
      </c>
      <c r="J2" s="0" t="n">
        <v>25.3</v>
      </c>
      <c r="K2" s="0" t="n">
        <v>0.535</v>
      </c>
      <c r="L2" s="0" t="n">
        <v>8524.4</v>
      </c>
      <c r="M2" s="0" t="n">
        <v>6004.5</v>
      </c>
      <c r="N2" s="0" t="n">
        <v>2519.9</v>
      </c>
      <c r="O2" s="0" t="n">
        <v>60438.8</v>
      </c>
      <c r="P2" s="0" t="n">
        <v>131061.9</v>
      </c>
      <c r="Q2" s="0" t="n">
        <v>60816</v>
      </c>
      <c r="R2" s="0" t="n">
        <v>36918.8</v>
      </c>
      <c r="S2" s="0" t="n">
        <v>10758.6</v>
      </c>
      <c r="T2" s="0" t="n">
        <v>13988</v>
      </c>
      <c r="U2" s="0" t="n">
        <v>0</v>
      </c>
      <c r="AA2" s="0" t="s">
        <v>17</v>
      </c>
      <c r="AB2" s="0" t="s">
        <v>14</v>
      </c>
      <c r="AC2" s="0" t="n">
        <v>9346.9</v>
      </c>
      <c r="AD2" s="0" t="n">
        <v>70245.9</v>
      </c>
    </row>
    <row r="3" customFormat="false" ht="15" hidden="false" customHeight="false" outlineLevel="0" collapsed="false">
      <c r="A3" s="0" t="s">
        <v>66</v>
      </c>
      <c r="B3" s="0" t="n">
        <v>39073</v>
      </c>
      <c r="F3" s="0" t="n">
        <v>8383.2</v>
      </c>
      <c r="G3" s="0" t="n">
        <v>21.5</v>
      </c>
      <c r="H3" s="0" t="n">
        <v>10920.4</v>
      </c>
      <c r="I3" s="0" t="n">
        <v>9312.8</v>
      </c>
      <c r="J3" s="0" t="n">
        <v>23.8</v>
      </c>
      <c r="K3" s="0" t="n">
        <v>0.605</v>
      </c>
      <c r="L3" s="0" t="n">
        <v>9438.9</v>
      </c>
      <c r="M3" s="0" t="n">
        <v>6567</v>
      </c>
      <c r="N3" s="0" t="n">
        <v>2871.9</v>
      </c>
      <c r="O3" s="0" t="n">
        <v>62400.7</v>
      </c>
      <c r="P3" s="0" t="n">
        <v>132693.1</v>
      </c>
      <c r="Q3" s="0" t="n">
        <v>62499.8</v>
      </c>
      <c r="R3" s="0" t="n">
        <v>38021.6</v>
      </c>
      <c r="S3" s="0" t="n">
        <v>8500.8</v>
      </c>
      <c r="T3" s="0" t="n">
        <v>15386</v>
      </c>
      <c r="U3" s="0" t="n">
        <v>0</v>
      </c>
      <c r="V3" s="0" t="n">
        <v>0.35</v>
      </c>
      <c r="AA3" s="0" t="s">
        <v>17</v>
      </c>
      <c r="AB3" s="0" t="s">
        <v>14</v>
      </c>
      <c r="AC3" s="0" t="n">
        <v>10431.9</v>
      </c>
      <c r="AD3" s="0" t="n">
        <v>70193.3</v>
      </c>
    </row>
    <row r="4" customFormat="false" ht="15" hidden="false" customHeight="false" outlineLevel="0" collapsed="false">
      <c r="A4" s="0" t="s">
        <v>67</v>
      </c>
      <c r="B4" s="0" t="n">
        <v>40628.1</v>
      </c>
      <c r="F4" s="0" t="n">
        <v>8023.7</v>
      </c>
      <c r="G4" s="0" t="n">
        <v>19.7</v>
      </c>
      <c r="H4" s="0" t="n">
        <v>10777.2</v>
      </c>
      <c r="I4" s="0" t="n">
        <v>6965.7</v>
      </c>
      <c r="J4" s="0" t="n">
        <v>17.1</v>
      </c>
      <c r="K4" s="0" t="n">
        <v>0.412</v>
      </c>
      <c r="L4" s="0" t="n">
        <v>9912.4</v>
      </c>
      <c r="M4" s="0" t="n">
        <v>6751.3</v>
      </c>
      <c r="N4" s="0" t="n">
        <v>3161.1</v>
      </c>
      <c r="O4" s="0" t="n">
        <v>64209.4</v>
      </c>
      <c r="P4" s="0" t="n">
        <v>140470.1</v>
      </c>
      <c r="Q4" s="0" t="n">
        <v>65073.4</v>
      </c>
      <c r="R4" s="0" t="n">
        <v>37936.2</v>
      </c>
      <c r="S4" s="0" t="n">
        <v>7848.9</v>
      </c>
      <c r="T4" s="0" t="n">
        <v>16925</v>
      </c>
      <c r="U4" s="0" t="n">
        <v>0</v>
      </c>
      <c r="V4" s="0" t="n">
        <v>0.35</v>
      </c>
      <c r="AA4" s="0" t="s">
        <v>17</v>
      </c>
      <c r="AB4" s="0" t="s">
        <v>14</v>
      </c>
      <c r="AC4" s="0" t="n">
        <v>8114.3</v>
      </c>
      <c r="AD4" s="0" t="n">
        <v>75396.7</v>
      </c>
    </row>
    <row r="5" customFormat="false" ht="15" hidden="false" customHeight="false" outlineLevel="0" collapsed="false">
      <c r="A5" s="0" t="s">
        <v>68</v>
      </c>
      <c r="B5" s="0" t="n">
        <v>40927</v>
      </c>
      <c r="F5" s="0" t="n">
        <v>8399.9</v>
      </c>
      <c r="G5" s="0" t="n">
        <v>20.5</v>
      </c>
      <c r="H5" s="0" t="n">
        <v>11340.5</v>
      </c>
      <c r="I5" s="0" t="n">
        <v>6007.3</v>
      </c>
      <c r="J5" s="0" t="n">
        <v>14.7</v>
      </c>
      <c r="K5" s="0" t="n">
        <v>0.338</v>
      </c>
      <c r="L5" s="0" t="n">
        <v>9910.2</v>
      </c>
      <c r="M5" s="0" t="n">
        <v>7217.6</v>
      </c>
      <c r="N5" s="0" t="n">
        <v>2692.6</v>
      </c>
      <c r="O5" s="0" t="n">
        <v>66758.5</v>
      </c>
      <c r="P5" s="0" t="n">
        <v>150280.2</v>
      </c>
      <c r="Q5" s="0" t="n">
        <v>71126.9</v>
      </c>
      <c r="R5" s="0" t="n">
        <v>42138.6</v>
      </c>
      <c r="S5" s="0" t="n">
        <v>7455</v>
      </c>
      <c r="T5" s="0" t="n">
        <v>17771</v>
      </c>
      <c r="U5" s="0" t="n">
        <v>0</v>
      </c>
      <c r="V5" s="0" t="n">
        <v>0.35</v>
      </c>
      <c r="AA5" s="0" t="s">
        <v>17</v>
      </c>
      <c r="AB5" s="0" t="s">
        <v>14</v>
      </c>
      <c r="AC5" s="0" t="n">
        <v>7212.4</v>
      </c>
      <c r="AD5" s="0" t="n">
        <v>79153.3</v>
      </c>
    </row>
    <row r="6" customFormat="false" ht="15" hidden="false" customHeight="false" outlineLevel="0" collapsed="false">
      <c r="A6" s="0" t="s">
        <v>69</v>
      </c>
      <c r="B6" s="0" t="n">
        <v>53563.7</v>
      </c>
      <c r="F6" s="0" t="n">
        <v>8819.7</v>
      </c>
      <c r="G6" s="0" t="n">
        <v>16.5</v>
      </c>
      <c r="H6" s="0" t="n">
        <v>12108.3</v>
      </c>
      <c r="I6" s="0" t="n">
        <v>5017</v>
      </c>
      <c r="J6" s="0" t="n">
        <v>9.4</v>
      </c>
      <c r="K6" s="0" t="n">
        <v>0.269</v>
      </c>
      <c r="L6" s="0" t="n">
        <v>10469.5</v>
      </c>
      <c r="M6" s="0" t="n">
        <v>7273.5</v>
      </c>
      <c r="N6" s="0" t="n">
        <v>3196</v>
      </c>
      <c r="O6" s="0" t="n">
        <v>67426.4</v>
      </c>
      <c r="P6" s="0" t="n">
        <v>168067.4</v>
      </c>
      <c r="Q6" s="0" t="n">
        <v>86228.6</v>
      </c>
      <c r="R6" s="0" t="n">
        <v>55111.1</v>
      </c>
      <c r="S6" s="0" t="n">
        <v>10557</v>
      </c>
      <c r="T6" s="0" t="n">
        <v>18660</v>
      </c>
      <c r="U6" s="0" t="n">
        <v>36.5</v>
      </c>
      <c r="V6" s="0" t="n">
        <v>0.35</v>
      </c>
      <c r="AA6" s="0" t="s">
        <v>17</v>
      </c>
      <c r="AB6" s="0" t="s">
        <v>14</v>
      </c>
      <c r="AC6" s="0" t="n">
        <v>6225.7</v>
      </c>
      <c r="AD6" s="0" t="n">
        <v>81838.8</v>
      </c>
    </row>
    <row r="7" customFormat="false" ht="15" hidden="false" customHeight="false" outlineLevel="0" collapsed="false">
      <c r="A7" s="0" t="s">
        <v>70</v>
      </c>
      <c r="B7" s="0" t="n">
        <v>60953.4</v>
      </c>
      <c r="F7" s="0" t="n">
        <v>8361.7</v>
      </c>
      <c r="G7" s="0" t="n">
        <v>13.7</v>
      </c>
      <c r="H7" s="0" t="n">
        <v>11887.1</v>
      </c>
      <c r="I7" s="0" t="n">
        <v>5247.9</v>
      </c>
      <c r="J7" s="0" t="n">
        <v>8.6</v>
      </c>
      <c r="K7" s="0" t="n">
        <v>0.281</v>
      </c>
      <c r="L7" s="0" t="n">
        <v>9644.7</v>
      </c>
      <c r="M7" s="0" t="n">
        <v>7724.7</v>
      </c>
      <c r="N7" s="0" t="n">
        <v>1920</v>
      </c>
      <c r="O7" s="0" t="n">
        <v>61227.5</v>
      </c>
      <c r="P7" s="0" t="n">
        <v>168469.3</v>
      </c>
      <c r="Q7" s="0" t="n">
        <v>93330.6</v>
      </c>
      <c r="R7" s="0" t="n">
        <v>59304</v>
      </c>
      <c r="S7" s="0" t="n">
        <v>13241.2</v>
      </c>
      <c r="T7" s="0" t="n">
        <v>18660</v>
      </c>
      <c r="U7" s="0" t="n">
        <v>-13.5</v>
      </c>
      <c r="V7" s="0" t="n">
        <v>0.35</v>
      </c>
      <c r="AA7" s="0" t="s">
        <v>17</v>
      </c>
      <c r="AB7" s="0" t="s">
        <v>14</v>
      </c>
      <c r="AC7" s="0" t="n">
        <v>6324.4</v>
      </c>
      <c r="AD7" s="0" t="n">
        <v>75138.7</v>
      </c>
    </row>
    <row r="8" customFormat="false" ht="15" hidden="false" customHeight="false" outlineLevel="0" collapsed="false">
      <c r="A8" s="0" t="s">
        <v>71</v>
      </c>
      <c r="B8" s="0" t="n">
        <v>56971.1</v>
      </c>
      <c r="F8" s="0" t="n">
        <v>8137.3</v>
      </c>
      <c r="G8" s="0" t="n">
        <v>14.3</v>
      </c>
      <c r="H8" s="0" t="n">
        <v>11686.5</v>
      </c>
      <c r="I8" s="0" t="n">
        <v>6070.1</v>
      </c>
      <c r="J8" s="0" t="n">
        <v>10.7</v>
      </c>
      <c r="K8" s="0" t="n">
        <v>0.325</v>
      </c>
      <c r="L8" s="0" t="n">
        <v>10931.7</v>
      </c>
      <c r="M8" s="0" t="n">
        <v>8359.7</v>
      </c>
      <c r="N8" s="0" t="n">
        <v>2572</v>
      </c>
      <c r="O8" s="0" t="n">
        <v>59852.8</v>
      </c>
      <c r="P8" s="0" t="n">
        <v>161977.6</v>
      </c>
      <c r="Q8" s="0" t="n">
        <v>90958.9</v>
      </c>
      <c r="R8" s="0" t="n">
        <v>57768.9</v>
      </c>
      <c r="S8" s="0" t="n">
        <v>8972.1</v>
      </c>
      <c r="T8" s="0" t="n">
        <v>18660</v>
      </c>
      <c r="U8" s="0" t="n">
        <v>48.9</v>
      </c>
      <c r="V8" s="0" t="n">
        <v>0.35</v>
      </c>
      <c r="AA8" s="0" t="s">
        <v>17</v>
      </c>
      <c r="AB8" s="0" t="s">
        <v>14</v>
      </c>
      <c r="AC8" s="0" t="n">
        <v>7171.3</v>
      </c>
      <c r="AD8" s="0" t="n">
        <v>71018.7</v>
      </c>
    </row>
    <row r="9" customFormat="false" ht="15" hidden="false" customHeight="false" outlineLevel="0" collapsed="false">
      <c r="A9" s="0" t="s">
        <v>72</v>
      </c>
      <c r="B9" s="0" t="n">
        <v>55472.8</v>
      </c>
      <c r="F9" s="0" t="n">
        <v>8177.9</v>
      </c>
      <c r="G9" s="0" t="n">
        <v>14.7</v>
      </c>
      <c r="H9" s="0" t="n">
        <v>11745.8</v>
      </c>
      <c r="I9" s="0" t="n">
        <v>5711.5</v>
      </c>
      <c r="J9" s="0" t="n">
        <v>10.3</v>
      </c>
      <c r="K9" s="0" t="n">
        <v>0.306</v>
      </c>
      <c r="L9" s="0" t="n">
        <v>9000.3</v>
      </c>
      <c r="M9" s="0" t="n">
        <v>6435.5</v>
      </c>
      <c r="N9" s="0" t="n">
        <v>2564.8</v>
      </c>
      <c r="O9" s="0" t="n">
        <v>57390.4</v>
      </c>
      <c r="P9" s="0" t="n">
        <v>158268.6</v>
      </c>
      <c r="Q9" s="0" t="n">
        <v>89935.1</v>
      </c>
      <c r="R9" s="0" t="n">
        <v>57422.2</v>
      </c>
      <c r="S9" s="0" t="n">
        <v>6271.5</v>
      </c>
      <c r="T9" s="0" t="n">
        <v>18660</v>
      </c>
      <c r="U9" s="0" t="n">
        <v>0</v>
      </c>
      <c r="V9" s="0" t="n">
        <v>0.35</v>
      </c>
      <c r="AA9" s="0" t="s">
        <v>17</v>
      </c>
      <c r="AB9" s="0" t="s">
        <v>14</v>
      </c>
      <c r="AC9" s="0" t="n">
        <v>6761.2</v>
      </c>
      <c r="AD9" s="0" t="n">
        <v>68333.5</v>
      </c>
    </row>
    <row r="10" customFormat="false" ht="15" hidden="false" customHeight="false" outlineLevel="0" collapsed="false">
      <c r="A10" s="0" t="s">
        <v>73</v>
      </c>
      <c r="B10" s="0" t="n">
        <v>54326.3</v>
      </c>
      <c r="F10" s="0" t="n">
        <v>8132.1</v>
      </c>
      <c r="G10" s="0" t="n">
        <v>15</v>
      </c>
      <c r="H10" s="0" t="n">
        <v>11935</v>
      </c>
      <c r="I10" s="0" t="n">
        <v>5688.2</v>
      </c>
      <c r="J10" s="0" t="n">
        <v>10.5</v>
      </c>
      <c r="K10" s="0" t="n">
        <v>0.305</v>
      </c>
      <c r="L10" s="0" t="n">
        <v>10533</v>
      </c>
      <c r="M10" s="0" t="n">
        <v>5096.3</v>
      </c>
      <c r="N10" s="0" t="n">
        <v>5436.7</v>
      </c>
      <c r="O10" s="0" t="n">
        <v>59351.1</v>
      </c>
      <c r="P10" s="0" t="n">
        <v>163555.1</v>
      </c>
      <c r="Q10" s="0" t="n">
        <v>92165.8</v>
      </c>
      <c r="R10" s="0" t="n">
        <v>59700.6</v>
      </c>
      <c r="S10" s="0" t="n">
        <v>6547.9</v>
      </c>
      <c r="T10" s="0" t="n">
        <v>18660</v>
      </c>
      <c r="U10" s="0" t="n">
        <v>63.9</v>
      </c>
      <c r="V10" s="0" t="n">
        <v>0.35</v>
      </c>
      <c r="AA10" s="0" t="s">
        <v>17</v>
      </c>
      <c r="AB10" s="0" t="s">
        <v>14</v>
      </c>
      <c r="AC10" s="0" t="n">
        <v>6714.9</v>
      </c>
      <c r="AD10" s="0" t="n">
        <v>71389.3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7.135</v>
      </c>
    </row>
    <row r="3" customFormat="false" ht="15" hidden="false" customHeight="false" outlineLevel="0" collapsed="false">
      <c r="A3" s="0" t="s">
        <v>77</v>
      </c>
      <c r="B3" s="3" t="n">
        <v>18659.87</v>
      </c>
    </row>
    <row r="4" customFormat="false" ht="15" hidden="false" customHeight="false" outlineLevel="0" collapsed="false">
      <c r="A4" s="0" t="s">
        <v>78</v>
      </c>
      <c r="B4" s="3" t="n">
        <v>54472.9</v>
      </c>
    </row>
    <row r="5" customFormat="false" ht="15" hidden="false" customHeight="false" outlineLevel="0" collapsed="false">
      <c r="A5" s="0" t="s">
        <v>79</v>
      </c>
      <c r="B5" s="3" t="n">
        <v>26574.4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54326.3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21</v>
      </c>
      <c r="D14" s="3" t="n">
        <v>20.8</v>
      </c>
      <c r="E14" s="3" t="n">
        <v>20.5</v>
      </c>
      <c r="F14" s="3" t="n">
        <v>20.5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99</v>
      </c>
      <c r="C15" s="3" t="n">
        <v>0.12</v>
      </c>
      <c r="D15" s="3" t="n">
        <v>0.12</v>
      </c>
      <c r="E15" s="3" t="n">
        <v>0.12</v>
      </c>
      <c r="F15" s="3" t="n">
        <v>0.12</v>
      </c>
      <c r="G15" s="3" t="n">
        <v>0.12</v>
      </c>
      <c r="H15" s="3" t="n">
        <v>0.12</v>
      </c>
      <c r="I15" s="3" t="n">
        <v>0.12</v>
      </c>
      <c r="J15" s="3" t="n">
        <v>0.12</v>
      </c>
      <c r="K15" s="3" t="n">
        <v>0.12</v>
      </c>
      <c r="L15" s="3" t="n">
        <v>0.12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102</v>
      </c>
      <c r="C18" s="3" t="n">
        <v>9</v>
      </c>
      <c r="D18" s="3" t="n">
        <v>9</v>
      </c>
      <c r="E18" s="3" t="n">
        <v>8.8</v>
      </c>
      <c r="F18" s="3" t="n">
        <v>8.5</v>
      </c>
      <c r="G18" s="3" t="n">
        <v>8.5</v>
      </c>
      <c r="H18" s="3" t="n">
        <v>8.3</v>
      </c>
      <c r="I18" s="3" t="n">
        <v>8.3</v>
      </c>
      <c r="J18" s="3" t="n">
        <v>8.3</v>
      </c>
      <c r="K18" s="3" t="n">
        <v>8.3</v>
      </c>
      <c r="L18" s="3" t="n">
        <v>8.3</v>
      </c>
    </row>
    <row r="19" customFormat="false" ht="15" hidden="false" customHeight="false" outlineLevel="0" collapsed="false">
      <c r="A19" s="0" t="s">
        <v>103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18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4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21.5</v>
      </c>
      <c r="D28" s="3" t="n">
        <v>21.8</v>
      </c>
      <c r="E28" s="3" t="n">
        <v>22</v>
      </c>
      <c r="F28" s="3" t="n">
        <v>22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99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7</v>
      </c>
      <c r="D31" s="3" t="n">
        <v>7</v>
      </c>
      <c r="E31" s="3" t="n">
        <v>7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102</v>
      </c>
      <c r="C32" s="3" t="n">
        <v>8.5</v>
      </c>
      <c r="D32" s="3" t="n">
        <v>8.3</v>
      </c>
      <c r="E32" s="3" t="n">
        <v>8</v>
      </c>
      <c r="F32" s="3" t="n">
        <v>7.8</v>
      </c>
      <c r="G32" s="3" t="n">
        <v>7.6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103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5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22</v>
      </c>
      <c r="D42" s="3" t="n">
        <v>22.5</v>
      </c>
      <c r="E42" s="3" t="n">
        <v>23</v>
      </c>
      <c r="F42" s="3" t="n">
        <v>23.3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99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7</v>
      </c>
      <c r="D45" s="3" t="n">
        <v>7</v>
      </c>
      <c r="E45" s="3" t="n">
        <v>7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102</v>
      </c>
      <c r="C46" s="3" t="n">
        <v>8.5</v>
      </c>
      <c r="D46" s="3" t="n">
        <v>8.3</v>
      </c>
      <c r="E46" s="3" t="n">
        <v>8</v>
      </c>
      <c r="F46" s="3" t="n">
        <v>7.8</v>
      </c>
      <c r="G46" s="3" t="n">
        <v>7.6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103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18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54326.3</v>
      </c>
      <c r="C6" s="0" t="n">
        <f aca="false">B6*(1+C5/100)</f>
        <v>55412.826</v>
      </c>
      <c r="D6" s="0" t="n">
        <f aca="false">C6*(1+D5/100)</f>
        <v>56244.01839</v>
      </c>
      <c r="E6" s="0" t="n">
        <f aca="false">D6*(1+E5/100)</f>
        <v>57087.67866585</v>
      </c>
      <c r="F6" s="0" t="n">
        <f aca="false">E6*(1+F5/100)</f>
        <v>57943.9938458377</v>
      </c>
      <c r="G6" s="0" t="n">
        <f aca="false">F6*(1+G5/100)</f>
        <v>58813.1537535253</v>
      </c>
      <c r="H6" s="0" t="n">
        <f aca="false">G6*(1+H5/100)</f>
        <v>59695.3510598282</v>
      </c>
      <c r="I6" s="0" t="n">
        <f aca="false">H6*(1+I5/100)</f>
        <v>60590.7813257256</v>
      </c>
      <c r="J6" s="0" t="n">
        <f aca="false">I6*(1+J5/100)</f>
        <v>61499.6430456115</v>
      </c>
      <c r="K6" s="0" t="n">
        <f aca="false">J6*(1+K5/100)</f>
        <v>62422.1376912956</v>
      </c>
      <c r="L6" s="0" t="n">
        <f aca="false">K6*(1+L5/100)</f>
        <v>63358.4697566651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21</v>
      </c>
      <c r="D7" s="4" t="n">
        <f aca="false">Assumptions!D14</f>
        <v>20.8</v>
      </c>
      <c r="E7" s="4" t="n">
        <f aca="false">Assumptions!E14</f>
        <v>20.5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11636.69346</v>
      </c>
      <c r="D8" s="0" t="n">
        <f aca="false">D6*D7/100</f>
        <v>11698.75582512</v>
      </c>
      <c r="E8" s="0" t="n">
        <f aca="false">E6*E7/100</f>
        <v>11702.9741264992</v>
      </c>
      <c r="F8" s="0" t="n">
        <f aca="false">F6*F7/100</f>
        <v>11878.5187383967</v>
      </c>
      <c r="G8" s="0" t="n">
        <f aca="false">G6*G7/100</f>
        <v>12056.6965194727</v>
      </c>
      <c r="H8" s="0" t="n">
        <f aca="false">H6*H7/100</f>
        <v>12237.5469672648</v>
      </c>
      <c r="I8" s="0" t="n">
        <f aca="false">I6*I7/100</f>
        <v>12421.1101717737</v>
      </c>
      <c r="J8" s="0" t="n">
        <f aca="false">J6*J7/100</f>
        <v>12607.4268243504</v>
      </c>
      <c r="K8" s="0" t="n">
        <f aca="false">K6*K7/100</f>
        <v>12796.5382267156</v>
      </c>
      <c r="L8" s="0" t="n">
        <f aca="false">L6*L7/100</f>
        <v>12988.4863001163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0.12</v>
      </c>
      <c r="D9" s="4" t="n">
        <f aca="false">Assumptions!D15</f>
        <v>0.12</v>
      </c>
      <c r="E9" s="4" t="n">
        <f aca="false">Assumptions!E15</f>
        <v>0.12</v>
      </c>
      <c r="F9" s="4" t="n">
        <f aca="false">Assumptions!F15</f>
        <v>0.12</v>
      </c>
      <c r="G9" s="4" t="n">
        <f aca="false">Assumptions!G15</f>
        <v>0.12</v>
      </c>
      <c r="H9" s="4" t="n">
        <f aca="false">Assumptions!H15</f>
        <v>0.12</v>
      </c>
      <c r="I9" s="4" t="n">
        <f aca="false">Assumptions!I15</f>
        <v>0.12</v>
      </c>
      <c r="J9" s="4" t="n">
        <f aca="false">Assumptions!J15</f>
        <v>0.12</v>
      </c>
      <c r="K9" s="4" t="n">
        <f aca="false">Assumptions!K15</f>
        <v>0.12</v>
      </c>
      <c r="L9" s="4" t="n">
        <f aca="false">Assumptions!L15</f>
        <v>0.12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-66.4953912</v>
      </c>
      <c r="D10" s="0" t="n">
        <f aca="false">-D6*D9/100</f>
        <v>-67.492822068</v>
      </c>
      <c r="E10" s="0" t="n">
        <f aca="false">-E6*E9/100</f>
        <v>-68.50521439902</v>
      </c>
      <c r="F10" s="0" t="n">
        <f aca="false">-F6*F9/100</f>
        <v>-69.5327926150053</v>
      </c>
      <c r="G10" s="0" t="n">
        <f aca="false">-G6*G9/100</f>
        <v>-70.5757845042304</v>
      </c>
      <c r="H10" s="0" t="n">
        <f aca="false">-H6*H9/100</f>
        <v>-71.6344212717938</v>
      </c>
      <c r="I10" s="0" t="n">
        <f aca="false">-I6*I9/100</f>
        <v>-72.7089375908707</v>
      </c>
      <c r="J10" s="0" t="n">
        <f aca="false">-J6*J9/100</f>
        <v>-73.7995716547338</v>
      </c>
      <c r="K10" s="0" t="n">
        <f aca="false">-K6*K9/100</f>
        <v>-74.9065652295547</v>
      </c>
      <c r="L10" s="0" t="n">
        <f aca="false">-L6*L9/100</f>
        <v>-76.0301637079981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11570.1980688</v>
      </c>
      <c r="D11" s="0" t="n">
        <f aca="false">D8+D10+D24</f>
        <v>11631.263003052</v>
      </c>
      <c r="E11" s="0" t="n">
        <f aca="false">E8+E10+E24</f>
        <v>11634.4689121002</v>
      </c>
      <c r="F11" s="0" t="n">
        <f aca="false">F8+F10+F24</f>
        <v>11808.9859457817</v>
      </c>
      <c r="G11" s="0" t="n">
        <f aca="false">G8+G10+G24</f>
        <v>11986.1207349685</v>
      </c>
      <c r="H11" s="0" t="n">
        <f aca="false">H8+H10+H24</f>
        <v>12165.912545993</v>
      </c>
      <c r="I11" s="0" t="n">
        <f aca="false">I8+I10+I24</f>
        <v>12348.4012341829</v>
      </c>
      <c r="J11" s="0" t="n">
        <f aca="false">J8+J10+J24</f>
        <v>12533.6272526956</v>
      </c>
      <c r="K11" s="0" t="n">
        <f aca="false">K8+K10+K24</f>
        <v>12721.6316614861</v>
      </c>
      <c r="L11" s="0" t="n">
        <f aca="false">L8+L10+L24</f>
        <v>12912.4561364083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-3878.89782</v>
      </c>
      <c r="D12" s="4" t="n">
        <f aca="false">-D6*Assumptions!D17/100</f>
        <v>-3937.0812873</v>
      </c>
      <c r="E12" s="4" t="n">
        <f aca="false">-E6*Assumptions!E17/100</f>
        <v>-3996.1375066095</v>
      </c>
      <c r="F12" s="4" t="n">
        <f aca="false">-F6*Assumptions!F17/100</f>
        <v>-4056.07956920864</v>
      </c>
      <c r="G12" s="4" t="n">
        <f aca="false">-G6*Assumptions!G17/100</f>
        <v>-4116.92076274677</v>
      </c>
      <c r="H12" s="4" t="n">
        <f aca="false">-H6*Assumptions!H17/100</f>
        <v>-4178.67457418797</v>
      </c>
      <c r="I12" s="4" t="n">
        <f aca="false">-I6*Assumptions!I17/100</f>
        <v>-4241.35469280079</v>
      </c>
      <c r="J12" s="4" t="n">
        <f aca="false">-J6*Assumptions!J17/100</f>
        <v>-4304.9750131928</v>
      </c>
      <c r="K12" s="4" t="n">
        <f aca="false">-K6*Assumptions!K17/100</f>
        <v>-4369.54963839069</v>
      </c>
      <c r="L12" s="4" t="n">
        <f aca="false">-L6*Assumptions!L17/100</f>
        <v>-4435.09288296655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7691.3002488</v>
      </c>
      <c r="D13" s="0" t="n">
        <f aca="false">D11+D12</f>
        <v>7694.181715752</v>
      </c>
      <c r="E13" s="0" t="n">
        <f aca="false">E11+E12</f>
        <v>7638.33140549073</v>
      </c>
      <c r="F13" s="0" t="n">
        <f aca="false">F11+F12</f>
        <v>7752.90637657309</v>
      </c>
      <c r="G13" s="0" t="n">
        <f aca="false">G11+G12</f>
        <v>7869.19997222169</v>
      </c>
      <c r="H13" s="0" t="n">
        <f aca="false">H11+H12</f>
        <v>7987.23797180501</v>
      </c>
      <c r="I13" s="0" t="n">
        <f aca="false">I11+I12</f>
        <v>8107.04654138208</v>
      </c>
      <c r="J13" s="0" t="n">
        <f aca="false">J11+J12</f>
        <v>8228.65223950282</v>
      </c>
      <c r="K13" s="0" t="n">
        <f aca="false">K11+K12</f>
        <v>8352.08202309536</v>
      </c>
      <c r="L13" s="0" t="n">
        <f aca="false">L11+L12</f>
        <v>8477.36325344179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5691.562184112</v>
      </c>
      <c r="D15" s="0" t="n">
        <f aca="false">D13-MAX(0,D13)*D14/100</f>
        <v>5693.69446965648</v>
      </c>
      <c r="E15" s="0" t="n">
        <f aca="false">E13-MAX(0,E13)*E14/100</f>
        <v>5652.36524006314</v>
      </c>
      <c r="F15" s="0" t="n">
        <f aca="false">F13-MAX(0,F13)*F14/100</f>
        <v>5737.15071866409</v>
      </c>
      <c r="G15" s="0" t="n">
        <f aca="false">G13-MAX(0,G13)*G14/100</f>
        <v>5823.20797944405</v>
      </c>
      <c r="H15" s="0" t="n">
        <f aca="false">H13-MAX(0,H13)*H14/100</f>
        <v>5910.55609913571</v>
      </c>
      <c r="I15" s="0" t="n">
        <f aca="false">I13-MAX(0,I13)*I14/100</f>
        <v>5999.21444062274</v>
      </c>
      <c r="J15" s="0" t="n">
        <f aca="false">J13-MAX(0,J13)*J14/100</f>
        <v>6089.20265723208</v>
      </c>
      <c r="K15" s="0" t="n">
        <f aca="false">K13-MAX(0,K13)*K14/100</f>
        <v>6180.54069709056</v>
      </c>
      <c r="L15" s="0" t="n">
        <f aca="false">L13-MAX(0,L13)*L14/100</f>
        <v>6273.24880754692</v>
      </c>
    </row>
    <row r="16" customFormat="false" ht="15" hidden="false" customHeight="false" outlineLevel="0" collapsed="false">
      <c r="A16" s="0" t="s">
        <v>119</v>
      </c>
      <c r="C16" s="0" t="n">
        <f aca="false">-C12</f>
        <v>3878.89782</v>
      </c>
      <c r="D16" s="0" t="n">
        <f aca="false">-D12</f>
        <v>3937.0812873</v>
      </c>
      <c r="E16" s="0" t="n">
        <f aca="false">-E12</f>
        <v>3996.1375066095</v>
      </c>
      <c r="F16" s="0" t="n">
        <f aca="false">-F12</f>
        <v>4056.07956920864</v>
      </c>
      <c r="G16" s="0" t="n">
        <f aca="false">-G12</f>
        <v>4116.92076274677</v>
      </c>
      <c r="H16" s="0" t="n">
        <f aca="false">-H12</f>
        <v>4178.67457418797</v>
      </c>
      <c r="I16" s="0" t="n">
        <f aca="false">-I12</f>
        <v>4241.35469280079</v>
      </c>
      <c r="J16" s="0" t="n">
        <f aca="false">-J12</f>
        <v>4304.9750131928</v>
      </c>
      <c r="K16" s="0" t="n">
        <f aca="false">-K12</f>
        <v>4369.54963839069</v>
      </c>
      <c r="L16" s="0" t="n">
        <f aca="false">-L12</f>
        <v>4435.09288296655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-4987.15434</v>
      </c>
      <c r="D17" s="4" t="n">
        <f aca="false">-D6*Assumptions!D18/100</f>
        <v>-5061.9616551</v>
      </c>
      <c r="E17" s="4" t="n">
        <f aca="false">-E6*Assumptions!E18/100</f>
        <v>-5023.7157225948</v>
      </c>
      <c r="F17" s="4" t="n">
        <f aca="false">-F6*Assumptions!F18/100</f>
        <v>-4925.23947689621</v>
      </c>
      <c r="G17" s="4" t="n">
        <f aca="false">-G6*Assumptions!G18/100</f>
        <v>-4999.11806904965</v>
      </c>
      <c r="H17" s="4" t="n">
        <f aca="false">-H6*Assumptions!H18/100</f>
        <v>-4954.71413796574</v>
      </c>
      <c r="I17" s="4" t="n">
        <f aca="false">-I6*Assumptions!I18/100</f>
        <v>-5029.03485003522</v>
      </c>
      <c r="J17" s="4" t="n">
        <f aca="false">-J6*Assumptions!J18/100</f>
        <v>-5104.47037278575</v>
      </c>
      <c r="K17" s="4" t="n">
        <f aca="false">-K6*Assumptions!K18/100</f>
        <v>-5181.03742837754</v>
      </c>
      <c r="L17" s="4" t="n">
        <f aca="false">-L6*Assumptions!L18/100</f>
        <v>-5258.7529898032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4583.305664112</v>
      </c>
      <c r="D19" s="0" t="n">
        <f aca="false">D15+D16+D17+D18</f>
        <v>4568.81410185648</v>
      </c>
      <c r="E19" s="0" t="n">
        <f aca="false">E15+E16+E17+E18</f>
        <v>4624.78702407784</v>
      </c>
      <c r="F19" s="0" t="n">
        <f aca="false">F15+F16+F17+F18</f>
        <v>4867.99081097652</v>
      </c>
      <c r="G19" s="0" t="n">
        <f aca="false">G15+G16+G17+G18</f>
        <v>4941.01067314117</v>
      </c>
      <c r="H19" s="0" t="n">
        <f aca="false">H15+H16+H17+H18</f>
        <v>5134.51653535794</v>
      </c>
      <c r="I19" s="0" t="n">
        <f aca="false">I15+I16+I17+I18</f>
        <v>5211.53428338831</v>
      </c>
      <c r="J19" s="0" t="n">
        <f aca="false">J15+J16+J17+J18</f>
        <v>5289.70729763913</v>
      </c>
      <c r="K19" s="0" t="n">
        <f aca="false">K15+K16+K17+K18</f>
        <v>5369.05290710372</v>
      </c>
      <c r="L19" s="0" t="n">
        <f aca="false">L15+L16+L17+L18</f>
        <v>5449.58870071028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4283.46323748785</v>
      </c>
      <c r="D21" s="0" t="n">
        <f aca="false">D19*D20</f>
        <v>3990.57917884224</v>
      </c>
      <c r="E21" s="0" t="n">
        <f aca="false">E19*E20</f>
        <v>3775.2038288271</v>
      </c>
      <c r="F21" s="0" t="n">
        <f aca="false">F19*F20</f>
        <v>3713.76688198533</v>
      </c>
      <c r="G21" s="0" t="n">
        <f aca="false">G19*G20</f>
        <v>3522.87232263095</v>
      </c>
      <c r="H21" s="0" t="n">
        <f aca="false">H19*H20</f>
        <v>3421.34516639306</v>
      </c>
      <c r="I21" s="0" t="n">
        <f aca="false">I19*I20</f>
        <v>3245.48162980277</v>
      </c>
      <c r="J21" s="0" t="n">
        <f aca="false">J19*J20</f>
        <v>3078.6578077101</v>
      </c>
      <c r="K21" s="0" t="n">
        <f aca="false">K19*K20</f>
        <v>2920.40904189323</v>
      </c>
      <c r="L21" s="0" t="n">
        <f aca="false">L19*L20</f>
        <v>2770.29455843142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34722.0736540041</v>
      </c>
    </row>
    <row r="31" customFormat="false" ht="15" hidden="false" customHeight="false" outlineLevel="0" collapsed="false">
      <c r="A31" s="0" t="s">
        <v>128</v>
      </c>
      <c r="B31" s="0" t="n">
        <f aca="false">L19</f>
        <v>5449.58870071028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100569.682385835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98092.596612785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98092.596612785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49865.3020517656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84587.3757057697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56688.8757057697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3.03801021688627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-0.574210200856864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495.741147265904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713.265965461368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3.10280204623596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40972.8335645995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0.360759751965594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4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54326.3</v>
      </c>
      <c r="C6" s="0" t="n">
        <f aca="false">B6*(1+C5/100)</f>
        <v>56499.352</v>
      </c>
      <c r="D6" s="0" t="n">
        <f aca="false">C6*(1+D5/100)</f>
        <v>58194.33256</v>
      </c>
      <c r="E6" s="0" t="n">
        <f aca="false">D6*(1+E5/100)</f>
        <v>59940.1625368</v>
      </c>
      <c r="F6" s="0" t="n">
        <f aca="false">E6*(1+F5/100)</f>
        <v>61738.367412904</v>
      </c>
      <c r="G6" s="0" t="n">
        <f aca="false">F6*(1+G5/100)</f>
        <v>63590.5184352911</v>
      </c>
      <c r="H6" s="0" t="n">
        <f aca="false">G6*(1+H5/100)</f>
        <v>65180.2813961734</v>
      </c>
      <c r="I6" s="0" t="n">
        <f aca="false">H6*(1+I5/100)</f>
        <v>66809.7884310777</v>
      </c>
      <c r="J6" s="0" t="n">
        <f aca="false">I6*(1+J5/100)</f>
        <v>68480.0331418547</v>
      </c>
      <c r="K6" s="0" t="n">
        <f aca="false">J6*(1+K5/100)</f>
        <v>69849.6338046918</v>
      </c>
      <c r="L6" s="0" t="n">
        <f aca="false">K6*(1+L5/100)</f>
        <v>71246.6264807856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21.5</v>
      </c>
      <c r="D7" s="4" t="n">
        <f aca="false">Assumptions!D28</f>
        <v>21.8</v>
      </c>
      <c r="E7" s="4" t="n">
        <f aca="false">Assumptions!E28</f>
        <v>22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12147.36068</v>
      </c>
      <c r="D8" s="0" t="n">
        <f aca="false">D6*D7/100</f>
        <v>12686.36449808</v>
      </c>
      <c r="E8" s="0" t="n">
        <f aca="false">E6*E7/100</f>
        <v>13186.835758096</v>
      </c>
      <c r="F8" s="0" t="n">
        <f aca="false">F6*F7/100</f>
        <v>13582.4408308389</v>
      </c>
      <c r="G8" s="0" t="n">
        <f aca="false">G6*G7/100</f>
        <v>13989.9140557641</v>
      </c>
      <c r="H8" s="0" t="n">
        <f aca="false">H6*H7/100</f>
        <v>14339.6619071582</v>
      </c>
      <c r="I8" s="0" t="n">
        <f aca="false">I6*I7/100</f>
        <v>14698.1534548371</v>
      </c>
      <c r="J8" s="0" t="n">
        <f aca="false">J6*J7/100</f>
        <v>15065.607291208</v>
      </c>
      <c r="K8" s="0" t="n">
        <f aca="false">K6*K7/100</f>
        <v>15366.9194370322</v>
      </c>
      <c r="L8" s="0" t="n">
        <f aca="false">L6*L7/100</f>
        <v>15674.2578257728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-67.7992224</v>
      </c>
      <c r="D10" s="0" t="n">
        <f aca="false">-D6*D9/100</f>
        <v>-69.833199072</v>
      </c>
      <c r="E10" s="0" t="n">
        <f aca="false">-E6*E9/100</f>
        <v>-71.92819504416</v>
      </c>
      <c r="F10" s="0" t="n">
        <f aca="false">-F6*F9/100</f>
        <v>-74.0860408954848</v>
      </c>
      <c r="G10" s="0" t="n">
        <f aca="false">-G6*G9/100</f>
        <v>-76.3086221223494</v>
      </c>
      <c r="H10" s="0" t="n">
        <f aca="false">-H6*H9/100</f>
        <v>-78.2163376754081</v>
      </c>
      <c r="I10" s="0" t="n">
        <f aca="false">-I6*I9/100</f>
        <v>-80.1717461172933</v>
      </c>
      <c r="J10" s="0" t="n">
        <f aca="false">-J6*J9/100</f>
        <v>-82.1760397702256</v>
      </c>
      <c r="K10" s="0" t="n">
        <f aca="false">-K6*K9/100</f>
        <v>-83.8195605656301</v>
      </c>
      <c r="L10" s="0" t="n">
        <f aca="false">-L6*L9/100</f>
        <v>-85.4959517769427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12079.5614576</v>
      </c>
      <c r="D11" s="0" t="n">
        <f aca="false">D8+D10+D24</f>
        <v>12616.531299008</v>
      </c>
      <c r="E11" s="0" t="n">
        <f aca="false">E8+E10+E24</f>
        <v>13114.9075630518</v>
      </c>
      <c r="F11" s="0" t="n">
        <f aca="false">F8+F10+F24</f>
        <v>13508.3547899434</v>
      </c>
      <c r="G11" s="0" t="n">
        <f aca="false">G8+G10+G24</f>
        <v>13913.6054336417</v>
      </c>
      <c r="H11" s="0" t="n">
        <f aca="false">H8+H10+H24</f>
        <v>14261.4455694827</v>
      </c>
      <c r="I11" s="0" t="n">
        <f aca="false">I8+I10+I24</f>
        <v>14617.9817087198</v>
      </c>
      <c r="J11" s="0" t="n">
        <f aca="false">J8+J10+J24</f>
        <v>14983.4312514378</v>
      </c>
      <c r="K11" s="0" t="n">
        <f aca="false">K8+K10+K24</f>
        <v>15283.0998764666</v>
      </c>
      <c r="L11" s="0" t="n">
        <f aca="false">L8+L10+L24</f>
        <v>15588.7618739959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-3954.95464</v>
      </c>
      <c r="D12" s="4" t="n">
        <f aca="false">-D6*Assumptions!D31/100</f>
        <v>-4073.6032792</v>
      </c>
      <c r="E12" s="4" t="n">
        <f aca="false">-E6*Assumptions!E31/100</f>
        <v>-4195.811377576</v>
      </c>
      <c r="F12" s="4" t="n">
        <f aca="false">-F6*Assumptions!F31/100</f>
        <v>-4321.68571890328</v>
      </c>
      <c r="G12" s="4" t="n">
        <f aca="false">-G6*Assumptions!G31/100</f>
        <v>-4451.33629047038</v>
      </c>
      <c r="H12" s="4" t="n">
        <f aca="false">-H6*Assumptions!H31/100</f>
        <v>-4562.61969773214</v>
      </c>
      <c r="I12" s="4" t="n">
        <f aca="false">-I6*Assumptions!I31/100</f>
        <v>-4676.68519017544</v>
      </c>
      <c r="J12" s="4" t="n">
        <f aca="false">-J6*Assumptions!J31/100</f>
        <v>-4793.60231992983</v>
      </c>
      <c r="K12" s="4" t="n">
        <f aca="false">-K6*Assumptions!K31/100</f>
        <v>-4889.47436632842</v>
      </c>
      <c r="L12" s="4" t="n">
        <f aca="false">-L6*Assumptions!L31/100</f>
        <v>-4987.26385365499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8124.6068176</v>
      </c>
      <c r="D13" s="0" t="n">
        <f aca="false">D11+D12</f>
        <v>8542.928019808</v>
      </c>
      <c r="E13" s="0" t="n">
        <f aca="false">E11+E12</f>
        <v>8919.09618547584</v>
      </c>
      <c r="F13" s="0" t="n">
        <f aca="false">F11+F12</f>
        <v>9186.66907104012</v>
      </c>
      <c r="G13" s="0" t="n">
        <f aca="false">G11+G12</f>
        <v>9462.26914317132</v>
      </c>
      <c r="H13" s="0" t="n">
        <f aca="false">H11+H12</f>
        <v>9698.8258717506</v>
      </c>
      <c r="I13" s="0" t="n">
        <f aca="false">I11+I12</f>
        <v>9941.29651854437</v>
      </c>
      <c r="J13" s="0" t="n">
        <f aca="false">J11+J12</f>
        <v>10189.828931508</v>
      </c>
      <c r="K13" s="0" t="n">
        <f aca="false">K11+K12</f>
        <v>10393.6255101381</v>
      </c>
      <c r="L13" s="0" t="n">
        <f aca="false">L11+L12</f>
        <v>10601.4980203409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6012.209045024</v>
      </c>
      <c r="D15" s="0" t="n">
        <f aca="false">D13-MAX(0,D13)*D14/100</f>
        <v>6321.76673465792</v>
      </c>
      <c r="E15" s="0" t="n">
        <f aca="false">E13-MAX(0,E13)*E14/100</f>
        <v>6600.13117725212</v>
      </c>
      <c r="F15" s="0" t="n">
        <f aca="false">F13-MAX(0,F13)*F14/100</f>
        <v>6798.13511256969</v>
      </c>
      <c r="G15" s="0" t="n">
        <f aca="false">G13-MAX(0,G13)*G14/100</f>
        <v>7002.07916594678</v>
      </c>
      <c r="H15" s="0" t="n">
        <f aca="false">H13-MAX(0,H13)*H14/100</f>
        <v>7177.13114509545</v>
      </c>
      <c r="I15" s="0" t="n">
        <f aca="false">I13-MAX(0,I13)*I14/100</f>
        <v>7356.55942372283</v>
      </c>
      <c r="J15" s="0" t="n">
        <f aca="false">J13-MAX(0,J13)*J14/100</f>
        <v>7540.4734093159</v>
      </c>
      <c r="K15" s="0" t="n">
        <f aca="false">K13-MAX(0,K13)*K14/100</f>
        <v>7691.28287750222</v>
      </c>
      <c r="L15" s="0" t="n">
        <f aca="false">L13-MAX(0,L13)*L14/100</f>
        <v>7845.10853505227</v>
      </c>
    </row>
    <row r="16" customFormat="false" ht="15" hidden="false" customHeight="false" outlineLevel="0" collapsed="false">
      <c r="A16" s="0" t="s">
        <v>119</v>
      </c>
      <c r="C16" s="0" t="n">
        <f aca="false">-C12</f>
        <v>3954.95464</v>
      </c>
      <c r="D16" s="0" t="n">
        <f aca="false">-D12</f>
        <v>4073.6032792</v>
      </c>
      <c r="E16" s="0" t="n">
        <f aca="false">-E12</f>
        <v>4195.811377576</v>
      </c>
      <c r="F16" s="0" t="n">
        <f aca="false">-F12</f>
        <v>4321.68571890328</v>
      </c>
      <c r="G16" s="0" t="n">
        <f aca="false">-G12</f>
        <v>4451.33629047038</v>
      </c>
      <c r="H16" s="0" t="n">
        <f aca="false">-H12</f>
        <v>4562.61969773214</v>
      </c>
      <c r="I16" s="0" t="n">
        <f aca="false">-I12</f>
        <v>4676.68519017544</v>
      </c>
      <c r="J16" s="0" t="n">
        <f aca="false">-J12</f>
        <v>4793.60231992983</v>
      </c>
      <c r="K16" s="0" t="n">
        <f aca="false">-K12</f>
        <v>4889.47436632842</v>
      </c>
      <c r="L16" s="0" t="n">
        <f aca="false">-L12</f>
        <v>4987.26385365499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-4802.44492</v>
      </c>
      <c r="D17" s="4" t="n">
        <f aca="false">-D6*Assumptions!D32/100</f>
        <v>-4830.12960248</v>
      </c>
      <c r="E17" s="4" t="n">
        <f aca="false">-E6*Assumptions!E32/100</f>
        <v>-4795.213002944</v>
      </c>
      <c r="F17" s="4" t="n">
        <f aca="false">-F6*Assumptions!F32/100</f>
        <v>-4815.59265820651</v>
      </c>
      <c r="G17" s="4" t="n">
        <f aca="false">-G6*Assumptions!G32/100</f>
        <v>-4832.87940108213</v>
      </c>
      <c r="H17" s="4" t="n">
        <f aca="false">-H6*Assumptions!H32/100</f>
        <v>-4888.52110471301</v>
      </c>
      <c r="I17" s="4" t="n">
        <f aca="false">-I6*Assumptions!I32/100</f>
        <v>-5010.73413233083</v>
      </c>
      <c r="J17" s="4" t="n">
        <f aca="false">-J6*Assumptions!J32/100</f>
        <v>-5136.0024856391</v>
      </c>
      <c r="K17" s="4" t="n">
        <f aca="false">-K6*Assumptions!K32/100</f>
        <v>-5238.72253535188</v>
      </c>
      <c r="L17" s="4" t="n">
        <f aca="false">-L6*Assumptions!L32/100</f>
        <v>-5343.49698605892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5164.718765024</v>
      </c>
      <c r="D19" s="0" t="n">
        <f aca="false">D15+D16+D17+D18</f>
        <v>5565.24041137792</v>
      </c>
      <c r="E19" s="0" t="n">
        <f aca="false">E15+E16+E17+E18</f>
        <v>6000.72955188413</v>
      </c>
      <c r="F19" s="0" t="n">
        <f aca="false">F15+F16+F17+F18</f>
        <v>6304.22817326646</v>
      </c>
      <c r="G19" s="0" t="n">
        <f aca="false">G15+G16+G17+G18</f>
        <v>6620.53605533503</v>
      </c>
      <c r="H19" s="0" t="n">
        <f aca="false">H15+H16+H17+H18</f>
        <v>6851.22973811458</v>
      </c>
      <c r="I19" s="0" t="n">
        <f aca="false">I15+I16+I17+I18</f>
        <v>7022.51048156744</v>
      </c>
      <c r="J19" s="0" t="n">
        <f aca="false">J15+J16+J17+J18</f>
        <v>7198.07324360663</v>
      </c>
      <c r="K19" s="0" t="n">
        <f aca="false">K15+K16+K17+K18</f>
        <v>7342.03470847876</v>
      </c>
      <c r="L19" s="0" t="n">
        <f aca="false">L15+L16+L17+L18</f>
        <v>7488.87540264834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4826.83996731215</v>
      </c>
      <c r="D21" s="0" t="n">
        <f aca="false">D19*D20</f>
        <v>4860.89650744862</v>
      </c>
      <c r="E21" s="0" t="n">
        <f aca="false">E19*E20</f>
        <v>4898.3827929992</v>
      </c>
      <c r="F21" s="0" t="n">
        <f aca="false">F19*F20</f>
        <v>4809.46548904009</v>
      </c>
      <c r="G21" s="0" t="n">
        <f aca="false">G19*G20</f>
        <v>4720.3507082272</v>
      </c>
      <c r="H21" s="0" t="n">
        <f aca="false">H19*H20</f>
        <v>4565.26365957309</v>
      </c>
      <c r="I21" s="0" t="n">
        <f aca="false">I19*I20</f>
        <v>4373.26658977796</v>
      </c>
      <c r="J21" s="0" t="n">
        <f aca="false">J19*J20</f>
        <v>4189.34416310506</v>
      </c>
      <c r="K21" s="0" t="n">
        <f aca="false">K19*K20</f>
        <v>3993.58041716557</v>
      </c>
      <c r="L21" s="0" t="n">
        <f aca="false">L19*L20</f>
        <v>3806.96450982138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45044.3548044703</v>
      </c>
    </row>
    <row r="31" customFormat="false" ht="15" hidden="false" customHeight="false" outlineLevel="0" collapsed="false">
      <c r="A31" s="0" t="s">
        <v>128</v>
      </c>
      <c r="B31" s="0" t="n">
        <f aca="false">L19</f>
        <v>7488.87540264834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152773.058214026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134799.75724767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134799.75724767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68525.3611767849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113569.715981255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85671.2159812552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4.59120111668812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-0.356524020085757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532.927571327753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886.620853950333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4.66727605318436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58758.8685438562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0.967844449517752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54326.3</v>
      </c>
      <c r="C6" s="0" t="n">
        <f aca="false">B6*(1+C5/100)</f>
        <v>57042.615</v>
      </c>
      <c r="D6" s="0" t="n">
        <f aca="false">C6*(1+D5/100)</f>
        <v>59609.532675</v>
      </c>
      <c r="E6" s="0" t="n">
        <f aca="false">D6*(1+E5/100)</f>
        <v>62291.961645375</v>
      </c>
      <c r="F6" s="0" t="n">
        <f aca="false">E6*(1+F5/100)</f>
        <v>64783.64011119</v>
      </c>
      <c r="G6" s="0" t="n">
        <f aca="false">F6*(1+G5/100)</f>
        <v>67374.9857156376</v>
      </c>
      <c r="H6" s="0" t="n">
        <f aca="false">G6*(1+H5/100)</f>
        <v>69733.1102156849</v>
      </c>
      <c r="I6" s="0" t="n">
        <f aca="false">H6*(1+I5/100)</f>
        <v>72173.7690732339</v>
      </c>
      <c r="J6" s="0" t="n">
        <f aca="false">I6*(1+J5/100)</f>
        <v>74338.9821454309</v>
      </c>
      <c r="K6" s="0" t="n">
        <f aca="false">J6*(1+K5/100)</f>
        <v>76569.1516097938</v>
      </c>
      <c r="L6" s="0" t="n">
        <f aca="false">K6*(1+L5/100)</f>
        <v>78866.2261580877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22</v>
      </c>
      <c r="D7" s="4" t="n">
        <f aca="false">Assumptions!D42</f>
        <v>22.5</v>
      </c>
      <c r="E7" s="4" t="n">
        <f aca="false">Assumptions!E42</f>
        <v>23</v>
      </c>
      <c r="F7" s="4" t="n">
        <f aca="false">Assumptions!F42</f>
        <v>23.3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12549.3753</v>
      </c>
      <c r="D8" s="0" t="n">
        <f aca="false">D6*D7/100</f>
        <v>13412.144851875</v>
      </c>
      <c r="E8" s="0" t="n">
        <f aca="false">E6*E7/100</f>
        <v>14327.1511784362</v>
      </c>
      <c r="F8" s="0" t="n">
        <f aca="false">F6*F7/100</f>
        <v>15094.5881459073</v>
      </c>
      <c r="G8" s="0" t="n">
        <f aca="false">G6*G7/100</f>
        <v>15833.1216431748</v>
      </c>
      <c r="H8" s="0" t="n">
        <f aca="false">H6*H7/100</f>
        <v>16387.280900686</v>
      </c>
      <c r="I8" s="0" t="n">
        <f aca="false">I6*I7/100</f>
        <v>16960.83573221</v>
      </c>
      <c r="J8" s="0" t="n">
        <f aca="false">J6*J7/100</f>
        <v>17469.6608041763</v>
      </c>
      <c r="K8" s="0" t="n">
        <f aca="false">K6*K7/100</f>
        <v>17993.7506283016</v>
      </c>
      <c r="L8" s="0" t="n">
        <f aca="false">L6*L7/100</f>
        <v>18533.5631471506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-68.451138</v>
      </c>
      <c r="D10" s="0" t="n">
        <f aca="false">-D6*D9/100</f>
        <v>-71.53143921</v>
      </c>
      <c r="E10" s="0" t="n">
        <f aca="false">-E6*E9/100</f>
        <v>-74.75035397445</v>
      </c>
      <c r="F10" s="0" t="n">
        <f aca="false">-F6*F9/100</f>
        <v>-77.740368133428</v>
      </c>
      <c r="G10" s="0" t="n">
        <f aca="false">-G6*G9/100</f>
        <v>-80.8499828587651</v>
      </c>
      <c r="H10" s="0" t="n">
        <f aca="false">-H6*H9/100</f>
        <v>-83.6797322588219</v>
      </c>
      <c r="I10" s="0" t="n">
        <f aca="false">-I6*I9/100</f>
        <v>-86.6085228878807</v>
      </c>
      <c r="J10" s="0" t="n">
        <f aca="false">-J6*J9/100</f>
        <v>-89.2067785745171</v>
      </c>
      <c r="K10" s="0" t="n">
        <f aca="false">-K6*K9/100</f>
        <v>-91.8829819317526</v>
      </c>
      <c r="L10" s="0" t="n">
        <f aca="false">-L6*L9/100</f>
        <v>-94.6394713897052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12480.924162</v>
      </c>
      <c r="D11" s="0" t="n">
        <f aca="false">D8+D10+D24</f>
        <v>13340.613412665</v>
      </c>
      <c r="E11" s="0" t="n">
        <f aca="false">E8+E10+E24</f>
        <v>14252.4008244618</v>
      </c>
      <c r="F11" s="0" t="n">
        <f aca="false">F8+F10+F24</f>
        <v>15016.8477777738</v>
      </c>
      <c r="G11" s="0" t="n">
        <f aca="false">G8+G10+G24</f>
        <v>15752.2716603161</v>
      </c>
      <c r="H11" s="0" t="n">
        <f aca="false">H8+H10+H24</f>
        <v>16303.6011684271</v>
      </c>
      <c r="I11" s="0" t="n">
        <f aca="false">I8+I10+I24</f>
        <v>16874.2272093221</v>
      </c>
      <c r="J11" s="0" t="n">
        <f aca="false">J8+J10+J24</f>
        <v>17380.4540256017</v>
      </c>
      <c r="K11" s="0" t="n">
        <f aca="false">K8+K10+K24</f>
        <v>17901.8676463698</v>
      </c>
      <c r="L11" s="0" t="n">
        <f aca="false">L8+L10+L24</f>
        <v>18438.9236757609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-3992.98305</v>
      </c>
      <c r="D12" s="4" t="n">
        <f aca="false">-D6*Assumptions!D45/100</f>
        <v>-4172.66728725</v>
      </c>
      <c r="E12" s="4" t="n">
        <f aca="false">-E6*Assumptions!E45/100</f>
        <v>-4360.43731517625</v>
      </c>
      <c r="F12" s="4" t="n">
        <f aca="false">-F6*Assumptions!F45/100</f>
        <v>-4534.8548077833</v>
      </c>
      <c r="G12" s="4" t="n">
        <f aca="false">-G6*Assumptions!G45/100</f>
        <v>-4716.24900009463</v>
      </c>
      <c r="H12" s="4" t="n">
        <f aca="false">-H6*Assumptions!H45/100</f>
        <v>-4881.31771509794</v>
      </c>
      <c r="I12" s="4" t="n">
        <f aca="false">-I6*Assumptions!I45/100</f>
        <v>-5052.16383512637</v>
      </c>
      <c r="J12" s="4" t="n">
        <f aca="false">-J6*Assumptions!J45/100</f>
        <v>-5203.72875018016</v>
      </c>
      <c r="K12" s="4" t="n">
        <f aca="false">-K6*Assumptions!K45/100</f>
        <v>-5359.84061268557</v>
      </c>
      <c r="L12" s="4" t="n">
        <f aca="false">-L6*Assumptions!L45/100</f>
        <v>-5520.63583106614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8487.941112</v>
      </c>
      <c r="D13" s="0" t="n">
        <f aca="false">D11+D12</f>
        <v>9167.946125415</v>
      </c>
      <c r="E13" s="0" t="n">
        <f aca="false">E11+E12</f>
        <v>9891.96350928555</v>
      </c>
      <c r="F13" s="0" t="n">
        <f aca="false">F11+F12</f>
        <v>10481.9929699905</v>
      </c>
      <c r="G13" s="0" t="n">
        <f aca="false">G11+G12</f>
        <v>11036.0226602214</v>
      </c>
      <c r="H13" s="0" t="n">
        <f aca="false">H11+H12</f>
        <v>11422.2834533292</v>
      </c>
      <c r="I13" s="0" t="n">
        <f aca="false">I11+I12</f>
        <v>11822.0633741957</v>
      </c>
      <c r="J13" s="0" t="n">
        <f aca="false">J11+J12</f>
        <v>12176.7252754216</v>
      </c>
      <c r="K13" s="0" t="n">
        <f aca="false">K11+K12</f>
        <v>12542.0270336842</v>
      </c>
      <c r="L13" s="0" t="n">
        <f aca="false">L11+L12</f>
        <v>12918.2878446948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6281.07642288</v>
      </c>
      <c r="D15" s="0" t="n">
        <f aca="false">D13-MAX(0,D13)*D14/100</f>
        <v>6784.2801328071</v>
      </c>
      <c r="E15" s="0" t="n">
        <f aca="false">E13-MAX(0,E13)*E14/100</f>
        <v>7320.05299687131</v>
      </c>
      <c r="F15" s="0" t="n">
        <f aca="false">F13-MAX(0,F13)*F14/100</f>
        <v>7756.674797793</v>
      </c>
      <c r="G15" s="0" t="n">
        <f aca="false">G13-MAX(0,G13)*G14/100</f>
        <v>8166.65676856387</v>
      </c>
      <c r="H15" s="0" t="n">
        <f aca="false">H13-MAX(0,H13)*H14/100</f>
        <v>8452.4897554636</v>
      </c>
      <c r="I15" s="0" t="n">
        <f aca="false">I13-MAX(0,I13)*I14/100</f>
        <v>8748.32689690483</v>
      </c>
      <c r="J15" s="0" t="n">
        <f aca="false">J13-MAX(0,J13)*J14/100</f>
        <v>9010.77670381197</v>
      </c>
      <c r="K15" s="0" t="n">
        <f aca="false">K13-MAX(0,K13)*K14/100</f>
        <v>9281.10000492633</v>
      </c>
      <c r="L15" s="0" t="n">
        <f aca="false">L13-MAX(0,L13)*L14/100</f>
        <v>9559.53300507412</v>
      </c>
    </row>
    <row r="16" customFormat="false" ht="15" hidden="false" customHeight="false" outlineLevel="0" collapsed="false">
      <c r="A16" s="0" t="s">
        <v>119</v>
      </c>
      <c r="C16" s="0" t="n">
        <f aca="false">-C12</f>
        <v>3992.98305</v>
      </c>
      <c r="D16" s="0" t="n">
        <f aca="false">-D12</f>
        <v>4172.66728725</v>
      </c>
      <c r="E16" s="0" t="n">
        <f aca="false">-E12</f>
        <v>4360.43731517625</v>
      </c>
      <c r="F16" s="0" t="n">
        <f aca="false">-F12</f>
        <v>4534.8548077833</v>
      </c>
      <c r="G16" s="0" t="n">
        <f aca="false">-G12</f>
        <v>4716.24900009463</v>
      </c>
      <c r="H16" s="0" t="n">
        <f aca="false">-H12</f>
        <v>4881.31771509794</v>
      </c>
      <c r="I16" s="0" t="n">
        <f aca="false">-I12</f>
        <v>5052.16383512637</v>
      </c>
      <c r="J16" s="0" t="n">
        <f aca="false">-J12</f>
        <v>5203.72875018016</v>
      </c>
      <c r="K16" s="0" t="n">
        <f aca="false">-K12</f>
        <v>5359.84061268557</v>
      </c>
      <c r="L16" s="0" t="n">
        <f aca="false">-L12</f>
        <v>5520.63583106614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-4848.622275</v>
      </c>
      <c r="D17" s="4" t="n">
        <f aca="false">-D6*Assumptions!D46/100</f>
        <v>-4947.591212025</v>
      </c>
      <c r="E17" s="4" t="n">
        <f aca="false">-E6*Assumptions!E46/100</f>
        <v>-4983.35693163</v>
      </c>
      <c r="F17" s="4" t="n">
        <f aca="false">-F6*Assumptions!F46/100</f>
        <v>-5053.12392867282</v>
      </c>
      <c r="G17" s="4" t="n">
        <f aca="false">-G6*Assumptions!G46/100</f>
        <v>-5120.49891438846</v>
      </c>
      <c r="H17" s="4" t="n">
        <f aca="false">-H6*Assumptions!H46/100</f>
        <v>-5229.98326617637</v>
      </c>
      <c r="I17" s="4" t="n">
        <f aca="false">-I6*Assumptions!I46/100</f>
        <v>-5413.03268049254</v>
      </c>
      <c r="J17" s="4" t="n">
        <f aca="false">-J6*Assumptions!J46/100</f>
        <v>-5575.42366090732</v>
      </c>
      <c r="K17" s="4" t="n">
        <f aca="false">-K6*Assumptions!K46/100</f>
        <v>-5742.68637073454</v>
      </c>
      <c r="L17" s="4" t="n">
        <f aca="false">-L6*Assumptions!L46/100</f>
        <v>-5914.96696185657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5425.43719788</v>
      </c>
      <c r="D19" s="0" t="n">
        <f aca="false">D15+D16+D17+D18</f>
        <v>6009.3562080321</v>
      </c>
      <c r="E19" s="0" t="n">
        <f aca="false">E15+E16+E17+E18</f>
        <v>6697.13338041756</v>
      </c>
      <c r="F19" s="0" t="n">
        <f aca="false">F15+F16+F17+F18</f>
        <v>7238.40567690348</v>
      </c>
      <c r="G19" s="0" t="n">
        <f aca="false">G15+G16+G17+G18</f>
        <v>7762.40685427004</v>
      </c>
      <c r="H19" s="0" t="n">
        <f aca="false">H15+H16+H17+H18</f>
        <v>8103.82420438517</v>
      </c>
      <c r="I19" s="0" t="n">
        <f aca="false">I15+I16+I17+I18</f>
        <v>8387.45805153866</v>
      </c>
      <c r="J19" s="0" t="n">
        <f aca="false">J15+J16+J17+J18</f>
        <v>8639.08179308482</v>
      </c>
      <c r="K19" s="0" t="n">
        <f aca="false">K15+K16+K17+K18</f>
        <v>8898.25424687736</v>
      </c>
      <c r="L19" s="0" t="n">
        <f aca="false">L15+L16+L17+L18</f>
        <v>9165.20187428368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5070.50205409346</v>
      </c>
      <c r="D21" s="0" t="n">
        <f aca="false">D19*D20</f>
        <v>5248.80444408429</v>
      </c>
      <c r="E21" s="0" t="n">
        <f aca="false">E19*E20</f>
        <v>5466.8557596897</v>
      </c>
      <c r="F21" s="0" t="n">
        <f aca="false">F19*F20</f>
        <v>5522.14503376729</v>
      </c>
      <c r="G21" s="0" t="n">
        <f aca="false">G19*G20</f>
        <v>5534.48880662384</v>
      </c>
      <c r="H21" s="0" t="n">
        <f aca="false">H19*H20</f>
        <v>5399.92024176809</v>
      </c>
      <c r="I21" s="0" t="n">
        <f aca="false">I19*I20</f>
        <v>5223.28733666353</v>
      </c>
      <c r="J21" s="0" t="n">
        <f aca="false">J19*J20</f>
        <v>5028.02425865742</v>
      </c>
      <c r="K21" s="0" t="n">
        <f aca="false">K19*K20</f>
        <v>4840.06073496929</v>
      </c>
      <c r="L21" s="0" t="n">
        <f aca="false">L19*L20</f>
        <v>4659.1238850639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51993.2125553808</v>
      </c>
    </row>
    <row r="31" customFormat="false" ht="15" hidden="false" customHeight="false" outlineLevel="0" collapsed="false">
      <c r="A31" s="0" t="s">
        <v>128</v>
      </c>
      <c r="B31" s="0" t="n">
        <f aca="false">L19</f>
        <v>9165.20187428368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208762.931580906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164973.633737106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164973.633737106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83864.2299311501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135857.442486531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107958.942486531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5.78562136212798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-0.189121042448777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564.124679736461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1095.83679991521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5.87458026053679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75154.6553691262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1.42644962486938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3.03801021688627</v>
      </c>
      <c r="C4" s="0" t="n">
        <f aca="false">B4/Assumptions!$B$2-1</f>
        <v>-0.574210200856864</v>
      </c>
      <c r="D4" s="4" t="n">
        <f aca="false">Assumptions!$B$24</f>
        <v>0.2</v>
      </c>
      <c r="E4" s="4" t="n">
        <f aca="false">DCF_Bear!$B$43</f>
        <v>3.10280204623596</v>
      </c>
      <c r="F4" s="4" t="n">
        <f aca="false">DCF_Bear!$B$47</f>
        <v>0.360759751965594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4.59120111668812</v>
      </c>
      <c r="C5" s="0" t="n">
        <f aca="false">B5/Assumptions!$B$2-1</f>
        <v>-0.356524020085757</v>
      </c>
      <c r="D5" s="4" t="n">
        <f aca="false">Assumptions!$B$38</f>
        <v>0.55</v>
      </c>
      <c r="E5" s="4" t="n">
        <f aca="false">DCF_Base!$B$43</f>
        <v>4.66727605318436</v>
      </c>
      <c r="F5" s="4" t="n">
        <f aca="false">DCF_Base!$B$47</f>
        <v>0.967844449517752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5.78562136212798</v>
      </c>
      <c r="C6" s="0" t="n">
        <f aca="false">B6/Assumptions!$B$2-1</f>
        <v>-0.189121042448777</v>
      </c>
      <c r="D6" s="4" t="n">
        <f aca="false">Assumptions!$B$52</f>
        <v>0.25</v>
      </c>
      <c r="E6" s="4" t="n">
        <f aca="false">DCF_Bull!$B$43</f>
        <v>5.87458026053679</v>
      </c>
      <c r="F6" s="4" t="n">
        <f aca="false">DCF_Bull!$B$47</f>
        <v>1.42644962486938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4.57916799808772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4.65620730363279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-0.558143314021152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3317.56884856262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0.961078803845227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4.59120111668812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3.16747108363317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2.57044036580447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2.10657799493863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1.73590997519423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0.967844449517752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5.61024583781525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5.61024583781525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5.61024583781525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5.61024583781525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5.61024583781525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5.07620809671161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5.07620809671161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5.07620809671161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5.07620809671161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5.07620809671161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4.3531791693331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4.59120111668812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4.59120111668812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4.59120111668812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4.59120111668812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3.48627750210567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3.7069015251068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3.96429621860812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4.15019238613685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4.15019238613685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2.83749574535034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2.991484236549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3.16747108363317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3.37053283026876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3.60743820134361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2026-10-10T11:28:18Z</dcterms:created>
  <dc:creator>openpyxl</dc:creator>
  <dc:description/>
  <dc:language>en-NZ</dc:language>
  <cp:lastModifiedBy/>
  <dcterms:modified xsi:type="dcterms:W3CDTF">2026-10-10T11:28:18Z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