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<sst xmlns="http://schemas.openxmlformats.org/spreadsheetml/2006/main" count="353" uniqueCount="163">
  <si>
    <t xml:space="preserve">Ticker</t>
  </si>
  <si>
    <t xml:space="preserve">LAND.L</t>
  </si>
  <si>
    <t xml:space="preserve">Company</t>
  </si>
  <si>
    <t xml:space="preserve">Land Securities Group plc (Landsec)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</si>
  <si>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</si>
  <si>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</si>
  <si>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</si>
  <si>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</si>
  <si>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2026-10-09T16:00:02Z LSE regular close (Yahoo chart API); 52-week range 525-726p</t>
  </si>
  <si>
    <t xml:space="preserve">Balance sheet date</t>
  </si>
  <si>
    <t xml:space="preserve">2026-03-31</t>
  </si>
  <si>
    <t xml:space="preserve">Model</t>
  </si>
  <si>
    <t xml:space="preserve">REIT AFFO capitalisation at cost of equity (engine route)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</si>
  <si>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</si>
  <si>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</si>
  <si>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</si>
  <si>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</si>
  <si>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</si>
  <si>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</si>
  <si>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</si>
  <si>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</si>
  <si>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</si>
  <si>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2026-10-10T00:53:01Z</t>
  </si>
  <si>
    <t xml:space="preserve">Drivers file</t>
  </si>
  <si>
    <t xml:space="preserve">LAND.L_Drivers.json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</si>
  <si>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</si>
  <si>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</si>
  <si>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</si>
  <si>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Landsec is valued on the income it actually distributes, not on NAV: EPRA earnings less a maintenance/leasing capex charge (AFFO), projected on management's guided EPS path and capitalised at a GBP cost of equity with net debt held at zero because the flow is already post-interest. EPRA NTA of 882p is a cross-check, not the model -- the c.25% discount the base value shows to NTA is what a 9% cost of equity does to an 8.5% earnings yield growing at 2-3%, and it will close only if rates fall or the income grows faster than guided (the bull case). Statutory net income, P/E, EV/EBITDA and reported FCF are all meaningless for this company and are not used.
key_risks_to_valuation: Cost of equity: every 50bp on the 9% base moves the base value by roughly 7-8%; a gilt back-up is the single largest risk to both the model and the market price; FY2028 'high single digit' EPS growth depends on the ~GBP 1bn London office programme letting up within ~12 months of completion; a slow lease-up pushes the whole path right by a year; The 2028+ debt maturities (average cost 3.6% today, 89% hedged) will reprice; the base holds the margin flat after FY2030 and does not model a refinancing benefit or penalty; Maintenance capex sizing (11% of revenue vs FY2026 actual 16%): if the net-zero/EPC and repositioning spend proves permanent, the bear's 14% is the better base and the value is c.8% lower; Capital recycling execution: FY2026 disposals crystallised a GBP 104m loss on investment properties against book; the retail acquisition programme must land at the targeted 200bps pick-up for the growth path to hold; UK REIT tax regime change would convert a 0% cash tax rate into a ~25% one and is not in any scenario</t>
  </si>
  <si>
    <t xml:space="preserve">Data sources</t>
  </si>
  <si>
    <t xml:space="preserve">price: Yahoo Finance chart API at inputs.price_as_of (LSE regular close); 52-week range 525-726p
financials: LAND.L_Metrics.csv and the kpis table (EPRA revenue/operating profit/earnings/EPS, NTA per share, net debt, LTV, capex split) from the FY2019-FY2026 annual reports; FY2026 annual report notes for the diluted share count (line 7348), net debt (line 8748), EPRA capex analysis (table 62, line 10240) and the FY2027-FY2030 guidance (lines 299-316, 1264-1367)
qualitative: LAND.L_Analysis.json (2026-10-10): business model, moat, risks, guidance table and sell-side range (670-780p)</t>
  </si>
  <si>
    <t xml:space="preserve">Scenario narrative: bear</t>
  </si>
  <si>
    <t xml:space="preserve">UK macro and fiscal uncertainty bite: consumer spending stalls, retail tenant failures rise, hybrid-work and AI-driven headcount shifts finally reach prime offices, and the development pipeline lets up slowly. FY2027 EPRA EPS falls c.4.5% to 49p (guidance missed) and stays near 50p through FY2030 as the 2028+ refinancing at 5%+ and heavier compliance/leasing capex (14% of revenue) absorb the modest rental growth. Leverage at 8.4x net debt/EBITDA and 38.7% LTV magnifies the hit: the cost of equity rises to 10% and terminal growth falls to 1.5%. Covenants (65% LTV, 1.45x ICR) are not threatened -- this is an earnings-stagnation bear, not a solvency bear.</t>
  </si>
  <si>
    <t xml:space="preserve">Scenario narrative: base</t>
  </si>
  <si>
    <t xml:space="preserve">Management delivers the guided path: FY2027 EPRA EPS stable at 51.4p as the QAM/disposal drag offsets 3-5% like-for-like rental growth, FY2028 high-single-digit growth as the London office pipeline lets up, and c.62p by FY2030 (c.5% CAGR) with ~80% coming from the existing platform. Overheads stay in the low GBP 60m's, net debt/EBITDA falls below 7x by FY2028 without further material disposals, and the dividend grows in line at 1.2-1.3x cover. Growth fades to 2.5% and the stream is capitalised at a 9% cost of equity with 2% terminal growth -- no NTA-discount closure is assumed.</t>
  </si>
  <si>
    <t xml:space="preserve">Scenario narrative: bull</t>
  </si>
  <si>
    <t xml:space="preserve">Prime-location scarcity does its work: build costs ~2x existing book value keep new supply out, rental growth stays at two-decade highs, the GBP 1bn retail recycling lands at the targeted 200bps income pick-up, and AI/tech demand keeps prime London offices full. EPRA EPS reaches c.66p by FY2030, 6% above target, the 2028-30 refinancing comes in at or below today's 3.6% as gilts ease, and the cost of equity compresses to 8.5% with 2.5% terminal growth. The NTA discount narrows toward 10-15% as a consequence, not an input.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</si>
  <si>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</si>
  <si>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</si>
  <si>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</si>
  <si>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</si>
  <si>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</si>
  <si>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</si>
  <si>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</si>
  <si>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</si>
  <si>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</si>
  <si>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</si>
  <si>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</si>
  <si>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</si>
  <si>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</si>
  <si>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</si>
  <si>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</si>
  <si>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</si>
  <si>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</si>
  <si>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</si>
  <si>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</si>
  <si>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</si>
  <si>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</si>
  <si>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</si>
  <si>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</si>
  <si>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</si>
  <si>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</si>
  <si>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</si>
  <si>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</si>
  <si>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</si>
  <si>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</si>
  <si>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</si>
  <si>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</si>
  <si>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</si>
  <si>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</si>
  <si>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</si>
  <si>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</si>
  <si>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</si>
  <si>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</si>
  <si>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</si>
  <si>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</si>
  <si>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</si>
  <si>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</si>
  <si>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</si>
  <si>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</si>
  <si>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</si>
  <si>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</si>
  <si>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</si>
  <si>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</si>
  <si>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</si>
  <si>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</si>
  <si>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</si>
  <si>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</si>
  <si>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</si>
  <si>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</si>
  <si>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</si>
  <si>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</si>
  <si>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</si>
  <si>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</si>
  <si>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</si>
  <si>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</si>
  <si>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</si>
  <si>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</si>
  <si>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</si>
  <si>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</si>
  <si>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</si>
  <si>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</si>
  <si>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</si>
  <si>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</si>
  <si>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</si>
  <si>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</si>
  <si>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</si>
  <si>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</si>
  <si>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</si>
  <si>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LAND.L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</si>
  <si>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</si>
  <si>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</si>
  <si>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</si>
  <si>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</si>
  <si>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</si>
  <si>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</si>
  <si>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</si>
  <si>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</si>
  <si>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</si>
  <si>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</si>
  <si>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</si>
  <si>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</si>
  <si>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</si>
  <si>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</si>
  <si>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</si>
  <si>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</si>
  <si>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</si>
  <si>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</si>
  <si>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</si>
  <si>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</si>
  <si>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</si>
  <si>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</si>
  <si>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</si>
  <si>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</si>
  <si>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</si>
  <si>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</si>
  <si>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</si>
  <si>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</si>
  <si>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</si>
  <si>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</si>
  <si>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LAND.L owner-FCF component DCF: base case (millions, GBP)</t>
  </si>
  <si>
    <t xml:space="preserve">LAND.L owner-FCF component DCF: bull case (millions, GBP)</t>
  </si>
  <si>
    <t xml:space="preserve">LAND.L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</si>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</sst>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604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757</v>
      </c>
      <c r="F2" s="0" t="n">
        <v>-40</v>
      </c>
      <c r="G2" s="0" t="n">
        <v>-5.3</v>
      </c>
      <c r="I2" s="0" t="n">
        <v>-119</v>
      </c>
      <c r="J2" s="0" t="n">
        <v>-15.7</v>
      </c>
      <c r="K2" s="0" t="n">
        <v>-0.161</v>
      </c>
      <c r="L2" s="0" t="n">
        <v>424</v>
      </c>
      <c r="M2" s="0" t="n">
        <v>100</v>
      </c>
      <c r="N2" s="0" t="n">
        <v>324</v>
      </c>
      <c r="O2" s="0" t="n">
        <v>9920</v>
      </c>
      <c r="P2" s="0" t="n">
        <v>14034</v>
      </c>
      <c r="Q2" s="0" t="n">
        <v>4114</v>
      </c>
      <c r="R2" s="0" t="n">
        <v>3781</v>
      </c>
      <c r="S2" s="0" t="n">
        <v>14</v>
      </c>
      <c r="T2" s="0" t="n">
        <v>740</v>
      </c>
      <c r="U2" s="0" t="n">
        <v>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741</v>
      </c>
      <c r="F3" s="0" t="n">
        <v>-690</v>
      </c>
      <c r="G3" s="0" t="n">
        <v>-93.1</v>
      </c>
      <c r="I3" s="0" t="n">
        <v>-832</v>
      </c>
      <c r="J3" s="0" t="n">
        <v>-112.3</v>
      </c>
      <c r="K3" s="0" t="n">
        <v>-1.124</v>
      </c>
      <c r="L3" s="0" t="n">
        <v>401</v>
      </c>
      <c r="M3" s="0" t="n">
        <v>201</v>
      </c>
      <c r="N3" s="0" t="n">
        <v>200</v>
      </c>
      <c r="O3" s="0" t="n">
        <v>8750</v>
      </c>
      <c r="P3" s="0" t="n">
        <v>14360</v>
      </c>
      <c r="Q3" s="0" t="n">
        <v>5610</v>
      </c>
      <c r="R3" s="0" t="n">
        <v>5332</v>
      </c>
      <c r="S3" s="0" t="n">
        <v>1345</v>
      </c>
      <c r="T3" s="0" t="n">
        <v>741</v>
      </c>
      <c r="U3" s="0" t="n">
        <v>2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635</v>
      </c>
      <c r="F4" s="0" t="n">
        <v>-1330</v>
      </c>
      <c r="G4" s="0" t="n">
        <v>-209.4</v>
      </c>
      <c r="I4" s="0" t="n">
        <v>-1393</v>
      </c>
      <c r="J4" s="0" t="n">
        <v>-219.4</v>
      </c>
      <c r="K4" s="0" t="n">
        <v>-1.882</v>
      </c>
      <c r="L4" s="0" t="n">
        <v>233</v>
      </c>
      <c r="M4" s="0" t="n">
        <v>218</v>
      </c>
      <c r="N4" s="0" t="n">
        <v>15</v>
      </c>
      <c r="O4" s="0" t="n">
        <v>7212</v>
      </c>
      <c r="P4" s="0" t="n">
        <v>10990</v>
      </c>
      <c r="Q4" s="0" t="n">
        <v>3778</v>
      </c>
      <c r="R4" s="0" t="n">
        <v>3516</v>
      </c>
      <c r="S4" s="0" t="n">
        <v>0</v>
      </c>
      <c r="T4" s="0" t="n">
        <v>741</v>
      </c>
      <c r="U4" s="0" t="n">
        <v>4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679</v>
      </c>
      <c r="F5" s="0" t="n">
        <v>935</v>
      </c>
      <c r="G5" s="0" t="n">
        <v>137.7</v>
      </c>
      <c r="I5" s="0" t="n">
        <v>869</v>
      </c>
      <c r="J5" s="0" t="n">
        <v>128</v>
      </c>
      <c r="K5" s="0" t="n">
        <v>1.171</v>
      </c>
      <c r="L5" s="0" t="n">
        <v>381</v>
      </c>
      <c r="M5" s="0" t="n">
        <v>344</v>
      </c>
      <c r="N5" s="0" t="n">
        <v>37</v>
      </c>
      <c r="O5" s="0" t="n">
        <v>7917</v>
      </c>
      <c r="P5" s="0" t="n">
        <v>12895</v>
      </c>
      <c r="Q5" s="0" t="n">
        <v>4904</v>
      </c>
      <c r="R5" s="0" t="n">
        <v>4553</v>
      </c>
      <c r="S5" s="0" t="n">
        <v>128</v>
      </c>
      <c r="T5" s="0" t="n">
        <v>742</v>
      </c>
      <c r="U5" s="0" t="n">
        <v>4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791</v>
      </c>
      <c r="F6" s="0" t="n">
        <v>-569</v>
      </c>
      <c r="G6" s="0" t="n">
        <v>-71.9</v>
      </c>
      <c r="I6" s="0" t="n">
        <v>-619</v>
      </c>
      <c r="J6" s="0" t="n">
        <v>-78.3</v>
      </c>
      <c r="K6" s="0" t="n">
        <v>-0.836</v>
      </c>
      <c r="L6" s="0" t="n">
        <v>342</v>
      </c>
      <c r="M6" s="0" t="n">
        <v>355</v>
      </c>
      <c r="N6" s="0" t="n">
        <v>-13</v>
      </c>
      <c r="O6" s="0" t="n">
        <v>7005</v>
      </c>
      <c r="P6" s="0" t="n">
        <v>10966</v>
      </c>
      <c r="Q6" s="0" t="n">
        <v>3894</v>
      </c>
      <c r="R6" s="0" t="n">
        <v>3538</v>
      </c>
      <c r="S6" s="0" t="n">
        <v>41</v>
      </c>
      <c r="T6" s="0" t="n">
        <v>744</v>
      </c>
      <c r="U6" s="0" t="n">
        <v>6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824</v>
      </c>
      <c r="F7" s="0" t="n">
        <v>-227</v>
      </c>
      <c r="G7" s="0" t="n">
        <v>-27.5</v>
      </c>
      <c r="I7" s="0" t="n">
        <v>-319</v>
      </c>
      <c r="J7" s="0" t="n">
        <v>-38.7</v>
      </c>
      <c r="K7" s="0" t="n">
        <v>-0.43</v>
      </c>
      <c r="L7" s="0" t="n">
        <v>338</v>
      </c>
      <c r="M7" s="0" t="n">
        <v>328</v>
      </c>
      <c r="N7" s="0" t="n">
        <v>10</v>
      </c>
      <c r="O7" s="0" t="n">
        <v>6402</v>
      </c>
      <c r="P7" s="0" t="n">
        <v>10664</v>
      </c>
      <c r="Q7" s="0" t="n">
        <v>4217</v>
      </c>
      <c r="R7" s="0" t="n">
        <v>3780</v>
      </c>
      <c r="S7" s="0" t="n">
        <v>78</v>
      </c>
      <c r="T7" s="0" t="n">
        <v>744</v>
      </c>
      <c r="U7" s="0" t="n">
        <v>8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842</v>
      </c>
      <c r="F8" s="0" t="n">
        <v>526</v>
      </c>
      <c r="G8" s="0" t="n">
        <v>62.5</v>
      </c>
      <c r="I8" s="0" t="n">
        <v>396</v>
      </c>
      <c r="J8" s="0" t="n">
        <v>47</v>
      </c>
      <c r="K8" s="0" t="n">
        <v>0.53</v>
      </c>
      <c r="L8" s="0" t="n">
        <v>256</v>
      </c>
      <c r="M8" s="0" t="n">
        <v>456</v>
      </c>
      <c r="N8" s="0" t="n">
        <v>-200</v>
      </c>
      <c r="O8" s="0" t="n">
        <v>6514</v>
      </c>
      <c r="P8" s="0" t="n">
        <v>11621</v>
      </c>
      <c r="Q8" s="0" t="n">
        <v>5089</v>
      </c>
      <c r="R8" s="0" t="n">
        <v>4554</v>
      </c>
      <c r="S8" s="0" t="n">
        <v>39</v>
      </c>
      <c r="T8" s="0" t="n">
        <v>747</v>
      </c>
      <c r="U8" s="0" t="n">
        <v>6</v>
      </c>
      <c r="V8" s="0" t="n">
        <v>0.404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892</v>
      </c>
      <c r="F9" s="0" t="n">
        <v>465</v>
      </c>
      <c r="G9" s="0" t="n">
        <v>52.1</v>
      </c>
      <c r="I9" s="0" t="n">
        <v>343</v>
      </c>
      <c r="J9" s="0" t="n">
        <v>38.5</v>
      </c>
      <c r="K9" s="0" t="n">
        <v>0.459</v>
      </c>
      <c r="L9" s="0" t="n">
        <v>214</v>
      </c>
      <c r="M9" s="0" t="n">
        <v>445</v>
      </c>
      <c r="N9" s="0" t="n">
        <v>-231</v>
      </c>
      <c r="O9" s="0" t="n">
        <v>6537</v>
      </c>
      <c r="P9" s="0" t="n">
        <v>11540</v>
      </c>
      <c r="Q9" s="0" t="n">
        <v>5002</v>
      </c>
      <c r="R9" s="0" t="n">
        <v>4495</v>
      </c>
      <c r="S9" s="0" t="n">
        <v>106</v>
      </c>
      <c r="T9" s="0" t="n">
        <v>747</v>
      </c>
      <c r="U9" s="0" t="n">
        <v>9</v>
      </c>
      <c r="V9" s="0" t="n">
        <v>0.412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604</v>
      </c>
    </row>
    <row r="3" customFormat="false" ht="15" hidden="false" customHeight="false" outlineLevel="0" collapsed="false">
      <c r="A3" s="0" t="s">
        <v>75</v>
      </c>
      <c r="B3" s="3" t="n">
        <v>747</v>
      </c>
    </row>
    <row r="4" customFormat="false" ht="15" hidden="false" customHeight="false" outlineLevel="0" collapsed="false">
      <c r="A4" s="0" t="s">
        <v>76</v>
      </c>
      <c r="B4" s="3" t="n">
        <v>0</v>
      </c>
    </row>
    <row r="5" customFormat="false" ht="15" hidden="false" customHeight="false" outlineLevel="0" collapsed="false">
      <c r="A5" s="0" t="s">
        <v>77</v>
      </c>
      <c r="B5" s="3" t="n">
        <v>0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860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100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-3</v>
      </c>
      <c r="D13" s="3" t="n">
        <v>1.5</v>
      </c>
      <c r="E13" s="3" t="n">
        <v>1.5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44</v>
      </c>
      <c r="D14" s="3" t="n">
        <v>44</v>
      </c>
      <c r="E14" s="3" t="n">
        <v>43.5</v>
      </c>
      <c r="F14" s="3" t="n">
        <v>43</v>
      </c>
      <c r="G14" s="3" t="n">
        <v>43</v>
      </c>
      <c r="H14" s="3" t="n">
        <v>43</v>
      </c>
      <c r="I14" s="3" t="n">
        <v>43</v>
      </c>
      <c r="J14" s="3" t="n">
        <v>43</v>
      </c>
      <c r="K14" s="3" t="n">
        <v>43</v>
      </c>
      <c r="L14" s="3" t="n">
        <v>43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100</v>
      </c>
      <c r="C18" s="3" t="n">
        <v>14</v>
      </c>
      <c r="D18" s="3" t="n">
        <v>14</v>
      </c>
      <c r="E18" s="3" t="n">
        <v>14</v>
      </c>
      <c r="F18" s="3" t="n">
        <v>14</v>
      </c>
      <c r="G18" s="3" t="n">
        <v>14</v>
      </c>
      <c r="H18" s="3" t="n">
        <v>14</v>
      </c>
      <c r="I18" s="3" t="n">
        <v>14</v>
      </c>
      <c r="J18" s="3" t="n">
        <v>14</v>
      </c>
      <c r="K18" s="3" t="n">
        <v>14</v>
      </c>
      <c r="L18" s="3" t="n">
        <v>14</v>
      </c>
    </row>
    <row r="19" customFormat="false" ht="15" hidden="false" customHeight="false" outlineLevel="0" collapsed="false">
      <c r="A19" s="0" t="s">
        <v>101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102</v>
      </c>
      <c r="B20" s="3" t="n">
        <v>10</v>
      </c>
    </row>
    <row r="21" customFormat="false" ht="15" hidden="false" customHeight="false" outlineLevel="0" collapsed="false">
      <c r="A21" s="0" t="s">
        <v>103</v>
      </c>
      <c r="B21" s="3" t="n">
        <v>1.5</v>
      </c>
    </row>
    <row r="22" customFormat="false" ht="15" hidden="false" customHeight="false" outlineLevel="0" collapsed="false">
      <c r="A22" s="0" t="s">
        <v>104</v>
      </c>
      <c r="B22" s="3" t="n">
        <v>18</v>
      </c>
    </row>
    <row r="23" customFormat="false" ht="15" hidden="false" customHeight="false" outlineLevel="0" collapsed="false">
      <c r="A23" s="0" t="s">
        <v>105</v>
      </c>
      <c r="B23" s="3" t="n">
        <v>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-1</v>
      </c>
      <c r="D27" s="3" t="n">
        <v>4</v>
      </c>
      <c r="E27" s="3" t="n">
        <v>3.5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45.1</v>
      </c>
      <c r="D28" s="3" t="n">
        <v>46.9</v>
      </c>
      <c r="E28" s="3" t="n">
        <v>47.6</v>
      </c>
      <c r="F28" s="3" t="n">
        <v>48.8</v>
      </c>
      <c r="G28" s="3" t="n">
        <v>48.8</v>
      </c>
      <c r="H28" s="3" t="n">
        <v>48.8</v>
      </c>
      <c r="I28" s="3" t="n">
        <v>48.8</v>
      </c>
      <c r="J28" s="3" t="n">
        <v>48.8</v>
      </c>
      <c r="K28" s="3" t="n">
        <v>48.8</v>
      </c>
      <c r="L28" s="3" t="n">
        <v>48.8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100</v>
      </c>
      <c r="C32" s="3" t="n">
        <v>11</v>
      </c>
      <c r="D32" s="3" t="n">
        <v>11</v>
      </c>
      <c r="E32" s="3" t="n">
        <v>11</v>
      </c>
      <c r="F32" s="3" t="n">
        <v>11</v>
      </c>
      <c r="G32" s="3" t="n">
        <v>11</v>
      </c>
      <c r="H32" s="3" t="n">
        <v>11</v>
      </c>
      <c r="I32" s="3" t="n">
        <v>11</v>
      </c>
      <c r="J32" s="3" t="n">
        <v>11</v>
      </c>
      <c r="K32" s="3" t="n">
        <v>11</v>
      </c>
      <c r="L32" s="3" t="n">
        <v>11</v>
      </c>
    </row>
    <row r="33" customFormat="false" ht="15" hidden="false" customHeight="false" outlineLevel="0" collapsed="false">
      <c r="A33" s="0" t="s">
        <v>101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102</v>
      </c>
      <c r="B34" s="3" t="n">
        <v>9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18</v>
      </c>
    </row>
    <row r="37" customFormat="false" ht="15" hidden="false" customHeight="false" outlineLevel="0" collapsed="false">
      <c r="A37" s="0" t="s">
        <v>105</v>
      </c>
      <c r="B37" s="3" t="n">
        <v>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0</v>
      </c>
      <c r="D41" s="3" t="n">
        <v>5</v>
      </c>
      <c r="E41" s="3" t="n">
        <v>4.5</v>
      </c>
      <c r="F41" s="3" t="n">
        <v>4.5</v>
      </c>
      <c r="G41" s="3" t="n">
        <v>4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45.3</v>
      </c>
      <c r="D42" s="3" t="n">
        <v>47.5</v>
      </c>
      <c r="E42" s="3" t="n">
        <v>48.5</v>
      </c>
      <c r="F42" s="3" t="n">
        <v>50</v>
      </c>
      <c r="G42" s="3" t="n">
        <v>50.5</v>
      </c>
      <c r="H42" s="3" t="n">
        <v>50.5</v>
      </c>
      <c r="I42" s="3" t="n">
        <v>50.5</v>
      </c>
      <c r="J42" s="3" t="n">
        <v>50.5</v>
      </c>
      <c r="K42" s="3" t="n">
        <v>50.5</v>
      </c>
      <c r="L42" s="3" t="n">
        <v>50.5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100</v>
      </c>
      <c r="C46" s="3" t="n">
        <v>9.5</v>
      </c>
      <c r="D46" s="3" t="n">
        <v>9.5</v>
      </c>
      <c r="E46" s="3" t="n">
        <v>9.5</v>
      </c>
      <c r="F46" s="3" t="n">
        <v>9.5</v>
      </c>
      <c r="G46" s="3" t="n">
        <v>9.5</v>
      </c>
      <c r="H46" s="3" t="n">
        <v>9.5</v>
      </c>
      <c r="I46" s="3" t="n">
        <v>9.5</v>
      </c>
      <c r="J46" s="3" t="n">
        <v>9.5</v>
      </c>
      <c r="K46" s="3" t="n">
        <v>9.5</v>
      </c>
      <c r="L46" s="3" t="n">
        <v>9.5</v>
      </c>
    </row>
    <row r="47" customFormat="false" ht="15" hidden="false" customHeight="false" outlineLevel="0" collapsed="false">
      <c r="A47" s="0" t="s">
        <v>101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102</v>
      </c>
      <c r="B48" s="3" t="n">
        <v>8.5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18</v>
      </c>
    </row>
    <row r="51" customFormat="false" ht="15" hidden="false" customHeight="false" outlineLevel="0" collapsed="false">
      <c r="A51" s="0" t="s">
        <v>105</v>
      </c>
      <c r="B51" s="3" t="n">
        <v>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-3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860</v>
      </c>
      <c r="C6" s="0" t="n">
        <f aca="false">B6*(1+C5/100)</f>
        <v>834.2</v>
      </c>
      <c r="D6" s="0" t="n">
        <f aca="false">C6*(1+D5/100)</f>
        <v>846.713</v>
      </c>
      <c r="E6" s="0" t="n">
        <f aca="false">D6*(1+E5/100)</f>
        <v>859.413695</v>
      </c>
      <c r="F6" s="0" t="n">
        <f aca="false">E6*(1+F5/100)</f>
        <v>872.304900425</v>
      </c>
      <c r="G6" s="0" t="n">
        <f aca="false">F6*(1+G5/100)</f>
        <v>885.389473931375</v>
      </c>
      <c r="H6" s="0" t="n">
        <f aca="false">G6*(1+H5/100)</f>
        <v>898.670316040345</v>
      </c>
      <c r="I6" s="0" t="n">
        <f aca="false">H6*(1+I5/100)</f>
        <v>912.15037078095</v>
      </c>
      <c r="J6" s="0" t="n">
        <f aca="false">I6*(1+J5/100)</f>
        <v>925.832626342664</v>
      </c>
      <c r="K6" s="0" t="n">
        <f aca="false">J6*(1+K5/100)</f>
        <v>939.720115737804</v>
      </c>
      <c r="L6" s="0" t="n">
        <f aca="false">K6*(1+L5/100)</f>
        <v>953.815917473871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44</v>
      </c>
      <c r="D7" s="4" t="n">
        <f aca="false">Assumptions!D14</f>
        <v>44</v>
      </c>
      <c r="E7" s="4" t="n">
        <f aca="false">Assumptions!E14</f>
        <v>43.5</v>
      </c>
      <c r="F7" s="4" t="n">
        <f aca="false">Assumptions!F14</f>
        <v>43</v>
      </c>
      <c r="G7" s="4" t="n">
        <f aca="false">Assumptions!G14</f>
        <v>43</v>
      </c>
      <c r="H7" s="4" t="n">
        <f aca="false">Assumptions!H14</f>
        <v>43</v>
      </c>
      <c r="I7" s="4" t="n">
        <f aca="false">Assumptions!I14</f>
        <v>43</v>
      </c>
      <c r="J7" s="4" t="n">
        <f aca="false">Assumptions!J14</f>
        <v>43</v>
      </c>
      <c r="K7" s="4" t="n">
        <f aca="false">Assumptions!K14</f>
        <v>43</v>
      </c>
      <c r="L7" s="4" t="n">
        <f aca="false">Assumptions!L14</f>
        <v>43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367.048</v>
      </c>
      <c r="D8" s="0" t="n">
        <f aca="false">D6*D7/100</f>
        <v>372.55372</v>
      </c>
      <c r="E8" s="0" t="n">
        <f aca="false">E6*E7/100</f>
        <v>373.844957325</v>
      </c>
      <c r="F8" s="0" t="n">
        <f aca="false">F6*F7/100</f>
        <v>375.09110718275</v>
      </c>
      <c r="G8" s="0" t="n">
        <f aca="false">G6*G7/100</f>
        <v>380.717473790491</v>
      </c>
      <c r="H8" s="0" t="n">
        <f aca="false">H6*H7/100</f>
        <v>386.428235897348</v>
      </c>
      <c r="I8" s="0" t="n">
        <f aca="false">I6*I7/100</f>
        <v>392.224659435809</v>
      </c>
      <c r="J8" s="0" t="n">
        <f aca="false">J6*J7/100</f>
        <v>398.108029327346</v>
      </c>
      <c r="K8" s="0" t="n">
        <f aca="false">K6*K7/100</f>
        <v>404.079649767256</v>
      </c>
      <c r="L8" s="0" t="n">
        <f aca="false">L6*L7/100</f>
        <v>410.140844513765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367.048</v>
      </c>
      <c r="D11" s="0" t="n">
        <f aca="false">D8+D10+D24</f>
        <v>372.55372</v>
      </c>
      <c r="E11" s="0" t="n">
        <f aca="false">E8+E10+E24</f>
        <v>373.844957325</v>
      </c>
      <c r="F11" s="0" t="n">
        <f aca="false">F8+F10+F24</f>
        <v>375.09110718275</v>
      </c>
      <c r="G11" s="0" t="n">
        <f aca="false">G8+G10+G24</f>
        <v>380.717473790491</v>
      </c>
      <c r="H11" s="0" t="n">
        <f aca="false">H8+H10+H24</f>
        <v>386.428235897348</v>
      </c>
      <c r="I11" s="0" t="n">
        <f aca="false">I8+I10+I24</f>
        <v>392.224659435809</v>
      </c>
      <c r="J11" s="0" t="n">
        <f aca="false">J8+J10+J24</f>
        <v>398.108029327346</v>
      </c>
      <c r="K11" s="0" t="n">
        <f aca="false">K8+K10+K24</f>
        <v>404.079649767256</v>
      </c>
      <c r="L11" s="0" t="n">
        <f aca="false">L8+L10+L24</f>
        <v>410.140844513765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367.048</v>
      </c>
      <c r="D13" s="0" t="n">
        <f aca="false">D11+D12</f>
        <v>372.55372</v>
      </c>
      <c r="E13" s="0" t="n">
        <f aca="false">E11+E12</f>
        <v>373.844957325</v>
      </c>
      <c r="F13" s="0" t="n">
        <f aca="false">F11+F12</f>
        <v>375.09110718275</v>
      </c>
      <c r="G13" s="0" t="n">
        <f aca="false">G11+G12</f>
        <v>380.717473790491</v>
      </c>
      <c r="H13" s="0" t="n">
        <f aca="false">H11+H12</f>
        <v>386.428235897348</v>
      </c>
      <c r="I13" s="0" t="n">
        <f aca="false">I11+I12</f>
        <v>392.224659435809</v>
      </c>
      <c r="J13" s="0" t="n">
        <f aca="false">J11+J12</f>
        <v>398.108029327346</v>
      </c>
      <c r="K13" s="0" t="n">
        <f aca="false">K11+K12</f>
        <v>404.079649767256</v>
      </c>
      <c r="L13" s="0" t="n">
        <f aca="false">L11+L12</f>
        <v>410.140844513765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367.048</v>
      </c>
      <c r="D15" s="0" t="n">
        <f aca="false">D13-MAX(0,D13)*D14/100</f>
        <v>372.55372</v>
      </c>
      <c r="E15" s="0" t="n">
        <f aca="false">E13-MAX(0,E13)*E14/100</f>
        <v>373.844957325</v>
      </c>
      <c r="F15" s="0" t="n">
        <f aca="false">F13-MAX(0,F13)*F14/100</f>
        <v>375.09110718275</v>
      </c>
      <c r="G15" s="0" t="n">
        <f aca="false">G13-MAX(0,G13)*G14/100</f>
        <v>380.717473790491</v>
      </c>
      <c r="H15" s="0" t="n">
        <f aca="false">H13-MAX(0,H13)*H14/100</f>
        <v>386.428235897348</v>
      </c>
      <c r="I15" s="0" t="n">
        <f aca="false">I13-MAX(0,I13)*I14/100</f>
        <v>392.224659435809</v>
      </c>
      <c r="J15" s="0" t="n">
        <f aca="false">J13-MAX(0,J13)*J14/100</f>
        <v>398.108029327346</v>
      </c>
      <c r="K15" s="0" t="n">
        <f aca="false">K13-MAX(0,K13)*K14/100</f>
        <v>404.079649767256</v>
      </c>
      <c r="L15" s="0" t="n">
        <f aca="false">L13-MAX(0,L13)*L14/100</f>
        <v>410.140844513765</v>
      </c>
    </row>
    <row r="16" customFormat="false" ht="15" hidden="false" customHeight="false" outlineLevel="0" collapsed="false">
      <c r="A16" s="0" t="s">
        <v>117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-116.788</v>
      </c>
      <c r="D17" s="4" t="n">
        <f aca="false">-D6*Assumptions!D18/100</f>
        <v>-118.53982</v>
      </c>
      <c r="E17" s="4" t="n">
        <f aca="false">-E6*Assumptions!E18/100</f>
        <v>-120.3179173</v>
      </c>
      <c r="F17" s="4" t="n">
        <f aca="false">-F6*Assumptions!F18/100</f>
        <v>-122.1226860595</v>
      </c>
      <c r="G17" s="4" t="n">
        <f aca="false">-G6*Assumptions!G18/100</f>
        <v>-123.954526350392</v>
      </c>
      <c r="H17" s="4" t="n">
        <f aca="false">-H6*Assumptions!H18/100</f>
        <v>-125.813844245648</v>
      </c>
      <c r="I17" s="4" t="n">
        <f aca="false">-I6*Assumptions!I18/100</f>
        <v>-127.701051909333</v>
      </c>
      <c r="J17" s="4" t="n">
        <f aca="false">-J6*Assumptions!J18/100</f>
        <v>-129.616567687973</v>
      </c>
      <c r="K17" s="4" t="n">
        <f aca="false">-K6*Assumptions!K18/100</f>
        <v>-131.560816203293</v>
      </c>
      <c r="L17" s="4" t="n">
        <f aca="false">-L6*Assumptions!L18/100</f>
        <v>-133.534228446342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250.26</v>
      </c>
      <c r="D19" s="0" t="n">
        <f aca="false">D15+D16+D17+D18</f>
        <v>254.0139</v>
      </c>
      <c r="E19" s="0" t="n">
        <f aca="false">E15+E16+E17+E18</f>
        <v>253.527040025</v>
      </c>
      <c r="F19" s="0" t="n">
        <f aca="false">F15+F16+F17+F18</f>
        <v>252.96842112325</v>
      </c>
      <c r="G19" s="0" t="n">
        <f aca="false">G15+G16+G17+G18</f>
        <v>256.762947440099</v>
      </c>
      <c r="H19" s="0" t="n">
        <f aca="false">H15+H16+H17+H18</f>
        <v>260.6143916517</v>
      </c>
      <c r="I19" s="0" t="n">
        <f aca="false">I15+I16+I17+I18</f>
        <v>264.523607526476</v>
      </c>
      <c r="J19" s="0" t="n">
        <f aca="false">J15+J16+J17+J18</f>
        <v>268.491461639373</v>
      </c>
      <c r="K19" s="0" t="n">
        <f aca="false">K15+K16+K17+K18</f>
        <v>272.518833563963</v>
      </c>
      <c r="L19" s="0" t="n">
        <f aca="false">L15+L16+L17+L18</f>
        <v>276.606616067423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227.509090909091</v>
      </c>
      <c r="D21" s="0" t="n">
        <f aca="false">D19*D20</f>
        <v>209.928842975207</v>
      </c>
      <c r="E21" s="0" t="n">
        <f aca="false">E19*E20</f>
        <v>190.478617599549</v>
      </c>
      <c r="F21" s="0" t="n">
        <f aca="false">F19*F20</f>
        <v>172.780835409637</v>
      </c>
      <c r="G21" s="0" t="n">
        <f aca="false">G19*G20</f>
        <v>159.429589037074</v>
      </c>
      <c r="H21" s="0" t="n">
        <f aca="false">H19*H20</f>
        <v>147.110029884209</v>
      </c>
      <c r="I21" s="0" t="n">
        <f aca="false">I19*I20</f>
        <v>135.742436665884</v>
      </c>
      <c r="J21" s="0" t="n">
        <f aca="false">J19*J20</f>
        <v>125.253248378066</v>
      </c>
      <c r="K21" s="0" t="n">
        <f aca="false">K19*K20</f>
        <v>115.574588276124</v>
      </c>
      <c r="L21" s="0" t="n">
        <f aca="false">L19*L20</f>
        <v>106.643824636606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1590.45110377145</v>
      </c>
    </row>
    <row r="31" customFormat="false" ht="15" hidden="false" customHeight="false" outlineLevel="0" collapsed="false">
      <c r="A31" s="0" t="s">
        <v>126</v>
      </c>
      <c r="B31" s="0" t="n">
        <f aca="false">L19</f>
        <v>276.606616067423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3303.00841539334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4978.91908921361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3303.00841539334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1273.45272948417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2863.90383325562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2863.90383325562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383.387394010123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-0.365252658923637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383.387394010123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2079.67196524766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242.097303511717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-1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860</v>
      </c>
      <c r="C6" s="0" t="n">
        <f aca="false">B6*(1+C5/100)</f>
        <v>851.4</v>
      </c>
      <c r="D6" s="0" t="n">
        <f aca="false">C6*(1+D5/100)</f>
        <v>885.456</v>
      </c>
      <c r="E6" s="0" t="n">
        <f aca="false">D6*(1+E5/100)</f>
        <v>916.44696</v>
      </c>
      <c r="F6" s="0" t="n">
        <f aca="false">E6*(1+F5/100)</f>
        <v>948.5226036</v>
      </c>
      <c r="G6" s="0" t="n">
        <f aca="false">F6*(1+G5/100)</f>
        <v>981.720894726</v>
      </c>
      <c r="H6" s="0" t="n">
        <f aca="false">G6*(1+H5/100)</f>
        <v>1011.17252156778</v>
      </c>
      <c r="I6" s="0" t="n">
        <f aca="false">H6*(1+I5/100)</f>
        <v>1041.50769721481</v>
      </c>
      <c r="J6" s="0" t="n">
        <f aca="false">I6*(1+J5/100)</f>
        <v>1067.54538964518</v>
      </c>
      <c r="K6" s="0" t="n">
        <f aca="false">J6*(1+K5/100)</f>
        <v>1094.23402438631</v>
      </c>
      <c r="L6" s="0" t="n">
        <f aca="false">K6*(1+L5/100)</f>
        <v>1121.58987499597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45.1</v>
      </c>
      <c r="D7" s="4" t="n">
        <f aca="false">Assumptions!D28</f>
        <v>46.9</v>
      </c>
      <c r="E7" s="4" t="n">
        <f aca="false">Assumptions!E28</f>
        <v>47.6</v>
      </c>
      <c r="F7" s="4" t="n">
        <f aca="false">Assumptions!F28</f>
        <v>48.8</v>
      </c>
      <c r="G7" s="4" t="n">
        <f aca="false">Assumptions!G28</f>
        <v>48.8</v>
      </c>
      <c r="H7" s="4" t="n">
        <f aca="false">Assumptions!H28</f>
        <v>48.8</v>
      </c>
      <c r="I7" s="4" t="n">
        <f aca="false">Assumptions!I28</f>
        <v>48.8</v>
      </c>
      <c r="J7" s="4" t="n">
        <f aca="false">Assumptions!J28</f>
        <v>48.8</v>
      </c>
      <c r="K7" s="4" t="n">
        <f aca="false">Assumptions!K28</f>
        <v>48.8</v>
      </c>
      <c r="L7" s="4" t="n">
        <f aca="false">Assumptions!L28</f>
        <v>48.8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383.9814</v>
      </c>
      <c r="D8" s="0" t="n">
        <f aca="false">D6*D7/100</f>
        <v>415.278864</v>
      </c>
      <c r="E8" s="0" t="n">
        <f aca="false">E6*E7/100</f>
        <v>436.22875296</v>
      </c>
      <c r="F8" s="0" t="n">
        <f aca="false">F6*F7/100</f>
        <v>462.8790305568</v>
      </c>
      <c r="G8" s="0" t="n">
        <f aca="false">G6*G7/100</f>
        <v>479.079796626288</v>
      </c>
      <c r="H8" s="0" t="n">
        <f aca="false">H6*H7/100</f>
        <v>493.452190525077</v>
      </c>
      <c r="I8" s="0" t="n">
        <f aca="false">I6*I7/100</f>
        <v>508.255756240829</v>
      </c>
      <c r="J8" s="0" t="n">
        <f aca="false">J6*J7/100</f>
        <v>520.96215014685</v>
      </c>
      <c r="K8" s="0" t="n">
        <f aca="false">K6*K7/100</f>
        <v>533.986203900521</v>
      </c>
      <c r="L8" s="0" t="n">
        <f aca="false">L6*L7/100</f>
        <v>547.335858998034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383.9814</v>
      </c>
      <c r="D11" s="0" t="n">
        <f aca="false">D8+D10+D24</f>
        <v>415.278864</v>
      </c>
      <c r="E11" s="0" t="n">
        <f aca="false">E8+E10+E24</f>
        <v>436.22875296</v>
      </c>
      <c r="F11" s="0" t="n">
        <f aca="false">F8+F10+F24</f>
        <v>462.8790305568</v>
      </c>
      <c r="G11" s="0" t="n">
        <f aca="false">G8+G10+G24</f>
        <v>479.079796626288</v>
      </c>
      <c r="H11" s="0" t="n">
        <f aca="false">H8+H10+H24</f>
        <v>493.452190525077</v>
      </c>
      <c r="I11" s="0" t="n">
        <f aca="false">I8+I10+I24</f>
        <v>508.255756240829</v>
      </c>
      <c r="J11" s="0" t="n">
        <f aca="false">J8+J10+J24</f>
        <v>520.96215014685</v>
      </c>
      <c r="K11" s="0" t="n">
        <f aca="false">K8+K10+K24</f>
        <v>533.986203900521</v>
      </c>
      <c r="L11" s="0" t="n">
        <f aca="false">L8+L10+L24</f>
        <v>547.335858998034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383.9814</v>
      </c>
      <c r="D13" s="0" t="n">
        <f aca="false">D11+D12</f>
        <v>415.278864</v>
      </c>
      <c r="E13" s="0" t="n">
        <f aca="false">E11+E12</f>
        <v>436.22875296</v>
      </c>
      <c r="F13" s="0" t="n">
        <f aca="false">F11+F12</f>
        <v>462.8790305568</v>
      </c>
      <c r="G13" s="0" t="n">
        <f aca="false">G11+G12</f>
        <v>479.079796626288</v>
      </c>
      <c r="H13" s="0" t="n">
        <f aca="false">H11+H12</f>
        <v>493.452190525077</v>
      </c>
      <c r="I13" s="0" t="n">
        <f aca="false">I11+I12</f>
        <v>508.255756240829</v>
      </c>
      <c r="J13" s="0" t="n">
        <f aca="false">J11+J12</f>
        <v>520.96215014685</v>
      </c>
      <c r="K13" s="0" t="n">
        <f aca="false">K11+K12</f>
        <v>533.986203900521</v>
      </c>
      <c r="L13" s="0" t="n">
        <f aca="false">L11+L12</f>
        <v>547.335858998034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383.9814</v>
      </c>
      <c r="D15" s="0" t="n">
        <f aca="false">D13-MAX(0,D13)*D14/100</f>
        <v>415.278864</v>
      </c>
      <c r="E15" s="0" t="n">
        <f aca="false">E13-MAX(0,E13)*E14/100</f>
        <v>436.22875296</v>
      </c>
      <c r="F15" s="0" t="n">
        <f aca="false">F13-MAX(0,F13)*F14/100</f>
        <v>462.8790305568</v>
      </c>
      <c r="G15" s="0" t="n">
        <f aca="false">G13-MAX(0,G13)*G14/100</f>
        <v>479.079796626288</v>
      </c>
      <c r="H15" s="0" t="n">
        <f aca="false">H13-MAX(0,H13)*H14/100</f>
        <v>493.452190525077</v>
      </c>
      <c r="I15" s="0" t="n">
        <f aca="false">I13-MAX(0,I13)*I14/100</f>
        <v>508.255756240829</v>
      </c>
      <c r="J15" s="0" t="n">
        <f aca="false">J13-MAX(0,J13)*J14/100</f>
        <v>520.96215014685</v>
      </c>
      <c r="K15" s="0" t="n">
        <f aca="false">K13-MAX(0,K13)*K14/100</f>
        <v>533.986203900521</v>
      </c>
      <c r="L15" s="0" t="n">
        <f aca="false">L13-MAX(0,L13)*L14/100</f>
        <v>547.335858998034</v>
      </c>
    </row>
    <row r="16" customFormat="false" ht="15" hidden="false" customHeight="false" outlineLevel="0" collapsed="false">
      <c r="A16" s="0" t="s">
        <v>117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-93.654</v>
      </c>
      <c r="D17" s="4" t="n">
        <f aca="false">-D6*Assumptions!D32/100</f>
        <v>-97.40016</v>
      </c>
      <c r="E17" s="4" t="n">
        <f aca="false">-E6*Assumptions!E32/100</f>
        <v>-100.8091656</v>
      </c>
      <c r="F17" s="4" t="n">
        <f aca="false">-F6*Assumptions!F32/100</f>
        <v>-104.337486396</v>
      </c>
      <c r="G17" s="4" t="n">
        <f aca="false">-G6*Assumptions!G32/100</f>
        <v>-107.98929841986</v>
      </c>
      <c r="H17" s="4" t="n">
        <f aca="false">-H6*Assumptions!H32/100</f>
        <v>-111.228977372456</v>
      </c>
      <c r="I17" s="4" t="n">
        <f aca="false">-I6*Assumptions!I32/100</f>
        <v>-114.565846693629</v>
      </c>
      <c r="J17" s="4" t="n">
        <f aca="false">-J6*Assumptions!J32/100</f>
        <v>-117.42999286097</v>
      </c>
      <c r="K17" s="4" t="n">
        <f aca="false">-K6*Assumptions!K32/100</f>
        <v>-120.365742682494</v>
      </c>
      <c r="L17" s="4" t="n">
        <f aca="false">-L6*Assumptions!L32/100</f>
        <v>-123.374886249557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290.3274</v>
      </c>
      <c r="D19" s="0" t="n">
        <f aca="false">D15+D16+D17+D18</f>
        <v>317.878704</v>
      </c>
      <c r="E19" s="0" t="n">
        <f aca="false">E15+E16+E17+E18</f>
        <v>335.41958736</v>
      </c>
      <c r="F19" s="0" t="n">
        <f aca="false">F15+F16+F17+F18</f>
        <v>358.5415441608</v>
      </c>
      <c r="G19" s="0" t="n">
        <f aca="false">G15+G16+G17+G18</f>
        <v>371.090498206428</v>
      </c>
      <c r="H19" s="0" t="n">
        <f aca="false">H15+H16+H17+H18</f>
        <v>382.223213152621</v>
      </c>
      <c r="I19" s="0" t="n">
        <f aca="false">I15+I16+I17+I18</f>
        <v>393.689909547199</v>
      </c>
      <c r="J19" s="0" t="n">
        <f aca="false">J15+J16+J17+J18</f>
        <v>403.532157285879</v>
      </c>
      <c r="K19" s="0" t="n">
        <f aca="false">K15+K16+K17+K18</f>
        <v>413.620461218026</v>
      </c>
      <c r="L19" s="0" t="n">
        <f aca="false">L15+L16+L17+L18</f>
        <v>423.960972748477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266.355412844037</v>
      </c>
      <c r="D21" s="0" t="n">
        <f aca="false">D19*D20</f>
        <v>267.552145442303</v>
      </c>
      <c r="E21" s="0" t="n">
        <f aca="false">E19*E20</f>
        <v>259.005464248291</v>
      </c>
      <c r="F21" s="0" t="n">
        <f aca="false">F19*F20</f>
        <v>253.999869097756</v>
      </c>
      <c r="G21" s="0" t="n">
        <f aca="false">G19*G20</f>
        <v>241.183361941447</v>
      </c>
      <c r="H21" s="0" t="n">
        <f aca="false">H19*H20</f>
        <v>227.907213577698</v>
      </c>
      <c r="I21" s="0" t="n">
        <f aca="false">I19*I20</f>
        <v>215.361862371586</v>
      </c>
      <c r="J21" s="0" t="n">
        <f aca="false">J19*J20</f>
        <v>202.519182505391</v>
      </c>
      <c r="K21" s="0" t="n">
        <f aca="false">K19*K20</f>
        <v>190.442350521124</v>
      </c>
      <c r="L21" s="0" t="n">
        <f aca="false">L19*L20</f>
        <v>179.085696590965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2303.4125591406</v>
      </c>
    </row>
    <row r="31" customFormat="false" ht="15" hidden="false" customHeight="false" outlineLevel="0" collapsed="false">
      <c r="A31" s="0" t="s">
        <v>126</v>
      </c>
      <c r="B31" s="0" t="n">
        <f aca="false">L19</f>
        <v>423.960972748477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6177.71703147781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7631.29750947258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6177.71703147781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2609.53443603978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4912.94699518038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4912.94699518038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657.690360800586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0.0888913258287845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657.690360800586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3326.46301694959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347.074577887446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0</v>
      </c>
      <c r="D5" s="4" t="n">
        <f aca="false">Assumptions!D41</f>
        <v>5</v>
      </c>
      <c r="E5" s="4" t="n">
        <f aca="false">Assumptions!E41</f>
        <v>4.5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860</v>
      </c>
      <c r="C6" s="0" t="n">
        <f aca="false">B6*(1+C5/100)</f>
        <v>860</v>
      </c>
      <c r="D6" s="0" t="n">
        <f aca="false">C6*(1+D5/100)</f>
        <v>903</v>
      </c>
      <c r="E6" s="0" t="n">
        <f aca="false">D6*(1+E5/100)</f>
        <v>943.635</v>
      </c>
      <c r="F6" s="0" t="n">
        <f aca="false">E6*(1+F5/100)</f>
        <v>986.098575</v>
      </c>
      <c r="G6" s="0" t="n">
        <f aca="false">F6*(1+G5/100)</f>
        <v>1025.542518</v>
      </c>
      <c r="H6" s="0" t="n">
        <f aca="false">G6*(1+H5/100)</f>
        <v>1066.56421872</v>
      </c>
      <c r="I6" s="0" t="n">
        <f aca="false">H6*(1+I5/100)</f>
        <v>1103.8939663752</v>
      </c>
      <c r="J6" s="0" t="n">
        <f aca="false">I6*(1+J5/100)</f>
        <v>1137.01078536646</v>
      </c>
      <c r="K6" s="0" t="n">
        <f aca="false">J6*(1+K5/100)</f>
        <v>1171.12110892745</v>
      </c>
      <c r="L6" s="0" t="n">
        <f aca="false">K6*(1+L5/100)</f>
        <v>1206.25474219527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45.3</v>
      </c>
      <c r="D7" s="4" t="n">
        <f aca="false">Assumptions!D42</f>
        <v>47.5</v>
      </c>
      <c r="E7" s="4" t="n">
        <f aca="false">Assumptions!E42</f>
        <v>48.5</v>
      </c>
      <c r="F7" s="4" t="n">
        <f aca="false">Assumptions!F42</f>
        <v>50</v>
      </c>
      <c r="G7" s="4" t="n">
        <f aca="false">Assumptions!G42</f>
        <v>50.5</v>
      </c>
      <c r="H7" s="4" t="n">
        <f aca="false">Assumptions!H42</f>
        <v>50.5</v>
      </c>
      <c r="I7" s="4" t="n">
        <f aca="false">Assumptions!I42</f>
        <v>50.5</v>
      </c>
      <c r="J7" s="4" t="n">
        <f aca="false">Assumptions!J42</f>
        <v>50.5</v>
      </c>
      <c r="K7" s="4" t="n">
        <f aca="false">Assumptions!K42</f>
        <v>50.5</v>
      </c>
      <c r="L7" s="4" t="n">
        <f aca="false">Assumptions!L42</f>
        <v>50.5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389.58</v>
      </c>
      <c r="D8" s="0" t="n">
        <f aca="false">D6*D7/100</f>
        <v>428.925</v>
      </c>
      <c r="E8" s="0" t="n">
        <f aca="false">E6*E7/100</f>
        <v>457.662975</v>
      </c>
      <c r="F8" s="0" t="n">
        <f aca="false">F6*F7/100</f>
        <v>493.0492875</v>
      </c>
      <c r="G8" s="0" t="n">
        <f aca="false">G6*G7/100</f>
        <v>517.89897159</v>
      </c>
      <c r="H8" s="0" t="n">
        <f aca="false">H6*H7/100</f>
        <v>538.6149304536</v>
      </c>
      <c r="I8" s="0" t="n">
        <f aca="false">I6*I7/100</f>
        <v>557.466453019476</v>
      </c>
      <c r="J8" s="0" t="n">
        <f aca="false">J6*J7/100</f>
        <v>574.19044661006</v>
      </c>
      <c r="K8" s="0" t="n">
        <f aca="false">K6*K7/100</f>
        <v>591.416160008362</v>
      </c>
      <c r="L8" s="0" t="n">
        <f aca="false">L6*L7/100</f>
        <v>609.158644808613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389.58</v>
      </c>
      <c r="D11" s="0" t="n">
        <f aca="false">D8+D10+D24</f>
        <v>428.925</v>
      </c>
      <c r="E11" s="0" t="n">
        <f aca="false">E8+E10+E24</f>
        <v>457.662975</v>
      </c>
      <c r="F11" s="0" t="n">
        <f aca="false">F8+F10+F24</f>
        <v>493.0492875</v>
      </c>
      <c r="G11" s="0" t="n">
        <f aca="false">G8+G10+G24</f>
        <v>517.89897159</v>
      </c>
      <c r="H11" s="0" t="n">
        <f aca="false">H8+H10+H24</f>
        <v>538.6149304536</v>
      </c>
      <c r="I11" s="0" t="n">
        <f aca="false">I8+I10+I24</f>
        <v>557.466453019476</v>
      </c>
      <c r="J11" s="0" t="n">
        <f aca="false">J8+J10+J24</f>
        <v>574.19044661006</v>
      </c>
      <c r="K11" s="0" t="n">
        <f aca="false">K8+K10+K24</f>
        <v>591.416160008362</v>
      </c>
      <c r="L11" s="0" t="n">
        <f aca="false">L8+L10+L24</f>
        <v>609.158644808613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389.58</v>
      </c>
      <c r="D13" s="0" t="n">
        <f aca="false">D11+D12</f>
        <v>428.925</v>
      </c>
      <c r="E13" s="0" t="n">
        <f aca="false">E11+E12</f>
        <v>457.662975</v>
      </c>
      <c r="F13" s="0" t="n">
        <f aca="false">F11+F12</f>
        <v>493.0492875</v>
      </c>
      <c r="G13" s="0" t="n">
        <f aca="false">G11+G12</f>
        <v>517.89897159</v>
      </c>
      <c r="H13" s="0" t="n">
        <f aca="false">H11+H12</f>
        <v>538.6149304536</v>
      </c>
      <c r="I13" s="0" t="n">
        <f aca="false">I11+I12</f>
        <v>557.466453019476</v>
      </c>
      <c r="J13" s="0" t="n">
        <f aca="false">J11+J12</f>
        <v>574.19044661006</v>
      </c>
      <c r="K13" s="0" t="n">
        <f aca="false">K11+K12</f>
        <v>591.416160008362</v>
      </c>
      <c r="L13" s="0" t="n">
        <f aca="false">L11+L12</f>
        <v>609.158644808613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389.58</v>
      </c>
      <c r="D15" s="0" t="n">
        <f aca="false">D13-MAX(0,D13)*D14/100</f>
        <v>428.925</v>
      </c>
      <c r="E15" s="0" t="n">
        <f aca="false">E13-MAX(0,E13)*E14/100</f>
        <v>457.662975</v>
      </c>
      <c r="F15" s="0" t="n">
        <f aca="false">F13-MAX(0,F13)*F14/100</f>
        <v>493.0492875</v>
      </c>
      <c r="G15" s="0" t="n">
        <f aca="false">G13-MAX(0,G13)*G14/100</f>
        <v>517.89897159</v>
      </c>
      <c r="H15" s="0" t="n">
        <f aca="false">H13-MAX(0,H13)*H14/100</f>
        <v>538.6149304536</v>
      </c>
      <c r="I15" s="0" t="n">
        <f aca="false">I13-MAX(0,I13)*I14/100</f>
        <v>557.466453019476</v>
      </c>
      <c r="J15" s="0" t="n">
        <f aca="false">J13-MAX(0,J13)*J14/100</f>
        <v>574.19044661006</v>
      </c>
      <c r="K15" s="0" t="n">
        <f aca="false">K13-MAX(0,K13)*K14/100</f>
        <v>591.416160008362</v>
      </c>
      <c r="L15" s="0" t="n">
        <f aca="false">L13-MAX(0,L13)*L14/100</f>
        <v>609.158644808613</v>
      </c>
    </row>
    <row r="16" customFormat="false" ht="15" hidden="false" customHeight="false" outlineLevel="0" collapsed="false">
      <c r="A16" s="0" t="s">
        <v>117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-81.7</v>
      </c>
      <c r="D17" s="4" t="n">
        <f aca="false">-D6*Assumptions!D46/100</f>
        <v>-85.785</v>
      </c>
      <c r="E17" s="4" t="n">
        <f aca="false">-E6*Assumptions!E46/100</f>
        <v>-89.645325</v>
      </c>
      <c r="F17" s="4" t="n">
        <f aca="false">-F6*Assumptions!F46/100</f>
        <v>-93.679364625</v>
      </c>
      <c r="G17" s="4" t="n">
        <f aca="false">-G6*Assumptions!G46/100</f>
        <v>-97.42653921</v>
      </c>
      <c r="H17" s="4" t="n">
        <f aca="false">-H6*Assumptions!H46/100</f>
        <v>-101.3236007784</v>
      </c>
      <c r="I17" s="4" t="n">
        <f aca="false">-I6*Assumptions!I46/100</f>
        <v>-104.869926805644</v>
      </c>
      <c r="J17" s="4" t="n">
        <f aca="false">-J6*Assumptions!J46/100</f>
        <v>-108.016024609813</v>
      </c>
      <c r="K17" s="4" t="n">
        <f aca="false">-K6*Assumptions!K46/100</f>
        <v>-111.256505348108</v>
      </c>
      <c r="L17" s="4" t="n">
        <f aca="false">-L6*Assumptions!L46/100</f>
        <v>-114.594200508551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307.88</v>
      </c>
      <c r="D19" s="0" t="n">
        <f aca="false">D15+D16+D17+D18</f>
        <v>343.14</v>
      </c>
      <c r="E19" s="0" t="n">
        <f aca="false">E15+E16+E17+E18</f>
        <v>368.01765</v>
      </c>
      <c r="F19" s="0" t="n">
        <f aca="false">F15+F16+F17+F18</f>
        <v>399.369922875</v>
      </c>
      <c r="G19" s="0" t="n">
        <f aca="false">G15+G16+G17+G18</f>
        <v>420.47243238</v>
      </c>
      <c r="H19" s="0" t="n">
        <f aca="false">H15+H16+H17+H18</f>
        <v>437.2913296752</v>
      </c>
      <c r="I19" s="0" t="n">
        <f aca="false">I15+I16+I17+I18</f>
        <v>452.596526213832</v>
      </c>
      <c r="J19" s="0" t="n">
        <f aca="false">J15+J16+J17+J18</f>
        <v>466.174422000247</v>
      </c>
      <c r="K19" s="0" t="n">
        <f aca="false">K15+K16+K17+K18</f>
        <v>480.159654660254</v>
      </c>
      <c r="L19" s="0" t="n">
        <f aca="false">L15+L16+L17+L18</f>
        <v>494.564444300062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283.760368663595</v>
      </c>
      <c r="D21" s="0" t="n">
        <f aca="false">D19*D20</f>
        <v>291.48208711164</v>
      </c>
      <c r="E21" s="0" t="n">
        <f aca="false">E19*E20</f>
        <v>288.123998550446</v>
      </c>
      <c r="F21" s="0" t="n">
        <f aca="false">F19*F20</f>
        <v>288.175066256676</v>
      </c>
      <c r="G21" s="0" t="n">
        <f aca="false">G19*G20</f>
        <v>279.633266773275</v>
      </c>
      <c r="H21" s="0" t="n">
        <f aca="false">H19*H20</f>
        <v>268.035573681296</v>
      </c>
      <c r="I21" s="0" t="n">
        <f aca="false">I19*I20</f>
        <v>255.683703926398</v>
      </c>
      <c r="J21" s="0" t="n">
        <f aca="false">J19*J20</f>
        <v>242.722778842571</v>
      </c>
      <c r="K21" s="0" t="n">
        <f aca="false">K19*K20</f>
        <v>230.41885917774</v>
      </c>
      <c r="L21" s="0" t="n">
        <f aca="false">L19*L20</f>
        <v>218.738640509745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2646.77434349338</v>
      </c>
    </row>
    <row r="31" customFormat="false" ht="15" hidden="false" customHeight="false" outlineLevel="0" collapsed="false">
      <c r="A31" s="0" t="s">
        <v>126</v>
      </c>
      <c r="B31" s="0" t="n">
        <f aca="false">L19</f>
        <v>494.564444300062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8448.80925679273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8902.15999740112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8448.80925679273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3736.78510870814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6383.55945220152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6383.55945220152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854.559498286682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0.414833606434904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854.559498286682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4055.42844326051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398.838924509831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383.387394010123</v>
      </c>
      <c r="C4" s="0" t="n">
        <f aca="false">B4/Assumptions!$B$2-1</f>
        <v>-0.365252658923637</v>
      </c>
      <c r="D4" s="4" t="n">
        <f aca="false">Assumptions!$B$24</f>
        <v>0.25</v>
      </c>
      <c r="E4" s="4" t="n">
        <f aca="false">DCF_Bear!$B$43</f>
        <v>383.387394010123</v>
      </c>
      <c r="F4" s="4" t="n">
        <f aca="false">DCF_Bear!$B$47</f>
        <v>242.097303511717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657.690360800586</v>
      </c>
      <c r="C5" s="0" t="n">
        <f aca="false">B5/Assumptions!$B$2-1</f>
        <v>0.0888913258287845</v>
      </c>
      <c r="D5" s="4" t="n">
        <f aca="false">Assumptions!$B$38</f>
        <v>0.5</v>
      </c>
      <c r="E5" s="4" t="n">
        <f aca="false">DCF_Base!$B$43</f>
        <v>657.690360800586</v>
      </c>
      <c r="F5" s="4" t="n">
        <f aca="false">DCF_Base!$B$47</f>
        <v>347.074577887446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854.559498286682</v>
      </c>
      <c r="C6" s="0" t="n">
        <f aca="false">B6/Assumptions!$B$2-1</f>
        <v>0.414833606434904</v>
      </c>
      <c r="D6" s="4" t="n">
        <f aca="false">Assumptions!$B$52</f>
        <v>0.25</v>
      </c>
      <c r="E6" s="4" t="n">
        <f aca="false">DCF_Bull!$B$43</f>
        <v>854.559498286682</v>
      </c>
      <c r="F6" s="4" t="n">
        <f aca="false">DCF_Bull!$B$47</f>
        <v>398.838924509831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638.331903474494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638.331903474494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0.0537837812705629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333.77134594911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657.690360800586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573.348454498856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507.832754163161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455.49077052484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347.074577887446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825.173202760815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858.833216654747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858.833216654747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858.833216654747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858.833216654747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702.680638454389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733.880314627429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770.27993682931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796.568552864001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796.568552864001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611.026703962722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632.803077153725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657.690360800586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686.406457316195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719.908569917738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539.918282175207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555.650127974571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573.348454498856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593.406557893045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616.330104629261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483.180538430447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494.857903777522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507.832754163161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522.334057535345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538.648023829053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2026-10-10T00:53:01Z</dcterms:created>
  <dc:creator>openpyxl</dc:creator>
  <dc:description/>
  <dc:language>en-NZ</dc:language>
  <cp:lastModifiedBy/>
  <dcterms:modified xsi:type="dcterms:W3CDTF">2026-10-10T00:53:01Z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