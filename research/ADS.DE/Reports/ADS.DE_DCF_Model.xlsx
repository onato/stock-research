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<sst xmlns="http://schemas.openxmlformats.org/spreadsheetml/2006/main" count="370" uniqueCount="173">
  <si>
    <t xml:space="preserve">Ticker</t>
  </si>
  <si>
    <t xml:space="preserve">ADS.DE</t>
  </si>
  <si>
    <t xml:space="preserve">Company</t>
  </si>
  <si>
    <t xml:space="preserve">adidas AG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</si>
  <si>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</si>
  <si>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</si>
  <si>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</si>
  <si>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</si>
  <si>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2026-10-23T15:39:04Z Xetra regular close (Friday); weekend, no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</si>
  <si>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</si>
  <si>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</si>
  <si>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</si>
  <si>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</si>
  <si>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</si>
  <si>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</si>
  <si>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</si>
  <si>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</si>
  <si>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</si>
  <si>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</si>
  <si>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</si>
  <si>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</si>
  <si>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2026-10-24T12:17:54Z</t>
  </si>
  <si>
    <t xml:space="preserve">Drivers file</t>
  </si>
  <si>
    <t xml:space="preserve">ADS.DE_Drivers.json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</si>
  <si>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</si>
  <si>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</si>
  <si>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</si>
  <si>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a lease-consistent basis (lease cash charged in the flows, leases excluded from net debt). Neither the Yeezy trough (FY2022-23) nor the FY2025 working-capital-depressed FCF nor the FY2026 tariff-refund-flattered margin is capitalized; the terminal year carries a mid-cycle 13.5% EBITDA margin and a 15x cap appropriate to a fashion-cyclical consumer brand. Risk is charged once, in scenario flows and a 25% bear weight, with a single EUR WACC.
key_risks_to_valuation: Lifestyle footwear fade (Samba/Gazelle) faster than Performance can replace it; US tariff regime on Vietnam/Indonesia sourcing; refunds not guaranteed; Working-capital intensity: every 1pp of OWC/sales is ~EUR 250m of cash; Competitive erosion from On, Hoka, New Balance, Anta/Li Ning capping margins below the double-digit target; Key-person dependence on CEO Bjorn Gulden; Share count is an estimate (175.5m) pending the next disclosed figure; +/-0.5m shares is +/-0.3% of value</t>
  </si>
  <si>
    <t xml:space="preserve">Data sources</t>
  </si>
  <si>
    <t xml:space="preserve">price: Yahoo Finance chart API at inputs.price_as_of; 52-week range 129.95-189.95
financials: ADS.DE_Metrics.csv (core_metrics, FY2015-H1 2026); FY2025 Annual Report cash flow statement, EBITDA composition, lease note 19, ROU note 10, share-based payment note 26; H1 2026 interim report balance sheet (30 June 2026)
qualitative: ADS.DE_Analysis.json (2026-10-25), incl. Q3 2026 preliminary results and FY2026 guidance raise to ~EUR 2.5bn OP</t>
  </si>
  <si>
    <t xml:space="preserve">Scenario narrative: bear</t>
  </si>
  <si>
    <t xml:space="preserve">The lifestyle cycle breaks hard after the 2026 event year: industry-wide excess lifestyle inventory forces discounting, World Cup/Olympics demand proves non-recurring, and revenue stalls (~1% in FY2027-28) while US tariffs on Vietnam/Indonesia sourcing stay and refunds stop. OP falls back to ~6.5% (EBITDA 11%) -- roughly FY2024 levels, not the Yeezy trough -- as marketing spend to defend share stays high and own-retail deleverage lifts the lease burden to 3.2% of sales. Inventory ties up working capital at ~22% of sales.</t>
  </si>
  <si>
    <t xml:space="preserve">Scenario narrative: base</t>
  </si>
  <si>
    <t xml:space="preserve">The Gulden turnaround holds but the lifestyle 'Terrace' cycle (Samba, Gazelle) normalizes, as the CEO himself flagged at Q3 2026. FY2026 lands on guidance (+9% reported revenue, ~EUR 2.5bn OP including a one-off ~EUR 200m tariff refund). FY2027 margin slips as the refund drops out and World Cup comps bite; Performance (running, football) and Greater China carry growth of 5-6% into FY2027-29, fading to the ~4% industry rate and 2.5%. EBITDA settles at a mid-cycle 13.5% (OP ~9%), short of management's double-digit target, because challenger brands (On, Hoka, New Balance, Anta) cap pricing power. Working capital stays at ~22% of sales.</t>
  </si>
  <si>
    <t xml:space="preserve">Scenario narrative: bull</t>
  </si>
  <si>
    <t xml:space="preserve">Performance credibility (Adizero marathon wins, football leadership, basketball) replaces lifestyle as the growth engine before Terrace fades, and share gains against a weakened Nike continue in China and North America. Management delivers its ~EUR 2bn/yr incremental revenue in FY2027-28 and reaches double-digit OP (EBITDA 15.5%, OP ~11%, the FY2018-19 peak) by FY2030 via DTC mix, full-price sell-through and SG&amp;A leverage; a further ~EUR 300m of tariff refunds is upside not modelled.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</si>
  <si>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</si>
  <si>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</si>
  <si>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</si>
  <si>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</si>
  <si>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</si>
  <si>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</si>
  <si>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</si>
  <si>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</si>
  <si>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</si>
  <si>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</si>
  <si>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</si>
  <si>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</si>
  <si>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</si>
  <si>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</si>
  <si>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</si>
  <si>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</si>
  <si>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</si>
  <si>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</si>
  <si>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</si>
  <si>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</si>
  <si>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</si>
  <si>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</si>
  <si>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</si>
  <si>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</si>
  <si>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</si>
  <si>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</si>
  <si>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</si>
  <si>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</si>
  <si>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NetIncomeAttributable</t>
  </si>
  <si>
    <t xml:space="preserve">RevenueChina</t>
  </si>
  <si>
    <t xml:space="preserve">SegmentRevenueEurope</t>
  </si>
  <si>
    <t xml:space="preserve">SegmentRevenueLatinAmerica</t>
  </si>
  <si>
    <t xml:space="preserve">SegmentRevenueNorthAmerica</t>
  </si>
  <si>
    <t xml:space="preserve">WholesaleRevenue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</si>
  <si>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</si>
  <si>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</si>
  <si>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</si>
  <si>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</si>
  <si>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</si>
  <si>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</si>
  <si>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</si>
  <si>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</si>
  <si>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</si>
  <si>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</si>
  <si>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</si>
  <si>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</si>
  <si>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</si>
  <si>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</si>
  <si>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</si>
  <si>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</si>
  <si>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</si>
  <si>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</si>
  <si>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</si>
  <si>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</si>
  <si>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</si>
  <si>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</si>
  <si>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</si>
  <si>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</si>
  <si>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</si>
  <si>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</si>
  <si>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</si>
  <si>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</si>
  <si>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</si>
  <si>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</si>
  <si>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</si>
  <si>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</si>
  <si>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</si>
  <si>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</si>
  <si>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</si>
  <si>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</si>
  <si>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</si>
  <si>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</si>
  <si>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</si>
  <si>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</si>
  <si>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</si>
  <si>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</si>
  <si>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</si>
  <si>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</si>
  <si>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</si>
  <si>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</si>
  <si>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</si>
  <si>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</si>
  <si>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ADS.DE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</si>
  <si>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</si>
  <si>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</si>
  <si>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</si>
  <si>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</si>
  <si>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</si>
  <si>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</si>
  <si>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</si>
  <si>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</si>
  <si>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</si>
  <si>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</si>
  <si>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</si>
  <si>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</si>
  <si>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</si>
  <si>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</si>
  <si>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</si>
  <si>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</si>
  <si>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</si>
  <si>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</si>
  <si>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</si>
  <si>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</si>
  <si>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</si>
  <si>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</si>
  <si>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</si>
  <si>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</si>
  <si>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</si>
  <si>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</si>
  <si>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</si>
  <si>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</si>
  <si>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</si>
  <si>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</si>
  <si>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ADS.DE owner-FCF component DCF: base case (millions, EUR)</t>
  </si>
  <si>
    <t xml:space="preserve">ADS.DE owner-FCF component DCF: bull case (millions, EUR)</t>
  </si>
  <si>
    <t xml:space="preserve">ADS.DE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</si>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</sst>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157.5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</row>
    <row r="2" customFormat="false" ht="15" hidden="false" customHeight="false" outlineLevel="0" collapsed="false">
      <c r="A2" s="0" t="s">
        <v>70</v>
      </c>
      <c r="B2" s="0" t="n">
        <v>16915</v>
      </c>
      <c r="C2" s="0" t="n">
        <v>8748</v>
      </c>
      <c r="D2" s="0" t="n">
        <v>8168</v>
      </c>
      <c r="E2" s="0" t="n">
        <v>48.3</v>
      </c>
      <c r="F2" s="0" t="n">
        <v>1059</v>
      </c>
      <c r="G2" s="0" t="n">
        <v>6.3</v>
      </c>
      <c r="H2" s="0" t="n">
        <v>1475</v>
      </c>
      <c r="I2" s="0" t="n">
        <v>686</v>
      </c>
      <c r="J2" s="0" t="n">
        <v>4.1</v>
      </c>
      <c r="K2" s="0" t="n">
        <v>3.37</v>
      </c>
      <c r="L2" s="0" t="n">
        <v>1086</v>
      </c>
      <c r="M2" s="0" t="n">
        <v>513</v>
      </c>
      <c r="N2" s="0" t="n">
        <v>573</v>
      </c>
      <c r="O2" s="0" t="n">
        <v>5666</v>
      </c>
      <c r="P2" s="0" t="n">
        <v>13343</v>
      </c>
      <c r="Q2" s="0" t="n">
        <v>7695</v>
      </c>
      <c r="R2" s="0" t="n">
        <v>1829</v>
      </c>
      <c r="S2" s="0" t="n">
        <v>1365</v>
      </c>
      <c r="T2" s="0" t="n">
        <v>201.536</v>
      </c>
      <c r="AA2" s="0" t="s">
        <v>17</v>
      </c>
      <c r="AB2" s="0" t="s">
        <v>14</v>
      </c>
      <c r="AD2" s="0" t="n">
        <v>634</v>
      </c>
    </row>
    <row r="3" customFormat="false" ht="15" hidden="false" customHeight="false" outlineLevel="0" collapsed="false">
      <c r="A3" s="0" t="s">
        <v>71</v>
      </c>
      <c r="B3" s="0" t="n">
        <v>18483</v>
      </c>
      <c r="C3" s="0" t="n">
        <v>9383</v>
      </c>
      <c r="D3" s="0" t="n">
        <v>9100</v>
      </c>
      <c r="E3" s="0" t="n">
        <v>49.2</v>
      </c>
      <c r="F3" s="0" t="n">
        <v>1582</v>
      </c>
      <c r="G3" s="0" t="n">
        <v>8.6</v>
      </c>
      <c r="H3" s="0" t="n">
        <v>1953</v>
      </c>
      <c r="I3" s="0" t="n">
        <v>1082</v>
      </c>
      <c r="J3" s="0" t="n">
        <v>5.9</v>
      </c>
      <c r="K3" s="0" t="n">
        <v>5.29</v>
      </c>
      <c r="L3" s="0" t="n">
        <v>1309</v>
      </c>
      <c r="M3" s="0" t="n">
        <v>642</v>
      </c>
      <c r="N3" s="0" t="n">
        <v>667</v>
      </c>
      <c r="O3" s="0" t="n">
        <v>6472</v>
      </c>
      <c r="P3" s="0" t="n">
        <v>15176</v>
      </c>
      <c r="Q3" s="0" t="n">
        <v>8721</v>
      </c>
      <c r="R3" s="0" t="n">
        <v>1618</v>
      </c>
      <c r="S3" s="0" t="n">
        <v>1510</v>
      </c>
      <c r="T3" s="0" t="n">
        <v>200.188</v>
      </c>
      <c r="AA3" s="0" t="s">
        <v>17</v>
      </c>
      <c r="AB3" s="0" t="s">
        <v>14</v>
      </c>
      <c r="AD3" s="0" t="n">
        <v>1017</v>
      </c>
    </row>
    <row r="4" customFormat="false" ht="15" hidden="false" customHeight="false" outlineLevel="0" collapsed="false">
      <c r="A4" s="0" t="s">
        <v>72</v>
      </c>
      <c r="B4" s="0" t="n">
        <v>21218</v>
      </c>
      <c r="C4" s="0" t="n">
        <v>10514</v>
      </c>
      <c r="D4" s="0" t="n">
        <v>10703</v>
      </c>
      <c r="E4" s="0" t="n">
        <v>50.4</v>
      </c>
      <c r="F4" s="0" t="n">
        <v>2070</v>
      </c>
      <c r="G4" s="0" t="n">
        <v>9.8</v>
      </c>
      <c r="H4" s="0" t="n">
        <v>2511</v>
      </c>
      <c r="I4" s="0" t="n">
        <v>1354</v>
      </c>
      <c r="J4" s="0" t="n">
        <v>6.4</v>
      </c>
      <c r="K4" s="0" t="n">
        <v>6.63</v>
      </c>
      <c r="L4" s="0" t="n">
        <v>1641</v>
      </c>
      <c r="M4" s="0" t="n">
        <v>752</v>
      </c>
      <c r="N4" s="0" t="n">
        <v>889</v>
      </c>
      <c r="O4" s="0" t="n">
        <v>6450</v>
      </c>
      <c r="P4" s="0" t="n">
        <v>14522</v>
      </c>
      <c r="Q4" s="0" t="n">
        <v>8087</v>
      </c>
      <c r="R4" s="0" t="n">
        <v>1120</v>
      </c>
      <c r="S4" s="0" t="n">
        <v>1598</v>
      </c>
      <c r="T4" s="0" t="n">
        <v>203.861</v>
      </c>
      <c r="AA4" s="0" t="s">
        <v>17</v>
      </c>
      <c r="AB4" s="0" t="s">
        <v>14</v>
      </c>
      <c r="AD4" s="0" t="n">
        <v>1097</v>
      </c>
      <c r="AE4" s="0" t="n">
        <v>3789</v>
      </c>
      <c r="AG4" s="0" t="n">
        <v>1907</v>
      </c>
      <c r="AH4" s="0" t="n">
        <v>4275</v>
      </c>
    </row>
    <row r="5" customFormat="false" ht="15" hidden="false" customHeight="false" outlineLevel="0" collapsed="false">
      <c r="A5" s="0" t="s">
        <v>73</v>
      </c>
      <c r="B5" s="0" t="n">
        <v>21915</v>
      </c>
      <c r="C5" s="0" t="n">
        <v>10552</v>
      </c>
      <c r="D5" s="0" t="n">
        <v>11363</v>
      </c>
      <c r="E5" s="0" t="n">
        <v>51.9</v>
      </c>
      <c r="F5" s="0" t="n">
        <v>2368</v>
      </c>
      <c r="G5" s="0" t="n">
        <v>10.8</v>
      </c>
      <c r="H5" s="0" t="n">
        <v>2882</v>
      </c>
      <c r="I5" s="0" t="n">
        <v>1709</v>
      </c>
      <c r="J5" s="0" t="n">
        <v>7.8</v>
      </c>
      <c r="K5" s="0" t="n">
        <v>8.45</v>
      </c>
      <c r="L5" s="0" t="n">
        <v>2706</v>
      </c>
      <c r="M5" s="0" t="n">
        <v>707</v>
      </c>
      <c r="N5" s="0" t="n">
        <v>1999</v>
      </c>
      <c r="O5" s="0" t="n">
        <v>6377</v>
      </c>
      <c r="P5" s="0" t="n">
        <v>15612</v>
      </c>
      <c r="Q5" s="0" t="n">
        <v>9248</v>
      </c>
      <c r="R5" s="0" t="n">
        <v>1675</v>
      </c>
      <c r="S5" s="0" t="n">
        <v>2629</v>
      </c>
      <c r="T5" s="0" t="n">
        <v>199.171</v>
      </c>
      <c r="AA5" s="0" t="s">
        <v>17</v>
      </c>
      <c r="AB5" s="0" t="s">
        <v>14</v>
      </c>
      <c r="AD5" s="0" t="n">
        <v>1702</v>
      </c>
      <c r="AF5" s="0" t="n">
        <v>5885</v>
      </c>
      <c r="AG5" s="0" t="n">
        <v>1634</v>
      </c>
      <c r="AH5" s="0" t="n">
        <v>4689</v>
      </c>
    </row>
    <row r="6" customFormat="false" ht="15" hidden="false" customHeight="false" outlineLevel="0" collapsed="false">
      <c r="A6" s="0" t="s">
        <v>74</v>
      </c>
      <c r="B6" s="0" t="n">
        <v>23640</v>
      </c>
      <c r="C6" s="0" t="n">
        <v>11347</v>
      </c>
      <c r="D6" s="0" t="n">
        <v>12293</v>
      </c>
      <c r="E6" s="0" t="n">
        <v>52</v>
      </c>
      <c r="F6" s="0" t="n">
        <v>2660</v>
      </c>
      <c r="G6" s="0" t="n">
        <v>11.3</v>
      </c>
      <c r="H6" s="0" t="n">
        <v>3845</v>
      </c>
      <c r="I6" s="0" t="n">
        <v>1918</v>
      </c>
      <c r="J6" s="0" t="n">
        <v>8.1</v>
      </c>
      <c r="K6" s="0" t="n">
        <v>9.7</v>
      </c>
      <c r="L6" s="0" t="n">
        <v>2828</v>
      </c>
      <c r="M6" s="0" t="n">
        <v>708</v>
      </c>
      <c r="N6" s="0" t="n">
        <v>2120</v>
      </c>
      <c r="O6" s="0" t="n">
        <v>6796</v>
      </c>
      <c r="P6" s="0" t="n">
        <v>20680</v>
      </c>
      <c r="Q6" s="0" t="n">
        <v>13622</v>
      </c>
      <c r="R6" s="0" t="n">
        <v>1638</v>
      </c>
      <c r="S6" s="0" t="n">
        <v>2220</v>
      </c>
      <c r="T6" s="0" t="n">
        <v>195.969</v>
      </c>
      <c r="AA6" s="0" t="s">
        <v>17</v>
      </c>
      <c r="AB6" s="0" t="s">
        <v>14</v>
      </c>
      <c r="AC6" s="0" t="n">
        <v>597</v>
      </c>
      <c r="AD6" s="0" t="n">
        <v>1976</v>
      </c>
      <c r="AF6" s="0" t="n">
        <v>6071</v>
      </c>
      <c r="AG6" s="0" t="n">
        <v>1660</v>
      </c>
      <c r="AH6" s="0" t="n">
        <v>5313</v>
      </c>
    </row>
    <row r="7" customFormat="false" ht="15" hidden="false" customHeight="false" outlineLevel="0" collapsed="false">
      <c r="A7" s="0" t="s">
        <v>75</v>
      </c>
      <c r="B7" s="0" t="n">
        <v>18435</v>
      </c>
      <c r="C7" s="0" t="n">
        <v>9213</v>
      </c>
      <c r="D7" s="0" t="n">
        <v>9222</v>
      </c>
      <c r="E7" s="0" t="n">
        <v>50</v>
      </c>
      <c r="F7" s="0" t="n">
        <v>746</v>
      </c>
      <c r="G7" s="0" t="n">
        <v>4</v>
      </c>
      <c r="H7" s="0" t="n">
        <v>1967</v>
      </c>
      <c r="I7" s="0" t="n">
        <v>461</v>
      </c>
      <c r="J7" s="0" t="n">
        <v>2.5</v>
      </c>
      <c r="K7" s="0" t="n">
        <v>2.31</v>
      </c>
      <c r="L7" s="0" t="n">
        <v>1366</v>
      </c>
      <c r="M7" s="0" t="n">
        <v>432</v>
      </c>
      <c r="N7" s="0" t="n">
        <v>934</v>
      </c>
      <c r="O7" s="0" t="n">
        <v>6454</v>
      </c>
      <c r="P7" s="0" t="n">
        <v>21053</v>
      </c>
      <c r="Q7" s="0" t="n">
        <v>14362</v>
      </c>
      <c r="R7" s="0" t="n">
        <v>3168</v>
      </c>
      <c r="S7" s="0" t="n">
        <v>3994</v>
      </c>
      <c r="T7" s="0" t="n">
        <v>195.066</v>
      </c>
      <c r="AA7" s="0" t="s">
        <v>17</v>
      </c>
      <c r="AB7" s="0" t="s">
        <v>14</v>
      </c>
      <c r="AC7" s="0" t="n">
        <v>582</v>
      </c>
      <c r="AD7" s="0" t="n">
        <v>432</v>
      </c>
      <c r="AF7" s="0" t="n">
        <v>5320</v>
      </c>
      <c r="AG7" s="0" t="n">
        <v>1158</v>
      </c>
      <c r="AH7" s="0" t="n">
        <v>4762</v>
      </c>
    </row>
    <row r="8" customFormat="false" ht="15" hidden="false" customHeight="false" outlineLevel="0" collapsed="false">
      <c r="A8" s="0" t="s">
        <v>76</v>
      </c>
      <c r="B8" s="0" t="n">
        <v>21234</v>
      </c>
      <c r="C8" s="0" t="n">
        <v>10469</v>
      </c>
      <c r="D8" s="0" t="n">
        <v>10765</v>
      </c>
      <c r="E8" s="0" t="n">
        <v>50.7</v>
      </c>
      <c r="F8" s="0" t="n">
        <v>1986</v>
      </c>
      <c r="G8" s="0" t="n">
        <v>9.4</v>
      </c>
      <c r="H8" s="0" t="n">
        <v>3066</v>
      </c>
      <c r="I8" s="0" t="n">
        <v>1492</v>
      </c>
      <c r="J8" s="0" t="n">
        <v>7</v>
      </c>
      <c r="K8" s="0" t="n">
        <v>7.47</v>
      </c>
      <c r="L8" s="0" t="n">
        <v>2873</v>
      </c>
      <c r="M8" s="0" t="n">
        <v>667</v>
      </c>
      <c r="N8" s="0" t="n">
        <v>2206</v>
      </c>
      <c r="O8" s="0" t="n">
        <v>7519</v>
      </c>
      <c r="P8" s="0" t="n">
        <v>22137</v>
      </c>
      <c r="Q8" s="0" t="n">
        <v>14300</v>
      </c>
      <c r="R8" s="0" t="n">
        <v>2495</v>
      </c>
      <c r="S8" s="0" t="n">
        <v>3828</v>
      </c>
      <c r="T8" s="0" t="n">
        <v>191.595</v>
      </c>
      <c r="AA8" s="0" t="s">
        <v>17</v>
      </c>
      <c r="AB8" s="0" t="s">
        <v>14</v>
      </c>
      <c r="AC8" s="0" t="n">
        <v>572</v>
      </c>
      <c r="AD8" s="0" t="n">
        <v>2116</v>
      </c>
      <c r="AE8" s="0" t="n">
        <v>4597</v>
      </c>
      <c r="AG8" s="0" t="n">
        <v>1446</v>
      </c>
      <c r="AH8" s="0" t="n">
        <v>5105</v>
      </c>
    </row>
    <row r="9" customFormat="false" ht="15" hidden="false" customHeight="false" outlineLevel="0" collapsed="false">
      <c r="A9" s="0" t="s">
        <v>77</v>
      </c>
      <c r="B9" s="0" t="n">
        <v>22511</v>
      </c>
      <c r="C9" s="0" t="n">
        <v>11867</v>
      </c>
      <c r="D9" s="0" t="n">
        <v>10644</v>
      </c>
      <c r="E9" s="0" t="n">
        <v>47.3</v>
      </c>
      <c r="F9" s="0" t="n">
        <v>669</v>
      </c>
      <c r="G9" s="0" t="n">
        <v>3</v>
      </c>
      <c r="H9" s="0" t="n">
        <v>1874</v>
      </c>
      <c r="I9" s="0" t="n">
        <v>254</v>
      </c>
      <c r="J9" s="0" t="n">
        <v>1.1</v>
      </c>
      <c r="K9" s="0" t="n">
        <v>1.25</v>
      </c>
      <c r="L9" s="0" t="n">
        <v>-394</v>
      </c>
      <c r="M9" s="0" t="n">
        <v>695</v>
      </c>
      <c r="N9" s="0" t="n">
        <v>-1089</v>
      </c>
      <c r="O9" s="0" t="n">
        <v>4991</v>
      </c>
      <c r="P9" s="0" t="n">
        <v>20296</v>
      </c>
      <c r="Q9" s="0" t="n">
        <v>14945</v>
      </c>
      <c r="R9" s="0" t="n">
        <v>3473</v>
      </c>
      <c r="S9" s="0" t="n">
        <v>798</v>
      </c>
      <c r="T9" s="0" t="n">
        <v>178.537</v>
      </c>
      <c r="AA9" s="0" t="s">
        <v>17</v>
      </c>
      <c r="AB9" s="0" t="s">
        <v>14</v>
      </c>
      <c r="AC9" s="0" t="n">
        <v>631</v>
      </c>
      <c r="AD9" s="0" t="n">
        <v>612</v>
      </c>
      <c r="AE9" s="0" t="n">
        <v>3179</v>
      </c>
      <c r="AG9" s="0" t="n">
        <v>2110</v>
      </c>
      <c r="AH9" s="0" t="n">
        <v>6398</v>
      </c>
    </row>
    <row r="10" customFormat="false" ht="15" hidden="false" customHeight="false" outlineLevel="0" collapsed="false">
      <c r="A10" s="0" t="s">
        <v>78</v>
      </c>
      <c r="B10" s="0" t="n">
        <v>21427</v>
      </c>
      <c r="C10" s="0" t="n">
        <v>11244</v>
      </c>
      <c r="D10" s="0" t="n">
        <v>10184</v>
      </c>
      <c r="E10" s="0" t="n">
        <v>47.5</v>
      </c>
      <c r="F10" s="0" t="n">
        <v>268</v>
      </c>
      <c r="G10" s="0" t="n">
        <v>1.3</v>
      </c>
      <c r="H10" s="0" t="n">
        <v>1358</v>
      </c>
      <c r="I10" s="0" t="n">
        <v>-58</v>
      </c>
      <c r="J10" s="0" t="n">
        <v>-0.3</v>
      </c>
      <c r="K10" s="0" t="n">
        <v>-0.67</v>
      </c>
      <c r="L10" s="0" t="n">
        <v>2550</v>
      </c>
      <c r="M10" s="0" t="n">
        <v>504</v>
      </c>
      <c r="N10" s="0" t="n">
        <v>2046</v>
      </c>
      <c r="O10" s="0" t="n">
        <v>4580</v>
      </c>
      <c r="P10" s="0" t="n">
        <v>18020</v>
      </c>
      <c r="Q10" s="0" t="n">
        <v>13095</v>
      </c>
      <c r="R10" s="0" t="n">
        <v>2979</v>
      </c>
      <c r="S10" s="0" t="n">
        <v>1431</v>
      </c>
      <c r="T10" s="0" t="n">
        <v>178.549</v>
      </c>
      <c r="AA10" s="0" t="s">
        <v>17</v>
      </c>
      <c r="AB10" s="0" t="s">
        <v>14</v>
      </c>
      <c r="AC10" s="0" t="n">
        <v>603</v>
      </c>
      <c r="AD10" s="0" t="n">
        <v>-75</v>
      </c>
      <c r="AE10" s="0" t="n">
        <v>3190</v>
      </c>
      <c r="AG10" s="0" t="n">
        <v>2291</v>
      </c>
      <c r="AH10" s="0" t="n">
        <v>5219</v>
      </c>
    </row>
    <row r="11" customFormat="false" ht="15" hidden="false" customHeight="false" outlineLevel="0" collapsed="false">
      <c r="A11" s="0" t="s">
        <v>79</v>
      </c>
      <c r="B11" s="0" t="n">
        <v>23683</v>
      </c>
      <c r="C11" s="0" t="n">
        <v>11658</v>
      </c>
      <c r="D11" s="0" t="n">
        <v>12026</v>
      </c>
      <c r="E11" s="0" t="n">
        <v>50.8</v>
      </c>
      <c r="F11" s="0" t="n">
        <v>1337</v>
      </c>
      <c r="G11" s="0" t="n">
        <v>5.6</v>
      </c>
      <c r="H11" s="0" t="n">
        <v>2465</v>
      </c>
      <c r="I11" s="0" t="n">
        <v>824</v>
      </c>
      <c r="J11" s="0" t="n">
        <v>3.5</v>
      </c>
      <c r="K11" s="0" t="n">
        <v>4.24</v>
      </c>
      <c r="L11" s="0" t="n">
        <v>2910</v>
      </c>
      <c r="M11" s="0" t="n">
        <v>540</v>
      </c>
      <c r="N11" s="0" t="n">
        <v>2370</v>
      </c>
      <c r="O11" s="0" t="n">
        <v>5476</v>
      </c>
      <c r="P11" s="0" t="n">
        <v>20655</v>
      </c>
      <c r="Q11" s="0" t="n">
        <v>14788</v>
      </c>
      <c r="R11" s="0" t="n">
        <v>2485</v>
      </c>
      <c r="S11" s="0" t="n">
        <v>2455</v>
      </c>
      <c r="T11" s="0" t="n">
        <v>178.549</v>
      </c>
      <c r="AA11" s="0" t="s">
        <v>17</v>
      </c>
      <c r="AB11" s="0" t="s">
        <v>14</v>
      </c>
      <c r="AC11" s="0" t="n">
        <v>656</v>
      </c>
      <c r="AD11" s="0" t="n">
        <v>764</v>
      </c>
      <c r="AE11" s="0" t="n">
        <v>3459</v>
      </c>
      <c r="AF11" s="0" t="n">
        <v>7551</v>
      </c>
      <c r="AG11" s="0" t="n">
        <v>2772</v>
      </c>
      <c r="AH11" s="0" t="n">
        <v>5128</v>
      </c>
    </row>
    <row r="12" customFormat="false" ht="15" hidden="false" customHeight="false" outlineLevel="0" collapsed="false">
      <c r="A12" s="0" t="s">
        <v>80</v>
      </c>
      <c r="B12" s="0" t="n">
        <v>24811</v>
      </c>
      <c r="C12" s="0" t="n">
        <v>12006</v>
      </c>
      <c r="D12" s="0" t="n">
        <v>12804</v>
      </c>
      <c r="E12" s="0" t="n">
        <v>51.6</v>
      </c>
      <c r="F12" s="0" t="n">
        <v>2056</v>
      </c>
      <c r="G12" s="0" t="n">
        <v>8.3</v>
      </c>
      <c r="H12" s="0" t="n">
        <v>3124</v>
      </c>
      <c r="I12" s="0" t="n">
        <v>1377</v>
      </c>
      <c r="J12" s="0" t="n">
        <v>5.5</v>
      </c>
      <c r="K12" s="0" t="n">
        <v>7.46</v>
      </c>
      <c r="L12" s="0" t="n">
        <v>751</v>
      </c>
      <c r="M12" s="0" t="n">
        <v>477</v>
      </c>
      <c r="N12" s="0" t="n">
        <v>274</v>
      </c>
      <c r="O12" s="0" t="n">
        <v>5776</v>
      </c>
      <c r="P12" s="0" t="n">
        <v>20262</v>
      </c>
      <c r="Q12" s="0" t="n">
        <v>14137</v>
      </c>
      <c r="R12" s="0" t="n">
        <v>2641</v>
      </c>
      <c r="S12" s="0" t="n">
        <v>1617</v>
      </c>
      <c r="T12" s="0" t="n">
        <v>178.665</v>
      </c>
      <c r="AA12" s="0" t="s">
        <v>17</v>
      </c>
      <c r="AB12" s="0" t="s">
        <v>14</v>
      </c>
      <c r="AC12" s="0" t="n">
        <v>643</v>
      </c>
      <c r="AD12" s="0" t="n">
        <v>1340</v>
      </c>
      <c r="AE12" s="0" t="n">
        <v>3623</v>
      </c>
      <c r="AF12" s="0" t="n">
        <v>8136</v>
      </c>
      <c r="AG12" s="0" t="n">
        <v>2926</v>
      </c>
      <c r="AH12" s="0" t="n">
        <v>5087</v>
      </c>
      <c r="AI12" s="0" t="n">
        <v>14833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157.5</v>
      </c>
    </row>
    <row r="3" customFormat="false" ht="15" hidden="false" customHeight="false" outlineLevel="0" collapsed="false">
      <c r="A3" s="0" t="s">
        <v>84</v>
      </c>
      <c r="B3" s="3" t="n">
        <v>175.5</v>
      </c>
    </row>
    <row r="4" customFormat="false" ht="15" hidden="false" customHeight="false" outlineLevel="0" collapsed="false">
      <c r="A4" s="0" t="s">
        <v>85</v>
      </c>
      <c r="B4" s="3" t="n">
        <v>1890</v>
      </c>
    </row>
    <row r="5" customFormat="false" ht="15" hidden="false" customHeight="false" outlineLevel="0" collapsed="false">
      <c r="A5" s="0" t="s">
        <v>86</v>
      </c>
      <c r="B5" s="3" t="n">
        <v>-346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24811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8</v>
      </c>
      <c r="D13" s="3" t="n">
        <v>1</v>
      </c>
      <c r="E13" s="3" t="n">
        <v>1</v>
      </c>
      <c r="F13" s="3" t="n">
        <v>2.5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13.2</v>
      </c>
      <c r="D14" s="3" t="n">
        <v>11.5</v>
      </c>
      <c r="E14" s="3" t="n">
        <v>11</v>
      </c>
      <c r="F14" s="3" t="n">
        <v>11</v>
      </c>
      <c r="G14" s="3" t="n">
        <v>11</v>
      </c>
      <c r="H14" s="3" t="n">
        <v>11</v>
      </c>
      <c r="I14" s="3" t="n">
        <v>11</v>
      </c>
      <c r="J14" s="3" t="n">
        <v>11</v>
      </c>
      <c r="K14" s="3" t="n">
        <v>11</v>
      </c>
      <c r="L14" s="3" t="n">
        <v>11</v>
      </c>
    </row>
    <row r="15" customFormat="false" ht="15" hidden="false" customHeight="false" outlineLevel="0" collapsed="false">
      <c r="A15" s="0" t="s">
        <v>106</v>
      </c>
      <c r="C15" s="3" t="n">
        <v>0.17</v>
      </c>
      <c r="D15" s="3" t="n">
        <v>0.17</v>
      </c>
      <c r="E15" s="3" t="n">
        <v>0.17</v>
      </c>
      <c r="F15" s="3" t="n">
        <v>0.17</v>
      </c>
      <c r="G15" s="3" t="n">
        <v>0.17</v>
      </c>
      <c r="H15" s="3" t="n">
        <v>0.17</v>
      </c>
      <c r="I15" s="3" t="n">
        <v>0.17</v>
      </c>
      <c r="J15" s="3" t="n">
        <v>0.17</v>
      </c>
      <c r="K15" s="3" t="n">
        <v>0.17</v>
      </c>
      <c r="L15" s="3" t="n">
        <v>0.17</v>
      </c>
    </row>
    <row r="16" customFormat="false" ht="15" hidden="false" customHeight="false" outlineLevel="0" collapsed="false">
      <c r="A16" s="0" t="s">
        <v>107</v>
      </c>
      <c r="C16" s="3" t="n">
        <v>3</v>
      </c>
      <c r="D16" s="3" t="n">
        <v>3.1</v>
      </c>
      <c r="E16" s="3" t="n">
        <v>3.2</v>
      </c>
      <c r="F16" s="3" t="n">
        <v>3.2</v>
      </c>
      <c r="G16" s="3" t="n">
        <v>3.2</v>
      </c>
      <c r="H16" s="3" t="n">
        <v>3.2</v>
      </c>
      <c r="I16" s="3" t="n">
        <v>3.2</v>
      </c>
      <c r="J16" s="3" t="n">
        <v>3.2</v>
      </c>
      <c r="K16" s="3" t="n">
        <v>3.2</v>
      </c>
      <c r="L16" s="3" t="n">
        <v>3.2</v>
      </c>
    </row>
    <row r="17" customFormat="false" ht="15" hidden="false" customHeight="false" outlineLevel="0" collapsed="false">
      <c r="A17" s="0" t="s">
        <v>108</v>
      </c>
      <c r="C17" s="3" t="n">
        <v>1.9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109</v>
      </c>
      <c r="C18" s="3" t="n">
        <v>1.9</v>
      </c>
      <c r="D18" s="3" t="n">
        <v>2.1</v>
      </c>
      <c r="E18" s="3" t="n">
        <v>2.2</v>
      </c>
      <c r="F18" s="3" t="n">
        <v>2.2</v>
      </c>
      <c r="G18" s="3" t="n">
        <v>2.2</v>
      </c>
      <c r="H18" s="3" t="n">
        <v>2.2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110</v>
      </c>
      <c r="C19" s="3" t="n">
        <v>25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111</v>
      </c>
      <c r="B20" s="3" t="n">
        <v>8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15</v>
      </c>
    </row>
    <row r="23" customFormat="false" ht="15" hidden="false" customHeight="false" outlineLevel="0" collapsed="false">
      <c r="A23" s="0" t="s">
        <v>114</v>
      </c>
      <c r="B23" s="3" t="n">
        <v>-22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9</v>
      </c>
      <c r="D27" s="3" t="n">
        <v>6.5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13.4</v>
      </c>
      <c r="D28" s="3" t="n">
        <v>13</v>
      </c>
      <c r="E28" s="3" t="n">
        <v>13.3</v>
      </c>
      <c r="F28" s="3" t="n">
        <v>13.5</v>
      </c>
      <c r="G28" s="3" t="n">
        <v>13.5</v>
      </c>
      <c r="H28" s="3" t="n">
        <v>13.5</v>
      </c>
      <c r="I28" s="3" t="n">
        <v>13.5</v>
      </c>
      <c r="J28" s="3" t="n">
        <v>13.5</v>
      </c>
      <c r="K28" s="3" t="n">
        <v>13.5</v>
      </c>
      <c r="L28" s="3" t="n">
        <v>13.5</v>
      </c>
    </row>
    <row r="29" customFormat="false" ht="15" hidden="false" customHeight="false" outlineLevel="0" collapsed="false">
      <c r="A29" s="0" t="s">
        <v>106</v>
      </c>
      <c r="C29" s="3" t="n">
        <v>0.17</v>
      </c>
      <c r="D29" s="3" t="n">
        <v>0.17</v>
      </c>
      <c r="E29" s="3" t="n">
        <v>0.17</v>
      </c>
      <c r="F29" s="3" t="n">
        <v>0.17</v>
      </c>
      <c r="G29" s="3" t="n">
        <v>0.17</v>
      </c>
      <c r="H29" s="3" t="n">
        <v>0.17</v>
      </c>
      <c r="I29" s="3" t="n">
        <v>0.17</v>
      </c>
      <c r="J29" s="3" t="n">
        <v>0.17</v>
      </c>
      <c r="K29" s="3" t="n">
        <v>0.17</v>
      </c>
      <c r="L29" s="3" t="n">
        <v>0.17</v>
      </c>
    </row>
    <row r="30" customFormat="false" ht="15" hidden="false" customHeight="false" outlineLevel="0" collapsed="false">
      <c r="A30" s="0" t="s">
        <v>107</v>
      </c>
      <c r="C30" s="3" t="n">
        <v>3</v>
      </c>
      <c r="D30" s="3" t="n">
        <v>3</v>
      </c>
      <c r="E30" s="3" t="n">
        <v>3</v>
      </c>
      <c r="F30" s="3" t="n">
        <v>3</v>
      </c>
      <c r="G30" s="3" t="n">
        <v>3</v>
      </c>
      <c r="H30" s="3" t="n">
        <v>3</v>
      </c>
      <c r="I30" s="3" t="n">
        <v>3</v>
      </c>
      <c r="J30" s="3" t="n">
        <v>3</v>
      </c>
      <c r="K30" s="3" t="n">
        <v>3</v>
      </c>
      <c r="L30" s="3" t="n">
        <v>3</v>
      </c>
    </row>
    <row r="31" customFormat="false" ht="15" hidden="false" customHeight="false" outlineLevel="0" collapsed="false">
      <c r="A31" s="0" t="s">
        <v>108</v>
      </c>
      <c r="C31" s="3" t="n">
        <v>1.9</v>
      </c>
      <c r="D31" s="3" t="n">
        <v>1.9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109</v>
      </c>
      <c r="C32" s="3" t="n">
        <v>1.9</v>
      </c>
      <c r="D32" s="3" t="n">
        <v>2.1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110</v>
      </c>
      <c r="C33" s="3" t="n">
        <v>25</v>
      </c>
      <c r="D33" s="3" t="n">
        <v>25.5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111</v>
      </c>
      <c r="B34" s="3" t="n">
        <v>8</v>
      </c>
    </row>
    <row r="35" customFormat="false" ht="15" hidden="false" customHeight="false" outlineLevel="0" collapsed="false">
      <c r="A35" s="0" t="s">
        <v>112</v>
      </c>
      <c r="B35" s="3" t="n">
        <v>2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-22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10</v>
      </c>
      <c r="D41" s="3" t="n">
        <v>8</v>
      </c>
      <c r="E41" s="3" t="n">
        <v>7.5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13.6</v>
      </c>
      <c r="D42" s="3" t="n">
        <v>13.8</v>
      </c>
      <c r="E42" s="3" t="n">
        <v>14.4</v>
      </c>
      <c r="F42" s="3" t="n">
        <v>15</v>
      </c>
      <c r="G42" s="3" t="n">
        <v>15.5</v>
      </c>
      <c r="H42" s="3" t="n">
        <v>15.5</v>
      </c>
      <c r="I42" s="3" t="n">
        <v>15.5</v>
      </c>
      <c r="J42" s="3" t="n">
        <v>15.5</v>
      </c>
      <c r="K42" s="3" t="n">
        <v>15.5</v>
      </c>
      <c r="L42" s="3" t="n">
        <v>15.5</v>
      </c>
    </row>
    <row r="43" customFormat="false" ht="15" hidden="false" customHeight="false" outlineLevel="0" collapsed="false">
      <c r="A43" s="0" t="s">
        <v>106</v>
      </c>
      <c r="C43" s="3" t="n">
        <v>0.17</v>
      </c>
      <c r="D43" s="3" t="n">
        <v>0.17</v>
      </c>
      <c r="E43" s="3" t="n">
        <v>0.17</v>
      </c>
      <c r="F43" s="3" t="n">
        <v>0.17</v>
      </c>
      <c r="G43" s="3" t="n">
        <v>0.17</v>
      </c>
      <c r="H43" s="3" t="n">
        <v>0.17</v>
      </c>
      <c r="I43" s="3" t="n">
        <v>0.17</v>
      </c>
      <c r="J43" s="3" t="n">
        <v>0.17</v>
      </c>
      <c r="K43" s="3" t="n">
        <v>0.17</v>
      </c>
      <c r="L43" s="3" t="n">
        <v>0.17</v>
      </c>
    </row>
    <row r="44" customFormat="false" ht="15" hidden="false" customHeight="false" outlineLevel="0" collapsed="false">
      <c r="A44" s="0" t="s">
        <v>107</v>
      </c>
      <c r="C44" s="3" t="n">
        <v>3</v>
      </c>
      <c r="D44" s="3" t="n">
        <v>3</v>
      </c>
      <c r="E44" s="3" t="n">
        <v>3</v>
      </c>
      <c r="F44" s="3" t="n">
        <v>3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3</v>
      </c>
      <c r="L44" s="3" t="n">
        <v>3</v>
      </c>
    </row>
    <row r="45" customFormat="false" ht="15" hidden="false" customHeight="false" outlineLevel="0" collapsed="false">
      <c r="A45" s="0" t="s">
        <v>108</v>
      </c>
      <c r="C45" s="3" t="n">
        <v>1.9</v>
      </c>
      <c r="D45" s="3" t="n">
        <v>1.9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109</v>
      </c>
      <c r="C46" s="3" t="n">
        <v>1.9</v>
      </c>
      <c r="D46" s="3" t="n">
        <v>2.1</v>
      </c>
      <c r="E46" s="3" t="n">
        <v>2.2</v>
      </c>
      <c r="F46" s="3" t="n">
        <v>2.2</v>
      </c>
      <c r="G46" s="3" t="n">
        <v>2.2</v>
      </c>
      <c r="H46" s="3" t="n">
        <v>2.2</v>
      </c>
      <c r="I46" s="3" t="n">
        <v>2.2</v>
      </c>
      <c r="J46" s="3" t="n">
        <v>2.2</v>
      </c>
      <c r="K46" s="3" t="n">
        <v>2.2</v>
      </c>
      <c r="L46" s="3" t="n">
        <v>2.2</v>
      </c>
    </row>
    <row r="47" customFormat="false" ht="15" hidden="false" customHeight="false" outlineLevel="0" collapsed="false">
      <c r="A47" s="0" t="s">
        <v>110</v>
      </c>
      <c r="C47" s="3" t="n">
        <v>25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111</v>
      </c>
      <c r="B48" s="3" t="n">
        <v>8</v>
      </c>
    </row>
    <row r="49" customFormat="false" ht="15" hidden="false" customHeight="false" outlineLevel="0" collapsed="false">
      <c r="A49" s="0" t="s">
        <v>112</v>
      </c>
      <c r="B49" s="3" t="n">
        <v>2</v>
      </c>
    </row>
    <row r="50" customFormat="false" ht="15" hidden="false" customHeight="false" outlineLevel="0" collapsed="false">
      <c r="A50" s="0" t="s">
        <v>113</v>
      </c>
      <c r="B50" s="3" t="n">
        <v>15</v>
      </c>
    </row>
    <row r="51" customFormat="false" ht="15" hidden="false" customHeight="false" outlineLevel="0" collapsed="false">
      <c r="A51" s="0" t="s">
        <v>114</v>
      </c>
      <c r="B51" s="3" t="n">
        <v>-22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8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2.5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24811</v>
      </c>
      <c r="C6" s="0" t="n">
        <f aca="false">B6*(1+C5/100)</f>
        <v>26795.88</v>
      </c>
      <c r="D6" s="0" t="n">
        <f aca="false">C6*(1+D5/100)</f>
        <v>27063.8388</v>
      </c>
      <c r="E6" s="0" t="n">
        <f aca="false">D6*(1+E5/100)</f>
        <v>27334.477188</v>
      </c>
      <c r="F6" s="0" t="n">
        <f aca="false">E6*(1+F5/100)</f>
        <v>28017.8391177</v>
      </c>
      <c r="G6" s="0" t="n">
        <f aca="false">F6*(1+G5/100)</f>
        <v>28858.374291231</v>
      </c>
      <c r="H6" s="0" t="n">
        <f aca="false">G6*(1+H5/100)</f>
        <v>29724.1255199679</v>
      </c>
      <c r="I6" s="0" t="n">
        <f aca="false">H6*(1+I5/100)</f>
        <v>30467.2286579671</v>
      </c>
      <c r="J6" s="0" t="n">
        <f aca="false">I6*(1+J5/100)</f>
        <v>31228.9093744163</v>
      </c>
      <c r="K6" s="0" t="n">
        <f aca="false">J6*(1+K5/100)</f>
        <v>31853.4875619046</v>
      </c>
      <c r="L6" s="0" t="n">
        <f aca="false">K6*(1+L5/100)</f>
        <v>32490.5573131427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13.2</v>
      </c>
      <c r="D7" s="4" t="n">
        <f aca="false">Assumptions!D14</f>
        <v>11.5</v>
      </c>
      <c r="E7" s="4" t="n">
        <f aca="false">Assumptions!E14</f>
        <v>11</v>
      </c>
      <c r="F7" s="4" t="n">
        <f aca="false">Assumptions!F14</f>
        <v>11</v>
      </c>
      <c r="G7" s="4" t="n">
        <f aca="false">Assumptions!G14</f>
        <v>11</v>
      </c>
      <c r="H7" s="4" t="n">
        <f aca="false">Assumptions!H14</f>
        <v>11</v>
      </c>
      <c r="I7" s="4" t="n">
        <f aca="false">Assumptions!I14</f>
        <v>11</v>
      </c>
      <c r="J7" s="4" t="n">
        <f aca="false">Assumptions!J14</f>
        <v>11</v>
      </c>
      <c r="K7" s="4" t="n">
        <f aca="false">Assumptions!K14</f>
        <v>11</v>
      </c>
      <c r="L7" s="4" t="n">
        <f aca="false">Assumptions!L14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3537.05616</v>
      </c>
      <c r="D8" s="0" t="n">
        <f aca="false">D6*D7/100</f>
        <v>3112.341462</v>
      </c>
      <c r="E8" s="0" t="n">
        <f aca="false">E6*E7/100</f>
        <v>3006.79249068</v>
      </c>
      <c r="F8" s="0" t="n">
        <f aca="false">F6*F7/100</f>
        <v>3081.962302947</v>
      </c>
      <c r="G8" s="0" t="n">
        <f aca="false">G6*G7/100</f>
        <v>3174.42117203541</v>
      </c>
      <c r="H8" s="0" t="n">
        <f aca="false">H6*H7/100</f>
        <v>3269.65380719647</v>
      </c>
      <c r="I8" s="0" t="n">
        <f aca="false">I6*I7/100</f>
        <v>3351.39515237638</v>
      </c>
      <c r="J8" s="0" t="n">
        <f aca="false">J6*J7/100</f>
        <v>3435.18003118579</v>
      </c>
      <c r="K8" s="0" t="n">
        <f aca="false">K6*K7/100</f>
        <v>3503.88363180951</v>
      </c>
      <c r="L8" s="0" t="n">
        <f aca="false">L6*L7/100</f>
        <v>3573.9613044457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0.17</v>
      </c>
      <c r="D9" s="4" t="n">
        <f aca="false">Assumptions!D15</f>
        <v>0.17</v>
      </c>
      <c r="E9" s="4" t="n">
        <f aca="false">Assumptions!E15</f>
        <v>0.17</v>
      </c>
      <c r="F9" s="4" t="n">
        <f aca="false">Assumptions!F15</f>
        <v>0.17</v>
      </c>
      <c r="G9" s="4" t="n">
        <f aca="false">Assumptions!G15</f>
        <v>0.17</v>
      </c>
      <c r="H9" s="4" t="n">
        <f aca="false">Assumptions!H15</f>
        <v>0.17</v>
      </c>
      <c r="I9" s="4" t="n">
        <f aca="false">Assumptions!I15</f>
        <v>0.17</v>
      </c>
      <c r="J9" s="4" t="n">
        <f aca="false">Assumptions!J15</f>
        <v>0.17</v>
      </c>
      <c r="K9" s="4" t="n">
        <f aca="false">Assumptions!K15</f>
        <v>0.17</v>
      </c>
      <c r="L9" s="4" t="n">
        <f aca="false">Assumptions!L15</f>
        <v>0.17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-45.552996</v>
      </c>
      <c r="D10" s="0" t="n">
        <f aca="false">-D6*D9/100</f>
        <v>-46.00852596</v>
      </c>
      <c r="E10" s="0" t="n">
        <f aca="false">-E6*E9/100</f>
        <v>-46.4686112196</v>
      </c>
      <c r="F10" s="0" t="n">
        <f aca="false">-F6*F9/100</f>
        <v>-47.63032650009</v>
      </c>
      <c r="G10" s="0" t="n">
        <f aca="false">-G6*G9/100</f>
        <v>-49.0592362950927</v>
      </c>
      <c r="H10" s="0" t="n">
        <f aca="false">-H6*H9/100</f>
        <v>-50.5310133839455</v>
      </c>
      <c r="I10" s="0" t="n">
        <f aca="false">-I6*I9/100</f>
        <v>-51.7942887185441</v>
      </c>
      <c r="J10" s="0" t="n">
        <f aca="false">-J6*J9/100</f>
        <v>-53.0891459365077</v>
      </c>
      <c r="K10" s="0" t="n">
        <f aca="false">-K6*K9/100</f>
        <v>-54.1509288552379</v>
      </c>
      <c r="L10" s="0" t="n">
        <f aca="false">-L6*L9/100</f>
        <v>-55.2339474323426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2687.626764</v>
      </c>
      <c r="D11" s="0" t="n">
        <f aca="false">D8+D10+D24</f>
        <v>2227.35393324</v>
      </c>
      <c r="E11" s="0" t="n">
        <f aca="false">E8+E10+E24</f>
        <v>2085.6206094444</v>
      </c>
      <c r="F11" s="0" t="n">
        <f aca="false">F8+F10+F24</f>
        <v>2137.76112468051</v>
      </c>
      <c r="G11" s="0" t="n">
        <f aca="false">G8+G10+G24</f>
        <v>2201.89395842092</v>
      </c>
      <c r="H11" s="0" t="n">
        <f aca="false">H8+H10+H24</f>
        <v>2267.95077717355</v>
      </c>
      <c r="I11" s="0" t="n">
        <f aca="false">I8+I10+I24</f>
        <v>2324.64954660289</v>
      </c>
      <c r="J11" s="0" t="n">
        <f aca="false">J8+J10+J24</f>
        <v>2382.76578526796</v>
      </c>
      <c r="K11" s="0" t="n">
        <f aca="false">K8+K10+K24</f>
        <v>2430.42110097332</v>
      </c>
      <c r="L11" s="0" t="n">
        <f aca="false">L8+L10+L24</f>
        <v>2479.02952299279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-509.12172</v>
      </c>
      <c r="D12" s="4" t="n">
        <f aca="false">-D6*Assumptions!D17/100</f>
        <v>-541.276776</v>
      </c>
      <c r="E12" s="4" t="n">
        <f aca="false">-E6*Assumptions!E17/100</f>
        <v>-546.68954376</v>
      </c>
      <c r="F12" s="4" t="n">
        <f aca="false">-F6*Assumptions!F17/100</f>
        <v>-560.356782354</v>
      </c>
      <c r="G12" s="4" t="n">
        <f aca="false">-G6*Assumptions!G17/100</f>
        <v>-577.16748582462</v>
      </c>
      <c r="H12" s="4" t="n">
        <f aca="false">-H6*Assumptions!H17/100</f>
        <v>-594.482510399359</v>
      </c>
      <c r="I12" s="4" t="n">
        <f aca="false">-I6*Assumptions!I17/100</f>
        <v>-609.344573159342</v>
      </c>
      <c r="J12" s="4" t="n">
        <f aca="false">-J6*Assumptions!J17/100</f>
        <v>-624.578187488326</v>
      </c>
      <c r="K12" s="4" t="n">
        <f aca="false">-K6*Assumptions!K17/100</f>
        <v>-637.069751238093</v>
      </c>
      <c r="L12" s="4" t="n">
        <f aca="false">-L6*Assumptions!L17/100</f>
        <v>-649.811146262854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2178.505044</v>
      </c>
      <c r="D13" s="0" t="n">
        <f aca="false">D11+D12</f>
        <v>1686.07715724</v>
      </c>
      <c r="E13" s="0" t="n">
        <f aca="false">E11+E12</f>
        <v>1538.9310656844</v>
      </c>
      <c r="F13" s="0" t="n">
        <f aca="false">F11+F12</f>
        <v>1577.40434232651</v>
      </c>
      <c r="G13" s="0" t="n">
        <f aca="false">G11+G12</f>
        <v>1624.7264725963</v>
      </c>
      <c r="H13" s="0" t="n">
        <f aca="false">H11+H12</f>
        <v>1673.4682667742</v>
      </c>
      <c r="I13" s="0" t="n">
        <f aca="false">I11+I12</f>
        <v>1715.30497344355</v>
      </c>
      <c r="J13" s="0" t="n">
        <f aca="false">J11+J12</f>
        <v>1758.18759777964</v>
      </c>
      <c r="K13" s="0" t="n">
        <f aca="false">K11+K12</f>
        <v>1793.35134973523</v>
      </c>
      <c r="L13" s="0" t="n">
        <f aca="false">L11+L12</f>
        <v>1829.21837672994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1633.878783</v>
      </c>
      <c r="D15" s="0" t="n">
        <f aca="false">D13-MAX(0,D13)*D14/100</f>
        <v>1256.1274821438</v>
      </c>
      <c r="E15" s="0" t="n">
        <f aca="false">E13-MAX(0,E13)*E14/100</f>
        <v>1146.50364393488</v>
      </c>
      <c r="F15" s="0" t="n">
        <f aca="false">F13-MAX(0,F13)*F14/100</f>
        <v>1175.16623503325</v>
      </c>
      <c r="G15" s="0" t="n">
        <f aca="false">G13-MAX(0,G13)*G14/100</f>
        <v>1210.42122208425</v>
      </c>
      <c r="H15" s="0" t="n">
        <f aca="false">H13-MAX(0,H13)*H14/100</f>
        <v>1246.73385874678</v>
      </c>
      <c r="I15" s="0" t="n">
        <f aca="false">I13-MAX(0,I13)*I14/100</f>
        <v>1277.90220521544</v>
      </c>
      <c r="J15" s="0" t="n">
        <f aca="false">J13-MAX(0,J13)*J14/100</f>
        <v>1309.84976034583</v>
      </c>
      <c r="K15" s="0" t="n">
        <f aca="false">K13-MAX(0,K13)*K14/100</f>
        <v>1336.04675555275</v>
      </c>
      <c r="L15" s="0" t="n">
        <f aca="false">L13-MAX(0,L13)*L14/100</f>
        <v>1362.7676906638</v>
      </c>
    </row>
    <row r="16" customFormat="false" ht="15" hidden="false" customHeight="false" outlineLevel="0" collapsed="false">
      <c r="A16" s="0" t="s">
        <v>126</v>
      </c>
      <c r="C16" s="0" t="n">
        <f aca="false">-C12</f>
        <v>509.12172</v>
      </c>
      <c r="D16" s="0" t="n">
        <f aca="false">-D12</f>
        <v>541.276776</v>
      </c>
      <c r="E16" s="0" t="n">
        <f aca="false">-E12</f>
        <v>546.68954376</v>
      </c>
      <c r="F16" s="0" t="n">
        <f aca="false">-F12</f>
        <v>560.356782354</v>
      </c>
      <c r="G16" s="0" t="n">
        <f aca="false">-G12</f>
        <v>577.16748582462</v>
      </c>
      <c r="H16" s="0" t="n">
        <f aca="false">-H12</f>
        <v>594.482510399359</v>
      </c>
      <c r="I16" s="0" t="n">
        <f aca="false">-I12</f>
        <v>609.344573159342</v>
      </c>
      <c r="J16" s="0" t="n">
        <f aca="false">-J12</f>
        <v>624.578187488326</v>
      </c>
      <c r="K16" s="0" t="n">
        <f aca="false">-K12</f>
        <v>637.069751238093</v>
      </c>
      <c r="L16" s="0" t="n">
        <f aca="false">-L12</f>
        <v>649.811146262854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-509.12172</v>
      </c>
      <c r="D17" s="4" t="n">
        <f aca="false">-D6*Assumptions!D18/100</f>
        <v>-568.3406148</v>
      </c>
      <c r="E17" s="4" t="n">
        <f aca="false">-E6*Assumptions!E18/100</f>
        <v>-601.358498136</v>
      </c>
      <c r="F17" s="4" t="n">
        <f aca="false">-F6*Assumptions!F18/100</f>
        <v>-616.3924605894</v>
      </c>
      <c r="G17" s="4" t="n">
        <f aca="false">-G6*Assumptions!G18/100</f>
        <v>-634.884234407082</v>
      </c>
      <c r="H17" s="4" t="n">
        <f aca="false">-H6*Assumptions!H18/100</f>
        <v>-653.930761439295</v>
      </c>
      <c r="I17" s="4" t="n">
        <f aca="false">-I6*Assumptions!I18/100</f>
        <v>-670.279030475277</v>
      </c>
      <c r="J17" s="4" t="n">
        <f aca="false">-J6*Assumptions!J18/100</f>
        <v>-687.036006237159</v>
      </c>
      <c r="K17" s="4" t="n">
        <f aca="false">-K6*Assumptions!K18/100</f>
        <v>-700.776726361902</v>
      </c>
      <c r="L17" s="4" t="n">
        <f aca="false">-L6*Assumptions!L18/100</f>
        <v>-714.79226088914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-436.6736</v>
      </c>
      <c r="D18" s="4" t="n">
        <f aca="false">(D6-C6)*Assumptions!$B$23/100</f>
        <v>-58.9509360000001</v>
      </c>
      <c r="E18" s="4" t="n">
        <f aca="false">(E6-D6)*Assumptions!$B$23/100</f>
        <v>-59.5404453599999</v>
      </c>
      <c r="F18" s="4" t="n">
        <f aca="false">(F6-E6)*Assumptions!$B$23/100</f>
        <v>-150.339624533999</v>
      </c>
      <c r="G18" s="4" t="n">
        <f aca="false">(G6-F6)*Assumptions!$B$23/100</f>
        <v>-184.91773817682</v>
      </c>
      <c r="H18" s="4" t="n">
        <f aca="false">(H6-G6)*Assumptions!$B$23/100</f>
        <v>-190.465270322125</v>
      </c>
      <c r="I18" s="4" t="n">
        <f aca="false">(I6-H6)*Assumptions!$B$23/100</f>
        <v>-163.482690359823</v>
      </c>
      <c r="J18" s="4" t="n">
        <f aca="false">(J6-I6)*Assumptions!$B$23/100</f>
        <v>-167.569757618819</v>
      </c>
      <c r="K18" s="4" t="n">
        <f aca="false">(K6-J6)*Assumptions!$B$23/100</f>
        <v>-137.407201247432</v>
      </c>
      <c r="L18" s="4" t="n">
        <f aca="false">(L6-K6)*Assumptions!$B$23/100</f>
        <v>-140.155345272381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1197.205183</v>
      </c>
      <c r="D19" s="0" t="n">
        <f aca="false">D15+D16+D17+D18</f>
        <v>1170.1127073438</v>
      </c>
      <c r="E19" s="0" t="n">
        <f aca="false">E15+E16+E17+E18</f>
        <v>1032.29424419888</v>
      </c>
      <c r="F19" s="0" t="n">
        <f aca="false">F15+F16+F17+F18</f>
        <v>968.79093226385</v>
      </c>
      <c r="G19" s="0" t="n">
        <f aca="false">G15+G16+G17+G18</f>
        <v>967.786735324965</v>
      </c>
      <c r="H19" s="0" t="n">
        <f aca="false">H15+H16+H17+H18</f>
        <v>996.820337384714</v>
      </c>
      <c r="I19" s="0" t="n">
        <f aca="false">I15+I16+I17+I18</f>
        <v>1053.48505753969</v>
      </c>
      <c r="J19" s="0" t="n">
        <f aca="false">J15+J16+J17+J18</f>
        <v>1079.82218397818</v>
      </c>
      <c r="K19" s="0" t="n">
        <f aca="false">K15+K16+K17+K18</f>
        <v>1134.93257918151</v>
      </c>
      <c r="L19" s="0" t="n">
        <f aca="false">L15+L16+L17+L18</f>
        <v>1157.63123076514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1108.52331759259</v>
      </c>
      <c r="D21" s="0" t="n">
        <f aca="false">D19*D20</f>
        <v>1003.18304813426</v>
      </c>
      <c r="E21" s="0" t="n">
        <f aca="false">E19*E20</f>
        <v>819.468453264617</v>
      </c>
      <c r="F21" s="0" t="n">
        <f aca="false">F19*F20</f>
        <v>712.090256332436</v>
      </c>
      <c r="G21" s="0" t="n">
        <f aca="false">G19*G20</f>
        <v>658.659390374323</v>
      </c>
      <c r="H21" s="0" t="n">
        <f aca="false">H19*H20</f>
        <v>628.165900079216</v>
      </c>
      <c r="I21" s="0" t="n">
        <f aca="false">I19*I20</f>
        <v>614.698412626584</v>
      </c>
      <c r="J21" s="0" t="n">
        <f aca="false">J19*J20</f>
        <v>583.394326798378</v>
      </c>
      <c r="K21" s="0" t="n">
        <f aca="false">K19*K20</f>
        <v>567.748850499391</v>
      </c>
      <c r="L21" s="0" t="n">
        <f aca="false">L19*L20</f>
        <v>536.207247693869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3</v>
      </c>
      <c r="D23" s="4" t="n">
        <f aca="false">Assumptions!D16</f>
        <v>3.1</v>
      </c>
      <c r="E23" s="4" t="n">
        <f aca="false">Assumptions!E16</f>
        <v>3.2</v>
      </c>
      <c r="F23" s="4" t="n">
        <f aca="false">Assumptions!F16</f>
        <v>3.2</v>
      </c>
      <c r="G23" s="4" t="n">
        <f aca="false">Assumptions!G16</f>
        <v>3.2</v>
      </c>
      <c r="H23" s="4" t="n">
        <f aca="false">Assumptions!H16</f>
        <v>3.2</v>
      </c>
      <c r="I23" s="4" t="n">
        <f aca="false">Assumptions!I16</f>
        <v>3.2</v>
      </c>
      <c r="J23" s="4" t="n">
        <f aca="false">Assumptions!J16</f>
        <v>3.2</v>
      </c>
      <c r="K23" s="4" t="n">
        <f aca="false">Assumptions!K16</f>
        <v>3.2</v>
      </c>
      <c r="L23" s="4" t="n">
        <f aca="false">Assumptions!L16</f>
        <v>3.2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-803.8764</v>
      </c>
      <c r="D24" s="0" t="n">
        <f aca="false">-D6*D23/100</f>
        <v>-838.9790028</v>
      </c>
      <c r="E24" s="0" t="n">
        <f aca="false">-E6*E23/100</f>
        <v>-874.703270016</v>
      </c>
      <c r="F24" s="0" t="n">
        <f aca="false">-F6*F23/100</f>
        <v>-896.5708517664</v>
      </c>
      <c r="G24" s="0" t="n">
        <f aca="false">-G6*G23/100</f>
        <v>-923.467977319392</v>
      </c>
      <c r="H24" s="0" t="n">
        <f aca="false">-H6*H23/100</f>
        <v>-951.172016638974</v>
      </c>
      <c r="I24" s="0" t="n">
        <f aca="false">-I6*I23/100</f>
        <v>-974.951317054948</v>
      </c>
      <c r="J24" s="0" t="n">
        <f aca="false">-J6*J23/100</f>
        <v>-999.325099981322</v>
      </c>
      <c r="K24" s="0" t="n">
        <f aca="false">-K6*K23/100</f>
        <v>-1019.31160198095</v>
      </c>
      <c r="L24" s="0" t="n">
        <f aca="false">-L6*L23/100</f>
        <v>-1039.69783402057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7232.13920339567</v>
      </c>
    </row>
    <row r="31" customFormat="false" ht="15" hidden="false" customHeight="false" outlineLevel="0" collapsed="false">
      <c r="A31" s="0" t="s">
        <v>135</v>
      </c>
      <c r="B31" s="0" t="n">
        <f aca="false">L19</f>
        <v>1157.63123076514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19679.7309230073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17364.468461477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17364.468461477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8043.10871540804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15275.2479188037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13039.2479188037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74.2977089390524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-0.528268514672683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330.330425411762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434.928081121839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78.6581562697282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9082.95273369568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30.9832998417554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9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24811</v>
      </c>
      <c r="C6" s="0" t="n">
        <f aca="false">B6*(1+C5/100)</f>
        <v>27043.99</v>
      </c>
      <c r="D6" s="0" t="n">
        <f aca="false">C6*(1+D5/100)</f>
        <v>28801.84935</v>
      </c>
      <c r="E6" s="0" t="n">
        <f aca="false">D6*(1+E5/100)</f>
        <v>30529.960311</v>
      </c>
      <c r="F6" s="0" t="n">
        <f aca="false">E6*(1+F5/100)</f>
        <v>32056.45832655</v>
      </c>
      <c r="G6" s="0" t="n">
        <f aca="false">F6*(1+G5/100)</f>
        <v>33498.9989512448</v>
      </c>
      <c r="H6" s="0" t="n">
        <f aca="false">G6*(1+H5/100)</f>
        <v>34838.9589092945</v>
      </c>
      <c r="I6" s="0" t="n">
        <f aca="false">H6*(1+I5/100)</f>
        <v>36058.3224711198</v>
      </c>
      <c r="J6" s="0" t="n">
        <f aca="false">I6*(1+J5/100)</f>
        <v>37140.0721452534</v>
      </c>
      <c r="K6" s="0" t="n">
        <f aca="false">J6*(1+K5/100)</f>
        <v>38068.5739488848</v>
      </c>
      <c r="L6" s="0" t="n">
        <f aca="false">K6*(1+L5/100)</f>
        <v>39020.2882976069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13.4</v>
      </c>
      <c r="D7" s="4" t="n">
        <f aca="false">Assumptions!D28</f>
        <v>13</v>
      </c>
      <c r="E7" s="4" t="n">
        <f aca="false">Assumptions!E28</f>
        <v>13.3</v>
      </c>
      <c r="F7" s="4" t="n">
        <f aca="false">Assumptions!F28</f>
        <v>13.5</v>
      </c>
      <c r="G7" s="4" t="n">
        <f aca="false">Assumptions!G28</f>
        <v>13.5</v>
      </c>
      <c r="H7" s="4" t="n">
        <f aca="false">Assumptions!H28</f>
        <v>13.5</v>
      </c>
      <c r="I7" s="4" t="n">
        <f aca="false">Assumptions!I28</f>
        <v>13.5</v>
      </c>
      <c r="J7" s="4" t="n">
        <f aca="false">Assumptions!J28</f>
        <v>13.5</v>
      </c>
      <c r="K7" s="4" t="n">
        <f aca="false">Assumptions!K28</f>
        <v>13.5</v>
      </c>
      <c r="L7" s="4" t="n">
        <f aca="false">Assumptions!L28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3623.89466</v>
      </c>
      <c r="D8" s="0" t="n">
        <f aca="false">D6*D7/100</f>
        <v>3744.2404155</v>
      </c>
      <c r="E8" s="0" t="n">
        <f aca="false">E6*E7/100</f>
        <v>4060.484721363</v>
      </c>
      <c r="F8" s="0" t="n">
        <f aca="false">F6*F7/100</f>
        <v>4327.62187408425</v>
      </c>
      <c r="G8" s="0" t="n">
        <f aca="false">G6*G7/100</f>
        <v>4522.36485841804</v>
      </c>
      <c r="H8" s="0" t="n">
        <f aca="false">H6*H7/100</f>
        <v>4703.25945275476</v>
      </c>
      <c r="I8" s="0" t="n">
        <f aca="false">I6*I7/100</f>
        <v>4867.87353360118</v>
      </c>
      <c r="J8" s="0" t="n">
        <f aca="false">J6*J7/100</f>
        <v>5013.90973960921</v>
      </c>
      <c r="K8" s="0" t="n">
        <f aca="false">K6*K7/100</f>
        <v>5139.25748309944</v>
      </c>
      <c r="L8" s="0" t="n">
        <f aca="false">L6*L7/100</f>
        <v>5267.73892017693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0.17</v>
      </c>
      <c r="D9" s="4" t="n">
        <f aca="false">Assumptions!D29</f>
        <v>0.17</v>
      </c>
      <c r="E9" s="4" t="n">
        <f aca="false">Assumptions!E29</f>
        <v>0.17</v>
      </c>
      <c r="F9" s="4" t="n">
        <f aca="false">Assumptions!F29</f>
        <v>0.17</v>
      </c>
      <c r="G9" s="4" t="n">
        <f aca="false">Assumptions!G29</f>
        <v>0.17</v>
      </c>
      <c r="H9" s="4" t="n">
        <f aca="false">Assumptions!H29</f>
        <v>0.17</v>
      </c>
      <c r="I9" s="4" t="n">
        <f aca="false">Assumptions!I29</f>
        <v>0.17</v>
      </c>
      <c r="J9" s="4" t="n">
        <f aca="false">Assumptions!J29</f>
        <v>0.17</v>
      </c>
      <c r="K9" s="4" t="n">
        <f aca="false">Assumptions!K29</f>
        <v>0.17</v>
      </c>
      <c r="L9" s="4" t="n">
        <f aca="false">Assumptions!L29</f>
        <v>0.17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-45.974783</v>
      </c>
      <c r="D10" s="0" t="n">
        <f aca="false">-D6*D9/100</f>
        <v>-48.963143895</v>
      </c>
      <c r="E10" s="0" t="n">
        <f aca="false">-E6*E9/100</f>
        <v>-51.9009325287</v>
      </c>
      <c r="F10" s="0" t="n">
        <f aca="false">-F6*F9/100</f>
        <v>-54.495979155135</v>
      </c>
      <c r="G10" s="0" t="n">
        <f aca="false">-G6*G9/100</f>
        <v>-56.9482982171161</v>
      </c>
      <c r="H10" s="0" t="n">
        <f aca="false">-H6*H9/100</f>
        <v>-59.2262301458007</v>
      </c>
      <c r="I10" s="0" t="n">
        <f aca="false">-I6*I9/100</f>
        <v>-61.2991482009037</v>
      </c>
      <c r="J10" s="0" t="n">
        <f aca="false">-J6*J9/100</f>
        <v>-63.1381226469308</v>
      </c>
      <c r="K10" s="0" t="n">
        <f aca="false">-K6*K9/100</f>
        <v>-64.7165757131041</v>
      </c>
      <c r="L10" s="0" t="n">
        <f aca="false">-L6*L9/100</f>
        <v>-66.3344901059317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2766.600177</v>
      </c>
      <c r="D11" s="0" t="n">
        <f aca="false">D8+D10+D24</f>
        <v>2831.221791105</v>
      </c>
      <c r="E11" s="0" t="n">
        <f aca="false">E8+E10+E24</f>
        <v>3092.6849795043</v>
      </c>
      <c r="F11" s="0" t="n">
        <f aca="false">F8+F10+F24</f>
        <v>3311.43214513262</v>
      </c>
      <c r="G11" s="0" t="n">
        <f aca="false">G8+G10+G24</f>
        <v>3460.44659166358</v>
      </c>
      <c r="H11" s="0" t="n">
        <f aca="false">H8+H10+H24</f>
        <v>3598.86445533013</v>
      </c>
      <c r="I11" s="0" t="n">
        <f aca="false">I8+I10+I24</f>
        <v>3724.82471126668</v>
      </c>
      <c r="J11" s="0" t="n">
        <f aca="false">J8+J10+J24</f>
        <v>3836.56945260468</v>
      </c>
      <c r="K11" s="0" t="n">
        <f aca="false">K8+K10+K24</f>
        <v>3932.4836889198</v>
      </c>
      <c r="L11" s="0" t="n">
        <f aca="false">L8+L10+L24</f>
        <v>4030.79578114279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-513.83581</v>
      </c>
      <c r="D12" s="4" t="n">
        <f aca="false">-D6*Assumptions!D31/100</f>
        <v>-547.23513765</v>
      </c>
      <c r="E12" s="4" t="n">
        <f aca="false">-E6*Assumptions!E31/100</f>
        <v>-610.59920622</v>
      </c>
      <c r="F12" s="4" t="n">
        <f aca="false">-F6*Assumptions!F31/100</f>
        <v>-641.129166531</v>
      </c>
      <c r="G12" s="4" t="n">
        <f aca="false">-G6*Assumptions!G31/100</f>
        <v>-669.979979024895</v>
      </c>
      <c r="H12" s="4" t="n">
        <f aca="false">-H6*Assumptions!H31/100</f>
        <v>-696.779178185891</v>
      </c>
      <c r="I12" s="4" t="n">
        <f aca="false">-I6*Assumptions!I31/100</f>
        <v>-721.166449422397</v>
      </c>
      <c r="J12" s="4" t="n">
        <f aca="false">-J6*Assumptions!J31/100</f>
        <v>-742.801442905069</v>
      </c>
      <c r="K12" s="4" t="n">
        <f aca="false">-K6*Assumptions!K31/100</f>
        <v>-761.371478977695</v>
      </c>
      <c r="L12" s="4" t="n">
        <f aca="false">-L6*Assumptions!L31/100</f>
        <v>-780.405765952138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2252.764367</v>
      </c>
      <c r="D13" s="0" t="n">
        <f aca="false">D11+D12</f>
        <v>2283.986653455</v>
      </c>
      <c r="E13" s="0" t="n">
        <f aca="false">E11+E12</f>
        <v>2482.0857732843</v>
      </c>
      <c r="F13" s="0" t="n">
        <f aca="false">F11+F12</f>
        <v>2670.30297860162</v>
      </c>
      <c r="G13" s="0" t="n">
        <f aca="false">G11+G12</f>
        <v>2790.46661263869</v>
      </c>
      <c r="H13" s="0" t="n">
        <f aca="false">H11+H12</f>
        <v>2902.08527714424</v>
      </c>
      <c r="I13" s="0" t="n">
        <f aca="false">I11+I12</f>
        <v>3003.65826184428</v>
      </c>
      <c r="J13" s="0" t="n">
        <f aca="false">J11+J12</f>
        <v>3093.76800969961</v>
      </c>
      <c r="K13" s="0" t="n">
        <f aca="false">K11+K12</f>
        <v>3171.1122099421</v>
      </c>
      <c r="L13" s="0" t="n">
        <f aca="false">L11+L12</f>
        <v>3250.39001519065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25</v>
      </c>
      <c r="D14" s="4" t="n">
        <f aca="false">Assumptions!D33</f>
        <v>25.5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1689.57327525</v>
      </c>
      <c r="D15" s="0" t="n">
        <f aca="false">D13-MAX(0,D13)*D14/100</f>
        <v>1701.57005682398</v>
      </c>
      <c r="E15" s="0" t="n">
        <f aca="false">E13-MAX(0,E13)*E14/100</f>
        <v>1849.1539010968</v>
      </c>
      <c r="F15" s="0" t="n">
        <f aca="false">F13-MAX(0,F13)*F14/100</f>
        <v>1989.3757190582</v>
      </c>
      <c r="G15" s="0" t="n">
        <f aca="false">G13-MAX(0,G13)*G14/100</f>
        <v>2078.89762641582</v>
      </c>
      <c r="H15" s="0" t="n">
        <f aca="false">H13-MAX(0,H13)*H14/100</f>
        <v>2162.05353147246</v>
      </c>
      <c r="I15" s="0" t="n">
        <f aca="false">I13-MAX(0,I13)*I14/100</f>
        <v>2237.72540507399</v>
      </c>
      <c r="J15" s="0" t="n">
        <f aca="false">J13-MAX(0,J13)*J14/100</f>
        <v>2304.85716722621</v>
      </c>
      <c r="K15" s="0" t="n">
        <f aca="false">K13-MAX(0,K13)*K14/100</f>
        <v>2362.47859640686</v>
      </c>
      <c r="L15" s="0" t="n">
        <f aca="false">L13-MAX(0,L13)*L14/100</f>
        <v>2421.54056131704</v>
      </c>
    </row>
    <row r="16" customFormat="false" ht="15" hidden="false" customHeight="false" outlineLevel="0" collapsed="false">
      <c r="A16" s="0" t="s">
        <v>126</v>
      </c>
      <c r="C16" s="0" t="n">
        <f aca="false">-C12</f>
        <v>513.83581</v>
      </c>
      <c r="D16" s="0" t="n">
        <f aca="false">-D12</f>
        <v>547.23513765</v>
      </c>
      <c r="E16" s="0" t="n">
        <f aca="false">-E12</f>
        <v>610.59920622</v>
      </c>
      <c r="F16" s="0" t="n">
        <f aca="false">-F12</f>
        <v>641.129166531</v>
      </c>
      <c r="G16" s="0" t="n">
        <f aca="false">-G12</f>
        <v>669.979979024895</v>
      </c>
      <c r="H16" s="0" t="n">
        <f aca="false">-H12</f>
        <v>696.779178185891</v>
      </c>
      <c r="I16" s="0" t="n">
        <f aca="false">-I12</f>
        <v>721.166449422397</v>
      </c>
      <c r="J16" s="0" t="n">
        <f aca="false">-J12</f>
        <v>742.801442905069</v>
      </c>
      <c r="K16" s="0" t="n">
        <f aca="false">-K12</f>
        <v>761.371478977695</v>
      </c>
      <c r="L16" s="0" t="n">
        <f aca="false">-L12</f>
        <v>780.405765952138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-513.83581</v>
      </c>
      <c r="D17" s="4" t="n">
        <f aca="false">-D6*Assumptions!D32/100</f>
        <v>-604.83883635</v>
      </c>
      <c r="E17" s="4" t="n">
        <f aca="false">-E6*Assumptions!E32/100</f>
        <v>-671.659126842</v>
      </c>
      <c r="F17" s="4" t="n">
        <f aca="false">-F6*Assumptions!F32/100</f>
        <v>-705.2420831841</v>
      </c>
      <c r="G17" s="4" t="n">
        <f aca="false">-G6*Assumptions!G32/100</f>
        <v>-736.977976927385</v>
      </c>
      <c r="H17" s="4" t="n">
        <f aca="false">-H6*Assumptions!H32/100</f>
        <v>-766.45709600448</v>
      </c>
      <c r="I17" s="4" t="n">
        <f aca="false">-I6*Assumptions!I32/100</f>
        <v>-793.283094364637</v>
      </c>
      <c r="J17" s="4" t="n">
        <f aca="false">-J6*Assumptions!J32/100</f>
        <v>-817.081587195576</v>
      </c>
      <c r="K17" s="4" t="n">
        <f aca="false">-K6*Assumptions!K32/100</f>
        <v>-837.508626875465</v>
      </c>
      <c r="L17" s="4" t="n">
        <f aca="false">-L6*Assumptions!L32/100</f>
        <v>-858.446342547352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-491.2578</v>
      </c>
      <c r="D18" s="4" t="n">
        <f aca="false">(D6-C6)*Assumptions!$B$37/100</f>
        <v>-386.729057</v>
      </c>
      <c r="E18" s="4" t="n">
        <f aca="false">(E6-D6)*Assumptions!$B$37/100</f>
        <v>-380.18441142</v>
      </c>
      <c r="F18" s="4" t="n">
        <f aca="false">(F6-E6)*Assumptions!$B$37/100</f>
        <v>-335.829563421</v>
      </c>
      <c r="G18" s="4" t="n">
        <f aca="false">(G6-F6)*Assumptions!$B$37/100</f>
        <v>-317.358937432844</v>
      </c>
      <c r="H18" s="4" t="n">
        <f aca="false">(H6-G6)*Assumptions!$B$37/100</f>
        <v>-294.791190770954</v>
      </c>
      <c r="I18" s="4" t="n">
        <f aca="false">(I6-H6)*Assumptions!$B$37/100</f>
        <v>-268.259983601567</v>
      </c>
      <c r="J18" s="4" t="n">
        <f aca="false">(J6-I6)*Assumptions!$B$37/100</f>
        <v>-237.98492830939</v>
      </c>
      <c r="K18" s="4" t="n">
        <f aca="false">(K6-J6)*Assumptions!$B$37/100</f>
        <v>-204.270396798894</v>
      </c>
      <c r="L18" s="4" t="n">
        <f aca="false">(L6-K6)*Assumptions!$B$37/100</f>
        <v>-209.377156718866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1198.31547525</v>
      </c>
      <c r="D19" s="0" t="n">
        <f aca="false">D15+D16+D17+D18</f>
        <v>1257.23730112398</v>
      </c>
      <c r="E19" s="0" t="n">
        <f aca="false">E15+E16+E17+E18</f>
        <v>1407.9095690548</v>
      </c>
      <c r="F19" s="0" t="n">
        <f aca="false">F15+F16+F17+F18</f>
        <v>1589.4332389841</v>
      </c>
      <c r="G19" s="0" t="n">
        <f aca="false">G15+G16+G17+G18</f>
        <v>1694.54069108049</v>
      </c>
      <c r="H19" s="0" t="n">
        <f aca="false">H15+H16+H17+H18</f>
        <v>1797.58442288291</v>
      </c>
      <c r="I19" s="0" t="n">
        <f aca="false">I15+I16+I17+I18</f>
        <v>1897.34877653018</v>
      </c>
      <c r="J19" s="0" t="n">
        <f aca="false">J15+J16+J17+J18</f>
        <v>1992.59209462631</v>
      </c>
      <c r="K19" s="0" t="n">
        <f aca="false">K15+K16+K17+K18</f>
        <v>2082.0710517102</v>
      </c>
      <c r="L19" s="0" t="n">
        <f aca="false">L15+L16+L17+L18</f>
        <v>2134.12282800296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1109.55136597222</v>
      </c>
      <c r="D21" s="0" t="n">
        <f aca="false">D19*D20</f>
        <v>1077.87834458503</v>
      </c>
      <c r="E21" s="0" t="n">
        <f aca="false">E19*E20</f>
        <v>1117.64400835652</v>
      </c>
      <c r="F21" s="0" t="n">
        <f aca="false">F19*F20</f>
        <v>1168.28087968028</v>
      </c>
      <c r="G21" s="0" t="n">
        <f aca="false">G19*G20</f>
        <v>1153.27592103934</v>
      </c>
      <c r="H21" s="0" t="n">
        <f aca="false">H19*H20</f>
        <v>1132.78310505901</v>
      </c>
      <c r="I21" s="0" t="n">
        <f aca="false">I19*I20</f>
        <v>1107.08478756772</v>
      </c>
      <c r="J21" s="0" t="n">
        <f aca="false">J19*J20</f>
        <v>1076.53550823121</v>
      </c>
      <c r="K21" s="0" t="n">
        <f aca="false">K19*K20</f>
        <v>1041.55389311234</v>
      </c>
      <c r="L21" s="0" t="n">
        <f aca="false">L19*L20</f>
        <v>988.51179670384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3</v>
      </c>
      <c r="D23" s="4" t="n">
        <f aca="false">Assumptions!D30</f>
        <v>3</v>
      </c>
      <c r="E23" s="4" t="n">
        <f aca="false">Assumptions!E30</f>
        <v>3</v>
      </c>
      <c r="F23" s="4" t="n">
        <f aca="false">Assumptions!F30</f>
        <v>3</v>
      </c>
      <c r="G23" s="4" t="n">
        <f aca="false">Assumptions!G30</f>
        <v>3</v>
      </c>
      <c r="H23" s="4" t="n">
        <f aca="false">Assumptions!H30</f>
        <v>3</v>
      </c>
      <c r="I23" s="4" t="n">
        <f aca="false">Assumptions!I30</f>
        <v>3</v>
      </c>
      <c r="J23" s="4" t="n">
        <f aca="false">Assumptions!J30</f>
        <v>3</v>
      </c>
      <c r="K23" s="4" t="n">
        <f aca="false">Assumptions!K30</f>
        <v>3</v>
      </c>
      <c r="L23" s="4" t="n">
        <f aca="false">Assumptions!L30</f>
        <v>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-811.3197</v>
      </c>
      <c r="D24" s="0" t="n">
        <f aca="false">-D6*D23/100</f>
        <v>-864.0554805</v>
      </c>
      <c r="E24" s="0" t="n">
        <f aca="false">-E6*E23/100</f>
        <v>-915.89880933</v>
      </c>
      <c r="F24" s="0" t="n">
        <f aca="false">-F6*F23/100</f>
        <v>-961.6937497965</v>
      </c>
      <c r="G24" s="0" t="n">
        <f aca="false">-G6*G23/100</f>
        <v>-1004.96996853734</v>
      </c>
      <c r="H24" s="0" t="n">
        <f aca="false">-H6*H23/100</f>
        <v>-1045.16876727884</v>
      </c>
      <c r="I24" s="0" t="n">
        <f aca="false">-I6*I23/100</f>
        <v>-1081.7496741336</v>
      </c>
      <c r="J24" s="0" t="n">
        <f aca="false">-J6*J23/100</f>
        <v>-1114.2021643576</v>
      </c>
      <c r="K24" s="0" t="n">
        <f aca="false">-K6*K23/100</f>
        <v>-1142.05721846654</v>
      </c>
      <c r="L24" s="0" t="n">
        <f aca="false">-L6*L23/100</f>
        <v>-1170.60864892821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10973.0996103075</v>
      </c>
    </row>
    <row r="31" customFormat="false" ht="15" hidden="false" customHeight="false" outlineLevel="0" collapsed="false">
      <c r="A31" s="0" t="s">
        <v>135</v>
      </c>
      <c r="B31" s="0" t="n">
        <f aca="false">L19</f>
        <v>2134.12282800296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36280.0880760503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32011.8424200444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32011.8424200444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14827.6769505576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25800.7765608651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23564.7765608651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134.272231116041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-0.147477897675933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374.863810193559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522.336965492253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139.384486248153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16744.6560351001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56.0333308651277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10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24811</v>
      </c>
      <c r="C6" s="0" t="n">
        <f aca="false">B6*(1+C5/100)</f>
        <v>27292.1</v>
      </c>
      <c r="D6" s="0" t="n">
        <f aca="false">C6*(1+D5/100)</f>
        <v>29475.468</v>
      </c>
      <c r="E6" s="0" t="n">
        <f aca="false">D6*(1+E5/100)</f>
        <v>31686.1281</v>
      </c>
      <c r="F6" s="0" t="n">
        <f aca="false">E6*(1+F5/100)</f>
        <v>33745.7264265</v>
      </c>
      <c r="G6" s="0" t="n">
        <f aca="false">F6*(1+G5/100)</f>
        <v>35770.47001209</v>
      </c>
      <c r="H6" s="0" t="n">
        <f aca="false">G6*(1+H5/100)</f>
        <v>37558.9935126945</v>
      </c>
      <c r="I6" s="0" t="n">
        <f aca="false">H6*(1+I5/100)</f>
        <v>39249.1482207658</v>
      </c>
      <c r="J6" s="0" t="n">
        <f aca="false">I6*(1+J5/100)</f>
        <v>40819.1141495964</v>
      </c>
      <c r="K6" s="0" t="n">
        <f aca="false">J6*(1+K5/100)</f>
        <v>42247.7831448323</v>
      </c>
      <c r="L6" s="0" t="n">
        <f aca="false">K6*(1+L5/100)</f>
        <v>43515.2166391772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13.6</v>
      </c>
      <c r="D7" s="4" t="n">
        <f aca="false">Assumptions!D42</f>
        <v>13.8</v>
      </c>
      <c r="E7" s="4" t="n">
        <f aca="false">Assumptions!E42</f>
        <v>14.4</v>
      </c>
      <c r="F7" s="4" t="n">
        <f aca="false">Assumptions!F42</f>
        <v>15</v>
      </c>
      <c r="G7" s="4" t="n">
        <f aca="false">Assumptions!G42</f>
        <v>15.5</v>
      </c>
      <c r="H7" s="4" t="n">
        <f aca="false">Assumptions!H42</f>
        <v>15.5</v>
      </c>
      <c r="I7" s="4" t="n">
        <f aca="false">Assumptions!I42</f>
        <v>15.5</v>
      </c>
      <c r="J7" s="4" t="n">
        <f aca="false">Assumptions!J42</f>
        <v>15.5</v>
      </c>
      <c r="K7" s="4" t="n">
        <f aca="false">Assumptions!K42</f>
        <v>15.5</v>
      </c>
      <c r="L7" s="4" t="n">
        <f aca="false">Assumptions!L42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3711.7256</v>
      </c>
      <c r="D8" s="0" t="n">
        <f aca="false">D6*D7/100</f>
        <v>4067.614584</v>
      </c>
      <c r="E8" s="0" t="n">
        <f aca="false">E6*E7/100</f>
        <v>4562.8024464</v>
      </c>
      <c r="F8" s="0" t="n">
        <f aca="false">F6*F7/100</f>
        <v>5061.858963975</v>
      </c>
      <c r="G8" s="0" t="n">
        <f aca="false">G6*G7/100</f>
        <v>5544.42285187395</v>
      </c>
      <c r="H8" s="0" t="n">
        <f aca="false">H6*H7/100</f>
        <v>5821.64399446765</v>
      </c>
      <c r="I8" s="0" t="n">
        <f aca="false">I6*I7/100</f>
        <v>6083.61797421869</v>
      </c>
      <c r="J8" s="0" t="n">
        <f aca="false">J6*J7/100</f>
        <v>6326.96269318744</v>
      </c>
      <c r="K8" s="0" t="n">
        <f aca="false">K6*K7/100</f>
        <v>6548.406387449</v>
      </c>
      <c r="L8" s="0" t="n">
        <f aca="false">L6*L7/100</f>
        <v>6744.85857907247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0.17</v>
      </c>
      <c r="D9" s="4" t="n">
        <f aca="false">Assumptions!D43</f>
        <v>0.17</v>
      </c>
      <c r="E9" s="4" t="n">
        <f aca="false">Assumptions!E43</f>
        <v>0.17</v>
      </c>
      <c r="F9" s="4" t="n">
        <f aca="false">Assumptions!F43</f>
        <v>0.17</v>
      </c>
      <c r="G9" s="4" t="n">
        <f aca="false">Assumptions!G43</f>
        <v>0.17</v>
      </c>
      <c r="H9" s="4" t="n">
        <f aca="false">Assumptions!H43</f>
        <v>0.17</v>
      </c>
      <c r="I9" s="4" t="n">
        <f aca="false">Assumptions!I43</f>
        <v>0.17</v>
      </c>
      <c r="J9" s="4" t="n">
        <f aca="false">Assumptions!J43</f>
        <v>0.17</v>
      </c>
      <c r="K9" s="4" t="n">
        <f aca="false">Assumptions!K43</f>
        <v>0.17</v>
      </c>
      <c r="L9" s="4" t="n">
        <f aca="false">Assumptions!L43</f>
        <v>0.17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-46.39657</v>
      </c>
      <c r="D10" s="0" t="n">
        <f aca="false">-D6*D9/100</f>
        <v>-50.1082956</v>
      </c>
      <c r="E10" s="0" t="n">
        <f aca="false">-E6*E9/100</f>
        <v>-53.86641777</v>
      </c>
      <c r="F10" s="0" t="n">
        <f aca="false">-F6*F9/100</f>
        <v>-57.36773492505</v>
      </c>
      <c r="G10" s="0" t="n">
        <f aca="false">-G6*G9/100</f>
        <v>-60.809799020553</v>
      </c>
      <c r="H10" s="0" t="n">
        <f aca="false">-H6*H9/100</f>
        <v>-63.8502889715807</v>
      </c>
      <c r="I10" s="0" t="n">
        <f aca="false">-I6*I9/100</f>
        <v>-66.7235519753018</v>
      </c>
      <c r="J10" s="0" t="n">
        <f aca="false">-J6*J9/100</f>
        <v>-69.3924940543139</v>
      </c>
      <c r="K10" s="0" t="n">
        <f aca="false">-K6*K9/100</f>
        <v>-71.8212313462148</v>
      </c>
      <c r="L10" s="0" t="n">
        <f aca="false">-L6*L9/100</f>
        <v>-73.9758682866013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2846.56603</v>
      </c>
      <c r="D11" s="0" t="n">
        <f aca="false">D8+D10+D24</f>
        <v>3133.2422484</v>
      </c>
      <c r="E11" s="0" t="n">
        <f aca="false">E8+E10+E24</f>
        <v>3558.35218563</v>
      </c>
      <c r="F11" s="0" t="n">
        <f aca="false">F8+F10+F24</f>
        <v>3992.11943625495</v>
      </c>
      <c r="G11" s="0" t="n">
        <f aca="false">G8+G10+G24</f>
        <v>4410.4989524907</v>
      </c>
      <c r="H11" s="0" t="n">
        <f aca="false">H8+H10+H24</f>
        <v>4631.02390011523</v>
      </c>
      <c r="I11" s="0" t="n">
        <f aca="false">I8+I10+I24</f>
        <v>4839.41997562042</v>
      </c>
      <c r="J11" s="0" t="n">
        <f aca="false">J8+J10+J24</f>
        <v>5032.99677464524</v>
      </c>
      <c r="K11" s="0" t="n">
        <f aca="false">K8+K10+K24</f>
        <v>5209.15166175782</v>
      </c>
      <c r="L11" s="0" t="n">
        <f aca="false">L8+L10+L24</f>
        <v>5365.42621161055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-518.5499</v>
      </c>
      <c r="D12" s="4" t="n">
        <f aca="false">-D6*Assumptions!D45/100</f>
        <v>-560.033892</v>
      </c>
      <c r="E12" s="4" t="n">
        <f aca="false">-E6*Assumptions!E45/100</f>
        <v>-633.722562</v>
      </c>
      <c r="F12" s="4" t="n">
        <f aca="false">-F6*Assumptions!F45/100</f>
        <v>-674.91452853</v>
      </c>
      <c r="G12" s="4" t="n">
        <f aca="false">-G6*Assumptions!G45/100</f>
        <v>-715.4094002418</v>
      </c>
      <c r="H12" s="4" t="n">
        <f aca="false">-H6*Assumptions!H45/100</f>
        <v>-751.17987025389</v>
      </c>
      <c r="I12" s="4" t="n">
        <f aca="false">-I6*Assumptions!I45/100</f>
        <v>-784.982964415315</v>
      </c>
      <c r="J12" s="4" t="n">
        <f aca="false">-J6*Assumptions!J45/100</f>
        <v>-816.382282991928</v>
      </c>
      <c r="K12" s="4" t="n">
        <f aca="false">-K6*Assumptions!K45/100</f>
        <v>-844.955662896645</v>
      </c>
      <c r="L12" s="4" t="n">
        <f aca="false">-L6*Assumptions!L45/100</f>
        <v>-870.304332783545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2328.01613</v>
      </c>
      <c r="D13" s="0" t="n">
        <f aca="false">D11+D12</f>
        <v>2573.2083564</v>
      </c>
      <c r="E13" s="0" t="n">
        <f aca="false">E11+E12</f>
        <v>2924.62962363</v>
      </c>
      <c r="F13" s="0" t="n">
        <f aca="false">F11+F12</f>
        <v>3317.20490772495</v>
      </c>
      <c r="G13" s="0" t="n">
        <f aca="false">G11+G12</f>
        <v>3695.0895522489</v>
      </c>
      <c r="H13" s="0" t="n">
        <f aca="false">H11+H12</f>
        <v>3879.84402986134</v>
      </c>
      <c r="I13" s="0" t="n">
        <f aca="false">I11+I12</f>
        <v>4054.4370112051</v>
      </c>
      <c r="J13" s="0" t="n">
        <f aca="false">J11+J12</f>
        <v>4216.61449165331</v>
      </c>
      <c r="K13" s="0" t="n">
        <f aca="false">K11+K12</f>
        <v>4364.19599886117</v>
      </c>
      <c r="L13" s="0" t="n">
        <f aca="false">L11+L12</f>
        <v>4495.12187882701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1746.0120975</v>
      </c>
      <c r="D15" s="0" t="n">
        <f aca="false">D13-MAX(0,D13)*D14/100</f>
        <v>1917.040225518</v>
      </c>
      <c r="E15" s="0" t="n">
        <f aca="false">E13-MAX(0,E13)*E14/100</f>
        <v>2178.84906960435</v>
      </c>
      <c r="F15" s="0" t="n">
        <f aca="false">F13-MAX(0,F13)*F14/100</f>
        <v>2471.31765625509</v>
      </c>
      <c r="G15" s="0" t="n">
        <f aca="false">G13-MAX(0,G13)*G14/100</f>
        <v>2752.84171642543</v>
      </c>
      <c r="H15" s="0" t="n">
        <f aca="false">H13-MAX(0,H13)*H14/100</f>
        <v>2890.4838022467</v>
      </c>
      <c r="I15" s="0" t="n">
        <f aca="false">I13-MAX(0,I13)*I14/100</f>
        <v>3020.5555733478</v>
      </c>
      <c r="J15" s="0" t="n">
        <f aca="false">J13-MAX(0,J13)*J14/100</f>
        <v>3141.37779628171</v>
      </c>
      <c r="K15" s="0" t="n">
        <f aca="false">K13-MAX(0,K13)*K14/100</f>
        <v>3251.32601915157</v>
      </c>
      <c r="L15" s="0" t="n">
        <f aca="false">L13-MAX(0,L13)*L14/100</f>
        <v>3348.86579972612</v>
      </c>
    </row>
    <row r="16" customFormat="false" ht="15" hidden="false" customHeight="false" outlineLevel="0" collapsed="false">
      <c r="A16" s="0" t="s">
        <v>126</v>
      </c>
      <c r="C16" s="0" t="n">
        <f aca="false">-C12</f>
        <v>518.5499</v>
      </c>
      <c r="D16" s="0" t="n">
        <f aca="false">-D12</f>
        <v>560.033892</v>
      </c>
      <c r="E16" s="0" t="n">
        <f aca="false">-E12</f>
        <v>633.722562</v>
      </c>
      <c r="F16" s="0" t="n">
        <f aca="false">-F12</f>
        <v>674.91452853</v>
      </c>
      <c r="G16" s="0" t="n">
        <f aca="false">-G12</f>
        <v>715.4094002418</v>
      </c>
      <c r="H16" s="0" t="n">
        <f aca="false">-H12</f>
        <v>751.17987025389</v>
      </c>
      <c r="I16" s="0" t="n">
        <f aca="false">-I12</f>
        <v>784.982964415315</v>
      </c>
      <c r="J16" s="0" t="n">
        <f aca="false">-J12</f>
        <v>816.382282991928</v>
      </c>
      <c r="K16" s="0" t="n">
        <f aca="false">-K12</f>
        <v>844.955662896645</v>
      </c>
      <c r="L16" s="0" t="n">
        <f aca="false">-L12</f>
        <v>870.304332783545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-518.5499</v>
      </c>
      <c r="D17" s="4" t="n">
        <f aca="false">-D6*Assumptions!D46/100</f>
        <v>-618.984828</v>
      </c>
      <c r="E17" s="4" t="n">
        <f aca="false">-E6*Assumptions!E46/100</f>
        <v>-697.0948182</v>
      </c>
      <c r="F17" s="4" t="n">
        <f aca="false">-F6*Assumptions!F46/100</f>
        <v>-742.405981383</v>
      </c>
      <c r="G17" s="4" t="n">
        <f aca="false">-G6*Assumptions!G46/100</f>
        <v>-786.95034026598</v>
      </c>
      <c r="H17" s="4" t="n">
        <f aca="false">-H6*Assumptions!H46/100</f>
        <v>-826.297857279279</v>
      </c>
      <c r="I17" s="4" t="n">
        <f aca="false">-I6*Assumptions!I46/100</f>
        <v>-863.481260856847</v>
      </c>
      <c r="J17" s="4" t="n">
        <f aca="false">-J6*Assumptions!J46/100</f>
        <v>-898.02051129112</v>
      </c>
      <c r="K17" s="4" t="n">
        <f aca="false">-K6*Assumptions!K46/100</f>
        <v>-929.45122918631</v>
      </c>
      <c r="L17" s="4" t="n">
        <f aca="false">-L6*Assumptions!L46/100</f>
        <v>-957.334766061899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-545.842</v>
      </c>
      <c r="D18" s="4" t="n">
        <f aca="false">(D6-C6)*Assumptions!$B$51/100</f>
        <v>-480.340960000001</v>
      </c>
      <c r="E18" s="4" t="n">
        <f aca="false">(E6-D6)*Assumptions!$B$51/100</f>
        <v>-486.345221999999</v>
      </c>
      <c r="F18" s="4" t="n">
        <f aca="false">(F6-E6)*Assumptions!$B$51/100</f>
        <v>-453.111631829999</v>
      </c>
      <c r="G18" s="4" t="n">
        <f aca="false">(G6-F6)*Assumptions!$B$51/100</f>
        <v>-445.443588829801</v>
      </c>
      <c r="H18" s="4" t="n">
        <f aca="false">(H6-G6)*Assumptions!$B$51/100</f>
        <v>-393.475170132991</v>
      </c>
      <c r="I18" s="4" t="n">
        <f aca="false">(I6-H6)*Assumptions!$B$51/100</f>
        <v>-371.834035775675</v>
      </c>
      <c r="J18" s="4" t="n">
        <f aca="false">(J6-I6)*Assumptions!$B$51/100</f>
        <v>-345.392504342738</v>
      </c>
      <c r="K18" s="4" t="n">
        <f aca="false">(K6-J6)*Assumptions!$B$51/100</f>
        <v>-314.307178951892</v>
      </c>
      <c r="L18" s="4" t="n">
        <f aca="false">(L6-K6)*Assumptions!$B$51/100</f>
        <v>-278.835368755894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1200.1700975</v>
      </c>
      <c r="D19" s="0" t="n">
        <f aca="false">D15+D16+D17+D18</f>
        <v>1377.748329518</v>
      </c>
      <c r="E19" s="0" t="n">
        <f aca="false">E15+E16+E17+E18</f>
        <v>1629.13159140435</v>
      </c>
      <c r="F19" s="0" t="n">
        <f aca="false">F15+F16+F17+F18</f>
        <v>1950.71457157209</v>
      </c>
      <c r="G19" s="0" t="n">
        <f aca="false">G15+G16+G17+G18</f>
        <v>2235.85718757145</v>
      </c>
      <c r="H19" s="0" t="n">
        <f aca="false">H15+H16+H17+H18</f>
        <v>2421.89064508832</v>
      </c>
      <c r="I19" s="0" t="n">
        <f aca="false">I15+I16+I17+I18</f>
        <v>2570.22324113059</v>
      </c>
      <c r="J19" s="0" t="n">
        <f aca="false">J15+J16+J17+J18</f>
        <v>2714.34706363978</v>
      </c>
      <c r="K19" s="0" t="n">
        <f aca="false">K15+K16+K17+K18</f>
        <v>2852.52327391002</v>
      </c>
      <c r="L19" s="0" t="n">
        <f aca="false">L15+L16+L17+L18</f>
        <v>2982.99999769187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1111.2686087963</v>
      </c>
      <c r="D21" s="0" t="n">
        <f aca="false">D19*D20</f>
        <v>1181.19712750171</v>
      </c>
      <c r="E21" s="0" t="n">
        <f aca="false">E19*E20</f>
        <v>1293.25718212127</v>
      </c>
      <c r="F21" s="0" t="n">
        <f aca="false">F19*F20</f>
        <v>1433.83344439053</v>
      </c>
      <c r="G21" s="0" t="n">
        <f aca="false">G19*G20</f>
        <v>1521.68683282827</v>
      </c>
      <c r="H21" s="0" t="n">
        <f aca="false">H19*H20</f>
        <v>1526.20192416699</v>
      </c>
      <c r="I21" s="0" t="n">
        <f aca="false">I19*I20</f>
        <v>1499.70057487921</v>
      </c>
      <c r="J21" s="0" t="n">
        <f aca="false">J19*J20</f>
        <v>1466.47726022388</v>
      </c>
      <c r="K21" s="0" t="n">
        <f aca="false">K19*K20</f>
        <v>1426.97182149193</v>
      </c>
      <c r="L21" s="0" t="n">
        <f aca="false">L19*L20</f>
        <v>1381.7061738875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3</v>
      </c>
      <c r="D23" s="4" t="n">
        <f aca="false">Assumptions!D44</f>
        <v>3</v>
      </c>
      <c r="E23" s="4" t="n">
        <f aca="false">Assumptions!E44</f>
        <v>3</v>
      </c>
      <c r="F23" s="4" t="n">
        <f aca="false">Assumptions!F44</f>
        <v>3</v>
      </c>
      <c r="G23" s="4" t="n">
        <f aca="false">Assumptions!G44</f>
        <v>3</v>
      </c>
      <c r="H23" s="4" t="n">
        <f aca="false">Assumptions!H44</f>
        <v>3</v>
      </c>
      <c r="I23" s="4" t="n">
        <f aca="false">Assumptions!I44</f>
        <v>3</v>
      </c>
      <c r="J23" s="4" t="n">
        <f aca="false">Assumptions!J44</f>
        <v>3</v>
      </c>
      <c r="K23" s="4" t="n">
        <f aca="false">Assumptions!K44</f>
        <v>3</v>
      </c>
      <c r="L23" s="4" t="n">
        <f aca="false">Assumptions!L44</f>
        <v>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-818.763</v>
      </c>
      <c r="D24" s="0" t="n">
        <f aca="false">-D6*D23/100</f>
        <v>-884.26404</v>
      </c>
      <c r="E24" s="0" t="n">
        <f aca="false">-E6*E23/100</f>
        <v>-950.583843</v>
      </c>
      <c r="F24" s="0" t="n">
        <f aca="false">-F6*F23/100</f>
        <v>-1012.371792795</v>
      </c>
      <c r="G24" s="0" t="n">
        <f aca="false">-G6*G23/100</f>
        <v>-1073.1141003627</v>
      </c>
      <c r="H24" s="0" t="n">
        <f aca="false">-H6*H23/100</f>
        <v>-1126.76980538084</v>
      </c>
      <c r="I24" s="0" t="n">
        <f aca="false">-I6*I23/100</f>
        <v>-1177.47444662297</v>
      </c>
      <c r="J24" s="0" t="n">
        <f aca="false">-J6*J23/100</f>
        <v>-1224.57342448789</v>
      </c>
      <c r="K24" s="0" t="n">
        <f aca="false">-K6*K23/100</f>
        <v>-1267.43349434497</v>
      </c>
      <c r="L24" s="0" t="n">
        <f aca="false">-L6*L23/100</f>
        <v>-1305.45649917532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13842.3009502876</v>
      </c>
    </row>
    <row r="31" customFormat="false" ht="15" hidden="false" customHeight="false" outlineLevel="0" collapsed="false">
      <c r="A31" s="0" t="s">
        <v>135</v>
      </c>
      <c r="B31" s="0" t="n">
        <f aca="false">L19</f>
        <v>2982.99999769187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50710.9999607618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44744.9999653781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44744.9999653781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20725.5926083125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34567.8935586001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32331.8935586001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184.227313724217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0.169697229995031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399.086905507089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582.507387917988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189.820443601283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23405.076904967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76.2492148423367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74.2977089390524</v>
      </c>
      <c r="C4" s="0" t="n">
        <f aca="false">B4/Assumptions!$B$2-1</f>
        <v>-0.528268514672683</v>
      </c>
      <c r="D4" s="4" t="n">
        <f aca="false">Assumptions!$B$24</f>
        <v>0.25</v>
      </c>
      <c r="E4" s="4" t="n">
        <f aca="false">DCF_Bear!$B$43</f>
        <v>78.6581562697282</v>
      </c>
      <c r="F4" s="4" t="n">
        <f aca="false">DCF_Bear!$B$47</f>
        <v>30.9832998417554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134.272231116041</v>
      </c>
      <c r="C5" s="0" t="n">
        <f aca="false">B5/Assumptions!$B$2-1</f>
        <v>-0.147477897675933</v>
      </c>
      <c r="D5" s="4" t="n">
        <f aca="false">Assumptions!$B$38</f>
        <v>0.5</v>
      </c>
      <c r="E5" s="4" t="n">
        <f aca="false">DCF_Base!$B$43</f>
        <v>139.384486248153</v>
      </c>
      <c r="F5" s="4" t="n">
        <f aca="false">DCF_Base!$B$47</f>
        <v>56.0333308651277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184.227313724217</v>
      </c>
      <c r="C6" s="0" t="n">
        <f aca="false">B6/Assumptions!$B$2-1</f>
        <v>0.169697229995031</v>
      </c>
      <c r="D6" s="4" t="n">
        <f aca="false">Assumptions!$B$52</f>
        <v>0.25</v>
      </c>
      <c r="E6" s="4" t="n">
        <f aca="false">DCF_Bull!$B$43</f>
        <v>189.820443601283</v>
      </c>
      <c r="F6" s="4" t="n">
        <f aca="false">DCF_Bull!$B$47</f>
        <v>76.2492148423367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131.767371223838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136.81189309183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-0.195288321662344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510.110362281093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54.8247941035869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134.272231116041</v>
      </c>
      <c r="C15" s="3" t="n">
        <v>8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121.605408180893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103.716955571793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89.8538749899129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78.8055704432543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56.0333308651277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158.400695396073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158.400695396073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158.400695396073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158.400695396073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158.400695396073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145.764911758673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145.764911758673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145.764911758673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145.764911758673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145.764911758673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131.053633487375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134.272231116041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134.272231116041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134.272231116041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134.272231116041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111.607347182597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116.273108981802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121.605408180893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123.806816107123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123.806816107123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96.5542742749391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99.9249478263996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103.716955571793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108.014564349905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112.926117239176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2026-10-24T12:17:54Z</dcterms:created>
  <dc:creator>openpyxl</dc:creator>
  <dc:description/>
  <dc:language>en-NZ</dc:language>
  <cp:lastModifiedBy/>
  <dcterms:modified xsi:type="dcterms:W3CDTF">2026-10-24T12:17:54Z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