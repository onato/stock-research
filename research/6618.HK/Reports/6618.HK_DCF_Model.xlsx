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<sst xmlns="http://schemas.openxmlformats.org/spreadsheetml/2006/main" count="355" uniqueCount="168">
  <si>
    <t xml:space="preserve">Ticker</t>
  </si>
  <si>
    <t xml:space="preserve">6618.HK</t>
  </si>
  <si>
    <t xml:space="preserve">Company</t>
  </si>
  <si>
    <t xml:space="preserve">JD Health International Inc.</t>
  </si>
  <si>
    <t xml:space="preserve">Valuation date</t>
  </si>
  <si>
    <t xml:space="preserve">2026-10-24</t>
  </si>
  <si>
    <t xml:space="preserve">Current price</t>
  </si>
  <si>
    <t xml:space="preserve">Price as of</t>
  </si>
  <si>
    <t xml:space="preserve">2026-10-23T08:08:08Z (16:08 HKT, regular close incl. closing auction; not an after-hours print)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</si>
  <si>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</si>
  <si>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</si>
  <si>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</si>
  <si>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</si>
  <si>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</si>
  <si>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</si>
  <si>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</si>
  <si>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</si>
  <si>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</si>
  <si>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</si>
  <si>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</si>
  <si>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</si>
  <si>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</si>
  <si>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2026-10-23T14:56:56Z</t>
  </si>
  <si>
    <t xml:space="preserve">Drivers file</t>
  </si>
  <si>
    <t xml:space="preserve">6618.HK_Drivers.json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</si>
  <si>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</si>
  <si>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</si>
  <si>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</si>
  <si>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DCF with SBC fully expensed and the share count held flat; interest income stripped and the entire RMB71.5bn of cash resources (cash, term deposits, bank wealth-management products) added back once in the bridge at book/fair value. Ten-year explicit horizon because the owner-FCF margin is still ramping at year 5. Discounted at a single CNY-built 10% in every scenario; risk lives in the flows and the 25/50/25 weights. Per-share values are computed in RMB and converted to HKD at the dated 1.1759 rate, parity-checked against the RMB counter.
key_risks_to_valuation: Cash pile realisation: RMB22.3/share (HK$26.2) of the value is cash resources controlled by a 68% shareholder; the model takes it at face. A permanent 20% market discount on that cash is worth ~HK$5/share.; Working-capital float: ~RMB12bn of the cash is supplier-funded (payables + accruals exceed inventories + receivables); it is real as long as revenue does not shrink, and the model's positive wc_capture assumes the payables ratio holds as revenue grows.; Regulatory: the May-2026 NMPA online prescription-drug rules directly target AI-assisted prescription workflows and Rx promotion; a harder enforcement path than the base assumes moves year-1 growth from 13% toward the bear's 8%.; Margin maturity: the base 10.5% pre-SBC EBITDA margin is above any full year printed (6.4% FY2025, 9.0% H1 FY2026 half-year); the terminal value is ~55-60% of EV, so each 1pp of mature margin is worth roughly HK$6-7/share.; Currency: the HKD value moves one-for-one with HKD/CNY; the 1.1759 rate is dated 2026-10-23 and is not refreshed by refresh_price.py.; Related-party terms: technology/traffic, logistics and payment services from JD.com at 3% of fulfilled-order value are fixed to 2028; a reset on renewal is a direct margin lever outside JD Health's control.</t>
  </si>
  <si>
    <t xml:space="preserve">Data sources</t>
  </si>
  <si>
    <t xml:space="preserve">price: Yahoo Finance chart API at inputs.price_as_of (regular HKEX close); 52-week range 31.84-71.70 HKD. FX from Yahoo HKDCNY=X the same day, parity-checked against the 86618.HK RMB counter.
financials: 6618.HK_Metrics.csv and the kpis table (TermDeposits, InterestIncome, CashTaxesPaid, ShareRepurchases, Depreciation, MerchandiseSalesRevenue, ServicesRevenue); FY2025 annual report (income statement, cash-flow statement, note 9 tax reconciliation, note 32(a) working-capital reconciliation, non-IFRS reconciliation); H1 FY2026 interim report (statement of financial position, cash-flow statement, notes 9-11, non-IFRS reconciliation).
qualitative: 6618.HK_Analysis.json (2026-10-24): business model, moat factors, regulatory risk register, bull/bear cases, H1 FY2026 and FY2025 management commentary.</t>
  </si>
  <si>
    <t xml:space="preserve">Scenario narrative: bear</t>
  </si>
  <si>
    <t xml:space="preserve">Regulation and competition bite together. The NMPA compliance guidelines slow Rx order growth and ban the AI-assistant workflows JD Health has been building; Alibaba Health and Meituan on-demand pharmacy compete on price and delivery speed; JD.com's connected-transaction terms (3% of fulfilled-order value through 2028) leave little room to defend margin. Revenue growth falls to high single digits immediately and to ~3% by mid-decade, the pre-SBC EBITDA margin stalls at 7-8%, preferential tax rates lapse, and the cash earns less as PRC rates fall. Even here the cash pile covers ~70% of the current share price, so the bear case is a value-trap outcome -- a cash-rich business whose cash is never returned -- rather than a capital-loss outcome on the fundamentals.</t>
  </si>
  <si>
    <t xml:space="preserve">Scenario narrative: base</t>
  </si>
  <si>
    <t xml:space="preserve">JD Health keeps compounding as China's largest online pharmacy, with revenue growth easing from ~13% toward 3.5% over a decade as online penetration of pharmaceutical retail matures and the 2026 prescription-drug rules take some edge off AI-assisted conversion without breaking the model. The axes that matter are (1) services mix -- marketplace, advertising and insurance-payment facilitation growing faster than 1P merchandise, lifting gross margin from 25% toward 28%; (2) fulfilment leverage from JD Logistics and the 450-store omnichannel network; and (3) the cash tax rate normalising toward 20% as offshore-exempt finance income shrinks in the mix. The pre-SBC EBITDA margin matures at 10.5%, giving an owner-FCF margin of ~8%. The RMB71.5bn cash pile is taken at face value in the bridge; whether minority holders ever see it (buybacks only restarted in H1 FY2026 at RMB846m) is the real debate, and it is why the stock trades at ~5x owner FCF ex-cash.</t>
  </si>
  <si>
    <t xml:space="preserve">Scenario narrative: bull</t>
  </si>
  <si>
    <t xml:space="preserve">The 'first online marketplace for new drug launches' positioning turns into a durable procurement moat: innovative-drug exclusives, medical-insurance online payment in 40+ cities and on-demand delivery keep growth in the mid-teens through 2029, services reach a quarter of revenue, and the margin ramp seen in H1 FY2026 (non-IFRS operating margin 7.0% -&gt; 8.5%) continues to a 13% pre-SBC EBITDA margin. Policy tailwinds (health-consumption and AI+healthcare plans in the 15th Five-Year Plan) favour the compliant scale incumbent. The company steps up buybacks or dividends from the cash pile, closing the discount the market applies to cash controlled by JD.com.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</si>
  <si>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</si>
  <si>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</si>
  <si>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</si>
  <si>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</si>
  <si>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</si>
  <si>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</si>
  <si>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</si>
  <si>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</si>
  <si>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</si>
  <si>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</si>
  <si>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</si>
  <si>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</si>
  <si>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</si>
  <si>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</si>
  <si>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</si>
  <si>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</si>
  <si>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</si>
  <si>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</si>
  <si>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</si>
  <si>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</si>
  <si>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</si>
  <si>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</si>
  <si>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</si>
  <si>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</si>
  <si>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</si>
  <si>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</si>
  <si>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</si>
  <si>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ActiveCustomers</t>
  </si>
  <si>
    <t xml:space="preserve">IntangibleAssetPurchases</t>
  </si>
  <si>
    <t xml:space="preserve">MerchandiseSalesRevenue</t>
  </si>
  <si>
    <t xml:space="preserve">ServicesRevenue</t>
  </si>
  <si>
    <t xml:space="preserve">TermDeposits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</si>
  <si>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</si>
  <si>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</si>
  <si>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</si>
  <si>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</si>
  <si>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</si>
  <si>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</si>
  <si>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</si>
  <si>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</si>
  <si>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</si>
  <si>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</si>
  <si>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</si>
  <si>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</si>
  <si>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</si>
  <si>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</si>
  <si>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</si>
  <si>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</si>
  <si>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TTM Jun-2026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</si>
  <si>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</si>
  <si>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</si>
  <si>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</si>
  <si>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</si>
  <si>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TTM Jun-2027</t>
  </si>
  <si>
    <t xml:space="preserve">TTM Jun-2028</t>
  </si>
  <si>
    <t xml:space="preserve">TTM Jun-2029</t>
  </si>
  <si>
    <t xml:space="preserve">TTM Jun-2030</t>
  </si>
  <si>
    <t xml:space="preserve">TTM Jun-2031</t>
  </si>
  <si>
    <t xml:space="preserve">TTM Jun-2032</t>
  </si>
  <si>
    <t xml:space="preserve">TTM Jun-2033</t>
  </si>
  <si>
    <t xml:space="preserve">TTM Jun-2034</t>
  </si>
  <si>
    <t xml:space="preserve">TTM Jun-2035</t>
  </si>
  <si>
    <t xml:space="preserve">TTM Jun-2036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</si>
  <si>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</si>
  <si>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</si>
  <si>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</si>
  <si>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</si>
  <si>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</si>
  <si>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</si>
  <si>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</si>
  <si>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</si>
  <si>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</si>
  <si>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</si>
  <si>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</si>
  <si>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</si>
  <si>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</si>
  <si>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</si>
  <si>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6618.HK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</si>
  <si>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</si>
  <si>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</si>
  <si>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</si>
  <si>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</si>
  <si>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</si>
  <si>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</si>
  <si>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</si>
  <si>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</si>
  <si>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</si>
  <si>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</si>
  <si>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</si>
  <si>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</si>
  <si>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</si>
  <si>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</si>
  <si>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</si>
  <si>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</si>
  <si>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</si>
  <si>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</si>
  <si>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</si>
  <si>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</si>
  <si>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</si>
  <si>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</si>
  <si>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</si>
  <si>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</si>
  <si>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</si>
  <si>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</si>
  <si>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</si>
  <si>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</si>
  <si>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</si>
  <si>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</si>
  <si>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6618.HK owner-FCF component DCF: base case (millions, CNY)</t>
  </si>
  <si>
    <t xml:space="preserve">6618.HK owner-FCF component DCF: bull case (millions, CNY)</t>
  </si>
  <si>
    <t xml:space="preserve">6618.HK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</si>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</sst>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37.6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  <c r="AF1" s="2" t="s">
        <v>67</v>
      </c>
      <c r="AG1" s="2" t="s">
        <v>68</v>
      </c>
    </row>
    <row r="2" customFormat="false" ht="15" hidden="false" customHeight="false" outlineLevel="0" collapsed="false">
      <c r="A2" s="0" t="s">
        <v>69</v>
      </c>
      <c r="B2" s="0" t="n">
        <v>10842.14</v>
      </c>
      <c r="C2" s="0" t="n">
        <v>8029.868</v>
      </c>
      <c r="D2" s="0" t="n">
        <v>2812.272</v>
      </c>
      <c r="E2" s="0" t="n">
        <v>25.9</v>
      </c>
      <c r="F2" s="0" t="n">
        <v>433.443</v>
      </c>
      <c r="G2" s="0" t="n">
        <v>4</v>
      </c>
      <c r="H2" s="0" t="n">
        <v>440.866</v>
      </c>
      <c r="I2" s="0" t="n">
        <v>-971.805</v>
      </c>
      <c r="J2" s="0" t="n">
        <v>-9</v>
      </c>
      <c r="K2" s="0" t="n">
        <v>-0.45</v>
      </c>
      <c r="L2" s="0" t="n">
        <v>409.47</v>
      </c>
      <c r="M2" s="0" t="n">
        <v>5.689</v>
      </c>
      <c r="N2" s="0" t="n">
        <v>403.781</v>
      </c>
      <c r="O2" s="0" t="n">
        <v>-459.031</v>
      </c>
      <c r="P2" s="0" t="n">
        <v>8676.677</v>
      </c>
      <c r="Q2" s="0" t="n">
        <v>9135.708</v>
      </c>
      <c r="S2" s="0" t="n">
        <v>4965.272</v>
      </c>
      <c r="T2" s="0" t="n">
        <v>2149.253732</v>
      </c>
      <c r="U2" s="0" t="n">
        <v>52.728</v>
      </c>
      <c r="V2" s="0" t="n">
        <v>0</v>
      </c>
      <c r="AA2" s="0" t="s">
        <v>18</v>
      </c>
      <c r="AB2" s="0" t="s">
        <v>14</v>
      </c>
      <c r="AD2" s="0" t="n">
        <v>0.503</v>
      </c>
      <c r="AE2" s="0" t="n">
        <v>9434.984</v>
      </c>
      <c r="AF2" s="0" t="n">
        <v>1407.156</v>
      </c>
      <c r="AG2" s="0" t="n">
        <v>1395.24</v>
      </c>
    </row>
    <row r="3" customFormat="false" ht="15" hidden="false" customHeight="false" outlineLevel="0" collapsed="false">
      <c r="A3" s="0" t="s">
        <v>70</v>
      </c>
      <c r="B3" s="0" t="n">
        <v>19382.568</v>
      </c>
      <c r="C3" s="0" t="n">
        <v>14465.27</v>
      </c>
      <c r="D3" s="0" t="n">
        <v>4917.298</v>
      </c>
      <c r="E3" s="0" t="n">
        <v>25.4</v>
      </c>
      <c r="F3" s="0" t="n">
        <v>351.715</v>
      </c>
      <c r="G3" s="0" t="n">
        <v>1.8</v>
      </c>
      <c r="H3" s="0" t="n">
        <v>378.936</v>
      </c>
      <c r="I3" s="0" t="n">
        <v>-17234.363</v>
      </c>
      <c r="J3" s="0" t="n">
        <v>-88.9</v>
      </c>
      <c r="K3" s="0" t="n">
        <v>-7.8</v>
      </c>
      <c r="L3" s="0" t="n">
        <v>3699.464</v>
      </c>
      <c r="M3" s="0" t="n">
        <v>38.788</v>
      </c>
      <c r="N3" s="0" t="n">
        <v>3660.676</v>
      </c>
      <c r="O3" s="0" t="n">
        <v>39250.843</v>
      </c>
      <c r="P3" s="0" t="n">
        <v>43994.548</v>
      </c>
      <c r="Q3" s="0" t="n">
        <v>4743.204</v>
      </c>
      <c r="R3" s="0" t="n">
        <v>0</v>
      </c>
      <c r="S3" s="0" t="n">
        <v>32270.792</v>
      </c>
      <c r="T3" s="0" t="n">
        <v>2208.523703</v>
      </c>
      <c r="U3" s="0" t="n">
        <v>380.299</v>
      </c>
      <c r="V3" s="0" t="n">
        <v>0</v>
      </c>
      <c r="AA3" s="0" t="s">
        <v>18</v>
      </c>
      <c r="AB3" s="0" t="s">
        <v>14</v>
      </c>
      <c r="AC3" s="0" t="n">
        <v>89.8</v>
      </c>
      <c r="AD3" s="0" t="n">
        <v>21.91</v>
      </c>
      <c r="AE3" s="0" t="n">
        <v>16773.547</v>
      </c>
      <c r="AF3" s="0" t="n">
        <v>2609.021</v>
      </c>
      <c r="AG3" s="0" t="n">
        <v>6524.9</v>
      </c>
    </row>
    <row r="4" customFormat="false" ht="15" hidden="false" customHeight="false" outlineLevel="0" collapsed="false">
      <c r="A4" s="0" t="s">
        <v>71</v>
      </c>
      <c r="B4" s="0" t="n">
        <v>30682.267</v>
      </c>
      <c r="C4" s="0" t="n">
        <v>23484.985</v>
      </c>
      <c r="D4" s="0" t="n">
        <v>7197.282</v>
      </c>
      <c r="E4" s="0" t="n">
        <v>23.5</v>
      </c>
      <c r="F4" s="0" t="n">
        <v>-1365.693</v>
      </c>
      <c r="G4" s="0" t="n">
        <v>-4.5</v>
      </c>
      <c r="H4" s="0" t="n">
        <v>-1302.524</v>
      </c>
      <c r="I4" s="0" t="n">
        <v>-1073.507</v>
      </c>
      <c r="J4" s="0" t="n">
        <v>-3.5</v>
      </c>
      <c r="K4" s="0" t="n">
        <v>-0.35</v>
      </c>
      <c r="L4" s="0" t="n">
        <v>3430.72</v>
      </c>
      <c r="M4" s="0" t="n">
        <v>518.163</v>
      </c>
      <c r="N4" s="0" t="n">
        <v>2912.557</v>
      </c>
      <c r="O4" s="0" t="n">
        <v>39853.393</v>
      </c>
      <c r="P4" s="0" t="n">
        <v>48002.217</v>
      </c>
      <c r="Q4" s="0" t="n">
        <v>8147.634</v>
      </c>
      <c r="R4" s="0" t="n">
        <v>0</v>
      </c>
      <c r="S4" s="0" t="n">
        <v>17252.295</v>
      </c>
      <c r="T4" s="0" t="n">
        <v>3094.892683</v>
      </c>
      <c r="U4" s="0" t="n">
        <v>2579.709</v>
      </c>
      <c r="V4" s="0" t="n">
        <v>0</v>
      </c>
      <c r="AA4" s="0" t="s">
        <v>18</v>
      </c>
      <c r="AB4" s="0" t="s">
        <v>14</v>
      </c>
      <c r="AC4" s="0" t="n">
        <v>123.3</v>
      </c>
      <c r="AD4" s="0" t="n">
        <v>7.88</v>
      </c>
      <c r="AE4" s="0" t="n">
        <v>26177.177</v>
      </c>
      <c r="AF4" s="0" t="n">
        <v>4505.09</v>
      </c>
      <c r="AG4" s="0" t="n">
        <v>23637.103</v>
      </c>
    </row>
    <row r="5" customFormat="false" ht="15" hidden="false" customHeight="false" outlineLevel="0" collapsed="false">
      <c r="A5" s="0" t="s">
        <v>72</v>
      </c>
      <c r="B5" s="0" t="n">
        <v>46736.15</v>
      </c>
      <c r="C5" s="0" t="n">
        <v>36844.642</v>
      </c>
      <c r="D5" s="0" t="n">
        <v>9891.508</v>
      </c>
      <c r="E5" s="0" t="n">
        <v>21.2</v>
      </c>
      <c r="F5" s="0" t="n">
        <v>-46.918</v>
      </c>
      <c r="G5" s="0" t="n">
        <v>-0.1</v>
      </c>
      <c r="H5" s="0" t="n">
        <v>93.758</v>
      </c>
      <c r="I5" s="0" t="n">
        <v>380.105</v>
      </c>
      <c r="J5" s="0" t="n">
        <v>0.8</v>
      </c>
      <c r="K5" s="0" t="n">
        <v>0.12</v>
      </c>
      <c r="L5" s="0" t="n">
        <v>5905.149</v>
      </c>
      <c r="M5" s="0" t="n">
        <v>2270.709</v>
      </c>
      <c r="N5" s="0" t="n">
        <v>3634.44</v>
      </c>
      <c r="O5" s="0" t="n">
        <v>44780.248</v>
      </c>
      <c r="P5" s="0" t="n">
        <v>61277.296</v>
      </c>
      <c r="Q5" s="0" t="n">
        <v>16492.734</v>
      </c>
      <c r="R5" s="0" t="n">
        <v>0</v>
      </c>
      <c r="S5" s="0" t="n">
        <v>18717.724</v>
      </c>
      <c r="T5" s="0" t="n">
        <v>3144.376</v>
      </c>
      <c r="U5" s="0" t="n">
        <v>2104.278</v>
      </c>
      <c r="V5" s="0" t="n">
        <v>0</v>
      </c>
      <c r="AA5" s="0" t="s">
        <v>18</v>
      </c>
      <c r="AB5" s="0" t="s">
        <v>14</v>
      </c>
      <c r="AC5" s="0" t="n">
        <v>154.3</v>
      </c>
      <c r="AD5" s="0" t="n">
        <v>2232.794</v>
      </c>
      <c r="AE5" s="0" t="n">
        <v>40366.661</v>
      </c>
      <c r="AF5" s="0" t="n">
        <v>6369.489</v>
      </c>
      <c r="AG5" s="0" t="n">
        <v>27245.424</v>
      </c>
    </row>
    <row r="6" customFormat="false" ht="15" hidden="false" customHeight="false" outlineLevel="0" collapsed="false">
      <c r="A6" s="0" t="s">
        <v>73</v>
      </c>
      <c r="B6" s="0" t="n">
        <v>53529.941</v>
      </c>
      <c r="C6" s="0" t="n">
        <v>41664.605</v>
      </c>
      <c r="D6" s="0" t="n">
        <v>11865.336</v>
      </c>
      <c r="E6" s="0" t="n">
        <v>22.2</v>
      </c>
      <c r="F6" s="0" t="n">
        <v>700.707</v>
      </c>
      <c r="G6" s="0" t="n">
        <v>1.3</v>
      </c>
      <c r="H6" s="0" t="n">
        <v>928.165</v>
      </c>
      <c r="I6" s="0" t="n">
        <v>2141.841</v>
      </c>
      <c r="J6" s="0" t="n">
        <v>4</v>
      </c>
      <c r="K6" s="0" t="n">
        <v>0.68</v>
      </c>
      <c r="L6" s="0" t="n">
        <v>4604.778</v>
      </c>
      <c r="M6" s="0" t="n">
        <v>69.333</v>
      </c>
      <c r="N6" s="0" t="n">
        <v>4535.445</v>
      </c>
      <c r="O6" s="0" t="n">
        <v>49355.752</v>
      </c>
      <c r="P6" s="0" t="n">
        <v>64288.3</v>
      </c>
      <c r="Q6" s="0" t="n">
        <v>14918.036</v>
      </c>
      <c r="R6" s="0" t="n">
        <v>0</v>
      </c>
      <c r="S6" s="0" t="n">
        <v>15037.033</v>
      </c>
      <c r="T6" s="0" t="n">
        <v>3163.985</v>
      </c>
      <c r="U6" s="0" t="n">
        <v>1847.789</v>
      </c>
      <c r="V6" s="0" t="n">
        <v>0</v>
      </c>
      <c r="AA6" s="0" t="s">
        <v>18</v>
      </c>
      <c r="AB6" s="0" t="s">
        <v>14</v>
      </c>
      <c r="AC6" s="0" t="n">
        <v>172.3</v>
      </c>
      <c r="AD6" s="0" t="n">
        <v>0</v>
      </c>
      <c r="AE6" s="0" t="n">
        <v>45652.922</v>
      </c>
      <c r="AF6" s="0" t="n">
        <v>7877.019</v>
      </c>
      <c r="AG6" s="0" t="n">
        <v>16066.577</v>
      </c>
    </row>
    <row r="7" customFormat="false" ht="15" hidden="false" customHeight="false" outlineLevel="0" collapsed="false">
      <c r="A7" s="0" t="s">
        <v>74</v>
      </c>
      <c r="B7" s="0" t="n">
        <v>58159.881</v>
      </c>
      <c r="C7" s="0" t="n">
        <v>44851.304</v>
      </c>
      <c r="D7" s="0" t="n">
        <v>13308.577</v>
      </c>
      <c r="E7" s="0" t="n">
        <v>22.9</v>
      </c>
      <c r="F7" s="0" t="n">
        <v>1478.764</v>
      </c>
      <c r="G7" s="0" t="n">
        <v>2.5</v>
      </c>
      <c r="H7" s="0" t="n">
        <v>1693.459</v>
      </c>
      <c r="I7" s="0" t="n">
        <v>4161.844</v>
      </c>
      <c r="J7" s="0" t="n">
        <v>7.2</v>
      </c>
      <c r="K7" s="0" t="n">
        <v>1.32</v>
      </c>
      <c r="L7" s="0" t="n">
        <v>4332.367</v>
      </c>
      <c r="M7" s="0" t="n">
        <v>46.355</v>
      </c>
      <c r="N7" s="0" t="n">
        <v>4286.012</v>
      </c>
      <c r="O7" s="0" t="n">
        <v>55231.156</v>
      </c>
      <c r="P7" s="0" t="n">
        <v>71274.993</v>
      </c>
      <c r="Q7" s="0" t="n">
        <v>16034.155</v>
      </c>
      <c r="R7" s="0" t="n">
        <v>0</v>
      </c>
      <c r="S7" s="0" t="n">
        <v>22628.872</v>
      </c>
      <c r="T7" s="0" t="n">
        <v>3160.278</v>
      </c>
      <c r="U7" s="0" t="n">
        <v>1129.6</v>
      </c>
      <c r="V7" s="0" t="n">
        <v>0</v>
      </c>
      <c r="AA7" s="0" t="s">
        <v>18</v>
      </c>
      <c r="AB7" s="0" t="s">
        <v>14</v>
      </c>
      <c r="AC7" s="0" t="n">
        <v>183.6</v>
      </c>
      <c r="AE7" s="0" t="n">
        <v>48795.702</v>
      </c>
      <c r="AF7" s="0" t="n">
        <v>9364.179</v>
      </c>
      <c r="AG7" s="0" t="n">
        <v>15125.916</v>
      </c>
    </row>
    <row r="8" customFormat="false" ht="15" hidden="false" customHeight="false" outlineLevel="0" collapsed="false">
      <c r="A8" s="0" t="s">
        <v>75</v>
      </c>
      <c r="B8" s="0" t="n">
        <v>73441.487</v>
      </c>
      <c r="C8" s="0" t="n">
        <v>55242.325</v>
      </c>
      <c r="D8" s="0" t="n">
        <v>18199.162</v>
      </c>
      <c r="E8" s="0" t="n">
        <v>24.8</v>
      </c>
      <c r="F8" s="0" t="n">
        <v>3940.782</v>
      </c>
      <c r="G8" s="0" t="n">
        <v>5.4</v>
      </c>
      <c r="H8" s="0" t="n">
        <v>4220.771</v>
      </c>
      <c r="I8" s="0" t="n">
        <v>5375.405</v>
      </c>
      <c r="J8" s="0" t="n">
        <v>7.3</v>
      </c>
      <c r="K8" s="0" t="n">
        <v>1.68</v>
      </c>
      <c r="L8" s="0" t="n">
        <v>10173.949</v>
      </c>
      <c r="M8" s="0" t="n">
        <v>151.009</v>
      </c>
      <c r="N8" s="0" t="n">
        <v>10022.94</v>
      </c>
      <c r="O8" s="0" t="n">
        <v>60071.824</v>
      </c>
      <c r="P8" s="0" t="n">
        <v>81586.601</v>
      </c>
      <c r="Q8" s="0" t="n">
        <v>21513.391</v>
      </c>
      <c r="R8" s="0" t="n">
        <v>0</v>
      </c>
      <c r="S8" s="0" t="n">
        <v>31784.669</v>
      </c>
      <c r="T8" s="0" t="n">
        <v>3196.251</v>
      </c>
      <c r="U8" s="0" t="n">
        <v>590.724</v>
      </c>
      <c r="V8" s="0" t="n">
        <v>0</v>
      </c>
      <c r="AA8" s="0" t="s">
        <v>18</v>
      </c>
      <c r="AB8" s="0" t="s">
        <v>14</v>
      </c>
      <c r="AC8" s="0" t="n">
        <v>217.7</v>
      </c>
      <c r="AE8" s="0" t="n">
        <v>60884.805</v>
      </c>
      <c r="AF8" s="0" t="n">
        <v>12556.682</v>
      </c>
      <c r="AG8" s="0" t="n">
        <v>14686.73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76</v>
      </c>
      <c r="B1" s="2" t="s">
        <v>77</v>
      </c>
    </row>
    <row r="2" customFormat="false" ht="15" hidden="false" customHeight="false" outlineLevel="0" collapsed="false">
      <c r="A2" s="0" t="s">
        <v>78</v>
      </c>
      <c r="B2" s="3" t="n">
        <v>37.6</v>
      </c>
    </row>
    <row r="3" customFormat="false" ht="15" hidden="false" customHeight="false" outlineLevel="0" collapsed="false">
      <c r="A3" s="0" t="s">
        <v>79</v>
      </c>
      <c r="B3" s="3" t="n">
        <v>3204.362</v>
      </c>
    </row>
    <row r="4" customFormat="false" ht="15" hidden="false" customHeight="false" outlineLevel="0" collapsed="false">
      <c r="A4" s="0" t="s">
        <v>80</v>
      </c>
      <c r="B4" s="3" t="n">
        <v>-71496.8</v>
      </c>
    </row>
    <row r="5" customFormat="false" ht="15" hidden="false" customHeight="false" outlineLevel="0" collapsed="false">
      <c r="A5" s="0" t="s">
        <v>81</v>
      </c>
      <c r="B5" s="3" t="n">
        <v>0</v>
      </c>
    </row>
    <row r="6" customFormat="false" ht="15" hidden="false" customHeight="false" outlineLevel="0" collapsed="false">
      <c r="A6" s="0" t="s">
        <v>82</v>
      </c>
      <c r="B6" s="3" t="n">
        <v>15</v>
      </c>
    </row>
    <row r="7" customFormat="false" ht="15" hidden="false" customHeight="false" outlineLevel="0" collapsed="false">
      <c r="A7" s="0" t="s">
        <v>83</v>
      </c>
      <c r="B7" s="3" t="n">
        <v>79039.3</v>
      </c>
    </row>
    <row r="8" customFormat="false" ht="15" hidden="false" customHeight="false" outlineLevel="0" collapsed="false">
      <c r="A8" s="0" t="s">
        <v>84</v>
      </c>
      <c r="B8" s="3" t="s">
        <v>85</v>
      </c>
    </row>
    <row r="9" customFormat="false" ht="15" hidden="false" customHeight="false" outlineLevel="0" collapsed="false">
      <c r="A9" s="0" t="s">
        <v>86</v>
      </c>
      <c r="B9" s="3" t="s">
        <v>87</v>
      </c>
    </row>
    <row r="10" customFormat="false" ht="15" hidden="false" customHeight="false" outlineLevel="0" collapsed="false">
      <c r="A10" s="0" t="s">
        <v>88</v>
      </c>
      <c r="B10" s="3" t="n">
        <v>1.1759</v>
      </c>
    </row>
    <row r="12" customFormat="false" ht="15" hidden="false" customHeight="false" outlineLevel="0" collapsed="false">
      <c r="A12" s="2" t="s">
        <v>89</v>
      </c>
      <c r="C12" s="2" t="s">
        <v>90</v>
      </c>
      <c r="D12" s="2" t="s">
        <v>91</v>
      </c>
      <c r="E12" s="2" t="s">
        <v>92</v>
      </c>
      <c r="F12" s="2" t="s">
        <v>93</v>
      </c>
      <c r="G12" s="2" t="s">
        <v>94</v>
      </c>
      <c r="H12" s="2" t="s">
        <v>95</v>
      </c>
      <c r="I12" s="2" t="s">
        <v>96</v>
      </c>
      <c r="J12" s="2" t="s">
        <v>97</v>
      </c>
      <c r="K12" s="2" t="s">
        <v>98</v>
      </c>
      <c r="L12" s="2" t="s">
        <v>99</v>
      </c>
    </row>
    <row r="13" customFormat="false" ht="15" hidden="false" customHeight="false" outlineLevel="0" collapsed="false">
      <c r="A13" s="0" t="s">
        <v>100</v>
      </c>
      <c r="C13" s="3" t="n">
        <v>8</v>
      </c>
      <c r="D13" s="3" t="n">
        <v>6</v>
      </c>
      <c r="E13" s="3" t="n">
        <v>5</v>
      </c>
      <c r="F13" s="3" t="n">
        <v>4</v>
      </c>
      <c r="G13" s="3" t="n">
        <v>4</v>
      </c>
      <c r="H13" s="3" t="n">
        <v>3.5</v>
      </c>
      <c r="I13" s="3" t="n">
        <v>3</v>
      </c>
      <c r="J13" s="3" t="n">
        <v>3</v>
      </c>
      <c r="K13" s="3" t="n">
        <v>3</v>
      </c>
      <c r="L13" s="3" t="n">
        <v>3</v>
      </c>
    </row>
    <row r="14" customFormat="false" ht="15" hidden="false" customHeight="false" outlineLevel="0" collapsed="false">
      <c r="A14" s="0" t="s">
        <v>101</v>
      </c>
      <c r="C14" s="3" t="n">
        <v>7</v>
      </c>
      <c r="D14" s="3" t="n">
        <v>7</v>
      </c>
      <c r="E14" s="3" t="n">
        <v>7.2</v>
      </c>
      <c r="F14" s="3" t="n">
        <v>7.4</v>
      </c>
      <c r="G14" s="3" t="n">
        <v>7.6</v>
      </c>
      <c r="H14" s="3" t="n">
        <v>7.8</v>
      </c>
      <c r="I14" s="3" t="n">
        <v>7.9</v>
      </c>
      <c r="J14" s="3" t="n">
        <v>8</v>
      </c>
      <c r="K14" s="3" t="n">
        <v>8</v>
      </c>
      <c r="L14" s="3" t="n">
        <v>8</v>
      </c>
    </row>
    <row r="15" customFormat="false" ht="15" hidden="false" customHeight="false" outlineLevel="0" collapsed="false">
      <c r="A15" s="0" t="s">
        <v>102</v>
      </c>
      <c r="C15" s="3" t="n">
        <v>0.8</v>
      </c>
      <c r="D15" s="3" t="n">
        <v>0.8</v>
      </c>
      <c r="E15" s="3" t="n">
        <v>0.8</v>
      </c>
      <c r="F15" s="3" t="n">
        <v>0.8</v>
      </c>
      <c r="G15" s="3" t="n">
        <v>0.8</v>
      </c>
      <c r="H15" s="3" t="n">
        <v>0.8</v>
      </c>
      <c r="I15" s="3" t="n">
        <v>0.8</v>
      </c>
      <c r="J15" s="3" t="n">
        <v>0.8</v>
      </c>
      <c r="K15" s="3" t="n">
        <v>0.8</v>
      </c>
      <c r="L15" s="3" t="n">
        <v>0.8</v>
      </c>
    </row>
    <row r="16" customFormat="false" ht="15" hidden="false" customHeight="false" outlineLevel="0" collapsed="false">
      <c r="A16" s="0" t="s">
        <v>103</v>
      </c>
      <c r="C16" s="3" t="n">
        <v>0.15</v>
      </c>
      <c r="D16" s="3" t="n">
        <v>0.15</v>
      </c>
      <c r="E16" s="3" t="n">
        <v>0.15</v>
      </c>
      <c r="F16" s="3" t="n">
        <v>0.15</v>
      </c>
      <c r="G16" s="3" t="n">
        <v>0.15</v>
      </c>
      <c r="H16" s="3" t="n">
        <v>0.15</v>
      </c>
      <c r="I16" s="3" t="n">
        <v>0.15</v>
      </c>
      <c r="J16" s="3" t="n">
        <v>0.15</v>
      </c>
      <c r="K16" s="3" t="n">
        <v>0.15</v>
      </c>
      <c r="L16" s="3" t="n">
        <v>0.15</v>
      </c>
    </row>
    <row r="17" customFormat="false" ht="15" hidden="false" customHeight="false" outlineLevel="0" collapsed="false">
      <c r="A17" s="0" t="s">
        <v>104</v>
      </c>
      <c r="C17" s="3" t="n">
        <v>0.25</v>
      </c>
      <c r="D17" s="3" t="n">
        <v>0.25</v>
      </c>
      <c r="E17" s="3" t="n">
        <v>0.25</v>
      </c>
      <c r="F17" s="3" t="n">
        <v>0.25</v>
      </c>
      <c r="G17" s="3" t="n">
        <v>0.25</v>
      </c>
      <c r="H17" s="3" t="n">
        <v>0.25</v>
      </c>
      <c r="I17" s="3" t="n">
        <v>0.25</v>
      </c>
      <c r="J17" s="3" t="n">
        <v>0.25</v>
      </c>
      <c r="K17" s="3" t="n">
        <v>0.25</v>
      </c>
      <c r="L17" s="3" t="n">
        <v>0.25</v>
      </c>
    </row>
    <row r="18" customFormat="false" ht="15" hidden="false" customHeight="false" outlineLevel="0" collapsed="false">
      <c r="A18" s="0" t="s">
        <v>105</v>
      </c>
      <c r="C18" s="3" t="n">
        <v>0.25</v>
      </c>
      <c r="D18" s="3" t="n">
        <v>0.25</v>
      </c>
      <c r="E18" s="3" t="n">
        <v>0.25</v>
      </c>
      <c r="F18" s="3" t="n">
        <v>0.25</v>
      </c>
      <c r="G18" s="3" t="n">
        <v>0.25</v>
      </c>
      <c r="H18" s="3" t="n">
        <v>0.25</v>
      </c>
      <c r="I18" s="3" t="n">
        <v>0.25</v>
      </c>
      <c r="J18" s="3" t="n">
        <v>0.25</v>
      </c>
      <c r="K18" s="3" t="n">
        <v>0.25</v>
      </c>
      <c r="L18" s="3" t="n">
        <v>0.25</v>
      </c>
    </row>
    <row r="19" customFormat="false" ht="15" hidden="false" customHeight="false" outlineLevel="0" collapsed="false">
      <c r="A19" s="0" t="s">
        <v>106</v>
      </c>
      <c r="C19" s="3" t="n">
        <v>20</v>
      </c>
      <c r="D19" s="3" t="n">
        <v>20</v>
      </c>
      <c r="E19" s="3" t="n">
        <v>21</v>
      </c>
      <c r="F19" s="3" t="n">
        <v>21</v>
      </c>
      <c r="G19" s="3" t="n">
        <v>22</v>
      </c>
      <c r="H19" s="3" t="n">
        <v>22</v>
      </c>
      <c r="I19" s="3" t="n">
        <v>22</v>
      </c>
      <c r="J19" s="3" t="n">
        <v>22</v>
      </c>
      <c r="K19" s="3" t="n">
        <v>22</v>
      </c>
      <c r="L19" s="3" t="n">
        <v>22</v>
      </c>
    </row>
    <row r="20" customFormat="false" ht="15" hidden="false" customHeight="false" outlineLevel="0" collapsed="false">
      <c r="A20" s="0" t="s">
        <v>107</v>
      </c>
      <c r="B20" s="3" t="n">
        <v>10</v>
      </c>
    </row>
    <row r="21" customFormat="false" ht="15" hidden="false" customHeight="false" outlineLevel="0" collapsed="false">
      <c r="A21" s="0" t="s">
        <v>108</v>
      </c>
      <c r="B21" s="3" t="n">
        <v>2</v>
      </c>
    </row>
    <row r="22" customFormat="false" ht="15" hidden="false" customHeight="false" outlineLevel="0" collapsed="false">
      <c r="A22" s="0" t="s">
        <v>109</v>
      </c>
      <c r="B22" s="3" t="n">
        <v>15</v>
      </c>
    </row>
    <row r="23" customFormat="false" ht="15" hidden="false" customHeight="false" outlineLevel="0" collapsed="false">
      <c r="A23" s="0" t="s">
        <v>110</v>
      </c>
      <c r="B23" s="3" t="n">
        <v>8</v>
      </c>
    </row>
    <row r="24" customFormat="false" ht="15" hidden="false" customHeight="false" outlineLevel="0" collapsed="false">
      <c r="A24" s="0" t="s">
        <v>111</v>
      </c>
      <c r="B24" s="3" t="n">
        <v>0.25</v>
      </c>
    </row>
    <row r="26" customFormat="false" ht="15" hidden="false" customHeight="false" outlineLevel="0" collapsed="false">
      <c r="A26" s="2" t="s">
        <v>112</v>
      </c>
      <c r="C26" s="2" t="s">
        <v>90</v>
      </c>
      <c r="D26" s="2" t="s">
        <v>91</v>
      </c>
      <c r="E26" s="2" t="s">
        <v>92</v>
      </c>
      <c r="F26" s="2" t="s">
        <v>93</v>
      </c>
      <c r="G26" s="2" t="s">
        <v>94</v>
      </c>
      <c r="H26" s="2" t="s">
        <v>95</v>
      </c>
      <c r="I26" s="2" t="s">
        <v>96</v>
      </c>
      <c r="J26" s="2" t="s">
        <v>97</v>
      </c>
      <c r="K26" s="2" t="s">
        <v>98</v>
      </c>
      <c r="L26" s="2" t="s">
        <v>99</v>
      </c>
    </row>
    <row r="27" customFormat="false" ht="15" hidden="false" customHeight="false" outlineLevel="0" collapsed="false">
      <c r="A27" s="0" t="s">
        <v>100</v>
      </c>
      <c r="C27" s="3" t="n">
        <v>13</v>
      </c>
      <c r="D27" s="3" t="n">
        <v>11</v>
      </c>
      <c r="E27" s="3" t="n">
        <v>10</v>
      </c>
      <c r="F27" s="3" t="n">
        <v>9</v>
      </c>
      <c r="G27" s="3" t="n">
        <v>8</v>
      </c>
      <c r="H27" s="3" t="n">
        <v>7</v>
      </c>
      <c r="I27" s="3" t="n">
        <v>6</v>
      </c>
      <c r="J27" s="3" t="n">
        <v>5</v>
      </c>
      <c r="K27" s="3" t="n">
        <v>4</v>
      </c>
      <c r="L27" s="3" t="n">
        <v>3.5</v>
      </c>
    </row>
    <row r="28" customFormat="false" ht="15" hidden="false" customHeight="false" outlineLevel="0" collapsed="false">
      <c r="A28" s="0" t="s">
        <v>101</v>
      </c>
      <c r="C28" s="3" t="n">
        <v>7.8</v>
      </c>
      <c r="D28" s="3" t="n">
        <v>8.3</v>
      </c>
      <c r="E28" s="3" t="n">
        <v>8.8</v>
      </c>
      <c r="F28" s="3" t="n">
        <v>9.2</v>
      </c>
      <c r="G28" s="3" t="n">
        <v>9.6</v>
      </c>
      <c r="H28" s="3" t="n">
        <v>9.9</v>
      </c>
      <c r="I28" s="3" t="n">
        <v>10.1</v>
      </c>
      <c r="J28" s="3" t="n">
        <v>10.3</v>
      </c>
      <c r="K28" s="3" t="n">
        <v>10.4</v>
      </c>
      <c r="L28" s="3" t="n">
        <v>10.5</v>
      </c>
    </row>
    <row r="29" customFormat="false" ht="15" hidden="false" customHeight="false" outlineLevel="0" collapsed="false">
      <c r="A29" s="0" t="s">
        <v>102</v>
      </c>
      <c r="C29" s="3" t="n">
        <v>0.7</v>
      </c>
      <c r="D29" s="3" t="n">
        <v>0.7</v>
      </c>
      <c r="E29" s="3" t="n">
        <v>0.68</v>
      </c>
      <c r="F29" s="3" t="n">
        <v>0.66</v>
      </c>
      <c r="G29" s="3" t="n">
        <v>0.64</v>
      </c>
      <c r="H29" s="3" t="n">
        <v>0.62</v>
      </c>
      <c r="I29" s="3" t="n">
        <v>0.6</v>
      </c>
      <c r="J29" s="3" t="n">
        <v>0.6</v>
      </c>
      <c r="K29" s="3" t="n">
        <v>0.6</v>
      </c>
      <c r="L29" s="3" t="n">
        <v>0.6</v>
      </c>
    </row>
    <row r="30" customFormat="false" ht="15" hidden="false" customHeight="false" outlineLevel="0" collapsed="false">
      <c r="A30" s="0" t="s">
        <v>103</v>
      </c>
      <c r="C30" s="3" t="n">
        <v>0.15</v>
      </c>
      <c r="D30" s="3" t="n">
        <v>0.15</v>
      </c>
      <c r="E30" s="3" t="n">
        <v>0.15</v>
      </c>
      <c r="F30" s="3" t="n">
        <v>0.15</v>
      </c>
      <c r="G30" s="3" t="n">
        <v>0.15</v>
      </c>
      <c r="H30" s="3" t="n">
        <v>0.15</v>
      </c>
      <c r="I30" s="3" t="n">
        <v>0.15</v>
      </c>
      <c r="J30" s="3" t="n">
        <v>0.15</v>
      </c>
      <c r="K30" s="3" t="n">
        <v>0.15</v>
      </c>
      <c r="L30" s="3" t="n">
        <v>0.15</v>
      </c>
    </row>
    <row r="31" customFormat="false" ht="15" hidden="false" customHeight="false" outlineLevel="0" collapsed="false">
      <c r="A31" s="0" t="s">
        <v>104</v>
      </c>
      <c r="C31" s="3" t="n">
        <v>0.25</v>
      </c>
      <c r="D31" s="3" t="n">
        <v>0.25</v>
      </c>
      <c r="E31" s="3" t="n">
        <v>0.25</v>
      </c>
      <c r="F31" s="3" t="n">
        <v>0.25</v>
      </c>
      <c r="G31" s="3" t="n">
        <v>0.25</v>
      </c>
      <c r="H31" s="3" t="n">
        <v>0.25</v>
      </c>
      <c r="I31" s="3" t="n">
        <v>0.25</v>
      </c>
      <c r="J31" s="3" t="n">
        <v>0.25</v>
      </c>
      <c r="K31" s="3" t="n">
        <v>0.25</v>
      </c>
      <c r="L31" s="3" t="n">
        <v>0.25</v>
      </c>
    </row>
    <row r="32" customFormat="false" ht="15" hidden="false" customHeight="false" outlineLevel="0" collapsed="false">
      <c r="A32" s="0" t="s">
        <v>105</v>
      </c>
      <c r="C32" s="3" t="n">
        <v>0.3</v>
      </c>
      <c r="D32" s="3" t="n">
        <v>0.3</v>
      </c>
      <c r="E32" s="3" t="n">
        <v>0.3</v>
      </c>
      <c r="F32" s="3" t="n">
        <v>0.3</v>
      </c>
      <c r="G32" s="3" t="n">
        <v>0.3</v>
      </c>
      <c r="H32" s="3" t="n">
        <v>0.3</v>
      </c>
      <c r="I32" s="3" t="n">
        <v>0.3</v>
      </c>
      <c r="J32" s="3" t="n">
        <v>0.3</v>
      </c>
      <c r="K32" s="3" t="n">
        <v>0.3</v>
      </c>
      <c r="L32" s="3" t="n">
        <v>0.3</v>
      </c>
    </row>
    <row r="33" customFormat="false" ht="15" hidden="false" customHeight="false" outlineLevel="0" collapsed="false">
      <c r="A33" s="0" t="s">
        <v>106</v>
      </c>
      <c r="C33" s="3" t="n">
        <v>16</v>
      </c>
      <c r="D33" s="3" t="n">
        <v>16</v>
      </c>
      <c r="E33" s="3" t="n">
        <v>17</v>
      </c>
      <c r="F33" s="3" t="n">
        <v>17</v>
      </c>
      <c r="G33" s="3" t="n">
        <v>18</v>
      </c>
      <c r="H33" s="3" t="n">
        <v>18</v>
      </c>
      <c r="I33" s="3" t="n">
        <v>19</v>
      </c>
      <c r="J33" s="3" t="n">
        <v>19</v>
      </c>
      <c r="K33" s="3" t="n">
        <v>20</v>
      </c>
      <c r="L33" s="3" t="n">
        <v>20</v>
      </c>
    </row>
    <row r="34" customFormat="false" ht="15" hidden="false" customHeight="false" outlineLevel="0" collapsed="false">
      <c r="A34" s="0" t="s">
        <v>107</v>
      </c>
      <c r="B34" s="3" t="n">
        <v>10</v>
      </c>
    </row>
    <row r="35" customFormat="false" ht="15" hidden="false" customHeight="false" outlineLevel="0" collapsed="false">
      <c r="A35" s="0" t="s">
        <v>108</v>
      </c>
      <c r="B35" s="3" t="n">
        <v>3</v>
      </c>
    </row>
    <row r="36" customFormat="false" ht="15" hidden="false" customHeight="false" outlineLevel="0" collapsed="false">
      <c r="A36" s="0" t="s">
        <v>109</v>
      </c>
      <c r="B36" s="3" t="n">
        <v>18</v>
      </c>
    </row>
    <row r="37" customFormat="false" ht="15" hidden="false" customHeight="false" outlineLevel="0" collapsed="false">
      <c r="A37" s="0" t="s">
        <v>110</v>
      </c>
      <c r="B37" s="3" t="n">
        <v>12</v>
      </c>
    </row>
    <row r="38" customFormat="false" ht="15" hidden="false" customHeight="false" outlineLevel="0" collapsed="false">
      <c r="A38" s="0" t="s">
        <v>111</v>
      </c>
      <c r="B38" s="3" t="n">
        <v>0.5</v>
      </c>
    </row>
    <row r="40" customFormat="false" ht="15" hidden="false" customHeight="false" outlineLevel="0" collapsed="false">
      <c r="A40" s="2" t="s">
        <v>113</v>
      </c>
      <c r="C40" s="2" t="s">
        <v>90</v>
      </c>
      <c r="D40" s="2" t="s">
        <v>91</v>
      </c>
      <c r="E40" s="2" t="s">
        <v>92</v>
      </c>
      <c r="F40" s="2" t="s">
        <v>93</v>
      </c>
      <c r="G40" s="2" t="s">
        <v>94</v>
      </c>
      <c r="H40" s="2" t="s">
        <v>95</v>
      </c>
      <c r="I40" s="2" t="s">
        <v>96</v>
      </c>
      <c r="J40" s="2" t="s">
        <v>97</v>
      </c>
      <c r="K40" s="2" t="s">
        <v>98</v>
      </c>
      <c r="L40" s="2" t="s">
        <v>99</v>
      </c>
    </row>
    <row r="41" customFormat="false" ht="15" hidden="false" customHeight="false" outlineLevel="0" collapsed="false">
      <c r="A41" s="0" t="s">
        <v>100</v>
      </c>
      <c r="C41" s="3" t="n">
        <v>17</v>
      </c>
      <c r="D41" s="3" t="n">
        <v>15</v>
      </c>
      <c r="E41" s="3" t="n">
        <v>13</v>
      </c>
      <c r="F41" s="3" t="n">
        <v>12</v>
      </c>
      <c r="G41" s="3" t="n">
        <v>11</v>
      </c>
      <c r="H41" s="3" t="n">
        <v>10</v>
      </c>
      <c r="I41" s="3" t="n">
        <v>8</v>
      </c>
      <c r="J41" s="3" t="n">
        <v>7</v>
      </c>
      <c r="K41" s="3" t="n">
        <v>6</v>
      </c>
      <c r="L41" s="3" t="n">
        <v>5</v>
      </c>
    </row>
    <row r="42" customFormat="false" ht="15" hidden="false" customHeight="false" outlineLevel="0" collapsed="false">
      <c r="A42" s="0" t="s">
        <v>101</v>
      </c>
      <c r="C42" s="3" t="n">
        <v>8.2</v>
      </c>
      <c r="D42" s="3" t="n">
        <v>9</v>
      </c>
      <c r="E42" s="3" t="n">
        <v>9.8</v>
      </c>
      <c r="F42" s="3" t="n">
        <v>10.6</v>
      </c>
      <c r="G42" s="3" t="n">
        <v>11.3</v>
      </c>
      <c r="H42" s="3" t="n">
        <v>11.9</v>
      </c>
      <c r="I42" s="3" t="n">
        <v>12.4</v>
      </c>
      <c r="J42" s="3" t="n">
        <v>12.7</v>
      </c>
      <c r="K42" s="3" t="n">
        <v>12.9</v>
      </c>
      <c r="L42" s="3" t="n">
        <v>13</v>
      </c>
    </row>
    <row r="43" customFormat="false" ht="15" hidden="false" customHeight="false" outlineLevel="0" collapsed="false">
      <c r="A43" s="0" t="s">
        <v>102</v>
      </c>
      <c r="C43" s="3" t="n">
        <v>0.7</v>
      </c>
      <c r="D43" s="3" t="n">
        <v>0.65</v>
      </c>
      <c r="E43" s="3" t="n">
        <v>0.6</v>
      </c>
      <c r="F43" s="3" t="n">
        <v>0.58</v>
      </c>
      <c r="G43" s="3" t="n">
        <v>0.56</v>
      </c>
      <c r="H43" s="3" t="n">
        <v>0.54</v>
      </c>
      <c r="I43" s="3" t="n">
        <v>0.52</v>
      </c>
      <c r="J43" s="3" t="n">
        <v>0.5</v>
      </c>
      <c r="K43" s="3" t="n">
        <v>0.5</v>
      </c>
      <c r="L43" s="3" t="n">
        <v>0.5</v>
      </c>
    </row>
    <row r="44" customFormat="false" ht="15" hidden="false" customHeight="false" outlineLevel="0" collapsed="false">
      <c r="A44" s="0" t="s">
        <v>103</v>
      </c>
      <c r="C44" s="3" t="n">
        <v>0.15</v>
      </c>
      <c r="D44" s="3" t="n">
        <v>0.15</v>
      </c>
      <c r="E44" s="3" t="n">
        <v>0.15</v>
      </c>
      <c r="F44" s="3" t="n">
        <v>0.15</v>
      </c>
      <c r="G44" s="3" t="n">
        <v>0.15</v>
      </c>
      <c r="H44" s="3" t="n">
        <v>0.15</v>
      </c>
      <c r="I44" s="3" t="n">
        <v>0.15</v>
      </c>
      <c r="J44" s="3" t="n">
        <v>0.15</v>
      </c>
      <c r="K44" s="3" t="n">
        <v>0.15</v>
      </c>
      <c r="L44" s="3" t="n">
        <v>0.15</v>
      </c>
    </row>
    <row r="45" customFormat="false" ht="15" hidden="false" customHeight="false" outlineLevel="0" collapsed="false">
      <c r="A45" s="0" t="s">
        <v>104</v>
      </c>
      <c r="C45" s="3" t="n">
        <v>0.25</v>
      </c>
      <c r="D45" s="3" t="n">
        <v>0.25</v>
      </c>
      <c r="E45" s="3" t="n">
        <v>0.25</v>
      </c>
      <c r="F45" s="3" t="n">
        <v>0.25</v>
      </c>
      <c r="G45" s="3" t="n">
        <v>0.25</v>
      </c>
      <c r="H45" s="3" t="n">
        <v>0.25</v>
      </c>
      <c r="I45" s="3" t="n">
        <v>0.25</v>
      </c>
      <c r="J45" s="3" t="n">
        <v>0.25</v>
      </c>
      <c r="K45" s="3" t="n">
        <v>0.25</v>
      </c>
      <c r="L45" s="3" t="n">
        <v>0.25</v>
      </c>
    </row>
    <row r="46" customFormat="false" ht="15" hidden="false" customHeight="false" outlineLevel="0" collapsed="false">
      <c r="A46" s="0" t="s">
        <v>105</v>
      </c>
      <c r="C46" s="3" t="n">
        <v>0.35</v>
      </c>
      <c r="D46" s="3" t="n">
        <v>0.35</v>
      </c>
      <c r="E46" s="3" t="n">
        <v>0.35</v>
      </c>
      <c r="F46" s="3" t="n">
        <v>0.35</v>
      </c>
      <c r="G46" s="3" t="n">
        <v>0.35</v>
      </c>
      <c r="H46" s="3" t="n">
        <v>0.35</v>
      </c>
      <c r="I46" s="3" t="n">
        <v>0.35</v>
      </c>
      <c r="J46" s="3" t="n">
        <v>0.35</v>
      </c>
      <c r="K46" s="3" t="n">
        <v>0.35</v>
      </c>
      <c r="L46" s="3" t="n">
        <v>0.35</v>
      </c>
    </row>
    <row r="47" customFormat="false" ht="15" hidden="false" customHeight="false" outlineLevel="0" collapsed="false">
      <c r="A47" s="0" t="s">
        <v>106</v>
      </c>
      <c r="C47" s="3" t="n">
        <v>15</v>
      </c>
      <c r="D47" s="3" t="n">
        <v>15</v>
      </c>
      <c r="E47" s="3" t="n">
        <v>16</v>
      </c>
      <c r="F47" s="3" t="n">
        <v>16</v>
      </c>
      <c r="G47" s="3" t="n">
        <v>17</v>
      </c>
      <c r="H47" s="3" t="n">
        <v>17</v>
      </c>
      <c r="I47" s="3" t="n">
        <v>18</v>
      </c>
      <c r="J47" s="3" t="n">
        <v>18</v>
      </c>
      <c r="K47" s="3" t="n">
        <v>18</v>
      </c>
      <c r="L47" s="3" t="n">
        <v>18</v>
      </c>
    </row>
    <row r="48" customFormat="false" ht="15" hidden="false" customHeight="false" outlineLevel="0" collapsed="false">
      <c r="A48" s="0" t="s">
        <v>107</v>
      </c>
      <c r="B48" s="3" t="n">
        <v>10</v>
      </c>
    </row>
    <row r="49" customFormat="false" ht="15" hidden="false" customHeight="false" outlineLevel="0" collapsed="false">
      <c r="A49" s="0" t="s">
        <v>108</v>
      </c>
      <c r="B49" s="3" t="n">
        <v>3.5</v>
      </c>
    </row>
    <row r="50" customFormat="false" ht="15" hidden="false" customHeight="false" outlineLevel="0" collapsed="false">
      <c r="A50" s="0" t="s">
        <v>109</v>
      </c>
      <c r="B50" s="3" t="n">
        <v>18</v>
      </c>
    </row>
    <row r="51" customFormat="false" ht="15" hidden="false" customHeight="false" outlineLevel="0" collapsed="false">
      <c r="A51" s="0" t="s">
        <v>110</v>
      </c>
      <c r="B51" s="3" t="n">
        <v>15</v>
      </c>
    </row>
    <row r="52" customFormat="false" ht="15" hidden="false" customHeight="false" outlineLevel="0" collapsed="false">
      <c r="A52" s="0" t="s">
        <v>111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114</v>
      </c>
    </row>
    <row r="3" customFormat="false" ht="15" hidden="false" customHeight="false" outlineLevel="0" collapsed="false">
      <c r="A3" s="0" t="s">
        <v>115</v>
      </c>
      <c r="B3" s="0" t="s">
        <v>85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Assumptions!C13</f>
        <v>8</v>
      </c>
      <c r="D5" s="4" t="n">
        <f aca="false">Assumptions!D13</f>
        <v>6</v>
      </c>
      <c r="E5" s="4" t="n">
        <f aca="false">Assumptions!E13</f>
        <v>5</v>
      </c>
      <c r="F5" s="4" t="n">
        <f aca="false">Assumptions!F13</f>
        <v>4</v>
      </c>
      <c r="G5" s="4" t="n">
        <f aca="false">Assumptions!G13</f>
        <v>4</v>
      </c>
      <c r="H5" s="4" t="n">
        <f aca="false">Assumptions!H13</f>
        <v>3.5</v>
      </c>
      <c r="I5" s="4" t="n">
        <f aca="false">Assumptions!I13</f>
        <v>3</v>
      </c>
      <c r="J5" s="4" t="n">
        <f aca="false">Assumptions!J13</f>
        <v>3</v>
      </c>
      <c r="K5" s="4" t="n">
        <f aca="false">Assumptions!K13</f>
        <v>3</v>
      </c>
      <c r="L5" s="4" t="n">
        <f aca="false">Assumptions!L13</f>
        <v>3</v>
      </c>
    </row>
    <row r="6" customFormat="false" ht="15" hidden="false" customHeight="false" outlineLevel="0" collapsed="false">
      <c r="A6" s="0" t="s">
        <v>38</v>
      </c>
      <c r="B6" s="3" t="n">
        <v>79039.3</v>
      </c>
      <c r="C6" s="0" t="n">
        <f aca="false">B6*(1+C5/100)</f>
        <v>85362.444</v>
      </c>
      <c r="D6" s="0" t="n">
        <f aca="false">C6*(1+D5/100)</f>
        <v>90484.19064</v>
      </c>
      <c r="E6" s="0" t="n">
        <f aca="false">D6*(1+E5/100)</f>
        <v>95008.400172</v>
      </c>
      <c r="F6" s="0" t="n">
        <f aca="false">E6*(1+F5/100)</f>
        <v>98808.73617888</v>
      </c>
      <c r="G6" s="0" t="n">
        <f aca="false">F6*(1+G5/100)</f>
        <v>102761.085626035</v>
      </c>
      <c r="H6" s="0" t="n">
        <f aca="false">G6*(1+H5/100)</f>
        <v>106357.723622946</v>
      </c>
      <c r="I6" s="0" t="n">
        <f aca="false">H6*(1+I5/100)</f>
        <v>109548.455331635</v>
      </c>
      <c r="J6" s="0" t="n">
        <f aca="false">I6*(1+J5/100)</f>
        <v>112834.908991584</v>
      </c>
      <c r="K6" s="0" t="n">
        <f aca="false">J6*(1+K5/100)</f>
        <v>116219.956261331</v>
      </c>
      <c r="L6" s="0" t="n">
        <f aca="false">K6*(1+L5/100)</f>
        <v>119706.554949171</v>
      </c>
    </row>
    <row r="7" customFormat="false" ht="15" hidden="false" customHeight="false" outlineLevel="0" collapsed="false">
      <c r="A7" s="0" t="s">
        <v>101</v>
      </c>
      <c r="C7" s="4" t="n">
        <f aca="false">Assumptions!C14</f>
        <v>7</v>
      </c>
      <c r="D7" s="4" t="n">
        <f aca="false">Assumptions!D14</f>
        <v>7</v>
      </c>
      <c r="E7" s="4" t="n">
        <f aca="false">Assumptions!E14</f>
        <v>7.2</v>
      </c>
      <c r="F7" s="4" t="n">
        <f aca="false">Assumptions!F14</f>
        <v>7.4</v>
      </c>
      <c r="G7" s="4" t="n">
        <f aca="false">Assumptions!G14</f>
        <v>7.6</v>
      </c>
      <c r="H7" s="4" t="n">
        <f aca="false">Assumptions!H14</f>
        <v>7.8</v>
      </c>
      <c r="I7" s="4" t="n">
        <f aca="false">Assumptions!I14</f>
        <v>7.9</v>
      </c>
      <c r="J7" s="4" t="n">
        <f aca="false">Assumptions!J14</f>
        <v>8</v>
      </c>
      <c r="K7" s="4" t="n">
        <f aca="false">Assumptions!K14</f>
        <v>8</v>
      </c>
      <c r="L7" s="4" t="n">
        <f aca="false">Assumptions!L14</f>
        <v>8</v>
      </c>
    </row>
    <row r="8" customFormat="false" ht="15" hidden="false" customHeight="false" outlineLevel="0" collapsed="false">
      <c r="A8" s="0" t="s">
        <v>44</v>
      </c>
      <c r="C8" s="0" t="n">
        <f aca="false">C6*C7/100</f>
        <v>5975.37108</v>
      </c>
      <c r="D8" s="0" t="n">
        <f aca="false">D6*D7/100</f>
        <v>6333.8933448</v>
      </c>
      <c r="E8" s="0" t="n">
        <f aca="false">E6*E7/100</f>
        <v>6840.604812384</v>
      </c>
      <c r="F8" s="0" t="n">
        <f aca="false">F6*F7/100</f>
        <v>7311.84647723712</v>
      </c>
      <c r="G8" s="0" t="n">
        <f aca="false">G6*G7/100</f>
        <v>7809.84250757868</v>
      </c>
      <c r="H8" s="0" t="n">
        <f aca="false">H6*H7/100</f>
        <v>8295.90244258982</v>
      </c>
      <c r="I8" s="0" t="n">
        <f aca="false">I6*I7/100</f>
        <v>8654.32797119915</v>
      </c>
      <c r="J8" s="0" t="n">
        <f aca="false">J6*J7/100</f>
        <v>9026.79271932671</v>
      </c>
      <c r="K8" s="0" t="n">
        <f aca="false">K6*K7/100</f>
        <v>9297.59650090652</v>
      </c>
      <c r="L8" s="0" t="n">
        <f aca="false">L6*L7/100</f>
        <v>9576.52439593371</v>
      </c>
    </row>
    <row r="9" customFormat="false" ht="15" hidden="false" customHeight="false" outlineLevel="0" collapsed="false">
      <c r="A9" s="0" t="s">
        <v>102</v>
      </c>
      <c r="C9" s="4" t="n">
        <f aca="false">Assumptions!C15</f>
        <v>0.8</v>
      </c>
      <c r="D9" s="4" t="n">
        <f aca="false">Assumptions!D15</f>
        <v>0.8</v>
      </c>
      <c r="E9" s="4" t="n">
        <f aca="false">Assumptions!E15</f>
        <v>0.8</v>
      </c>
      <c r="F9" s="4" t="n">
        <f aca="false">Assumptions!F15</f>
        <v>0.8</v>
      </c>
      <c r="G9" s="4" t="n">
        <f aca="false">Assumptions!G15</f>
        <v>0.8</v>
      </c>
      <c r="H9" s="4" t="n">
        <f aca="false">Assumptions!H15</f>
        <v>0.8</v>
      </c>
      <c r="I9" s="4" t="n">
        <f aca="false">Assumptions!I15</f>
        <v>0.8</v>
      </c>
      <c r="J9" s="4" t="n">
        <f aca="false">Assumptions!J15</f>
        <v>0.8</v>
      </c>
      <c r="K9" s="4" t="n">
        <f aca="false">Assumptions!K15</f>
        <v>0.8</v>
      </c>
      <c r="L9" s="4" t="n">
        <f aca="false">Assumptions!L15</f>
        <v>0.8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-682.899552</v>
      </c>
      <c r="D10" s="0" t="n">
        <f aca="false">-D6*D9/100</f>
        <v>-723.87352512</v>
      </c>
      <c r="E10" s="0" t="n">
        <f aca="false">-E6*E9/100</f>
        <v>-760.067201376</v>
      </c>
      <c r="F10" s="0" t="n">
        <f aca="false">-F6*F9/100</f>
        <v>-790.46988943104</v>
      </c>
      <c r="G10" s="0" t="n">
        <f aca="false">-G6*G9/100</f>
        <v>-822.088685008282</v>
      </c>
      <c r="H10" s="0" t="n">
        <f aca="false">-H6*H9/100</f>
        <v>-850.861788983572</v>
      </c>
      <c r="I10" s="0" t="n">
        <f aca="false">-I6*I9/100</f>
        <v>-876.387642653079</v>
      </c>
      <c r="J10" s="0" t="n">
        <f aca="false">-J6*J9/100</f>
        <v>-902.679271932671</v>
      </c>
      <c r="K10" s="0" t="n">
        <f aca="false">-K6*K9/100</f>
        <v>-929.759650090652</v>
      </c>
      <c r="L10" s="0" t="n">
        <f aca="false">-L6*L9/100</f>
        <v>-957.652439593371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5164.427862</v>
      </c>
      <c r="D11" s="0" t="n">
        <f aca="false">D8+D10+D24</f>
        <v>5474.29353372</v>
      </c>
      <c r="E11" s="0" t="n">
        <f aca="false">E8+E10+E24</f>
        <v>5938.02501075</v>
      </c>
      <c r="F11" s="0" t="n">
        <f aca="false">F8+F10+F24</f>
        <v>6373.16348353776</v>
      </c>
      <c r="G11" s="0" t="n">
        <f aca="false">G8+G10+G24</f>
        <v>6833.61219413134</v>
      </c>
      <c r="H11" s="0" t="n">
        <f aca="false">H8+H10+H24</f>
        <v>7285.50406817183</v>
      </c>
      <c r="I11" s="0" t="n">
        <f aca="false">I8+I10+I24</f>
        <v>7613.61764554862</v>
      </c>
      <c r="J11" s="0" t="n">
        <f aca="false">J8+J10+J24</f>
        <v>7954.86108390667</v>
      </c>
      <c r="K11" s="0" t="n">
        <f aca="false">K8+K10+K24</f>
        <v>8193.50691642387</v>
      </c>
      <c r="L11" s="0" t="n">
        <f aca="false">L8+L10+L24</f>
        <v>8439.31212391658</v>
      </c>
    </row>
    <row r="12" customFormat="false" ht="15" hidden="false" customHeight="false" outlineLevel="0" collapsed="false">
      <c r="A12" s="0" t="s">
        <v>119</v>
      </c>
      <c r="C12" s="4" t="n">
        <f aca="false">-C6*Assumptions!C17/100</f>
        <v>-213.40611</v>
      </c>
      <c r="D12" s="4" t="n">
        <f aca="false">-D6*Assumptions!D17/100</f>
        <v>-226.2104766</v>
      </c>
      <c r="E12" s="4" t="n">
        <f aca="false">-E6*Assumptions!E17/100</f>
        <v>-237.52100043</v>
      </c>
      <c r="F12" s="4" t="n">
        <f aca="false">-F6*Assumptions!F17/100</f>
        <v>-247.0218404472</v>
      </c>
      <c r="G12" s="4" t="n">
        <f aca="false">-G6*Assumptions!G17/100</f>
        <v>-256.902714065088</v>
      </c>
      <c r="H12" s="4" t="n">
        <f aca="false">-H6*Assumptions!H17/100</f>
        <v>-265.894309057366</v>
      </c>
      <c r="I12" s="4" t="n">
        <f aca="false">-I6*Assumptions!I17/100</f>
        <v>-273.871138329087</v>
      </c>
      <c r="J12" s="4" t="n">
        <f aca="false">-J6*Assumptions!J17/100</f>
        <v>-282.08727247896</v>
      </c>
      <c r="K12" s="4" t="n">
        <f aca="false">-K6*Assumptions!K17/100</f>
        <v>-290.549890653329</v>
      </c>
      <c r="L12" s="4" t="n">
        <f aca="false">-L6*Assumptions!L17/100</f>
        <v>-299.266387372928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4951.021752</v>
      </c>
      <c r="D13" s="0" t="n">
        <f aca="false">D11+D12</f>
        <v>5248.08305712</v>
      </c>
      <c r="E13" s="0" t="n">
        <f aca="false">E11+E12</f>
        <v>5700.50401032</v>
      </c>
      <c r="F13" s="0" t="n">
        <f aca="false">F11+F12</f>
        <v>6126.14164309056</v>
      </c>
      <c r="G13" s="0" t="n">
        <f aca="false">G11+G12</f>
        <v>6576.70948006626</v>
      </c>
      <c r="H13" s="0" t="n">
        <f aca="false">H11+H12</f>
        <v>7019.60975911447</v>
      </c>
      <c r="I13" s="0" t="n">
        <f aca="false">I11+I12</f>
        <v>7339.74650721954</v>
      </c>
      <c r="J13" s="0" t="n">
        <f aca="false">J11+J12</f>
        <v>7672.77381142771</v>
      </c>
      <c r="K13" s="0" t="n">
        <f aca="false">K11+K12</f>
        <v>7902.95702577054</v>
      </c>
      <c r="L13" s="0" t="n">
        <f aca="false">L11+L12</f>
        <v>8140.04573654365</v>
      </c>
    </row>
    <row r="14" customFormat="false" ht="15" hidden="false" customHeight="false" outlineLevel="0" collapsed="false">
      <c r="A14" s="0" t="s">
        <v>106</v>
      </c>
      <c r="C14" s="4" t="n">
        <f aca="false">Assumptions!C19</f>
        <v>20</v>
      </c>
      <c r="D14" s="4" t="n">
        <f aca="false">Assumptions!D19</f>
        <v>20</v>
      </c>
      <c r="E14" s="4" t="n">
        <f aca="false">Assumptions!E19</f>
        <v>21</v>
      </c>
      <c r="F14" s="4" t="n">
        <f aca="false">Assumptions!F19</f>
        <v>21</v>
      </c>
      <c r="G14" s="4" t="n">
        <f aca="false">Assumptions!G19</f>
        <v>22</v>
      </c>
      <c r="H14" s="4" t="n">
        <f aca="false">Assumptions!H19</f>
        <v>22</v>
      </c>
      <c r="I14" s="4" t="n">
        <f aca="false">Assumptions!I19</f>
        <v>22</v>
      </c>
      <c r="J14" s="4" t="n">
        <f aca="false">Assumptions!J19</f>
        <v>22</v>
      </c>
      <c r="K14" s="4" t="n">
        <f aca="false">Assumptions!K19</f>
        <v>22</v>
      </c>
      <c r="L14" s="4" t="n">
        <f aca="false">Assumptions!L19</f>
        <v>22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3960.8174016</v>
      </c>
      <c r="D15" s="0" t="n">
        <f aca="false">D13-MAX(0,D13)*D14/100</f>
        <v>4198.466445696</v>
      </c>
      <c r="E15" s="0" t="n">
        <f aca="false">E13-MAX(0,E13)*E14/100</f>
        <v>4503.3981681528</v>
      </c>
      <c r="F15" s="0" t="n">
        <f aca="false">F13-MAX(0,F13)*F14/100</f>
        <v>4839.65189804154</v>
      </c>
      <c r="G15" s="0" t="n">
        <f aca="false">G13-MAX(0,G13)*G14/100</f>
        <v>5129.83339445168</v>
      </c>
      <c r="H15" s="0" t="n">
        <f aca="false">H13-MAX(0,H13)*H14/100</f>
        <v>5475.29561210928</v>
      </c>
      <c r="I15" s="0" t="n">
        <f aca="false">I13-MAX(0,I13)*I14/100</f>
        <v>5725.00227563124</v>
      </c>
      <c r="J15" s="0" t="n">
        <f aca="false">J13-MAX(0,J13)*J14/100</f>
        <v>5984.76357291361</v>
      </c>
      <c r="K15" s="0" t="n">
        <f aca="false">K13-MAX(0,K13)*K14/100</f>
        <v>6164.30648010102</v>
      </c>
      <c r="L15" s="0" t="n">
        <f aca="false">L13-MAX(0,L13)*L14/100</f>
        <v>6349.23567450405</v>
      </c>
    </row>
    <row r="16" customFormat="false" ht="15" hidden="false" customHeight="false" outlineLevel="0" collapsed="false">
      <c r="A16" s="0" t="s">
        <v>122</v>
      </c>
      <c r="C16" s="0" t="n">
        <f aca="false">-C12</f>
        <v>213.40611</v>
      </c>
      <c r="D16" s="0" t="n">
        <f aca="false">-D12</f>
        <v>226.2104766</v>
      </c>
      <c r="E16" s="0" t="n">
        <f aca="false">-E12</f>
        <v>237.52100043</v>
      </c>
      <c r="F16" s="0" t="n">
        <f aca="false">-F12</f>
        <v>247.0218404472</v>
      </c>
      <c r="G16" s="0" t="n">
        <f aca="false">-G12</f>
        <v>256.902714065088</v>
      </c>
      <c r="H16" s="0" t="n">
        <f aca="false">-H12</f>
        <v>265.894309057366</v>
      </c>
      <c r="I16" s="0" t="n">
        <f aca="false">-I12</f>
        <v>273.871138329087</v>
      </c>
      <c r="J16" s="0" t="n">
        <f aca="false">-J12</f>
        <v>282.08727247896</v>
      </c>
      <c r="K16" s="0" t="n">
        <f aca="false">-K12</f>
        <v>290.549890653329</v>
      </c>
      <c r="L16" s="0" t="n">
        <f aca="false">-L12</f>
        <v>299.266387372928</v>
      </c>
    </row>
    <row r="17" customFormat="false" ht="15" hidden="false" customHeight="false" outlineLevel="0" collapsed="false">
      <c r="A17" s="0" t="s">
        <v>123</v>
      </c>
      <c r="C17" s="4" t="n">
        <f aca="false">-C6*Assumptions!C18/100</f>
        <v>-213.40611</v>
      </c>
      <c r="D17" s="4" t="n">
        <f aca="false">-D6*Assumptions!D18/100</f>
        <v>-226.2104766</v>
      </c>
      <c r="E17" s="4" t="n">
        <f aca="false">-E6*Assumptions!E18/100</f>
        <v>-237.52100043</v>
      </c>
      <c r="F17" s="4" t="n">
        <f aca="false">-F6*Assumptions!F18/100</f>
        <v>-247.0218404472</v>
      </c>
      <c r="G17" s="4" t="n">
        <f aca="false">-G6*Assumptions!G18/100</f>
        <v>-256.902714065088</v>
      </c>
      <c r="H17" s="4" t="n">
        <f aca="false">-H6*Assumptions!H18/100</f>
        <v>-265.894309057366</v>
      </c>
      <c r="I17" s="4" t="n">
        <f aca="false">-I6*Assumptions!I18/100</f>
        <v>-273.871138329087</v>
      </c>
      <c r="J17" s="4" t="n">
        <f aca="false">-J6*Assumptions!J18/100</f>
        <v>-282.08727247896</v>
      </c>
      <c r="K17" s="4" t="n">
        <f aca="false">-K6*Assumptions!K18/100</f>
        <v>-290.549890653329</v>
      </c>
      <c r="L17" s="4" t="n">
        <f aca="false">-L6*Assumptions!L18/100</f>
        <v>-299.266387372928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(C6-B6)*Assumptions!$B$23/100</f>
        <v>505.85152</v>
      </c>
      <c r="D18" s="4" t="n">
        <f aca="false">(D6-C6)*Assumptions!$B$23/100</f>
        <v>409.7397312</v>
      </c>
      <c r="E18" s="4" t="n">
        <f aca="false">(E6-D6)*Assumptions!$B$23/100</f>
        <v>361.936762560001</v>
      </c>
      <c r="F18" s="4" t="n">
        <f aca="false">(F6-E6)*Assumptions!$B$23/100</f>
        <v>304.026880550401</v>
      </c>
      <c r="G18" s="4" t="n">
        <f aca="false">(G6-F6)*Assumptions!$B$23/100</f>
        <v>316.187955772417</v>
      </c>
      <c r="H18" s="4" t="n">
        <f aca="false">(H6-G6)*Assumptions!$B$23/100</f>
        <v>287.731039752899</v>
      </c>
      <c r="I18" s="4" t="n">
        <f aca="false">(I6-H6)*Assumptions!$B$23/100</f>
        <v>255.258536695072</v>
      </c>
      <c r="J18" s="4" t="n">
        <f aca="false">(J6-I6)*Assumptions!$B$23/100</f>
        <v>262.916292795924</v>
      </c>
      <c r="K18" s="4" t="n">
        <f aca="false">(K6-J6)*Assumptions!$B$23/100</f>
        <v>270.803781579802</v>
      </c>
      <c r="L18" s="4" t="n">
        <f aca="false">(L6-K6)*Assumptions!$B$23/100</f>
        <v>278.927895027195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4466.6689216</v>
      </c>
      <c r="D19" s="0" t="n">
        <f aca="false">D15+D16+D17+D18</f>
        <v>4608.206176896</v>
      </c>
      <c r="E19" s="0" t="n">
        <f aca="false">E15+E16+E17+E18</f>
        <v>4865.3349307128</v>
      </c>
      <c r="F19" s="0" t="n">
        <f aca="false">F15+F16+F17+F18</f>
        <v>5143.67877859194</v>
      </c>
      <c r="G19" s="0" t="n">
        <f aca="false">G15+G16+G17+G18</f>
        <v>5446.0213502241</v>
      </c>
      <c r="H19" s="0" t="n">
        <f aca="false">H15+H16+H17+H18</f>
        <v>5763.02665186218</v>
      </c>
      <c r="I19" s="0" t="n">
        <f aca="false">I15+I16+I17+I18</f>
        <v>5980.26081232631</v>
      </c>
      <c r="J19" s="0" t="n">
        <f aca="false">J15+J16+J17+J18</f>
        <v>6247.67986570954</v>
      </c>
      <c r="K19" s="0" t="n">
        <f aca="false">K15+K16+K17+K18</f>
        <v>6435.11026168082</v>
      </c>
      <c r="L19" s="0" t="n">
        <f aca="false">L15+L16+L17+L18</f>
        <v>6628.16356953125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4060.60811054546</v>
      </c>
      <c r="D21" s="0" t="n">
        <f aca="false">D19*D20</f>
        <v>3808.43485693884</v>
      </c>
      <c r="E21" s="0" t="n">
        <f aca="false">E19*E20</f>
        <v>3655.39814478798</v>
      </c>
      <c r="F21" s="0" t="n">
        <f aca="false">F19*F20</f>
        <v>3513.20181585407</v>
      </c>
      <c r="G21" s="0" t="n">
        <f aca="false">G19*G20</f>
        <v>3381.55078218955</v>
      </c>
      <c r="H21" s="0" t="n">
        <f aca="false">H19*H20</f>
        <v>3253.07830318131</v>
      </c>
      <c r="I21" s="0" t="n">
        <f aca="false">I19*I20</f>
        <v>3068.81938498221</v>
      </c>
      <c r="J21" s="0" t="n">
        <f aca="false">J19*J20</f>
        <v>2914.58876654125</v>
      </c>
      <c r="K21" s="0" t="n">
        <f aca="false">K19*K20</f>
        <v>2729.11493594317</v>
      </c>
      <c r="L21" s="0" t="n">
        <f aca="false">L19*L20</f>
        <v>2555.44398547406</v>
      </c>
    </row>
    <row r="23" customFormat="false" ht="15" hidden="false" customHeight="false" outlineLevel="0" collapsed="false">
      <c r="A23" s="0" t="s">
        <v>103</v>
      </c>
      <c r="C23" s="4" t="n">
        <f aca="false">Assumptions!C16</f>
        <v>0.15</v>
      </c>
      <c r="D23" s="4" t="n">
        <f aca="false">Assumptions!D16</f>
        <v>0.15</v>
      </c>
      <c r="E23" s="4" t="n">
        <f aca="false">Assumptions!E16</f>
        <v>0.15</v>
      </c>
      <c r="F23" s="4" t="n">
        <f aca="false">Assumptions!F16</f>
        <v>0.15</v>
      </c>
      <c r="G23" s="4" t="n">
        <f aca="false">Assumptions!G16</f>
        <v>0.15</v>
      </c>
      <c r="H23" s="4" t="n">
        <f aca="false">Assumptions!H16</f>
        <v>0.15</v>
      </c>
      <c r="I23" s="4" t="n">
        <f aca="false">Assumptions!I16</f>
        <v>0.15</v>
      </c>
      <c r="J23" s="4" t="n">
        <f aca="false">Assumptions!J16</f>
        <v>0.15</v>
      </c>
      <c r="K23" s="4" t="n">
        <f aca="false">Assumptions!K16</f>
        <v>0.15</v>
      </c>
      <c r="L23" s="4" t="n">
        <f aca="false">Assumptions!L16</f>
        <v>0.15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-128.043666</v>
      </c>
      <c r="D24" s="0" t="n">
        <f aca="false">-D6*D23/100</f>
        <v>-135.72628596</v>
      </c>
      <c r="E24" s="0" t="n">
        <f aca="false">-E6*E23/100</f>
        <v>-142.512600258</v>
      </c>
      <c r="F24" s="0" t="n">
        <f aca="false">-F6*F23/100</f>
        <v>-148.21310426832</v>
      </c>
      <c r="G24" s="0" t="n">
        <f aca="false">-G6*G23/100</f>
        <v>-154.141628439053</v>
      </c>
      <c r="H24" s="0" t="n">
        <f aca="false">-H6*H23/100</f>
        <v>-159.53658543442</v>
      </c>
      <c r="I24" s="0" t="n">
        <f aca="false">-I6*I23/100</f>
        <v>-164.322682997452</v>
      </c>
      <c r="J24" s="0" t="n">
        <f aca="false">-J6*J23/100</f>
        <v>-169.252363487376</v>
      </c>
      <c r="K24" s="0" t="n">
        <f aca="false">-K6*K23/100</f>
        <v>-174.329934391997</v>
      </c>
      <c r="L24" s="0" t="n">
        <f aca="false">-L6*L23/100</f>
        <v>-179.559832423757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108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109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32940.2390864379</v>
      </c>
    </row>
    <row r="31" customFormat="false" ht="15" hidden="false" customHeight="false" outlineLevel="0" collapsed="false">
      <c r="A31" s="0" t="s">
        <v>131</v>
      </c>
      <c r="B31" s="0" t="n">
        <f aca="false">L19</f>
        <v>6628.16356953125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84509.0855115234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99422.4535429687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84509.0855115234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32581.9108147943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65522.1499012322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137018.949901232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50.2816420831538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0.337277714977495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4955.11065864944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4707.51001406081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53.8275197489856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52005.5910840144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40.6665840666636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0" t="s">
        <v>115</v>
      </c>
      <c r="B3" s="0" t="s">
        <v>85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Assumptions!C27</f>
        <v>13</v>
      </c>
      <c r="D5" s="4" t="n">
        <f aca="false">Assumptions!D27</f>
        <v>11</v>
      </c>
      <c r="E5" s="4" t="n">
        <f aca="false">Assumptions!E27</f>
        <v>10</v>
      </c>
      <c r="F5" s="4" t="n">
        <f aca="false">Assumptions!F27</f>
        <v>9</v>
      </c>
      <c r="G5" s="4" t="n">
        <f aca="false">Assumptions!G27</f>
        <v>8</v>
      </c>
      <c r="H5" s="4" t="n">
        <f aca="false">Assumptions!H27</f>
        <v>7</v>
      </c>
      <c r="I5" s="4" t="n">
        <f aca="false">Assumptions!I27</f>
        <v>6</v>
      </c>
      <c r="J5" s="4" t="n">
        <f aca="false">Assumptions!J27</f>
        <v>5</v>
      </c>
      <c r="K5" s="4" t="n">
        <f aca="false">Assumptions!K27</f>
        <v>4</v>
      </c>
      <c r="L5" s="4" t="n">
        <f aca="false">Assumptions!L27</f>
        <v>3.5</v>
      </c>
    </row>
    <row r="6" customFormat="false" ht="15" hidden="false" customHeight="false" outlineLevel="0" collapsed="false">
      <c r="A6" s="0" t="s">
        <v>38</v>
      </c>
      <c r="B6" s="3" t="n">
        <v>79039.3</v>
      </c>
      <c r="C6" s="0" t="n">
        <f aca="false">B6*(1+C5/100)</f>
        <v>89314.409</v>
      </c>
      <c r="D6" s="0" t="n">
        <f aca="false">C6*(1+D5/100)</f>
        <v>99138.99399</v>
      </c>
      <c r="E6" s="0" t="n">
        <f aca="false">D6*(1+E5/100)</f>
        <v>109052.893389</v>
      </c>
      <c r="F6" s="0" t="n">
        <f aca="false">E6*(1+F5/100)</f>
        <v>118867.65379401</v>
      </c>
      <c r="G6" s="0" t="n">
        <f aca="false">F6*(1+G5/100)</f>
        <v>128377.066097531</v>
      </c>
      <c r="H6" s="0" t="n">
        <f aca="false">G6*(1+H5/100)</f>
        <v>137363.460724358</v>
      </c>
      <c r="I6" s="0" t="n">
        <f aca="false">H6*(1+I5/100)</f>
        <v>145605.26836782</v>
      </c>
      <c r="J6" s="0" t="n">
        <f aca="false">I6*(1+J5/100)</f>
        <v>152885.53178621</v>
      </c>
      <c r="K6" s="0" t="n">
        <f aca="false">J6*(1+K5/100)</f>
        <v>159000.953057659</v>
      </c>
      <c r="L6" s="0" t="n">
        <f aca="false">K6*(1+L5/100)</f>
        <v>164565.986414677</v>
      </c>
    </row>
    <row r="7" customFormat="false" ht="15" hidden="false" customHeight="false" outlineLevel="0" collapsed="false">
      <c r="A7" s="0" t="s">
        <v>101</v>
      </c>
      <c r="C7" s="4" t="n">
        <f aca="false">Assumptions!C28</f>
        <v>7.8</v>
      </c>
      <c r="D7" s="4" t="n">
        <f aca="false">Assumptions!D28</f>
        <v>8.3</v>
      </c>
      <c r="E7" s="4" t="n">
        <f aca="false">Assumptions!E28</f>
        <v>8.8</v>
      </c>
      <c r="F7" s="4" t="n">
        <f aca="false">Assumptions!F28</f>
        <v>9.2</v>
      </c>
      <c r="G7" s="4" t="n">
        <f aca="false">Assumptions!G28</f>
        <v>9.6</v>
      </c>
      <c r="H7" s="4" t="n">
        <f aca="false">Assumptions!H28</f>
        <v>9.9</v>
      </c>
      <c r="I7" s="4" t="n">
        <f aca="false">Assumptions!I28</f>
        <v>10.1</v>
      </c>
      <c r="J7" s="4" t="n">
        <f aca="false">Assumptions!J28</f>
        <v>10.3</v>
      </c>
      <c r="K7" s="4" t="n">
        <f aca="false">Assumptions!K28</f>
        <v>10.4</v>
      </c>
      <c r="L7" s="4" t="n">
        <f aca="false">Assumptions!L28</f>
        <v>10.5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6966.523902</v>
      </c>
      <c r="D8" s="0" t="n">
        <f aca="false">D6*D7/100</f>
        <v>8228.53650117</v>
      </c>
      <c r="E8" s="0" t="n">
        <f aca="false">E6*E7/100</f>
        <v>9596.654618232</v>
      </c>
      <c r="F8" s="0" t="n">
        <f aca="false">F6*F7/100</f>
        <v>10935.8241490489</v>
      </c>
      <c r="G8" s="0" t="n">
        <f aca="false">G6*G7/100</f>
        <v>12324.198345363</v>
      </c>
      <c r="H8" s="0" t="n">
        <f aca="false">H6*H7/100</f>
        <v>13598.9826117114</v>
      </c>
      <c r="I8" s="0" t="n">
        <f aca="false">I6*I7/100</f>
        <v>14706.1321051498</v>
      </c>
      <c r="J8" s="0" t="n">
        <f aca="false">J6*J7/100</f>
        <v>15747.2097739797</v>
      </c>
      <c r="K8" s="0" t="n">
        <f aca="false">K6*K7/100</f>
        <v>16536.0991179965</v>
      </c>
      <c r="L8" s="0" t="n">
        <f aca="false">L6*L7/100</f>
        <v>17279.4285735411</v>
      </c>
    </row>
    <row r="9" customFormat="false" ht="15" hidden="false" customHeight="false" outlineLevel="0" collapsed="false">
      <c r="A9" s="0" t="s">
        <v>102</v>
      </c>
      <c r="C9" s="4" t="n">
        <f aca="false">Assumptions!C29</f>
        <v>0.7</v>
      </c>
      <c r="D9" s="4" t="n">
        <f aca="false">Assumptions!D29</f>
        <v>0.7</v>
      </c>
      <c r="E9" s="4" t="n">
        <f aca="false">Assumptions!E29</f>
        <v>0.68</v>
      </c>
      <c r="F9" s="4" t="n">
        <f aca="false">Assumptions!F29</f>
        <v>0.66</v>
      </c>
      <c r="G9" s="4" t="n">
        <f aca="false">Assumptions!G29</f>
        <v>0.64</v>
      </c>
      <c r="H9" s="4" t="n">
        <f aca="false">Assumptions!H29</f>
        <v>0.62</v>
      </c>
      <c r="I9" s="4" t="n">
        <f aca="false">Assumptions!I29</f>
        <v>0.6</v>
      </c>
      <c r="J9" s="4" t="n">
        <f aca="false">Assumptions!J29</f>
        <v>0.6</v>
      </c>
      <c r="K9" s="4" t="n">
        <f aca="false">Assumptions!K29</f>
        <v>0.6</v>
      </c>
      <c r="L9" s="4" t="n">
        <f aca="false">Assumptions!L29</f>
        <v>0.6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-625.200863</v>
      </c>
      <c r="D10" s="0" t="n">
        <f aca="false">-D6*D9/100</f>
        <v>-693.97295793</v>
      </c>
      <c r="E10" s="0" t="n">
        <f aca="false">-E6*E9/100</f>
        <v>-741.5596750452</v>
      </c>
      <c r="F10" s="0" t="n">
        <f aca="false">-F6*F9/100</f>
        <v>-784.526515040466</v>
      </c>
      <c r="G10" s="0" t="n">
        <f aca="false">-G6*G9/100</f>
        <v>-821.613223024197</v>
      </c>
      <c r="H10" s="0" t="n">
        <f aca="false">-H6*H9/100</f>
        <v>-851.65345649102</v>
      </c>
      <c r="I10" s="0" t="n">
        <f aca="false">-I6*I9/100</f>
        <v>-873.631610206917</v>
      </c>
      <c r="J10" s="0" t="n">
        <f aca="false">-J6*J9/100</f>
        <v>-917.313190717263</v>
      </c>
      <c r="K10" s="0" t="n">
        <f aca="false">-K6*K9/100</f>
        <v>-954.005718345953</v>
      </c>
      <c r="L10" s="0" t="n">
        <f aca="false">-L6*L9/100</f>
        <v>-987.395918488062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6207.3514255</v>
      </c>
      <c r="D11" s="0" t="n">
        <f aca="false">D8+D10+D24</f>
        <v>7385.855052255</v>
      </c>
      <c r="E11" s="0" t="n">
        <f aca="false">E8+E10+E24</f>
        <v>8691.5156031033</v>
      </c>
      <c r="F11" s="0" t="n">
        <f aca="false">F8+F10+F24</f>
        <v>9972.99615331744</v>
      </c>
      <c r="G11" s="0" t="n">
        <f aca="false">G8+G10+G24</f>
        <v>11310.0195231925</v>
      </c>
      <c r="H11" s="0" t="n">
        <f aca="false">H8+H10+H24</f>
        <v>12541.2839641339</v>
      </c>
      <c r="I11" s="0" t="n">
        <f aca="false">I8+I10+I24</f>
        <v>13614.0925923911</v>
      </c>
      <c r="J11" s="0" t="n">
        <f aca="false">J8+J10+J24</f>
        <v>14600.5682855831</v>
      </c>
      <c r="K11" s="0" t="n">
        <f aca="false">K8+K10+K24</f>
        <v>15343.5919700641</v>
      </c>
      <c r="L11" s="0" t="n">
        <f aca="false">L8+L10+L24</f>
        <v>16045.183675431</v>
      </c>
    </row>
    <row r="12" customFormat="false" ht="15" hidden="false" customHeight="false" outlineLevel="0" collapsed="false">
      <c r="A12" s="0" t="s">
        <v>119</v>
      </c>
      <c r="C12" s="4" t="n">
        <f aca="false">-C6*Assumptions!C31/100</f>
        <v>-223.2860225</v>
      </c>
      <c r="D12" s="4" t="n">
        <f aca="false">-D6*Assumptions!D31/100</f>
        <v>-247.847484975</v>
      </c>
      <c r="E12" s="4" t="n">
        <f aca="false">-E6*Assumptions!E31/100</f>
        <v>-272.6322334725</v>
      </c>
      <c r="F12" s="4" t="n">
        <f aca="false">-F6*Assumptions!F31/100</f>
        <v>-297.169134485025</v>
      </c>
      <c r="G12" s="4" t="n">
        <f aca="false">-G6*Assumptions!G31/100</f>
        <v>-320.942665243827</v>
      </c>
      <c r="H12" s="4" t="n">
        <f aca="false">-H6*Assumptions!H31/100</f>
        <v>-343.408651810895</v>
      </c>
      <c r="I12" s="4" t="n">
        <f aca="false">-I6*Assumptions!I31/100</f>
        <v>-364.013170919549</v>
      </c>
      <c r="J12" s="4" t="n">
        <f aca="false">-J6*Assumptions!J31/100</f>
        <v>-382.213829465526</v>
      </c>
      <c r="K12" s="4" t="n">
        <f aca="false">-K6*Assumptions!K31/100</f>
        <v>-397.502382644147</v>
      </c>
      <c r="L12" s="4" t="n">
        <f aca="false">-L6*Assumptions!L31/100</f>
        <v>-411.414966036692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5984.065403</v>
      </c>
      <c r="D13" s="0" t="n">
        <f aca="false">D11+D12</f>
        <v>7138.00756728</v>
      </c>
      <c r="E13" s="0" t="n">
        <f aca="false">E11+E12</f>
        <v>8418.8833696308</v>
      </c>
      <c r="F13" s="0" t="n">
        <f aca="false">F11+F12</f>
        <v>9675.82701883242</v>
      </c>
      <c r="G13" s="0" t="n">
        <f aca="false">G11+G12</f>
        <v>10989.0768579486</v>
      </c>
      <c r="H13" s="0" t="n">
        <f aca="false">H11+H12</f>
        <v>12197.875312323</v>
      </c>
      <c r="I13" s="0" t="n">
        <f aca="false">I11+I12</f>
        <v>13250.0794214716</v>
      </c>
      <c r="J13" s="0" t="n">
        <f aca="false">J11+J12</f>
        <v>14218.3544561176</v>
      </c>
      <c r="K13" s="0" t="n">
        <f aca="false">K11+K12</f>
        <v>14946.0895874199</v>
      </c>
      <c r="L13" s="0" t="n">
        <f aca="false">L11+L12</f>
        <v>15633.7687093943</v>
      </c>
    </row>
    <row r="14" customFormat="false" ht="15" hidden="false" customHeight="false" outlineLevel="0" collapsed="false">
      <c r="A14" s="0" t="s">
        <v>106</v>
      </c>
      <c r="C14" s="4" t="n">
        <f aca="false">Assumptions!C33</f>
        <v>16</v>
      </c>
      <c r="D14" s="4" t="n">
        <f aca="false">Assumptions!D33</f>
        <v>16</v>
      </c>
      <c r="E14" s="4" t="n">
        <f aca="false">Assumptions!E33</f>
        <v>17</v>
      </c>
      <c r="F14" s="4" t="n">
        <f aca="false">Assumptions!F33</f>
        <v>17</v>
      </c>
      <c r="G14" s="4" t="n">
        <f aca="false">Assumptions!G33</f>
        <v>18</v>
      </c>
      <c r="H14" s="4" t="n">
        <f aca="false">Assumptions!H33</f>
        <v>18</v>
      </c>
      <c r="I14" s="4" t="n">
        <f aca="false">Assumptions!I33</f>
        <v>19</v>
      </c>
      <c r="J14" s="4" t="n">
        <f aca="false">Assumptions!J33</f>
        <v>19</v>
      </c>
      <c r="K14" s="4" t="n">
        <f aca="false">Assumptions!K33</f>
        <v>20</v>
      </c>
      <c r="L14" s="4" t="n">
        <f aca="false">Assumptions!L33</f>
        <v>20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5026.61493852</v>
      </c>
      <c r="D15" s="0" t="n">
        <f aca="false">D13-MAX(0,D13)*D14/100</f>
        <v>5995.9263565152</v>
      </c>
      <c r="E15" s="0" t="n">
        <f aca="false">E13-MAX(0,E13)*E14/100</f>
        <v>6987.67319679356</v>
      </c>
      <c r="F15" s="0" t="n">
        <f aca="false">F13-MAX(0,F13)*F14/100</f>
        <v>8030.93642563091</v>
      </c>
      <c r="G15" s="0" t="n">
        <f aca="false">G13-MAX(0,G13)*G14/100</f>
        <v>9011.04302351789</v>
      </c>
      <c r="H15" s="0" t="n">
        <f aca="false">H13-MAX(0,H13)*H14/100</f>
        <v>10002.2577561049</v>
      </c>
      <c r="I15" s="0" t="n">
        <f aca="false">I13-MAX(0,I13)*I14/100</f>
        <v>10732.564331392</v>
      </c>
      <c r="J15" s="0" t="n">
        <f aca="false">J13-MAX(0,J13)*J14/100</f>
        <v>11516.8671094552</v>
      </c>
      <c r="K15" s="0" t="n">
        <f aca="false">K13-MAX(0,K13)*K14/100</f>
        <v>11956.8716699359</v>
      </c>
      <c r="L15" s="0" t="n">
        <f aca="false">L13-MAX(0,L13)*L14/100</f>
        <v>12507.0149675154</v>
      </c>
    </row>
    <row r="16" customFormat="false" ht="15" hidden="false" customHeight="false" outlineLevel="0" collapsed="false">
      <c r="A16" s="0" t="s">
        <v>122</v>
      </c>
      <c r="C16" s="0" t="n">
        <f aca="false">-C12</f>
        <v>223.2860225</v>
      </c>
      <c r="D16" s="0" t="n">
        <f aca="false">-D12</f>
        <v>247.847484975</v>
      </c>
      <c r="E16" s="0" t="n">
        <f aca="false">-E12</f>
        <v>272.6322334725</v>
      </c>
      <c r="F16" s="0" t="n">
        <f aca="false">-F12</f>
        <v>297.169134485025</v>
      </c>
      <c r="G16" s="0" t="n">
        <f aca="false">-G12</f>
        <v>320.942665243827</v>
      </c>
      <c r="H16" s="0" t="n">
        <f aca="false">-H12</f>
        <v>343.408651810895</v>
      </c>
      <c r="I16" s="0" t="n">
        <f aca="false">-I12</f>
        <v>364.013170919549</v>
      </c>
      <c r="J16" s="0" t="n">
        <f aca="false">-J12</f>
        <v>382.213829465526</v>
      </c>
      <c r="K16" s="0" t="n">
        <f aca="false">-K12</f>
        <v>397.502382644147</v>
      </c>
      <c r="L16" s="0" t="n">
        <f aca="false">-L12</f>
        <v>411.414966036692</v>
      </c>
    </row>
    <row r="17" customFormat="false" ht="15" hidden="false" customHeight="false" outlineLevel="0" collapsed="false">
      <c r="A17" s="0" t="s">
        <v>123</v>
      </c>
      <c r="C17" s="4" t="n">
        <f aca="false">-C6*Assumptions!C32/100</f>
        <v>-267.943227</v>
      </c>
      <c r="D17" s="4" t="n">
        <f aca="false">-D6*Assumptions!D32/100</f>
        <v>-297.41698197</v>
      </c>
      <c r="E17" s="4" t="n">
        <f aca="false">-E6*Assumptions!E32/100</f>
        <v>-327.158680167</v>
      </c>
      <c r="F17" s="4" t="n">
        <f aca="false">-F6*Assumptions!F32/100</f>
        <v>-356.60296138203</v>
      </c>
      <c r="G17" s="4" t="n">
        <f aca="false">-G6*Assumptions!G32/100</f>
        <v>-385.131198292593</v>
      </c>
      <c r="H17" s="4" t="n">
        <f aca="false">-H6*Assumptions!H32/100</f>
        <v>-412.090382173074</v>
      </c>
      <c r="I17" s="4" t="n">
        <f aca="false">-I6*Assumptions!I32/100</f>
        <v>-436.815805103459</v>
      </c>
      <c r="J17" s="4" t="n">
        <f aca="false">-J6*Assumptions!J32/100</f>
        <v>-458.656595358631</v>
      </c>
      <c r="K17" s="4" t="n">
        <f aca="false">-K6*Assumptions!K32/100</f>
        <v>-477.002859172977</v>
      </c>
      <c r="L17" s="4" t="n">
        <f aca="false">-L6*Assumptions!L32/100</f>
        <v>-493.697959244031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(C6-B6)*Assumptions!$B$37/100</f>
        <v>1233.01308</v>
      </c>
      <c r="D18" s="4" t="n">
        <f aca="false">(D6-C6)*Assumptions!$B$37/100</f>
        <v>1178.9501988</v>
      </c>
      <c r="E18" s="4" t="n">
        <f aca="false">(E6-D6)*Assumptions!$B$37/100</f>
        <v>1189.66792788</v>
      </c>
      <c r="F18" s="4" t="n">
        <f aca="false">(F6-E6)*Assumptions!$B$37/100</f>
        <v>1177.7712486012</v>
      </c>
      <c r="G18" s="4" t="n">
        <f aca="false">(G6-F6)*Assumptions!$B$37/100</f>
        <v>1141.1294764225</v>
      </c>
      <c r="H18" s="4" t="n">
        <f aca="false">(H6-G6)*Assumptions!$B$37/100</f>
        <v>1078.36735521926</v>
      </c>
      <c r="I18" s="4" t="n">
        <f aca="false">(I6-H6)*Assumptions!$B$37/100</f>
        <v>989.016917215377</v>
      </c>
      <c r="J18" s="4" t="n">
        <f aca="false">(J6-I6)*Assumptions!$B$37/100</f>
        <v>873.631610206916</v>
      </c>
      <c r="K18" s="4" t="n">
        <f aca="false">(K6-J6)*Assumptions!$B$37/100</f>
        <v>733.850552573812</v>
      </c>
      <c r="L18" s="4" t="n">
        <f aca="false">(L6-K6)*Assumptions!$B$37/100</f>
        <v>667.804002842166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6214.97081402</v>
      </c>
      <c r="D19" s="0" t="n">
        <f aca="false">D15+D16+D17+D18</f>
        <v>7125.3070583202</v>
      </c>
      <c r="E19" s="0" t="n">
        <f aca="false">E15+E16+E17+E18</f>
        <v>8122.81467797907</v>
      </c>
      <c r="F19" s="0" t="n">
        <f aca="false">F15+F16+F17+F18</f>
        <v>9149.2738473351</v>
      </c>
      <c r="G19" s="0" t="n">
        <f aca="false">G15+G16+G17+G18</f>
        <v>10087.9839668916</v>
      </c>
      <c r="H19" s="0" t="n">
        <f aca="false">H15+H16+H17+H18</f>
        <v>11011.9433809619</v>
      </c>
      <c r="I19" s="0" t="n">
        <f aca="false">I15+I16+I17+I18</f>
        <v>11648.7786144234</v>
      </c>
      <c r="J19" s="0" t="n">
        <f aca="false">J15+J16+J17+J18</f>
        <v>12314.055953769</v>
      </c>
      <c r="K19" s="0" t="n">
        <f aca="false">K15+K16+K17+K18</f>
        <v>12611.2217459809</v>
      </c>
      <c r="L19" s="0" t="n">
        <f aca="false">L15+L16+L17+L18</f>
        <v>13092.5359771503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5649.97346729091</v>
      </c>
      <c r="D21" s="0" t="n">
        <f aca="false">D19*D20</f>
        <v>5888.68351927289</v>
      </c>
      <c r="E21" s="0" t="n">
        <f aca="false">E19*E20</f>
        <v>6102.79089254625</v>
      </c>
      <c r="F21" s="0" t="n">
        <f aca="false">F19*F20</f>
        <v>6249.07714454962</v>
      </c>
      <c r="G21" s="0" t="n">
        <f aca="false">G19*G20</f>
        <v>6263.84435172189</v>
      </c>
      <c r="H21" s="0" t="n">
        <f aca="false">H19*H20</f>
        <v>6215.95495778126</v>
      </c>
      <c r="I21" s="0" t="n">
        <f aca="false">I19*I20</f>
        <v>5977.66531346363</v>
      </c>
      <c r="J21" s="0" t="n">
        <f aca="false">J19*J20</f>
        <v>5744.59798274886</v>
      </c>
      <c r="K21" s="0" t="n">
        <f aca="false">K19*K20</f>
        <v>5348.3891072378</v>
      </c>
      <c r="L21" s="0" t="n">
        <f aca="false">L19*L20</f>
        <v>5047.739387605</v>
      </c>
    </row>
    <row r="23" customFormat="false" ht="15" hidden="false" customHeight="false" outlineLevel="0" collapsed="false">
      <c r="A23" s="0" t="s">
        <v>103</v>
      </c>
      <c r="C23" s="4" t="n">
        <f aca="false">Assumptions!C30</f>
        <v>0.15</v>
      </c>
      <c r="D23" s="4" t="n">
        <f aca="false">Assumptions!D30</f>
        <v>0.15</v>
      </c>
      <c r="E23" s="4" t="n">
        <f aca="false">Assumptions!E30</f>
        <v>0.15</v>
      </c>
      <c r="F23" s="4" t="n">
        <f aca="false">Assumptions!F30</f>
        <v>0.15</v>
      </c>
      <c r="G23" s="4" t="n">
        <f aca="false">Assumptions!G30</f>
        <v>0.15</v>
      </c>
      <c r="H23" s="4" t="n">
        <f aca="false">Assumptions!H30</f>
        <v>0.15</v>
      </c>
      <c r="I23" s="4" t="n">
        <f aca="false">Assumptions!I30</f>
        <v>0.15</v>
      </c>
      <c r="J23" s="4" t="n">
        <f aca="false">Assumptions!J30</f>
        <v>0.15</v>
      </c>
      <c r="K23" s="4" t="n">
        <f aca="false">Assumptions!K30</f>
        <v>0.15</v>
      </c>
      <c r="L23" s="4" t="n">
        <f aca="false">Assumptions!L30</f>
        <v>0.15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-133.9716135</v>
      </c>
      <c r="D24" s="0" t="n">
        <f aca="false">-D6*D23/100</f>
        <v>-148.708490985</v>
      </c>
      <c r="E24" s="0" t="n">
        <f aca="false">-E6*E23/100</f>
        <v>-163.5793400835</v>
      </c>
      <c r="F24" s="0" t="n">
        <f aca="false">-F6*F23/100</f>
        <v>-178.301480691015</v>
      </c>
      <c r="G24" s="0" t="n">
        <f aca="false">-G6*G23/100</f>
        <v>-192.565599146296</v>
      </c>
      <c r="H24" s="0" t="n">
        <f aca="false">-H6*H23/100</f>
        <v>-206.045191086537</v>
      </c>
      <c r="I24" s="0" t="n">
        <f aca="false">-I6*I23/100</f>
        <v>-218.407902551729</v>
      </c>
      <c r="J24" s="0" t="n">
        <f aca="false">-J6*J23/100</f>
        <v>-229.328297679316</v>
      </c>
      <c r="K24" s="0" t="n">
        <f aca="false">-K6*K23/100</f>
        <v>-238.501429586488</v>
      </c>
      <c r="L24" s="0" t="n">
        <f aca="false">-L6*L23/100</f>
        <v>-246.848979622015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108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109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58488.7161242181</v>
      </c>
    </row>
    <row r="31" customFormat="false" ht="15" hidden="false" customHeight="false" outlineLevel="0" collapsed="false">
      <c r="A31" s="0" t="s">
        <v>131</v>
      </c>
      <c r="B31" s="0" t="n">
        <f aca="false">L19</f>
        <v>13092.5359771503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192647.315092354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235665.647588705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192647.315092354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74273.8795604736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132762.595684692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204259.395684692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74.9567693617728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0.993531100047148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4887.29600968957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5601.49123563823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78.8058241570116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112377.60047054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53.4456832541942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0" t="s">
        <v>115</v>
      </c>
      <c r="B3" s="0" t="s">
        <v>85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Assumptions!C41</f>
        <v>17</v>
      </c>
      <c r="D5" s="4" t="n">
        <f aca="false">Assumptions!D41</f>
        <v>15</v>
      </c>
      <c r="E5" s="4" t="n">
        <f aca="false">Assumptions!E41</f>
        <v>13</v>
      </c>
      <c r="F5" s="4" t="n">
        <f aca="false">Assumptions!F41</f>
        <v>12</v>
      </c>
      <c r="G5" s="4" t="n">
        <f aca="false">Assumptions!G41</f>
        <v>11</v>
      </c>
      <c r="H5" s="4" t="n">
        <f aca="false">Assumptions!H41</f>
        <v>10</v>
      </c>
      <c r="I5" s="4" t="n">
        <f aca="false">Assumptions!I41</f>
        <v>8</v>
      </c>
      <c r="J5" s="4" t="n">
        <f aca="false">Assumptions!J41</f>
        <v>7</v>
      </c>
      <c r="K5" s="4" t="n">
        <f aca="false">Assumptions!K41</f>
        <v>6</v>
      </c>
      <c r="L5" s="4" t="n">
        <f aca="false">Assumptions!L41</f>
        <v>5</v>
      </c>
    </row>
    <row r="6" customFormat="false" ht="15" hidden="false" customHeight="false" outlineLevel="0" collapsed="false">
      <c r="A6" s="0" t="s">
        <v>38</v>
      </c>
      <c r="B6" s="3" t="n">
        <v>79039.3</v>
      </c>
      <c r="C6" s="0" t="n">
        <f aca="false">B6*(1+C5/100)</f>
        <v>92475.981</v>
      </c>
      <c r="D6" s="0" t="n">
        <f aca="false">C6*(1+D5/100)</f>
        <v>106347.37815</v>
      </c>
      <c r="E6" s="0" t="n">
        <f aca="false">D6*(1+E5/100)</f>
        <v>120172.5373095</v>
      </c>
      <c r="F6" s="0" t="n">
        <f aca="false">E6*(1+F5/100)</f>
        <v>134593.24178664</v>
      </c>
      <c r="G6" s="0" t="n">
        <f aca="false">F6*(1+G5/100)</f>
        <v>149398.49838317</v>
      </c>
      <c r="H6" s="0" t="n">
        <f aca="false">G6*(1+H5/100)</f>
        <v>164338.348221487</v>
      </c>
      <c r="I6" s="0" t="n">
        <f aca="false">H6*(1+I5/100)</f>
        <v>177485.416079206</v>
      </c>
      <c r="J6" s="0" t="n">
        <f aca="false">I6*(1+J5/100)</f>
        <v>189909.395204751</v>
      </c>
      <c r="K6" s="0" t="n">
        <f aca="false">J6*(1+K5/100)</f>
        <v>201303.958917036</v>
      </c>
      <c r="L6" s="0" t="n">
        <f aca="false">K6*(1+L5/100)</f>
        <v>211369.156862888</v>
      </c>
    </row>
    <row r="7" customFormat="false" ht="15" hidden="false" customHeight="false" outlineLevel="0" collapsed="false">
      <c r="A7" s="0" t="s">
        <v>101</v>
      </c>
      <c r="C7" s="4" t="n">
        <f aca="false">Assumptions!C42</f>
        <v>8.2</v>
      </c>
      <c r="D7" s="4" t="n">
        <f aca="false">Assumptions!D42</f>
        <v>9</v>
      </c>
      <c r="E7" s="4" t="n">
        <f aca="false">Assumptions!E42</f>
        <v>9.8</v>
      </c>
      <c r="F7" s="4" t="n">
        <f aca="false">Assumptions!F42</f>
        <v>10.6</v>
      </c>
      <c r="G7" s="4" t="n">
        <f aca="false">Assumptions!G42</f>
        <v>11.3</v>
      </c>
      <c r="H7" s="4" t="n">
        <f aca="false">Assumptions!H42</f>
        <v>11.9</v>
      </c>
      <c r="I7" s="4" t="n">
        <f aca="false">Assumptions!I42</f>
        <v>12.4</v>
      </c>
      <c r="J7" s="4" t="n">
        <f aca="false">Assumptions!J42</f>
        <v>12.7</v>
      </c>
      <c r="K7" s="4" t="n">
        <f aca="false">Assumptions!K42</f>
        <v>12.9</v>
      </c>
      <c r="L7" s="4" t="n">
        <f aca="false">Assumptions!L42</f>
        <v>13</v>
      </c>
    </row>
    <row r="8" customFormat="false" ht="15" hidden="false" customHeight="false" outlineLevel="0" collapsed="false">
      <c r="A8" s="0" t="s">
        <v>44</v>
      </c>
      <c r="C8" s="0" t="n">
        <f aca="false">C6*C7/100</f>
        <v>7583.030442</v>
      </c>
      <c r="D8" s="0" t="n">
        <f aca="false">D6*D7/100</f>
        <v>9571.2640335</v>
      </c>
      <c r="E8" s="0" t="n">
        <f aca="false">E6*E7/100</f>
        <v>11776.908656331</v>
      </c>
      <c r="F8" s="0" t="n">
        <f aca="false">F6*F7/100</f>
        <v>14266.8836293838</v>
      </c>
      <c r="G8" s="0" t="n">
        <f aca="false">G6*G7/100</f>
        <v>16882.0303172983</v>
      </c>
      <c r="H8" s="0" t="n">
        <f aca="false">H6*H7/100</f>
        <v>19556.263438357</v>
      </c>
      <c r="I8" s="0" t="n">
        <f aca="false">I6*I7/100</f>
        <v>22008.1915938216</v>
      </c>
      <c r="J8" s="0" t="n">
        <f aca="false">J6*J7/100</f>
        <v>24118.4931910034</v>
      </c>
      <c r="K8" s="0" t="n">
        <f aca="false">K6*K7/100</f>
        <v>25968.2107002976</v>
      </c>
      <c r="L8" s="0" t="n">
        <f aca="false">L6*L7/100</f>
        <v>27477.9903921754</v>
      </c>
    </row>
    <row r="9" customFormat="false" ht="15" hidden="false" customHeight="false" outlineLevel="0" collapsed="false">
      <c r="A9" s="0" t="s">
        <v>102</v>
      </c>
      <c r="C9" s="4" t="n">
        <f aca="false">Assumptions!C43</f>
        <v>0.7</v>
      </c>
      <c r="D9" s="4" t="n">
        <f aca="false">Assumptions!D43</f>
        <v>0.65</v>
      </c>
      <c r="E9" s="4" t="n">
        <f aca="false">Assumptions!E43</f>
        <v>0.6</v>
      </c>
      <c r="F9" s="4" t="n">
        <f aca="false">Assumptions!F43</f>
        <v>0.58</v>
      </c>
      <c r="G9" s="4" t="n">
        <f aca="false">Assumptions!G43</f>
        <v>0.56</v>
      </c>
      <c r="H9" s="4" t="n">
        <f aca="false">Assumptions!H43</f>
        <v>0.54</v>
      </c>
      <c r="I9" s="4" t="n">
        <f aca="false">Assumptions!I43</f>
        <v>0.52</v>
      </c>
      <c r="J9" s="4" t="n">
        <f aca="false">Assumptions!J43</f>
        <v>0.5</v>
      </c>
      <c r="K9" s="4" t="n">
        <f aca="false">Assumptions!K43</f>
        <v>0.5</v>
      </c>
      <c r="L9" s="4" t="n">
        <f aca="false">Assumptions!L43</f>
        <v>0.5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-647.331867</v>
      </c>
      <c r="D10" s="0" t="n">
        <f aca="false">-D6*D9/100</f>
        <v>-691.257957975</v>
      </c>
      <c r="E10" s="0" t="n">
        <f aca="false">-E6*E9/100</f>
        <v>-721.035223857</v>
      </c>
      <c r="F10" s="0" t="n">
        <f aca="false">-F6*F9/100</f>
        <v>-780.640802362512</v>
      </c>
      <c r="G10" s="0" t="n">
        <f aca="false">-G6*G9/100</f>
        <v>-836.631590945754</v>
      </c>
      <c r="H10" s="0" t="n">
        <f aca="false">-H6*H9/100</f>
        <v>-887.427080396032</v>
      </c>
      <c r="I10" s="0" t="n">
        <f aca="false">-I6*I9/100</f>
        <v>-922.924163611874</v>
      </c>
      <c r="J10" s="0" t="n">
        <f aca="false">-J6*J9/100</f>
        <v>-949.546976023755</v>
      </c>
      <c r="K10" s="0" t="n">
        <f aca="false">-K6*K9/100</f>
        <v>-1006.51979458518</v>
      </c>
      <c r="L10" s="0" t="n">
        <f aca="false">-L6*L9/100</f>
        <v>-1056.84578431444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6796.9846035</v>
      </c>
      <c r="D11" s="0" t="n">
        <f aca="false">D8+D10+D24</f>
        <v>8720.4850083</v>
      </c>
      <c r="E11" s="0" t="n">
        <f aca="false">E8+E10+E24</f>
        <v>10875.6146265097</v>
      </c>
      <c r="F11" s="0" t="n">
        <f aca="false">F8+F10+F24</f>
        <v>13284.3529643414</v>
      </c>
      <c r="G11" s="0" t="n">
        <f aca="false">G8+G10+G24</f>
        <v>15821.3009787777</v>
      </c>
      <c r="H11" s="0" t="n">
        <f aca="false">H8+H10+H24</f>
        <v>18422.3288356287</v>
      </c>
      <c r="I11" s="0" t="n">
        <f aca="false">I8+I10+I24</f>
        <v>20819.0393060909</v>
      </c>
      <c r="J11" s="0" t="n">
        <f aca="false">J8+J10+J24</f>
        <v>22884.0821221725</v>
      </c>
      <c r="K11" s="0" t="n">
        <f aca="false">K8+K10+K24</f>
        <v>24659.7349673369</v>
      </c>
      <c r="L11" s="0" t="n">
        <f aca="false">L8+L10+L24</f>
        <v>26104.0908725666</v>
      </c>
    </row>
    <row r="12" customFormat="false" ht="15" hidden="false" customHeight="false" outlineLevel="0" collapsed="false">
      <c r="A12" s="0" t="s">
        <v>119</v>
      </c>
      <c r="C12" s="4" t="n">
        <f aca="false">-C6*Assumptions!C45/100</f>
        <v>-231.1899525</v>
      </c>
      <c r="D12" s="4" t="n">
        <f aca="false">-D6*Assumptions!D45/100</f>
        <v>-265.868445375</v>
      </c>
      <c r="E12" s="4" t="n">
        <f aca="false">-E6*Assumptions!E45/100</f>
        <v>-300.43134327375</v>
      </c>
      <c r="F12" s="4" t="n">
        <f aca="false">-F6*Assumptions!F45/100</f>
        <v>-336.4831044666</v>
      </c>
      <c r="G12" s="4" t="n">
        <f aca="false">-G6*Assumptions!G45/100</f>
        <v>-373.496245957926</v>
      </c>
      <c r="H12" s="4" t="n">
        <f aca="false">-H6*Assumptions!H45/100</f>
        <v>-410.845870553719</v>
      </c>
      <c r="I12" s="4" t="n">
        <f aca="false">-I6*Assumptions!I45/100</f>
        <v>-443.713540198016</v>
      </c>
      <c r="J12" s="4" t="n">
        <f aca="false">-J6*Assumptions!J45/100</f>
        <v>-474.773488011877</v>
      </c>
      <c r="K12" s="4" t="n">
        <f aca="false">-K6*Assumptions!K45/100</f>
        <v>-503.25989729259</v>
      </c>
      <c r="L12" s="4" t="n">
        <f aca="false">-L6*Assumptions!L45/100</f>
        <v>-528.42289215722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6565.794651</v>
      </c>
      <c r="D13" s="0" t="n">
        <f aca="false">D11+D12</f>
        <v>8454.616562925</v>
      </c>
      <c r="E13" s="0" t="n">
        <f aca="false">E11+E12</f>
        <v>10575.183283236</v>
      </c>
      <c r="F13" s="0" t="n">
        <f aca="false">F11+F12</f>
        <v>12947.8698598748</v>
      </c>
      <c r="G13" s="0" t="n">
        <f aca="false">G11+G12</f>
        <v>15447.8047328198</v>
      </c>
      <c r="H13" s="0" t="n">
        <f aca="false">H11+H12</f>
        <v>18011.482965075</v>
      </c>
      <c r="I13" s="0" t="n">
        <f aca="false">I11+I12</f>
        <v>20375.3257658929</v>
      </c>
      <c r="J13" s="0" t="n">
        <f aca="false">J11+J12</f>
        <v>22409.3086341606</v>
      </c>
      <c r="K13" s="0" t="n">
        <f aca="false">K11+K12</f>
        <v>24156.4750700443</v>
      </c>
      <c r="L13" s="0" t="n">
        <f aca="false">L11+L12</f>
        <v>25575.6679804094</v>
      </c>
    </row>
    <row r="14" customFormat="false" ht="15" hidden="false" customHeight="false" outlineLevel="0" collapsed="false">
      <c r="A14" s="0" t="s">
        <v>106</v>
      </c>
      <c r="C14" s="4" t="n">
        <f aca="false">Assumptions!C47</f>
        <v>15</v>
      </c>
      <c r="D14" s="4" t="n">
        <f aca="false">Assumptions!D47</f>
        <v>15</v>
      </c>
      <c r="E14" s="4" t="n">
        <f aca="false">Assumptions!E47</f>
        <v>16</v>
      </c>
      <c r="F14" s="4" t="n">
        <f aca="false">Assumptions!F47</f>
        <v>16</v>
      </c>
      <c r="G14" s="4" t="n">
        <f aca="false">Assumptions!G47</f>
        <v>17</v>
      </c>
      <c r="H14" s="4" t="n">
        <f aca="false">Assumptions!H47</f>
        <v>17</v>
      </c>
      <c r="I14" s="4" t="n">
        <f aca="false">Assumptions!I47</f>
        <v>18</v>
      </c>
      <c r="J14" s="4" t="n">
        <f aca="false">Assumptions!J47</f>
        <v>18</v>
      </c>
      <c r="K14" s="4" t="n">
        <f aca="false">Assumptions!K47</f>
        <v>18</v>
      </c>
      <c r="L14" s="4" t="n">
        <f aca="false">Assumptions!L47</f>
        <v>18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5580.92545335</v>
      </c>
      <c r="D15" s="0" t="n">
        <f aca="false">D13-MAX(0,D13)*D14/100</f>
        <v>7186.42407848625</v>
      </c>
      <c r="E15" s="0" t="n">
        <f aca="false">E13-MAX(0,E13)*E14/100</f>
        <v>8883.15395791824</v>
      </c>
      <c r="F15" s="0" t="n">
        <f aca="false">F13-MAX(0,F13)*F14/100</f>
        <v>10876.2106822948</v>
      </c>
      <c r="G15" s="0" t="n">
        <f aca="false">G13-MAX(0,G13)*G14/100</f>
        <v>12821.6779282405</v>
      </c>
      <c r="H15" s="0" t="n">
        <f aca="false">H13-MAX(0,H13)*H14/100</f>
        <v>14949.5308610123</v>
      </c>
      <c r="I15" s="0" t="n">
        <f aca="false">I13-MAX(0,I13)*I14/100</f>
        <v>16707.7671280322</v>
      </c>
      <c r="J15" s="0" t="n">
        <f aca="false">J13-MAX(0,J13)*J14/100</f>
        <v>18375.6330800117</v>
      </c>
      <c r="K15" s="0" t="n">
        <f aca="false">K13-MAX(0,K13)*K14/100</f>
        <v>19808.3095574363</v>
      </c>
      <c r="L15" s="0" t="n">
        <f aca="false">L13-MAX(0,L13)*L14/100</f>
        <v>20972.0477439357</v>
      </c>
    </row>
    <row r="16" customFormat="false" ht="15" hidden="false" customHeight="false" outlineLevel="0" collapsed="false">
      <c r="A16" s="0" t="s">
        <v>122</v>
      </c>
      <c r="C16" s="0" t="n">
        <f aca="false">-C12</f>
        <v>231.1899525</v>
      </c>
      <c r="D16" s="0" t="n">
        <f aca="false">-D12</f>
        <v>265.868445375</v>
      </c>
      <c r="E16" s="0" t="n">
        <f aca="false">-E12</f>
        <v>300.43134327375</v>
      </c>
      <c r="F16" s="0" t="n">
        <f aca="false">-F12</f>
        <v>336.4831044666</v>
      </c>
      <c r="G16" s="0" t="n">
        <f aca="false">-G12</f>
        <v>373.496245957926</v>
      </c>
      <c r="H16" s="0" t="n">
        <f aca="false">-H12</f>
        <v>410.845870553719</v>
      </c>
      <c r="I16" s="0" t="n">
        <f aca="false">-I12</f>
        <v>443.713540198016</v>
      </c>
      <c r="J16" s="0" t="n">
        <f aca="false">-J12</f>
        <v>474.773488011877</v>
      </c>
      <c r="K16" s="0" t="n">
        <f aca="false">-K12</f>
        <v>503.25989729259</v>
      </c>
      <c r="L16" s="0" t="n">
        <f aca="false">-L12</f>
        <v>528.42289215722</v>
      </c>
    </row>
    <row r="17" customFormat="false" ht="15" hidden="false" customHeight="false" outlineLevel="0" collapsed="false">
      <c r="A17" s="0" t="s">
        <v>123</v>
      </c>
      <c r="C17" s="4" t="n">
        <f aca="false">-C6*Assumptions!C46/100</f>
        <v>-323.6659335</v>
      </c>
      <c r="D17" s="4" t="n">
        <f aca="false">-D6*Assumptions!D46/100</f>
        <v>-372.215823525</v>
      </c>
      <c r="E17" s="4" t="n">
        <f aca="false">-E6*Assumptions!E46/100</f>
        <v>-420.60388058325</v>
      </c>
      <c r="F17" s="4" t="n">
        <f aca="false">-F6*Assumptions!F46/100</f>
        <v>-471.07634625324</v>
      </c>
      <c r="G17" s="4" t="n">
        <f aca="false">-G6*Assumptions!G46/100</f>
        <v>-522.894744341096</v>
      </c>
      <c r="H17" s="4" t="n">
        <f aca="false">-H6*Assumptions!H46/100</f>
        <v>-575.184218775206</v>
      </c>
      <c r="I17" s="4" t="n">
        <f aca="false">-I6*Assumptions!I46/100</f>
        <v>-621.198956277223</v>
      </c>
      <c r="J17" s="4" t="n">
        <f aca="false">-J6*Assumptions!J46/100</f>
        <v>-664.682883216628</v>
      </c>
      <c r="K17" s="4" t="n">
        <f aca="false">-K6*Assumptions!K46/100</f>
        <v>-704.563856209626</v>
      </c>
      <c r="L17" s="4" t="n">
        <f aca="false">-L6*Assumptions!L46/100</f>
        <v>-739.792049020107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(C6-B6)*Assumptions!$B$51/100</f>
        <v>2015.50215</v>
      </c>
      <c r="D18" s="4" t="n">
        <f aca="false">(D6-C6)*Assumptions!$B$51/100</f>
        <v>2080.7095725</v>
      </c>
      <c r="E18" s="4" t="n">
        <f aca="false">(E6-D6)*Assumptions!$B$51/100</f>
        <v>2073.773873925</v>
      </c>
      <c r="F18" s="4" t="n">
        <f aca="false">(F6-E6)*Assumptions!$B$51/100</f>
        <v>2163.105671571</v>
      </c>
      <c r="G18" s="4" t="n">
        <f aca="false">(G6-F6)*Assumptions!$B$51/100</f>
        <v>2220.78848947956</v>
      </c>
      <c r="H18" s="4" t="n">
        <f aca="false">(H6-G6)*Assumptions!$B$51/100</f>
        <v>2240.97747574756</v>
      </c>
      <c r="I18" s="4" t="n">
        <f aca="false">(I6-H6)*Assumptions!$B$51/100</f>
        <v>1972.06017865785</v>
      </c>
      <c r="J18" s="4" t="n">
        <f aca="false">(J6-I6)*Assumptions!$B$51/100</f>
        <v>1863.59686883167</v>
      </c>
      <c r="K18" s="4" t="n">
        <f aca="false">(K6-J6)*Assumptions!$B$51/100</f>
        <v>1709.18455684276</v>
      </c>
      <c r="L18" s="4" t="n">
        <f aca="false">(L6-K6)*Assumptions!$B$51/100</f>
        <v>1509.77969187777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7503.95162235</v>
      </c>
      <c r="D19" s="0" t="n">
        <f aca="false">D15+D16+D17+D18</f>
        <v>9160.78627283625</v>
      </c>
      <c r="E19" s="0" t="n">
        <f aca="false">E15+E16+E17+E18</f>
        <v>10836.7552945337</v>
      </c>
      <c r="F19" s="0" t="n">
        <f aca="false">F15+F16+F17+F18</f>
        <v>12904.7231120792</v>
      </c>
      <c r="G19" s="0" t="n">
        <f aca="false">G15+G16+G17+G18</f>
        <v>14893.0679193368</v>
      </c>
      <c r="H19" s="0" t="n">
        <f aca="false">H15+H16+H17+H18</f>
        <v>17026.1699885383</v>
      </c>
      <c r="I19" s="0" t="n">
        <f aca="false">I15+I16+I17+I18</f>
        <v>18502.3418906108</v>
      </c>
      <c r="J19" s="0" t="n">
        <f aca="false">J15+J16+J17+J18</f>
        <v>20049.3205536386</v>
      </c>
      <c r="K19" s="0" t="n">
        <f aca="false">K15+K16+K17+K18</f>
        <v>21316.1901553621</v>
      </c>
      <c r="L19" s="0" t="n">
        <f aca="false">L15+L16+L17+L18</f>
        <v>22270.4582789506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6821.77420213636</v>
      </c>
      <c r="D21" s="0" t="n">
        <f aca="false">D19*D20</f>
        <v>7570.89774614566</v>
      </c>
      <c r="E21" s="0" t="n">
        <f aca="false">E19*E20</f>
        <v>8141.81464653173</v>
      </c>
      <c r="F21" s="0" t="n">
        <f aca="false">F19*F20</f>
        <v>8814.09952331068</v>
      </c>
      <c r="G21" s="0" t="n">
        <f aca="false">G19*G20</f>
        <v>9247.42343688449</v>
      </c>
      <c r="H21" s="0" t="n">
        <f aca="false">H19*H20</f>
        <v>9610.82908719391</v>
      </c>
      <c r="I21" s="0" t="n">
        <f aca="false">I19*I20</f>
        <v>9494.62694744702</v>
      </c>
      <c r="J21" s="0" t="n">
        <f aca="false">J19*J20</f>
        <v>9353.15600646311</v>
      </c>
      <c r="K21" s="0" t="n">
        <f aca="false">K19*K20</f>
        <v>9040.14547766405</v>
      </c>
      <c r="L21" s="0" t="n">
        <f aca="false">L19*L20</f>
        <v>8586.22574196976</v>
      </c>
    </row>
    <row r="23" customFormat="false" ht="15" hidden="false" customHeight="false" outlineLevel="0" collapsed="false">
      <c r="A23" s="0" t="s">
        <v>103</v>
      </c>
      <c r="C23" s="4" t="n">
        <f aca="false">Assumptions!C44</f>
        <v>0.15</v>
      </c>
      <c r="D23" s="4" t="n">
        <f aca="false">Assumptions!D44</f>
        <v>0.15</v>
      </c>
      <c r="E23" s="4" t="n">
        <f aca="false">Assumptions!E44</f>
        <v>0.15</v>
      </c>
      <c r="F23" s="4" t="n">
        <f aca="false">Assumptions!F44</f>
        <v>0.15</v>
      </c>
      <c r="G23" s="4" t="n">
        <f aca="false">Assumptions!G44</f>
        <v>0.15</v>
      </c>
      <c r="H23" s="4" t="n">
        <f aca="false">Assumptions!H44</f>
        <v>0.15</v>
      </c>
      <c r="I23" s="4" t="n">
        <f aca="false">Assumptions!I44</f>
        <v>0.15</v>
      </c>
      <c r="J23" s="4" t="n">
        <f aca="false">Assumptions!J44</f>
        <v>0.15</v>
      </c>
      <c r="K23" s="4" t="n">
        <f aca="false">Assumptions!K44</f>
        <v>0.15</v>
      </c>
      <c r="L23" s="4" t="n">
        <f aca="false">Assumptions!L44</f>
        <v>0.15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-138.7139715</v>
      </c>
      <c r="D24" s="0" t="n">
        <f aca="false">-D6*D23/100</f>
        <v>-159.521067225</v>
      </c>
      <c r="E24" s="0" t="n">
        <f aca="false">-E6*E23/100</f>
        <v>-180.25880596425</v>
      </c>
      <c r="F24" s="0" t="n">
        <f aca="false">-F6*F23/100</f>
        <v>-201.88986267996</v>
      </c>
      <c r="G24" s="0" t="n">
        <f aca="false">-G6*G23/100</f>
        <v>-224.097747574756</v>
      </c>
      <c r="H24" s="0" t="n">
        <f aca="false">-H6*H23/100</f>
        <v>-246.507522332231</v>
      </c>
      <c r="I24" s="0" t="n">
        <f aca="false">-I6*I23/100</f>
        <v>-266.22812411881</v>
      </c>
      <c r="J24" s="0" t="n">
        <f aca="false">-J6*J23/100</f>
        <v>-284.864092807126</v>
      </c>
      <c r="K24" s="0" t="n">
        <f aca="false">-K6*K23/100</f>
        <v>-301.955938375554</v>
      </c>
      <c r="L24" s="0" t="n">
        <f aca="false">-L6*L23/100</f>
        <v>-317.053735294332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108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109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86680.9928157468</v>
      </c>
    </row>
    <row r="31" customFormat="false" ht="15" hidden="false" customHeight="false" outlineLevel="0" collapsed="false">
      <c r="A31" s="0" t="s">
        <v>131</v>
      </c>
      <c r="B31" s="0" t="n">
        <f aca="false">L19</f>
        <v>22270.4582789506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354614.220287906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400868.249021111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354614.220287906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136719.132968288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223400.125784034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294896.925784034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108.217890185143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1.87813537726445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5005.99468464737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6488.01374012266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112.435829514934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200434.124510555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69.2969817122846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2" t="s">
        <v>148</v>
      </c>
      <c r="B3" s="2" t="s">
        <v>149</v>
      </c>
      <c r="C3" s="2" t="s">
        <v>139</v>
      </c>
      <c r="D3" s="2" t="s">
        <v>150</v>
      </c>
      <c r="E3" s="2" t="s">
        <v>142</v>
      </c>
      <c r="F3" s="2" t="s">
        <v>151</v>
      </c>
    </row>
    <row r="4" customFormat="false" ht="15" hidden="false" customHeight="false" outlineLevel="0" collapsed="false">
      <c r="A4" s="0" t="s">
        <v>152</v>
      </c>
      <c r="B4" s="4" t="n">
        <f aca="false">DCF_Bear!$B$38</f>
        <v>50.2816420831538</v>
      </c>
      <c r="C4" s="0" t="n">
        <f aca="false">B4/Assumptions!$B$2-1</f>
        <v>0.337277714977495</v>
      </c>
      <c r="D4" s="4" t="n">
        <f aca="false">Assumptions!$B$24</f>
        <v>0.25</v>
      </c>
      <c r="E4" s="4" t="n">
        <f aca="false">DCF_Bear!$B$43</f>
        <v>53.8275197489856</v>
      </c>
      <c r="F4" s="4" t="n">
        <f aca="false">DCF_Bear!$B$47</f>
        <v>40.6665840666636</v>
      </c>
    </row>
    <row r="5" customFormat="false" ht="15" hidden="false" customHeight="false" outlineLevel="0" collapsed="false">
      <c r="A5" s="0" t="s">
        <v>153</v>
      </c>
      <c r="B5" s="4" t="n">
        <f aca="false">DCF_Base!$B$38</f>
        <v>74.9567693617728</v>
      </c>
      <c r="C5" s="0" t="n">
        <f aca="false">B5/Assumptions!$B$2-1</f>
        <v>0.993531100047148</v>
      </c>
      <c r="D5" s="4" t="n">
        <f aca="false">Assumptions!$B$38</f>
        <v>0.5</v>
      </c>
      <c r="E5" s="4" t="n">
        <f aca="false">DCF_Base!$B$43</f>
        <v>78.8058241570116</v>
      </c>
      <c r="F5" s="4" t="n">
        <f aca="false">DCF_Base!$B$47</f>
        <v>53.4456832541942</v>
      </c>
    </row>
    <row r="6" customFormat="false" ht="15" hidden="false" customHeight="false" outlineLevel="0" collapsed="false">
      <c r="A6" s="0" t="s">
        <v>154</v>
      </c>
      <c r="B6" s="4" t="n">
        <f aca="false">DCF_Bull!$B$38</f>
        <v>108.217890185143</v>
      </c>
      <c r="C6" s="0" t="n">
        <f aca="false">B6/Assumptions!$B$2-1</f>
        <v>1.87813537726445</v>
      </c>
      <c r="D6" s="4" t="n">
        <f aca="false">Assumptions!$B$52</f>
        <v>0.25</v>
      </c>
      <c r="E6" s="4" t="n">
        <f aca="false">DCF_Bull!$B$43</f>
        <v>112.435829514934</v>
      </c>
      <c r="F6" s="4" t="n">
        <f aca="false">DCF_Bull!$B$47</f>
        <v>69.2969817122846</v>
      </c>
    </row>
    <row r="8" customFormat="false" ht="15" hidden="false" customHeight="false" outlineLevel="0" collapsed="false">
      <c r="A8" s="0" t="s">
        <v>155</v>
      </c>
      <c r="B8" s="0" t="n">
        <f aca="false">SUMPRODUCT(B4:B6,D4:D6)</f>
        <v>77.1032677479607</v>
      </c>
    </row>
    <row r="9" customFormat="false" ht="15" hidden="false" customHeight="false" outlineLevel="0" collapsed="false">
      <c r="A9" s="0" t="s">
        <v>156</v>
      </c>
      <c r="B9" s="0" t="n">
        <f aca="false">SUMPRODUCT(E4:E6,D4:D6)</f>
        <v>80.9687493944857</v>
      </c>
    </row>
    <row r="10" customFormat="false" ht="15" hidden="false" customHeight="false" outlineLevel="0" collapsed="false">
      <c r="A10" s="0" t="s">
        <v>157</v>
      </c>
      <c r="B10" s="0" t="n">
        <f aca="false">1-Assumptions!$B$2/B8</f>
        <v>0.512342328694694</v>
      </c>
    </row>
    <row r="11" customFormat="false" ht="15" hidden="false" customHeight="false" outlineLevel="0" collapsed="false">
      <c r="A11" s="0" t="s">
        <v>158</v>
      </c>
      <c r="B11" s="0" t="n">
        <f aca="false">IF(ABS(B9-B8)&gt;0.01*ABS(B8),(Assumptions!$B$2-B8)/(B9-B8)*100,"n/a")</f>
        <v>-1021.94943244584</v>
      </c>
    </row>
    <row r="12" customFormat="false" ht="15" hidden="false" customHeight="false" outlineLevel="0" collapsed="false">
      <c r="A12" s="0" t="s">
        <v>159</v>
      </c>
      <c r="B12" s="0" t="n">
        <f aca="false">SUMPRODUCT(F4:F6,D4:D6)</f>
        <v>54.2137330718342</v>
      </c>
    </row>
    <row r="14" customFormat="false" ht="15" hidden="false" customHeight="false" outlineLevel="0" collapsed="false">
      <c r="A14" s="2" t="s">
        <v>160</v>
      </c>
      <c r="C14" s="0" t="s">
        <v>161</v>
      </c>
    </row>
    <row r="15" customFormat="false" ht="15" hidden="false" customHeight="false" outlineLevel="0" collapsed="false">
      <c r="A15" s="0" t="s">
        <v>162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83.6323388412681</v>
      </c>
      <c r="C15" s="3" t="n">
        <v>9</v>
      </c>
    </row>
    <row r="16" customFormat="false" ht="15" hidden="false" customHeight="false" outlineLevel="0" collapsed="false">
      <c r="A16" s="0" t="s">
        <v>163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74.9567693617728</v>
      </c>
      <c r="C16" s="3" t="n">
        <v>10</v>
      </c>
    </row>
    <row r="17" customFormat="false" ht="15" hidden="false" customHeight="false" outlineLevel="0" collapsed="false">
      <c r="A17" s="0" t="s">
        <v>164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68.4693400139091</v>
      </c>
      <c r="C17" s="3" t="n">
        <v>11</v>
      </c>
    </row>
    <row r="18" customFormat="false" ht="15" hidden="false" customHeight="false" outlineLevel="0" collapsed="false">
      <c r="A18" s="0" t="s">
        <v>165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63.4396405740683</v>
      </c>
      <c r="C18" s="3" t="n">
        <v>12</v>
      </c>
    </row>
    <row r="19" customFormat="false" ht="15" hidden="false" customHeight="false" outlineLevel="0" collapsed="false">
      <c r="A19" s="0" t="s">
        <v>166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53.4456832541942</v>
      </c>
      <c r="C19" s="3" t="n">
        <v>15</v>
      </c>
    </row>
    <row r="21" customFormat="false" ht="15" hidden="false" customHeight="false" outlineLevel="0" collapsed="false">
      <c r="A21" s="2" t="s">
        <v>167</v>
      </c>
    </row>
    <row r="22" customFormat="false" ht="15" hidden="false" customHeight="false" outlineLevel="0" collapsed="false">
      <c r="B22" s="3" t="n">
        <v>2</v>
      </c>
      <c r="C22" s="3" t="n">
        <v>2.5</v>
      </c>
      <c r="D22" s="3" t="n">
        <v>3</v>
      </c>
      <c r="E22" s="3" t="n">
        <v>3.5</v>
      </c>
      <c r="F22" s="3" t="n">
        <v>4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87.799365468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90.0248011063719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90.0248011063719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90.0248011063719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90.0248011063719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78.3653206101726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80.7962521014475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83.6323388412681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85.3235832273996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85.3235832273996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71.3182021633318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73.0162001892709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74.9567693617728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77.1958876377365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79.8081922930274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65.8607051877159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67.0882980471009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68.4693400139091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70.034520909625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71.8232990761575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61.5145645726125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62.4264426785653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63.4396405740683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64.5720382219835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65.8459855758881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2026-10-23T14:56:56Z</dcterms:created>
  <dc:creator>openpyxl</dc:creator>
  <dc:description/>
  <dc:language>en-NZ</dc:language>
  <cp:lastModifiedBy/>
  <dcterms:modified xsi:type="dcterms:W3CDTF">2026-10-23T14:56:56Z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