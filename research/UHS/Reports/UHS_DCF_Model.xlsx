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<sst xmlns="http://schemas.openxmlformats.org/spreadsheetml/2006/main" count="387" uniqueCount="174">
  <si>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</si>
  <si>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UHS</t>
  </si>
  <si>
    <t xml:space="preserve">Company</t>
  </si>
  <si>
    <t xml:space="preserve">Universal Health Services,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</si>
  <si>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</si>
  <si>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</si>
  <si>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</si>
  <si>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</si>
  <si>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</si>
  <si>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</si>
  <si>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</si>
  <si>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</si>
  <si>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</si>
  <si>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</si>
  <si>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</si>
  <si>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</si>
  <si>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</si>
  <si>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</si>
  <si>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</si>
  <si>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</si>
  <si>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</si>
  <si>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2026-10-02T10:02:53Z</t>
  </si>
  <si>
    <t xml:space="preserve">Drivers file</t>
  </si>
  <si>
    <t xml:space="preserve">UHS_Drivers.json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</si>
  <si>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</si>
  <si>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</si>
  <si>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</si>
  <si>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Hospital operator valued on unlevered owner FCF (SBC expensed, share count flat, debt and NCI deducted once in the bridge). Value is driven by the mid-cycle EBITDA margin and capex normalisation; reimbursement policy is the dominant risk and is carried in the scenario margins and a 25% bear weight rather than in the discount rate. Terminal value capped at 12-15x FCF, below Gordon at an 8% WACC, consistent with the regulated, labour-intensive, policy-exposed character of US hospitals.
key_risks_to_valuation: Medicaid supplemental-payment cuts under OBBBA (provider-fee thresholds 6% -&gt; 3.5% FFY2028-32) and Medicaid work requirements; Behavioral-health litigation: $535M jury verdict and further abuse/neglect suits; uninsured portion not deducted in the bridge; Labour cost inflation and PL/GL claim severity (2026 reserves +~$50M); Acute volume migration to outpatient settings; 2026 volume guidance already cut; Capex not normalising after the build cycle would keep FCF near FY25 levels</t>
  </si>
  <si>
    <t xml:space="preserve">Data sources</t>
  </si>
  <si>
    <t xml:space="preserve">price: Yahoo Finance chart API at inputs.price_as_of (regular close); 52-week range 140.08-246.33
financials: SEC XBRL companyfacts (CIK 352915) via UHS_Metrics.csv / core_metrics: FY2025 10-K and Q2 2026 10-Q; NCI, interest, tax, leases and buybacks read directly from companyfacts
qualitative: UHS_Analysis.json (2026-10-02): Q2 2026 earnings guidance, segment mix, risks</t>
  </si>
  <si>
    <t xml:space="preserve">Scenario narrative: bear</t>
  </si>
  <si>
    <t xml:space="preserve">OBBBA work requirements and provider-fee threshold cuts take Medicaid supplemental payments out of both segments from FY2028, ACA subsidy expiry raises uninsured/self-pay mix and bad debt, and behavioral-health litigation (the $535M verdict, Illinois abuse suits) brings higher liability cost and licensing/regulatory friction in the higher-margin segment. Acute volumes keep migrating to outpatient. Margin slides to 13% -- near the FY2022-23 trough -- while capex stays elevated to defend share.</t>
  </si>
  <si>
    <t xml:space="preserve">Scenario narrative: base</t>
  </si>
  <si>
    <t xml:space="preserve">Volumes recover only modestly from the cut 2026 guidance (acute admissions +1.5-2.5%, behavioral patient days +1-2%), with revenue growth carried by pricing, acuity and the 2025-26 capacity additions (Palm Beach Gardens, 178 acute and 264 behavioral beds). Medicaid supplemental-payment pressure from the OBBBA provider-fee phase-down and higher PL/GL reserves roughly offset operating leverage, holding pre-SBC EBITDA margin near 15% mid-cycle. Capex normalises to ~5% of revenue after the construction cycle, lifting owner FCF from ~$0.75B toward ~$1.3B by the early 2030s.</t>
  </si>
  <si>
    <t xml:space="preserve">Scenario narrative: bull</t>
  </si>
  <si>
    <t xml:space="preserve">Behavioral health bed scarcity lets UHS keep pricing ahead of labour inflation while new de novo hospitals and freestanding EDs ramp to mature margins; Medicaid cuts are phased slowly or offset by state directed-payment programs; acute admissions return to 3%+ as the ACA-subsidy coverage shock fades. Margin rebuilds toward the FY2017-19 ~16% level and capex drops below the long-run average, converting into materially higher FCF that funds the buyback.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</si>
  <si>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</si>
  <si>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</si>
  <si>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</si>
  <si>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</si>
  <si>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</si>
  <si>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</si>
  <si>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</si>
  <si>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</si>
  <si>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</si>
  <si>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</si>
  <si>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</si>
  <si>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</si>
  <si>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</si>
  <si>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</si>
  <si>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</si>
  <si>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</si>
  <si>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</si>
  <si>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</si>
  <si>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</si>
  <si>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</si>
  <si>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</si>
  <si>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</si>
  <si>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</si>
  <si>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</si>
  <si>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</si>
  <si>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</si>
  <si>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</si>
  <si>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</si>
  <si>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</si>
  <si>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</si>
  <si>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</si>
  <si>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</si>
  <si>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</si>
  <si>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</si>
  <si>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</si>
  <si>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</si>
  <si>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</si>
  <si>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</si>
  <si>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</si>
  <si>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</si>
  <si>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</si>
  <si>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</si>
  <si>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</si>
  <si>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</si>
  <si>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</si>
  <si>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</si>
  <si>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</si>
  <si>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</si>
  <si>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</si>
  <si>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</si>
  <si>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</si>
  <si>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</si>
  <si>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</si>
  <si>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</si>
  <si>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</si>
  <si>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</si>
  <si>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</si>
  <si>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</si>
  <si>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</si>
  <si>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</si>
  <si>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</si>
  <si>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</si>
  <si>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</si>
  <si>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</si>
  <si>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</si>
  <si>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</si>
  <si>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</si>
  <si>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</si>
  <si>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</si>
  <si>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</si>
  <si>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</si>
  <si>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</si>
  <si>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</si>
  <si>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</si>
  <si>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</si>
  <si>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</si>
  <si>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</si>
  <si>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</si>
  <si>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</si>
  <si>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</si>
  <si>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</si>
  <si>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</si>
  <si>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</si>
  <si>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UHS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</si>
  <si>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</si>
  <si>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</si>
  <si>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</si>
  <si>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</si>
  <si>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</si>
  <si>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</si>
  <si>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</si>
  <si>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</si>
  <si>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</si>
  <si>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</si>
  <si>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</si>
  <si>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</si>
  <si>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</si>
  <si>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</si>
  <si>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</si>
  <si>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</si>
  <si>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</si>
  <si>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</si>
  <si>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</si>
  <si>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</si>
  <si>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</si>
  <si>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</si>
  <si>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</si>
  <si>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</si>
  <si>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</si>
  <si>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</si>
  <si>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</si>
  <si>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</si>
  <si>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</si>
  <si>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</si>
  <si>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UHS owner-FCF component DCF: base case (millions, USD)</t>
  </si>
  <si>
    <t xml:space="preserve">UHS owner-FCF component DCF: bull case (millions, USD)</t>
  </si>
  <si>
    <t xml:space="preserve">UHS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</si>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</sst>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175.07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1550.658</v>
      </c>
      <c r="S2" s="0" t="n">
        <v>16.354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410.219</v>
      </c>
      <c r="H3" s="0" t="n">
        <v>605.985</v>
      </c>
      <c r="I3" s="0" t="n">
        <v>240.07</v>
      </c>
      <c r="K3" s="0" t="n">
        <v>1.96</v>
      </c>
      <c r="L3" s="0" t="n">
        <v>494.187</v>
      </c>
      <c r="M3" s="0" t="n">
        <v>354.537</v>
      </c>
      <c r="N3" s="0" t="n">
        <v>139.65</v>
      </c>
      <c r="O3" s="0" t="n">
        <v>1584.488</v>
      </c>
      <c r="S3" s="0" t="n">
        <v>5.46</v>
      </c>
      <c r="T3" s="0" t="n">
        <v>101.418</v>
      </c>
      <c r="U3" s="0" t="n">
        <v>14.125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520.532</v>
      </c>
      <c r="H4" s="0" t="n">
        <v>725.235</v>
      </c>
      <c r="I4" s="0" t="n">
        <v>304.247</v>
      </c>
      <c r="K4" s="0" t="n">
        <v>2.65</v>
      </c>
      <c r="L4" s="0" t="n">
        <v>541.262</v>
      </c>
      <c r="M4" s="0" t="n">
        <v>379.748</v>
      </c>
      <c r="N4" s="0" t="n">
        <v>161.514</v>
      </c>
      <c r="O4" s="0" t="n">
        <v>1792.394</v>
      </c>
      <c r="P4" s="0" t="n">
        <v>3964.463</v>
      </c>
      <c r="R4" s="0" t="n">
        <v>959.002</v>
      </c>
      <c r="S4" s="0" t="n">
        <v>9.18</v>
      </c>
      <c r="T4" s="0" t="n">
        <v>98.275</v>
      </c>
      <c r="U4" s="0" t="n">
        <v>13.096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4900.147</v>
      </c>
      <c r="F5" s="0" t="n">
        <v>505.714</v>
      </c>
      <c r="G5" s="0" t="n">
        <v>10.320384266023</v>
      </c>
      <c r="H5" s="0" t="n">
        <v>729.711</v>
      </c>
      <c r="I5" s="0" t="n">
        <v>275.795</v>
      </c>
      <c r="J5" s="0" t="n">
        <v>5.62830053873894</v>
      </c>
      <c r="K5" s="0" t="n">
        <v>2.37</v>
      </c>
      <c r="L5" s="0" t="n">
        <v>501.344</v>
      </c>
      <c r="M5" s="0" t="n">
        <v>239.274</v>
      </c>
      <c r="N5" s="0" t="n">
        <v>262.07</v>
      </c>
      <c r="O5" s="0" t="n">
        <v>2023.771</v>
      </c>
      <c r="P5" s="0" t="n">
        <v>7527.936</v>
      </c>
      <c r="R5" s="0" t="n">
        <v>3919</v>
      </c>
      <c r="S5" s="0" t="n">
        <v>29.474</v>
      </c>
      <c r="T5" s="0" t="n">
        <v>97.973</v>
      </c>
      <c r="U5" s="0" t="n">
        <v>16.799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6760.222</v>
      </c>
      <c r="F6" s="0" t="n">
        <v>897.128</v>
      </c>
      <c r="G6" s="0" t="n">
        <v>13.2706884478054</v>
      </c>
      <c r="H6" s="0" t="n">
        <v>1192.989</v>
      </c>
      <c r="I6" s="0" t="n">
        <v>448.87</v>
      </c>
      <c r="J6" s="0" t="n">
        <v>6.63987070247101</v>
      </c>
      <c r="K6" s="0" t="n">
        <v>4.09</v>
      </c>
      <c r="L6" s="0" t="n">
        <v>710.683</v>
      </c>
      <c r="M6" s="0" t="n">
        <v>285.682</v>
      </c>
      <c r="N6" s="0" t="n">
        <v>425.001</v>
      </c>
      <c r="O6" s="0" t="n">
        <v>2347.118</v>
      </c>
      <c r="P6" s="0" t="n">
        <v>7665.245</v>
      </c>
      <c r="R6" s="0" t="n">
        <v>3656.386</v>
      </c>
      <c r="S6" s="0" t="n">
        <v>41.229</v>
      </c>
      <c r="T6" s="0" t="n">
        <v>98.537</v>
      </c>
      <c r="U6" s="0" t="n">
        <v>18.225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6961.4</v>
      </c>
      <c r="F7" s="0" t="n">
        <v>942.581</v>
      </c>
      <c r="G7" s="0" t="n">
        <v>13.5401068750539</v>
      </c>
      <c r="H7" s="0" t="n">
        <v>1251.271</v>
      </c>
      <c r="I7" s="0" t="n">
        <v>489.047</v>
      </c>
      <c r="J7" s="0" t="n">
        <v>7.02512425661505</v>
      </c>
      <c r="K7" s="0" t="n">
        <v>4.57</v>
      </c>
      <c r="L7" s="0" t="n">
        <v>799.231</v>
      </c>
      <c r="M7" s="0" t="n">
        <v>363.192</v>
      </c>
      <c r="N7" s="0" t="n">
        <v>436.039</v>
      </c>
      <c r="O7" s="0" t="n">
        <v>2765.949</v>
      </c>
      <c r="P7" s="0" t="n">
        <v>8200.843</v>
      </c>
      <c r="R7" s="0" t="n">
        <v>3732.609</v>
      </c>
      <c r="S7" s="0" t="n">
        <v>23.471</v>
      </c>
      <c r="T7" s="0" t="n">
        <v>97.711</v>
      </c>
      <c r="U7" s="0" t="n">
        <v>22.518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7367.873</v>
      </c>
      <c r="F8" s="0" t="n">
        <v>1015.463</v>
      </c>
      <c r="G8" s="0" t="n">
        <v>13.7823086798592</v>
      </c>
      <c r="H8" s="0" t="n">
        <v>1352.819</v>
      </c>
      <c r="I8" s="0" t="n">
        <v>554.023</v>
      </c>
      <c r="J8" s="0" t="n">
        <v>7.5194428568462</v>
      </c>
      <c r="K8" s="0" t="n">
        <v>5.21</v>
      </c>
      <c r="L8" s="0" t="n">
        <v>884.241</v>
      </c>
      <c r="M8" s="0" t="n">
        <v>358.493</v>
      </c>
      <c r="N8" s="0" t="n">
        <v>525.748</v>
      </c>
      <c r="O8" s="0" t="n">
        <v>3300.229</v>
      </c>
      <c r="P8" s="0" t="n">
        <v>8311.723</v>
      </c>
      <c r="R8" s="0" t="n">
        <v>3408.386</v>
      </c>
      <c r="S8" s="0" t="n">
        <v>17.238</v>
      </c>
      <c r="T8" s="0" t="n">
        <v>99.361</v>
      </c>
      <c r="U8" s="0" t="n">
        <v>27.783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8205.088</v>
      </c>
      <c r="F9" s="0" t="n">
        <v>1063.305</v>
      </c>
      <c r="G9" s="0" t="n">
        <v>12.9590931870566</v>
      </c>
      <c r="H9" s="0" t="n">
        <v>1438.929</v>
      </c>
      <c r="I9" s="0" t="n">
        <v>604.996</v>
      </c>
      <c r="J9" s="0" t="n">
        <v>7.37342487978191</v>
      </c>
      <c r="K9" s="0" t="n">
        <v>5.52</v>
      </c>
      <c r="L9" s="0" t="n">
        <v>1035.876</v>
      </c>
      <c r="M9" s="0" t="n">
        <v>391.15</v>
      </c>
      <c r="N9" s="0" t="n">
        <v>644.726</v>
      </c>
      <c r="O9" s="0" t="n">
        <v>3791.08</v>
      </c>
      <c r="P9" s="0" t="n">
        <v>8951.272</v>
      </c>
      <c r="R9" s="0" t="n">
        <v>3346.853</v>
      </c>
      <c r="S9" s="0" t="n">
        <v>32.069</v>
      </c>
      <c r="T9" s="0" t="n">
        <v>100.544</v>
      </c>
      <c r="U9" s="0" t="n">
        <v>31.092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9043.451</v>
      </c>
      <c r="F10" s="0" t="n">
        <v>1259.395</v>
      </c>
      <c r="G10" s="0" t="n">
        <v>13.9260443828357</v>
      </c>
      <c r="H10" s="0" t="n">
        <v>1658.013</v>
      </c>
      <c r="I10" s="0" t="n">
        <v>750.698</v>
      </c>
      <c r="J10" s="0" t="n">
        <v>8.30101252276371</v>
      </c>
      <c r="K10" s="0" t="n">
        <v>6.89</v>
      </c>
      <c r="L10" s="0" t="n">
        <v>1068.262</v>
      </c>
      <c r="M10" s="0" t="n">
        <v>379.321</v>
      </c>
      <c r="N10" s="0" t="n">
        <v>688.941</v>
      </c>
      <c r="O10" s="0" t="n">
        <v>4309.161</v>
      </c>
      <c r="P10" s="0" t="n">
        <v>9615.444</v>
      </c>
      <c r="R10" s="0" t="n">
        <v>3494.078</v>
      </c>
      <c r="S10" s="0" t="n">
        <v>61.228</v>
      </c>
      <c r="T10" s="0" t="n">
        <v>100.694</v>
      </c>
      <c r="U10" s="0" t="n">
        <v>39.971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9766.21</v>
      </c>
      <c r="F11" s="0" t="n">
        <v>1281.411</v>
      </c>
      <c r="G11" s="0" t="n">
        <v>13.1208626478439</v>
      </c>
      <c r="H11" s="0" t="n">
        <v>1698.019</v>
      </c>
      <c r="I11" s="0" t="n">
        <v>747.171</v>
      </c>
      <c r="J11" s="0" t="n">
        <v>7.65057274009058</v>
      </c>
      <c r="K11" s="0" t="n">
        <v>7.22</v>
      </c>
      <c r="L11" s="0" t="n">
        <v>1333.842</v>
      </c>
      <c r="M11" s="0" t="n">
        <v>519.939</v>
      </c>
      <c r="N11" s="0" t="n">
        <v>813.903</v>
      </c>
      <c r="O11" s="0" t="n">
        <v>4597.594</v>
      </c>
      <c r="P11" s="0" t="n">
        <v>10317.802</v>
      </c>
      <c r="R11" s="0" t="n">
        <v>4242.02</v>
      </c>
      <c r="S11" s="0" t="n">
        <v>33.747</v>
      </c>
      <c r="T11" s="0" t="n">
        <v>98.38</v>
      </c>
      <c r="U11" s="0" t="n">
        <v>48.109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10409.865</v>
      </c>
      <c r="F12" s="0" t="n">
        <v>1280.178</v>
      </c>
      <c r="G12" s="0" t="n">
        <v>12.2977387314821</v>
      </c>
      <c r="H12" s="0" t="n">
        <v>1727.943</v>
      </c>
      <c r="I12" s="0" t="n">
        <v>771.312</v>
      </c>
      <c r="J12" s="0" t="n">
        <v>7.40943326354376</v>
      </c>
      <c r="K12" s="0" t="n">
        <v>7.86</v>
      </c>
      <c r="L12" s="0" t="n">
        <v>1247.585</v>
      </c>
      <c r="M12" s="0" t="n">
        <v>557.506</v>
      </c>
      <c r="N12" s="0" t="n">
        <v>690.079</v>
      </c>
      <c r="O12" s="0" t="n">
        <v>5051.436</v>
      </c>
      <c r="P12" s="0" t="n">
        <v>10761.828</v>
      </c>
      <c r="R12" s="0" t="n">
        <v>4585.628</v>
      </c>
      <c r="S12" s="0" t="n">
        <v>74.423</v>
      </c>
      <c r="T12" s="0" t="n">
        <v>96.325</v>
      </c>
      <c r="U12" s="0" t="n">
        <v>56.738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10772.278</v>
      </c>
      <c r="F13" s="0" t="n">
        <v>1175.262</v>
      </c>
      <c r="G13" s="0" t="n">
        <v>10.9100600634332</v>
      </c>
      <c r="H13" s="0" t="n">
        <v>1628.307</v>
      </c>
      <c r="I13" s="0" t="n">
        <v>797.883</v>
      </c>
      <c r="J13" s="0" t="n">
        <v>7.4068177594377</v>
      </c>
      <c r="K13" s="0" t="n">
        <v>8.35</v>
      </c>
      <c r="L13" s="0" t="n">
        <v>1274.742</v>
      </c>
      <c r="M13" s="0" t="n">
        <v>664.962</v>
      </c>
      <c r="N13" s="0" t="n">
        <v>609.78</v>
      </c>
      <c r="O13" s="0" t="n">
        <v>5465.793</v>
      </c>
      <c r="P13" s="0" t="n">
        <v>11265.48</v>
      </c>
      <c r="R13" s="0" t="n">
        <v>4062.079</v>
      </c>
      <c r="S13" s="0" t="n">
        <v>105.22</v>
      </c>
      <c r="T13" s="0" t="n">
        <v>93.75</v>
      </c>
      <c r="U13" s="0" t="n">
        <v>66.581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11378.259</v>
      </c>
      <c r="F14" s="0" t="n">
        <v>1215.908</v>
      </c>
      <c r="G14" s="0" t="n">
        <v>10.6862394325881</v>
      </c>
      <c r="H14" s="0" t="n">
        <v>1706.3</v>
      </c>
      <c r="I14" s="0" t="n">
        <v>827.543</v>
      </c>
      <c r="J14" s="0" t="n">
        <v>7.2730195366444</v>
      </c>
      <c r="K14" s="0" t="n">
        <v>9.16</v>
      </c>
      <c r="L14" s="0" t="n">
        <v>1438.469</v>
      </c>
      <c r="M14" s="0" t="n">
        <v>634.095</v>
      </c>
      <c r="N14" s="0" t="n">
        <v>804.374</v>
      </c>
      <c r="O14" s="0" t="n">
        <v>5578.871</v>
      </c>
      <c r="P14" s="0" t="n">
        <v>11668.25</v>
      </c>
      <c r="R14" s="0" t="n">
        <v>4071.677</v>
      </c>
      <c r="S14" s="0" t="n">
        <v>61.268</v>
      </c>
      <c r="T14" s="0" t="n">
        <v>89.04</v>
      </c>
      <c r="U14" s="0" t="n">
        <v>69.431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11558.897</v>
      </c>
      <c r="F15" s="0" t="n">
        <v>1358.354</v>
      </c>
      <c r="G15" s="0" t="n">
        <v>11.7515884084788</v>
      </c>
      <c r="H15" s="0" t="n">
        <v>1868.847</v>
      </c>
      <c r="I15" s="0" t="n">
        <v>952.79</v>
      </c>
      <c r="J15" s="0" t="n">
        <v>8.24291452722522</v>
      </c>
      <c r="K15" s="0" t="n">
        <v>11.06</v>
      </c>
      <c r="L15" s="0" t="n">
        <v>2360.169</v>
      </c>
      <c r="M15" s="0" t="n">
        <v>731.307</v>
      </c>
      <c r="N15" s="0" t="n">
        <v>1628.862</v>
      </c>
      <c r="O15" s="0" t="n">
        <v>6401.967</v>
      </c>
      <c r="P15" s="0" t="n">
        <v>13476.879</v>
      </c>
      <c r="R15" s="0" t="n">
        <v>4188.249</v>
      </c>
      <c r="S15" s="0" t="n">
        <v>1224.49</v>
      </c>
      <c r="T15" s="0" t="n">
        <v>85.587</v>
      </c>
      <c r="U15" s="0" t="n">
        <v>65.837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12642.117</v>
      </c>
      <c r="F16" s="0" t="n">
        <v>1363.094</v>
      </c>
      <c r="G16" s="0" t="n">
        <v>10.7821656768404</v>
      </c>
      <c r="H16" s="0" t="n">
        <v>1896.307</v>
      </c>
      <c r="I16" s="0" t="n">
        <v>991.59</v>
      </c>
      <c r="J16" s="0" t="n">
        <v>7.84354392543591</v>
      </c>
      <c r="K16" s="0" t="n">
        <v>11.99</v>
      </c>
      <c r="L16" s="0" t="n">
        <v>883.695</v>
      </c>
      <c r="M16" s="0" t="n">
        <v>855.659</v>
      </c>
      <c r="N16" s="0" t="n">
        <v>28.0360000000001</v>
      </c>
      <c r="O16" s="0" t="n">
        <v>6193.053</v>
      </c>
      <c r="P16" s="0" t="n">
        <v>13093.543</v>
      </c>
      <c r="R16" s="0" t="n">
        <v>4238.697</v>
      </c>
      <c r="S16" s="0" t="n">
        <v>115.301</v>
      </c>
      <c r="T16" s="0" t="n">
        <v>83.692</v>
      </c>
      <c r="U16" s="0" t="n">
        <v>73.686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13399.37</v>
      </c>
      <c r="F17" s="0" t="n">
        <v>1003.555</v>
      </c>
      <c r="G17" s="0" t="n">
        <v>7.48956853941641</v>
      </c>
      <c r="H17" s="0" t="n">
        <v>1585.416</v>
      </c>
      <c r="I17" s="0" t="n">
        <v>675.609</v>
      </c>
      <c r="J17" s="0" t="n">
        <v>5.04209526268772</v>
      </c>
      <c r="K17" s="0" t="n">
        <v>9.23</v>
      </c>
      <c r="L17" s="0" t="n">
        <v>996.023</v>
      </c>
      <c r="M17" s="0" t="n">
        <v>734.001</v>
      </c>
      <c r="N17" s="0" t="n">
        <v>262.022</v>
      </c>
      <c r="O17" s="0" t="n">
        <v>5965.35</v>
      </c>
      <c r="P17" s="0" t="n">
        <v>13494.188</v>
      </c>
      <c r="R17" s="0" t="n">
        <v>4889.427</v>
      </c>
      <c r="S17" s="0" t="n">
        <v>102.818</v>
      </c>
      <c r="T17" s="0" t="n">
        <v>73.832</v>
      </c>
      <c r="U17" s="0" t="n">
        <v>85.378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14281.976</v>
      </c>
      <c r="F18" s="0" t="n">
        <v>1175.381</v>
      </c>
      <c r="G18" s="0" t="n">
        <v>8.22982057944923</v>
      </c>
      <c r="H18" s="0" t="n">
        <v>1743.422</v>
      </c>
      <c r="I18" s="0" t="n">
        <v>719.307</v>
      </c>
      <c r="J18" s="0" t="n">
        <v>5.03646694266956</v>
      </c>
      <c r="K18" s="0" t="n">
        <v>10.35</v>
      </c>
      <c r="L18" s="0" t="n">
        <v>1267.797</v>
      </c>
      <c r="M18" s="0" t="n">
        <v>743.055</v>
      </c>
      <c r="N18" s="0" t="n">
        <v>524.742</v>
      </c>
      <c r="O18" s="0" t="n">
        <v>6196.715</v>
      </c>
      <c r="P18" s="0" t="n">
        <v>13967.602</v>
      </c>
      <c r="R18" s="0" t="n">
        <v>5039.155</v>
      </c>
      <c r="S18" s="0" t="n">
        <v>119.439</v>
      </c>
      <c r="T18" s="0" t="n">
        <v>70.125</v>
      </c>
      <c r="U18" s="0" t="n">
        <v>87.72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15827.935</v>
      </c>
      <c r="F19" s="0" t="n">
        <v>1681.814</v>
      </c>
      <c r="G19" s="0" t="n">
        <v>10.6256059302745</v>
      </c>
      <c r="H19" s="0" t="n">
        <v>2266.645</v>
      </c>
      <c r="I19" s="0" t="n">
        <v>1163.109</v>
      </c>
      <c r="J19" s="0" t="n">
        <v>7.34845701602894</v>
      </c>
      <c r="K19" s="0" t="n">
        <v>17.16</v>
      </c>
      <c r="L19" s="0" t="n">
        <v>2067.101</v>
      </c>
      <c r="M19" s="0" t="n">
        <v>943.81</v>
      </c>
      <c r="N19" s="0" t="n">
        <v>1123.291</v>
      </c>
      <c r="O19" s="0" t="n">
        <v>6749.523</v>
      </c>
      <c r="P19" s="0" t="n">
        <v>14469.749</v>
      </c>
      <c r="R19" s="0" t="n">
        <v>4544.6</v>
      </c>
      <c r="S19" s="0" t="n">
        <v>125.983</v>
      </c>
      <c r="T19" s="0" t="n">
        <v>67.896</v>
      </c>
      <c r="U19" s="0" t="n">
        <v>99.349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17364.829</v>
      </c>
      <c r="F20" s="0" t="n">
        <v>1994.015</v>
      </c>
      <c r="G20" s="0" t="n">
        <v>11.4830672965452</v>
      </c>
      <c r="H20" s="0" t="n">
        <v>2612.758</v>
      </c>
      <c r="I20" s="0" t="n">
        <v>1511.182</v>
      </c>
      <c r="J20" s="0" t="n">
        <v>8.70254466657863</v>
      </c>
      <c r="K20" s="0" t="n">
        <v>23.42</v>
      </c>
      <c r="L20" s="0" t="n">
        <v>1864.397</v>
      </c>
      <c r="M20" s="0" t="n">
        <v>1015.152</v>
      </c>
      <c r="N20" s="0" t="n">
        <v>849.245</v>
      </c>
      <c r="O20" s="0" t="n">
        <v>7338.788</v>
      </c>
      <c r="P20" s="0" t="n">
        <v>15527.593</v>
      </c>
      <c r="R20" s="0" t="n">
        <v>5500.709</v>
      </c>
      <c r="S20" s="0" t="n">
        <v>137.797</v>
      </c>
      <c r="T20" s="0" t="n">
        <v>64.462</v>
      </c>
      <c r="U20" s="0" t="n">
        <v>95.688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175.07</v>
      </c>
    </row>
    <row r="3" customFormat="false" ht="15" hidden="false" customHeight="false" outlineLevel="0" collapsed="false">
      <c r="A3" s="0" t="s">
        <v>85</v>
      </c>
      <c r="B3" s="3" t="n">
        <v>59.91</v>
      </c>
    </row>
    <row r="4" customFormat="false" ht="15" hidden="false" customHeight="false" outlineLevel="0" collapsed="false">
      <c r="A4" s="0" t="s">
        <v>86</v>
      </c>
      <c r="B4" s="3" t="n">
        <v>5533.11</v>
      </c>
    </row>
    <row r="5" customFormat="false" ht="15" hidden="false" customHeight="false" outlineLevel="0" collapsed="false">
      <c r="A5" s="0" t="s">
        <v>87</v>
      </c>
      <c r="B5" s="3" t="n">
        <v>-141.823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17364.829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5.5</v>
      </c>
      <c r="D13" s="3" t="n">
        <v>3.5</v>
      </c>
      <c r="E13" s="3" t="n">
        <v>3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14.8</v>
      </c>
      <c r="D14" s="3" t="n">
        <v>14.4</v>
      </c>
      <c r="E14" s="3" t="n">
        <v>14</v>
      </c>
      <c r="F14" s="3" t="n">
        <v>13.6</v>
      </c>
      <c r="G14" s="3" t="n">
        <v>13.3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107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3.6</v>
      </c>
      <c r="D17" s="3" t="n">
        <v>3.7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110</v>
      </c>
      <c r="C18" s="3" t="n">
        <v>5.4</v>
      </c>
      <c r="D18" s="3" t="n">
        <v>5.4</v>
      </c>
      <c r="E18" s="3" t="n">
        <v>5.2</v>
      </c>
      <c r="F18" s="3" t="n">
        <v>5.2</v>
      </c>
      <c r="G18" s="3" t="n">
        <v>5.2</v>
      </c>
      <c r="H18" s="3" t="n">
        <v>5.2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111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-6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7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15.2</v>
      </c>
      <c r="D28" s="3" t="n">
        <v>15.2</v>
      </c>
      <c r="E28" s="3" t="n">
        <v>15.1</v>
      </c>
      <c r="F28" s="3" t="n">
        <v>15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107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3.6</v>
      </c>
      <c r="D31" s="3" t="n">
        <v>3.65</v>
      </c>
      <c r="E31" s="3" t="n">
        <v>3.7</v>
      </c>
      <c r="F31" s="3" t="n">
        <v>3.7</v>
      </c>
      <c r="G31" s="3" t="n">
        <v>3.7</v>
      </c>
      <c r="H31" s="3" t="n">
        <v>3.7</v>
      </c>
      <c r="I31" s="3" t="n">
        <v>3.7</v>
      </c>
      <c r="J31" s="3" t="n">
        <v>3.7</v>
      </c>
      <c r="K31" s="3" t="n">
        <v>3.7</v>
      </c>
      <c r="L31" s="3" t="n">
        <v>3.7</v>
      </c>
    </row>
    <row r="32" customFormat="false" ht="15" hidden="false" customHeight="false" outlineLevel="0" collapsed="false">
      <c r="A32" s="0" t="s">
        <v>110</v>
      </c>
      <c r="C32" s="3" t="n">
        <v>5.4</v>
      </c>
      <c r="D32" s="3" t="n">
        <v>5.2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111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14</v>
      </c>
    </row>
    <row r="37" customFormat="false" ht="15" hidden="false" customHeight="false" outlineLevel="0" collapsed="false">
      <c r="A37" s="0" t="s">
        <v>115</v>
      </c>
      <c r="B37" s="3" t="n">
        <v>-6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15.4</v>
      </c>
      <c r="D42" s="3" t="n">
        <v>15.6</v>
      </c>
      <c r="E42" s="3" t="n">
        <v>15.8</v>
      </c>
      <c r="F42" s="3" t="n">
        <v>16</v>
      </c>
      <c r="G42" s="3" t="n">
        <v>16.2</v>
      </c>
      <c r="H42" s="3" t="n">
        <v>16.3</v>
      </c>
      <c r="I42" s="3" t="n">
        <v>16.3</v>
      </c>
      <c r="J42" s="3" t="n">
        <v>16.3</v>
      </c>
      <c r="K42" s="3" t="n">
        <v>16.3</v>
      </c>
      <c r="L42" s="3" t="n">
        <v>16.3</v>
      </c>
    </row>
    <row r="43" customFormat="false" ht="15" hidden="false" customHeight="false" outlineLevel="0" collapsed="false">
      <c r="A43" s="0" t="s">
        <v>107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3.6</v>
      </c>
      <c r="D45" s="3" t="n">
        <v>3.65</v>
      </c>
      <c r="E45" s="3" t="n">
        <v>3.7</v>
      </c>
      <c r="F45" s="3" t="n">
        <v>3.7</v>
      </c>
      <c r="G45" s="3" t="n">
        <v>3.7</v>
      </c>
      <c r="H45" s="3" t="n">
        <v>3.7</v>
      </c>
      <c r="I45" s="3" t="n">
        <v>3.7</v>
      </c>
      <c r="J45" s="3" t="n">
        <v>3.7</v>
      </c>
      <c r="K45" s="3" t="n">
        <v>3.7</v>
      </c>
      <c r="L45" s="3" t="n">
        <v>3.7</v>
      </c>
    </row>
    <row r="46" customFormat="false" ht="15" hidden="false" customHeight="false" outlineLevel="0" collapsed="false">
      <c r="A46" s="0" t="s">
        <v>110</v>
      </c>
      <c r="C46" s="3" t="n">
        <v>5.4</v>
      </c>
      <c r="D46" s="3" t="n">
        <v>5</v>
      </c>
      <c r="E46" s="3" t="n">
        <v>4.8</v>
      </c>
      <c r="F46" s="3" t="n">
        <v>4.7</v>
      </c>
      <c r="G46" s="3" t="n">
        <v>4.6</v>
      </c>
      <c r="H46" s="3" t="n">
        <v>4.6</v>
      </c>
      <c r="I46" s="3" t="n">
        <v>4.6</v>
      </c>
      <c r="J46" s="3" t="n">
        <v>4.6</v>
      </c>
      <c r="K46" s="3" t="n">
        <v>4.6</v>
      </c>
      <c r="L46" s="3" t="n">
        <v>4.6</v>
      </c>
    </row>
    <row r="47" customFormat="false" ht="15" hidden="false" customHeight="false" outlineLevel="0" collapsed="false">
      <c r="A47" s="0" t="s">
        <v>111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-6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5.5</v>
      </c>
      <c r="D5" s="4" t="n">
        <f aca="false">Assumptions!D13</f>
        <v>3.5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17364.829</v>
      </c>
      <c r="C6" s="0" t="n">
        <f aca="false">B6*(1+C5/100)</f>
        <v>18319.894595</v>
      </c>
      <c r="D6" s="0" t="n">
        <f aca="false">C6*(1+D5/100)</f>
        <v>18961.090905825</v>
      </c>
      <c r="E6" s="0" t="n">
        <f aca="false">D6*(1+E5/100)</f>
        <v>19529.9236329998</v>
      </c>
      <c r="F6" s="0" t="n">
        <f aca="false">E6*(1+F5/100)</f>
        <v>20018.1717238247</v>
      </c>
      <c r="G6" s="0" t="n">
        <f aca="false">F6*(1+G5/100)</f>
        <v>20518.6260169204</v>
      </c>
      <c r="H6" s="0" t="n">
        <f aca="false">G6*(1+H5/100)</f>
        <v>21031.5916673434</v>
      </c>
      <c r="I6" s="0" t="n">
        <f aca="false">H6*(1+I5/100)</f>
        <v>21557.381459027</v>
      </c>
      <c r="J6" s="0" t="n">
        <f aca="false">I6*(1+J5/100)</f>
        <v>22096.3159955026</v>
      </c>
      <c r="K6" s="0" t="n">
        <f aca="false">J6*(1+K5/100)</f>
        <v>22648.7238953902</v>
      </c>
      <c r="L6" s="0" t="n">
        <f aca="false">K6*(1+L5/100)</f>
        <v>23214.9419927749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14.8</v>
      </c>
      <c r="D7" s="4" t="n">
        <f aca="false">Assumptions!D14</f>
        <v>14.4</v>
      </c>
      <c r="E7" s="4" t="n">
        <f aca="false">Assumptions!E14</f>
        <v>14</v>
      </c>
      <c r="F7" s="4" t="n">
        <f aca="false">Assumptions!F14</f>
        <v>13.6</v>
      </c>
      <c r="G7" s="4" t="n">
        <f aca="false">Assumptions!G14</f>
        <v>13.3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2711.34440006</v>
      </c>
      <c r="D8" s="0" t="n">
        <f aca="false">D6*D7/100</f>
        <v>2730.3970904388</v>
      </c>
      <c r="E8" s="0" t="n">
        <f aca="false">E6*E7/100</f>
        <v>2734.18930861997</v>
      </c>
      <c r="F8" s="0" t="n">
        <f aca="false">F6*F7/100</f>
        <v>2722.47135444016</v>
      </c>
      <c r="G8" s="0" t="n">
        <f aca="false">G6*G7/100</f>
        <v>2728.97726025041</v>
      </c>
      <c r="H8" s="0" t="n">
        <f aca="false">H6*H7/100</f>
        <v>2734.10691675464</v>
      </c>
      <c r="I8" s="0" t="n">
        <f aca="false">I6*I7/100</f>
        <v>2802.4595896735</v>
      </c>
      <c r="J8" s="0" t="n">
        <f aca="false">J6*J7/100</f>
        <v>2872.52107941534</v>
      </c>
      <c r="K8" s="0" t="n">
        <f aca="false">K6*K7/100</f>
        <v>2944.33410640072</v>
      </c>
      <c r="L8" s="0" t="n">
        <f aca="false">L6*L7/100</f>
        <v>3017.94245906074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-100.7594202725</v>
      </c>
      <c r="D10" s="0" t="n">
        <f aca="false">-D6*D9/100</f>
        <v>-104.285999982038</v>
      </c>
      <c r="E10" s="0" t="n">
        <f aca="false">-E6*E9/100</f>
        <v>-107.414579981499</v>
      </c>
      <c r="F10" s="0" t="n">
        <f aca="false">-F6*F9/100</f>
        <v>-110.099944481036</v>
      </c>
      <c r="G10" s="0" t="n">
        <f aca="false">-G6*G9/100</f>
        <v>-112.852443093062</v>
      </c>
      <c r="H10" s="0" t="n">
        <f aca="false">-H6*H9/100</f>
        <v>-115.673754170389</v>
      </c>
      <c r="I10" s="0" t="n">
        <f aca="false">-I6*I9/100</f>
        <v>-118.565598024648</v>
      </c>
      <c r="J10" s="0" t="n">
        <f aca="false">-J6*J9/100</f>
        <v>-121.529737975264</v>
      </c>
      <c r="K10" s="0" t="n">
        <f aca="false">-K6*K9/100</f>
        <v>-124.567981424646</v>
      </c>
      <c r="L10" s="0" t="n">
        <f aca="false">-L6*L9/100</f>
        <v>-127.682180960262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2610.5849797875</v>
      </c>
      <c r="D11" s="0" t="n">
        <f aca="false">D8+D10+D24</f>
        <v>2626.11109045676</v>
      </c>
      <c r="E11" s="0" t="n">
        <f aca="false">E8+E10+E24</f>
        <v>2626.77472863847</v>
      </c>
      <c r="F11" s="0" t="n">
        <f aca="false">F8+F10+F24</f>
        <v>2612.37140995913</v>
      </c>
      <c r="G11" s="0" t="n">
        <f aca="false">G8+G10+G24</f>
        <v>2616.12481715735</v>
      </c>
      <c r="H11" s="0" t="n">
        <f aca="false">H8+H10+H24</f>
        <v>2618.43316258425</v>
      </c>
      <c r="I11" s="0" t="n">
        <f aca="false">I8+I10+I24</f>
        <v>2683.89399164886</v>
      </c>
      <c r="J11" s="0" t="n">
        <f aca="false">J8+J10+J24</f>
        <v>2750.99134144008</v>
      </c>
      <c r="K11" s="0" t="n">
        <f aca="false">K8+K10+K24</f>
        <v>2819.76612497608</v>
      </c>
      <c r="L11" s="0" t="n">
        <f aca="false">L8+L10+L24</f>
        <v>2890.26027810048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-659.51620542</v>
      </c>
      <c r="D12" s="4" t="n">
        <f aca="false">-D6*Assumptions!D17/100</f>
        <v>-701.560363515525</v>
      </c>
      <c r="E12" s="4" t="n">
        <f aca="false">-E6*Assumptions!E17/100</f>
        <v>-742.137098053991</v>
      </c>
      <c r="F12" s="4" t="n">
        <f aca="false">-F6*Assumptions!F17/100</f>
        <v>-760.69052550534</v>
      </c>
      <c r="G12" s="4" t="n">
        <f aca="false">-G6*Assumptions!G17/100</f>
        <v>-779.707788642974</v>
      </c>
      <c r="H12" s="4" t="n">
        <f aca="false">-H6*Assumptions!H17/100</f>
        <v>-799.200483359048</v>
      </c>
      <c r="I12" s="4" t="n">
        <f aca="false">-I6*Assumptions!I17/100</f>
        <v>-819.180495443024</v>
      </c>
      <c r="J12" s="4" t="n">
        <f aca="false">-J6*Assumptions!J17/100</f>
        <v>-839.6600078291</v>
      </c>
      <c r="K12" s="4" t="n">
        <f aca="false">-K6*Assumptions!K17/100</f>
        <v>-860.651508024827</v>
      </c>
      <c r="L12" s="4" t="n">
        <f aca="false">-L6*Assumptions!L17/100</f>
        <v>-882.167795725448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1951.0687743675</v>
      </c>
      <c r="D13" s="0" t="n">
        <f aca="false">D11+D12</f>
        <v>1924.55072694124</v>
      </c>
      <c r="E13" s="0" t="n">
        <f aca="false">E11+E12</f>
        <v>1884.63763058448</v>
      </c>
      <c r="F13" s="0" t="n">
        <f aca="false">F11+F12</f>
        <v>1851.68088445379</v>
      </c>
      <c r="G13" s="0" t="n">
        <f aca="false">G11+G12</f>
        <v>1836.41702851437</v>
      </c>
      <c r="H13" s="0" t="n">
        <f aca="false">H11+H12</f>
        <v>1819.2326792252</v>
      </c>
      <c r="I13" s="0" t="n">
        <f aca="false">I11+I12</f>
        <v>1864.71349620583</v>
      </c>
      <c r="J13" s="0" t="n">
        <f aca="false">J11+J12</f>
        <v>1911.33133361098</v>
      </c>
      <c r="K13" s="0" t="n">
        <f aca="false">K11+K12</f>
        <v>1959.11461695125</v>
      </c>
      <c r="L13" s="0" t="n">
        <f aca="false">L11+L12</f>
        <v>2008.09248237503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1473.05692464746</v>
      </c>
      <c r="D15" s="0" t="n">
        <f aca="false">D13-MAX(0,D13)*D14/100</f>
        <v>1453.03579884063</v>
      </c>
      <c r="E15" s="0" t="n">
        <f aca="false">E13-MAX(0,E13)*E14/100</f>
        <v>1422.90141109128</v>
      </c>
      <c r="F15" s="0" t="n">
        <f aca="false">F13-MAX(0,F13)*F14/100</f>
        <v>1398.01906776261</v>
      </c>
      <c r="G15" s="0" t="n">
        <f aca="false">G13-MAX(0,G13)*G14/100</f>
        <v>1386.49485652835</v>
      </c>
      <c r="H15" s="0" t="n">
        <f aca="false">H13-MAX(0,H13)*H14/100</f>
        <v>1373.52067281503</v>
      </c>
      <c r="I15" s="0" t="n">
        <f aca="false">I13-MAX(0,I13)*I14/100</f>
        <v>1407.8586896354</v>
      </c>
      <c r="J15" s="0" t="n">
        <f aca="false">J13-MAX(0,J13)*J14/100</f>
        <v>1443.05515687629</v>
      </c>
      <c r="K15" s="0" t="n">
        <f aca="false">K13-MAX(0,K13)*K14/100</f>
        <v>1479.13153579819</v>
      </c>
      <c r="L15" s="0" t="n">
        <f aca="false">L13-MAX(0,L13)*L14/100</f>
        <v>1516.10982419315</v>
      </c>
    </row>
    <row r="16" customFormat="false" ht="15" hidden="false" customHeight="false" outlineLevel="0" collapsed="false">
      <c r="A16" s="0" t="s">
        <v>127</v>
      </c>
      <c r="C16" s="0" t="n">
        <f aca="false">-C12</f>
        <v>659.51620542</v>
      </c>
      <c r="D16" s="0" t="n">
        <f aca="false">-D12</f>
        <v>701.560363515525</v>
      </c>
      <c r="E16" s="0" t="n">
        <f aca="false">-E12</f>
        <v>742.137098053991</v>
      </c>
      <c r="F16" s="0" t="n">
        <f aca="false">-F12</f>
        <v>760.69052550534</v>
      </c>
      <c r="G16" s="0" t="n">
        <f aca="false">-G12</f>
        <v>779.707788642974</v>
      </c>
      <c r="H16" s="0" t="n">
        <f aca="false">-H12</f>
        <v>799.200483359048</v>
      </c>
      <c r="I16" s="0" t="n">
        <f aca="false">-I12</f>
        <v>819.180495443024</v>
      </c>
      <c r="J16" s="0" t="n">
        <f aca="false">-J12</f>
        <v>839.6600078291</v>
      </c>
      <c r="K16" s="0" t="n">
        <f aca="false">-K12</f>
        <v>860.651508024827</v>
      </c>
      <c r="L16" s="0" t="n">
        <f aca="false">-L12</f>
        <v>882.167795725448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-989.27430813</v>
      </c>
      <c r="D17" s="4" t="n">
        <f aca="false">-D6*Assumptions!D18/100</f>
        <v>-1023.89890891455</v>
      </c>
      <c r="E17" s="4" t="n">
        <f aca="false">-E6*Assumptions!E18/100</f>
        <v>-1015.55602891599</v>
      </c>
      <c r="F17" s="4" t="n">
        <f aca="false">-F6*Assumptions!F18/100</f>
        <v>-1040.94492963889</v>
      </c>
      <c r="G17" s="4" t="n">
        <f aca="false">-G6*Assumptions!G18/100</f>
        <v>-1066.96855287986</v>
      </c>
      <c r="H17" s="4" t="n">
        <f aca="false">-H6*Assumptions!H18/100</f>
        <v>-1093.64276670186</v>
      </c>
      <c r="I17" s="4" t="n">
        <f aca="false">-I6*Assumptions!I18/100</f>
        <v>-1120.9838358694</v>
      </c>
      <c r="J17" s="4" t="n">
        <f aca="false">-J6*Assumptions!J18/100</f>
        <v>-1149.00843176614</v>
      </c>
      <c r="K17" s="4" t="n">
        <f aca="false">-K6*Assumptions!K18/100</f>
        <v>-1177.73364256029</v>
      </c>
      <c r="L17" s="4" t="n">
        <f aca="false">-L6*Assumptions!L18/100</f>
        <v>-1207.1769836243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-57.3039357</v>
      </c>
      <c r="D18" s="4" t="n">
        <f aca="false">(D6-C6)*Assumptions!$B$23/100</f>
        <v>-38.4717786494999</v>
      </c>
      <c r="E18" s="4" t="n">
        <f aca="false">(E6-D6)*Assumptions!$B$23/100</f>
        <v>-34.1299636304851</v>
      </c>
      <c r="F18" s="4" t="n">
        <f aca="false">(F6-E6)*Assumptions!$B$23/100</f>
        <v>-29.2948854494996</v>
      </c>
      <c r="G18" s="4" t="n">
        <f aca="false">(G6-F6)*Assumptions!$B$23/100</f>
        <v>-30.027257585737</v>
      </c>
      <c r="H18" s="4" t="n">
        <f aca="false">(H6-G6)*Assumptions!$B$23/100</f>
        <v>-30.7779390253805</v>
      </c>
      <c r="I18" s="4" t="n">
        <f aca="false">(I6-H6)*Assumptions!$B$23/100</f>
        <v>-31.547387501015</v>
      </c>
      <c r="J18" s="4" t="n">
        <f aca="false">(J6-I6)*Assumptions!$B$23/100</f>
        <v>-32.3360721885402</v>
      </c>
      <c r="K18" s="4" t="n">
        <f aca="false">(K6-J6)*Assumptions!$B$23/100</f>
        <v>-33.1444739932538</v>
      </c>
      <c r="L18" s="4" t="n">
        <f aca="false">(L6-K6)*Assumptions!$B$23/100</f>
        <v>-33.9730858430852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1085.99488623746</v>
      </c>
      <c r="D19" s="0" t="n">
        <f aca="false">D15+D16+D17+D18</f>
        <v>1092.22547479211</v>
      </c>
      <c r="E19" s="0" t="n">
        <f aca="false">E15+E16+E17+E18</f>
        <v>1115.3525165988</v>
      </c>
      <c r="F19" s="0" t="n">
        <f aca="false">F15+F16+F17+F18</f>
        <v>1088.46977817956</v>
      </c>
      <c r="G19" s="0" t="n">
        <f aca="false">G15+G16+G17+G18</f>
        <v>1069.20683470573</v>
      </c>
      <c r="H19" s="0" t="n">
        <f aca="false">H15+H16+H17+H18</f>
        <v>1048.30045044684</v>
      </c>
      <c r="I19" s="0" t="n">
        <f aca="false">I15+I16+I17+I18</f>
        <v>1074.50796170801</v>
      </c>
      <c r="J19" s="0" t="n">
        <f aca="false">J15+J16+J17+J18</f>
        <v>1101.37066075071</v>
      </c>
      <c r="K19" s="0" t="n">
        <f aca="false">K15+K16+K17+K18</f>
        <v>1128.90492726948</v>
      </c>
      <c r="L19" s="0" t="n">
        <f aca="false">L15+L16+L17+L18</f>
        <v>1157.12755045121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1005.55082059024</v>
      </c>
      <c r="D21" s="0" t="n">
        <f aca="false">D19*D20</f>
        <v>936.407300061822</v>
      </c>
      <c r="E21" s="0" t="n">
        <f aca="false">E19*E20</f>
        <v>885.402787779109</v>
      </c>
      <c r="F21" s="0" t="n">
        <f aca="false">F19*F20</f>
        <v>800.057780828713</v>
      </c>
      <c r="G21" s="0" t="n">
        <f aca="false">G19*G20</f>
        <v>727.684205854364</v>
      </c>
      <c r="H21" s="0" t="n">
        <f aca="false">H19*H20</f>
        <v>660.607103719475</v>
      </c>
      <c r="I21" s="0" t="n">
        <f aca="false">I19*I20</f>
        <v>626.965075289317</v>
      </c>
      <c r="J21" s="0" t="n">
        <f aca="false">J19*J20</f>
        <v>595.036298306991</v>
      </c>
      <c r="K21" s="0" t="n">
        <f aca="false">K19*K20</f>
        <v>564.733523856171</v>
      </c>
      <c r="L21" s="0" t="n">
        <f aca="false">L19*L20</f>
        <v>535.973946252385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7338.41884253859</v>
      </c>
    </row>
    <row r="31" customFormat="false" ht="15" hidden="false" customHeight="false" outlineLevel="0" collapsed="false">
      <c r="A31" s="0" t="s">
        <v>136</v>
      </c>
      <c r="B31" s="0" t="n">
        <f aca="false">L19</f>
        <v>1157.12755045121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19671.1683576707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13885.5306054146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13885.5306054146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6431.68735502861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13770.1061975672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8095.1731975672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135.122236647758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-0.22818166077707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754.896843895161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1005.40643100914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164.504698255241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9079.00078046338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34.2328362767062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17364.829</v>
      </c>
      <c r="C6" s="0" t="n">
        <f aca="false">B6*(1+C5/100)</f>
        <v>18580.36703</v>
      </c>
      <c r="D6" s="0" t="n">
        <f aca="false">C6*(1+D5/100)</f>
        <v>19602.28721665</v>
      </c>
      <c r="E6" s="0" t="n">
        <f aca="false">D6*(1+E5/100)</f>
        <v>20582.4015774825</v>
      </c>
      <c r="F6" s="0" t="n">
        <f aca="false">E6*(1+F5/100)</f>
        <v>21611.5216563566</v>
      </c>
      <c r="G6" s="0" t="n">
        <f aca="false">F6*(1+G5/100)</f>
        <v>22584.0401308927</v>
      </c>
      <c r="H6" s="0" t="n">
        <f aca="false">G6*(1+H5/100)</f>
        <v>23600.3219367828</v>
      </c>
      <c r="I6" s="0" t="n">
        <f aca="false">H6*(1+I5/100)</f>
        <v>24544.3348142542</v>
      </c>
      <c r="J6" s="0" t="n">
        <f aca="false">I6*(1+J5/100)</f>
        <v>25526.1082068243</v>
      </c>
      <c r="K6" s="0" t="n">
        <f aca="false">J6*(1+K5/100)</f>
        <v>26419.5219940632</v>
      </c>
      <c r="L6" s="0" t="n">
        <f aca="false">K6*(1+L5/100)</f>
        <v>27212.1076538851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15.2</v>
      </c>
      <c r="D7" s="4" t="n">
        <f aca="false">Assumptions!D28</f>
        <v>15.2</v>
      </c>
      <c r="E7" s="4" t="n">
        <f aca="false">Assumptions!E28</f>
        <v>15.1</v>
      </c>
      <c r="F7" s="4" t="n">
        <f aca="false">Assumptions!F28</f>
        <v>15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2824.21578856</v>
      </c>
      <c r="D8" s="0" t="n">
        <f aca="false">D6*D7/100</f>
        <v>2979.5476569308</v>
      </c>
      <c r="E8" s="0" t="n">
        <f aca="false">E6*E7/100</f>
        <v>3107.94263819986</v>
      </c>
      <c r="F8" s="0" t="n">
        <f aca="false">F6*F7/100</f>
        <v>3241.72824845349</v>
      </c>
      <c r="G8" s="0" t="n">
        <f aca="false">G6*G7/100</f>
        <v>3387.6060196339</v>
      </c>
      <c r="H8" s="0" t="n">
        <f aca="false">H6*H7/100</f>
        <v>3540.04829051743</v>
      </c>
      <c r="I8" s="0" t="n">
        <f aca="false">I6*I7/100</f>
        <v>3681.65022213812</v>
      </c>
      <c r="J8" s="0" t="n">
        <f aca="false">J6*J7/100</f>
        <v>3828.91623102365</v>
      </c>
      <c r="K8" s="0" t="n">
        <f aca="false">K6*K7/100</f>
        <v>3962.92829910948</v>
      </c>
      <c r="L8" s="0" t="n">
        <f aca="false">L6*L7/100</f>
        <v>4081.81614808276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-102.192018665</v>
      </c>
      <c r="D10" s="0" t="n">
        <f aca="false">-D6*D9/100</f>
        <v>-107.812579691575</v>
      </c>
      <c r="E10" s="0" t="n">
        <f aca="false">-E6*E9/100</f>
        <v>-113.203208676154</v>
      </c>
      <c r="F10" s="0" t="n">
        <f aca="false">-F6*F9/100</f>
        <v>-118.863369109961</v>
      </c>
      <c r="G10" s="0" t="n">
        <f aca="false">-G6*G9/100</f>
        <v>-124.21222071991</v>
      </c>
      <c r="H10" s="0" t="n">
        <f aca="false">-H6*H9/100</f>
        <v>-129.801770652306</v>
      </c>
      <c r="I10" s="0" t="n">
        <f aca="false">-I6*I9/100</f>
        <v>-134.993841478398</v>
      </c>
      <c r="J10" s="0" t="n">
        <f aca="false">-J6*J9/100</f>
        <v>-140.393595137534</v>
      </c>
      <c r="K10" s="0" t="n">
        <f aca="false">-K6*K9/100</f>
        <v>-145.307370967347</v>
      </c>
      <c r="L10" s="0" t="n">
        <f aca="false">-L6*L9/100</f>
        <v>-149.666592096368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2722.023769895</v>
      </c>
      <c r="D11" s="0" t="n">
        <f aca="false">D8+D10+D24</f>
        <v>2871.73507723923</v>
      </c>
      <c r="E11" s="0" t="n">
        <f aca="false">E8+E10+E24</f>
        <v>2994.7394295237</v>
      </c>
      <c r="F11" s="0" t="n">
        <f aca="false">F8+F10+F24</f>
        <v>3122.86487934353</v>
      </c>
      <c r="G11" s="0" t="n">
        <f aca="false">G8+G10+G24</f>
        <v>3263.39379891399</v>
      </c>
      <c r="H11" s="0" t="n">
        <f aca="false">H8+H10+H24</f>
        <v>3410.24651986512</v>
      </c>
      <c r="I11" s="0" t="n">
        <f aca="false">I8+I10+I24</f>
        <v>3546.65638065973</v>
      </c>
      <c r="J11" s="0" t="n">
        <f aca="false">J8+J10+J24</f>
        <v>3688.52263588612</v>
      </c>
      <c r="K11" s="0" t="n">
        <f aca="false">K8+K10+K24</f>
        <v>3817.62092814213</v>
      </c>
      <c r="L11" s="0" t="n">
        <f aca="false">L8+L10+L24</f>
        <v>3932.14955598639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-668.89321308</v>
      </c>
      <c r="D12" s="4" t="n">
        <f aca="false">-D6*Assumptions!D31/100</f>
        <v>-715.483483407725</v>
      </c>
      <c r="E12" s="4" t="n">
        <f aca="false">-E6*Assumptions!E31/100</f>
        <v>-761.548858366853</v>
      </c>
      <c r="F12" s="4" t="n">
        <f aca="false">-F6*Assumptions!F31/100</f>
        <v>-799.626301285195</v>
      </c>
      <c r="G12" s="4" t="n">
        <f aca="false">-G6*Assumptions!G31/100</f>
        <v>-835.609484843029</v>
      </c>
      <c r="H12" s="4" t="n">
        <f aca="false">-H6*Assumptions!H31/100</f>
        <v>-873.211911660965</v>
      </c>
      <c r="I12" s="4" t="n">
        <f aca="false">-I6*Assumptions!I31/100</f>
        <v>-908.140388127404</v>
      </c>
      <c r="J12" s="4" t="n">
        <f aca="false">-J6*Assumptions!J31/100</f>
        <v>-944.4660036525</v>
      </c>
      <c r="K12" s="4" t="n">
        <f aca="false">-K6*Assumptions!K31/100</f>
        <v>-977.522313780338</v>
      </c>
      <c r="L12" s="4" t="n">
        <f aca="false">-L6*Assumptions!L31/100</f>
        <v>-1006.84798319375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2053.130556815</v>
      </c>
      <c r="D13" s="0" t="n">
        <f aca="false">D11+D12</f>
        <v>2156.2515938315</v>
      </c>
      <c r="E13" s="0" t="n">
        <f aca="false">E11+E12</f>
        <v>2233.19057115685</v>
      </c>
      <c r="F13" s="0" t="n">
        <f aca="false">F11+F12</f>
        <v>2323.23857805834</v>
      </c>
      <c r="G13" s="0" t="n">
        <f aca="false">G11+G12</f>
        <v>2427.78431407096</v>
      </c>
      <c r="H13" s="0" t="n">
        <f aca="false">H11+H12</f>
        <v>2537.03460820416</v>
      </c>
      <c r="I13" s="0" t="n">
        <f aca="false">I11+I12</f>
        <v>2638.51599253232</v>
      </c>
      <c r="J13" s="0" t="n">
        <f aca="false">J11+J12</f>
        <v>2744.05663223362</v>
      </c>
      <c r="K13" s="0" t="n">
        <f aca="false">K11+K12</f>
        <v>2840.09861436179</v>
      </c>
      <c r="L13" s="0" t="n">
        <f aca="false">L11+L12</f>
        <v>2925.30157279265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1550.11357039533</v>
      </c>
      <c r="D15" s="0" t="n">
        <f aca="false">D13-MAX(0,D13)*D14/100</f>
        <v>1627.96995334278</v>
      </c>
      <c r="E15" s="0" t="n">
        <f aca="false">E13-MAX(0,E13)*E14/100</f>
        <v>1686.05888122342</v>
      </c>
      <c r="F15" s="0" t="n">
        <f aca="false">F13-MAX(0,F13)*F14/100</f>
        <v>1754.04512643404</v>
      </c>
      <c r="G15" s="0" t="n">
        <f aca="false">G13-MAX(0,G13)*G14/100</f>
        <v>1832.97715712358</v>
      </c>
      <c r="H15" s="0" t="n">
        <f aca="false">H13-MAX(0,H13)*H14/100</f>
        <v>1915.46112919414</v>
      </c>
      <c r="I15" s="0" t="n">
        <f aca="false">I13-MAX(0,I13)*I14/100</f>
        <v>1992.0795743619</v>
      </c>
      <c r="J15" s="0" t="n">
        <f aca="false">J13-MAX(0,J13)*J14/100</f>
        <v>2071.76275733638</v>
      </c>
      <c r="K15" s="0" t="n">
        <f aca="false">K13-MAX(0,K13)*K14/100</f>
        <v>2144.27445384315</v>
      </c>
      <c r="L15" s="0" t="n">
        <f aca="false">L13-MAX(0,L13)*L14/100</f>
        <v>2208.60268745845</v>
      </c>
    </row>
    <row r="16" customFormat="false" ht="15" hidden="false" customHeight="false" outlineLevel="0" collapsed="false">
      <c r="A16" s="0" t="s">
        <v>127</v>
      </c>
      <c r="C16" s="0" t="n">
        <f aca="false">-C12</f>
        <v>668.89321308</v>
      </c>
      <c r="D16" s="0" t="n">
        <f aca="false">-D12</f>
        <v>715.483483407725</v>
      </c>
      <c r="E16" s="0" t="n">
        <f aca="false">-E12</f>
        <v>761.548858366853</v>
      </c>
      <c r="F16" s="0" t="n">
        <f aca="false">-F12</f>
        <v>799.626301285195</v>
      </c>
      <c r="G16" s="0" t="n">
        <f aca="false">-G12</f>
        <v>835.609484843029</v>
      </c>
      <c r="H16" s="0" t="n">
        <f aca="false">-H12</f>
        <v>873.211911660965</v>
      </c>
      <c r="I16" s="0" t="n">
        <f aca="false">-I12</f>
        <v>908.140388127404</v>
      </c>
      <c r="J16" s="0" t="n">
        <f aca="false">-J12</f>
        <v>944.4660036525</v>
      </c>
      <c r="K16" s="0" t="n">
        <f aca="false">-K12</f>
        <v>977.522313780338</v>
      </c>
      <c r="L16" s="0" t="n">
        <f aca="false">-L12</f>
        <v>1006.84798319375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-1003.33981962</v>
      </c>
      <c r="D17" s="4" t="n">
        <f aca="false">-D6*Assumptions!D32/100</f>
        <v>-1019.3189352658</v>
      </c>
      <c r="E17" s="4" t="n">
        <f aca="false">-E6*Assumptions!E32/100</f>
        <v>-1029.12007887413</v>
      </c>
      <c r="F17" s="4" t="n">
        <f aca="false">-F6*Assumptions!F32/100</f>
        <v>-1080.57608281783</v>
      </c>
      <c r="G17" s="4" t="n">
        <f aca="false">-G6*Assumptions!G32/100</f>
        <v>-1129.20200654463</v>
      </c>
      <c r="H17" s="4" t="n">
        <f aca="false">-H6*Assumptions!H32/100</f>
        <v>-1180.01609683914</v>
      </c>
      <c r="I17" s="4" t="n">
        <f aca="false">-I6*Assumptions!I32/100</f>
        <v>-1227.21674071271</v>
      </c>
      <c r="J17" s="4" t="n">
        <f aca="false">-J6*Assumptions!J32/100</f>
        <v>-1276.30541034122</v>
      </c>
      <c r="K17" s="4" t="n">
        <f aca="false">-K6*Assumptions!K32/100</f>
        <v>-1320.97609970316</v>
      </c>
      <c r="L17" s="4" t="n">
        <f aca="false">-L6*Assumptions!L32/100</f>
        <v>-1360.60538269425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-72.9322818</v>
      </c>
      <c r="D18" s="4" t="n">
        <f aca="false">(D6-C6)*Assumptions!$B$37/100</f>
        <v>-61.315211199</v>
      </c>
      <c r="E18" s="4" t="n">
        <f aca="false">(E6-D6)*Assumptions!$B$37/100</f>
        <v>-58.80686164995</v>
      </c>
      <c r="F18" s="4" t="n">
        <f aca="false">(F6-E6)*Assumptions!$B$37/100</f>
        <v>-61.7472047324476</v>
      </c>
      <c r="G18" s="4" t="n">
        <f aca="false">(G6-F6)*Assumptions!$B$37/100</f>
        <v>-58.3511084721627</v>
      </c>
      <c r="H18" s="4" t="n">
        <f aca="false">(H6-G6)*Assumptions!$B$37/100</f>
        <v>-60.9769083534101</v>
      </c>
      <c r="I18" s="4" t="n">
        <f aca="false">(I6-H6)*Assumptions!$B$37/100</f>
        <v>-56.640772648279</v>
      </c>
      <c r="J18" s="4" t="n">
        <f aca="false">(J6-I6)*Assumptions!$B$37/100</f>
        <v>-58.9064035542101</v>
      </c>
      <c r="K18" s="4" t="n">
        <f aca="false">(K6-J6)*Assumptions!$B$37/100</f>
        <v>-53.604827234331</v>
      </c>
      <c r="L18" s="4" t="n">
        <f aca="false">(L6-K6)*Assumptions!$B$37/100</f>
        <v>-47.5551395893138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1142.73468205533</v>
      </c>
      <c r="D19" s="0" t="n">
        <f aca="false">D15+D16+D17+D18</f>
        <v>1262.81929028571</v>
      </c>
      <c r="E19" s="0" t="n">
        <f aca="false">E15+E16+E17+E18</f>
        <v>1359.6807990662</v>
      </c>
      <c r="F19" s="0" t="n">
        <f aca="false">F15+F16+F17+F18</f>
        <v>1411.34814016896</v>
      </c>
      <c r="G19" s="0" t="n">
        <f aca="false">G15+G16+G17+G18</f>
        <v>1481.03352694981</v>
      </c>
      <c r="H19" s="0" t="n">
        <f aca="false">H15+H16+H17+H18</f>
        <v>1547.68003566255</v>
      </c>
      <c r="I19" s="0" t="n">
        <f aca="false">I15+I16+I17+I18</f>
        <v>1616.36244912832</v>
      </c>
      <c r="J19" s="0" t="n">
        <f aca="false">J15+J16+J17+J18</f>
        <v>1681.01694709345</v>
      </c>
      <c r="K19" s="0" t="n">
        <f aca="false">K15+K16+K17+K18</f>
        <v>1747.215840686</v>
      </c>
      <c r="L19" s="0" t="n">
        <f aca="false">L15+L16+L17+L18</f>
        <v>1807.29014836863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1058.08766856975</v>
      </c>
      <c r="D21" s="0" t="n">
        <f aca="false">D19*D20</f>
        <v>1082.66400058788</v>
      </c>
      <c r="E21" s="0" t="n">
        <f aca="false">E19*E20</f>
        <v>1079.35845579482</v>
      </c>
      <c r="F21" s="0" t="n">
        <f aca="false">F19*F20</f>
        <v>1037.38301571294</v>
      </c>
      <c r="G21" s="0" t="n">
        <f aca="false">G19*G20</f>
        <v>1007.96653268568</v>
      </c>
      <c r="H21" s="0" t="n">
        <f aca="false">H19*H20</f>
        <v>975.300950607899</v>
      </c>
      <c r="I21" s="0" t="n">
        <f aca="false">I19*I20</f>
        <v>943.131964328754</v>
      </c>
      <c r="J21" s="0" t="n">
        <f aca="false">J19*J20</f>
        <v>908.201150835097</v>
      </c>
      <c r="K21" s="0" t="n">
        <f aca="false">K19*K20</f>
        <v>874.042919658896</v>
      </c>
      <c r="L21" s="0" t="n">
        <f aca="false">L19*L20</f>
        <v>837.125027803951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9803.26168658566</v>
      </c>
    </row>
    <row r="31" customFormat="false" ht="15" hidden="false" customHeight="false" outlineLevel="0" collapsed="false">
      <c r="A31" s="0" t="s">
        <v>136</v>
      </c>
      <c r="B31" s="0" t="n">
        <f aca="false">L19</f>
        <v>1807.29014836863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33681.3164014153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25302.0620771608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25302.0620771608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11719.7503892553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21523.012075841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15848.079075841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264.531448436671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0.511003875230886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827.252868638124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1291.95828388974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299.904694180752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14819.7792166227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85.8591287064197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17364.829</v>
      </c>
      <c r="C6" s="0" t="n">
        <f aca="false">B6*(1+C5/100)</f>
        <v>18840.839465</v>
      </c>
      <c r="D6" s="0" t="n">
        <f aca="false">C6*(1+D5/100)</f>
        <v>20159.69822755</v>
      </c>
      <c r="E6" s="0" t="n">
        <f aca="false">D6*(1+E5/100)</f>
        <v>21470.0786123408</v>
      </c>
      <c r="F6" s="0" t="n">
        <f aca="false">E6*(1+F5/100)</f>
        <v>22758.2833290812</v>
      </c>
      <c r="G6" s="0" t="n">
        <f aca="false">F6*(1+G5/100)</f>
        <v>24009.9889121807</v>
      </c>
      <c r="H6" s="0" t="n">
        <f aca="false">G6*(1+H5/100)</f>
        <v>25210.4883577897</v>
      </c>
      <c r="I6" s="0" t="n">
        <f aca="false">H6*(1+I5/100)</f>
        <v>26344.9603338902</v>
      </c>
      <c r="J6" s="0" t="n">
        <f aca="false">I6*(1+J5/100)</f>
        <v>27398.7587472458</v>
      </c>
      <c r="K6" s="0" t="n">
        <f aca="false">J6*(1+K5/100)</f>
        <v>28357.7153033994</v>
      </c>
      <c r="L6" s="0" t="n">
        <f aca="false">K6*(1+L5/100)</f>
        <v>29208.4467625014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15.4</v>
      </c>
      <c r="D7" s="4" t="n">
        <f aca="false">Assumptions!D42</f>
        <v>15.6</v>
      </c>
      <c r="E7" s="4" t="n">
        <f aca="false">Assumptions!E42</f>
        <v>15.8</v>
      </c>
      <c r="F7" s="4" t="n">
        <f aca="false">Assumptions!F42</f>
        <v>16</v>
      </c>
      <c r="G7" s="4" t="n">
        <f aca="false">Assumptions!G42</f>
        <v>16.2</v>
      </c>
      <c r="H7" s="4" t="n">
        <f aca="false">Assumptions!H42</f>
        <v>16.3</v>
      </c>
      <c r="I7" s="4" t="n">
        <f aca="false">Assumptions!I42</f>
        <v>16.3</v>
      </c>
      <c r="J7" s="4" t="n">
        <f aca="false">Assumptions!J42</f>
        <v>16.3</v>
      </c>
      <c r="K7" s="4" t="n">
        <f aca="false">Assumptions!K42</f>
        <v>16.3</v>
      </c>
      <c r="L7" s="4" t="n">
        <f aca="false">Assumptions!L42</f>
        <v>16.3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2901.48927761</v>
      </c>
      <c r="D8" s="0" t="n">
        <f aca="false">D6*D7/100</f>
        <v>3144.9129234978</v>
      </c>
      <c r="E8" s="0" t="n">
        <f aca="false">E6*E7/100</f>
        <v>3392.27242074984</v>
      </c>
      <c r="F8" s="0" t="n">
        <f aca="false">F6*F7/100</f>
        <v>3641.32533265299</v>
      </c>
      <c r="G8" s="0" t="n">
        <f aca="false">G6*G7/100</f>
        <v>3889.61820377327</v>
      </c>
      <c r="H8" s="0" t="n">
        <f aca="false">H6*H7/100</f>
        <v>4109.30960231972</v>
      </c>
      <c r="I8" s="0" t="n">
        <f aca="false">I6*I7/100</f>
        <v>4294.22853442411</v>
      </c>
      <c r="J8" s="0" t="n">
        <f aca="false">J6*J7/100</f>
        <v>4465.99767580107</v>
      </c>
      <c r="K8" s="0" t="n">
        <f aca="false">K6*K7/100</f>
        <v>4622.30759445411</v>
      </c>
      <c r="L8" s="0" t="n">
        <f aca="false">L6*L7/100</f>
        <v>4760.97682228773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-103.6246170575</v>
      </c>
      <c r="D10" s="0" t="n">
        <f aca="false">-D6*D9/100</f>
        <v>-110.878340251525</v>
      </c>
      <c r="E10" s="0" t="n">
        <f aca="false">-E6*E9/100</f>
        <v>-118.085432367874</v>
      </c>
      <c r="F10" s="0" t="n">
        <f aca="false">-F6*F9/100</f>
        <v>-125.170558309947</v>
      </c>
      <c r="G10" s="0" t="n">
        <f aca="false">-G6*G9/100</f>
        <v>-132.054939016994</v>
      </c>
      <c r="H10" s="0" t="n">
        <f aca="false">-H6*H9/100</f>
        <v>-138.657685967843</v>
      </c>
      <c r="I10" s="0" t="n">
        <f aca="false">-I6*I9/100</f>
        <v>-144.897281836396</v>
      </c>
      <c r="J10" s="0" t="n">
        <f aca="false">-J6*J9/100</f>
        <v>-150.693173109852</v>
      </c>
      <c r="K10" s="0" t="n">
        <f aca="false">-K6*K9/100</f>
        <v>-155.967434168697</v>
      </c>
      <c r="L10" s="0" t="n">
        <f aca="false">-L6*L9/100</f>
        <v>-160.646457193758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2797.8646605525</v>
      </c>
      <c r="D11" s="0" t="n">
        <f aca="false">D8+D10+D24</f>
        <v>3034.03458324628</v>
      </c>
      <c r="E11" s="0" t="n">
        <f aca="false">E8+E10+E24</f>
        <v>3274.18698838196</v>
      </c>
      <c r="F11" s="0" t="n">
        <f aca="false">F8+F10+F24</f>
        <v>3516.15477434304</v>
      </c>
      <c r="G11" s="0" t="n">
        <f aca="false">G8+G10+G24</f>
        <v>3757.56326475627</v>
      </c>
      <c r="H11" s="0" t="n">
        <f aca="false">H8+H10+H24</f>
        <v>3970.65191635188</v>
      </c>
      <c r="I11" s="0" t="n">
        <f aca="false">I8+I10+I24</f>
        <v>4149.33125258771</v>
      </c>
      <c r="J11" s="0" t="n">
        <f aca="false">J8+J10+J24</f>
        <v>4315.30450269122</v>
      </c>
      <c r="K11" s="0" t="n">
        <f aca="false">K8+K10+K24</f>
        <v>4466.34016028541</v>
      </c>
      <c r="L11" s="0" t="n">
        <f aca="false">L8+L10+L24</f>
        <v>4600.33036509398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-678.27022074</v>
      </c>
      <c r="D12" s="4" t="n">
        <f aca="false">-D6*Assumptions!D45/100</f>
        <v>-735.828985305575</v>
      </c>
      <c r="E12" s="4" t="n">
        <f aca="false">-E6*Assumptions!E45/100</f>
        <v>-794.392908656608</v>
      </c>
      <c r="F12" s="4" t="n">
        <f aca="false">-F6*Assumptions!F45/100</f>
        <v>-842.056483176004</v>
      </c>
      <c r="G12" s="4" t="n">
        <f aca="false">-G6*Assumptions!G45/100</f>
        <v>-888.369589750684</v>
      </c>
      <c r="H12" s="4" t="n">
        <f aca="false">-H6*Assumptions!H45/100</f>
        <v>-932.788069238219</v>
      </c>
      <c r="I12" s="4" t="n">
        <f aca="false">-I6*Assumptions!I45/100</f>
        <v>-974.763532353939</v>
      </c>
      <c r="J12" s="4" t="n">
        <f aca="false">-J6*Assumptions!J45/100</f>
        <v>-1013.7540736481</v>
      </c>
      <c r="K12" s="4" t="n">
        <f aca="false">-K6*Assumptions!K45/100</f>
        <v>-1049.23546622578</v>
      </c>
      <c r="L12" s="4" t="n">
        <f aca="false">-L6*Assumptions!L45/100</f>
        <v>-1080.71253021255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2119.5944398125</v>
      </c>
      <c r="D13" s="0" t="n">
        <f aca="false">D11+D12</f>
        <v>2298.2055979407</v>
      </c>
      <c r="E13" s="0" t="n">
        <f aca="false">E11+E12</f>
        <v>2479.79407972536</v>
      </c>
      <c r="F13" s="0" t="n">
        <f aca="false">F11+F12</f>
        <v>2674.09829116704</v>
      </c>
      <c r="G13" s="0" t="n">
        <f aca="false">G11+G12</f>
        <v>2869.19367500559</v>
      </c>
      <c r="H13" s="0" t="n">
        <f aca="false">H11+H12</f>
        <v>3037.86384711366</v>
      </c>
      <c r="I13" s="0" t="n">
        <f aca="false">I11+I12</f>
        <v>3174.56772023377</v>
      </c>
      <c r="J13" s="0" t="n">
        <f aca="false">J11+J12</f>
        <v>3301.55042904312</v>
      </c>
      <c r="K13" s="0" t="n">
        <f aca="false">K11+K12</f>
        <v>3417.10469405963</v>
      </c>
      <c r="L13" s="0" t="n">
        <f aca="false">L11+L12</f>
        <v>3519.61783488142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1600.29380205844</v>
      </c>
      <c r="D15" s="0" t="n">
        <f aca="false">D13-MAX(0,D13)*D14/100</f>
        <v>1735.14522644523</v>
      </c>
      <c r="E15" s="0" t="n">
        <f aca="false">E13-MAX(0,E13)*E14/100</f>
        <v>1872.24453019264</v>
      </c>
      <c r="F15" s="0" t="n">
        <f aca="false">F13-MAX(0,F13)*F14/100</f>
        <v>2018.94420983112</v>
      </c>
      <c r="G15" s="0" t="n">
        <f aca="false">G13-MAX(0,G13)*G14/100</f>
        <v>2166.24122462922</v>
      </c>
      <c r="H15" s="0" t="n">
        <f aca="false">H13-MAX(0,H13)*H14/100</f>
        <v>2293.58720457081</v>
      </c>
      <c r="I15" s="0" t="n">
        <f aca="false">I13-MAX(0,I13)*I14/100</f>
        <v>2396.7986287765</v>
      </c>
      <c r="J15" s="0" t="n">
        <f aca="false">J13-MAX(0,J13)*J14/100</f>
        <v>2492.67057392756</v>
      </c>
      <c r="K15" s="0" t="n">
        <f aca="false">K13-MAX(0,K13)*K14/100</f>
        <v>2579.91404401502</v>
      </c>
      <c r="L15" s="0" t="n">
        <f aca="false">L13-MAX(0,L13)*L14/100</f>
        <v>2657.31146533547</v>
      </c>
    </row>
    <row r="16" customFormat="false" ht="15" hidden="false" customHeight="false" outlineLevel="0" collapsed="false">
      <c r="A16" s="0" t="s">
        <v>127</v>
      </c>
      <c r="C16" s="0" t="n">
        <f aca="false">-C12</f>
        <v>678.27022074</v>
      </c>
      <c r="D16" s="0" t="n">
        <f aca="false">-D12</f>
        <v>735.828985305575</v>
      </c>
      <c r="E16" s="0" t="n">
        <f aca="false">-E12</f>
        <v>794.392908656608</v>
      </c>
      <c r="F16" s="0" t="n">
        <f aca="false">-F12</f>
        <v>842.056483176004</v>
      </c>
      <c r="G16" s="0" t="n">
        <f aca="false">-G12</f>
        <v>888.369589750684</v>
      </c>
      <c r="H16" s="0" t="n">
        <f aca="false">-H12</f>
        <v>932.788069238219</v>
      </c>
      <c r="I16" s="0" t="n">
        <f aca="false">-I12</f>
        <v>974.763532353939</v>
      </c>
      <c r="J16" s="0" t="n">
        <f aca="false">-J12</f>
        <v>1013.7540736481</v>
      </c>
      <c r="K16" s="0" t="n">
        <f aca="false">-K12</f>
        <v>1049.23546622578</v>
      </c>
      <c r="L16" s="0" t="n">
        <f aca="false">-L12</f>
        <v>1080.71253021255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-1017.40533111</v>
      </c>
      <c r="D17" s="4" t="n">
        <f aca="false">-D6*Assumptions!D46/100</f>
        <v>-1007.9849113775</v>
      </c>
      <c r="E17" s="4" t="n">
        <f aca="false">-E6*Assumptions!E46/100</f>
        <v>-1030.56377339236</v>
      </c>
      <c r="F17" s="4" t="n">
        <f aca="false">-F6*Assumptions!F46/100</f>
        <v>-1069.63931646682</v>
      </c>
      <c r="G17" s="4" t="n">
        <f aca="false">-G6*Assumptions!G46/100</f>
        <v>-1104.45948996031</v>
      </c>
      <c r="H17" s="4" t="n">
        <f aca="false">-H6*Assumptions!H46/100</f>
        <v>-1159.68246445833</v>
      </c>
      <c r="I17" s="4" t="n">
        <f aca="false">-I6*Assumptions!I46/100</f>
        <v>-1211.86817535895</v>
      </c>
      <c r="J17" s="4" t="n">
        <f aca="false">-J6*Assumptions!J46/100</f>
        <v>-1260.34290237331</v>
      </c>
      <c r="K17" s="4" t="n">
        <f aca="false">-K6*Assumptions!K46/100</f>
        <v>-1304.45490395637</v>
      </c>
      <c r="L17" s="4" t="n">
        <f aca="false">-L6*Assumptions!L46/100</f>
        <v>-1343.58855107507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-88.5606279</v>
      </c>
      <c r="D18" s="4" t="n">
        <f aca="false">(D6-C6)*Assumptions!$B$51/100</f>
        <v>-79.131525753</v>
      </c>
      <c r="E18" s="4" t="n">
        <f aca="false">(E6-D6)*Assumptions!$B$51/100</f>
        <v>-78.6228230874448</v>
      </c>
      <c r="F18" s="4" t="n">
        <f aca="false">(F6-E6)*Assumptions!$B$51/100</f>
        <v>-77.2922830044267</v>
      </c>
      <c r="G18" s="4" t="n">
        <f aca="false">(G6-F6)*Assumptions!$B$51/100</f>
        <v>-75.1023349859679</v>
      </c>
      <c r="H18" s="4" t="n">
        <f aca="false">(H6-G6)*Assumptions!$B$51/100</f>
        <v>-72.0299667365421</v>
      </c>
      <c r="I18" s="4" t="n">
        <f aca="false">(I6-H6)*Assumptions!$B$51/100</f>
        <v>-68.0683185660322</v>
      </c>
      <c r="J18" s="4" t="n">
        <f aca="false">(J6-I6)*Assumptions!$B$51/100</f>
        <v>-63.2279048013366</v>
      </c>
      <c r="K18" s="4" t="n">
        <f aca="false">(K6-J6)*Assumptions!$B$51/100</f>
        <v>-57.5373933692162</v>
      </c>
      <c r="L18" s="4" t="n">
        <f aca="false">(L6-K6)*Assumptions!$B$51/100</f>
        <v>-51.0438875461192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1172.59806378844</v>
      </c>
      <c r="D19" s="0" t="n">
        <f aca="false">D15+D16+D17+D18</f>
        <v>1383.8577746203</v>
      </c>
      <c r="E19" s="0" t="n">
        <f aca="false">E15+E16+E17+E18</f>
        <v>1557.45084236945</v>
      </c>
      <c r="F19" s="0" t="n">
        <f aca="false">F15+F16+F17+F18</f>
        <v>1714.06909353588</v>
      </c>
      <c r="G19" s="0" t="n">
        <f aca="false">G15+G16+G17+G18</f>
        <v>1875.04898943363</v>
      </c>
      <c r="H19" s="0" t="n">
        <f aca="false">H15+H16+H17+H18</f>
        <v>1994.66284261416</v>
      </c>
      <c r="I19" s="0" t="n">
        <f aca="false">I15+I16+I17+I18</f>
        <v>2091.62566720545</v>
      </c>
      <c r="J19" s="0" t="n">
        <f aca="false">J15+J16+J17+J18</f>
        <v>2182.85384040101</v>
      </c>
      <c r="K19" s="0" t="n">
        <f aca="false">K15+K16+K17+K18</f>
        <v>2267.15721291521</v>
      </c>
      <c r="L19" s="0" t="n">
        <f aca="false">L15+L16+L17+L18</f>
        <v>2343.39155692684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1085.73894795226</v>
      </c>
      <c r="D21" s="0" t="n">
        <f aca="false">D19*D20</f>
        <v>1186.43499195842</v>
      </c>
      <c r="E21" s="0" t="n">
        <f aca="false">E19*E20</f>
        <v>1236.35469247689</v>
      </c>
      <c r="F21" s="0" t="n">
        <f aca="false">F19*F20</f>
        <v>1259.89195350463</v>
      </c>
      <c r="G21" s="0" t="n">
        <f aca="false">G19*G20</f>
        <v>1276.12683582365</v>
      </c>
      <c r="H21" s="0" t="n">
        <f aca="false">H19*H20</f>
        <v>1256.97593928776</v>
      </c>
      <c r="I21" s="0" t="n">
        <f aca="false">I19*I20</f>
        <v>1220.44348729813</v>
      </c>
      <c r="J21" s="0" t="n">
        <f aca="false">J19*J20</f>
        <v>1179.32800938431</v>
      </c>
      <c r="K21" s="0" t="n">
        <f aca="false">K19*K20</f>
        <v>1134.14305408547</v>
      </c>
      <c r="L21" s="0" t="n">
        <f aca="false">L19*L20</f>
        <v>1085.44370920114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11920.8816209727</v>
      </c>
    </row>
    <row r="31" customFormat="false" ht="15" hidden="false" customHeight="false" outlineLevel="0" collapsed="false">
      <c r="A31" s="0" t="s">
        <v>136</v>
      </c>
      <c r="B31" s="0" t="n">
        <f aca="false">L19</f>
        <v>2343.39155692684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48273.8660726929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35150.8733539026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35150.8733539026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16281.6556380171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28202.5372589898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22527.6042589898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376.024107143879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1.14785004366184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872.399325688804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1532.85409283409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416.171885787226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20114.1108636221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131.618797450122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135.122236647758</v>
      </c>
      <c r="C4" s="0" t="n">
        <f aca="false">B4/Assumptions!$B$2-1</f>
        <v>-0.22818166077707</v>
      </c>
      <c r="D4" s="4" t="n">
        <f aca="false">Assumptions!$B$24</f>
        <v>0.25</v>
      </c>
      <c r="E4" s="4" t="n">
        <f aca="false">DCF_Bear!$B$43</f>
        <v>164.504698255241</v>
      </c>
      <c r="F4" s="4" t="n">
        <f aca="false">DCF_Bear!$B$47</f>
        <v>34.2328362767062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264.531448436671</v>
      </c>
      <c r="C5" s="0" t="n">
        <f aca="false">B5/Assumptions!$B$2-1</f>
        <v>0.511003875230886</v>
      </c>
      <c r="D5" s="4" t="n">
        <f aca="false">Assumptions!$B$38</f>
        <v>0.5</v>
      </c>
      <c r="E5" s="4" t="n">
        <f aca="false">DCF_Base!$B$43</f>
        <v>299.904694180752</v>
      </c>
      <c r="F5" s="4" t="n">
        <f aca="false">DCF_Base!$B$47</f>
        <v>85.8591287064197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376.024107143879</v>
      </c>
      <c r="C6" s="0" t="n">
        <f aca="false">B6/Assumptions!$B$2-1</f>
        <v>1.14785004366184</v>
      </c>
      <c r="D6" s="4" t="n">
        <f aca="false">Assumptions!$B$52</f>
        <v>0.25</v>
      </c>
      <c r="E6" s="4" t="n">
        <f aca="false">DCF_Bull!$B$43</f>
        <v>416.171885787226</v>
      </c>
      <c r="F6" s="4" t="n">
        <f aca="false">DCF_Bull!$B$47</f>
        <v>131.618797450122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260.052310166245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295.121493100993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0.326789291400326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-242.327602340691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84.392472784917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264.531448436671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239.611040414895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212.994989068421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175.474670658898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145.91440352086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85.8591287064197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321.914277937532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321.914277937532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321.914277937532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321.914277937532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321.914277937532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291.875163175178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291.875163175178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291.875163175178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291.875163175178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291.875163175178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264.531448436671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264.531448436671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264.531448436671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264.531448436671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264.531448436671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233.664418004536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239.611040414895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239.611040414895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239.611040414895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239.611040414895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192.926521723451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202.333615791406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212.994989068421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216.871852078245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216.871852078245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2026-10-02T10:02:53Z</dcterms:created>
  <dc:creator>openpyxl</dc:creator>
  <dc:description/>
  <dc:language>en-NZ</dc:language>
  <cp:lastModifiedBy/>
  <dcterms:modified xsi:type="dcterms:W3CDTF">2026-10-02T10:02:53Z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