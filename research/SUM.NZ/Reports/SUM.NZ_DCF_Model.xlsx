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Base" sheetId="3" state="visible" r:id="rId3"/>
    <sheet xmlns:r="http://schemas.openxmlformats.org/officeDocument/2006/relationships" name="Bull" sheetId="4" state="visible" r:id="rId4"/>
    <sheet xmlns:r="http://schemas.openxmlformats.org/officeDocument/2006/relationships" name="Bear" sheetId="5" state="visible" r:id="rId5"/>
    <sheet xmlns:r="http://schemas.openxmlformats.org/officeDocument/2006/relationships" name="Sensitivity"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6">
    <font>
      <name val="Calibri"/>
      <family val="2"/>
      <color theme="1"/>
      <sz val="11"/>
      <scheme val="minor"/>
    </font>
    <font>
      <b val="1"/>
      <sz val="14"/>
    </font>
    <font>
      <i val="1"/>
    </font>
    <font>
      <b val="1"/>
    </font>
    <font>
      <b val="1"/>
      <sz val="13"/>
    </font>
    <font>
      <b val="1"/>
      <color rgb="00FFFFFF"/>
    </font>
  </fonts>
  <fills count="4">
    <fill>
      <patternFill/>
    </fill>
    <fill>
      <patternFill patternType="gray125"/>
    </fill>
    <fill>
      <patternFill patternType="solid">
        <fgColor rgb="00FFF2CC"/>
      </patternFill>
    </fill>
    <fill>
      <patternFill patternType="solid">
        <fgColor rgb="001F4E7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4" fontId="0" fillId="0" borderId="0" pivotButton="0" quotePrefix="0" xfId="0"/>
    <xf numFmtId="0" fontId="5" fillId="3" borderId="0" pivotButton="0" quotePrefix="0" xfId="0"/>
    <xf numFmtId="9" fontId="0" fillId="0" borderId="0" pivotButton="0" quotePrefix="0" xfId="0"/>
    <xf numFmtId="164" fontId="0" fillId="0" borderId="0" pivotButton="0" quotePrefix="0" xfId="0"/>
    <xf numFmtId="0" fontId="3" fillId="0" borderId="0" pivotButton="0" quotePrefix="0" xfId="0"/>
    <xf numFmtId="4" fontId="3"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0" pivotButton="0" quotePrefix="0" xfId="0"/>
    <xf numFmtId="0" fontId="4" fillId="0" borderId="0" pivotButton="0" quotePrefix="0" xfId="0"/>
    <xf numFmtId="165" fontId="0"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16" customWidth="1" min="5" max="5"/>
  </cols>
  <sheetData>
    <row r="1">
      <c r="A1" s="1" t="inlineStr">
        <is>
          <t>SUM.NZ — DCF Summary</t>
        </is>
      </c>
    </row>
    <row r="3">
      <c r="A3" t="inlineStr">
        <is>
          <t>Current price (NZD)</t>
        </is>
      </c>
      <c r="B3" s="2">
        <f>Assumptions!$B$17</f>
        <v/>
      </c>
    </row>
    <row r="4">
      <c r="A4" t="inlineStr">
        <is>
          <t>Valuation date</t>
        </is>
      </c>
      <c r="B4" t="inlineStr">
        <is>
          <t>2026-08-28</t>
        </is>
      </c>
    </row>
    <row r="6">
      <c r="A6" s="3" t="inlineStr">
        <is>
          <t>Scenario</t>
        </is>
      </c>
      <c r="B6" s="3" t="inlineStr">
        <is>
          <t>Weight</t>
        </is>
      </c>
      <c r="C6" s="3" t="inlineStr">
        <is>
          <t>Intrinsic Value (NZD)</t>
        </is>
      </c>
      <c r="D6" s="3" t="inlineStr">
        <is>
          <t>Upside %</t>
        </is>
      </c>
      <c r="E6" s="3" t="inlineStr">
        <is>
          <t>Entry @15% (NZD)</t>
        </is>
      </c>
    </row>
    <row r="7">
      <c r="A7" t="inlineStr">
        <is>
          <t>Bull</t>
        </is>
      </c>
      <c r="B7" s="4" t="n">
        <v>0.2</v>
      </c>
      <c r="C7" s="2">
        <f>Bull!$B$30</f>
        <v/>
      </c>
      <c r="D7" s="5">
        <f>(C7/$B$3-1)*100</f>
        <v/>
      </c>
      <c r="E7" s="2">
        <f>Bull!$B$39</f>
        <v/>
      </c>
    </row>
    <row r="8">
      <c r="A8" t="inlineStr">
        <is>
          <t>Base</t>
        </is>
      </c>
      <c r="B8" s="4" t="n">
        <v>0.5</v>
      </c>
      <c r="C8" s="2">
        <f>Base!$B$30</f>
        <v/>
      </c>
      <c r="D8" s="5">
        <f>(C8/$B$3-1)*100</f>
        <v/>
      </c>
      <c r="E8" s="2">
        <f>Base!$B$39</f>
        <v/>
      </c>
    </row>
    <row r="9">
      <c r="A9" t="inlineStr">
        <is>
          <t>Bear</t>
        </is>
      </c>
      <c r="B9" s="4" t="n">
        <v>0.3</v>
      </c>
      <c r="C9" s="2">
        <f>Bear!$B$30</f>
        <v/>
      </c>
      <c r="D9" s="5">
        <f>(C9/$B$3-1)*100</f>
        <v/>
      </c>
      <c r="E9" s="2">
        <f>Bear!$B$39</f>
        <v/>
      </c>
    </row>
    <row r="10">
      <c r="A10" s="6" t="inlineStr">
        <is>
          <t>Prob-weighted</t>
        </is>
      </c>
      <c r="B10" s="4">
        <f>SUM(B7:B9)</f>
        <v/>
      </c>
      <c r="C10" s="7">
        <f>SUMPRODUCT(B7:B9,C7:C9)</f>
        <v/>
      </c>
      <c r="D10" s="5">
        <f>(C10/$B$3-1)*100</f>
        <v/>
      </c>
      <c r="E10" s="2">
        <f>SUMPRODUCT(B7:B9,E7:E9)</f>
        <v/>
      </c>
    </row>
    <row r="12">
      <c r="A12" t="inlineStr">
        <is>
          <t>NTA / share (NZD)</t>
        </is>
      </c>
      <c r="B12" s="2">
        <f>Assumptions!$B$16</f>
        <v/>
      </c>
    </row>
    <row r="13">
      <c r="A13" t="inlineStr">
        <is>
          <t>Price / NTA</t>
        </is>
      </c>
      <c r="B13" s="2">
        <f>$B$3/Assumptions!$B$16</f>
        <v/>
      </c>
    </row>
    <row r="14">
      <c r="A14" t="inlineStr">
        <is>
          <t>Weighted IV / NTA</t>
        </is>
      </c>
      <c r="B14" s="2">
        <f>C10/Assumptions!$B$16</f>
        <v/>
      </c>
    </row>
    <row r="16">
      <c r="A16" s="6" t="inlineStr">
        <is>
          <t>Reconciliation vs prior DCF (2026-06-30)</t>
        </is>
      </c>
    </row>
    <row r="17">
      <c r="A17" t="inlineStr">
        <is>
          <t>Prior weighted IV (2026-06-30)</t>
        </is>
      </c>
      <c r="B17" s="2" t="n">
        <v>16.81</v>
      </c>
    </row>
    <row r="18">
      <c r="A18" t="inlineStr">
        <is>
          <t>Share count refreshed 242.361m -&gt; 243.483m (dividend reinvestment plan)</t>
        </is>
      </c>
      <c r="B18" s="2" t="n">
        <v>-0.07000000000000001</v>
      </c>
    </row>
    <row r="19">
      <c r="A19" t="inlineStr">
        <is>
          <t>Methodology: single growth rate on UP -&gt; component build (deliveries x margin/unit + resales x gain/resale + core op)</t>
        </is>
      </c>
      <c r="B19" s="2" t="n">
        <v>0.15</v>
      </c>
    </row>
    <row r="20">
      <c r="A20" t="inlineStr">
        <is>
          <t>H1-2026 evidence: build rate capped at 600-700/yr, development margin compression to 20%, partly offset by improving core operating earnings and resale gains</t>
        </is>
      </c>
      <c r="B20" s="2" t="n">
        <v>-3.25</v>
      </c>
    </row>
    <row r="21">
      <c r="A21" t="inlineStr">
        <is>
          <t>Scenario weights 25/50/25 -&gt; 30/50/20</t>
        </is>
      </c>
      <c r="B21" s="2" t="n">
        <v>-0.74</v>
      </c>
    </row>
    <row r="22">
      <c r="A22" t="inlineStr">
        <is>
          <t>New weighted IV</t>
        </is>
      </c>
      <c r="B22" s="2" t="n">
        <v>12.9</v>
      </c>
    </row>
    <row r="24">
      <c r="A24" s="6" t="inlineStr">
        <is>
          <t>Methodology</t>
        </is>
      </c>
    </row>
    <row r="25" ht="20" customHeight="1">
      <c r="A25" s="8" t="inlineStr">
        <is>
          <t>FCF proxy is UNDERLYING PROFIT, NOT operating cash flow. For ORA/DMF retirement village operators, reported operating cash flow ($279.9m in 1H26) is inflated by resident occupation-right receipts, which are capital/financing inflows the company must continuously redeploy into new units. Underlying Profit is discounted at the cost of EQUITY (it is already after finance costs, so net debt is NOT subtracted again) with an exit-P/E cap tied to the 10yr realised range. UPDATE 2026-08-28: Underlying Profit is now built COMPONENT-WISE (development margin = deliveries x margin/unit; resale gains = resale volume x gain/resale; plus core operating earnings) rather than grown at a single rate. This was required because the H1-2026 result changed the two components in opposite directions and a single growth rate cannot express that.</t>
        </is>
      </c>
    </row>
    <row r="26"/>
    <row r="27"/>
    <row r="28"/>
    <row r="29"/>
    <row r="30"/>
    <row r="31"/>
    <row r="32"/>
  </sheetData>
  <mergeCells count="1">
    <mergeCell ref="A25:F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4" customWidth="1" min="1" max="1"/>
    <col width="16" customWidth="1" min="2" max="2"/>
  </cols>
  <sheetData>
    <row r="1">
      <c r="A1" s="1" t="inlineStr">
        <is>
          <t>Summerset Group (SUM.NZ) — DCF Model</t>
        </is>
      </c>
    </row>
    <row r="2">
      <c r="A2" t="inlineStr">
        <is>
          <t>Valuation date 2026-08-28  |  Price NZD 8.49  |  2026-08-28T00:48:19Z (2026-08-28 12:48 NZST), Yahoo regularMarketPrice, regular session</t>
        </is>
      </c>
    </row>
    <row r="3">
      <c r="A3" t="inlineStr">
        <is>
          <t>FCF basis: UNDERLYING PROFIT (not operating cash flow). Discounted at cost of EQUITY; net debt NOT subtracted (UP is post-finance-cost).</t>
        </is>
      </c>
    </row>
    <row r="4">
      <c r="A4" s="9" t="inlineStr">
        <is>
          <t>Yellow cells are inputs. Every other number on Base/Bull/Bear/Summary is a live formula.</t>
        </is>
      </c>
    </row>
    <row r="6">
      <c r="A6" s="6" t="inlineStr">
        <is>
          <t>Inputs</t>
        </is>
      </c>
    </row>
    <row r="7">
      <c r="A7" t="inlineStr">
        <is>
          <t>Shares outstanding (m)</t>
        </is>
      </c>
      <c r="B7" s="10" t="n">
        <v>243.483</v>
      </c>
    </row>
    <row r="8">
      <c r="A8" t="inlineStr">
        <is>
          <t>Total debt (NZDm)</t>
        </is>
      </c>
      <c r="B8" s="10" t="n">
        <v>2074.831</v>
      </c>
    </row>
    <row r="9">
      <c r="A9" t="inlineStr">
        <is>
          <t>Cash (NZDm)</t>
        </is>
      </c>
      <c r="B9" s="10" t="n">
        <v>14.099</v>
      </c>
    </row>
    <row r="10">
      <c r="A10" t="inlineStr">
        <is>
          <t>Net debt (NZDm)</t>
        </is>
      </c>
      <c r="B10" s="10" t="n">
        <v>2058</v>
      </c>
    </row>
    <row r="11">
      <c r="A11" t="inlineStr">
        <is>
          <t>Gearing %</t>
        </is>
      </c>
      <c r="B11" s="10" t="n">
        <v>36.9</v>
      </c>
    </row>
    <row r="12">
      <c r="A12" t="inlineStr">
        <is>
          <t>1H2026 Underlying Profit (NZDm)</t>
        </is>
      </c>
      <c r="B12" s="10" t="n">
        <v>103.445</v>
      </c>
    </row>
    <row r="13">
      <c r="A13" t="inlineStr">
        <is>
          <t>1H2025 Underlying Profit (NZDm)</t>
        </is>
      </c>
      <c r="B13" s="10" t="n">
        <v>106.608</v>
      </c>
    </row>
    <row r="14">
      <c r="A14" t="inlineStr">
        <is>
          <t>FY2025 Underlying Profit (NZDm)</t>
        </is>
      </c>
      <c r="B14" s="10" t="n">
        <v>234.153</v>
      </c>
    </row>
    <row r="15">
      <c r="A15" t="inlineStr">
        <is>
          <t>1H2026 NPAT NZ IFRS (NZDm)</t>
        </is>
      </c>
      <c r="B15" s="10" t="n">
        <v>171.439</v>
      </c>
    </row>
    <row r="16">
      <c r="A16" t="inlineStr">
        <is>
          <t>NTA per share (NZD)</t>
        </is>
      </c>
      <c r="B16" s="10" t="n">
        <v>14.4133</v>
      </c>
    </row>
    <row r="17">
      <c r="A17" t="inlineStr">
        <is>
          <t>Current price (NZD)</t>
        </is>
      </c>
      <c r="B17" s="10" t="n">
        <v>8.49</v>
      </c>
    </row>
    <row r="19">
      <c r="A19" s="9" t="inlineStr">
        <is>
          <t>Note: NTA is reported in CENTS in the filing (1,441.33) = NZD 14.4133.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s>
  <sheetData>
    <row r="1">
      <c r="A1" s="11" t="inlineStr">
        <is>
          <t>Base Case</t>
        </is>
      </c>
    </row>
    <row r="2" ht="64" customHeight="1">
      <c r="A2" s="8" t="inlineStr">
        <is>
          <t>Build rate held at management's 600-700/yr cap: new sales converge from FY25's 805 (which drew down completed stock) to ~655. Development margin per unit recovers from 1H26's depressed $142k toward the $186k ex-Cambridge/Whangarei normalised level as the lightweight-design buildings clear, consistent with 20-25% guidance. Resale gains compound with the maturing installed base ($2.0b embedded value). Core operating earnings turn positive by Y3 on the $30-40m cost-out programme and occupancy ramp. Cost of equity 11%.</t>
        </is>
      </c>
    </row>
    <row r="4">
      <c r="A4" t="inlineStr">
        <is>
          <t>Cost of equity (%)</t>
        </is>
      </c>
      <c r="B4" s="10" t="n">
        <v>11</v>
      </c>
    </row>
    <row r="5">
      <c r="A5" t="inlineStr">
        <is>
          <t>Terminal growth (%)</t>
        </is>
      </c>
      <c r="B5" s="10" t="n">
        <v>3</v>
      </c>
    </row>
    <row r="6">
      <c r="A6" t="inlineStr">
        <is>
          <t>Exit P/E cap (x)</t>
        </is>
      </c>
      <c r="B6" s="10" t="n">
        <v>14.9</v>
      </c>
    </row>
    <row r="8">
      <c r="A8" s="3" t="inlineStr">
        <is>
          <t>Driver</t>
        </is>
      </c>
      <c r="B8" s="3" t="inlineStr">
        <is>
          <t>Y1</t>
        </is>
      </c>
      <c r="C8" s="3" t="inlineStr">
        <is>
          <t>Y2</t>
        </is>
      </c>
      <c r="D8" s="3" t="inlineStr">
        <is>
          <t>Y3</t>
        </is>
      </c>
      <c r="E8" s="3" t="inlineStr">
        <is>
          <t>Y4</t>
        </is>
      </c>
      <c r="F8" s="3" t="inlineStr">
        <is>
          <t>Y5</t>
        </is>
      </c>
    </row>
    <row r="9">
      <c r="A9" s="6" t="inlineStr">
        <is>
          <t>Deliveries (units)</t>
        </is>
      </c>
      <c r="B9" s="10" t="n">
        <v>780</v>
      </c>
      <c r="C9" s="10" t="n">
        <v>720</v>
      </c>
      <c r="D9" s="10" t="n">
        <v>680</v>
      </c>
      <c r="E9" s="10" t="n">
        <v>660</v>
      </c>
      <c r="F9" s="10" t="n">
        <v>655</v>
      </c>
    </row>
    <row r="10">
      <c r="A10" s="6" t="inlineStr">
        <is>
          <t>Dev margin per unit (NZD k)</t>
        </is>
      </c>
      <c r="B10" s="10" t="n">
        <v>155</v>
      </c>
      <c r="C10" s="10" t="n">
        <v>165</v>
      </c>
      <c r="D10" s="10" t="n">
        <v>172</v>
      </c>
      <c r="E10" s="10" t="n">
        <v>178</v>
      </c>
      <c r="F10" s="10" t="n">
        <v>182</v>
      </c>
    </row>
    <row r="11">
      <c r="A11" s="6" t="inlineStr">
        <is>
          <t>Resales (units)</t>
        </is>
      </c>
      <c r="B11" s="10" t="n">
        <v>830</v>
      </c>
      <c r="C11" s="10" t="n">
        <v>875</v>
      </c>
      <c r="D11" s="10" t="n">
        <v>920</v>
      </c>
      <c r="E11" s="10" t="n">
        <v>965</v>
      </c>
      <c r="F11" s="10" t="n">
        <v>1010</v>
      </c>
    </row>
    <row r="12">
      <c r="A12" s="6" t="inlineStr">
        <is>
          <t>Resale gain per resale (NZD k)</t>
        </is>
      </c>
      <c r="B12" s="10" t="n">
        <v>139</v>
      </c>
      <c r="C12" s="10" t="n">
        <v>143</v>
      </c>
      <c r="D12" s="10" t="n">
        <v>147</v>
      </c>
      <c r="E12" s="10" t="n">
        <v>152</v>
      </c>
      <c r="F12" s="10" t="n">
        <v>157</v>
      </c>
    </row>
    <row r="13">
      <c r="A13" s="6" t="inlineStr">
        <is>
          <t>Core operating earnings (NZDm)</t>
        </is>
      </c>
      <c r="B13" s="10" t="n">
        <v>-14</v>
      </c>
      <c r="C13" s="10" t="n">
        <v>-6</v>
      </c>
      <c r="D13" s="10" t="n">
        <v>1</v>
      </c>
      <c r="E13" s="10" t="n">
        <v>7</v>
      </c>
      <c r="F13" s="10" t="n">
        <v>12</v>
      </c>
    </row>
    <row r="15">
      <c r="A15" s="3" t="inlineStr">
        <is>
          <t>Underlying Profit build</t>
        </is>
      </c>
      <c r="B15" s="3" t="inlineStr">
        <is>
          <t>Y1</t>
        </is>
      </c>
      <c r="C15" s="3" t="inlineStr">
        <is>
          <t>Y2</t>
        </is>
      </c>
      <c r="D15" s="3" t="inlineStr">
        <is>
          <t>Y3</t>
        </is>
      </c>
      <c r="E15" s="3" t="inlineStr">
        <is>
          <t>Y4</t>
        </is>
      </c>
      <c r="F15" s="3" t="inlineStr">
        <is>
          <t>Y5</t>
        </is>
      </c>
    </row>
    <row r="16">
      <c r="A16" t="inlineStr">
        <is>
          <t>Development margin (NZDm)</t>
        </is>
      </c>
      <c r="B16" s="5">
        <f>B9*B10/1000</f>
        <v/>
      </c>
      <c r="C16" s="5">
        <f>C9*C10/1000</f>
        <v/>
      </c>
      <c r="D16" s="5">
        <f>D9*D10/1000</f>
        <v/>
      </c>
      <c r="E16" s="5">
        <f>E9*E10/1000</f>
        <v/>
      </c>
      <c r="F16" s="5">
        <f>F9*F10/1000</f>
        <v/>
      </c>
    </row>
    <row r="17">
      <c r="A17" t="inlineStr">
        <is>
          <t>Realised resale gains (NZDm)</t>
        </is>
      </c>
      <c r="B17" s="5">
        <f>B11*B12/1000</f>
        <v/>
      </c>
      <c r="C17" s="5">
        <f>C11*C12/1000</f>
        <v/>
      </c>
      <c r="D17" s="5">
        <f>D11*D12/1000</f>
        <v/>
      </c>
      <c r="E17" s="5">
        <f>E11*E12/1000</f>
        <v/>
      </c>
      <c r="F17" s="5">
        <f>F11*F12/1000</f>
        <v/>
      </c>
    </row>
    <row r="18">
      <c r="A18" s="6" t="inlineStr">
        <is>
          <t>UNDERLYING PROFIT (NZDm)</t>
        </is>
      </c>
      <c r="B18" s="5">
        <f>B16+B17+B13</f>
        <v/>
      </c>
      <c r="C18" s="5">
        <f>C16+C17+C13</f>
        <v/>
      </c>
      <c r="D18" s="5">
        <f>D16+D17+D13</f>
        <v/>
      </c>
      <c r="E18" s="5">
        <f>E16+E17+E13</f>
        <v/>
      </c>
      <c r="F18" s="5">
        <f>F16+F17+F13</f>
        <v/>
      </c>
    </row>
    <row r="19">
      <c r="A19" t="inlineStr">
        <is>
          <t>Discount factor</t>
        </is>
      </c>
      <c r="B19" s="12">
        <f>1/(1+$B$4/100)^1</f>
        <v/>
      </c>
      <c r="C19" s="12">
        <f>1/(1+$B$4/100)^2</f>
        <v/>
      </c>
      <c r="D19" s="12">
        <f>1/(1+$B$4/100)^3</f>
        <v/>
      </c>
      <c r="E19" s="12">
        <f>1/(1+$B$4/100)^4</f>
        <v/>
      </c>
      <c r="F19" s="12">
        <f>1/(1+$B$4/100)^5</f>
        <v/>
      </c>
    </row>
    <row r="20">
      <c r="A20" t="inlineStr">
        <is>
          <t>PV of Underlying Profit</t>
        </is>
      </c>
      <c r="B20" s="5">
        <f>B18*B19</f>
        <v/>
      </c>
      <c r="C20" s="5">
        <f>C18*C19</f>
        <v/>
      </c>
      <c r="D20" s="5">
        <f>D18*D19</f>
        <v/>
      </c>
      <c r="E20" s="5">
        <f>E18*E19</f>
        <v/>
      </c>
      <c r="F20" s="5">
        <f>F18*F19</f>
        <v/>
      </c>
    </row>
    <row r="22">
      <c r="A22" t="inlineStr">
        <is>
          <t>Sum PV of explicit UP</t>
        </is>
      </c>
      <c r="B22" s="5">
        <f>SUM(B20:F20)</f>
        <v/>
      </c>
    </row>
    <row r="23">
      <c r="A23" t="inlineStr">
        <is>
          <t>Terminal UP (Y5 x (1+g))</t>
        </is>
      </c>
      <c r="B23" s="5">
        <f>F18*(1+$B$5/100)</f>
        <v/>
      </c>
    </row>
    <row r="24">
      <c r="A24" t="inlineStr">
        <is>
          <t>TV — Gordon growth</t>
        </is>
      </c>
      <c r="B24" s="5">
        <f>$B$23/(($B$4-$B$5)/100)</f>
        <v/>
      </c>
    </row>
    <row r="25">
      <c r="A25" t="inlineStr">
        <is>
          <t>TV — exit P/E cap</t>
        </is>
      </c>
      <c r="B25" s="5">
        <f>F18*$B$6</f>
        <v/>
      </c>
    </row>
    <row r="26">
      <c r="A26" s="6" t="inlineStr">
        <is>
          <t>Terminal value (lesser)</t>
        </is>
      </c>
      <c r="B26" s="13">
        <f>MIN($B$24,$B$25)</f>
        <v/>
      </c>
    </row>
    <row r="27">
      <c r="A27" t="inlineStr">
        <is>
          <t>Exit P/E cap binding?</t>
        </is>
      </c>
      <c r="B27">
        <f>IF($B$25&lt;$B$24,"YES","no — Gordon binds")</f>
        <v/>
      </c>
    </row>
    <row r="28">
      <c r="A28" t="inlineStr">
        <is>
          <t>PV of terminal value</t>
        </is>
      </c>
      <c r="B28" s="5">
        <f>$B$26*F19</f>
        <v/>
      </c>
    </row>
    <row r="29">
      <c r="A29" s="6" t="inlineStr">
        <is>
          <t>EQUITY VALUE (NZDm)</t>
        </is>
      </c>
      <c r="B29" s="13">
        <f>$B$22+$B$28</f>
        <v/>
      </c>
    </row>
    <row r="30">
      <c r="A30" s="6" t="inlineStr">
        <is>
          <t>INTRINSIC VALUE / SHARE (NZD)</t>
        </is>
      </c>
      <c r="B30" s="7">
        <f>$B$29/Assumptions!$B$7</f>
        <v/>
      </c>
    </row>
    <row r="31">
      <c r="A31" t="inlineStr">
        <is>
          <t>Upside vs current price %</t>
        </is>
      </c>
      <c r="B31" s="5">
        <f>($B$30/Assumptions!$B$17-1)*100</f>
        <v/>
      </c>
    </row>
    <row r="32">
      <c r="A32" t="inlineStr">
        <is>
          <t>Terminal % of value</t>
        </is>
      </c>
      <c r="B32" s="5">
        <f>$B$28/$B$29*100</f>
        <v/>
      </c>
    </row>
    <row r="33">
      <c r="A33" t="inlineStr">
        <is>
          <t>Implied P/UP on Y1</t>
        </is>
      </c>
      <c r="B33" s="5">
        <f>$B$29/B18</f>
        <v/>
      </c>
    </row>
    <row r="34">
      <c r="A34" t="inlineStr">
        <is>
          <t>IV / NTA (x)</t>
        </is>
      </c>
      <c r="B34" s="2">
        <f>$B$30/Assumptions!$B$16</f>
        <v/>
      </c>
    </row>
    <row r="36">
      <c r="A36" s="6" t="inlineStr">
        <is>
          <t>Entry price at 15% hurdle</t>
        </is>
      </c>
    </row>
    <row r="37">
      <c r="A37" t="inlineStr">
        <is>
          <t>PV interim UP @15%</t>
        </is>
      </c>
      <c r="B37" s="5">
        <f>B18/1.15^1+C18/1.15^2+D18/1.15^3+E18/1.15^4+F18/1.15^5</f>
        <v/>
      </c>
    </row>
    <row r="38">
      <c r="A38" t="inlineStr">
        <is>
          <t>PV terminal @15%</t>
        </is>
      </c>
      <c r="B38" s="5">
        <f>$B$26/1.15^5</f>
        <v/>
      </c>
    </row>
    <row r="39">
      <c r="A39" s="6" t="inlineStr">
        <is>
          <t>ENTRY PRICE (NZD)</t>
        </is>
      </c>
      <c r="B39" s="7">
        <f>($B$37+$B$38)/Assumptions!$B$7</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s>
  <sheetData>
    <row r="1">
      <c r="A1" s="11" t="inlineStr">
        <is>
          <t>Bull Case</t>
        </is>
      </c>
    </row>
    <row r="2" ht="64" customHeight="1">
      <c r="A2" s="8" t="inlineStr">
        <is>
          <t>NZ property recovers, resale velocity and ORA pricing lift, land bank optionality lets Summerset reaccelerate deliveries toward 850 (management explicitly retains this option), margins return to 25%+, Australia scales to three villages. Core operating earnings inflect strongly on operating leverage. Cost of equity 10%, exit P/E capped at 22x.</t>
        </is>
      </c>
    </row>
    <row r="4">
      <c r="A4" t="inlineStr">
        <is>
          <t>Cost of equity (%)</t>
        </is>
      </c>
      <c r="B4" s="10" t="n">
        <v>10</v>
      </c>
    </row>
    <row r="5">
      <c r="A5" t="inlineStr">
        <is>
          <t>Terminal growth (%)</t>
        </is>
      </c>
      <c r="B5" s="10" t="n">
        <v>3.5</v>
      </c>
    </row>
    <row r="6">
      <c r="A6" t="inlineStr">
        <is>
          <t>Exit P/E cap (x)</t>
        </is>
      </c>
      <c r="B6" s="10" t="n">
        <v>22</v>
      </c>
    </row>
    <row r="8">
      <c r="A8" s="3" t="inlineStr">
        <is>
          <t>Driver</t>
        </is>
      </c>
      <c r="B8" s="3" t="inlineStr">
        <is>
          <t>Y1</t>
        </is>
      </c>
      <c r="C8" s="3" t="inlineStr">
        <is>
          <t>Y2</t>
        </is>
      </c>
      <c r="D8" s="3" t="inlineStr">
        <is>
          <t>Y3</t>
        </is>
      </c>
      <c r="E8" s="3" t="inlineStr">
        <is>
          <t>Y4</t>
        </is>
      </c>
      <c r="F8" s="3" t="inlineStr">
        <is>
          <t>Y5</t>
        </is>
      </c>
    </row>
    <row r="9">
      <c r="A9" s="6" t="inlineStr">
        <is>
          <t>Deliveries (units)</t>
        </is>
      </c>
      <c r="B9" s="10" t="n">
        <v>800</v>
      </c>
      <c r="C9" s="10" t="n">
        <v>780</v>
      </c>
      <c r="D9" s="10" t="n">
        <v>800</v>
      </c>
      <c r="E9" s="10" t="n">
        <v>830</v>
      </c>
      <c r="F9" s="10" t="n">
        <v>850</v>
      </c>
    </row>
    <row r="10">
      <c r="A10" s="6" t="inlineStr">
        <is>
          <t>Dev margin per unit (NZD k)</t>
        </is>
      </c>
      <c r="B10" s="10" t="n">
        <v>165</v>
      </c>
      <c r="C10" s="10" t="n">
        <v>185</v>
      </c>
      <c r="D10" s="10" t="n">
        <v>200</v>
      </c>
      <c r="E10" s="10" t="n">
        <v>210</v>
      </c>
      <c r="F10" s="10" t="n">
        <v>218</v>
      </c>
    </row>
    <row r="11">
      <c r="A11" s="6" t="inlineStr">
        <is>
          <t>Resales (units)</t>
        </is>
      </c>
      <c r="B11" s="10" t="n">
        <v>850</v>
      </c>
      <c r="C11" s="10" t="n">
        <v>910</v>
      </c>
      <c r="D11" s="10" t="n">
        <v>975</v>
      </c>
      <c r="E11" s="10" t="n">
        <v>1040</v>
      </c>
      <c r="F11" s="10" t="n">
        <v>1100</v>
      </c>
    </row>
    <row r="12">
      <c r="A12" s="6" t="inlineStr">
        <is>
          <t>Resale gain per resale (NZD k)</t>
        </is>
      </c>
      <c r="B12" s="10" t="n">
        <v>142</v>
      </c>
      <c r="C12" s="10" t="n">
        <v>150</v>
      </c>
      <c r="D12" s="10" t="n">
        <v>158</v>
      </c>
      <c r="E12" s="10" t="n">
        <v>166</v>
      </c>
      <c r="F12" s="10" t="n">
        <v>174</v>
      </c>
    </row>
    <row r="13">
      <c r="A13" s="6" t="inlineStr">
        <is>
          <t>Core operating earnings (NZDm)</t>
        </is>
      </c>
      <c r="B13" s="10" t="n">
        <v>-10</v>
      </c>
      <c r="C13" s="10" t="n">
        <v>2</v>
      </c>
      <c r="D13" s="10" t="n">
        <v>14</v>
      </c>
      <c r="E13" s="10" t="n">
        <v>26</v>
      </c>
      <c r="F13" s="10" t="n">
        <v>38</v>
      </c>
    </row>
    <row r="15">
      <c r="A15" s="3" t="inlineStr">
        <is>
          <t>Underlying Profit build</t>
        </is>
      </c>
      <c r="B15" s="3" t="inlineStr">
        <is>
          <t>Y1</t>
        </is>
      </c>
      <c r="C15" s="3" t="inlineStr">
        <is>
          <t>Y2</t>
        </is>
      </c>
      <c r="D15" s="3" t="inlineStr">
        <is>
          <t>Y3</t>
        </is>
      </c>
      <c r="E15" s="3" t="inlineStr">
        <is>
          <t>Y4</t>
        </is>
      </c>
      <c r="F15" s="3" t="inlineStr">
        <is>
          <t>Y5</t>
        </is>
      </c>
    </row>
    <row r="16">
      <c r="A16" t="inlineStr">
        <is>
          <t>Development margin (NZDm)</t>
        </is>
      </c>
      <c r="B16" s="5">
        <f>B9*B10/1000</f>
        <v/>
      </c>
      <c r="C16" s="5">
        <f>C9*C10/1000</f>
        <v/>
      </c>
      <c r="D16" s="5">
        <f>D9*D10/1000</f>
        <v/>
      </c>
      <c r="E16" s="5">
        <f>E9*E10/1000</f>
        <v/>
      </c>
      <c r="F16" s="5">
        <f>F9*F10/1000</f>
        <v/>
      </c>
    </row>
    <row r="17">
      <c r="A17" t="inlineStr">
        <is>
          <t>Realised resale gains (NZDm)</t>
        </is>
      </c>
      <c r="B17" s="5">
        <f>B11*B12/1000</f>
        <v/>
      </c>
      <c r="C17" s="5">
        <f>C11*C12/1000</f>
        <v/>
      </c>
      <c r="D17" s="5">
        <f>D11*D12/1000</f>
        <v/>
      </c>
      <c r="E17" s="5">
        <f>E11*E12/1000</f>
        <v/>
      </c>
      <c r="F17" s="5">
        <f>F11*F12/1000</f>
        <v/>
      </c>
    </row>
    <row r="18">
      <c r="A18" s="6" t="inlineStr">
        <is>
          <t>UNDERLYING PROFIT (NZDm)</t>
        </is>
      </c>
      <c r="B18" s="5">
        <f>B16+B17+B13</f>
        <v/>
      </c>
      <c r="C18" s="5">
        <f>C16+C17+C13</f>
        <v/>
      </c>
      <c r="D18" s="5">
        <f>D16+D17+D13</f>
        <v/>
      </c>
      <c r="E18" s="5">
        <f>E16+E17+E13</f>
        <v/>
      </c>
      <c r="F18" s="5">
        <f>F16+F17+F13</f>
        <v/>
      </c>
    </row>
    <row r="19">
      <c r="A19" t="inlineStr">
        <is>
          <t>Discount factor</t>
        </is>
      </c>
      <c r="B19" s="12">
        <f>1/(1+$B$4/100)^1</f>
        <v/>
      </c>
      <c r="C19" s="12">
        <f>1/(1+$B$4/100)^2</f>
        <v/>
      </c>
      <c r="D19" s="12">
        <f>1/(1+$B$4/100)^3</f>
        <v/>
      </c>
      <c r="E19" s="12">
        <f>1/(1+$B$4/100)^4</f>
        <v/>
      </c>
      <c r="F19" s="12">
        <f>1/(1+$B$4/100)^5</f>
        <v/>
      </c>
    </row>
    <row r="20">
      <c r="A20" t="inlineStr">
        <is>
          <t>PV of Underlying Profit</t>
        </is>
      </c>
      <c r="B20" s="5">
        <f>B18*B19</f>
        <v/>
      </c>
      <c r="C20" s="5">
        <f>C18*C19</f>
        <v/>
      </c>
      <c r="D20" s="5">
        <f>D18*D19</f>
        <v/>
      </c>
      <c r="E20" s="5">
        <f>E18*E19</f>
        <v/>
      </c>
      <c r="F20" s="5">
        <f>F18*F19</f>
        <v/>
      </c>
    </row>
    <row r="22">
      <c r="A22" t="inlineStr">
        <is>
          <t>Sum PV of explicit UP</t>
        </is>
      </c>
      <c r="B22" s="5">
        <f>SUM(B20:F20)</f>
        <v/>
      </c>
    </row>
    <row r="23">
      <c r="A23" t="inlineStr">
        <is>
          <t>Terminal UP (Y5 x (1+g))</t>
        </is>
      </c>
      <c r="B23" s="5">
        <f>F18*(1+$B$5/100)</f>
        <v/>
      </c>
    </row>
    <row r="24">
      <c r="A24" t="inlineStr">
        <is>
          <t>TV — Gordon growth</t>
        </is>
      </c>
      <c r="B24" s="5">
        <f>$B$23/(($B$4-$B$5)/100)</f>
        <v/>
      </c>
    </row>
    <row r="25">
      <c r="A25" t="inlineStr">
        <is>
          <t>TV — exit P/E cap</t>
        </is>
      </c>
      <c r="B25" s="5">
        <f>F18*$B$6</f>
        <v/>
      </c>
    </row>
    <row r="26">
      <c r="A26" s="6" t="inlineStr">
        <is>
          <t>Terminal value (lesser)</t>
        </is>
      </c>
      <c r="B26" s="13">
        <f>MIN($B$24,$B$25)</f>
        <v/>
      </c>
    </row>
    <row r="27">
      <c r="A27" t="inlineStr">
        <is>
          <t>Exit P/E cap binding?</t>
        </is>
      </c>
      <c r="B27">
        <f>IF($B$25&lt;$B$24,"YES","no — Gordon binds")</f>
        <v/>
      </c>
    </row>
    <row r="28">
      <c r="A28" t="inlineStr">
        <is>
          <t>PV of terminal value</t>
        </is>
      </c>
      <c r="B28" s="5">
        <f>$B$26*F19</f>
        <v/>
      </c>
    </row>
    <row r="29">
      <c r="A29" s="6" t="inlineStr">
        <is>
          <t>EQUITY VALUE (NZDm)</t>
        </is>
      </c>
      <c r="B29" s="13">
        <f>$B$22+$B$28</f>
        <v/>
      </c>
    </row>
    <row r="30">
      <c r="A30" s="6" t="inlineStr">
        <is>
          <t>INTRINSIC VALUE / SHARE (NZD)</t>
        </is>
      </c>
      <c r="B30" s="7">
        <f>$B$29/Assumptions!$B$7</f>
        <v/>
      </c>
    </row>
    <row r="31">
      <c r="A31" t="inlineStr">
        <is>
          <t>Upside vs current price %</t>
        </is>
      </c>
      <c r="B31" s="5">
        <f>($B$30/Assumptions!$B$17-1)*100</f>
        <v/>
      </c>
    </row>
    <row r="32">
      <c r="A32" t="inlineStr">
        <is>
          <t>Terminal % of value</t>
        </is>
      </c>
      <c r="B32" s="5">
        <f>$B$28/$B$29*100</f>
        <v/>
      </c>
    </row>
    <row r="33">
      <c r="A33" t="inlineStr">
        <is>
          <t>Implied P/UP on Y1</t>
        </is>
      </c>
      <c r="B33" s="5">
        <f>$B$29/B18</f>
        <v/>
      </c>
    </row>
    <row r="34">
      <c r="A34" t="inlineStr">
        <is>
          <t>IV / NTA (x)</t>
        </is>
      </c>
      <c r="B34" s="2">
        <f>$B$30/Assumptions!$B$16</f>
        <v/>
      </c>
    </row>
    <row r="36">
      <c r="A36" s="6" t="inlineStr">
        <is>
          <t>Entry price at 15% hurdle</t>
        </is>
      </c>
    </row>
    <row r="37">
      <c r="A37" t="inlineStr">
        <is>
          <t>PV interim UP @15%</t>
        </is>
      </c>
      <c r="B37" s="5">
        <f>B18/1.15^1+C18/1.15^2+D18/1.15^3+E18/1.15^4+F18/1.15^5</f>
        <v/>
      </c>
    </row>
    <row r="38">
      <c r="A38" t="inlineStr">
        <is>
          <t>PV terminal @15%</t>
        </is>
      </c>
      <c r="B38" s="5">
        <f>$B$26/1.15^5</f>
        <v/>
      </c>
    </row>
    <row r="39">
      <c r="A39" s="6" t="inlineStr">
        <is>
          <t>ENTRY PRICE (NZD)</t>
        </is>
      </c>
      <c r="B39" s="7">
        <f>($B$37+$B$38)/Assumptions!$B$7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s>
  <sheetData>
    <row r="1">
      <c r="A1" s="11" t="inlineStr">
        <is>
          <t>Bear Case</t>
        </is>
      </c>
    </row>
    <row r="2" ht="64" customHeight="1">
      <c r="A2" s="8" t="inlineStr">
        <is>
          <t>Build rate settles at the bottom of the 600-700 band, development margin stays at the 1H26 20% rate as the adverse mix (serviced apartments -11%, memory care -2%) persists rather than reverting, NZ property stagnates, Australia execution slips, and core operating earnings stay negative. Cost of equity 12.5%, exit P/E 12.7x (10yr minimum).</t>
        </is>
      </c>
    </row>
    <row r="4">
      <c r="A4" t="inlineStr">
        <is>
          <t>Cost of equity (%)</t>
        </is>
      </c>
      <c r="B4" s="10" t="n">
        <v>12.5</v>
      </c>
    </row>
    <row r="5">
      <c r="A5" t="inlineStr">
        <is>
          <t>Terminal growth (%)</t>
        </is>
      </c>
      <c r="B5" s="10" t="n">
        <v>2</v>
      </c>
    </row>
    <row r="6">
      <c r="A6" t="inlineStr">
        <is>
          <t>Exit P/E cap (x)</t>
        </is>
      </c>
      <c r="B6" s="10" t="n">
        <v>12.7</v>
      </c>
    </row>
    <row r="8">
      <c r="A8" s="3" t="inlineStr">
        <is>
          <t>Driver</t>
        </is>
      </c>
      <c r="B8" s="3" t="inlineStr">
        <is>
          <t>Y1</t>
        </is>
      </c>
      <c r="C8" s="3" t="inlineStr">
        <is>
          <t>Y2</t>
        </is>
      </c>
      <c r="D8" s="3" t="inlineStr">
        <is>
          <t>Y3</t>
        </is>
      </c>
      <c r="E8" s="3" t="inlineStr">
        <is>
          <t>Y4</t>
        </is>
      </c>
      <c r="F8" s="3" t="inlineStr">
        <is>
          <t>Y5</t>
        </is>
      </c>
    </row>
    <row r="9">
      <c r="A9" s="6" t="inlineStr">
        <is>
          <t>Deliveries (units)</t>
        </is>
      </c>
      <c r="B9" s="10" t="n">
        <v>740</v>
      </c>
      <c r="C9" s="10" t="n">
        <v>660</v>
      </c>
      <c r="D9" s="10" t="n">
        <v>620</v>
      </c>
      <c r="E9" s="10" t="n">
        <v>600</v>
      </c>
      <c r="F9" s="10" t="n">
        <v>600</v>
      </c>
    </row>
    <row r="10">
      <c r="A10" s="6" t="inlineStr">
        <is>
          <t>Dev margin per unit (NZD k)</t>
        </is>
      </c>
      <c r="B10" s="10" t="n">
        <v>138</v>
      </c>
      <c r="C10" s="10" t="n">
        <v>138</v>
      </c>
      <c r="D10" s="10" t="n">
        <v>140</v>
      </c>
      <c r="E10" s="10" t="n">
        <v>142</v>
      </c>
      <c r="F10" s="10" t="n">
        <v>145</v>
      </c>
    </row>
    <row r="11">
      <c r="A11" s="6" t="inlineStr">
        <is>
          <t>Resales (units)</t>
        </is>
      </c>
      <c r="B11" s="10" t="n">
        <v>800</v>
      </c>
      <c r="C11" s="10" t="n">
        <v>820</v>
      </c>
      <c r="D11" s="10" t="n">
        <v>845</v>
      </c>
      <c r="E11" s="10" t="n">
        <v>870</v>
      </c>
      <c r="F11" s="10" t="n">
        <v>895</v>
      </c>
    </row>
    <row r="12">
      <c r="A12" s="6" t="inlineStr">
        <is>
          <t>Resale gain per resale (NZD k)</t>
        </is>
      </c>
      <c r="B12" s="10" t="n">
        <v>132</v>
      </c>
      <c r="C12" s="10" t="n">
        <v>130</v>
      </c>
      <c r="D12" s="10" t="n">
        <v>130</v>
      </c>
      <c r="E12" s="10" t="n">
        <v>131</v>
      </c>
      <c r="F12" s="10" t="n">
        <v>133</v>
      </c>
    </row>
    <row r="13">
      <c r="A13" s="6" t="inlineStr">
        <is>
          <t>Core operating earnings (NZDm)</t>
        </is>
      </c>
      <c r="B13" s="10" t="n">
        <v>-22</v>
      </c>
      <c r="C13" s="10" t="n">
        <v>-20</v>
      </c>
      <c r="D13" s="10" t="n">
        <v>-18</v>
      </c>
      <c r="E13" s="10" t="n">
        <v>-16</v>
      </c>
      <c r="F13" s="10" t="n">
        <v>-14</v>
      </c>
    </row>
    <row r="15">
      <c r="A15" s="3" t="inlineStr">
        <is>
          <t>Underlying Profit build</t>
        </is>
      </c>
      <c r="B15" s="3" t="inlineStr">
        <is>
          <t>Y1</t>
        </is>
      </c>
      <c r="C15" s="3" t="inlineStr">
        <is>
          <t>Y2</t>
        </is>
      </c>
      <c r="D15" s="3" t="inlineStr">
        <is>
          <t>Y3</t>
        </is>
      </c>
      <c r="E15" s="3" t="inlineStr">
        <is>
          <t>Y4</t>
        </is>
      </c>
      <c r="F15" s="3" t="inlineStr">
        <is>
          <t>Y5</t>
        </is>
      </c>
    </row>
    <row r="16">
      <c r="A16" t="inlineStr">
        <is>
          <t>Development margin (NZDm)</t>
        </is>
      </c>
      <c r="B16" s="5">
        <f>B9*B10/1000</f>
        <v/>
      </c>
      <c r="C16" s="5">
        <f>C9*C10/1000</f>
        <v/>
      </c>
      <c r="D16" s="5">
        <f>D9*D10/1000</f>
        <v/>
      </c>
      <c r="E16" s="5">
        <f>E9*E10/1000</f>
        <v/>
      </c>
      <c r="F16" s="5">
        <f>F9*F10/1000</f>
        <v/>
      </c>
    </row>
    <row r="17">
      <c r="A17" t="inlineStr">
        <is>
          <t>Realised resale gains (NZDm)</t>
        </is>
      </c>
      <c r="B17" s="5">
        <f>B11*B12/1000</f>
        <v/>
      </c>
      <c r="C17" s="5">
        <f>C11*C12/1000</f>
        <v/>
      </c>
      <c r="D17" s="5">
        <f>D11*D12/1000</f>
        <v/>
      </c>
      <c r="E17" s="5">
        <f>E11*E12/1000</f>
        <v/>
      </c>
      <c r="F17" s="5">
        <f>F11*F12/1000</f>
        <v/>
      </c>
    </row>
    <row r="18">
      <c r="A18" s="6" t="inlineStr">
        <is>
          <t>UNDERLYING PROFIT (NZDm)</t>
        </is>
      </c>
      <c r="B18" s="5">
        <f>B16+B17+B13</f>
        <v/>
      </c>
      <c r="C18" s="5">
        <f>C16+C17+C13</f>
        <v/>
      </c>
      <c r="D18" s="5">
        <f>D16+D17+D13</f>
        <v/>
      </c>
      <c r="E18" s="5">
        <f>E16+E17+E13</f>
        <v/>
      </c>
      <c r="F18" s="5">
        <f>F16+F17+F13</f>
        <v/>
      </c>
    </row>
    <row r="19">
      <c r="A19" t="inlineStr">
        <is>
          <t>Discount factor</t>
        </is>
      </c>
      <c r="B19" s="12">
        <f>1/(1+$B$4/100)^1</f>
        <v/>
      </c>
      <c r="C19" s="12">
        <f>1/(1+$B$4/100)^2</f>
        <v/>
      </c>
      <c r="D19" s="12">
        <f>1/(1+$B$4/100)^3</f>
        <v/>
      </c>
      <c r="E19" s="12">
        <f>1/(1+$B$4/100)^4</f>
        <v/>
      </c>
      <c r="F19" s="12">
        <f>1/(1+$B$4/100)^5</f>
        <v/>
      </c>
    </row>
    <row r="20">
      <c r="A20" t="inlineStr">
        <is>
          <t>PV of Underlying Profit</t>
        </is>
      </c>
      <c r="B20" s="5">
        <f>B18*B19</f>
        <v/>
      </c>
      <c r="C20" s="5">
        <f>C18*C19</f>
        <v/>
      </c>
      <c r="D20" s="5">
        <f>D18*D19</f>
        <v/>
      </c>
      <c r="E20" s="5">
        <f>E18*E19</f>
        <v/>
      </c>
      <c r="F20" s="5">
        <f>F18*F19</f>
        <v/>
      </c>
    </row>
    <row r="22">
      <c r="A22" t="inlineStr">
        <is>
          <t>Sum PV of explicit UP</t>
        </is>
      </c>
      <c r="B22" s="5">
        <f>SUM(B20:F20)</f>
        <v/>
      </c>
    </row>
    <row r="23">
      <c r="A23" t="inlineStr">
        <is>
          <t>Terminal UP (Y5 x (1+g))</t>
        </is>
      </c>
      <c r="B23" s="5">
        <f>F18*(1+$B$5/100)</f>
        <v/>
      </c>
    </row>
    <row r="24">
      <c r="A24" t="inlineStr">
        <is>
          <t>TV — Gordon growth</t>
        </is>
      </c>
      <c r="B24" s="5">
        <f>$B$23/(($B$4-$B$5)/100)</f>
        <v/>
      </c>
    </row>
    <row r="25">
      <c r="A25" t="inlineStr">
        <is>
          <t>TV — exit P/E cap</t>
        </is>
      </c>
      <c r="B25" s="5">
        <f>F18*$B$6</f>
        <v/>
      </c>
    </row>
    <row r="26">
      <c r="A26" s="6" t="inlineStr">
        <is>
          <t>Terminal value (lesser)</t>
        </is>
      </c>
      <c r="B26" s="13">
        <f>MIN($B$24,$B$25)</f>
        <v/>
      </c>
    </row>
    <row r="27">
      <c r="A27" t="inlineStr">
        <is>
          <t>Exit P/E cap binding?</t>
        </is>
      </c>
      <c r="B27">
        <f>IF($B$25&lt;$B$24,"YES","no — Gordon binds")</f>
        <v/>
      </c>
    </row>
    <row r="28">
      <c r="A28" t="inlineStr">
        <is>
          <t>PV of terminal value</t>
        </is>
      </c>
      <c r="B28" s="5">
        <f>$B$26*F19</f>
        <v/>
      </c>
    </row>
    <row r="29">
      <c r="A29" s="6" t="inlineStr">
        <is>
          <t>EQUITY VALUE (NZDm)</t>
        </is>
      </c>
      <c r="B29" s="13">
        <f>$B$22+$B$28</f>
        <v/>
      </c>
    </row>
    <row r="30">
      <c r="A30" s="6" t="inlineStr">
        <is>
          <t>INTRINSIC VALUE / SHARE (NZD)</t>
        </is>
      </c>
      <c r="B30" s="7">
        <f>$B$29/Assumptions!$B$7</f>
        <v/>
      </c>
    </row>
    <row r="31">
      <c r="A31" t="inlineStr">
        <is>
          <t>Upside vs current price %</t>
        </is>
      </c>
      <c r="B31" s="5">
        <f>($B$30/Assumptions!$B$17-1)*100</f>
        <v/>
      </c>
    </row>
    <row r="32">
      <c r="A32" t="inlineStr">
        <is>
          <t>Terminal % of value</t>
        </is>
      </c>
      <c r="B32" s="5">
        <f>$B$28/$B$29*100</f>
        <v/>
      </c>
    </row>
    <row r="33">
      <c r="A33" t="inlineStr">
        <is>
          <t>Implied P/UP on Y1</t>
        </is>
      </c>
      <c r="B33" s="5">
        <f>$B$29/B18</f>
        <v/>
      </c>
    </row>
    <row r="34">
      <c r="A34" t="inlineStr">
        <is>
          <t>IV / NTA (x)</t>
        </is>
      </c>
      <c r="B34" s="2">
        <f>$B$30/Assumptions!$B$16</f>
        <v/>
      </c>
    </row>
    <row r="36">
      <c r="A36" s="6" t="inlineStr">
        <is>
          <t>Entry price at 15% hurdle</t>
        </is>
      </c>
    </row>
    <row r="37">
      <c r="A37" t="inlineStr">
        <is>
          <t>PV interim UP @15%</t>
        </is>
      </c>
      <c r="B37" s="5">
        <f>B18/1.15^1+C18/1.15^2+D18/1.15^3+E18/1.15^4+F18/1.15^5</f>
        <v/>
      </c>
    </row>
    <row r="38">
      <c r="A38" t="inlineStr">
        <is>
          <t>PV terminal @15%</t>
        </is>
      </c>
      <c r="B38" s="5">
        <f>$B$26/1.15^5</f>
        <v/>
      </c>
    </row>
    <row r="39">
      <c r="A39" s="6" t="inlineStr">
        <is>
          <t>ENTRY PRICE (NZD)</t>
        </is>
      </c>
      <c r="B39" s="7">
        <f>($B$37+$B$38)/Assumptions!$B$7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s>
  <sheetData>
    <row r="1">
      <c r="A1" s="6" t="inlineStr">
        <is>
          <t>Base-case IV / share: cost of equity (rows) x terminal growth (cols)</t>
        </is>
      </c>
    </row>
    <row r="2">
      <c r="A2" t="inlineStr">
        <is>
          <t>Live: recomputes the full base component build at each cell. Plateaus top-left are the exit P/E cap binding.</t>
        </is>
      </c>
    </row>
    <row r="4">
      <c r="A4" t="inlineStr">
        <is>
          <t>CoE \ g</t>
        </is>
      </c>
      <c r="B4" s="6" t="n">
        <v>2</v>
      </c>
      <c r="C4" s="6" t="n">
        <v>2.5</v>
      </c>
      <c r="D4" s="6" t="n">
        <v>3</v>
      </c>
      <c r="E4" s="6" t="n">
        <v>3.5</v>
      </c>
      <c r="F4" s="6" t="n">
        <v>4</v>
      </c>
    </row>
    <row r="5">
      <c r="A5" s="6" t="n">
        <v>9</v>
      </c>
      <c r="B5" s="2">
        <f>((Base!B$18/(1+9/100)^1+Base!C$18/(1+9/100)^2+Base!D$18/(1+9/100)^3+Base!E$18/(1+9/100)^4+Base!F$18/(1+9/100)^5)+MIN(Base!$F$18*(1+2.0/100)/((9-2.0)/100),Base!$F$18*Base!$B$6)/(1+9/100)^5)/Assumptions!$B$7</f>
        <v/>
      </c>
      <c r="C5" s="2">
        <f>((Base!B$18/(1+9/100)^1+Base!C$18/(1+9/100)^2+Base!D$18/(1+9/100)^3+Base!E$18/(1+9/100)^4+Base!F$18/(1+9/100)^5)+MIN(Base!$F$18*(1+2.5/100)/((9-2.5)/100),Base!$F$18*Base!$B$6)/(1+9/100)^5)/Assumptions!$B$7</f>
        <v/>
      </c>
      <c r="D5" s="2">
        <f>((Base!B$18/(1+9/100)^1+Base!C$18/(1+9/100)^2+Base!D$18/(1+9/100)^3+Base!E$18/(1+9/100)^4+Base!F$18/(1+9/100)^5)+MIN(Base!$F$18*(1+3.0/100)/((9-3.0)/100),Base!$F$18*Base!$B$6)/(1+9/100)^5)/Assumptions!$B$7</f>
        <v/>
      </c>
      <c r="E5" s="2">
        <f>((Base!B$18/(1+9/100)^1+Base!C$18/(1+9/100)^2+Base!D$18/(1+9/100)^3+Base!E$18/(1+9/100)^4+Base!F$18/(1+9/100)^5)+MIN(Base!$F$18*(1+3.5/100)/((9-3.5)/100),Base!$F$18*Base!$B$6)/(1+9/100)^5)/Assumptions!$B$7</f>
        <v/>
      </c>
      <c r="F5" s="2">
        <f>((Base!B$18/(1+9/100)^1+Base!C$18/(1+9/100)^2+Base!D$18/(1+9/100)^3+Base!E$18/(1+9/100)^4+Base!F$18/(1+9/100)^5)+MIN(Base!$F$18*(1+4.0/100)/((9-4.0)/100),Base!$F$18*Base!$B$6)/(1+9/100)^5)/Assumptions!$B$7</f>
        <v/>
      </c>
    </row>
    <row r="6">
      <c r="A6" s="6" t="n">
        <v>10</v>
      </c>
      <c r="B6" s="2">
        <f>((Base!B$18/(1+10/100)^1+Base!C$18/(1+10/100)^2+Base!D$18/(1+10/100)^3+Base!E$18/(1+10/100)^4+Base!F$18/(1+10/100)^5)+MIN(Base!$F$18*(1+2.0/100)/((10-2.0)/100),Base!$F$18*Base!$B$6)/(1+10/100)^5)/Assumptions!$B$7</f>
        <v/>
      </c>
      <c r="C6" s="2">
        <f>((Base!B$18/(1+10/100)^1+Base!C$18/(1+10/100)^2+Base!D$18/(1+10/100)^3+Base!E$18/(1+10/100)^4+Base!F$18/(1+10/100)^5)+MIN(Base!$F$18*(1+2.5/100)/((10-2.5)/100),Base!$F$18*Base!$B$6)/(1+10/100)^5)/Assumptions!$B$7</f>
        <v/>
      </c>
      <c r="D6" s="2">
        <f>((Base!B$18/(1+10/100)^1+Base!C$18/(1+10/100)^2+Base!D$18/(1+10/100)^3+Base!E$18/(1+10/100)^4+Base!F$18/(1+10/100)^5)+MIN(Base!$F$18*(1+3.0/100)/((10-3.0)/100),Base!$F$18*Base!$B$6)/(1+10/100)^5)/Assumptions!$B$7</f>
        <v/>
      </c>
      <c r="E6" s="2">
        <f>((Base!B$18/(1+10/100)^1+Base!C$18/(1+10/100)^2+Base!D$18/(1+10/100)^3+Base!E$18/(1+10/100)^4+Base!F$18/(1+10/100)^5)+MIN(Base!$F$18*(1+3.5/100)/((10-3.5)/100),Base!$F$18*Base!$B$6)/(1+10/100)^5)/Assumptions!$B$7</f>
        <v/>
      </c>
      <c r="F6" s="2">
        <f>((Base!B$18/(1+10/100)^1+Base!C$18/(1+10/100)^2+Base!D$18/(1+10/100)^3+Base!E$18/(1+10/100)^4+Base!F$18/(1+10/100)^5)+MIN(Base!$F$18*(1+4.0/100)/((10-4.0)/100),Base!$F$18*Base!$B$6)/(1+10/100)^5)/Assumptions!$B$7</f>
        <v/>
      </c>
    </row>
    <row r="7">
      <c r="A7" s="6" t="n">
        <v>11</v>
      </c>
      <c r="B7" s="2">
        <f>((Base!B$18/(1+11/100)^1+Base!C$18/(1+11/100)^2+Base!D$18/(1+11/100)^3+Base!E$18/(1+11/100)^4+Base!F$18/(1+11/100)^5)+MIN(Base!$F$18*(1+2.0/100)/((11-2.0)/100),Base!$F$18*Base!$B$6)/(1+11/100)^5)/Assumptions!$B$7</f>
        <v/>
      </c>
      <c r="C7" s="2">
        <f>((Base!B$18/(1+11/100)^1+Base!C$18/(1+11/100)^2+Base!D$18/(1+11/100)^3+Base!E$18/(1+11/100)^4+Base!F$18/(1+11/100)^5)+MIN(Base!$F$18*(1+2.5/100)/((11-2.5)/100),Base!$F$18*Base!$B$6)/(1+11/100)^5)/Assumptions!$B$7</f>
        <v/>
      </c>
      <c r="D7" s="2">
        <f>((Base!B$18/(1+11/100)^1+Base!C$18/(1+11/100)^2+Base!D$18/(1+11/100)^3+Base!E$18/(1+11/100)^4+Base!F$18/(1+11/100)^5)+MIN(Base!$F$18*(1+3.0/100)/((11-3.0)/100),Base!$F$18*Base!$B$6)/(1+11/100)^5)/Assumptions!$B$7</f>
        <v/>
      </c>
      <c r="E7" s="2">
        <f>((Base!B$18/(1+11/100)^1+Base!C$18/(1+11/100)^2+Base!D$18/(1+11/100)^3+Base!E$18/(1+11/100)^4+Base!F$18/(1+11/100)^5)+MIN(Base!$F$18*(1+3.5/100)/((11-3.5)/100),Base!$F$18*Base!$B$6)/(1+11/100)^5)/Assumptions!$B$7</f>
        <v/>
      </c>
      <c r="F7" s="2">
        <f>((Base!B$18/(1+11/100)^1+Base!C$18/(1+11/100)^2+Base!D$18/(1+11/100)^3+Base!E$18/(1+11/100)^4+Base!F$18/(1+11/100)^5)+MIN(Base!$F$18*(1+4.0/100)/((11-4.0)/100),Base!$F$18*Base!$B$6)/(1+11/100)^5)/Assumptions!$B$7</f>
        <v/>
      </c>
    </row>
    <row r="8">
      <c r="A8" s="6" t="n">
        <v>12</v>
      </c>
      <c r="B8" s="2">
        <f>((Base!B$18/(1+12/100)^1+Base!C$18/(1+12/100)^2+Base!D$18/(1+12/100)^3+Base!E$18/(1+12/100)^4+Base!F$18/(1+12/100)^5)+MIN(Base!$F$18*(1+2.0/100)/((12-2.0)/100),Base!$F$18*Base!$B$6)/(1+12/100)^5)/Assumptions!$B$7</f>
        <v/>
      </c>
      <c r="C8" s="2">
        <f>((Base!B$18/(1+12/100)^1+Base!C$18/(1+12/100)^2+Base!D$18/(1+12/100)^3+Base!E$18/(1+12/100)^4+Base!F$18/(1+12/100)^5)+MIN(Base!$F$18*(1+2.5/100)/((12-2.5)/100),Base!$F$18*Base!$B$6)/(1+12/100)^5)/Assumptions!$B$7</f>
        <v/>
      </c>
      <c r="D8" s="2">
        <f>((Base!B$18/(1+12/100)^1+Base!C$18/(1+12/100)^2+Base!D$18/(1+12/100)^3+Base!E$18/(1+12/100)^4+Base!F$18/(1+12/100)^5)+MIN(Base!$F$18*(1+3.0/100)/((12-3.0)/100),Base!$F$18*Base!$B$6)/(1+12/100)^5)/Assumptions!$B$7</f>
        <v/>
      </c>
      <c r="E8" s="2">
        <f>((Base!B$18/(1+12/100)^1+Base!C$18/(1+12/100)^2+Base!D$18/(1+12/100)^3+Base!E$18/(1+12/100)^4+Base!F$18/(1+12/100)^5)+MIN(Base!$F$18*(1+3.5/100)/((12-3.5)/100),Base!$F$18*Base!$B$6)/(1+12/100)^5)/Assumptions!$B$7</f>
        <v/>
      </c>
      <c r="F8" s="2">
        <f>((Base!B$18/(1+12/100)^1+Base!C$18/(1+12/100)^2+Base!D$18/(1+12/100)^3+Base!E$18/(1+12/100)^4+Base!F$18/(1+12/100)^5)+MIN(Base!$F$18*(1+4.0/100)/((12-4.0)/100),Base!$F$18*Base!$B$6)/(1+12/100)^5)/Assumptions!$B$7</f>
        <v/>
      </c>
    </row>
    <row r="9">
      <c r="A9" s="6" t="n">
        <v>13</v>
      </c>
      <c r="B9" s="2">
        <f>((Base!B$18/(1+13/100)^1+Base!C$18/(1+13/100)^2+Base!D$18/(1+13/100)^3+Base!E$18/(1+13/100)^4+Base!F$18/(1+13/100)^5)+MIN(Base!$F$18*(1+2.0/100)/((13-2.0)/100),Base!$F$18*Base!$B$6)/(1+13/100)^5)/Assumptions!$B$7</f>
        <v/>
      </c>
      <c r="C9" s="2">
        <f>((Base!B$18/(1+13/100)^1+Base!C$18/(1+13/100)^2+Base!D$18/(1+13/100)^3+Base!E$18/(1+13/100)^4+Base!F$18/(1+13/100)^5)+MIN(Base!$F$18*(1+2.5/100)/((13-2.5)/100),Base!$F$18*Base!$B$6)/(1+13/100)^5)/Assumptions!$B$7</f>
        <v/>
      </c>
      <c r="D9" s="2">
        <f>((Base!B$18/(1+13/100)^1+Base!C$18/(1+13/100)^2+Base!D$18/(1+13/100)^3+Base!E$18/(1+13/100)^4+Base!F$18/(1+13/100)^5)+MIN(Base!$F$18*(1+3.0/100)/((13-3.0)/100),Base!$F$18*Base!$B$6)/(1+13/100)^5)/Assumptions!$B$7</f>
        <v/>
      </c>
      <c r="E9" s="2">
        <f>((Base!B$18/(1+13/100)^1+Base!C$18/(1+13/100)^2+Base!D$18/(1+13/100)^3+Base!E$18/(1+13/100)^4+Base!F$18/(1+13/100)^5)+MIN(Base!$F$18*(1+3.5/100)/((13-3.5)/100),Base!$F$18*Base!$B$6)/(1+13/100)^5)/Assumptions!$B$7</f>
        <v/>
      </c>
      <c r="F9" s="2">
        <f>((Base!B$18/(1+13/100)^1+Base!C$18/(1+13/100)^2+Base!D$18/(1+13/100)^3+Base!E$18/(1+13/100)^4+Base!F$18/(1+13/100)^5)+MIN(Base!$F$18*(1+4.0/100)/((13-4.0)/100),Base!$F$18*Base!$B$6)/(1+13/100)^5)/Assumptions!$B$7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2026-08-28T01:15:28Z</dcterms:created>
  <dcterms:modified xsi:type="dcterms:W3CDTF">2026-08-28T01:15:28Z</dcterms:modified>
</cp:coreProperties>
</file>