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<sst xmlns="http://schemas.openxmlformats.org/spreadsheetml/2006/main" count="384" uniqueCount="173">
  <si>
    <t xml:space="preserve">Ticker</t>
  </si>
  <si>
    <t xml:space="preserve">SMCI</t>
  </si>
  <si>
    <t xml:space="preserve">Company</t>
  </si>
  <si>
    <t xml:space="preserve">Super Micro Computer,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</si>
  <si>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</si>
  <si>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</si>
  <si>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</si>
  <si>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</si>
  <si>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</si>
  <si>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</si>
  <si>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</si>
  <si>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</si>
  <si>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</si>
  <si>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</si>
  <si>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</si>
  <si>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</si>
  <si>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</si>
  <si>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</si>
  <si>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</si>
  <si>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</si>
  <si>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</si>
  <si>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2026-10-02T08:43:08Z</t>
  </si>
  <si>
    <t xml:space="preserve">Drivers file</t>
  </si>
  <si>
    <t xml:space="preserve">SMCI_Drivers.json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</si>
  <si>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</si>
  <si>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</si>
  <si>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</si>
  <si>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SMCI as what it is: a thin-margin, working-capital-hungry, highly cyclical AI-server OEM. Reported FCF swings by billions with inventory builds, so the forward flows are built from components with working capital charged on revenue growth, the one-off FY2026 pre-build credited once, and a 12x terminal cap appropriate to a cyclical hardware assembler. Risk is priced in the 30% bear weight and the scenario flows, not in a WACC premium.
key_risks_to_valuation: Working-capital intensity: every $10B of revenue growth absorbs ~$2.5B of cash; the -25% capture and the $3.5B FY2026 release credit together move value by several dollars per share; Customer concentration and order timing: one customer was ~a third of receivables; a single slipped order moves a quarter; Gross-margin volatility (8-17.5% guided-to-actual swings) makes the adjusted EBITDA path the most sensitive driver; AI-capex digestion or a shift to custom silicon / ODM-direct procurement; Dilution: $1.25B ATM programme, mandatory preferred conversion at up to 36.4 shares if the price falls below $27.50, and in-the-money conversion of the 2030 notes in the bull case; Governance: BDO adverse opinion on internal controls, shareholder litigation, prior EY resignation</t>
  </si>
  <si>
    <t xml:space="preserve">Data sources</t>
  </si>
  <si>
    <t xml:space="preserve">price: Yahoo Finance chart API at inputs.price_as_of; 52-week range 19.48-58.78
financials: SEC XBRL companyfacts (CIK 1375365) and FY2026 10-K (accession 0001375365-26-000022): balance sheet, EPS note, Note 9 convertible notes, Note 13 mandatory convertible preferred and ATM; SMCI_Metrics.csv for FY2016-FY2026 history
qualitative: SMCI_Analysis.json (2026-10-02): Q4 FY2026 results, FY2027 guidance $65-72B, Q1 FY2027 guidance $14.5-15.5B revenue and $1.01-1.10 non-GAAP EPS</t>
  </si>
  <si>
    <t xml:space="preserve">Scenario narrative: bear</t>
  </si>
  <si>
    <t xml:space="preserve">FY2027 undershoots the guide (~$62.5B) as one or two large neocloud orders slip or are re-priced, then the AI-capex cycle digests hard in FY2028-30 (-10%/-15%/-10%) as hyperscalers shift to custom silicon (TPU/Trainium/Maia) and ODM-direct procurement. Price competition and memory-cost inflation compress adjusted EBITDA to ~4.5-5%, SBC rises as a share of a shrinking revenue base, and the business that has needed $9.5B of external capital in one year settles into a low-growth commodity server OEM. Working capital releases cash on the way down, which is what keeps the bear value positive.</t>
  </si>
  <si>
    <t xml:space="preserve">Scenario narrative: base</t>
  </si>
  <si>
    <t xml:space="preserve">SMCI converts most of the record backlog: FY2027 lands at the low end of the $65-72B guide as Blackwell Ultra (GB300 NVL72/HGX B300) racks ship, DCBBS and DLC-2 lift deal size but not margin, and Dell/HPE/ODM price competition holds adjusted EBITDA near 7-7.5% (FY2026 gross margin was 10.8%; Q4's 17.5% was mix). Hyperscaler/neocloud AI capex grows into FY2029, then digests for a year before settling into low-single-digit growth. The FY2026 inventory pre-build unwinds into FY2027 revenue; thereafter working capital absorbs a quarter of every incremental revenue dollar, which is why a $90B-revenue business is worth only a 12x terminal multiple on owner FCF.</t>
  </si>
  <si>
    <t xml:space="preserve">Scenario narrative: bull</t>
  </si>
  <si>
    <t xml:space="preserve">The guide is beaten (~$72B FY2027) and Rubin keeps SMCI first-to-market; rack-scale DCBBS, liquid cooling and enterprise/sovereign AI diversify the customer base away from the one customer holding ~a third of receivables, and the Q4 FY2026 mix benefit proves durable, lifting adjusted EBITDA toward 9% (FY2023's 11.8% showed it is possible). Revenue compounds to ~$140B by FY2036 with a shallower digestion cycle; governance overhang (BDO adverse ICFR opinion, class actions) fades.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</si>
  <si>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</si>
  <si>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</si>
  <si>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</si>
  <si>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</si>
  <si>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</si>
  <si>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</si>
  <si>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</si>
  <si>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</si>
  <si>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</si>
  <si>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</si>
  <si>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</si>
  <si>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</si>
  <si>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</si>
  <si>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</si>
  <si>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</si>
  <si>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</si>
  <si>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</si>
  <si>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</si>
  <si>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</si>
  <si>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</si>
  <si>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</si>
  <si>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</si>
  <si>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</si>
  <si>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</si>
  <si>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</si>
  <si>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</si>
  <si>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</si>
  <si>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</si>
  <si>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</si>
  <si>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</si>
  <si>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</si>
  <si>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</si>
  <si>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</si>
  <si>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</si>
  <si>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</si>
  <si>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</si>
  <si>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</si>
  <si>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</si>
  <si>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</si>
  <si>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</si>
  <si>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</si>
  <si>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</si>
  <si>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</si>
  <si>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</si>
  <si>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</si>
  <si>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</si>
  <si>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</si>
  <si>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</si>
  <si>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</si>
  <si>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</si>
  <si>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</si>
  <si>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</si>
  <si>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</si>
  <si>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</si>
  <si>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</si>
  <si>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</si>
  <si>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</si>
  <si>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</si>
  <si>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</si>
  <si>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</si>
  <si>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</si>
  <si>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</si>
  <si>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</si>
  <si>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</si>
  <si>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</si>
  <si>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</si>
  <si>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</si>
  <si>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</si>
  <si>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</si>
  <si>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</si>
  <si>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</si>
  <si>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</si>
  <si>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</si>
  <si>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</si>
  <si>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</si>
  <si>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</si>
  <si>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</si>
  <si>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</si>
  <si>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</si>
  <si>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</si>
  <si>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</si>
  <si>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</si>
  <si>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SMCI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</si>
  <si>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</si>
  <si>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</si>
  <si>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</si>
  <si>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</si>
  <si>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</si>
  <si>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</si>
  <si>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</si>
  <si>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</si>
  <si>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</si>
  <si>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</si>
  <si>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</si>
  <si>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</si>
  <si>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</si>
  <si>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</si>
  <si>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</si>
  <si>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</si>
  <si>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</si>
  <si>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</si>
  <si>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</si>
  <si>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</si>
  <si>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</si>
  <si>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</si>
  <si>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</si>
  <si>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</si>
  <si>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</si>
  <si>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</si>
  <si>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</si>
  <si>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</si>
  <si>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</si>
  <si>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</si>
  <si>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SMCI owner-FCF component DCF: base case (millions, USD)</t>
  </si>
  <si>
    <t xml:space="preserve">SMCI owner-FCF component DCF: bull case (millions, USD)</t>
  </si>
  <si>
    <t xml:space="preserve">SMCI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</si>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</sst>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41.92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178.622</v>
      </c>
      <c r="S2" s="0" t="n">
        <v>70.295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721.438</v>
      </c>
      <c r="C3" s="0" t="n">
        <v>606.446</v>
      </c>
      <c r="D3" s="0" t="n">
        <v>114.992</v>
      </c>
      <c r="E3" s="0" t="n">
        <v>15.9392768332137</v>
      </c>
      <c r="F3" s="0" t="n">
        <v>40.745</v>
      </c>
      <c r="G3" s="0" t="n">
        <v>5.64774797002653</v>
      </c>
      <c r="H3" s="0" t="n">
        <v>45.364</v>
      </c>
      <c r="I3" s="0" t="n">
        <v>26.915</v>
      </c>
      <c r="J3" s="0" t="n">
        <v>3.73074332097838</v>
      </c>
      <c r="K3" s="0" t="n">
        <v>0.73</v>
      </c>
      <c r="L3" s="0" t="n">
        <v>-2.174</v>
      </c>
      <c r="M3" s="0" t="n">
        <v>22.223</v>
      </c>
      <c r="N3" s="0" t="n">
        <v>-24.397</v>
      </c>
      <c r="O3" s="0" t="n">
        <v>224.701</v>
      </c>
      <c r="S3" s="0" t="n">
        <v>72.644</v>
      </c>
      <c r="T3" s="0" t="n">
        <v>40.735</v>
      </c>
      <c r="U3" s="0" t="n">
        <v>6.457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942.582</v>
      </c>
      <c r="C4" s="0" t="n">
        <v>791.478</v>
      </c>
      <c r="D4" s="0" t="n">
        <v>151.104</v>
      </c>
      <c r="E4" s="0" t="n">
        <v>16.0308599145751</v>
      </c>
      <c r="F4" s="0" t="n">
        <v>58.693</v>
      </c>
      <c r="G4" s="0" t="n">
        <v>6.22683225438211</v>
      </c>
      <c r="H4" s="0" t="n">
        <v>64.146</v>
      </c>
      <c r="I4" s="0" t="n">
        <v>40.213</v>
      </c>
      <c r="J4" s="0" t="n">
        <v>4.26626012378764</v>
      </c>
      <c r="K4" s="0" t="n">
        <v>1.04</v>
      </c>
      <c r="L4" s="0" t="n">
        <v>8.48</v>
      </c>
      <c r="M4" s="0" t="n">
        <v>16.202</v>
      </c>
      <c r="N4" s="0" t="n">
        <v>-7.722</v>
      </c>
      <c r="O4" s="0" t="n">
        <v>287.257</v>
      </c>
      <c r="P4" s="0" t="n">
        <v>464.62</v>
      </c>
      <c r="Q4" s="0" t="n">
        <v>177.363</v>
      </c>
      <c r="R4" s="0" t="n">
        <v>27.055</v>
      </c>
      <c r="S4" s="0" t="n">
        <v>69.943</v>
      </c>
      <c r="T4" s="0" t="n">
        <v>42.396</v>
      </c>
      <c r="U4" s="0" t="n">
        <v>8.056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1013.874</v>
      </c>
      <c r="C5" s="0" t="n">
        <v>848.457</v>
      </c>
      <c r="D5" s="0" t="n">
        <v>165.417</v>
      </c>
      <c r="E5" s="0" t="n">
        <v>16.3153409595275</v>
      </c>
      <c r="F5" s="0" t="n">
        <v>46.014</v>
      </c>
      <c r="G5" s="0" t="n">
        <v>4.53843376987673</v>
      </c>
      <c r="H5" s="0" t="n">
        <v>53.085</v>
      </c>
      <c r="I5" s="0" t="n">
        <v>29.853</v>
      </c>
      <c r="J5" s="0" t="n">
        <v>2.94444871847981</v>
      </c>
      <c r="K5" s="0" t="n">
        <v>0.72</v>
      </c>
      <c r="L5" s="0" t="n">
        <v>16.467</v>
      </c>
      <c r="M5" s="0" t="n">
        <v>24.862</v>
      </c>
      <c r="N5" s="0" t="n">
        <v>-8.395</v>
      </c>
      <c r="O5" s="0" t="n">
        <v>338.351</v>
      </c>
      <c r="P5" s="0" t="n">
        <v>589.103</v>
      </c>
      <c r="Q5" s="0" t="n">
        <v>250.752</v>
      </c>
      <c r="R5" s="0" t="n">
        <v>46.119</v>
      </c>
      <c r="S5" s="0" t="n">
        <v>80.826</v>
      </c>
      <c r="T5" s="0" t="n">
        <v>44.152</v>
      </c>
      <c r="U5" s="0" t="n">
        <v>10.252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1162.561</v>
      </c>
      <c r="C6" s="0" t="n">
        <v>1002.508</v>
      </c>
      <c r="D6" s="0" t="n">
        <v>160.053</v>
      </c>
      <c r="E6" s="0" t="n">
        <v>13.7672775880147</v>
      </c>
      <c r="F6" s="0" t="n">
        <v>27.158</v>
      </c>
      <c r="G6" s="0" t="n">
        <v>2.33604946321096</v>
      </c>
      <c r="H6" s="0" t="n">
        <v>34.993</v>
      </c>
      <c r="I6" s="0" t="n">
        <v>21.292</v>
      </c>
      <c r="J6" s="0" t="n">
        <v>1.83147378933235</v>
      </c>
      <c r="K6" s="0" t="n">
        <v>0.5</v>
      </c>
      <c r="L6" s="0" t="n">
        <v>13.583</v>
      </c>
      <c r="M6" s="0" t="n">
        <v>5.001</v>
      </c>
      <c r="N6" s="0" t="n">
        <v>8.582</v>
      </c>
      <c r="O6" s="0" t="n">
        <v>373.724</v>
      </c>
      <c r="P6" s="0" t="n">
        <v>632.257</v>
      </c>
      <c r="Q6" s="0" t="n">
        <v>258.533</v>
      </c>
      <c r="R6" s="0" t="n">
        <v>35.171</v>
      </c>
      <c r="S6" s="0" t="n">
        <v>93.038</v>
      </c>
      <c r="T6" s="0" t="n">
        <v>43.907</v>
      </c>
      <c r="U6" s="0" t="n">
        <v>11.361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1467.202</v>
      </c>
      <c r="C7" s="0" t="n">
        <v>1241.657</v>
      </c>
      <c r="D7" s="0" t="n">
        <v>225.545</v>
      </c>
      <c r="E7" s="0" t="n">
        <v>15.3724572349274</v>
      </c>
      <c r="F7" s="0" t="n">
        <v>80.259</v>
      </c>
      <c r="G7" s="0" t="n">
        <v>5.4702079195639</v>
      </c>
      <c r="H7" s="0" t="n">
        <v>86.623</v>
      </c>
      <c r="I7" s="0" t="n">
        <v>54.157</v>
      </c>
      <c r="J7" s="0" t="n">
        <v>3.69117544823412</v>
      </c>
      <c r="K7" s="0" t="n">
        <v>1.24</v>
      </c>
      <c r="L7" s="0" t="n">
        <v>6.538</v>
      </c>
      <c r="M7" s="0" t="n">
        <v>40.567</v>
      </c>
      <c r="N7" s="0" t="n">
        <v>-34.029</v>
      </c>
      <c r="O7" s="0" t="n">
        <v>452.158</v>
      </c>
      <c r="P7" s="0" t="n">
        <v>796.325</v>
      </c>
      <c r="Q7" s="0" t="n">
        <v>327.094</v>
      </c>
      <c r="R7" s="0" t="n">
        <v>46.287</v>
      </c>
      <c r="S7" s="0" t="n">
        <v>95.482</v>
      </c>
      <c r="T7" s="0" t="n">
        <v>46.512</v>
      </c>
      <c r="U7" s="0" t="n">
        <v>11.062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1954.353</v>
      </c>
      <c r="C8" s="0" t="n">
        <v>1647.769</v>
      </c>
      <c r="D8" s="0" t="n">
        <v>306.584</v>
      </c>
      <c r="E8" s="0" t="n">
        <v>15.687237668937</v>
      </c>
      <c r="F8" s="0" t="n">
        <v>132.646</v>
      </c>
      <c r="G8" s="0" t="n">
        <v>6.78720783809271</v>
      </c>
      <c r="H8" s="0" t="n">
        <v>140.74</v>
      </c>
      <c r="I8" s="0" t="n">
        <v>92.555</v>
      </c>
      <c r="J8" s="0" t="n">
        <v>4.73583840790277</v>
      </c>
      <c r="K8" s="0" t="n">
        <v>1.99</v>
      </c>
      <c r="L8" s="0" t="n">
        <v>-46.125</v>
      </c>
      <c r="M8" s="0" t="n">
        <v>35.1</v>
      </c>
      <c r="N8" s="0" t="n">
        <v>-81.225</v>
      </c>
      <c r="O8" s="0" t="n">
        <v>593.585</v>
      </c>
      <c r="P8" s="0" t="n">
        <v>1089.809</v>
      </c>
      <c r="Q8" s="0" t="n">
        <v>470.724</v>
      </c>
      <c r="R8" s="0" t="n">
        <v>94.412</v>
      </c>
      <c r="S8" s="0" t="n">
        <v>92.92</v>
      </c>
      <c r="T8" s="0" t="n">
        <v>50.094</v>
      </c>
      <c r="U8" s="0" t="n">
        <v>24.656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2225.022</v>
      </c>
      <c r="C9" s="0" t="n">
        <v>1894.521</v>
      </c>
      <c r="D9" s="0" t="n">
        <v>330.501</v>
      </c>
      <c r="E9" s="0" t="n">
        <v>14.853830658753</v>
      </c>
      <c r="F9" s="0" t="n">
        <v>107.491</v>
      </c>
      <c r="G9" s="0" t="n">
        <v>4.83100841250109</v>
      </c>
      <c r="H9" s="0" t="n">
        <v>120.773</v>
      </c>
      <c r="I9" s="0" t="n">
        <v>72.101</v>
      </c>
      <c r="J9" s="0" t="n">
        <v>3.24046234149595</v>
      </c>
      <c r="K9" s="0" t="n">
        <v>1.5</v>
      </c>
      <c r="L9" s="0" t="n">
        <v>107.987</v>
      </c>
      <c r="M9" s="0" t="n">
        <v>34.108</v>
      </c>
      <c r="N9" s="0" t="n">
        <v>73.879</v>
      </c>
      <c r="O9" s="0" t="n">
        <v>696.653</v>
      </c>
      <c r="P9" s="0" t="n">
        <v>1191.483</v>
      </c>
      <c r="Q9" s="0" t="n">
        <v>494.83</v>
      </c>
      <c r="R9" s="0" t="n">
        <v>93.589</v>
      </c>
      <c r="S9" s="0" t="n">
        <v>178.82</v>
      </c>
      <c r="T9" s="0" t="n">
        <v>51.836</v>
      </c>
      <c r="U9" s="0" t="n">
        <v>21.184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2484.929</v>
      </c>
      <c r="C10" s="0" t="n">
        <v>2134.971</v>
      </c>
      <c r="D10" s="0" t="n">
        <v>349.958</v>
      </c>
      <c r="E10" s="0" t="n">
        <v>14.0832192791021</v>
      </c>
      <c r="F10" s="0" t="n">
        <v>94.875</v>
      </c>
      <c r="G10" s="0" t="n">
        <v>3.8180165308546</v>
      </c>
      <c r="H10" s="0" t="n">
        <v>111.232</v>
      </c>
      <c r="I10" s="0" t="n">
        <v>66.854</v>
      </c>
      <c r="J10" s="0" t="n">
        <v>2.69037867882744</v>
      </c>
      <c r="K10" s="0" t="n">
        <v>1.38</v>
      </c>
      <c r="L10" s="0" t="n">
        <v>-96.188</v>
      </c>
      <c r="M10" s="0" t="n">
        <v>29.365</v>
      </c>
      <c r="N10" s="0" t="n">
        <v>-125.553</v>
      </c>
      <c r="O10" s="0" t="n">
        <v>773.846</v>
      </c>
      <c r="P10" s="0" t="n">
        <v>1515.13</v>
      </c>
      <c r="Q10" s="0" t="n">
        <v>741.284</v>
      </c>
      <c r="R10" s="0" t="n">
        <v>161.447</v>
      </c>
      <c r="S10" s="0" t="n">
        <v>110.606</v>
      </c>
      <c r="T10" s="0" t="n">
        <v>51.679</v>
      </c>
      <c r="U10" s="0" t="n">
        <v>21.184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3360.492</v>
      </c>
      <c r="C11" s="0" t="n">
        <v>2930.498</v>
      </c>
      <c r="D11" s="0" t="n">
        <v>429.994</v>
      </c>
      <c r="E11" s="0" t="n">
        <v>12.7955668396175</v>
      </c>
      <c r="F11" s="0" t="n">
        <v>94.714</v>
      </c>
      <c r="G11" s="0" t="n">
        <v>2.8184563450828</v>
      </c>
      <c r="H11" s="0" t="n">
        <v>116.56</v>
      </c>
      <c r="I11" s="0" t="n">
        <v>46.165</v>
      </c>
      <c r="J11" s="0" t="n">
        <v>1.37375717603256</v>
      </c>
      <c r="K11" s="0" t="n">
        <v>0.94</v>
      </c>
      <c r="L11" s="0" t="n">
        <v>84.347</v>
      </c>
      <c r="M11" s="0" t="n">
        <v>24.824</v>
      </c>
      <c r="N11" s="0" t="n">
        <v>59.523</v>
      </c>
      <c r="O11" s="0" t="n">
        <v>843.652</v>
      </c>
      <c r="P11" s="0" t="n">
        <v>1769.505</v>
      </c>
      <c r="Q11" s="0" t="n">
        <v>925.853</v>
      </c>
      <c r="R11" s="0" t="n">
        <v>116.181</v>
      </c>
      <c r="S11" s="0" t="n">
        <v>115.377</v>
      </c>
      <c r="T11" s="0" t="n">
        <v>52.151</v>
      </c>
      <c r="U11" s="0" t="n">
        <v>24.656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3500.36</v>
      </c>
      <c r="C12" s="0" t="n">
        <v>3004.838</v>
      </c>
      <c r="D12" s="0" t="n">
        <v>495.522</v>
      </c>
      <c r="E12" s="0" t="n">
        <v>14.1563153504211</v>
      </c>
      <c r="F12" s="0" t="n">
        <v>97.233</v>
      </c>
      <c r="G12" s="0" t="n">
        <v>2.77779999771452</v>
      </c>
      <c r="H12" s="0" t="n">
        <v>121.435</v>
      </c>
      <c r="I12" s="0" t="n">
        <v>71.922</v>
      </c>
      <c r="J12" s="0" t="n">
        <v>2.05470294483996</v>
      </c>
      <c r="K12" s="0" t="n">
        <v>1.44</v>
      </c>
      <c r="L12" s="0" t="n">
        <v>262.554</v>
      </c>
      <c r="M12" s="0" t="n">
        <v>24.849</v>
      </c>
      <c r="N12" s="0" t="n">
        <v>237.705</v>
      </c>
      <c r="O12" s="0" t="n">
        <v>941.176</v>
      </c>
      <c r="P12" s="0" t="n">
        <v>1682.594</v>
      </c>
      <c r="Q12" s="0" t="n">
        <v>741.418</v>
      </c>
      <c r="R12" s="0" t="n">
        <v>0</v>
      </c>
      <c r="S12" s="0" t="n">
        <v>248.164</v>
      </c>
      <c r="T12" s="0" t="n">
        <v>51.716</v>
      </c>
      <c r="U12" s="0" t="n">
        <v>21.184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3339.281</v>
      </c>
      <c r="C13" s="0" t="n">
        <v>2813.071</v>
      </c>
      <c r="D13" s="0" t="n">
        <v>526.21</v>
      </c>
      <c r="E13" s="0" t="n">
        <v>15.7581826746536</v>
      </c>
      <c r="F13" s="0" t="n">
        <v>85.654</v>
      </c>
      <c r="G13" s="0" t="n">
        <v>2.56504319342996</v>
      </c>
      <c r="H13" s="0" t="n">
        <v>114.126</v>
      </c>
      <c r="I13" s="0" t="n">
        <v>84.314</v>
      </c>
      <c r="J13" s="0" t="n">
        <v>2.52491479453212</v>
      </c>
      <c r="K13" s="0" t="n">
        <v>1.65</v>
      </c>
      <c r="L13" s="0" t="n">
        <v>-30.334</v>
      </c>
      <c r="M13" s="0" t="n">
        <v>44.338</v>
      </c>
      <c r="N13" s="0" t="n">
        <v>-74.672</v>
      </c>
      <c r="O13" s="0" t="n">
        <v>1065.707</v>
      </c>
      <c r="P13" s="0" t="n">
        <v>1918.646</v>
      </c>
      <c r="Q13" s="0" t="n">
        <v>852.939</v>
      </c>
      <c r="R13" s="0" t="n">
        <v>5.697</v>
      </c>
      <c r="S13" s="0" t="n">
        <v>210.533</v>
      </c>
      <c r="T13" s="0" t="n">
        <v>52.838</v>
      </c>
      <c r="U13" s="0" t="n">
        <v>20.189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3557.422</v>
      </c>
      <c r="C14" s="0" t="n">
        <v>3022.884</v>
      </c>
      <c r="D14" s="0" t="n">
        <v>534.538</v>
      </c>
      <c r="E14" s="0" t="n">
        <v>15.0259935425148</v>
      </c>
      <c r="F14" s="0" t="n">
        <v>123.947</v>
      </c>
      <c r="G14" s="0" t="n">
        <v>3.4841803980523</v>
      </c>
      <c r="H14" s="0" t="n">
        <v>152.132</v>
      </c>
      <c r="I14" s="0" t="n">
        <v>111.871</v>
      </c>
      <c r="J14" s="0" t="n">
        <v>3.14472109297126</v>
      </c>
      <c r="K14" s="0" t="n">
        <v>2.19</v>
      </c>
      <c r="L14" s="0" t="n">
        <v>122.955</v>
      </c>
      <c r="M14" s="0" t="n">
        <v>58.016</v>
      </c>
      <c r="N14" s="0" t="n">
        <v>64.939</v>
      </c>
      <c r="O14" s="0" t="n">
        <v>1096.398</v>
      </c>
      <c r="P14" s="0" t="n">
        <v>2241.964</v>
      </c>
      <c r="Q14" s="0" t="n">
        <v>1145.566</v>
      </c>
      <c r="R14" s="0" t="n">
        <v>34.7</v>
      </c>
      <c r="S14" s="0" t="n">
        <v>232.266</v>
      </c>
      <c r="T14" s="0" t="n">
        <v>53.507</v>
      </c>
      <c r="U14" s="0" t="n">
        <v>28.549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5196.099</v>
      </c>
      <c r="C15" s="0" t="n">
        <v>4396.098</v>
      </c>
      <c r="D15" s="0" t="n">
        <v>800.001</v>
      </c>
      <c r="E15" s="0" t="n">
        <v>15.3961847147254</v>
      </c>
      <c r="F15" s="0" t="n">
        <v>335.167</v>
      </c>
      <c r="G15" s="0" t="n">
        <v>6.45035823990266</v>
      </c>
      <c r="H15" s="0" t="n">
        <v>359.967</v>
      </c>
      <c r="I15" s="0" t="n">
        <v>285.163</v>
      </c>
      <c r="J15" s="0" t="n">
        <v>5.48802091723041</v>
      </c>
      <c r="K15" s="0" t="n">
        <v>0.55</v>
      </c>
      <c r="L15" s="0" t="n">
        <v>-440.801</v>
      </c>
      <c r="M15" s="0" t="n">
        <v>45.182</v>
      </c>
      <c r="N15" s="0" t="n">
        <v>-485.983</v>
      </c>
      <c r="O15" s="0" t="n">
        <v>1425.747</v>
      </c>
      <c r="P15" s="0" t="n">
        <v>3205.077</v>
      </c>
      <c r="Q15" s="0" t="n">
        <v>1779.33</v>
      </c>
      <c r="R15" s="0" t="n">
        <v>147.618</v>
      </c>
      <c r="S15" s="0" t="n">
        <v>267.397</v>
      </c>
      <c r="T15" s="0" t="n">
        <v>536.155</v>
      </c>
      <c r="U15" s="0" t="n">
        <v>32.816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7123.482</v>
      </c>
      <c r="C16" s="0" t="n">
        <v>5840.47</v>
      </c>
      <c r="D16" s="0" t="n">
        <v>1283.012</v>
      </c>
      <c r="E16" s="0" t="n">
        <v>18.0110232608154</v>
      </c>
      <c r="F16" s="0" t="n">
        <v>761.142</v>
      </c>
      <c r="G16" s="0" t="n">
        <v>10.6849711980742</v>
      </c>
      <c r="H16" s="0" t="n">
        <v>788.042</v>
      </c>
      <c r="I16" s="0" t="n">
        <v>639.998</v>
      </c>
      <c r="J16" s="0" t="n">
        <v>8.98434220792584</v>
      </c>
      <c r="K16" s="0" t="n">
        <v>1.21</v>
      </c>
      <c r="L16" s="0" t="n">
        <v>663.58</v>
      </c>
      <c r="M16" s="0" t="n">
        <v>36.793</v>
      </c>
      <c r="N16" s="0" t="n">
        <v>626.787</v>
      </c>
      <c r="O16" s="0" t="n">
        <v>1972.17</v>
      </c>
      <c r="P16" s="0" t="n">
        <v>3674.729</v>
      </c>
      <c r="Q16" s="0" t="n">
        <v>1702.559</v>
      </c>
      <c r="R16" s="0" t="n">
        <v>120.179</v>
      </c>
      <c r="S16" s="0" t="n">
        <v>440.459</v>
      </c>
      <c r="T16" s="0" t="n">
        <v>559.704</v>
      </c>
      <c r="U16" s="0" t="n">
        <v>54.433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14989.251</v>
      </c>
      <c r="C17" s="0" t="n">
        <v>12927.841</v>
      </c>
      <c r="D17" s="0" t="n">
        <v>2061.41</v>
      </c>
      <c r="E17" s="0" t="n">
        <v>13.7525884382082</v>
      </c>
      <c r="F17" s="0" t="n">
        <v>1210.774</v>
      </c>
      <c r="G17" s="0" t="n">
        <v>8.07761508563703</v>
      </c>
      <c r="H17" s="0" t="n">
        <v>1240.874</v>
      </c>
      <c r="I17" s="0" t="n">
        <v>1152.666</v>
      </c>
      <c r="J17" s="0" t="n">
        <v>7.6899506186133</v>
      </c>
      <c r="K17" s="0" t="n">
        <v>2.07</v>
      </c>
      <c r="L17" s="0" t="n">
        <v>-2485.972</v>
      </c>
      <c r="M17" s="0" t="n">
        <v>124.279</v>
      </c>
      <c r="N17" s="0" t="n">
        <v>-2610.251</v>
      </c>
      <c r="O17" s="0" t="n">
        <v>5417.37</v>
      </c>
      <c r="P17" s="0" t="n">
        <v>9826.092</v>
      </c>
      <c r="Q17" s="0" t="n">
        <v>4408.722</v>
      </c>
      <c r="S17" s="0" t="n">
        <v>1669.766</v>
      </c>
      <c r="T17" s="0" t="n">
        <v>602.146</v>
      </c>
      <c r="U17" s="0" t="n">
        <v>231.507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21972.042</v>
      </c>
      <c r="C18" s="0" t="n">
        <v>19542.12</v>
      </c>
      <c r="D18" s="0" t="n">
        <v>2429.922</v>
      </c>
      <c r="E18" s="0" t="n">
        <v>11.0591541742001</v>
      </c>
      <c r="F18" s="0" t="n">
        <v>1252.994</v>
      </c>
      <c r="G18" s="0" t="n">
        <v>5.70267433495712</v>
      </c>
      <c r="H18" s="0" t="n">
        <v>1293.994</v>
      </c>
      <c r="I18" s="0" t="n">
        <v>1048.868</v>
      </c>
      <c r="J18" s="0" t="n">
        <v>4.77364825718065</v>
      </c>
      <c r="K18" s="0" t="n">
        <v>1.77</v>
      </c>
      <c r="L18" s="0" t="n">
        <v>1659.524</v>
      </c>
      <c r="M18" s="0" t="n">
        <v>127.214</v>
      </c>
      <c r="N18" s="0" t="n">
        <v>1532.31</v>
      </c>
      <c r="O18" s="0" t="n">
        <v>6301.871</v>
      </c>
      <c r="P18" s="0" t="n">
        <v>14018.429</v>
      </c>
      <c r="Q18" s="0" t="n">
        <v>7716.558</v>
      </c>
      <c r="S18" s="0" t="n">
        <v>5169.911</v>
      </c>
      <c r="T18" s="0" t="n">
        <v>628.402</v>
      </c>
      <c r="U18" s="0" t="n">
        <v>314.452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39063.072</v>
      </c>
      <c r="C19" s="0" t="n">
        <v>34835.821</v>
      </c>
      <c r="D19" s="0" t="n">
        <v>4227.251</v>
      </c>
      <c r="E19" s="0" t="n">
        <v>10.8216040970869</v>
      </c>
      <c r="F19" s="0" t="n">
        <v>2770.486</v>
      </c>
      <c r="G19" s="0" t="n">
        <v>7.09234030544244</v>
      </c>
      <c r="H19" s="0" t="n">
        <v>2823.486</v>
      </c>
      <c r="I19" s="0" t="n">
        <v>2230.453</v>
      </c>
      <c r="J19" s="0" t="n">
        <v>5.70987606914274</v>
      </c>
      <c r="K19" s="0" t="n">
        <v>3.65</v>
      </c>
      <c r="L19" s="0" t="n">
        <v>-6809.886</v>
      </c>
      <c r="M19" s="0" t="n">
        <v>161.999</v>
      </c>
      <c r="N19" s="0" t="n">
        <v>-6971.885</v>
      </c>
      <c r="O19" s="0" t="n">
        <v>14479.616</v>
      </c>
      <c r="P19" s="0" t="n">
        <v>29945.467</v>
      </c>
      <c r="Q19" s="0" t="n">
        <v>15465.851</v>
      </c>
      <c r="S19" s="0" t="n">
        <v>7521.474</v>
      </c>
      <c r="T19" s="0" t="n">
        <v>697.348</v>
      </c>
      <c r="U19" s="0" t="n">
        <v>412.115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41.92</v>
      </c>
    </row>
    <row r="3" customFormat="false" ht="15" hidden="false" customHeight="false" outlineLevel="0" collapsed="false">
      <c r="A3" s="0" t="s">
        <v>84</v>
      </c>
      <c r="B3" s="3" t="n">
        <v>809.3</v>
      </c>
    </row>
    <row r="4" customFormat="false" ht="15" hidden="false" customHeight="false" outlineLevel="0" collapsed="false">
      <c r="A4" s="0" t="s">
        <v>85</v>
      </c>
      <c r="B4" s="3" t="n">
        <v>1198.8</v>
      </c>
    </row>
    <row r="5" customFormat="false" ht="15" hidden="false" customHeight="false" outlineLevel="0" collapsed="false">
      <c r="A5" s="0" t="s">
        <v>86</v>
      </c>
      <c r="B5" s="3" t="n">
        <v>2861.1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39063.072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60</v>
      </c>
      <c r="D13" s="3" t="n">
        <v>-10</v>
      </c>
      <c r="E13" s="3" t="n">
        <v>-15</v>
      </c>
      <c r="F13" s="3" t="n">
        <v>-10</v>
      </c>
      <c r="G13" s="3" t="n">
        <v>0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105</v>
      </c>
      <c r="C14" s="3" t="n">
        <v>7</v>
      </c>
      <c r="D14" s="3" t="n">
        <v>6</v>
      </c>
      <c r="E14" s="3" t="n">
        <v>5</v>
      </c>
      <c r="F14" s="3" t="n">
        <v>4.5</v>
      </c>
      <c r="G14" s="3" t="n">
        <v>4.5</v>
      </c>
      <c r="H14" s="3" t="n">
        <v>5</v>
      </c>
      <c r="I14" s="3" t="n">
        <v>5</v>
      </c>
      <c r="J14" s="3" t="n">
        <v>5</v>
      </c>
      <c r="K14" s="3" t="n">
        <v>5</v>
      </c>
      <c r="L14" s="3" t="n">
        <v>5</v>
      </c>
    </row>
    <row r="15" customFormat="false" ht="15" hidden="false" customHeight="false" outlineLevel="0" collapsed="false">
      <c r="A15" s="0" t="s">
        <v>106</v>
      </c>
      <c r="C15" s="3" t="n">
        <v>1.15</v>
      </c>
      <c r="D15" s="3" t="n">
        <v>1.3</v>
      </c>
      <c r="E15" s="3" t="n">
        <v>1.5</v>
      </c>
      <c r="F15" s="3" t="n">
        <v>1.6</v>
      </c>
      <c r="G15" s="3" t="n">
        <v>1.6</v>
      </c>
      <c r="H15" s="3" t="n">
        <v>1.6</v>
      </c>
      <c r="I15" s="3" t="n">
        <v>1.6</v>
      </c>
      <c r="J15" s="3" t="n">
        <v>1.6</v>
      </c>
      <c r="K15" s="3" t="n">
        <v>1.6</v>
      </c>
      <c r="L15" s="3" t="n">
        <v>1.6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0.15</v>
      </c>
      <c r="D17" s="3" t="n">
        <v>0.2</v>
      </c>
      <c r="E17" s="3" t="n">
        <v>0.25</v>
      </c>
      <c r="F17" s="3" t="n">
        <v>0.3</v>
      </c>
      <c r="G17" s="3" t="n">
        <v>0.32</v>
      </c>
      <c r="H17" s="3" t="n">
        <v>0.32</v>
      </c>
      <c r="I17" s="3" t="n">
        <v>0.32</v>
      </c>
      <c r="J17" s="3" t="n">
        <v>0.32</v>
      </c>
      <c r="K17" s="3" t="n">
        <v>0.32</v>
      </c>
      <c r="L17" s="3" t="n">
        <v>0.32</v>
      </c>
    </row>
    <row r="18" customFormat="false" ht="15" hidden="false" customHeight="false" outlineLevel="0" collapsed="false">
      <c r="A18" s="0" t="s">
        <v>109</v>
      </c>
      <c r="C18" s="3" t="n">
        <v>0.62</v>
      </c>
      <c r="D18" s="3" t="n">
        <v>0.5</v>
      </c>
      <c r="E18" s="3" t="n">
        <v>0.45</v>
      </c>
      <c r="F18" s="3" t="n">
        <v>0.45</v>
      </c>
      <c r="G18" s="3" t="n">
        <v>0.45</v>
      </c>
      <c r="H18" s="3" t="n">
        <v>0.45</v>
      </c>
      <c r="I18" s="3" t="n">
        <v>0.45</v>
      </c>
      <c r="J18" s="3" t="n">
        <v>0.45</v>
      </c>
      <c r="K18" s="3" t="n">
        <v>0.45</v>
      </c>
      <c r="L18" s="3" t="n">
        <v>0.45</v>
      </c>
    </row>
    <row r="19" customFormat="false" ht="15" hidden="false" customHeight="false" outlineLevel="0" collapsed="false">
      <c r="A19" s="0" t="s">
        <v>110</v>
      </c>
      <c r="C19" s="3" t="n">
        <v>15</v>
      </c>
      <c r="D19" s="3" t="n">
        <v>16</v>
      </c>
      <c r="E19" s="3" t="n">
        <v>17</v>
      </c>
      <c r="F19" s="3" t="n">
        <v>17</v>
      </c>
      <c r="G19" s="3" t="n">
        <v>17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111</v>
      </c>
      <c r="B20" s="3" t="n">
        <v>10.5</v>
      </c>
    </row>
    <row r="21" customFormat="false" ht="15" hidden="false" customHeight="false" outlineLevel="0" collapsed="false">
      <c r="A21" s="0" t="s">
        <v>112</v>
      </c>
      <c r="B21" s="3" t="n">
        <v>2.5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-25</v>
      </c>
    </row>
    <row r="24" customFormat="false" ht="15" hidden="false" customHeight="false" outlineLevel="0" collapsed="false">
      <c r="A24" s="0" t="s">
        <v>115</v>
      </c>
      <c r="B24" s="3" t="n">
        <v>0.3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70</v>
      </c>
      <c r="D27" s="3" t="n">
        <v>15</v>
      </c>
      <c r="E27" s="3" t="n">
        <v>5</v>
      </c>
      <c r="F27" s="3" t="n">
        <v>-5</v>
      </c>
      <c r="G27" s="3" t="n">
        <v>0</v>
      </c>
      <c r="H27" s="3" t="n">
        <v>4</v>
      </c>
      <c r="I27" s="3" t="n">
        <v>4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105</v>
      </c>
      <c r="C28" s="3" t="n">
        <v>7.6</v>
      </c>
      <c r="D28" s="3" t="n">
        <v>7.4</v>
      </c>
      <c r="E28" s="3" t="n">
        <v>7.2</v>
      </c>
      <c r="F28" s="3" t="n">
        <v>6.8</v>
      </c>
      <c r="G28" s="3" t="n">
        <v>6.8</v>
      </c>
      <c r="H28" s="3" t="n">
        <v>7</v>
      </c>
      <c r="I28" s="3" t="n">
        <v>7</v>
      </c>
      <c r="J28" s="3" t="n">
        <v>7</v>
      </c>
      <c r="K28" s="3" t="n">
        <v>7</v>
      </c>
      <c r="L28" s="3" t="n">
        <v>7</v>
      </c>
    </row>
    <row r="29" customFormat="false" ht="15" hidden="false" customHeight="false" outlineLevel="0" collapsed="false">
      <c r="A29" s="0" t="s">
        <v>106</v>
      </c>
      <c r="C29" s="3" t="n">
        <v>1.1</v>
      </c>
      <c r="D29" s="3" t="n">
        <v>1.1</v>
      </c>
      <c r="E29" s="3" t="n">
        <v>1.15</v>
      </c>
      <c r="F29" s="3" t="n">
        <v>1.2</v>
      </c>
      <c r="G29" s="3" t="n">
        <v>1.2</v>
      </c>
      <c r="H29" s="3" t="n">
        <v>1.2</v>
      </c>
      <c r="I29" s="3" t="n">
        <v>1.2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0.15</v>
      </c>
      <c r="D31" s="3" t="n">
        <v>0.18</v>
      </c>
      <c r="E31" s="3" t="n">
        <v>0.21</v>
      </c>
      <c r="F31" s="3" t="n">
        <v>0.24</v>
      </c>
      <c r="G31" s="3" t="n">
        <v>0.27</v>
      </c>
      <c r="H31" s="3" t="n">
        <v>0.3</v>
      </c>
      <c r="I31" s="3" t="n">
        <v>0.3</v>
      </c>
      <c r="J31" s="3" t="n">
        <v>0.3</v>
      </c>
      <c r="K31" s="3" t="n">
        <v>0.3</v>
      </c>
      <c r="L31" s="3" t="n">
        <v>0.3</v>
      </c>
    </row>
    <row r="32" customFormat="false" ht="15" hidden="false" customHeight="false" outlineLevel="0" collapsed="false">
      <c r="A32" s="0" t="s">
        <v>109</v>
      </c>
      <c r="C32" s="3" t="n">
        <v>0.6</v>
      </c>
      <c r="D32" s="3" t="n">
        <v>0.5</v>
      </c>
      <c r="E32" s="3" t="n">
        <v>0.45</v>
      </c>
      <c r="F32" s="3" t="n">
        <v>0.45</v>
      </c>
      <c r="G32" s="3" t="n">
        <v>0.45</v>
      </c>
      <c r="H32" s="3" t="n">
        <v>0.45</v>
      </c>
      <c r="I32" s="3" t="n">
        <v>0.45</v>
      </c>
      <c r="J32" s="3" t="n">
        <v>0.45</v>
      </c>
      <c r="K32" s="3" t="n">
        <v>0.45</v>
      </c>
      <c r="L32" s="3" t="n">
        <v>0.45</v>
      </c>
    </row>
    <row r="33" customFormat="false" ht="15" hidden="false" customHeight="false" outlineLevel="0" collapsed="false">
      <c r="A33" s="0" t="s">
        <v>110</v>
      </c>
      <c r="C33" s="3" t="n">
        <v>15</v>
      </c>
      <c r="D33" s="3" t="n">
        <v>16</v>
      </c>
      <c r="E33" s="3" t="n">
        <v>17</v>
      </c>
      <c r="F33" s="3" t="n">
        <v>17</v>
      </c>
      <c r="G33" s="3" t="n">
        <v>17</v>
      </c>
      <c r="H33" s="3" t="n">
        <v>17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111</v>
      </c>
      <c r="B34" s="3" t="n">
        <v>10.5</v>
      </c>
    </row>
    <row r="35" customFormat="false" ht="15" hidden="false" customHeight="false" outlineLevel="0" collapsed="false">
      <c r="A35" s="0" t="s">
        <v>112</v>
      </c>
      <c r="B35" s="3" t="n">
        <v>3</v>
      </c>
    </row>
    <row r="36" customFormat="false" ht="15" hidden="false" customHeight="false" outlineLevel="0" collapsed="false">
      <c r="A36" s="0" t="s">
        <v>113</v>
      </c>
      <c r="B36" s="3" t="n">
        <v>12</v>
      </c>
    </row>
    <row r="37" customFormat="false" ht="15" hidden="false" customHeight="false" outlineLevel="0" collapsed="false">
      <c r="A37" s="0" t="s">
        <v>114</v>
      </c>
      <c r="B37" s="3" t="n">
        <v>-25</v>
      </c>
    </row>
    <row r="38" customFormat="false" ht="15" hidden="false" customHeight="false" outlineLevel="0" collapsed="false">
      <c r="A38" s="0" t="s">
        <v>115</v>
      </c>
      <c r="B38" s="3" t="n">
        <v>0.45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84</v>
      </c>
      <c r="D41" s="3" t="n">
        <v>25</v>
      </c>
      <c r="E41" s="3" t="n">
        <v>15</v>
      </c>
      <c r="F41" s="3" t="n">
        <v>8</v>
      </c>
      <c r="G41" s="3" t="n">
        <v>5</v>
      </c>
      <c r="H41" s="3" t="n">
        <v>5</v>
      </c>
      <c r="I41" s="3" t="n">
        <v>4</v>
      </c>
      <c r="J41" s="3" t="n">
        <v>4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8.3</v>
      </c>
      <c r="D42" s="3" t="n">
        <v>8.6</v>
      </c>
      <c r="E42" s="3" t="n">
        <v>8.8</v>
      </c>
      <c r="F42" s="3" t="n">
        <v>9</v>
      </c>
      <c r="G42" s="3" t="n">
        <v>9</v>
      </c>
      <c r="H42" s="3" t="n">
        <v>9</v>
      </c>
      <c r="I42" s="3" t="n">
        <v>9</v>
      </c>
      <c r="J42" s="3" t="n">
        <v>9</v>
      </c>
      <c r="K42" s="3" t="n">
        <v>9</v>
      </c>
      <c r="L42" s="3" t="n">
        <v>9</v>
      </c>
    </row>
    <row r="43" customFormat="false" ht="15" hidden="false" customHeight="false" outlineLevel="0" collapsed="false">
      <c r="A43" s="0" t="s">
        <v>106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0.15</v>
      </c>
      <c r="D45" s="3" t="n">
        <v>0.18</v>
      </c>
      <c r="E45" s="3" t="n">
        <v>0.21</v>
      </c>
      <c r="F45" s="3" t="n">
        <v>0.24</v>
      </c>
      <c r="G45" s="3" t="n">
        <v>0.27</v>
      </c>
      <c r="H45" s="3" t="n">
        <v>0.3</v>
      </c>
      <c r="I45" s="3" t="n">
        <v>0.3</v>
      </c>
      <c r="J45" s="3" t="n">
        <v>0.3</v>
      </c>
      <c r="K45" s="3" t="n">
        <v>0.3</v>
      </c>
      <c r="L45" s="3" t="n">
        <v>0.3</v>
      </c>
    </row>
    <row r="46" customFormat="false" ht="15" hidden="false" customHeight="false" outlineLevel="0" collapsed="false">
      <c r="A46" s="0" t="s">
        <v>109</v>
      </c>
      <c r="C46" s="3" t="n">
        <v>0.55</v>
      </c>
      <c r="D46" s="3" t="n">
        <v>0.5</v>
      </c>
      <c r="E46" s="3" t="n">
        <v>0.45</v>
      </c>
      <c r="F46" s="3" t="n">
        <v>0.45</v>
      </c>
      <c r="G46" s="3" t="n">
        <v>0.45</v>
      </c>
      <c r="H46" s="3" t="n">
        <v>0.45</v>
      </c>
      <c r="I46" s="3" t="n">
        <v>0.45</v>
      </c>
      <c r="J46" s="3" t="n">
        <v>0.45</v>
      </c>
      <c r="K46" s="3" t="n">
        <v>0.45</v>
      </c>
      <c r="L46" s="3" t="n">
        <v>0.45</v>
      </c>
    </row>
    <row r="47" customFormat="false" ht="15" hidden="false" customHeight="false" outlineLevel="0" collapsed="false">
      <c r="A47" s="0" t="s">
        <v>110</v>
      </c>
      <c r="C47" s="3" t="n">
        <v>15</v>
      </c>
      <c r="D47" s="3" t="n">
        <v>16</v>
      </c>
      <c r="E47" s="3" t="n">
        <v>17</v>
      </c>
      <c r="F47" s="3" t="n">
        <v>17</v>
      </c>
      <c r="G47" s="3" t="n">
        <v>17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111</v>
      </c>
      <c r="B48" s="3" t="n">
        <v>10.5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12</v>
      </c>
    </row>
    <row r="51" customFormat="false" ht="15" hidden="false" customHeight="false" outlineLevel="0" collapsed="false">
      <c r="A51" s="0" t="s">
        <v>114</v>
      </c>
      <c r="B51" s="3" t="n">
        <v>-25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60</v>
      </c>
      <c r="D5" s="4" t="n">
        <f aca="false">Assumptions!D13</f>
        <v>-10</v>
      </c>
      <c r="E5" s="4" t="n">
        <f aca="false">Assumptions!E13</f>
        <v>-15</v>
      </c>
      <c r="F5" s="4" t="n">
        <f aca="false">Assumptions!F13</f>
        <v>-10</v>
      </c>
      <c r="G5" s="4" t="n">
        <f aca="false">Assumptions!G13</f>
        <v>0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39063.072</v>
      </c>
      <c r="C6" s="0" t="n">
        <f aca="false">B6*(1+C5/100)</f>
        <v>62500.9152</v>
      </c>
      <c r="D6" s="0" t="n">
        <f aca="false">C6*(1+D5/100)</f>
        <v>56250.82368</v>
      </c>
      <c r="E6" s="0" t="n">
        <f aca="false">D6*(1+E5/100)</f>
        <v>47813.200128</v>
      </c>
      <c r="F6" s="0" t="n">
        <f aca="false">E6*(1+F5/100)</f>
        <v>43031.8801152</v>
      </c>
      <c r="G6" s="0" t="n">
        <f aca="false">F6*(1+G5/100)</f>
        <v>43031.8801152</v>
      </c>
      <c r="H6" s="0" t="n">
        <f aca="false">G6*(1+H5/100)</f>
        <v>44322.836518656</v>
      </c>
      <c r="I6" s="0" t="n">
        <f aca="false">H6*(1+I5/100)</f>
        <v>45652.5216142157</v>
      </c>
      <c r="J6" s="0" t="n">
        <f aca="false">I6*(1+J5/100)</f>
        <v>47022.0972626422</v>
      </c>
      <c r="K6" s="0" t="n">
        <f aca="false">J6*(1+K5/100)</f>
        <v>48197.6496942082</v>
      </c>
      <c r="L6" s="0" t="n">
        <f aca="false">K6*(1+L5/100)</f>
        <v>49402.5909365634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7</v>
      </c>
      <c r="D7" s="4" t="n">
        <f aca="false">Assumptions!D14</f>
        <v>6</v>
      </c>
      <c r="E7" s="4" t="n">
        <f aca="false">Assumptions!E14</f>
        <v>5</v>
      </c>
      <c r="F7" s="4" t="n">
        <f aca="false">Assumptions!F14</f>
        <v>4.5</v>
      </c>
      <c r="G7" s="4" t="n">
        <f aca="false">Assumptions!G14</f>
        <v>4.5</v>
      </c>
      <c r="H7" s="4" t="n">
        <f aca="false">Assumptions!H14</f>
        <v>5</v>
      </c>
      <c r="I7" s="4" t="n">
        <f aca="false">Assumptions!I14</f>
        <v>5</v>
      </c>
      <c r="J7" s="4" t="n">
        <f aca="false">Assumptions!J14</f>
        <v>5</v>
      </c>
      <c r="K7" s="4" t="n">
        <f aca="false">Assumptions!K14</f>
        <v>5</v>
      </c>
      <c r="L7" s="4" t="n">
        <f aca="false">Assumptions!L14</f>
        <v>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4375.064064</v>
      </c>
      <c r="D8" s="0" t="n">
        <f aca="false">D6*D7/100</f>
        <v>3375.0494208</v>
      </c>
      <c r="E8" s="0" t="n">
        <f aca="false">E6*E7/100</f>
        <v>2390.6600064</v>
      </c>
      <c r="F8" s="0" t="n">
        <f aca="false">F6*F7/100</f>
        <v>1936.434605184</v>
      </c>
      <c r="G8" s="0" t="n">
        <f aca="false">G6*G7/100</f>
        <v>1936.434605184</v>
      </c>
      <c r="H8" s="0" t="n">
        <f aca="false">H6*H7/100</f>
        <v>2216.1418259328</v>
      </c>
      <c r="I8" s="0" t="n">
        <f aca="false">I6*I7/100</f>
        <v>2282.62608071078</v>
      </c>
      <c r="J8" s="0" t="n">
        <f aca="false">J6*J7/100</f>
        <v>2351.10486313211</v>
      </c>
      <c r="K8" s="0" t="n">
        <f aca="false">K6*K7/100</f>
        <v>2409.88248471041</v>
      </c>
      <c r="L8" s="0" t="n">
        <f aca="false">L6*L7/100</f>
        <v>2470.12954682817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1.15</v>
      </c>
      <c r="D9" s="4" t="n">
        <f aca="false">Assumptions!D15</f>
        <v>1.3</v>
      </c>
      <c r="E9" s="4" t="n">
        <f aca="false">Assumptions!E15</f>
        <v>1.5</v>
      </c>
      <c r="F9" s="4" t="n">
        <f aca="false">Assumptions!F15</f>
        <v>1.6</v>
      </c>
      <c r="G9" s="4" t="n">
        <f aca="false">Assumptions!G15</f>
        <v>1.6</v>
      </c>
      <c r="H9" s="4" t="n">
        <f aca="false">Assumptions!H15</f>
        <v>1.6</v>
      </c>
      <c r="I9" s="4" t="n">
        <f aca="false">Assumptions!I15</f>
        <v>1.6</v>
      </c>
      <c r="J9" s="4" t="n">
        <f aca="false">Assumptions!J15</f>
        <v>1.6</v>
      </c>
      <c r="K9" s="4" t="n">
        <f aca="false">Assumptions!K15</f>
        <v>1.6</v>
      </c>
      <c r="L9" s="4" t="n">
        <f aca="false">Assumptions!L15</f>
        <v>1.6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-718.7605248</v>
      </c>
      <c r="D10" s="0" t="n">
        <f aca="false">-D6*D9/100</f>
        <v>-731.26070784</v>
      </c>
      <c r="E10" s="0" t="n">
        <f aca="false">-E6*E9/100</f>
        <v>-717.19800192</v>
      </c>
      <c r="F10" s="0" t="n">
        <f aca="false">-F6*F9/100</f>
        <v>-688.5100818432</v>
      </c>
      <c r="G10" s="0" t="n">
        <f aca="false">-G6*G9/100</f>
        <v>-688.5100818432</v>
      </c>
      <c r="H10" s="0" t="n">
        <f aca="false">-H6*H9/100</f>
        <v>-709.165384298496</v>
      </c>
      <c r="I10" s="0" t="n">
        <f aca="false">-I6*I9/100</f>
        <v>-730.440345827451</v>
      </c>
      <c r="J10" s="0" t="n">
        <f aca="false">-J6*J9/100</f>
        <v>-752.353556202275</v>
      </c>
      <c r="K10" s="0" t="n">
        <f aca="false">-K6*K9/100</f>
        <v>-771.162395107331</v>
      </c>
      <c r="L10" s="0" t="n">
        <f aca="false">-L6*L9/100</f>
        <v>-790.441454985015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3656.3035392</v>
      </c>
      <c r="D11" s="0" t="n">
        <f aca="false">D8+D10+D24</f>
        <v>2643.78871296</v>
      </c>
      <c r="E11" s="0" t="n">
        <f aca="false">E8+E10+E24</f>
        <v>1673.46200448</v>
      </c>
      <c r="F11" s="0" t="n">
        <f aca="false">F8+F10+F24</f>
        <v>1247.9245233408</v>
      </c>
      <c r="G11" s="0" t="n">
        <f aca="false">G8+G10+G24</f>
        <v>1247.9245233408</v>
      </c>
      <c r="H11" s="0" t="n">
        <f aca="false">H8+H10+H24</f>
        <v>1506.9764416343</v>
      </c>
      <c r="I11" s="0" t="n">
        <f aca="false">I8+I10+I24</f>
        <v>1552.18573488333</v>
      </c>
      <c r="J11" s="0" t="n">
        <f aca="false">J8+J10+J24</f>
        <v>1598.75130692983</v>
      </c>
      <c r="K11" s="0" t="n">
        <f aca="false">K8+K10+K24</f>
        <v>1638.72008960308</v>
      </c>
      <c r="L11" s="0" t="n">
        <f aca="false">L8+L10+L24</f>
        <v>1679.68809184316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-93.7513728</v>
      </c>
      <c r="D12" s="4" t="n">
        <f aca="false">-D6*Assumptions!D17/100</f>
        <v>-112.50164736</v>
      </c>
      <c r="E12" s="4" t="n">
        <f aca="false">-E6*Assumptions!E17/100</f>
        <v>-119.53300032</v>
      </c>
      <c r="F12" s="4" t="n">
        <f aca="false">-F6*Assumptions!F17/100</f>
        <v>-129.0956403456</v>
      </c>
      <c r="G12" s="4" t="n">
        <f aca="false">-G6*Assumptions!G17/100</f>
        <v>-137.70201636864</v>
      </c>
      <c r="H12" s="4" t="n">
        <f aca="false">-H6*Assumptions!H17/100</f>
        <v>-141.833076859699</v>
      </c>
      <c r="I12" s="4" t="n">
        <f aca="false">-I6*Assumptions!I17/100</f>
        <v>-146.08806916549</v>
      </c>
      <c r="J12" s="4" t="n">
        <f aca="false">-J6*Assumptions!J17/100</f>
        <v>-150.470711240455</v>
      </c>
      <c r="K12" s="4" t="n">
        <f aca="false">-K6*Assumptions!K17/100</f>
        <v>-154.232479021466</v>
      </c>
      <c r="L12" s="4" t="n">
        <f aca="false">-L6*Assumptions!L17/100</f>
        <v>-158.088290997003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3562.5521664</v>
      </c>
      <c r="D13" s="0" t="n">
        <f aca="false">D11+D12</f>
        <v>2531.2870656</v>
      </c>
      <c r="E13" s="0" t="n">
        <f aca="false">E11+E12</f>
        <v>1553.92900416</v>
      </c>
      <c r="F13" s="0" t="n">
        <f aca="false">F11+F12</f>
        <v>1118.8288829952</v>
      </c>
      <c r="G13" s="0" t="n">
        <f aca="false">G11+G12</f>
        <v>1110.22250697216</v>
      </c>
      <c r="H13" s="0" t="n">
        <f aca="false">H11+H12</f>
        <v>1365.1433647746</v>
      </c>
      <c r="I13" s="0" t="n">
        <f aca="false">I11+I12</f>
        <v>1406.09766571784</v>
      </c>
      <c r="J13" s="0" t="n">
        <f aca="false">J11+J12</f>
        <v>1448.28059568938</v>
      </c>
      <c r="K13" s="0" t="n">
        <f aca="false">K11+K12</f>
        <v>1484.48761058161</v>
      </c>
      <c r="L13" s="0" t="n">
        <f aca="false">L11+L12</f>
        <v>1521.59980084615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15</v>
      </c>
      <c r="D14" s="4" t="n">
        <f aca="false">Assumptions!D19</f>
        <v>16</v>
      </c>
      <c r="E14" s="4" t="n">
        <f aca="false">Assumptions!E19</f>
        <v>17</v>
      </c>
      <c r="F14" s="4" t="n">
        <f aca="false">Assumptions!F19</f>
        <v>17</v>
      </c>
      <c r="G14" s="4" t="n">
        <f aca="false">Assumptions!G19</f>
        <v>17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3028.16934144</v>
      </c>
      <c r="D15" s="0" t="n">
        <f aca="false">D13-MAX(0,D13)*D14/100</f>
        <v>2126.281135104</v>
      </c>
      <c r="E15" s="0" t="n">
        <f aca="false">E13-MAX(0,E13)*E14/100</f>
        <v>1289.7610734528</v>
      </c>
      <c r="F15" s="0" t="n">
        <f aca="false">F13-MAX(0,F13)*F14/100</f>
        <v>928.627972886016</v>
      </c>
      <c r="G15" s="0" t="n">
        <f aca="false">G13-MAX(0,G13)*G14/100</f>
        <v>921.484680786893</v>
      </c>
      <c r="H15" s="0" t="n">
        <f aca="false">H13-MAX(0,H13)*H14/100</f>
        <v>1133.06899276292</v>
      </c>
      <c r="I15" s="0" t="n">
        <f aca="false">I13-MAX(0,I13)*I14/100</f>
        <v>1167.06106254581</v>
      </c>
      <c r="J15" s="0" t="n">
        <f aca="false">J13-MAX(0,J13)*J14/100</f>
        <v>1202.07289442218</v>
      </c>
      <c r="K15" s="0" t="n">
        <f aca="false">K13-MAX(0,K13)*K14/100</f>
        <v>1232.12471678274</v>
      </c>
      <c r="L15" s="0" t="n">
        <f aca="false">L13-MAX(0,L13)*L14/100</f>
        <v>1262.92783470231</v>
      </c>
    </row>
    <row r="16" customFormat="false" ht="15" hidden="false" customHeight="false" outlineLevel="0" collapsed="false">
      <c r="A16" s="0" t="s">
        <v>126</v>
      </c>
      <c r="C16" s="0" t="n">
        <f aca="false">-C12</f>
        <v>93.7513728</v>
      </c>
      <c r="D16" s="0" t="n">
        <f aca="false">-D12</f>
        <v>112.50164736</v>
      </c>
      <c r="E16" s="0" t="n">
        <f aca="false">-E12</f>
        <v>119.53300032</v>
      </c>
      <c r="F16" s="0" t="n">
        <f aca="false">-F12</f>
        <v>129.0956403456</v>
      </c>
      <c r="G16" s="0" t="n">
        <f aca="false">-G12</f>
        <v>137.70201636864</v>
      </c>
      <c r="H16" s="0" t="n">
        <f aca="false">-H12</f>
        <v>141.833076859699</v>
      </c>
      <c r="I16" s="0" t="n">
        <f aca="false">-I12</f>
        <v>146.08806916549</v>
      </c>
      <c r="J16" s="0" t="n">
        <f aca="false">-J12</f>
        <v>150.470711240455</v>
      </c>
      <c r="K16" s="0" t="n">
        <f aca="false">-K12</f>
        <v>154.232479021466</v>
      </c>
      <c r="L16" s="0" t="n">
        <f aca="false">-L12</f>
        <v>158.088290997003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-387.50567424</v>
      </c>
      <c r="D17" s="4" t="n">
        <f aca="false">-D6*Assumptions!D18/100</f>
        <v>-281.2541184</v>
      </c>
      <c r="E17" s="4" t="n">
        <f aca="false">-E6*Assumptions!E18/100</f>
        <v>-215.159400576</v>
      </c>
      <c r="F17" s="4" t="n">
        <f aca="false">-F6*Assumptions!F18/100</f>
        <v>-193.6434605184</v>
      </c>
      <c r="G17" s="4" t="n">
        <f aca="false">-G6*Assumptions!G18/100</f>
        <v>-193.6434605184</v>
      </c>
      <c r="H17" s="4" t="n">
        <f aca="false">-H6*Assumptions!H18/100</f>
        <v>-199.452764333952</v>
      </c>
      <c r="I17" s="4" t="n">
        <f aca="false">-I6*Assumptions!I18/100</f>
        <v>-205.436347263971</v>
      </c>
      <c r="J17" s="4" t="n">
        <f aca="false">-J6*Assumptions!J18/100</f>
        <v>-211.59943768189</v>
      </c>
      <c r="K17" s="4" t="n">
        <f aca="false">-K6*Assumptions!K18/100</f>
        <v>-216.889423623937</v>
      </c>
      <c r="L17" s="4" t="n">
        <f aca="false">-L6*Assumptions!L18/100</f>
        <v>-222.311659214535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-5859.4608</v>
      </c>
      <c r="D18" s="4" t="n">
        <f aca="false">(D6-C6)*Assumptions!$B$23/100</f>
        <v>1562.52288</v>
      </c>
      <c r="E18" s="4" t="n">
        <f aca="false">(E6-D6)*Assumptions!$B$23/100</f>
        <v>2109.405888</v>
      </c>
      <c r="F18" s="4" t="n">
        <f aca="false">(F6-E6)*Assumptions!$B$23/100</f>
        <v>1195.3300032</v>
      </c>
      <c r="G18" s="4" t="n">
        <f aca="false">(G6-F6)*Assumptions!$B$23/100</f>
        <v>-0</v>
      </c>
      <c r="H18" s="4" t="n">
        <f aca="false">(H6-G6)*Assumptions!$B$23/100</f>
        <v>-322.739100864001</v>
      </c>
      <c r="I18" s="4" t="n">
        <f aca="false">(I6-H6)*Assumptions!$B$23/100</f>
        <v>-332.421273889921</v>
      </c>
      <c r="J18" s="4" t="n">
        <f aca="false">(J6-I6)*Assumptions!$B$23/100</f>
        <v>-342.393912106618</v>
      </c>
      <c r="K18" s="4" t="n">
        <f aca="false">(K6-J6)*Assumptions!$B$23/100</f>
        <v>-293.888107891513</v>
      </c>
      <c r="L18" s="4" t="n">
        <f aca="false">(L6-K6)*Assumptions!$B$23/100</f>
        <v>-301.2353105888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-3125.04576</v>
      </c>
      <c r="D19" s="0" t="n">
        <f aca="false">D15+D16+D17+D18</f>
        <v>3520.051544064</v>
      </c>
      <c r="E19" s="0" t="n">
        <f aca="false">E15+E16+E17+E18</f>
        <v>3303.5405611968</v>
      </c>
      <c r="F19" s="0" t="n">
        <f aca="false">F15+F16+F17+F18</f>
        <v>2059.41015591322</v>
      </c>
      <c r="G19" s="0" t="n">
        <f aca="false">G15+G16+G17+G18</f>
        <v>865.543236637133</v>
      </c>
      <c r="H19" s="0" t="n">
        <f aca="false">H15+H16+H17+H18</f>
        <v>752.710204424669</v>
      </c>
      <c r="I19" s="0" t="n">
        <f aca="false">I15+I16+I17+I18</f>
        <v>775.291510557409</v>
      </c>
      <c r="J19" s="0" t="n">
        <f aca="false">J15+J16+J17+J18</f>
        <v>798.550255874132</v>
      </c>
      <c r="K19" s="0" t="n">
        <f aca="false">K15+K16+K17+K18</f>
        <v>875.579664288755</v>
      </c>
      <c r="L19" s="0" t="n">
        <f aca="false">L15+L16+L17+L18</f>
        <v>897.469155895975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-2828.09571040724</v>
      </c>
      <c r="D21" s="0" t="n">
        <f aca="false">D19*D20</f>
        <v>2882.86607077169</v>
      </c>
      <c r="E21" s="0" t="n">
        <f aca="false">E19*E20</f>
        <v>2448.45884985682</v>
      </c>
      <c r="F21" s="0" t="n">
        <f aca="false">F19*F20</f>
        <v>1381.31821272222</v>
      </c>
      <c r="G21" s="0" t="n">
        <f aca="false">G19*G20</f>
        <v>525.384646430711</v>
      </c>
      <c r="H21" s="0" t="n">
        <f aca="false">H19*H20</f>
        <v>413.479645864467</v>
      </c>
      <c r="I21" s="0" t="n">
        <f aca="false">I19*I20</f>
        <v>385.41541650715</v>
      </c>
      <c r="J21" s="0" t="n">
        <f aca="false">J19*J20</f>
        <v>359.255999097163</v>
      </c>
      <c r="K21" s="0" t="n">
        <f aca="false">K19*K20</f>
        <v>356.479995888175</v>
      </c>
      <c r="L21" s="0" t="n">
        <f aca="false">L19*L20</f>
        <v>330.671489398534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6255.23461612969</v>
      </c>
    </row>
    <row r="31" customFormat="false" ht="15" hidden="false" customHeight="false" outlineLevel="0" collapsed="false">
      <c r="A31" s="0" t="s">
        <v>135</v>
      </c>
      <c r="B31" s="0" t="n">
        <f aca="false">L19</f>
        <v>897.469155895975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11498.8235599172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10769.6298707517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10769.6298707517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3968.05787278241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10223.2924889121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11885.5924889121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14.6862628060201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-0.649659761306772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4357.00248814114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3731.47732671701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24.6806775037319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7359.24707834699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10.5699018654849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70</v>
      </c>
      <c r="D5" s="4" t="n">
        <f aca="false">Assumptions!D27</f>
        <v>15</v>
      </c>
      <c r="E5" s="4" t="n">
        <f aca="false">Assumptions!E27</f>
        <v>5</v>
      </c>
      <c r="F5" s="4" t="n">
        <f aca="false">Assumptions!F27</f>
        <v>-5</v>
      </c>
      <c r="G5" s="4" t="n">
        <f aca="false">Assumptions!G27</f>
        <v>0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39063.072</v>
      </c>
      <c r="C6" s="0" t="n">
        <f aca="false">B6*(1+C5/100)</f>
        <v>66407.2224</v>
      </c>
      <c r="D6" s="0" t="n">
        <f aca="false">C6*(1+D5/100)</f>
        <v>76368.30576</v>
      </c>
      <c r="E6" s="0" t="n">
        <f aca="false">D6*(1+E5/100)</f>
        <v>80186.721048</v>
      </c>
      <c r="F6" s="0" t="n">
        <f aca="false">E6*(1+F5/100)</f>
        <v>76177.3849956</v>
      </c>
      <c r="G6" s="0" t="n">
        <f aca="false">F6*(1+G5/100)</f>
        <v>76177.3849956</v>
      </c>
      <c r="H6" s="0" t="n">
        <f aca="false">G6*(1+H5/100)</f>
        <v>79224.480395424</v>
      </c>
      <c r="I6" s="0" t="n">
        <f aca="false">H6*(1+I5/100)</f>
        <v>82393.459611241</v>
      </c>
      <c r="J6" s="0" t="n">
        <f aca="false">I6*(1+J5/100)</f>
        <v>84865.2633995782</v>
      </c>
      <c r="K6" s="0" t="n">
        <f aca="false">J6*(1+K5/100)</f>
        <v>87411.2213015655</v>
      </c>
      <c r="L6" s="0" t="n">
        <f aca="false">K6*(1+L5/100)</f>
        <v>90033.5579406125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7.6</v>
      </c>
      <c r="D7" s="4" t="n">
        <f aca="false">Assumptions!D28</f>
        <v>7.4</v>
      </c>
      <c r="E7" s="4" t="n">
        <f aca="false">Assumptions!E28</f>
        <v>7.2</v>
      </c>
      <c r="F7" s="4" t="n">
        <f aca="false">Assumptions!F28</f>
        <v>6.8</v>
      </c>
      <c r="G7" s="4" t="n">
        <f aca="false">Assumptions!G28</f>
        <v>6.8</v>
      </c>
      <c r="H7" s="4" t="n">
        <f aca="false">Assumptions!H28</f>
        <v>7</v>
      </c>
      <c r="I7" s="4" t="n">
        <f aca="false">Assumptions!I28</f>
        <v>7</v>
      </c>
      <c r="J7" s="4" t="n">
        <f aca="false">Assumptions!J28</f>
        <v>7</v>
      </c>
      <c r="K7" s="4" t="n">
        <f aca="false">Assumptions!K28</f>
        <v>7</v>
      </c>
      <c r="L7" s="4" t="n">
        <f aca="false">Assumptions!L28</f>
        <v>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5046.9489024</v>
      </c>
      <c r="D8" s="0" t="n">
        <f aca="false">D6*D7/100</f>
        <v>5651.25462624</v>
      </c>
      <c r="E8" s="0" t="n">
        <f aca="false">E6*E7/100</f>
        <v>5773.443915456</v>
      </c>
      <c r="F8" s="0" t="n">
        <f aca="false">F6*F7/100</f>
        <v>5180.0621797008</v>
      </c>
      <c r="G8" s="0" t="n">
        <f aca="false">G6*G7/100</f>
        <v>5180.0621797008</v>
      </c>
      <c r="H8" s="0" t="n">
        <f aca="false">H6*H7/100</f>
        <v>5545.71362767968</v>
      </c>
      <c r="I8" s="0" t="n">
        <f aca="false">I6*I7/100</f>
        <v>5767.54217278687</v>
      </c>
      <c r="J8" s="0" t="n">
        <f aca="false">J6*J7/100</f>
        <v>5940.56843797047</v>
      </c>
      <c r="K8" s="0" t="n">
        <f aca="false">K6*K7/100</f>
        <v>6118.78549110959</v>
      </c>
      <c r="L8" s="0" t="n">
        <f aca="false">L6*L7/100</f>
        <v>6302.34905584288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1.1</v>
      </c>
      <c r="D9" s="4" t="n">
        <f aca="false">Assumptions!D29</f>
        <v>1.1</v>
      </c>
      <c r="E9" s="4" t="n">
        <f aca="false">Assumptions!E29</f>
        <v>1.15</v>
      </c>
      <c r="F9" s="4" t="n">
        <f aca="false">Assumptions!F29</f>
        <v>1.2</v>
      </c>
      <c r="G9" s="4" t="n">
        <f aca="false">Assumptions!G29</f>
        <v>1.2</v>
      </c>
      <c r="H9" s="4" t="n">
        <f aca="false">Assumptions!H29</f>
        <v>1.2</v>
      </c>
      <c r="I9" s="4" t="n">
        <f aca="false">Assumptions!I29</f>
        <v>1.2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-730.4794464</v>
      </c>
      <c r="D10" s="0" t="n">
        <f aca="false">-D6*D9/100</f>
        <v>-840.05136336</v>
      </c>
      <c r="E10" s="0" t="n">
        <f aca="false">-E6*E9/100</f>
        <v>-922.147292052</v>
      </c>
      <c r="F10" s="0" t="n">
        <f aca="false">-F6*F9/100</f>
        <v>-914.1286199472</v>
      </c>
      <c r="G10" s="0" t="n">
        <f aca="false">-G6*G9/100</f>
        <v>-914.1286199472</v>
      </c>
      <c r="H10" s="0" t="n">
        <f aca="false">-H6*H9/100</f>
        <v>-950.693764745088</v>
      </c>
      <c r="I10" s="0" t="n">
        <f aca="false">-I6*I9/100</f>
        <v>-988.721515334891</v>
      </c>
      <c r="J10" s="0" t="n">
        <f aca="false">-J6*J9/100</f>
        <v>-1018.38316079494</v>
      </c>
      <c r="K10" s="0" t="n">
        <f aca="false">-K6*K9/100</f>
        <v>-1048.93465561879</v>
      </c>
      <c r="L10" s="0" t="n">
        <f aca="false">-L6*L9/100</f>
        <v>-1080.40269528735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4316.469456</v>
      </c>
      <c r="D11" s="0" t="n">
        <f aca="false">D8+D10+D24</f>
        <v>4811.20326288</v>
      </c>
      <c r="E11" s="0" t="n">
        <f aca="false">E8+E10+E24</f>
        <v>4851.296623404</v>
      </c>
      <c r="F11" s="0" t="n">
        <f aca="false">F8+F10+F24</f>
        <v>4265.9335597536</v>
      </c>
      <c r="G11" s="0" t="n">
        <f aca="false">G8+G10+G24</f>
        <v>4265.9335597536</v>
      </c>
      <c r="H11" s="0" t="n">
        <f aca="false">H8+H10+H24</f>
        <v>4595.01986293459</v>
      </c>
      <c r="I11" s="0" t="n">
        <f aca="false">I8+I10+I24</f>
        <v>4778.82065745197</v>
      </c>
      <c r="J11" s="0" t="n">
        <f aca="false">J8+J10+J24</f>
        <v>4922.18527717554</v>
      </c>
      <c r="K11" s="0" t="n">
        <f aca="false">K8+K10+K24</f>
        <v>5069.8508354908</v>
      </c>
      <c r="L11" s="0" t="n">
        <f aca="false">L8+L10+L24</f>
        <v>5221.94636055553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-99.6108336</v>
      </c>
      <c r="D12" s="4" t="n">
        <f aca="false">-D6*Assumptions!D31/100</f>
        <v>-137.462950368</v>
      </c>
      <c r="E12" s="4" t="n">
        <f aca="false">-E6*Assumptions!E31/100</f>
        <v>-168.3921142008</v>
      </c>
      <c r="F12" s="4" t="n">
        <f aca="false">-F6*Assumptions!F31/100</f>
        <v>-182.82572398944</v>
      </c>
      <c r="G12" s="4" t="n">
        <f aca="false">-G6*Assumptions!G31/100</f>
        <v>-205.67893948812</v>
      </c>
      <c r="H12" s="4" t="n">
        <f aca="false">-H6*Assumptions!H31/100</f>
        <v>-237.673441186272</v>
      </c>
      <c r="I12" s="4" t="n">
        <f aca="false">-I6*Assumptions!I31/100</f>
        <v>-247.180378833723</v>
      </c>
      <c r="J12" s="4" t="n">
        <f aca="false">-J6*Assumptions!J31/100</f>
        <v>-254.595790198735</v>
      </c>
      <c r="K12" s="4" t="n">
        <f aca="false">-K6*Assumptions!K31/100</f>
        <v>-262.233663904697</v>
      </c>
      <c r="L12" s="4" t="n">
        <f aca="false">-L6*Assumptions!L31/100</f>
        <v>-270.100673821838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4216.8586224</v>
      </c>
      <c r="D13" s="0" t="n">
        <f aca="false">D11+D12</f>
        <v>4673.740312512</v>
      </c>
      <c r="E13" s="0" t="n">
        <f aca="false">E11+E12</f>
        <v>4682.9045092032</v>
      </c>
      <c r="F13" s="0" t="n">
        <f aca="false">F11+F12</f>
        <v>4083.10783576416</v>
      </c>
      <c r="G13" s="0" t="n">
        <f aca="false">G11+G12</f>
        <v>4060.25462026548</v>
      </c>
      <c r="H13" s="0" t="n">
        <f aca="false">H11+H12</f>
        <v>4357.34642174832</v>
      </c>
      <c r="I13" s="0" t="n">
        <f aca="false">I11+I12</f>
        <v>4531.64027861825</v>
      </c>
      <c r="J13" s="0" t="n">
        <f aca="false">J11+J12</f>
        <v>4667.5894869768</v>
      </c>
      <c r="K13" s="0" t="n">
        <f aca="false">K11+K12</f>
        <v>4807.61717158611</v>
      </c>
      <c r="L13" s="0" t="n">
        <f aca="false">L11+L12</f>
        <v>4951.84568673369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15</v>
      </c>
      <c r="D14" s="4" t="n">
        <f aca="false">Assumptions!D33</f>
        <v>16</v>
      </c>
      <c r="E14" s="4" t="n">
        <f aca="false">Assumptions!E33</f>
        <v>17</v>
      </c>
      <c r="F14" s="4" t="n">
        <f aca="false">Assumptions!F33</f>
        <v>17</v>
      </c>
      <c r="G14" s="4" t="n">
        <f aca="false">Assumptions!G33</f>
        <v>17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3584.32982904</v>
      </c>
      <c r="D15" s="0" t="n">
        <f aca="false">D13-MAX(0,D13)*D14/100</f>
        <v>3925.94186251008</v>
      </c>
      <c r="E15" s="0" t="n">
        <f aca="false">E13-MAX(0,E13)*E14/100</f>
        <v>3886.81074263865</v>
      </c>
      <c r="F15" s="0" t="n">
        <f aca="false">F13-MAX(0,F13)*F14/100</f>
        <v>3388.97950368425</v>
      </c>
      <c r="G15" s="0" t="n">
        <f aca="false">G13-MAX(0,G13)*G14/100</f>
        <v>3370.01133482035</v>
      </c>
      <c r="H15" s="0" t="n">
        <f aca="false">H13-MAX(0,H13)*H14/100</f>
        <v>3616.59753005111</v>
      </c>
      <c r="I15" s="0" t="n">
        <f aca="false">I13-MAX(0,I13)*I14/100</f>
        <v>3761.26143125315</v>
      </c>
      <c r="J15" s="0" t="n">
        <f aca="false">J13-MAX(0,J13)*J14/100</f>
        <v>3874.09927419074</v>
      </c>
      <c r="K15" s="0" t="n">
        <f aca="false">K13-MAX(0,K13)*K14/100</f>
        <v>3990.32225241647</v>
      </c>
      <c r="L15" s="0" t="n">
        <f aca="false">L13-MAX(0,L13)*L14/100</f>
        <v>4110.03191998896</v>
      </c>
    </row>
    <row r="16" customFormat="false" ht="15" hidden="false" customHeight="false" outlineLevel="0" collapsed="false">
      <c r="A16" s="0" t="s">
        <v>126</v>
      </c>
      <c r="C16" s="0" t="n">
        <f aca="false">-C12</f>
        <v>99.6108336</v>
      </c>
      <c r="D16" s="0" t="n">
        <f aca="false">-D12</f>
        <v>137.462950368</v>
      </c>
      <c r="E16" s="0" t="n">
        <f aca="false">-E12</f>
        <v>168.3921142008</v>
      </c>
      <c r="F16" s="0" t="n">
        <f aca="false">-F12</f>
        <v>182.82572398944</v>
      </c>
      <c r="G16" s="0" t="n">
        <f aca="false">-G12</f>
        <v>205.67893948812</v>
      </c>
      <c r="H16" s="0" t="n">
        <f aca="false">-H12</f>
        <v>237.673441186272</v>
      </c>
      <c r="I16" s="0" t="n">
        <f aca="false">-I12</f>
        <v>247.180378833723</v>
      </c>
      <c r="J16" s="0" t="n">
        <f aca="false">-J12</f>
        <v>254.595790198735</v>
      </c>
      <c r="K16" s="0" t="n">
        <f aca="false">-K12</f>
        <v>262.233663904697</v>
      </c>
      <c r="L16" s="0" t="n">
        <f aca="false">-L12</f>
        <v>270.100673821838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-398.4433344</v>
      </c>
      <c r="D17" s="4" t="n">
        <f aca="false">-D6*Assumptions!D32/100</f>
        <v>-381.8415288</v>
      </c>
      <c r="E17" s="4" t="n">
        <f aca="false">-E6*Assumptions!E32/100</f>
        <v>-360.840244716</v>
      </c>
      <c r="F17" s="4" t="n">
        <f aca="false">-F6*Assumptions!F32/100</f>
        <v>-342.7982324802</v>
      </c>
      <c r="G17" s="4" t="n">
        <f aca="false">-G6*Assumptions!G32/100</f>
        <v>-342.7982324802</v>
      </c>
      <c r="H17" s="4" t="n">
        <f aca="false">-H6*Assumptions!H32/100</f>
        <v>-356.510161779408</v>
      </c>
      <c r="I17" s="4" t="n">
        <f aca="false">-I6*Assumptions!I32/100</f>
        <v>-370.770568250584</v>
      </c>
      <c r="J17" s="4" t="n">
        <f aca="false">-J6*Assumptions!J32/100</f>
        <v>-381.893685298102</v>
      </c>
      <c r="K17" s="4" t="n">
        <f aca="false">-K6*Assumptions!K32/100</f>
        <v>-393.350495857045</v>
      </c>
      <c r="L17" s="4" t="n">
        <f aca="false">-L6*Assumptions!L32/100</f>
        <v>-405.151010732756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-6836.0376</v>
      </c>
      <c r="D18" s="4" t="n">
        <f aca="false">(D6-C6)*Assumptions!$B$37/100</f>
        <v>-2490.27084</v>
      </c>
      <c r="E18" s="4" t="n">
        <f aca="false">(E6-D6)*Assumptions!$B$37/100</f>
        <v>-954.603822000001</v>
      </c>
      <c r="F18" s="4" t="n">
        <f aca="false">(F6-E6)*Assumptions!$B$37/100</f>
        <v>1002.3340131</v>
      </c>
      <c r="G18" s="4" t="n">
        <f aca="false">(G6-F6)*Assumptions!$B$37/100</f>
        <v>-0</v>
      </c>
      <c r="H18" s="4" t="n">
        <f aca="false">(H6-G6)*Assumptions!$B$37/100</f>
        <v>-761.773849956</v>
      </c>
      <c r="I18" s="4" t="n">
        <f aca="false">(I6-H6)*Assumptions!$B$37/100</f>
        <v>-792.24480395424</v>
      </c>
      <c r="J18" s="4" t="n">
        <f aca="false">(J6-I6)*Assumptions!$B$37/100</f>
        <v>-617.950947084308</v>
      </c>
      <c r="K18" s="4" t="n">
        <f aca="false">(K6-J6)*Assumptions!$B$37/100</f>
        <v>-636.489475496837</v>
      </c>
      <c r="L18" s="4" t="n">
        <f aca="false">(L6-K6)*Assumptions!$B$37/100</f>
        <v>-655.584159761744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-3550.54027176</v>
      </c>
      <c r="D19" s="0" t="n">
        <f aca="false">D15+D16+D17+D18</f>
        <v>1191.29244407808</v>
      </c>
      <c r="E19" s="0" t="n">
        <f aca="false">E15+E16+E17+E18</f>
        <v>2739.75879012345</v>
      </c>
      <c r="F19" s="0" t="n">
        <f aca="false">F15+F16+F17+F18</f>
        <v>4231.34100829349</v>
      </c>
      <c r="G19" s="0" t="n">
        <f aca="false">G15+G16+G17+G18</f>
        <v>3232.89204182827</v>
      </c>
      <c r="H19" s="0" t="n">
        <f aca="false">H15+H16+H17+H18</f>
        <v>2735.98695950197</v>
      </c>
      <c r="I19" s="0" t="n">
        <f aca="false">I15+I16+I17+I18</f>
        <v>2845.42643788205</v>
      </c>
      <c r="J19" s="0" t="n">
        <f aca="false">J15+J16+J17+J18</f>
        <v>3128.85043200707</v>
      </c>
      <c r="K19" s="0" t="n">
        <f aca="false">K15+K16+K17+K18</f>
        <v>3222.71594496728</v>
      </c>
      <c r="L19" s="0" t="n">
        <f aca="false">L15+L16+L17+L18</f>
        <v>3319.3974233163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-3213.15861697738</v>
      </c>
      <c r="D21" s="0" t="n">
        <f aca="false">D19*D20</f>
        <v>975.649510925724</v>
      </c>
      <c r="E21" s="0" t="n">
        <f aca="false">E19*E20</f>
        <v>2030.60520429044</v>
      </c>
      <c r="F21" s="0" t="n">
        <f aca="false">F19*F20</f>
        <v>2838.10798068168</v>
      </c>
      <c r="G21" s="0" t="n">
        <f aca="false">G19*G20</f>
        <v>1962.36510257278</v>
      </c>
      <c r="H21" s="0" t="n">
        <f aca="false">H19*H20</f>
        <v>1502.93554206477</v>
      </c>
      <c r="I21" s="0" t="n">
        <f aca="false">I19*I20</f>
        <v>1414.52756900214</v>
      </c>
      <c r="J21" s="0" t="n">
        <f aca="false">J19*J20</f>
        <v>1407.6237277588</v>
      </c>
      <c r="K21" s="0" t="n">
        <f aca="false">K19*K20</f>
        <v>1312.08365573897</v>
      </c>
      <c r="L21" s="0" t="n">
        <f aca="false">L19*L20</f>
        <v>1223.02820399198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11453.7678800499</v>
      </c>
    </row>
    <row r="31" customFormat="false" ht="15" hidden="false" customHeight="false" outlineLevel="0" collapsed="false">
      <c r="A31" s="0" t="s">
        <v>135</v>
      </c>
      <c r="B31" s="0" t="n">
        <f aca="false">L19</f>
        <v>3319.3974233163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45586.3912802105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39832.7690797956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39832.7690797956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14676.3384479038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26130.1063279537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27792.4063279537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34.3412904089382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-0.180789828031054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5497.57093531193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5466.87117561562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47.8893468909938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28491.4945501316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21.4485766247585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84</v>
      </c>
      <c r="D5" s="4" t="n">
        <f aca="false">Assumptions!D41</f>
        <v>25</v>
      </c>
      <c r="E5" s="4" t="n">
        <f aca="false">Assumptions!E41</f>
        <v>15</v>
      </c>
      <c r="F5" s="4" t="n">
        <f aca="false">Assumptions!F41</f>
        <v>8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39063.072</v>
      </c>
      <c r="C6" s="0" t="n">
        <f aca="false">B6*(1+C5/100)</f>
        <v>71876.05248</v>
      </c>
      <c r="D6" s="0" t="n">
        <f aca="false">C6*(1+D5/100)</f>
        <v>89845.0656</v>
      </c>
      <c r="E6" s="0" t="n">
        <f aca="false">D6*(1+E5/100)</f>
        <v>103321.82544</v>
      </c>
      <c r="F6" s="0" t="n">
        <f aca="false">E6*(1+F5/100)</f>
        <v>111587.5714752</v>
      </c>
      <c r="G6" s="0" t="n">
        <f aca="false">F6*(1+G5/100)</f>
        <v>117166.95004896</v>
      </c>
      <c r="H6" s="0" t="n">
        <f aca="false">G6*(1+H5/100)</f>
        <v>123025.297551408</v>
      </c>
      <c r="I6" s="0" t="n">
        <f aca="false">H6*(1+I5/100)</f>
        <v>127946.309453464</v>
      </c>
      <c r="J6" s="0" t="n">
        <f aca="false">I6*(1+J5/100)</f>
        <v>133064.161831603</v>
      </c>
      <c r="K6" s="0" t="n">
        <f aca="false">J6*(1+K5/100)</f>
        <v>137056.086686551</v>
      </c>
      <c r="L6" s="0" t="n">
        <f aca="false">K6*(1+L5/100)</f>
        <v>141167.769287148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8.3</v>
      </c>
      <c r="D7" s="4" t="n">
        <f aca="false">Assumptions!D42</f>
        <v>8.6</v>
      </c>
      <c r="E7" s="4" t="n">
        <f aca="false">Assumptions!E42</f>
        <v>8.8</v>
      </c>
      <c r="F7" s="4" t="n">
        <f aca="false">Assumptions!F42</f>
        <v>9</v>
      </c>
      <c r="G7" s="4" t="n">
        <f aca="false">Assumptions!G42</f>
        <v>9</v>
      </c>
      <c r="H7" s="4" t="n">
        <f aca="false">Assumptions!H42</f>
        <v>9</v>
      </c>
      <c r="I7" s="4" t="n">
        <f aca="false">Assumptions!I42</f>
        <v>9</v>
      </c>
      <c r="J7" s="4" t="n">
        <f aca="false">Assumptions!J42</f>
        <v>9</v>
      </c>
      <c r="K7" s="4" t="n">
        <f aca="false">Assumptions!K42</f>
        <v>9</v>
      </c>
      <c r="L7" s="4" t="n">
        <f aca="false">Assumptions!L42</f>
        <v>9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5965.71235584</v>
      </c>
      <c r="D8" s="0" t="n">
        <f aca="false">D6*D7/100</f>
        <v>7726.6756416</v>
      </c>
      <c r="E8" s="0" t="n">
        <f aca="false">E6*E7/100</f>
        <v>9092.32063872</v>
      </c>
      <c r="F8" s="0" t="n">
        <f aca="false">F6*F7/100</f>
        <v>10042.881432768</v>
      </c>
      <c r="G8" s="0" t="n">
        <f aca="false">G6*G7/100</f>
        <v>10545.0255044064</v>
      </c>
      <c r="H8" s="0" t="n">
        <f aca="false">H6*H7/100</f>
        <v>11072.2767796267</v>
      </c>
      <c r="I8" s="0" t="n">
        <f aca="false">I6*I7/100</f>
        <v>11515.1678508118</v>
      </c>
      <c r="J8" s="0" t="n">
        <f aca="false">J6*J7/100</f>
        <v>11975.7745648443</v>
      </c>
      <c r="K8" s="0" t="n">
        <f aca="false">K6*K7/100</f>
        <v>12335.0478017896</v>
      </c>
      <c r="L8" s="0" t="n">
        <f aca="false">L6*L7/100</f>
        <v>12705.0992358433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-718.7605248</v>
      </c>
      <c r="D10" s="0" t="n">
        <f aca="false">-D6*D9/100</f>
        <v>-898.450656</v>
      </c>
      <c r="E10" s="0" t="n">
        <f aca="false">-E6*E9/100</f>
        <v>-1033.2182544</v>
      </c>
      <c r="F10" s="0" t="n">
        <f aca="false">-F6*F9/100</f>
        <v>-1115.875714752</v>
      </c>
      <c r="G10" s="0" t="n">
        <f aca="false">-G6*G9/100</f>
        <v>-1171.6695004896</v>
      </c>
      <c r="H10" s="0" t="n">
        <f aca="false">-H6*H9/100</f>
        <v>-1230.25297551408</v>
      </c>
      <c r="I10" s="0" t="n">
        <f aca="false">-I6*I9/100</f>
        <v>-1279.46309453464</v>
      </c>
      <c r="J10" s="0" t="n">
        <f aca="false">-J6*J9/100</f>
        <v>-1330.64161831603</v>
      </c>
      <c r="K10" s="0" t="n">
        <f aca="false">-K6*K9/100</f>
        <v>-1370.56086686551</v>
      </c>
      <c r="L10" s="0" t="n">
        <f aca="false">-L6*L9/100</f>
        <v>-1411.67769287148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5246.95183104</v>
      </c>
      <c r="D11" s="0" t="n">
        <f aca="false">D8+D10+D24</f>
        <v>6828.2249856</v>
      </c>
      <c r="E11" s="0" t="n">
        <f aca="false">E8+E10+E24</f>
        <v>8059.10238432</v>
      </c>
      <c r="F11" s="0" t="n">
        <f aca="false">F8+F10+F24</f>
        <v>8927.005718016</v>
      </c>
      <c r="G11" s="0" t="n">
        <f aca="false">G8+G10+G24</f>
        <v>9373.3560039168</v>
      </c>
      <c r="H11" s="0" t="n">
        <f aca="false">H8+H10+H24</f>
        <v>9842.02380411264</v>
      </c>
      <c r="I11" s="0" t="n">
        <f aca="false">I8+I10+I24</f>
        <v>10235.7047562771</v>
      </c>
      <c r="J11" s="0" t="n">
        <f aca="false">J8+J10+J24</f>
        <v>10645.1329465282</v>
      </c>
      <c r="K11" s="0" t="n">
        <f aca="false">K8+K10+K24</f>
        <v>10964.4869349241</v>
      </c>
      <c r="L11" s="0" t="n">
        <f aca="false">L8+L10+L24</f>
        <v>11293.4215429718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-107.81407872</v>
      </c>
      <c r="D12" s="4" t="n">
        <f aca="false">-D6*Assumptions!D45/100</f>
        <v>-161.72111808</v>
      </c>
      <c r="E12" s="4" t="n">
        <f aca="false">-E6*Assumptions!E45/100</f>
        <v>-216.975833424</v>
      </c>
      <c r="F12" s="4" t="n">
        <f aca="false">-F6*Assumptions!F45/100</f>
        <v>-267.81017154048</v>
      </c>
      <c r="G12" s="4" t="n">
        <f aca="false">-G6*Assumptions!G45/100</f>
        <v>-316.350765132192</v>
      </c>
      <c r="H12" s="4" t="n">
        <f aca="false">-H6*Assumptions!H45/100</f>
        <v>-369.075892654224</v>
      </c>
      <c r="I12" s="4" t="n">
        <f aca="false">-I6*Assumptions!I45/100</f>
        <v>-383.838928360393</v>
      </c>
      <c r="J12" s="4" t="n">
        <f aca="false">-J6*Assumptions!J45/100</f>
        <v>-399.192485494809</v>
      </c>
      <c r="K12" s="4" t="n">
        <f aca="false">-K6*Assumptions!K45/100</f>
        <v>-411.168260059653</v>
      </c>
      <c r="L12" s="4" t="n">
        <f aca="false">-L6*Assumptions!L45/100</f>
        <v>-423.503307861443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5139.13775232</v>
      </c>
      <c r="D13" s="0" t="n">
        <f aca="false">D11+D12</f>
        <v>6666.50386752</v>
      </c>
      <c r="E13" s="0" t="n">
        <f aca="false">E11+E12</f>
        <v>7842.126550896</v>
      </c>
      <c r="F13" s="0" t="n">
        <f aca="false">F11+F12</f>
        <v>8659.19554647552</v>
      </c>
      <c r="G13" s="0" t="n">
        <f aca="false">G11+G12</f>
        <v>9057.00523878461</v>
      </c>
      <c r="H13" s="0" t="n">
        <f aca="false">H11+H12</f>
        <v>9472.94791145842</v>
      </c>
      <c r="I13" s="0" t="n">
        <f aca="false">I11+I12</f>
        <v>9851.86582791675</v>
      </c>
      <c r="J13" s="0" t="n">
        <f aca="false">J11+J12</f>
        <v>10245.9404610334</v>
      </c>
      <c r="K13" s="0" t="n">
        <f aca="false">K11+K12</f>
        <v>10553.3186748644</v>
      </c>
      <c r="L13" s="0" t="n">
        <f aca="false">L11+L12</f>
        <v>10869.9182351104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15</v>
      </c>
      <c r="D14" s="4" t="n">
        <f aca="false">Assumptions!D47</f>
        <v>16</v>
      </c>
      <c r="E14" s="4" t="n">
        <f aca="false">Assumptions!E47</f>
        <v>17</v>
      </c>
      <c r="F14" s="4" t="n">
        <f aca="false">Assumptions!F47</f>
        <v>17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4368.267089472</v>
      </c>
      <c r="D15" s="0" t="n">
        <f aca="false">D13-MAX(0,D13)*D14/100</f>
        <v>5599.8632487168</v>
      </c>
      <c r="E15" s="0" t="n">
        <f aca="false">E13-MAX(0,E13)*E14/100</f>
        <v>6508.96503724368</v>
      </c>
      <c r="F15" s="0" t="n">
        <f aca="false">F13-MAX(0,F13)*F14/100</f>
        <v>7187.13230357468</v>
      </c>
      <c r="G15" s="0" t="n">
        <f aca="false">G13-MAX(0,G13)*G14/100</f>
        <v>7517.31434819123</v>
      </c>
      <c r="H15" s="0" t="n">
        <f aca="false">H13-MAX(0,H13)*H14/100</f>
        <v>7862.54676651049</v>
      </c>
      <c r="I15" s="0" t="n">
        <f aca="false">I13-MAX(0,I13)*I14/100</f>
        <v>8177.04863717091</v>
      </c>
      <c r="J15" s="0" t="n">
        <f aca="false">J13-MAX(0,J13)*J14/100</f>
        <v>8504.13058265774</v>
      </c>
      <c r="K15" s="0" t="n">
        <f aca="false">K13-MAX(0,K13)*K14/100</f>
        <v>8759.25450013748</v>
      </c>
      <c r="L15" s="0" t="n">
        <f aca="false">L13-MAX(0,L13)*L14/100</f>
        <v>9022.0321351416</v>
      </c>
    </row>
    <row r="16" customFormat="false" ht="15" hidden="false" customHeight="false" outlineLevel="0" collapsed="false">
      <c r="A16" s="0" t="s">
        <v>126</v>
      </c>
      <c r="C16" s="0" t="n">
        <f aca="false">-C12</f>
        <v>107.81407872</v>
      </c>
      <c r="D16" s="0" t="n">
        <f aca="false">-D12</f>
        <v>161.72111808</v>
      </c>
      <c r="E16" s="0" t="n">
        <f aca="false">-E12</f>
        <v>216.975833424</v>
      </c>
      <c r="F16" s="0" t="n">
        <f aca="false">-F12</f>
        <v>267.81017154048</v>
      </c>
      <c r="G16" s="0" t="n">
        <f aca="false">-G12</f>
        <v>316.350765132192</v>
      </c>
      <c r="H16" s="0" t="n">
        <f aca="false">-H12</f>
        <v>369.075892654224</v>
      </c>
      <c r="I16" s="0" t="n">
        <f aca="false">-I12</f>
        <v>383.838928360393</v>
      </c>
      <c r="J16" s="0" t="n">
        <f aca="false">-J12</f>
        <v>399.192485494809</v>
      </c>
      <c r="K16" s="0" t="n">
        <f aca="false">-K12</f>
        <v>411.168260059653</v>
      </c>
      <c r="L16" s="0" t="n">
        <f aca="false">-L12</f>
        <v>423.503307861443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-395.31828864</v>
      </c>
      <c r="D17" s="4" t="n">
        <f aca="false">-D6*Assumptions!D46/100</f>
        <v>-449.225328</v>
      </c>
      <c r="E17" s="4" t="n">
        <f aca="false">-E6*Assumptions!E46/100</f>
        <v>-464.94821448</v>
      </c>
      <c r="F17" s="4" t="n">
        <f aca="false">-F6*Assumptions!F46/100</f>
        <v>-502.1440716384</v>
      </c>
      <c r="G17" s="4" t="n">
        <f aca="false">-G6*Assumptions!G46/100</f>
        <v>-527.25127522032</v>
      </c>
      <c r="H17" s="4" t="n">
        <f aca="false">-H6*Assumptions!H46/100</f>
        <v>-553.613838981336</v>
      </c>
      <c r="I17" s="4" t="n">
        <f aca="false">-I6*Assumptions!I46/100</f>
        <v>-575.75839254059</v>
      </c>
      <c r="J17" s="4" t="n">
        <f aca="false">-J6*Assumptions!J46/100</f>
        <v>-598.788728242213</v>
      </c>
      <c r="K17" s="4" t="n">
        <f aca="false">-K6*Assumptions!K46/100</f>
        <v>-616.75239008948</v>
      </c>
      <c r="L17" s="4" t="n">
        <f aca="false">-L6*Assumptions!L46/100</f>
        <v>-635.254961792164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-8203.24512</v>
      </c>
      <c r="D18" s="4" t="n">
        <f aca="false">(D6-C6)*Assumptions!$B$51/100</f>
        <v>-4492.25328</v>
      </c>
      <c r="E18" s="4" t="n">
        <f aca="false">(E6-D6)*Assumptions!$B$51/100</f>
        <v>-3369.18996</v>
      </c>
      <c r="F18" s="4" t="n">
        <f aca="false">(F6-E6)*Assumptions!$B$51/100</f>
        <v>-2066.4365088</v>
      </c>
      <c r="G18" s="4" t="n">
        <f aca="false">(G6-F6)*Assumptions!$B$51/100</f>
        <v>-1394.84464344</v>
      </c>
      <c r="H18" s="4" t="n">
        <f aca="false">(H6-G6)*Assumptions!$B$51/100</f>
        <v>-1464.586875612</v>
      </c>
      <c r="I18" s="4" t="n">
        <f aca="false">(I6-H6)*Assumptions!$B$51/100</f>
        <v>-1230.25297551408</v>
      </c>
      <c r="J18" s="4" t="n">
        <f aca="false">(J6-I6)*Assumptions!$B$51/100</f>
        <v>-1279.46309453464</v>
      </c>
      <c r="K18" s="4" t="n">
        <f aca="false">(K6-J6)*Assumptions!$B$51/100</f>
        <v>-997.981213737025</v>
      </c>
      <c r="L18" s="4" t="n">
        <f aca="false">(L6-K6)*Assumptions!$B$51/100</f>
        <v>-1027.92065014914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-4122.482240448</v>
      </c>
      <c r="D19" s="0" t="n">
        <f aca="false">D15+D16+D17+D18</f>
        <v>820.105758796799</v>
      </c>
      <c r="E19" s="0" t="n">
        <f aca="false">E15+E16+E17+E18</f>
        <v>2891.80269618768</v>
      </c>
      <c r="F19" s="0" t="n">
        <f aca="false">F15+F16+F17+F18</f>
        <v>4886.36189467676</v>
      </c>
      <c r="G19" s="0" t="n">
        <f aca="false">G15+G16+G17+G18</f>
        <v>5911.56919466309</v>
      </c>
      <c r="H19" s="0" t="n">
        <f aca="false">H15+H16+H17+H18</f>
        <v>6213.42194457137</v>
      </c>
      <c r="I19" s="0" t="n">
        <f aca="false">I15+I16+I17+I18</f>
        <v>6754.87619747663</v>
      </c>
      <c r="J19" s="0" t="n">
        <f aca="false">J15+J16+J17+J18</f>
        <v>7025.0712453757</v>
      </c>
      <c r="K19" s="0" t="n">
        <f aca="false">K15+K16+K17+K18</f>
        <v>7555.68915637063</v>
      </c>
      <c r="L19" s="0" t="n">
        <f aca="false">L15+L16+L17+L18</f>
        <v>7782.35983106174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-3730.75315877647</v>
      </c>
      <c r="D21" s="0" t="n">
        <f aca="false">D19*D20</f>
        <v>671.653536001965</v>
      </c>
      <c r="E21" s="0" t="n">
        <f aca="false">E19*E20</f>
        <v>2143.29437533997</v>
      </c>
      <c r="F21" s="0" t="n">
        <f aca="false">F19*F20</f>
        <v>3277.45333278491</v>
      </c>
      <c r="G21" s="0" t="n">
        <f aca="false">G19*G20</f>
        <v>3588.32183041</v>
      </c>
      <c r="H21" s="0" t="n">
        <f aca="false">H19*H20</f>
        <v>3413.16417679176</v>
      </c>
      <c r="I21" s="0" t="n">
        <f aca="false">I19*I20</f>
        <v>3358.00584380565</v>
      </c>
      <c r="J21" s="0" t="n">
        <f aca="false">J19*J20</f>
        <v>3160.47608828767</v>
      </c>
      <c r="K21" s="0" t="n">
        <f aca="false">K19*K20</f>
        <v>3076.19300590227</v>
      </c>
      <c r="L21" s="0" t="n">
        <f aca="false">L19*L20</f>
        <v>2867.40162541117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21825.2106559589</v>
      </c>
    </row>
    <row r="31" customFormat="false" ht="15" hidden="false" customHeight="false" outlineLevel="0" collapsed="false">
      <c r="A31" s="0" t="s">
        <v>135</v>
      </c>
      <c r="B31" s="0" t="n">
        <f aca="false">L19</f>
        <v>7782.35983106174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106877.741679915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93388.3179727409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93388.3179727409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34408.819504934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56234.0301608929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57896.3301608929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71.5387744481563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0.706554733973195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6600.34751056775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7143.13294670748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88.5207100187423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66798.5885499466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42.5517906675547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14.6862628060201</v>
      </c>
      <c r="C4" s="0" t="n">
        <f aca="false">B4/Assumptions!$B$2-1</f>
        <v>-0.649659761306772</v>
      </c>
      <c r="D4" s="4" t="n">
        <f aca="false">Assumptions!$B$24</f>
        <v>0.3</v>
      </c>
      <c r="E4" s="4" t="n">
        <f aca="false">DCF_Bear!$B$43</f>
        <v>24.6806775037319</v>
      </c>
      <c r="F4" s="4" t="n">
        <f aca="false">DCF_Bear!$B$47</f>
        <v>10.5699018654849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34.3412904089382</v>
      </c>
      <c r="C5" s="0" t="n">
        <f aca="false">B5/Assumptions!$B$2-1</f>
        <v>-0.180789828031054</v>
      </c>
      <c r="D5" s="4" t="n">
        <f aca="false">Assumptions!$B$38</f>
        <v>0.45</v>
      </c>
      <c r="E5" s="4" t="n">
        <f aca="false">DCF_Base!$B$43</f>
        <v>47.8893468909938</v>
      </c>
      <c r="F5" s="4" t="n">
        <f aca="false">DCF_Base!$B$47</f>
        <v>21.4485766247585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71.5387744481563</v>
      </c>
      <c r="C6" s="0" t="n">
        <f aca="false">B6/Assumptions!$B$2-1</f>
        <v>0.706554733973195</v>
      </c>
      <c r="D6" s="4" t="n">
        <f aca="false">Assumptions!$B$52</f>
        <v>0.25</v>
      </c>
      <c r="E6" s="4" t="n">
        <f aca="false">DCF_Bull!$B$43</f>
        <v>88.5207100187423</v>
      </c>
      <c r="F6" s="4" t="n">
        <f aca="false">DCF_Bull!$B$47</f>
        <v>42.5517906675547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37.7441531378673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51.0845868567524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-0.110635595581642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31.3021821488551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23.4607777076755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38.418278794624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35.639298512313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34.3412904089382</v>
      </c>
      <c r="C17" s="3" t="n">
        <v>10.5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33.1002224345548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30.0440883026853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21.4485766247585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39.9057720325854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39.9057720325854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39.9057720325854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39.9057720325854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39.9057720325854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36.9972388695213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36.9972388695213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36.9972388695213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36.9972388695213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36.9972388695213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34.3412904089382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34.3412904089382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34.3412904089382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34.3412904089382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34.3412904089382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30.1688165254567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31.0693083935981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31.9132671399727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31.9132671399727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31.9132671399727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26.804152138772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27.480792212902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28.228657557993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29.0596190525385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29.6911497883931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2026-10-02T08:43:08Z</dcterms:created>
  <dc:creator>openpyxl</dc:creator>
  <dc:description/>
  <dc:language>en-NZ</dc:language>
  <cp:lastModifiedBy/>
  <dcterms:modified xsi:type="dcterms:W3CDTF">2026-10-02T08:43:08Z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