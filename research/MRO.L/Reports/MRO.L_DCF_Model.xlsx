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<sst xmlns="http://schemas.openxmlformats.org/spreadsheetml/2006/main" count="369" uniqueCount="173">
  <si>
    <t xml:space="preserve">Ticker</t>
  </si>
  <si>
    <t xml:space="preserve">MRO.L</t>
  </si>
  <si>
    <t xml:space="preserve">Company</t>
  </si>
  <si>
    <t xml:space="preserve">Melrose Industries PLC</t>
  </si>
  <si>
    <t xml:space="preserve">Valuation date</t>
  </si>
  <si>
    <t xml:space="preserve">2026-10-10</t>
  </si>
  <si>
    <t xml:space="preserve">Current price</t>
  </si>
  <si>
    <t xml:space="preserve">Price as of</t>
  </si>
  <si>
    <t xml:space="preserve">2026-10-09T15:37:16Z (LSE regular close)</t>
  </si>
  <si>
    <t xml:space="preserve">Balance sheet date</t>
  </si>
  <si>
    <t xml:space="preserve">2026-06-30</t>
  </si>
  <si>
    <t xml:space="preserve">Model</t>
  </si>
  <si>
    <t xml:space="preserve">owner_fcf_dcf_component</t>
  </si>
  <si>
    <t xml:space="preserve">Currency (model)</t>
  </si>
  <si>
    <t xml:space="preserve">GBP</t>
  </si>
  <si>
    <t xml:space="preserve">Currency (quote)</t>
  </si>
  <si>
    <t xml:space="preserve">GBp</t>
  </si>
  <si>
    <t xml:space="preserve">Units</t>
  </si>
  <si>
    <t xml:space="preserve">millions</t>
  </si>
  <si>
    <t xml:space="preserve">Engine</t>
  </si>
  <si>
    <t xml:space="preserve">dcf_engine v1</t>
  </si>
  <si>
    <t xml:space="preserve">Built at</t>
  </si>
  <si>
    <t xml:space="preserve">2026-10-10T00:53:46Z</t>
  </si>
  <si>
    <t xml:space="preserve">Drivers file</t>
  </si>
  <si>
    <t xml:space="preserve">MRO.L_Drivers.json</t>
  </si>
  <si>
    <t xml:space="preserve">Convention</t>
  </si>
  <si>
    <t xml:space="preserve">Percents stored as percents; formulas divide by 100. Blue = input, green = link, black = formula.</t>
  </si>
  <si>
    <t xml:space="preserve">Methodology</t>
  </si>
  <si>
    <t xml:space="preserve">summary: Melrose is valued as a long-duration engine-aftermarket annuity wrapped in a lower-margin aerostructures business. Because IFRS 15 front-loads RRSP revenue, reported adjusted profit overstates current cash generation by roughly GBP300m a year; the valuation therefore keys off owner free cash flow built from components, with the RRSP programme investment carried explicitly and decayed, cash tax normalised rather than the loss shelter perpetuated, leases charged once as an operating cost, and factoring credited nowhere. Management's 2029 targets define the bull case, not the base. Risk is charged in the scenario flows and weights at a single 9% GBP WACC.
key_risks_to_valuation: RRSP cash conversion: if the unbilled-work-done build does not decay as modelled, the terminal FCF margin (c.11% of revenue in base) is overstated; each 1pp of permanent drag is worth roughly GBP0.5bn of enterprise value.; Garden Grove: the GBP100m bridge covers the claims programme and H2 exceptionals only; civil litigation and regulatory penalties are unquantified.; Customer and programme concentration on Airbus, Boeing, Pratt &amp; Whitney, GE and Rolls-Royce; GTF-type programme costs (PMI c.GBP200m) can recur.; Cash-tax normalisation timing: the GBP530m loss DTA could last longer (value upside) or be curtailed by jurisdiction mismatch (downside).; FX: c.70% of revenue is USD/EUR against GBP reporting; a 1 cent GBP/USD move is c.GBP5m of operating profit.; Terminal value is c.70% of enterprise value at a 9% WACC and 2.5% growth; the required-return table shows the steepness.</t>
  </si>
  <si>
    <t xml:space="preserve">Data sources</t>
  </si>
  <si>
    <t xml:space="preserve">price: Yahoo Finance chart API at inputs.price_as_of (LSE regular close); 52-week range 409.9-685.0 GBp.
financials: MRO.L_Metrics.csv / core_metrics (FY2023-FY2025 Aerospace-only, H1 FY2025/H1 FY2026); kpis table for the FY2022 Aerospace-only restatement, adjusted operating profit, lease liabilities, RRSP/PMI lines; FY2025 Annual Report (cash flow statement, FCF reconciliation p.215 APM glossary, note 14 right-of-use assets, tax narrative); H1 2026 Interim Report (balance sheet 30 June 2026, net debt note 11, lease note 12, share count); H1 2026 results presentation 'Some Helpful Data' slides (FY2026 guidance components, D&amp;A split, cash tax c.4% of adjusted PBT, diluted shares c.1,250m).
qualitative: MRO.L_Analysis.json (2026-10-10): business model, RRSP moat, Garden Grove, 2029 medium-term targets, bull/bear axes.</t>
  </si>
  <si>
    <t xml:space="preserve">Scenario narrative: bear</t>
  </si>
  <si>
    <t xml:space="preserve">Supply-chain constraints and OEM rate slips hold growth at 3-4%; a civil-demand shock (Middle East conflict, fuel prices) delays shop visits so RRSP aftermarket cash lags the accounting revenue, keeping the unbilled drag above 5% of revenue for a decade; Airframes remains structurally 6-7% margin; the Garden Grove legal and regulatory tail (30+ civil suits, federal/state investigations) runs beyond the $100m claims programme; leverage stays near 2x, the buyback remains paused, and a 14x terminal cap applies to a business that never demonstrates the cash conversion the equity story depends on.</t>
  </si>
  <si>
    <t xml:space="preserve">Scenario narrative: base</t>
  </si>
  <si>
    <t xml:space="preserve">The OE ramp (A320neo to 70-75/month by end-2027, 737 MAX, 787) and a maturing GTF/GEnx/XWB aftermarket carry revenue at 7-8% through 2028 before decelerating to 2.5%; adjusted EBITDA margin rises from 21.9% to 26.5% (operating margin to c.22%, short of the 24%+ target) as Engines mix grows and Brilliant Basics lifts Airframes. The decisive variable is cash conversion: the RRSP unbilled build (c.8% of revenue today) decays to c.3% by the mid-2030s, so owner FCF rises from c.GBP265m unlevered in FY2026 to c.GBP500m in 2029 - roughly two-thirds of management's GBP600m post-interest target. Cash tax normalises to 24% as the GBP530m loss DTA is consumed. Garden Grove costs GBP100m in the bridge and nothing more.</t>
  </si>
  <si>
    <t xml:space="preserve">Scenario narrative: bull</t>
  </si>
  <si>
    <t xml:space="preserve">Management's 2029 framework is delivered at constant currency: c.GBP5bn revenue, 24%+ operating margin (Engines mid-to-high 30s), and the whole RRSP portfolio cash-positive in 2028 so the unbilled build halves and FCF approaches GBP600m. NATO's 3.5%-of-GDP pathway, uncrewed-platform wins (NYX, Brontanax, FMV) and additive/repair contracts with all three engine OEMs extend high-single-digit growth into the 2030s; the buyback restarts in 2027 as leverage falls below 1.5x.</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</si>
  <si>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</si>
  <si>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</si>
  <si>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</si>
  <si>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</si>
  <si>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</si>
  <si>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</si>
  <si>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</si>
  <si>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</si>
  <si>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</si>
  <si>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</si>
  <si>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</si>
  <si>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</si>
  <si>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</si>
  <si>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</si>
  <si>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</si>
  <si>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</si>
  <si>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</si>
  <si>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</si>
  <si>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</si>
  <si>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</si>
  <si>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</si>
  <si>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</si>
  <si>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</si>
  <si>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</si>
  <si>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</si>
  <si>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</si>
  <si>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</si>
  <si>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AdjustedEBITDA</t>
  </si>
  <si>
    <t xml:space="preserve">AdjustedEPS</t>
  </si>
  <si>
    <t xml:space="preserve">AdjustedOperatingProfit</t>
  </si>
  <si>
    <t xml:space="preserve">CapitalReturn</t>
  </si>
  <si>
    <t xml:space="preserve">NetIncomeContinuing</t>
  </si>
  <si>
    <t xml:space="preserve">NetIncomeDiscontinued</t>
  </si>
  <si>
    <t xml:space="preserve">NetInterestBearingDebt</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</si>
  <si>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</si>
  <si>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</si>
  <si>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</si>
  <si>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</si>
  <si>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</si>
  <si>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</si>
  <si>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</si>
  <si>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</si>
  <si>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</si>
  <si>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</si>
  <si>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</si>
  <si>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</si>
  <si>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</si>
  <si>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</si>
  <si>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</si>
  <si>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</si>
  <si>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</si>
  <si>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</si>
  <si>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</si>
  <si>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</si>
  <si>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</si>
  <si>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GBP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</si>
  <si>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</si>
  <si>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</si>
  <si>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</si>
  <si>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</si>
  <si>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</si>
  <si>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</si>
  <si>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</si>
  <si>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</si>
  <si>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</si>
  <si>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</si>
  <si>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</si>
  <si>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</si>
  <si>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</si>
  <si>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</si>
  <si>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</si>
  <si>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</si>
  <si>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</si>
  <si>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</si>
  <si>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</si>
  <si>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</si>
  <si>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</si>
  <si>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</si>
  <si>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</si>
  <si>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</si>
  <si>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</si>
  <si>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</si>
  <si>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MRO.L owner-FCF component DCF: bear case (millions, GBP)</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</si>
  <si>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</si>
  <si>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</si>
  <si>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</si>
  <si>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</si>
  <si>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</si>
  <si>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</si>
  <si>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</si>
  <si>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</si>
  <si>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</si>
  <si>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</si>
  <si>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</si>
  <si>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</si>
  <si>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</si>
  <si>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</si>
  <si>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</si>
  <si>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</si>
  <si>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</si>
  <si>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</si>
  <si>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</si>
  <si>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</si>
  <si>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</si>
  <si>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</si>
  <si>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</si>
  <si>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</si>
  <si>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</si>
  <si>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</si>
  <si>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</si>
  <si>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</si>
  <si>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</si>
  <si>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</si>
  <si>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MRO.L owner-FCF component DCF: base case (millions, GBP)</t>
  </si>
  <si>
    <t xml:space="preserve">MRO.L owner-FCF component DCF: bull case (millions, GBP)</t>
  </si>
  <si>
    <t xml:space="preserve">MRO.L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</si>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</sst>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444.5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c r="AG1" s="2" t="s">
        <v>68</v>
      </c>
      <c r="AH1" s="2" t="s">
        <v>69</v>
      </c>
      <c r="AI1" s="2" t="s">
        <v>70</v>
      </c>
    </row>
    <row r="2" customFormat="false" ht="15" hidden="false" customHeight="false" outlineLevel="0" collapsed="false">
      <c r="A2" s="0" t="s">
        <v>71</v>
      </c>
      <c r="B2" s="0" t="n">
        <v>261.1</v>
      </c>
      <c r="C2" s="0" t="n">
        <v>179</v>
      </c>
      <c r="D2" s="0" t="n">
        <v>82.1</v>
      </c>
      <c r="E2" s="0" t="n">
        <v>31.4</v>
      </c>
      <c r="F2" s="0" t="n">
        <v>4.8</v>
      </c>
      <c r="G2" s="0" t="n">
        <v>1.8</v>
      </c>
      <c r="I2" s="0" t="n">
        <v>1407.1</v>
      </c>
      <c r="J2" s="0" t="n">
        <v>538.9</v>
      </c>
      <c r="K2" s="0" t="n">
        <v>0.258</v>
      </c>
      <c r="L2" s="0" t="n">
        <v>-57.8</v>
      </c>
      <c r="M2" s="0" t="n">
        <v>17.7</v>
      </c>
      <c r="N2" s="0" t="n">
        <v>-75.5</v>
      </c>
      <c r="O2" s="0" t="n">
        <v>2845.4</v>
      </c>
      <c r="P2" s="0" t="n">
        <v>2988.8</v>
      </c>
      <c r="Q2" s="0" t="n">
        <v>143.4</v>
      </c>
      <c r="R2" s="0" t="n">
        <v>0</v>
      </c>
      <c r="S2" s="0" t="n">
        <v>2451.4</v>
      </c>
      <c r="T2" s="0" t="n">
        <v>5446.4</v>
      </c>
      <c r="U2" s="0" t="n">
        <v>4</v>
      </c>
      <c r="Z2" s="0" t="n">
        <v>24.8</v>
      </c>
      <c r="AA2" s="0" t="s">
        <v>18</v>
      </c>
      <c r="AB2" s="0" t="s">
        <v>14</v>
      </c>
      <c r="AE2" s="0" t="n">
        <v>24.8</v>
      </c>
      <c r="AF2" s="0" t="n">
        <v>200.4</v>
      </c>
      <c r="AG2" s="0" t="n">
        <v>-16.3</v>
      </c>
      <c r="AH2" s="0" t="n">
        <v>1424.3</v>
      </c>
    </row>
    <row r="3" customFormat="false" ht="15" hidden="false" customHeight="false" outlineLevel="0" collapsed="false">
      <c r="A3" s="0" t="s">
        <v>72</v>
      </c>
      <c r="B3" s="0" t="n">
        <v>889.3</v>
      </c>
      <c r="C3" s="0" t="n">
        <v>626</v>
      </c>
      <c r="D3" s="0" t="n">
        <v>263.3</v>
      </c>
      <c r="E3" s="0" t="n">
        <v>29.6</v>
      </c>
      <c r="F3" s="0" t="n">
        <v>-61.6</v>
      </c>
      <c r="G3" s="0" t="n">
        <v>-6.9</v>
      </c>
      <c r="H3" s="0" t="n">
        <v>122.2</v>
      </c>
      <c r="I3" s="0" t="n">
        <v>-39</v>
      </c>
      <c r="J3" s="0" t="n">
        <v>-4.4</v>
      </c>
      <c r="K3" s="0" t="n">
        <v>-0.026</v>
      </c>
      <c r="L3" s="0" t="n">
        <v>50.6</v>
      </c>
      <c r="M3" s="0" t="n">
        <v>17.4</v>
      </c>
      <c r="N3" s="0" t="n">
        <v>33.2</v>
      </c>
      <c r="O3" s="0" t="n">
        <v>2162.8</v>
      </c>
      <c r="P3" s="0" t="n">
        <v>3707.6</v>
      </c>
      <c r="Q3" s="0" t="n">
        <v>1544.8</v>
      </c>
      <c r="R3" s="0" t="n">
        <v>583.6</v>
      </c>
      <c r="S3" s="0" t="n">
        <v>42.1</v>
      </c>
      <c r="T3" s="0" t="n">
        <v>1589.1</v>
      </c>
      <c r="U3" s="0" t="n">
        <v>4</v>
      </c>
      <c r="W3" s="0" t="n">
        <v>122.2</v>
      </c>
      <c r="Z3" s="0" t="n">
        <v>104.1</v>
      </c>
      <c r="AA3" s="0" t="s">
        <v>18</v>
      </c>
      <c r="AB3" s="0" t="s">
        <v>14</v>
      </c>
      <c r="AC3" s="0" t="n">
        <v>122.2</v>
      </c>
      <c r="AD3" s="0" t="n">
        <v>0.044</v>
      </c>
      <c r="AE3" s="0" t="n">
        <v>104.1</v>
      </c>
      <c r="AF3" s="0" t="n">
        <v>2388.5</v>
      </c>
      <c r="AG3" s="0" t="n">
        <v>-39</v>
      </c>
      <c r="AI3" s="0" t="n">
        <v>541.5</v>
      </c>
    </row>
    <row r="4" customFormat="false" ht="15" hidden="false" customHeight="false" outlineLevel="0" collapsed="false">
      <c r="A4" s="0" t="s">
        <v>73</v>
      </c>
      <c r="B4" s="0" t="n">
        <v>2092.2</v>
      </c>
      <c r="C4" s="0" t="n">
        <v>1439.4</v>
      </c>
      <c r="D4" s="0" t="n">
        <v>652.8</v>
      </c>
      <c r="E4" s="0" t="n">
        <v>31.2</v>
      </c>
      <c r="F4" s="0" t="n">
        <v>-6.9</v>
      </c>
      <c r="G4" s="0" t="n">
        <v>-0.3</v>
      </c>
      <c r="H4" s="0" t="n">
        <v>313.1</v>
      </c>
      <c r="I4" s="0" t="n">
        <v>-23.9</v>
      </c>
      <c r="J4" s="0" t="n">
        <v>-1.1</v>
      </c>
      <c r="K4" s="0" t="n">
        <v>-0.012</v>
      </c>
      <c r="L4" s="0" t="n">
        <v>32.4</v>
      </c>
      <c r="M4" s="0" t="n">
        <v>50.9</v>
      </c>
      <c r="N4" s="0" t="n">
        <v>-18.5</v>
      </c>
      <c r="O4" s="0" t="n">
        <v>1885.2</v>
      </c>
      <c r="P4" s="0" t="n">
        <v>3145.8</v>
      </c>
      <c r="Q4" s="0" t="n">
        <v>1260.6</v>
      </c>
      <c r="R4" s="0" t="n">
        <v>588.1</v>
      </c>
      <c r="S4" s="0" t="n">
        <v>16.3</v>
      </c>
      <c r="T4" s="0" t="n">
        <v>1941.2</v>
      </c>
      <c r="U4" s="0" t="n">
        <v>10.1</v>
      </c>
      <c r="W4" s="0" t="n">
        <v>313.1</v>
      </c>
      <c r="Z4" s="0" t="n">
        <v>278.4</v>
      </c>
      <c r="AA4" s="0" t="s">
        <v>18</v>
      </c>
      <c r="AB4" s="0" t="s">
        <v>14</v>
      </c>
      <c r="AC4" s="0" t="n">
        <v>313.1</v>
      </c>
      <c r="AD4" s="0" t="n">
        <v>0.098</v>
      </c>
      <c r="AE4" s="0" t="n">
        <v>278.4</v>
      </c>
      <c r="AG4" s="0" t="n">
        <v>-23.9</v>
      </c>
      <c r="AI4" s="0" t="n">
        <v>571.8</v>
      </c>
    </row>
    <row r="5" customFormat="false" ht="15" hidden="false" customHeight="false" outlineLevel="0" collapsed="false">
      <c r="A5" s="0" t="s">
        <v>74</v>
      </c>
      <c r="B5" s="0" t="n">
        <v>8605</v>
      </c>
      <c r="C5" s="0" t="n">
        <v>6920</v>
      </c>
      <c r="D5" s="0" t="n">
        <v>1685</v>
      </c>
      <c r="E5" s="0" t="n">
        <v>19.6</v>
      </c>
      <c r="F5" s="0" t="n">
        <v>-392</v>
      </c>
      <c r="G5" s="0" t="n">
        <v>-4.6</v>
      </c>
      <c r="H5" s="0" t="n">
        <v>1129</v>
      </c>
      <c r="I5" s="0" t="n">
        <v>-475</v>
      </c>
      <c r="J5" s="0" t="n">
        <v>-5.5</v>
      </c>
      <c r="K5" s="0" t="n">
        <v>-0.12</v>
      </c>
      <c r="L5" s="0" t="n">
        <v>373</v>
      </c>
      <c r="M5" s="0" t="n">
        <v>379</v>
      </c>
      <c r="N5" s="0" t="n">
        <v>-6</v>
      </c>
      <c r="O5" s="0" t="n">
        <v>8237</v>
      </c>
      <c r="P5" s="0" t="n">
        <v>19734</v>
      </c>
      <c r="Q5" s="0" t="n">
        <v>11473</v>
      </c>
      <c r="R5" s="0" t="n">
        <v>3755</v>
      </c>
      <c r="S5" s="0" t="n">
        <v>415</v>
      </c>
      <c r="T5" s="0" t="n">
        <v>3959</v>
      </c>
      <c r="U5" s="0" t="n">
        <v>13</v>
      </c>
      <c r="W5" s="0" t="n">
        <v>1129</v>
      </c>
      <c r="Z5" s="0" t="n">
        <v>847</v>
      </c>
      <c r="AA5" s="0" t="s">
        <v>18</v>
      </c>
      <c r="AB5" s="0" t="s">
        <v>14</v>
      </c>
      <c r="AC5" s="0" t="n">
        <v>1129</v>
      </c>
      <c r="AD5" s="0" t="n">
        <v>0.133</v>
      </c>
      <c r="AE5" s="0" t="n">
        <v>847</v>
      </c>
      <c r="AG5" s="0" t="n">
        <v>-475</v>
      </c>
      <c r="AI5" s="0" t="n">
        <v>3482</v>
      </c>
    </row>
    <row r="6" customFormat="false" ht="15" hidden="false" customHeight="false" outlineLevel="0" collapsed="false">
      <c r="A6" s="0" t="s">
        <v>75</v>
      </c>
      <c r="B6" s="0" t="n">
        <v>10967</v>
      </c>
      <c r="C6" s="0" t="n">
        <v>8732</v>
      </c>
      <c r="D6" s="0" t="n">
        <v>2235</v>
      </c>
      <c r="E6" s="0" t="n">
        <v>20.4</v>
      </c>
      <c r="F6" s="0" t="n">
        <v>318</v>
      </c>
      <c r="G6" s="0" t="n">
        <v>2.9</v>
      </c>
      <c r="H6" s="0" t="n">
        <v>1600</v>
      </c>
      <c r="I6" s="0" t="n">
        <v>-60</v>
      </c>
      <c r="J6" s="0" t="n">
        <v>-0.5</v>
      </c>
      <c r="K6" s="0" t="n">
        <v>-0.012</v>
      </c>
      <c r="L6" s="0" t="n">
        <v>769</v>
      </c>
      <c r="M6" s="0" t="n">
        <v>519</v>
      </c>
      <c r="N6" s="0" t="n">
        <v>250</v>
      </c>
      <c r="O6" s="0" t="n">
        <v>7525</v>
      </c>
      <c r="P6" s="0" t="n">
        <v>18045</v>
      </c>
      <c r="Q6" s="0" t="n">
        <v>10494</v>
      </c>
      <c r="R6" s="0" t="n">
        <v>3553</v>
      </c>
      <c r="S6" s="0" t="n">
        <v>317</v>
      </c>
      <c r="T6" s="0" t="n">
        <v>4858</v>
      </c>
      <c r="U6" s="0" t="n">
        <v>13</v>
      </c>
      <c r="W6" s="0" t="n">
        <v>1600</v>
      </c>
      <c r="Z6" s="0" t="n">
        <v>1102</v>
      </c>
      <c r="AA6" s="0" t="s">
        <v>18</v>
      </c>
      <c r="AB6" s="0" t="s">
        <v>14</v>
      </c>
      <c r="AC6" s="0" t="n">
        <v>1600</v>
      </c>
      <c r="AD6" s="0" t="n">
        <v>0.143</v>
      </c>
      <c r="AE6" s="0" t="n">
        <v>1102</v>
      </c>
      <c r="AG6" s="0" t="n">
        <v>55</v>
      </c>
      <c r="AH6" s="0" t="n">
        <v>-106</v>
      </c>
      <c r="AI6" s="0" t="n">
        <v>3283</v>
      </c>
    </row>
    <row r="7" customFormat="false" ht="15" hidden="false" customHeight="false" outlineLevel="0" collapsed="false">
      <c r="A7" s="0" t="s">
        <v>76</v>
      </c>
      <c r="B7" s="0" t="n">
        <v>8770</v>
      </c>
      <c r="C7" s="0" t="n">
        <v>7492</v>
      </c>
      <c r="D7" s="0" t="n">
        <v>1278</v>
      </c>
      <c r="E7" s="0" t="n">
        <v>14.6</v>
      </c>
      <c r="F7" s="0" t="n">
        <v>-338</v>
      </c>
      <c r="G7" s="0" t="n">
        <v>-3.9</v>
      </c>
      <c r="H7" s="0" t="n">
        <v>832</v>
      </c>
      <c r="I7" s="0" t="n">
        <v>-536</v>
      </c>
      <c r="J7" s="0" t="n">
        <v>-6.1</v>
      </c>
      <c r="K7" s="0" t="n">
        <v>-0.11</v>
      </c>
      <c r="L7" s="0" t="n">
        <v>768</v>
      </c>
      <c r="M7" s="0" t="n">
        <v>317</v>
      </c>
      <c r="N7" s="0" t="n">
        <v>451</v>
      </c>
      <c r="O7" s="0" t="n">
        <v>7081</v>
      </c>
      <c r="P7" s="0" t="n">
        <v>16680</v>
      </c>
      <c r="Q7" s="0" t="n">
        <v>9570</v>
      </c>
      <c r="R7" s="0" t="n">
        <v>3091</v>
      </c>
      <c r="S7" s="0" t="n">
        <v>311</v>
      </c>
      <c r="T7" s="0" t="n">
        <v>4858</v>
      </c>
      <c r="U7" s="0" t="n">
        <v>14</v>
      </c>
      <c r="W7" s="0" t="n">
        <v>832</v>
      </c>
      <c r="Z7" s="0" t="n">
        <v>340</v>
      </c>
      <c r="AA7" s="0" t="s">
        <v>18</v>
      </c>
      <c r="AB7" s="0" t="s">
        <v>14</v>
      </c>
      <c r="AC7" s="0" t="n">
        <v>832</v>
      </c>
      <c r="AD7" s="0" t="n">
        <v>0.024</v>
      </c>
      <c r="AE7" s="0" t="n">
        <v>340</v>
      </c>
      <c r="AG7" s="0" t="n">
        <v>-523</v>
      </c>
      <c r="AH7" s="0" t="n">
        <v>-10</v>
      </c>
      <c r="AI7" s="0" t="n">
        <v>2847</v>
      </c>
    </row>
    <row r="8" customFormat="false" ht="15" hidden="false" customHeight="false" outlineLevel="0" collapsed="false">
      <c r="A8" s="0" t="s">
        <v>77</v>
      </c>
      <c r="B8" s="0" t="n">
        <v>6883</v>
      </c>
      <c r="C8" s="0" t="n">
        <v>5872</v>
      </c>
      <c r="D8" s="0" t="n">
        <v>1011</v>
      </c>
      <c r="E8" s="0" t="n">
        <v>14.7</v>
      </c>
      <c r="F8" s="0" t="n">
        <v>-451</v>
      </c>
      <c r="G8" s="0" t="n">
        <v>-6.6</v>
      </c>
      <c r="H8" s="0" t="n">
        <v>800</v>
      </c>
      <c r="I8" s="0" t="n">
        <v>833</v>
      </c>
      <c r="J8" s="0" t="n">
        <v>12.1</v>
      </c>
      <c r="K8" s="0" t="n">
        <v>0.177</v>
      </c>
      <c r="L8" s="0" t="n">
        <v>263</v>
      </c>
      <c r="M8" s="0" t="n">
        <v>238</v>
      </c>
      <c r="N8" s="0" t="n">
        <v>25</v>
      </c>
      <c r="O8" s="0" t="n">
        <v>7507</v>
      </c>
      <c r="P8" s="0" t="n">
        <v>14022</v>
      </c>
      <c r="Q8" s="0" t="n">
        <v>6482</v>
      </c>
      <c r="R8" s="0" t="n">
        <v>1365</v>
      </c>
      <c r="S8" s="0" t="n">
        <v>473</v>
      </c>
      <c r="T8" s="0" t="n">
        <v>4695</v>
      </c>
      <c r="U8" s="0" t="n">
        <v>16</v>
      </c>
      <c r="W8" s="0" t="n">
        <v>800</v>
      </c>
      <c r="Z8" s="0" t="n">
        <v>375</v>
      </c>
      <c r="AA8" s="0" t="s">
        <v>18</v>
      </c>
      <c r="AB8" s="0" t="s">
        <v>14</v>
      </c>
      <c r="AC8" s="0" t="n">
        <v>800</v>
      </c>
      <c r="AD8" s="0" t="n">
        <v>0.041</v>
      </c>
      <c r="AE8" s="0" t="n">
        <v>375</v>
      </c>
      <c r="AF8" s="0" t="n">
        <v>729</v>
      </c>
      <c r="AG8" s="0" t="n">
        <v>-446</v>
      </c>
      <c r="AH8" s="0" t="n">
        <v>1283</v>
      </c>
      <c r="AI8" s="0" t="n">
        <v>950</v>
      </c>
    </row>
    <row r="9" customFormat="false" ht="15" hidden="false" customHeight="false" outlineLevel="0" collapsed="false">
      <c r="A9" s="0" t="s">
        <v>78</v>
      </c>
      <c r="B9" s="0" t="n">
        <v>7537</v>
      </c>
      <c r="C9" s="0" t="n">
        <v>6458</v>
      </c>
      <c r="D9" s="0" t="n">
        <v>1079</v>
      </c>
      <c r="E9" s="0" t="n">
        <v>14.3</v>
      </c>
      <c r="F9" s="0" t="n">
        <v>-236</v>
      </c>
      <c r="G9" s="0" t="n">
        <v>-3.1</v>
      </c>
      <c r="H9" s="0" t="n">
        <v>886</v>
      </c>
      <c r="I9" s="0" t="n">
        <v>-308</v>
      </c>
      <c r="J9" s="0" t="n">
        <v>-4.1</v>
      </c>
      <c r="K9" s="0" t="n">
        <v>-0.073</v>
      </c>
      <c r="L9" s="0" t="n">
        <v>187</v>
      </c>
      <c r="M9" s="0" t="n">
        <v>298</v>
      </c>
      <c r="N9" s="0" t="n">
        <v>-111</v>
      </c>
      <c r="O9" s="0" t="n">
        <v>7129</v>
      </c>
      <c r="P9" s="0" t="n">
        <v>13987</v>
      </c>
      <c r="Q9" s="0" t="n">
        <v>6819</v>
      </c>
      <c r="R9" s="0" t="n">
        <v>1496</v>
      </c>
      <c r="S9" s="0" t="n">
        <v>355</v>
      </c>
      <c r="T9" s="0" t="n">
        <v>4218</v>
      </c>
      <c r="U9" s="0" t="n">
        <v>16</v>
      </c>
      <c r="W9" s="0" t="n">
        <v>886</v>
      </c>
      <c r="Z9" s="0" t="n">
        <v>480</v>
      </c>
      <c r="AA9" s="0" t="s">
        <v>18</v>
      </c>
      <c r="AB9" s="0" t="s">
        <v>14</v>
      </c>
      <c r="AC9" s="0" t="n">
        <v>886</v>
      </c>
      <c r="AD9" s="0" t="n">
        <v>0.07</v>
      </c>
      <c r="AE9" s="0" t="n">
        <v>480</v>
      </c>
      <c r="AG9" s="0" t="n">
        <v>-223</v>
      </c>
      <c r="AH9" s="0" t="n">
        <v>-80</v>
      </c>
      <c r="AI9" s="0" t="n">
        <v>1139</v>
      </c>
    </row>
    <row r="10" customFormat="false" ht="15" hidden="false" customHeight="false" outlineLevel="0" collapsed="false">
      <c r="A10" s="0" t="s">
        <v>79</v>
      </c>
      <c r="B10" s="0" t="n">
        <v>3350</v>
      </c>
      <c r="C10" s="0" t="n">
        <v>2696</v>
      </c>
      <c r="D10" s="0" t="n">
        <v>654</v>
      </c>
      <c r="E10" s="0" t="n">
        <v>19.5</v>
      </c>
      <c r="F10" s="0" t="n">
        <v>57</v>
      </c>
      <c r="G10" s="0" t="n">
        <v>1.7</v>
      </c>
      <c r="H10" s="0" t="n">
        <v>532</v>
      </c>
      <c r="I10" s="0" t="n">
        <v>-1019</v>
      </c>
      <c r="J10" s="0" t="n">
        <v>-30.4</v>
      </c>
      <c r="K10" s="0" t="n">
        <v>-0.755</v>
      </c>
      <c r="L10" s="0" t="n">
        <v>-7</v>
      </c>
      <c r="M10" s="0" t="n">
        <v>106</v>
      </c>
      <c r="N10" s="0" t="n">
        <v>-113</v>
      </c>
      <c r="O10" s="0" t="n">
        <v>3567</v>
      </c>
      <c r="P10" s="0" t="n">
        <v>6929</v>
      </c>
      <c r="Q10" s="0" t="n">
        <v>3362</v>
      </c>
      <c r="R10" s="0" t="n">
        <v>630</v>
      </c>
      <c r="S10" s="0" t="n">
        <v>58</v>
      </c>
      <c r="T10" s="0" t="n">
        <v>1405</v>
      </c>
      <c r="U10" s="0" t="n">
        <v>10</v>
      </c>
      <c r="W10" s="0" t="n">
        <v>532</v>
      </c>
      <c r="Z10" s="0" t="n">
        <v>390</v>
      </c>
      <c r="AA10" s="0" t="s">
        <v>18</v>
      </c>
      <c r="AB10" s="0" t="s">
        <v>14</v>
      </c>
      <c r="AC10" s="0" t="n">
        <v>532</v>
      </c>
      <c r="AD10" s="0" t="n">
        <v>0.187</v>
      </c>
      <c r="AE10" s="0" t="n">
        <v>390</v>
      </c>
      <c r="AG10" s="0" t="n">
        <v>1</v>
      </c>
      <c r="AH10" s="0" t="n">
        <v>-1020</v>
      </c>
      <c r="AI10" s="0" t="n">
        <v>572</v>
      </c>
    </row>
    <row r="11" customFormat="false" ht="15" hidden="false" customHeight="false" outlineLevel="0" collapsed="false">
      <c r="A11" s="0" t="s">
        <v>80</v>
      </c>
      <c r="B11" s="0" t="n">
        <v>3468</v>
      </c>
      <c r="C11" s="0" t="n">
        <v>2646</v>
      </c>
      <c r="D11" s="0" t="n">
        <v>822</v>
      </c>
      <c r="E11" s="0" t="n">
        <v>23.7</v>
      </c>
      <c r="F11" s="0" t="n">
        <v>-4</v>
      </c>
      <c r="G11" s="0" t="n">
        <v>-0.1</v>
      </c>
      <c r="H11" s="0" t="n">
        <v>682</v>
      </c>
      <c r="I11" s="0" t="n">
        <v>-49</v>
      </c>
      <c r="J11" s="0" t="n">
        <v>-1.4</v>
      </c>
      <c r="K11" s="0" t="n">
        <v>-0.037</v>
      </c>
      <c r="L11" s="0" t="n">
        <v>-121</v>
      </c>
      <c r="M11" s="0" t="n">
        <v>123</v>
      </c>
      <c r="N11" s="0" t="n">
        <v>-244</v>
      </c>
      <c r="O11" s="0" t="n">
        <v>2844</v>
      </c>
      <c r="P11" s="0" t="n">
        <v>7436</v>
      </c>
      <c r="Q11" s="0" t="n">
        <v>4592</v>
      </c>
      <c r="R11" s="0" t="n">
        <v>1409</v>
      </c>
      <c r="S11" s="0" t="n">
        <v>88</v>
      </c>
      <c r="T11" s="0" t="n">
        <v>1324</v>
      </c>
      <c r="U11" s="0" t="n">
        <v>1</v>
      </c>
      <c r="W11" s="0" t="n">
        <v>682</v>
      </c>
      <c r="Z11" s="0" t="n">
        <v>540</v>
      </c>
      <c r="AA11" s="0" t="s">
        <v>18</v>
      </c>
      <c r="AB11" s="0" t="s">
        <v>14</v>
      </c>
      <c r="AC11" s="0" t="n">
        <v>682</v>
      </c>
      <c r="AD11" s="0" t="n">
        <v>0.264</v>
      </c>
      <c r="AE11" s="0" t="n">
        <v>540</v>
      </c>
      <c r="AG11" s="0" t="n">
        <v>-49</v>
      </c>
      <c r="AI11" s="0" t="n">
        <v>1321</v>
      </c>
    </row>
    <row r="12" customFormat="false" ht="15" hidden="false" customHeight="false" outlineLevel="0" collapsed="false">
      <c r="A12" s="0" t="s">
        <v>81</v>
      </c>
      <c r="B12" s="0" t="n">
        <v>3589</v>
      </c>
      <c r="C12" s="0" t="n">
        <v>2635</v>
      </c>
      <c r="D12" s="0" t="n">
        <v>954</v>
      </c>
      <c r="E12" s="0" t="n">
        <v>26.6</v>
      </c>
      <c r="F12" s="0" t="n">
        <v>600</v>
      </c>
      <c r="G12" s="0" t="n">
        <v>16.7</v>
      </c>
      <c r="H12" s="0" t="n">
        <v>785</v>
      </c>
      <c r="I12" s="0" t="n">
        <v>370</v>
      </c>
      <c r="J12" s="0" t="n">
        <v>10.3</v>
      </c>
      <c r="K12" s="0" t="n">
        <v>0.29</v>
      </c>
      <c r="L12" s="0" t="n">
        <v>214</v>
      </c>
      <c r="M12" s="0" t="n">
        <v>95</v>
      </c>
      <c r="N12" s="0" t="n">
        <v>119</v>
      </c>
      <c r="O12" s="0" t="n">
        <v>2827</v>
      </c>
      <c r="P12" s="0" t="n">
        <v>7596</v>
      </c>
      <c r="Q12" s="0" t="n">
        <v>4769</v>
      </c>
      <c r="R12" s="0" t="n">
        <v>1573</v>
      </c>
      <c r="S12" s="0" t="n">
        <v>166</v>
      </c>
      <c r="T12" s="0" t="n">
        <v>1276</v>
      </c>
      <c r="U12" s="0" t="n">
        <v>2</v>
      </c>
      <c r="W12" s="0" t="n">
        <v>785</v>
      </c>
      <c r="Z12" s="0" t="n">
        <v>647</v>
      </c>
      <c r="AA12" s="0" t="s">
        <v>18</v>
      </c>
      <c r="AB12" s="0" t="s">
        <v>14</v>
      </c>
      <c r="AC12" s="0" t="n">
        <v>785</v>
      </c>
      <c r="AD12" s="0" t="n">
        <v>0.321</v>
      </c>
      <c r="AE12" s="0" t="n">
        <v>647</v>
      </c>
      <c r="AG12" s="0" t="n">
        <v>370</v>
      </c>
      <c r="AI12" s="0" t="n">
        <v>1407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82</v>
      </c>
      <c r="B1" s="2" t="s">
        <v>83</v>
      </c>
    </row>
    <row r="2" customFormat="false" ht="15" hidden="false" customHeight="false" outlineLevel="0" collapsed="false">
      <c r="A2" s="0" t="s">
        <v>84</v>
      </c>
      <c r="B2" s="3" t="n">
        <v>444.5</v>
      </c>
    </row>
    <row r="3" customFormat="false" ht="15" hidden="false" customHeight="false" outlineLevel="0" collapsed="false">
      <c r="A3" s="0" t="s">
        <v>85</v>
      </c>
      <c r="B3" s="3" t="n">
        <v>1248</v>
      </c>
    </row>
    <row r="4" customFormat="false" ht="15" hidden="false" customHeight="false" outlineLevel="0" collapsed="false">
      <c r="A4" s="0" t="s">
        <v>86</v>
      </c>
      <c r="B4" s="3" t="n">
        <v>1530</v>
      </c>
    </row>
    <row r="5" customFormat="false" ht="15" hidden="false" customHeight="false" outlineLevel="0" collapsed="false">
      <c r="A5" s="0" t="s">
        <v>87</v>
      </c>
      <c r="B5" s="3" t="n">
        <v>-100</v>
      </c>
    </row>
    <row r="6" customFormat="false" ht="15" hidden="false" customHeight="false" outlineLevel="0" collapsed="false">
      <c r="A6" s="0" t="s">
        <v>88</v>
      </c>
      <c r="B6" s="3" t="n">
        <v>15</v>
      </c>
    </row>
    <row r="7" customFormat="false" ht="15" hidden="false" customHeight="false" outlineLevel="0" collapsed="false">
      <c r="A7" s="0" t="s">
        <v>89</v>
      </c>
      <c r="B7" s="3" t="n">
        <v>3589</v>
      </c>
    </row>
    <row r="8" customFormat="false" ht="15" hidden="false" customHeight="false" outlineLevel="0" collapsed="false">
      <c r="A8" s="0" t="s">
        <v>90</v>
      </c>
      <c r="B8" s="3" t="s">
        <v>81</v>
      </c>
    </row>
    <row r="9" customFormat="false" ht="15" hidden="false" customHeight="false" outlineLevel="0" collapsed="false">
      <c r="A9" s="0" t="s">
        <v>91</v>
      </c>
      <c r="B9" s="3" t="s">
        <v>92</v>
      </c>
    </row>
    <row r="10" customFormat="false" ht="15" hidden="false" customHeight="false" outlineLevel="0" collapsed="false">
      <c r="A10" s="0" t="s">
        <v>93</v>
      </c>
      <c r="B10" s="3" t="n">
        <v>100</v>
      </c>
    </row>
    <row r="12" customFormat="false" ht="15" hidden="false" customHeight="false" outlineLevel="0" collapsed="false">
      <c r="A12" s="2" t="s">
        <v>94</v>
      </c>
      <c r="C12" s="2" t="s">
        <v>95</v>
      </c>
      <c r="D12" s="2" t="s">
        <v>96</v>
      </c>
      <c r="E12" s="2" t="s">
        <v>97</v>
      </c>
      <c r="F12" s="2" t="s">
        <v>98</v>
      </c>
      <c r="G12" s="2" t="s">
        <v>99</v>
      </c>
      <c r="H12" s="2" t="s">
        <v>100</v>
      </c>
      <c r="I12" s="2" t="s">
        <v>101</v>
      </c>
      <c r="J12" s="2" t="s">
        <v>102</v>
      </c>
      <c r="K12" s="2" t="s">
        <v>103</v>
      </c>
      <c r="L12" s="2" t="s">
        <v>104</v>
      </c>
    </row>
    <row r="13" customFormat="false" ht="15" hidden="false" customHeight="false" outlineLevel="0" collapsed="false">
      <c r="A13" s="0" t="s">
        <v>105</v>
      </c>
      <c r="C13" s="3" t="n">
        <v>5</v>
      </c>
      <c r="D13" s="3" t="n">
        <v>4</v>
      </c>
      <c r="E13" s="3" t="n">
        <v>4</v>
      </c>
      <c r="F13" s="3" t="n">
        <v>3.5</v>
      </c>
      <c r="G13" s="3" t="n">
        <v>3</v>
      </c>
      <c r="H13" s="3" t="n">
        <v>3</v>
      </c>
      <c r="I13" s="3" t="n">
        <v>2.5</v>
      </c>
      <c r="J13" s="3" t="n">
        <v>2.5</v>
      </c>
      <c r="K13" s="3" t="n">
        <v>2</v>
      </c>
      <c r="L13" s="3" t="n">
        <v>2</v>
      </c>
    </row>
    <row r="14" customFormat="false" ht="15" hidden="false" customHeight="false" outlineLevel="0" collapsed="false">
      <c r="A14" s="0" t="s">
        <v>106</v>
      </c>
      <c r="C14" s="3" t="n">
        <v>21.8</v>
      </c>
      <c r="D14" s="3" t="n">
        <v>22</v>
      </c>
      <c r="E14" s="3" t="n">
        <v>22.3</v>
      </c>
      <c r="F14" s="3" t="n">
        <v>22.5</v>
      </c>
      <c r="G14" s="3" t="n">
        <v>22.8</v>
      </c>
      <c r="H14" s="3" t="n">
        <v>23</v>
      </c>
      <c r="I14" s="3" t="n">
        <v>23</v>
      </c>
      <c r="J14" s="3" t="n">
        <v>23</v>
      </c>
      <c r="K14" s="3" t="n">
        <v>23</v>
      </c>
      <c r="L14" s="3" t="n">
        <v>23</v>
      </c>
    </row>
    <row r="15" customFormat="false" ht="15" hidden="false" customHeight="false" outlineLevel="0" collapsed="false">
      <c r="A15" s="0" t="s">
        <v>107</v>
      </c>
      <c r="C15" s="3" t="n">
        <v>0.08</v>
      </c>
      <c r="D15" s="3" t="n">
        <v>0.08</v>
      </c>
      <c r="E15" s="3" t="n">
        <v>0.08</v>
      </c>
      <c r="F15" s="3" t="n">
        <v>0.08</v>
      </c>
      <c r="G15" s="3" t="n">
        <v>0.08</v>
      </c>
      <c r="H15" s="3" t="n">
        <v>0.08</v>
      </c>
      <c r="I15" s="3" t="n">
        <v>0.08</v>
      </c>
      <c r="J15" s="3" t="n">
        <v>0.08</v>
      </c>
      <c r="K15" s="3" t="n">
        <v>0.08</v>
      </c>
      <c r="L15" s="3" t="n">
        <v>0.08</v>
      </c>
    </row>
    <row r="16" customFormat="false" ht="15" hidden="false" customHeight="false" outlineLevel="0" collapsed="false">
      <c r="A16" s="0" t="s">
        <v>108</v>
      </c>
      <c r="C16" s="3" t="n">
        <v>1.3</v>
      </c>
      <c r="D16" s="3" t="n">
        <v>1.3</v>
      </c>
      <c r="E16" s="3" t="n">
        <v>1.3</v>
      </c>
      <c r="F16" s="3" t="n">
        <v>1.3</v>
      </c>
      <c r="G16" s="3" t="n">
        <v>1.3</v>
      </c>
      <c r="H16" s="3" t="n">
        <v>1.3</v>
      </c>
      <c r="I16" s="3" t="n">
        <v>1.3</v>
      </c>
      <c r="J16" s="3" t="n">
        <v>1.3</v>
      </c>
      <c r="K16" s="3" t="n">
        <v>1.3</v>
      </c>
      <c r="L16" s="3" t="n">
        <v>1.3</v>
      </c>
    </row>
    <row r="17" customFormat="false" ht="15" hidden="false" customHeight="false" outlineLevel="0" collapsed="false">
      <c r="A17" s="0" t="s">
        <v>109</v>
      </c>
      <c r="C17" s="3" t="n">
        <v>2.9</v>
      </c>
      <c r="D17" s="3" t="n">
        <v>3</v>
      </c>
      <c r="E17" s="3" t="n">
        <v>3</v>
      </c>
      <c r="F17" s="3" t="n">
        <v>3.1</v>
      </c>
      <c r="G17" s="3" t="n">
        <v>3.1</v>
      </c>
      <c r="H17" s="3" t="n">
        <v>3.2</v>
      </c>
      <c r="I17" s="3" t="n">
        <v>3.2</v>
      </c>
      <c r="J17" s="3" t="n">
        <v>3.2</v>
      </c>
      <c r="K17" s="3" t="n">
        <v>3.2</v>
      </c>
      <c r="L17" s="3" t="n">
        <v>3.2</v>
      </c>
    </row>
    <row r="18" customFormat="false" ht="15" hidden="false" customHeight="false" outlineLevel="0" collapsed="false">
      <c r="A18" s="0" t="s">
        <v>110</v>
      </c>
      <c r="C18" s="3" t="n">
        <v>13.8</v>
      </c>
      <c r="D18" s="3" t="n">
        <v>13.3</v>
      </c>
      <c r="E18" s="3" t="n">
        <v>11.8</v>
      </c>
      <c r="F18" s="3" t="n">
        <v>11</v>
      </c>
      <c r="G18" s="3" t="n">
        <v>10.2</v>
      </c>
      <c r="H18" s="3" t="n">
        <v>9.5</v>
      </c>
      <c r="I18" s="3" t="n">
        <v>9</v>
      </c>
      <c r="J18" s="3" t="n">
        <v>8.5</v>
      </c>
      <c r="K18" s="3" t="n">
        <v>8.2</v>
      </c>
      <c r="L18" s="3" t="n">
        <v>8</v>
      </c>
    </row>
    <row r="19" customFormat="false" ht="15" hidden="false" customHeight="false" outlineLevel="0" collapsed="false">
      <c r="A19" s="0" t="s">
        <v>111</v>
      </c>
      <c r="C19" s="3" t="n">
        <v>4</v>
      </c>
      <c r="D19" s="3" t="n">
        <v>8</v>
      </c>
      <c r="E19" s="3" t="n">
        <v>13</v>
      </c>
      <c r="F19" s="3" t="n">
        <v>18</v>
      </c>
      <c r="G19" s="3" t="n">
        <v>22</v>
      </c>
      <c r="H19" s="3" t="n">
        <v>24</v>
      </c>
      <c r="I19" s="3" t="n">
        <v>24</v>
      </c>
      <c r="J19" s="3" t="n">
        <v>24</v>
      </c>
      <c r="K19" s="3" t="n">
        <v>24</v>
      </c>
      <c r="L19" s="3" t="n">
        <v>24</v>
      </c>
    </row>
    <row r="20" customFormat="false" ht="15" hidden="false" customHeight="false" outlineLevel="0" collapsed="false">
      <c r="A20" s="0" t="s">
        <v>112</v>
      </c>
      <c r="B20" s="3" t="n">
        <v>9</v>
      </c>
    </row>
    <row r="21" customFormat="false" ht="15" hidden="false" customHeight="false" outlineLevel="0" collapsed="false">
      <c r="A21" s="0" t="s">
        <v>113</v>
      </c>
      <c r="B21" s="3" t="n">
        <v>2</v>
      </c>
    </row>
    <row r="22" customFormat="false" ht="15" hidden="false" customHeight="false" outlineLevel="0" collapsed="false">
      <c r="A22" s="0" t="s">
        <v>114</v>
      </c>
      <c r="B22" s="3" t="n">
        <v>14</v>
      </c>
    </row>
    <row r="23" customFormat="false" ht="15" hidden="false" customHeight="false" outlineLevel="0" collapsed="false">
      <c r="A23" s="0" t="s">
        <v>115</v>
      </c>
      <c r="B23" s="3" t="n">
        <v>-10</v>
      </c>
    </row>
    <row r="24" customFormat="false" ht="15" hidden="false" customHeight="false" outlineLevel="0" collapsed="false">
      <c r="A24" s="0" t="s">
        <v>116</v>
      </c>
      <c r="B24" s="3" t="n">
        <v>0.25</v>
      </c>
    </row>
    <row r="26" customFormat="false" ht="15" hidden="false" customHeight="false" outlineLevel="0" collapsed="false">
      <c r="A26" s="2" t="s">
        <v>117</v>
      </c>
      <c r="C26" s="2" t="s">
        <v>95</v>
      </c>
      <c r="D26" s="2" t="s">
        <v>96</v>
      </c>
      <c r="E26" s="2" t="s">
        <v>97</v>
      </c>
      <c r="F26" s="2" t="s">
        <v>98</v>
      </c>
      <c r="G26" s="2" t="s">
        <v>99</v>
      </c>
      <c r="H26" s="2" t="s">
        <v>100</v>
      </c>
      <c r="I26" s="2" t="s">
        <v>101</v>
      </c>
      <c r="J26" s="2" t="s">
        <v>102</v>
      </c>
      <c r="K26" s="2" t="s">
        <v>103</v>
      </c>
      <c r="L26" s="2" t="s">
        <v>104</v>
      </c>
    </row>
    <row r="27" customFormat="false" ht="15" hidden="false" customHeight="false" outlineLevel="0" collapsed="false">
      <c r="A27" s="0" t="s">
        <v>105</v>
      </c>
      <c r="C27" s="3" t="n">
        <v>6.7</v>
      </c>
      <c r="D27" s="3" t="n">
        <v>8</v>
      </c>
      <c r="E27" s="3" t="n">
        <v>8</v>
      </c>
      <c r="F27" s="3" t="n">
        <v>7</v>
      </c>
      <c r="G27" s="3" t="n">
        <v>6</v>
      </c>
      <c r="H27" s="3" t="n">
        <v>5</v>
      </c>
      <c r="I27" s="3" t="n">
        <v>4</v>
      </c>
      <c r="J27" s="3" t="n">
        <v>3.5</v>
      </c>
      <c r="K27" s="3" t="n">
        <v>3</v>
      </c>
      <c r="L27" s="3" t="n">
        <v>2.5</v>
      </c>
    </row>
    <row r="28" customFormat="false" ht="15" hidden="false" customHeight="false" outlineLevel="0" collapsed="false">
      <c r="A28" s="0" t="s">
        <v>106</v>
      </c>
      <c r="C28" s="3" t="n">
        <v>22.5</v>
      </c>
      <c r="D28" s="3" t="n">
        <v>23.5</v>
      </c>
      <c r="E28" s="3" t="n">
        <v>24.5</v>
      </c>
      <c r="F28" s="3" t="n">
        <v>25.5</v>
      </c>
      <c r="G28" s="3" t="n">
        <v>26</v>
      </c>
      <c r="H28" s="3" t="n">
        <v>26.5</v>
      </c>
      <c r="I28" s="3" t="n">
        <v>26.5</v>
      </c>
      <c r="J28" s="3" t="n">
        <v>26.5</v>
      </c>
      <c r="K28" s="3" t="n">
        <v>26.5</v>
      </c>
      <c r="L28" s="3" t="n">
        <v>26.5</v>
      </c>
    </row>
    <row r="29" customFormat="false" ht="15" hidden="false" customHeight="false" outlineLevel="0" collapsed="false">
      <c r="A29" s="0" t="s">
        <v>107</v>
      </c>
      <c r="C29" s="3" t="n">
        <v>0.08</v>
      </c>
      <c r="D29" s="3" t="n">
        <v>0.08</v>
      </c>
      <c r="E29" s="3" t="n">
        <v>0.08</v>
      </c>
      <c r="F29" s="3" t="n">
        <v>0.08</v>
      </c>
      <c r="G29" s="3" t="n">
        <v>0.08</v>
      </c>
      <c r="H29" s="3" t="n">
        <v>0.08</v>
      </c>
      <c r="I29" s="3" t="n">
        <v>0.08</v>
      </c>
      <c r="J29" s="3" t="n">
        <v>0.08</v>
      </c>
      <c r="K29" s="3" t="n">
        <v>0.08</v>
      </c>
      <c r="L29" s="3" t="n">
        <v>0.08</v>
      </c>
    </row>
    <row r="30" customFormat="false" ht="15" hidden="false" customHeight="false" outlineLevel="0" collapsed="false">
      <c r="A30" s="0" t="s">
        <v>108</v>
      </c>
      <c r="C30" s="3" t="n">
        <v>1.3</v>
      </c>
      <c r="D30" s="3" t="n">
        <v>1.3</v>
      </c>
      <c r="E30" s="3" t="n">
        <v>1.3</v>
      </c>
      <c r="F30" s="3" t="n">
        <v>1.3</v>
      </c>
      <c r="G30" s="3" t="n">
        <v>1.3</v>
      </c>
      <c r="H30" s="3" t="n">
        <v>1.3</v>
      </c>
      <c r="I30" s="3" t="n">
        <v>1.3</v>
      </c>
      <c r="J30" s="3" t="n">
        <v>1.3</v>
      </c>
      <c r="K30" s="3" t="n">
        <v>1.3</v>
      </c>
      <c r="L30" s="3" t="n">
        <v>1.3</v>
      </c>
    </row>
    <row r="31" customFormat="false" ht="15" hidden="false" customHeight="false" outlineLevel="0" collapsed="false">
      <c r="A31" s="0" t="s">
        <v>109</v>
      </c>
      <c r="C31" s="3" t="n">
        <v>2.9</v>
      </c>
      <c r="D31" s="3" t="n">
        <v>2.9</v>
      </c>
      <c r="E31" s="3" t="n">
        <v>3</v>
      </c>
      <c r="F31" s="3" t="n">
        <v>3</v>
      </c>
      <c r="G31" s="3" t="n">
        <v>3.1</v>
      </c>
      <c r="H31" s="3" t="n">
        <v>3.1</v>
      </c>
      <c r="I31" s="3" t="n">
        <v>3.1</v>
      </c>
      <c r="J31" s="3" t="n">
        <v>3.1</v>
      </c>
      <c r="K31" s="3" t="n">
        <v>3.1</v>
      </c>
      <c r="L31" s="3" t="n">
        <v>3.1</v>
      </c>
    </row>
    <row r="32" customFormat="false" ht="15" hidden="false" customHeight="false" outlineLevel="0" collapsed="false">
      <c r="A32" s="0" t="s">
        <v>110</v>
      </c>
      <c r="C32" s="3" t="n">
        <v>13.5</v>
      </c>
      <c r="D32" s="3" t="n">
        <v>12.7</v>
      </c>
      <c r="E32" s="3" t="n">
        <v>10.4</v>
      </c>
      <c r="F32" s="3" t="n">
        <v>9.2</v>
      </c>
      <c r="G32" s="3" t="n">
        <v>8.3</v>
      </c>
      <c r="H32" s="3" t="n">
        <v>7.6</v>
      </c>
      <c r="I32" s="3" t="n">
        <v>7.1</v>
      </c>
      <c r="J32" s="3" t="n">
        <v>6.7</v>
      </c>
      <c r="K32" s="3" t="n">
        <v>6.5</v>
      </c>
      <c r="L32" s="3" t="n">
        <v>6</v>
      </c>
    </row>
    <row r="33" customFormat="false" ht="15" hidden="false" customHeight="false" outlineLevel="0" collapsed="false">
      <c r="A33" s="0" t="s">
        <v>111</v>
      </c>
      <c r="C33" s="3" t="n">
        <v>4</v>
      </c>
      <c r="D33" s="3" t="n">
        <v>8</v>
      </c>
      <c r="E33" s="3" t="n">
        <v>13</v>
      </c>
      <c r="F33" s="3" t="n">
        <v>18</v>
      </c>
      <c r="G33" s="3" t="n">
        <v>22</v>
      </c>
      <c r="H33" s="3" t="n">
        <v>24</v>
      </c>
      <c r="I33" s="3" t="n">
        <v>24</v>
      </c>
      <c r="J33" s="3" t="n">
        <v>24</v>
      </c>
      <c r="K33" s="3" t="n">
        <v>24</v>
      </c>
      <c r="L33" s="3" t="n">
        <v>24</v>
      </c>
    </row>
    <row r="34" customFormat="false" ht="15" hidden="false" customHeight="false" outlineLevel="0" collapsed="false">
      <c r="A34" s="0" t="s">
        <v>112</v>
      </c>
      <c r="B34" s="3" t="n">
        <v>9</v>
      </c>
    </row>
    <row r="35" customFormat="false" ht="15" hidden="false" customHeight="false" outlineLevel="0" collapsed="false">
      <c r="A35" s="0" t="s">
        <v>113</v>
      </c>
      <c r="B35" s="3" t="n">
        <v>2.5</v>
      </c>
    </row>
    <row r="36" customFormat="false" ht="15" hidden="false" customHeight="false" outlineLevel="0" collapsed="false">
      <c r="A36" s="0" t="s">
        <v>114</v>
      </c>
      <c r="B36" s="3" t="n">
        <v>18</v>
      </c>
    </row>
    <row r="37" customFormat="false" ht="15" hidden="false" customHeight="false" outlineLevel="0" collapsed="false">
      <c r="A37" s="0" t="s">
        <v>115</v>
      </c>
      <c r="B37" s="3" t="n">
        <v>-10</v>
      </c>
    </row>
    <row r="38" customFormat="false" ht="15" hidden="false" customHeight="false" outlineLevel="0" collapsed="false">
      <c r="A38" s="0" t="s">
        <v>116</v>
      </c>
      <c r="B38" s="3" t="n">
        <v>0.5</v>
      </c>
    </row>
    <row r="40" customFormat="false" ht="15" hidden="false" customHeight="false" outlineLevel="0" collapsed="false">
      <c r="A40" s="2" t="s">
        <v>118</v>
      </c>
      <c r="C40" s="2" t="s">
        <v>95</v>
      </c>
      <c r="D40" s="2" t="s">
        <v>96</v>
      </c>
      <c r="E40" s="2" t="s">
        <v>97</v>
      </c>
      <c r="F40" s="2" t="s">
        <v>98</v>
      </c>
      <c r="G40" s="2" t="s">
        <v>99</v>
      </c>
      <c r="H40" s="2" t="s">
        <v>100</v>
      </c>
      <c r="I40" s="2" t="s">
        <v>101</v>
      </c>
      <c r="J40" s="2" t="s">
        <v>102</v>
      </c>
      <c r="K40" s="2" t="s">
        <v>103</v>
      </c>
      <c r="L40" s="2" t="s">
        <v>104</v>
      </c>
    </row>
    <row r="41" customFormat="false" ht="15" hidden="false" customHeight="false" outlineLevel="0" collapsed="false">
      <c r="A41" s="0" t="s">
        <v>105</v>
      </c>
      <c r="C41" s="3" t="n">
        <v>7.5</v>
      </c>
      <c r="D41" s="3" t="n">
        <v>10</v>
      </c>
      <c r="E41" s="3" t="n">
        <v>10</v>
      </c>
      <c r="F41" s="3" t="n">
        <v>9</v>
      </c>
      <c r="G41" s="3" t="n">
        <v>8</v>
      </c>
      <c r="H41" s="3" t="n">
        <v>7</v>
      </c>
      <c r="I41" s="3" t="n">
        <v>6</v>
      </c>
      <c r="J41" s="3" t="n">
        <v>5</v>
      </c>
      <c r="K41" s="3" t="n">
        <v>4</v>
      </c>
      <c r="L41" s="3" t="n">
        <v>3</v>
      </c>
    </row>
    <row r="42" customFormat="false" ht="15" hidden="false" customHeight="false" outlineLevel="0" collapsed="false">
      <c r="A42" s="0" t="s">
        <v>106</v>
      </c>
      <c r="C42" s="3" t="n">
        <v>22.7</v>
      </c>
      <c r="D42" s="3" t="n">
        <v>24</v>
      </c>
      <c r="E42" s="3" t="n">
        <v>25.5</v>
      </c>
      <c r="F42" s="3" t="n">
        <v>27</v>
      </c>
      <c r="G42" s="3" t="n">
        <v>27.8</v>
      </c>
      <c r="H42" s="3" t="n">
        <v>28.3</v>
      </c>
      <c r="I42" s="3" t="n">
        <v>28.5</v>
      </c>
      <c r="J42" s="3" t="n">
        <v>28.5</v>
      </c>
      <c r="K42" s="3" t="n">
        <v>28.5</v>
      </c>
      <c r="L42" s="3" t="n">
        <v>28.5</v>
      </c>
    </row>
    <row r="43" customFormat="false" ht="15" hidden="false" customHeight="false" outlineLevel="0" collapsed="false">
      <c r="A43" s="0" t="s">
        <v>107</v>
      </c>
      <c r="C43" s="3" t="n">
        <v>0.08</v>
      </c>
      <c r="D43" s="3" t="n">
        <v>0.08</v>
      </c>
      <c r="E43" s="3" t="n">
        <v>0.08</v>
      </c>
      <c r="F43" s="3" t="n">
        <v>0.08</v>
      </c>
      <c r="G43" s="3" t="n">
        <v>0.08</v>
      </c>
      <c r="H43" s="3" t="n">
        <v>0.08</v>
      </c>
      <c r="I43" s="3" t="n">
        <v>0.08</v>
      </c>
      <c r="J43" s="3" t="n">
        <v>0.08</v>
      </c>
      <c r="K43" s="3" t="n">
        <v>0.08</v>
      </c>
      <c r="L43" s="3" t="n">
        <v>0.08</v>
      </c>
    </row>
    <row r="44" customFormat="false" ht="15" hidden="false" customHeight="false" outlineLevel="0" collapsed="false">
      <c r="A44" s="0" t="s">
        <v>108</v>
      </c>
      <c r="C44" s="3" t="n">
        <v>1.3</v>
      </c>
      <c r="D44" s="3" t="n">
        <v>1.3</v>
      </c>
      <c r="E44" s="3" t="n">
        <v>1.3</v>
      </c>
      <c r="F44" s="3" t="n">
        <v>1.3</v>
      </c>
      <c r="G44" s="3" t="n">
        <v>1.3</v>
      </c>
      <c r="H44" s="3" t="n">
        <v>1.3</v>
      </c>
      <c r="I44" s="3" t="n">
        <v>1.3</v>
      </c>
      <c r="J44" s="3" t="n">
        <v>1.3</v>
      </c>
      <c r="K44" s="3" t="n">
        <v>1.3</v>
      </c>
      <c r="L44" s="3" t="n">
        <v>1.3</v>
      </c>
    </row>
    <row r="45" customFormat="false" ht="15" hidden="false" customHeight="false" outlineLevel="0" collapsed="false">
      <c r="A45" s="0" t="s">
        <v>109</v>
      </c>
      <c r="C45" s="3" t="n">
        <v>2.9</v>
      </c>
      <c r="D45" s="3" t="n">
        <v>2.9</v>
      </c>
      <c r="E45" s="3" t="n">
        <v>3</v>
      </c>
      <c r="F45" s="3" t="n">
        <v>3</v>
      </c>
      <c r="G45" s="3" t="n">
        <v>3</v>
      </c>
      <c r="H45" s="3" t="n">
        <v>3</v>
      </c>
      <c r="I45" s="3" t="n">
        <v>3</v>
      </c>
      <c r="J45" s="3" t="n">
        <v>3</v>
      </c>
      <c r="K45" s="3" t="n">
        <v>3</v>
      </c>
      <c r="L45" s="3" t="n">
        <v>3</v>
      </c>
    </row>
    <row r="46" customFormat="false" ht="15" hidden="false" customHeight="false" outlineLevel="0" collapsed="false">
      <c r="A46" s="0" t="s">
        <v>110</v>
      </c>
      <c r="C46" s="3" t="n">
        <v>13.3</v>
      </c>
      <c r="D46" s="3" t="n">
        <v>12</v>
      </c>
      <c r="E46" s="3" t="n">
        <v>9.5</v>
      </c>
      <c r="F46" s="3" t="n">
        <v>8</v>
      </c>
      <c r="G46" s="3" t="n">
        <v>7</v>
      </c>
      <c r="H46" s="3" t="n">
        <v>6.3</v>
      </c>
      <c r="I46" s="3" t="n">
        <v>5.8</v>
      </c>
      <c r="J46" s="3" t="n">
        <v>5.5</v>
      </c>
      <c r="K46" s="3" t="n">
        <v>5.3</v>
      </c>
      <c r="L46" s="3" t="n">
        <v>5.2</v>
      </c>
    </row>
    <row r="47" customFormat="false" ht="15" hidden="false" customHeight="false" outlineLevel="0" collapsed="false">
      <c r="A47" s="0" t="s">
        <v>111</v>
      </c>
      <c r="C47" s="3" t="n">
        <v>4</v>
      </c>
      <c r="D47" s="3" t="n">
        <v>8</v>
      </c>
      <c r="E47" s="3" t="n">
        <v>13</v>
      </c>
      <c r="F47" s="3" t="n">
        <v>18</v>
      </c>
      <c r="G47" s="3" t="n">
        <v>22</v>
      </c>
      <c r="H47" s="3" t="n">
        <v>24</v>
      </c>
      <c r="I47" s="3" t="n">
        <v>24</v>
      </c>
      <c r="J47" s="3" t="n">
        <v>24</v>
      </c>
      <c r="K47" s="3" t="n">
        <v>24</v>
      </c>
      <c r="L47" s="3" t="n">
        <v>24</v>
      </c>
    </row>
    <row r="48" customFormat="false" ht="15" hidden="false" customHeight="false" outlineLevel="0" collapsed="false">
      <c r="A48" s="0" t="s">
        <v>112</v>
      </c>
      <c r="B48" s="3" t="n">
        <v>9</v>
      </c>
    </row>
    <row r="49" customFormat="false" ht="15" hidden="false" customHeight="false" outlineLevel="0" collapsed="false">
      <c r="A49" s="0" t="s">
        <v>113</v>
      </c>
      <c r="B49" s="3" t="n">
        <v>3</v>
      </c>
    </row>
    <row r="50" customFormat="false" ht="15" hidden="false" customHeight="false" outlineLevel="0" collapsed="false">
      <c r="A50" s="0" t="s">
        <v>114</v>
      </c>
      <c r="B50" s="3" t="n">
        <v>18</v>
      </c>
    </row>
    <row r="51" customFormat="false" ht="15" hidden="false" customHeight="false" outlineLevel="0" collapsed="false">
      <c r="A51" s="0" t="s">
        <v>115</v>
      </c>
      <c r="B51" s="3" t="n">
        <v>-10</v>
      </c>
    </row>
    <row r="52" customFormat="false" ht="15" hidden="false" customHeight="false" outlineLevel="0" collapsed="false">
      <c r="A52" s="0" t="s">
        <v>116</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119</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Assumptions!C13</f>
        <v>5</v>
      </c>
      <c r="D5" s="4" t="n">
        <f aca="false">Assumptions!D13</f>
        <v>4</v>
      </c>
      <c r="E5" s="4" t="n">
        <f aca="false">Assumptions!E13</f>
        <v>4</v>
      </c>
      <c r="F5" s="4" t="n">
        <f aca="false">Assumptions!F13</f>
        <v>3.5</v>
      </c>
      <c r="G5" s="4" t="n">
        <f aca="false">Assumptions!G13</f>
        <v>3</v>
      </c>
      <c r="H5" s="4" t="n">
        <f aca="false">Assumptions!H13</f>
        <v>3</v>
      </c>
      <c r="I5" s="4" t="n">
        <f aca="false">Assumptions!I13</f>
        <v>2.5</v>
      </c>
      <c r="J5" s="4" t="n">
        <f aca="false">Assumptions!J13</f>
        <v>2.5</v>
      </c>
      <c r="K5" s="4" t="n">
        <f aca="false">Assumptions!K13</f>
        <v>2</v>
      </c>
      <c r="L5" s="4" t="n">
        <f aca="false">Assumptions!L13</f>
        <v>2</v>
      </c>
    </row>
    <row r="6" customFormat="false" ht="15" hidden="false" customHeight="false" outlineLevel="0" collapsed="false">
      <c r="A6" s="0" t="s">
        <v>38</v>
      </c>
      <c r="B6" s="3" t="n">
        <v>3589</v>
      </c>
      <c r="C6" s="0" t="n">
        <f aca="false">B6*(1+C5/100)</f>
        <v>3768.45</v>
      </c>
      <c r="D6" s="0" t="n">
        <f aca="false">C6*(1+D5/100)</f>
        <v>3919.188</v>
      </c>
      <c r="E6" s="0" t="n">
        <f aca="false">D6*(1+E5/100)</f>
        <v>4075.95552</v>
      </c>
      <c r="F6" s="0" t="n">
        <f aca="false">E6*(1+F5/100)</f>
        <v>4218.6139632</v>
      </c>
      <c r="G6" s="0" t="n">
        <f aca="false">F6*(1+G5/100)</f>
        <v>4345.172382096</v>
      </c>
      <c r="H6" s="0" t="n">
        <f aca="false">G6*(1+H5/100)</f>
        <v>4475.52755355888</v>
      </c>
      <c r="I6" s="0" t="n">
        <f aca="false">H6*(1+I5/100)</f>
        <v>4587.41574239785</v>
      </c>
      <c r="J6" s="0" t="n">
        <f aca="false">I6*(1+J5/100)</f>
        <v>4702.1011359578</v>
      </c>
      <c r="K6" s="0" t="n">
        <f aca="false">J6*(1+K5/100)</f>
        <v>4796.14315867695</v>
      </c>
      <c r="L6" s="0" t="n">
        <f aca="false">K6*(1+L5/100)</f>
        <v>4892.06602185049</v>
      </c>
    </row>
    <row r="7" customFormat="false" ht="15" hidden="false" customHeight="false" outlineLevel="0" collapsed="false">
      <c r="A7" s="0" t="s">
        <v>106</v>
      </c>
      <c r="C7" s="4" t="n">
        <f aca="false">Assumptions!C14</f>
        <v>21.8</v>
      </c>
      <c r="D7" s="4" t="n">
        <f aca="false">Assumptions!D14</f>
        <v>22</v>
      </c>
      <c r="E7" s="4" t="n">
        <f aca="false">Assumptions!E14</f>
        <v>22.3</v>
      </c>
      <c r="F7" s="4" t="n">
        <f aca="false">Assumptions!F14</f>
        <v>22.5</v>
      </c>
      <c r="G7" s="4" t="n">
        <f aca="false">Assumptions!G14</f>
        <v>22.8</v>
      </c>
      <c r="H7" s="4" t="n">
        <f aca="false">Assumptions!H14</f>
        <v>23</v>
      </c>
      <c r="I7" s="4" t="n">
        <f aca="false">Assumptions!I14</f>
        <v>23</v>
      </c>
      <c r="J7" s="4" t="n">
        <f aca="false">Assumptions!J14</f>
        <v>23</v>
      </c>
      <c r="K7" s="4" t="n">
        <f aca="false">Assumptions!K14</f>
        <v>23</v>
      </c>
      <c r="L7" s="4" t="n">
        <f aca="false">Assumptions!L14</f>
        <v>23</v>
      </c>
    </row>
    <row r="8" customFormat="false" ht="15" hidden="false" customHeight="false" outlineLevel="0" collapsed="false">
      <c r="A8" s="0" t="s">
        <v>44</v>
      </c>
      <c r="C8" s="0" t="n">
        <f aca="false">C6*C7/100</f>
        <v>821.5221</v>
      </c>
      <c r="D8" s="0" t="n">
        <f aca="false">D6*D7/100</f>
        <v>862.22136</v>
      </c>
      <c r="E8" s="0" t="n">
        <f aca="false">E6*E7/100</f>
        <v>908.93808096</v>
      </c>
      <c r="F8" s="0" t="n">
        <f aca="false">F6*F7/100</f>
        <v>949.18814172</v>
      </c>
      <c r="G8" s="0" t="n">
        <f aca="false">G6*G7/100</f>
        <v>990.699303117888</v>
      </c>
      <c r="H8" s="0" t="n">
        <f aca="false">H6*H7/100</f>
        <v>1029.37133731854</v>
      </c>
      <c r="I8" s="0" t="n">
        <f aca="false">I6*I7/100</f>
        <v>1055.10562075151</v>
      </c>
      <c r="J8" s="0" t="n">
        <f aca="false">J6*J7/100</f>
        <v>1081.48326127029</v>
      </c>
      <c r="K8" s="0" t="n">
        <f aca="false">K6*K7/100</f>
        <v>1103.1129264957</v>
      </c>
      <c r="L8" s="0" t="n">
        <f aca="false">L6*L7/100</f>
        <v>1125.17518502561</v>
      </c>
    </row>
    <row r="9" customFormat="false" ht="15" hidden="false" customHeight="false" outlineLevel="0" collapsed="false">
      <c r="A9" s="0" t="s">
        <v>107</v>
      </c>
      <c r="C9" s="4" t="n">
        <f aca="false">Assumptions!C15</f>
        <v>0.08</v>
      </c>
      <c r="D9" s="4" t="n">
        <f aca="false">Assumptions!D15</f>
        <v>0.08</v>
      </c>
      <c r="E9" s="4" t="n">
        <f aca="false">Assumptions!E15</f>
        <v>0.08</v>
      </c>
      <c r="F9" s="4" t="n">
        <f aca="false">Assumptions!F15</f>
        <v>0.08</v>
      </c>
      <c r="G9" s="4" t="n">
        <f aca="false">Assumptions!G15</f>
        <v>0.08</v>
      </c>
      <c r="H9" s="4" t="n">
        <f aca="false">Assumptions!H15</f>
        <v>0.08</v>
      </c>
      <c r="I9" s="4" t="n">
        <f aca="false">Assumptions!I15</f>
        <v>0.08</v>
      </c>
      <c r="J9" s="4" t="n">
        <f aca="false">Assumptions!J15</f>
        <v>0.08</v>
      </c>
      <c r="K9" s="4" t="n">
        <f aca="false">Assumptions!K15</f>
        <v>0.08</v>
      </c>
      <c r="L9" s="4" t="n">
        <f aca="false">Assumptions!L15</f>
        <v>0.08</v>
      </c>
    </row>
    <row r="10" customFormat="false" ht="15" hidden="false" customHeight="false" outlineLevel="0" collapsed="false">
      <c r="A10" s="0" t="s">
        <v>122</v>
      </c>
      <c r="C10" s="0" t="n">
        <f aca="false">-C6*C9/100</f>
        <v>-3.01476</v>
      </c>
      <c r="D10" s="0" t="n">
        <f aca="false">-D6*D9/100</f>
        <v>-3.1353504</v>
      </c>
      <c r="E10" s="0" t="n">
        <f aca="false">-E6*E9/100</f>
        <v>-3.260764416</v>
      </c>
      <c r="F10" s="0" t="n">
        <f aca="false">-F6*F9/100</f>
        <v>-3.37489117056</v>
      </c>
      <c r="G10" s="0" t="n">
        <f aca="false">-G6*G9/100</f>
        <v>-3.4761379056768</v>
      </c>
      <c r="H10" s="0" t="n">
        <f aca="false">-H6*H9/100</f>
        <v>-3.5804220428471</v>
      </c>
      <c r="I10" s="0" t="n">
        <f aca="false">-I6*I9/100</f>
        <v>-3.66993259391828</v>
      </c>
      <c r="J10" s="0" t="n">
        <f aca="false">-J6*J9/100</f>
        <v>-3.76168090876624</v>
      </c>
      <c r="K10" s="0" t="n">
        <f aca="false">-K6*K9/100</f>
        <v>-3.83691452694156</v>
      </c>
      <c r="L10" s="0" t="n">
        <f aca="false">-L6*L9/100</f>
        <v>-3.9136528174804</v>
      </c>
    </row>
    <row r="11" customFormat="false" ht="15" hidden="false" customHeight="false" outlineLevel="0" collapsed="false">
      <c r="A11" s="0" t="s">
        <v>123</v>
      </c>
      <c r="C11" s="0" t="n">
        <f aca="false">C8+C10+C24</f>
        <v>769.51749</v>
      </c>
      <c r="D11" s="0" t="n">
        <f aca="false">D8+D10+D24</f>
        <v>808.1365656</v>
      </c>
      <c r="E11" s="0" t="n">
        <f aca="false">E8+E10+E24</f>
        <v>852.689894784</v>
      </c>
      <c r="F11" s="0" t="n">
        <f aca="false">F8+F10+F24</f>
        <v>890.97126902784</v>
      </c>
      <c r="G11" s="0" t="n">
        <f aca="false">G8+G10+G24</f>
        <v>930.735924244964</v>
      </c>
      <c r="H11" s="0" t="n">
        <f aca="false">H8+H10+H24</f>
        <v>967.60905707943</v>
      </c>
      <c r="I11" s="0" t="n">
        <f aca="false">I8+I10+I24</f>
        <v>991.799283506416</v>
      </c>
      <c r="J11" s="0" t="n">
        <f aca="false">J8+J10+J24</f>
        <v>1016.59426559408</v>
      </c>
      <c r="K11" s="0" t="n">
        <f aca="false">K8+K10+K24</f>
        <v>1036.92615090596</v>
      </c>
      <c r="L11" s="0" t="n">
        <f aca="false">L8+L10+L24</f>
        <v>1057.66467392408</v>
      </c>
    </row>
    <row r="12" customFormat="false" ht="15" hidden="false" customHeight="false" outlineLevel="0" collapsed="false">
      <c r="A12" s="0" t="s">
        <v>124</v>
      </c>
      <c r="C12" s="4" t="n">
        <f aca="false">-C6*Assumptions!C17/100</f>
        <v>-109.28505</v>
      </c>
      <c r="D12" s="4" t="n">
        <f aca="false">-D6*Assumptions!D17/100</f>
        <v>-117.57564</v>
      </c>
      <c r="E12" s="4" t="n">
        <f aca="false">-E6*Assumptions!E17/100</f>
        <v>-122.2786656</v>
      </c>
      <c r="F12" s="4" t="n">
        <f aca="false">-F6*Assumptions!F17/100</f>
        <v>-130.7770328592</v>
      </c>
      <c r="G12" s="4" t="n">
        <f aca="false">-G6*Assumptions!G17/100</f>
        <v>-134.700343844976</v>
      </c>
      <c r="H12" s="4" t="n">
        <f aca="false">-H6*Assumptions!H17/100</f>
        <v>-143.216881713884</v>
      </c>
      <c r="I12" s="4" t="n">
        <f aca="false">-I6*Assumptions!I17/100</f>
        <v>-146.797303756731</v>
      </c>
      <c r="J12" s="4" t="n">
        <f aca="false">-J6*Assumptions!J17/100</f>
        <v>-150.46723635065</v>
      </c>
      <c r="K12" s="4" t="n">
        <f aca="false">-K6*Assumptions!K17/100</f>
        <v>-153.476581077663</v>
      </c>
      <c r="L12" s="4" t="n">
        <f aca="false">-L6*Assumptions!L17/100</f>
        <v>-156.546112699216</v>
      </c>
    </row>
    <row r="13" customFormat="false" ht="15" hidden="false" customHeight="false" outlineLevel="0" collapsed="false">
      <c r="A13" s="0" t="s">
        <v>125</v>
      </c>
      <c r="C13" s="0" t="n">
        <f aca="false">C11+C12</f>
        <v>660.23244</v>
      </c>
      <c r="D13" s="0" t="n">
        <f aca="false">D11+D12</f>
        <v>690.5609256</v>
      </c>
      <c r="E13" s="0" t="n">
        <f aca="false">E11+E12</f>
        <v>730.411229184</v>
      </c>
      <c r="F13" s="0" t="n">
        <f aca="false">F11+F12</f>
        <v>760.19423616864</v>
      </c>
      <c r="G13" s="0" t="n">
        <f aca="false">G11+G12</f>
        <v>796.035580399988</v>
      </c>
      <c r="H13" s="0" t="n">
        <f aca="false">H11+H12</f>
        <v>824.392175365546</v>
      </c>
      <c r="I13" s="0" t="n">
        <f aca="false">I11+I12</f>
        <v>845.001979749684</v>
      </c>
      <c r="J13" s="0" t="n">
        <f aca="false">J11+J12</f>
        <v>866.127029243426</v>
      </c>
      <c r="K13" s="0" t="n">
        <f aca="false">K11+K12</f>
        <v>883.449569828295</v>
      </c>
      <c r="L13" s="0" t="n">
        <f aca="false">L11+L12</f>
        <v>901.118561224861</v>
      </c>
    </row>
    <row r="14" customFormat="false" ht="15" hidden="false" customHeight="false" outlineLevel="0" collapsed="false">
      <c r="A14" s="0" t="s">
        <v>111</v>
      </c>
      <c r="C14" s="4" t="n">
        <f aca="false">Assumptions!C19</f>
        <v>4</v>
      </c>
      <c r="D14" s="4" t="n">
        <f aca="false">Assumptions!D19</f>
        <v>8</v>
      </c>
      <c r="E14" s="4" t="n">
        <f aca="false">Assumptions!E19</f>
        <v>13</v>
      </c>
      <c r="F14" s="4" t="n">
        <f aca="false">Assumptions!F19</f>
        <v>18</v>
      </c>
      <c r="G14" s="4" t="n">
        <f aca="false">Assumptions!G19</f>
        <v>22</v>
      </c>
      <c r="H14" s="4" t="n">
        <f aca="false">Assumptions!H19</f>
        <v>24</v>
      </c>
      <c r="I14" s="4" t="n">
        <f aca="false">Assumptions!I19</f>
        <v>24</v>
      </c>
      <c r="J14" s="4" t="n">
        <f aca="false">Assumptions!J19</f>
        <v>24</v>
      </c>
      <c r="K14" s="4" t="n">
        <f aca="false">Assumptions!K19</f>
        <v>24</v>
      </c>
      <c r="L14" s="4" t="n">
        <f aca="false">Assumptions!L19</f>
        <v>24</v>
      </c>
    </row>
    <row r="15" customFormat="false" ht="15" hidden="false" customHeight="false" outlineLevel="0" collapsed="false">
      <c r="A15" s="0" t="s">
        <v>126</v>
      </c>
      <c r="C15" s="0" t="n">
        <f aca="false">C13-MAX(0,C13)*C14/100</f>
        <v>633.8231424</v>
      </c>
      <c r="D15" s="0" t="n">
        <f aca="false">D13-MAX(0,D13)*D14/100</f>
        <v>635.316051552</v>
      </c>
      <c r="E15" s="0" t="n">
        <f aca="false">E13-MAX(0,E13)*E14/100</f>
        <v>635.45776939008</v>
      </c>
      <c r="F15" s="0" t="n">
        <f aca="false">F13-MAX(0,F13)*F14/100</f>
        <v>623.359273658285</v>
      </c>
      <c r="G15" s="0" t="n">
        <f aca="false">G13-MAX(0,G13)*G14/100</f>
        <v>620.90775271199</v>
      </c>
      <c r="H15" s="0" t="n">
        <f aca="false">H13-MAX(0,H13)*H14/100</f>
        <v>626.538053277815</v>
      </c>
      <c r="I15" s="0" t="n">
        <f aca="false">I13-MAX(0,I13)*I14/100</f>
        <v>642.20150460976</v>
      </c>
      <c r="J15" s="0" t="n">
        <f aca="false">J13-MAX(0,J13)*J14/100</f>
        <v>658.256542225004</v>
      </c>
      <c r="K15" s="0" t="n">
        <f aca="false">K13-MAX(0,K13)*K14/100</f>
        <v>671.421673069504</v>
      </c>
      <c r="L15" s="0" t="n">
        <f aca="false">L13-MAX(0,L13)*L14/100</f>
        <v>684.850106530894</v>
      </c>
    </row>
    <row r="16" customFormat="false" ht="15" hidden="false" customHeight="false" outlineLevel="0" collapsed="false">
      <c r="A16" s="0" t="s">
        <v>127</v>
      </c>
      <c r="C16" s="0" t="n">
        <f aca="false">-C12</f>
        <v>109.28505</v>
      </c>
      <c r="D16" s="0" t="n">
        <f aca="false">-D12</f>
        <v>117.57564</v>
      </c>
      <c r="E16" s="0" t="n">
        <f aca="false">-E12</f>
        <v>122.2786656</v>
      </c>
      <c r="F16" s="0" t="n">
        <f aca="false">-F12</f>
        <v>130.7770328592</v>
      </c>
      <c r="G16" s="0" t="n">
        <f aca="false">-G12</f>
        <v>134.700343844976</v>
      </c>
      <c r="H16" s="0" t="n">
        <f aca="false">-H12</f>
        <v>143.216881713884</v>
      </c>
      <c r="I16" s="0" t="n">
        <f aca="false">-I12</f>
        <v>146.797303756731</v>
      </c>
      <c r="J16" s="0" t="n">
        <f aca="false">-J12</f>
        <v>150.46723635065</v>
      </c>
      <c r="K16" s="0" t="n">
        <f aca="false">-K12</f>
        <v>153.476581077663</v>
      </c>
      <c r="L16" s="0" t="n">
        <f aca="false">-L12</f>
        <v>156.546112699216</v>
      </c>
    </row>
    <row r="17" customFormat="false" ht="15" hidden="false" customHeight="false" outlineLevel="0" collapsed="false">
      <c r="A17" s="0" t="s">
        <v>128</v>
      </c>
      <c r="C17" s="4" t="n">
        <f aca="false">-C6*Assumptions!C18/100</f>
        <v>-520.0461</v>
      </c>
      <c r="D17" s="4" t="n">
        <f aca="false">-D6*Assumptions!D18/100</f>
        <v>-521.252004</v>
      </c>
      <c r="E17" s="4" t="n">
        <f aca="false">-E6*Assumptions!E18/100</f>
        <v>-480.96275136</v>
      </c>
      <c r="F17" s="4" t="n">
        <f aca="false">-F6*Assumptions!F18/100</f>
        <v>-464.047535952</v>
      </c>
      <c r="G17" s="4" t="n">
        <f aca="false">-G6*Assumptions!G18/100</f>
        <v>-443.207582973792</v>
      </c>
      <c r="H17" s="4" t="n">
        <f aca="false">-H6*Assumptions!H18/100</f>
        <v>-425.175117588094</v>
      </c>
      <c r="I17" s="4" t="n">
        <f aca="false">-I6*Assumptions!I18/100</f>
        <v>-412.867416815807</v>
      </c>
      <c r="J17" s="4" t="n">
        <f aca="false">-J6*Assumptions!J18/100</f>
        <v>-399.678596556413</v>
      </c>
      <c r="K17" s="4" t="n">
        <f aca="false">-K6*Assumptions!K18/100</f>
        <v>-393.28373901151</v>
      </c>
      <c r="L17" s="4" t="n">
        <f aca="false">-L6*Assumptions!L18/100</f>
        <v>-391.36528174804</v>
      </c>
    </row>
    <row r="18" customFormat="false" ht="15" hidden="false" customHeight="false" outlineLevel="0" collapsed="false">
      <c r="A18" s="0" t="s">
        <v>129</v>
      </c>
      <c r="C18" s="4" t="n">
        <f aca="false">(C6-B6)*Assumptions!$B$23/100</f>
        <v>-17.945</v>
      </c>
      <c r="D18" s="4" t="n">
        <f aca="false">(D6-C6)*Assumptions!$B$23/100</f>
        <v>-15.0738</v>
      </c>
      <c r="E18" s="4" t="n">
        <f aca="false">(E6-D6)*Assumptions!$B$23/100</f>
        <v>-15.676752</v>
      </c>
      <c r="F18" s="4" t="n">
        <f aca="false">(F6-E6)*Assumptions!$B$23/100</f>
        <v>-14.26584432</v>
      </c>
      <c r="G18" s="4" t="n">
        <f aca="false">(G6-F6)*Assumptions!$B$23/100</f>
        <v>-12.6558418896</v>
      </c>
      <c r="H18" s="4" t="n">
        <f aca="false">(H6-G6)*Assumptions!$B$23/100</f>
        <v>-13.035517146288</v>
      </c>
      <c r="I18" s="4" t="n">
        <f aca="false">(I6-H6)*Assumptions!$B$23/100</f>
        <v>-11.1888188838971</v>
      </c>
      <c r="J18" s="4" t="n">
        <f aca="false">(J6-I6)*Assumptions!$B$23/100</f>
        <v>-11.4685393559946</v>
      </c>
      <c r="K18" s="4" t="n">
        <f aca="false">(K6-J6)*Assumptions!$B$23/100</f>
        <v>-9.40420227191562</v>
      </c>
      <c r="L18" s="4" t="n">
        <f aca="false">(L6-K6)*Assumptions!$B$23/100</f>
        <v>-9.59228631735396</v>
      </c>
    </row>
    <row r="19" customFormat="false" ht="15" hidden="false" customHeight="false" outlineLevel="0" collapsed="false">
      <c r="A19" s="0" t="s">
        <v>130</v>
      </c>
      <c r="C19" s="0" t="n">
        <f aca="false">C15+C16+C17+C18</f>
        <v>205.1170924</v>
      </c>
      <c r="D19" s="0" t="n">
        <f aca="false">D15+D16+D17+D18</f>
        <v>216.565887552</v>
      </c>
      <c r="E19" s="0" t="n">
        <f aca="false">E15+E16+E17+E18</f>
        <v>261.09693163008</v>
      </c>
      <c r="F19" s="0" t="n">
        <f aca="false">F15+F16+F17+F18</f>
        <v>275.822926245485</v>
      </c>
      <c r="G19" s="0" t="n">
        <f aca="false">G15+G16+G17+G18</f>
        <v>299.744671693574</v>
      </c>
      <c r="H19" s="0" t="n">
        <f aca="false">H15+H16+H17+H18</f>
        <v>331.544300257317</v>
      </c>
      <c r="I19" s="0" t="n">
        <f aca="false">I15+I16+I17+I18</f>
        <v>364.942572666788</v>
      </c>
      <c r="J19" s="0" t="n">
        <f aca="false">J15+J16+J17+J18</f>
        <v>397.576642663246</v>
      </c>
      <c r="K19" s="0" t="n">
        <f aca="false">K15+K16+K17+K18</f>
        <v>422.210312863741</v>
      </c>
      <c r="L19" s="0" t="n">
        <f aca="false">L15+L16+L17+L18</f>
        <v>440.438651164717</v>
      </c>
    </row>
    <row r="20" customFormat="false" ht="15" hidden="false" customHeight="false" outlineLevel="0" collapsed="false">
      <c r="A20" s="0" t="s">
        <v>131</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132</v>
      </c>
      <c r="C21" s="0" t="n">
        <f aca="false">C19*C20</f>
        <v>188.180818715596</v>
      </c>
      <c r="D21" s="0" t="n">
        <f aca="false">D19*D20</f>
        <v>182.279174776534</v>
      </c>
      <c r="E21" s="0" t="n">
        <f aca="false">E19*E20</f>
        <v>201.614737299381</v>
      </c>
      <c r="F21" s="0" t="n">
        <f aca="false">F19*F20</f>
        <v>195.399914742078</v>
      </c>
      <c r="G21" s="0" t="n">
        <f aca="false">G19*G20</f>
        <v>194.813470009347</v>
      </c>
      <c r="H21" s="0" t="n">
        <f aca="false">H19*H20</f>
        <v>197.689033656471</v>
      </c>
      <c r="I21" s="0" t="n">
        <f aca="false">I19*I20</f>
        <v>199.636084649954</v>
      </c>
      <c r="J21" s="0" t="n">
        <f aca="false">J19*J20</f>
        <v>199.530310538193</v>
      </c>
      <c r="K21" s="0" t="n">
        <f aca="false">K19*K20</f>
        <v>194.397356840735</v>
      </c>
      <c r="L21" s="0" t="n">
        <f aca="false">L19*L20</f>
        <v>186.046046026537</v>
      </c>
    </row>
    <row r="23" customFormat="false" ht="15" hidden="false" customHeight="false" outlineLevel="0" collapsed="false">
      <c r="A23" s="0" t="s">
        <v>108</v>
      </c>
      <c r="C23" s="4" t="n">
        <f aca="false">Assumptions!C16</f>
        <v>1.3</v>
      </c>
      <c r="D23" s="4" t="n">
        <f aca="false">Assumptions!D16</f>
        <v>1.3</v>
      </c>
      <c r="E23" s="4" t="n">
        <f aca="false">Assumptions!E16</f>
        <v>1.3</v>
      </c>
      <c r="F23" s="4" t="n">
        <f aca="false">Assumptions!F16</f>
        <v>1.3</v>
      </c>
      <c r="G23" s="4" t="n">
        <f aca="false">Assumptions!G16</f>
        <v>1.3</v>
      </c>
      <c r="H23" s="4" t="n">
        <f aca="false">Assumptions!H16</f>
        <v>1.3</v>
      </c>
      <c r="I23" s="4" t="n">
        <f aca="false">Assumptions!I16</f>
        <v>1.3</v>
      </c>
      <c r="J23" s="4" t="n">
        <f aca="false">Assumptions!J16</f>
        <v>1.3</v>
      </c>
      <c r="K23" s="4" t="n">
        <f aca="false">Assumptions!K16</f>
        <v>1.3</v>
      </c>
      <c r="L23" s="4" t="n">
        <f aca="false">Assumptions!L16</f>
        <v>1.3</v>
      </c>
    </row>
    <row r="24" customFormat="false" ht="15" hidden="false" customHeight="false" outlineLevel="0" collapsed="false">
      <c r="A24" s="0" t="s">
        <v>133</v>
      </c>
      <c r="C24" s="0" t="n">
        <f aca="false">-C6*C23/100</f>
        <v>-48.98985</v>
      </c>
      <c r="D24" s="0" t="n">
        <f aca="false">-D6*D23/100</f>
        <v>-50.949444</v>
      </c>
      <c r="E24" s="0" t="n">
        <f aca="false">-E6*E23/100</f>
        <v>-52.98742176</v>
      </c>
      <c r="F24" s="0" t="n">
        <f aca="false">-F6*F23/100</f>
        <v>-54.8419815216</v>
      </c>
      <c r="G24" s="0" t="n">
        <f aca="false">-G6*G23/100</f>
        <v>-56.487240967248</v>
      </c>
      <c r="H24" s="0" t="n">
        <f aca="false">-H6*H23/100</f>
        <v>-58.1818581962654</v>
      </c>
      <c r="I24" s="0" t="n">
        <f aca="false">-I6*I23/100</f>
        <v>-59.6364046511721</v>
      </c>
      <c r="J24" s="0" t="n">
        <f aca="false">-J6*J23/100</f>
        <v>-61.1273147674514</v>
      </c>
      <c r="K24" s="0" t="n">
        <f aca="false">-K6*K23/100</f>
        <v>-62.3498610628004</v>
      </c>
      <c r="L24" s="0" t="n">
        <f aca="false">-L6*L23/100</f>
        <v>-63.5968582840564</v>
      </c>
    </row>
    <row r="26" customFormat="false" ht="15" hidden="false" customHeight="false" outlineLevel="0" collapsed="false">
      <c r="A26" s="2" t="s">
        <v>134</v>
      </c>
    </row>
    <row r="27" customFormat="false" ht="15" hidden="false" customHeight="false" outlineLevel="0" collapsed="false">
      <c r="A27" s="0" t="s">
        <v>112</v>
      </c>
      <c r="B27" s="4" t="n">
        <f aca="false">Assumptions!$B$20</f>
        <v>9</v>
      </c>
    </row>
    <row r="28" customFormat="false" ht="15" hidden="false" customHeight="false" outlineLevel="0" collapsed="false">
      <c r="A28" s="0" t="s">
        <v>113</v>
      </c>
      <c r="B28" s="4" t="n">
        <f aca="false">Assumptions!$B$21</f>
        <v>2</v>
      </c>
    </row>
    <row r="29" customFormat="false" ht="15" hidden="false" customHeight="false" outlineLevel="0" collapsed="false">
      <c r="A29" s="0" t="s">
        <v>114</v>
      </c>
      <c r="B29" s="4" t="n">
        <f aca="false">Assumptions!$B$22</f>
        <v>14</v>
      </c>
    </row>
    <row r="30" customFormat="false" ht="15" hidden="false" customHeight="false" outlineLevel="0" collapsed="false">
      <c r="A30" s="0" t="s">
        <v>135</v>
      </c>
      <c r="B30" s="0" t="n">
        <f aca="false">SUM(C21:L21)</f>
        <v>1939.58694725482</v>
      </c>
    </row>
    <row r="31" customFormat="false" ht="15" hidden="false" customHeight="false" outlineLevel="0" collapsed="false">
      <c r="A31" s="0" t="s">
        <v>136</v>
      </c>
      <c r="B31" s="0" t="n">
        <f aca="false">L19</f>
        <v>440.438651164717</v>
      </c>
    </row>
    <row r="32" customFormat="false" ht="15" hidden="false" customHeight="false" outlineLevel="0" collapsed="false">
      <c r="A32" s="0" t="s">
        <v>137</v>
      </c>
      <c r="B32" s="0" t="n">
        <f aca="false">IF(B27&gt;B28,B31*(1+B28/100)/((B27-B28)/100),B31*B29)</f>
        <v>6417.82034554301</v>
      </c>
    </row>
    <row r="33" customFormat="false" ht="15" hidden="false" customHeight="false" outlineLevel="0" collapsed="false">
      <c r="A33" s="0" t="s">
        <v>138</v>
      </c>
      <c r="B33" s="0" t="n">
        <f aca="false">B31*B29</f>
        <v>6166.14111630603</v>
      </c>
    </row>
    <row r="34" customFormat="false" ht="15" hidden="false" customHeight="false" outlineLevel="0" collapsed="false">
      <c r="A34" s="0" t="s">
        <v>139</v>
      </c>
      <c r="B34" s="0" t="n">
        <f aca="false">MAX(0,MIN(B32,B33))</f>
        <v>6166.14111630603</v>
      </c>
    </row>
    <row r="35" customFormat="false" ht="15" hidden="false" customHeight="false" outlineLevel="0" collapsed="false">
      <c r="A35" s="0" t="s">
        <v>140</v>
      </c>
      <c r="B35" s="0" t="n">
        <f aca="false">B34/(1+B27/100)^L4</f>
        <v>2604.64464437151</v>
      </c>
    </row>
    <row r="36" customFormat="false" ht="15" hidden="false" customHeight="false" outlineLevel="0" collapsed="false">
      <c r="A36" s="0" t="s">
        <v>141</v>
      </c>
      <c r="B36" s="0" t="n">
        <f aca="false">B30+B35</f>
        <v>4544.23159162634</v>
      </c>
    </row>
    <row r="37" customFormat="false" ht="15" hidden="false" customHeight="false" outlineLevel="0" collapsed="false">
      <c r="A37" s="0" t="s">
        <v>142</v>
      </c>
      <c r="B37" s="0" t="n">
        <f aca="false">B36+Assumptions!$B$5-Assumptions!$B$4</f>
        <v>2914.23159162634</v>
      </c>
    </row>
    <row r="38" customFormat="false" ht="15" hidden="false" customHeight="false" outlineLevel="0" collapsed="false">
      <c r="A38" s="0" t="s">
        <v>143</v>
      </c>
      <c r="B38" s="0" t="n">
        <f aca="false">B37/Assumptions!$B$3*Assumptions!$B$10</f>
        <v>233.512146764931</v>
      </c>
    </row>
    <row r="39" customFormat="false" ht="15" hidden="false" customHeight="false" outlineLevel="0" collapsed="false">
      <c r="A39" s="0" t="s">
        <v>144</v>
      </c>
      <c r="B39" s="4" t="n">
        <f aca="false">B38/Assumptions!$B$2-1</f>
        <v>-0.474663336861798</v>
      </c>
    </row>
    <row r="41" customFormat="false" ht="15" hidden="false" customHeight="false" outlineLevel="0" collapsed="false">
      <c r="A41" s="0" t="s">
        <v>145</v>
      </c>
      <c r="B41" s="0" t="n">
        <f aca="false">SUMPRODUCT(-C10:L10/(1+$B$27/100)^C4:L4)</f>
        <v>22.02293366728</v>
      </c>
    </row>
    <row r="42" customFormat="false" ht="15" hidden="false" customHeight="false" outlineLevel="0" collapsed="false">
      <c r="A42" s="0" t="s">
        <v>146</v>
      </c>
      <c r="B42" s="0" t="n">
        <f aca="false">IF(B27&gt;B28,-L10*(1+B28/100)/((B27-B28)/100),-L10*20)/(1+B27/100)^L4</f>
        <v>24.0890375633187</v>
      </c>
    </row>
    <row r="43" customFormat="false" ht="15" hidden="false" customHeight="false" outlineLevel="0" collapsed="false">
      <c r="A43" s="0" t="s">
        <v>147</v>
      </c>
      <c r="B43" s="0" t="n">
        <f aca="false">(B37+B41+B42)/Assumptions!$B$3*Assumptions!$B$10</f>
        <v>237.207016254562</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3455.74941683085</v>
      </c>
    </row>
    <row r="47" customFormat="false" ht="15" hidden="false" customHeight="false" outlineLevel="0" collapsed="false">
      <c r="A47" s="0" t="s">
        <v>149</v>
      </c>
      <c r="B47" s="0" t="n">
        <f aca="false">(SUMPRODUCT(C19:L19/(1+B45/100)^C4:L4)+B46/(1+B45/100)^L4+Assumptions!$B$5-Assumptions!$B$4)/Assumptions!$B$3*Assumptions!$B$10</f>
        <v>54.8171578405351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150</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Assumptions!C27</f>
        <v>6.7</v>
      </c>
      <c r="D5" s="4" t="n">
        <f aca="false">Assumptions!D27</f>
        <v>8</v>
      </c>
      <c r="E5" s="4" t="n">
        <f aca="false">Assumptions!E27</f>
        <v>8</v>
      </c>
      <c r="F5" s="4" t="n">
        <f aca="false">Assumptions!F27</f>
        <v>7</v>
      </c>
      <c r="G5" s="4" t="n">
        <f aca="false">Assumptions!G27</f>
        <v>6</v>
      </c>
      <c r="H5" s="4" t="n">
        <f aca="false">Assumptions!H27</f>
        <v>5</v>
      </c>
      <c r="I5" s="4" t="n">
        <f aca="false">Assumptions!I27</f>
        <v>4</v>
      </c>
      <c r="J5" s="4" t="n">
        <f aca="false">Assumptions!J27</f>
        <v>3.5</v>
      </c>
      <c r="K5" s="4" t="n">
        <f aca="false">Assumptions!K27</f>
        <v>3</v>
      </c>
      <c r="L5" s="4" t="n">
        <f aca="false">Assumptions!L27</f>
        <v>2.5</v>
      </c>
    </row>
    <row r="6" customFormat="false" ht="15" hidden="false" customHeight="false" outlineLevel="0" collapsed="false">
      <c r="A6" s="0" t="s">
        <v>38</v>
      </c>
      <c r="B6" s="3" t="n">
        <v>3589</v>
      </c>
      <c r="C6" s="0" t="n">
        <f aca="false">B6*(1+C5/100)</f>
        <v>3829.463</v>
      </c>
      <c r="D6" s="0" t="n">
        <f aca="false">C6*(1+D5/100)</f>
        <v>4135.82004</v>
      </c>
      <c r="E6" s="0" t="n">
        <f aca="false">D6*(1+E5/100)</f>
        <v>4466.6856432</v>
      </c>
      <c r="F6" s="0" t="n">
        <f aca="false">E6*(1+F5/100)</f>
        <v>4779.353638224</v>
      </c>
      <c r="G6" s="0" t="n">
        <f aca="false">F6*(1+G5/100)</f>
        <v>5066.11485651744</v>
      </c>
      <c r="H6" s="0" t="n">
        <f aca="false">G6*(1+H5/100)</f>
        <v>5319.42059934331</v>
      </c>
      <c r="I6" s="0" t="n">
        <f aca="false">H6*(1+I5/100)</f>
        <v>5532.19742331705</v>
      </c>
      <c r="J6" s="0" t="n">
        <f aca="false">I6*(1+J5/100)</f>
        <v>5725.82433313314</v>
      </c>
      <c r="K6" s="0" t="n">
        <f aca="false">J6*(1+K5/100)</f>
        <v>5897.59906312714</v>
      </c>
      <c r="L6" s="0" t="n">
        <f aca="false">K6*(1+L5/100)</f>
        <v>6045.03903970531</v>
      </c>
    </row>
    <row r="7" customFormat="false" ht="15" hidden="false" customHeight="false" outlineLevel="0" collapsed="false">
      <c r="A7" s="0" t="s">
        <v>106</v>
      </c>
      <c r="C7" s="4" t="n">
        <f aca="false">Assumptions!C28</f>
        <v>22.5</v>
      </c>
      <c r="D7" s="4" t="n">
        <f aca="false">Assumptions!D28</f>
        <v>23.5</v>
      </c>
      <c r="E7" s="4" t="n">
        <f aca="false">Assumptions!E28</f>
        <v>24.5</v>
      </c>
      <c r="F7" s="4" t="n">
        <f aca="false">Assumptions!F28</f>
        <v>25.5</v>
      </c>
      <c r="G7" s="4" t="n">
        <f aca="false">Assumptions!G28</f>
        <v>26</v>
      </c>
      <c r="H7" s="4" t="n">
        <f aca="false">Assumptions!H28</f>
        <v>26.5</v>
      </c>
      <c r="I7" s="4" t="n">
        <f aca="false">Assumptions!I28</f>
        <v>26.5</v>
      </c>
      <c r="J7" s="4" t="n">
        <f aca="false">Assumptions!J28</f>
        <v>26.5</v>
      </c>
      <c r="K7" s="4" t="n">
        <f aca="false">Assumptions!K28</f>
        <v>26.5</v>
      </c>
      <c r="L7" s="4" t="n">
        <f aca="false">Assumptions!L28</f>
        <v>26.5</v>
      </c>
    </row>
    <row r="8" customFormat="false" ht="15" hidden="false" customHeight="false" outlineLevel="0" collapsed="false">
      <c r="A8" s="0" t="s">
        <v>44</v>
      </c>
      <c r="C8" s="0" t="n">
        <f aca="false">C6*C7/100</f>
        <v>861.629175</v>
      </c>
      <c r="D8" s="0" t="n">
        <f aca="false">D6*D7/100</f>
        <v>971.9177094</v>
      </c>
      <c r="E8" s="0" t="n">
        <f aca="false">E6*E7/100</f>
        <v>1094.337982584</v>
      </c>
      <c r="F8" s="0" t="n">
        <f aca="false">F6*F7/100</f>
        <v>1218.73517774712</v>
      </c>
      <c r="G8" s="0" t="n">
        <f aca="false">G6*G7/100</f>
        <v>1317.18986269453</v>
      </c>
      <c r="H8" s="0" t="n">
        <f aca="false">H6*H7/100</f>
        <v>1409.64645882598</v>
      </c>
      <c r="I8" s="0" t="n">
        <f aca="false">I6*I7/100</f>
        <v>1466.03231717902</v>
      </c>
      <c r="J8" s="0" t="n">
        <f aca="false">J6*J7/100</f>
        <v>1517.34344828028</v>
      </c>
      <c r="K8" s="0" t="n">
        <f aca="false">K6*K7/100</f>
        <v>1562.86375172869</v>
      </c>
      <c r="L8" s="0" t="n">
        <f aca="false">L6*L7/100</f>
        <v>1601.93534552191</v>
      </c>
    </row>
    <row r="9" customFormat="false" ht="15" hidden="false" customHeight="false" outlineLevel="0" collapsed="false">
      <c r="A9" s="0" t="s">
        <v>107</v>
      </c>
      <c r="C9" s="4" t="n">
        <f aca="false">Assumptions!C29</f>
        <v>0.08</v>
      </c>
      <c r="D9" s="4" t="n">
        <f aca="false">Assumptions!D29</f>
        <v>0.08</v>
      </c>
      <c r="E9" s="4" t="n">
        <f aca="false">Assumptions!E29</f>
        <v>0.08</v>
      </c>
      <c r="F9" s="4" t="n">
        <f aca="false">Assumptions!F29</f>
        <v>0.08</v>
      </c>
      <c r="G9" s="4" t="n">
        <f aca="false">Assumptions!G29</f>
        <v>0.08</v>
      </c>
      <c r="H9" s="4" t="n">
        <f aca="false">Assumptions!H29</f>
        <v>0.08</v>
      </c>
      <c r="I9" s="4" t="n">
        <f aca="false">Assumptions!I29</f>
        <v>0.08</v>
      </c>
      <c r="J9" s="4" t="n">
        <f aca="false">Assumptions!J29</f>
        <v>0.08</v>
      </c>
      <c r="K9" s="4" t="n">
        <f aca="false">Assumptions!K29</f>
        <v>0.08</v>
      </c>
      <c r="L9" s="4" t="n">
        <f aca="false">Assumptions!L29</f>
        <v>0.08</v>
      </c>
    </row>
    <row r="10" customFormat="false" ht="15" hidden="false" customHeight="false" outlineLevel="0" collapsed="false">
      <c r="A10" s="0" t="s">
        <v>122</v>
      </c>
      <c r="C10" s="0" t="n">
        <f aca="false">-C6*C9/100</f>
        <v>-3.0635704</v>
      </c>
      <c r="D10" s="0" t="n">
        <f aca="false">-D6*D9/100</f>
        <v>-3.308656032</v>
      </c>
      <c r="E10" s="0" t="n">
        <f aca="false">-E6*E9/100</f>
        <v>-3.57334851456</v>
      </c>
      <c r="F10" s="0" t="n">
        <f aca="false">-F6*F9/100</f>
        <v>-3.8234829105792</v>
      </c>
      <c r="G10" s="0" t="n">
        <f aca="false">-G6*G9/100</f>
        <v>-4.05289188521395</v>
      </c>
      <c r="H10" s="0" t="n">
        <f aca="false">-H6*H9/100</f>
        <v>-4.25553647947465</v>
      </c>
      <c r="I10" s="0" t="n">
        <f aca="false">-I6*I9/100</f>
        <v>-4.42575793865364</v>
      </c>
      <c r="J10" s="0" t="n">
        <f aca="false">-J6*J9/100</f>
        <v>-4.58065946650651</v>
      </c>
      <c r="K10" s="0" t="n">
        <f aca="false">-K6*K9/100</f>
        <v>-4.71807925050171</v>
      </c>
      <c r="L10" s="0" t="n">
        <f aca="false">-L6*L9/100</f>
        <v>-4.83603123176425</v>
      </c>
    </row>
    <row r="11" customFormat="false" ht="15" hidden="false" customHeight="false" outlineLevel="0" collapsed="false">
      <c r="A11" s="0" t="s">
        <v>123</v>
      </c>
      <c r="C11" s="0" t="n">
        <f aca="false">C8+C10+C24</f>
        <v>808.7825856</v>
      </c>
      <c r="D11" s="0" t="n">
        <f aca="false">D8+D10+D24</f>
        <v>914.843392848</v>
      </c>
      <c r="E11" s="0" t="n">
        <f aca="false">E8+E10+E24</f>
        <v>1032.69772070784</v>
      </c>
      <c r="F11" s="0" t="n">
        <f aca="false">F8+F10+F24</f>
        <v>1152.78009753963</v>
      </c>
      <c r="G11" s="0" t="n">
        <f aca="false">G8+G10+G24</f>
        <v>1247.27747767459</v>
      </c>
      <c r="H11" s="0" t="n">
        <f aca="false">H8+H10+H24</f>
        <v>1336.23845455504</v>
      </c>
      <c r="I11" s="0" t="n">
        <f aca="false">I8+I10+I24</f>
        <v>1389.68799273724</v>
      </c>
      <c r="J11" s="0" t="n">
        <f aca="false">J8+J10+J24</f>
        <v>1438.32707248305</v>
      </c>
      <c r="K11" s="0" t="n">
        <f aca="false">K8+K10+K24</f>
        <v>1481.47688465754</v>
      </c>
      <c r="L11" s="0" t="n">
        <f aca="false">L8+L10+L24</f>
        <v>1518.51380677398</v>
      </c>
    </row>
    <row r="12" customFormat="false" ht="15" hidden="false" customHeight="false" outlineLevel="0" collapsed="false">
      <c r="A12" s="0" t="s">
        <v>124</v>
      </c>
      <c r="C12" s="4" t="n">
        <f aca="false">-C6*Assumptions!C31/100</f>
        <v>-111.054427</v>
      </c>
      <c r="D12" s="4" t="n">
        <f aca="false">-D6*Assumptions!D31/100</f>
        <v>-119.93878116</v>
      </c>
      <c r="E12" s="4" t="n">
        <f aca="false">-E6*Assumptions!E31/100</f>
        <v>-134.000569296</v>
      </c>
      <c r="F12" s="4" t="n">
        <f aca="false">-F6*Assumptions!F31/100</f>
        <v>-143.38060914672</v>
      </c>
      <c r="G12" s="4" t="n">
        <f aca="false">-G6*Assumptions!G31/100</f>
        <v>-157.049560552041</v>
      </c>
      <c r="H12" s="4" t="n">
        <f aca="false">-H6*Assumptions!H31/100</f>
        <v>-164.902038579643</v>
      </c>
      <c r="I12" s="4" t="n">
        <f aca="false">-I6*Assumptions!I31/100</f>
        <v>-171.498120122828</v>
      </c>
      <c r="J12" s="4" t="n">
        <f aca="false">-J6*Assumptions!J31/100</f>
        <v>-177.500554327127</v>
      </c>
      <c r="K12" s="4" t="n">
        <f aca="false">-K6*Assumptions!K31/100</f>
        <v>-182.825570956941</v>
      </c>
      <c r="L12" s="4" t="n">
        <f aca="false">-L6*Assumptions!L31/100</f>
        <v>-187.396210230865</v>
      </c>
    </row>
    <row r="13" customFormat="false" ht="15" hidden="false" customHeight="false" outlineLevel="0" collapsed="false">
      <c r="A13" s="0" t="s">
        <v>125</v>
      </c>
      <c r="C13" s="0" t="n">
        <f aca="false">C11+C12</f>
        <v>697.7281586</v>
      </c>
      <c r="D13" s="0" t="n">
        <f aca="false">D11+D12</f>
        <v>794.904611688</v>
      </c>
      <c r="E13" s="0" t="n">
        <f aca="false">E11+E12</f>
        <v>898.69715141184</v>
      </c>
      <c r="F13" s="0" t="n">
        <f aca="false">F11+F12</f>
        <v>1009.39948839291</v>
      </c>
      <c r="G13" s="0" t="n">
        <f aca="false">G11+G12</f>
        <v>1090.22791712255</v>
      </c>
      <c r="H13" s="0" t="n">
        <f aca="false">H11+H12</f>
        <v>1171.3364159754</v>
      </c>
      <c r="I13" s="0" t="n">
        <f aca="false">I11+I12</f>
        <v>1218.18987261441</v>
      </c>
      <c r="J13" s="0" t="n">
        <f aca="false">J11+J12</f>
        <v>1260.82651815592</v>
      </c>
      <c r="K13" s="0" t="n">
        <f aca="false">K11+K12</f>
        <v>1298.6513137006</v>
      </c>
      <c r="L13" s="0" t="n">
        <f aca="false">L11+L12</f>
        <v>1331.11759654311</v>
      </c>
    </row>
    <row r="14" customFormat="false" ht="15" hidden="false" customHeight="false" outlineLevel="0" collapsed="false">
      <c r="A14" s="0" t="s">
        <v>111</v>
      </c>
      <c r="C14" s="4" t="n">
        <f aca="false">Assumptions!C33</f>
        <v>4</v>
      </c>
      <c r="D14" s="4" t="n">
        <f aca="false">Assumptions!D33</f>
        <v>8</v>
      </c>
      <c r="E14" s="4" t="n">
        <f aca="false">Assumptions!E33</f>
        <v>13</v>
      </c>
      <c r="F14" s="4" t="n">
        <f aca="false">Assumptions!F33</f>
        <v>18</v>
      </c>
      <c r="G14" s="4" t="n">
        <f aca="false">Assumptions!G33</f>
        <v>22</v>
      </c>
      <c r="H14" s="4" t="n">
        <f aca="false">Assumptions!H33</f>
        <v>24</v>
      </c>
      <c r="I14" s="4" t="n">
        <f aca="false">Assumptions!I33</f>
        <v>24</v>
      </c>
      <c r="J14" s="4" t="n">
        <f aca="false">Assumptions!J33</f>
        <v>24</v>
      </c>
      <c r="K14" s="4" t="n">
        <f aca="false">Assumptions!K33</f>
        <v>24</v>
      </c>
      <c r="L14" s="4" t="n">
        <f aca="false">Assumptions!L33</f>
        <v>24</v>
      </c>
    </row>
    <row r="15" customFormat="false" ht="15" hidden="false" customHeight="false" outlineLevel="0" collapsed="false">
      <c r="A15" s="0" t="s">
        <v>126</v>
      </c>
      <c r="C15" s="0" t="n">
        <f aca="false">C13-MAX(0,C13)*C14/100</f>
        <v>669.819032256</v>
      </c>
      <c r="D15" s="0" t="n">
        <f aca="false">D13-MAX(0,D13)*D14/100</f>
        <v>731.31224275296</v>
      </c>
      <c r="E15" s="0" t="n">
        <f aca="false">E13-MAX(0,E13)*E14/100</f>
        <v>781.866521728301</v>
      </c>
      <c r="F15" s="0" t="n">
        <f aca="false">F13-MAX(0,F13)*F14/100</f>
        <v>827.707580482185</v>
      </c>
      <c r="G15" s="0" t="n">
        <f aca="false">G13-MAX(0,G13)*G14/100</f>
        <v>850.377775355591</v>
      </c>
      <c r="H15" s="0" t="n">
        <f aca="false">H13-MAX(0,H13)*H14/100</f>
        <v>890.215676141302</v>
      </c>
      <c r="I15" s="0" t="n">
        <f aca="false">I13-MAX(0,I13)*I14/100</f>
        <v>925.824303186954</v>
      </c>
      <c r="J15" s="0" t="n">
        <f aca="false">J13-MAX(0,J13)*J14/100</f>
        <v>958.228153798498</v>
      </c>
      <c r="K15" s="0" t="n">
        <f aca="false">K13-MAX(0,K13)*K14/100</f>
        <v>986.974998412452</v>
      </c>
      <c r="L15" s="0" t="n">
        <f aca="false">L13-MAX(0,L13)*L14/100</f>
        <v>1011.64937337276</v>
      </c>
    </row>
    <row r="16" customFormat="false" ht="15" hidden="false" customHeight="false" outlineLevel="0" collapsed="false">
      <c r="A16" s="0" t="s">
        <v>127</v>
      </c>
      <c r="C16" s="0" t="n">
        <f aca="false">-C12</f>
        <v>111.054427</v>
      </c>
      <c r="D16" s="0" t="n">
        <f aca="false">-D12</f>
        <v>119.93878116</v>
      </c>
      <c r="E16" s="0" t="n">
        <f aca="false">-E12</f>
        <v>134.000569296</v>
      </c>
      <c r="F16" s="0" t="n">
        <f aca="false">-F12</f>
        <v>143.38060914672</v>
      </c>
      <c r="G16" s="0" t="n">
        <f aca="false">-G12</f>
        <v>157.049560552041</v>
      </c>
      <c r="H16" s="0" t="n">
        <f aca="false">-H12</f>
        <v>164.902038579643</v>
      </c>
      <c r="I16" s="0" t="n">
        <f aca="false">-I12</f>
        <v>171.498120122828</v>
      </c>
      <c r="J16" s="0" t="n">
        <f aca="false">-J12</f>
        <v>177.500554327127</v>
      </c>
      <c r="K16" s="0" t="n">
        <f aca="false">-K12</f>
        <v>182.825570956941</v>
      </c>
      <c r="L16" s="0" t="n">
        <f aca="false">-L12</f>
        <v>187.396210230865</v>
      </c>
    </row>
    <row r="17" customFormat="false" ht="15" hidden="false" customHeight="false" outlineLevel="0" collapsed="false">
      <c r="A17" s="0" t="s">
        <v>128</v>
      </c>
      <c r="C17" s="4" t="n">
        <f aca="false">-C6*Assumptions!C32/100</f>
        <v>-516.977505</v>
      </c>
      <c r="D17" s="4" t="n">
        <f aca="false">-D6*Assumptions!D32/100</f>
        <v>-525.24914508</v>
      </c>
      <c r="E17" s="4" t="n">
        <f aca="false">-E6*Assumptions!E32/100</f>
        <v>-464.5353068928</v>
      </c>
      <c r="F17" s="4" t="n">
        <f aca="false">-F6*Assumptions!F32/100</f>
        <v>-439.700534716608</v>
      </c>
      <c r="G17" s="4" t="n">
        <f aca="false">-G6*Assumptions!G32/100</f>
        <v>-420.487533090948</v>
      </c>
      <c r="H17" s="4" t="n">
        <f aca="false">-H6*Assumptions!H32/100</f>
        <v>-404.275965550092</v>
      </c>
      <c r="I17" s="4" t="n">
        <f aca="false">-I6*Assumptions!I32/100</f>
        <v>-392.78601705551</v>
      </c>
      <c r="J17" s="4" t="n">
        <f aca="false">-J6*Assumptions!J32/100</f>
        <v>-383.630230319921</v>
      </c>
      <c r="K17" s="4" t="n">
        <f aca="false">-K6*Assumptions!K32/100</f>
        <v>-383.343939103264</v>
      </c>
      <c r="L17" s="4" t="n">
        <f aca="false">-L6*Assumptions!L32/100</f>
        <v>-362.702342382319</v>
      </c>
    </row>
    <row r="18" customFormat="false" ht="15" hidden="false" customHeight="false" outlineLevel="0" collapsed="false">
      <c r="A18" s="0" t="s">
        <v>129</v>
      </c>
      <c r="C18" s="4" t="n">
        <f aca="false">(C6-B6)*Assumptions!$B$37/100</f>
        <v>-24.0463</v>
      </c>
      <c r="D18" s="4" t="n">
        <f aca="false">(D6-C6)*Assumptions!$B$37/100</f>
        <v>-30.635704</v>
      </c>
      <c r="E18" s="4" t="n">
        <f aca="false">(E6-D6)*Assumptions!$B$37/100</f>
        <v>-33.08656032</v>
      </c>
      <c r="F18" s="4" t="n">
        <f aca="false">(F6-E6)*Assumptions!$B$37/100</f>
        <v>-31.2667995024</v>
      </c>
      <c r="G18" s="4" t="n">
        <f aca="false">(G6-F6)*Assumptions!$B$37/100</f>
        <v>-28.676121829344</v>
      </c>
      <c r="H18" s="4" t="n">
        <f aca="false">(H6-G6)*Assumptions!$B$37/100</f>
        <v>-25.3305742825873</v>
      </c>
      <c r="I18" s="4" t="n">
        <f aca="false">(I6-H6)*Assumptions!$B$37/100</f>
        <v>-21.2776823973732</v>
      </c>
      <c r="J18" s="4" t="n">
        <f aca="false">(J6-I6)*Assumptions!$B$37/100</f>
        <v>-19.3626909816097</v>
      </c>
      <c r="K18" s="4" t="n">
        <f aca="false">(K6-J6)*Assumptions!$B$37/100</f>
        <v>-17.1774729993995</v>
      </c>
      <c r="L18" s="4" t="n">
        <f aca="false">(L6-K6)*Assumptions!$B$37/100</f>
        <v>-14.7439976578178</v>
      </c>
    </row>
    <row r="19" customFormat="false" ht="15" hidden="false" customHeight="false" outlineLevel="0" collapsed="false">
      <c r="A19" s="0" t="s">
        <v>130</v>
      </c>
      <c r="C19" s="0" t="n">
        <f aca="false">C15+C16+C17+C18</f>
        <v>239.849654256</v>
      </c>
      <c r="D19" s="0" t="n">
        <f aca="false">D15+D16+D17+D18</f>
        <v>295.36617483296</v>
      </c>
      <c r="E19" s="0" t="n">
        <f aca="false">E15+E16+E17+E18</f>
        <v>418.245223811501</v>
      </c>
      <c r="F19" s="0" t="n">
        <f aca="false">F15+F16+F17+F18</f>
        <v>500.120855409897</v>
      </c>
      <c r="G19" s="0" t="n">
        <f aca="false">G15+G16+G17+G18</f>
        <v>558.26368098734</v>
      </c>
      <c r="H19" s="0" t="n">
        <f aca="false">H15+H16+H17+H18</f>
        <v>625.511174888266</v>
      </c>
      <c r="I19" s="0" t="n">
        <f aca="false">I15+I16+I17+I18</f>
        <v>683.258723856899</v>
      </c>
      <c r="J19" s="0" t="n">
        <f aca="false">J15+J16+J17+J18</f>
        <v>732.735786824095</v>
      </c>
      <c r="K19" s="0" t="n">
        <f aca="false">K15+K16+K17+K18</f>
        <v>769.27915726673</v>
      </c>
      <c r="L19" s="0" t="n">
        <f aca="false">L15+L16+L17+L18</f>
        <v>821.599243563492</v>
      </c>
    </row>
    <row r="20" customFormat="false" ht="15" hidden="false" customHeight="false" outlineLevel="0" collapsed="false">
      <c r="A20" s="0" t="s">
        <v>131</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132</v>
      </c>
      <c r="C21" s="0" t="n">
        <f aca="false">C19*C20</f>
        <v>220.045554363303</v>
      </c>
      <c r="D21" s="0" t="n">
        <f aca="false">D19*D20</f>
        <v>248.603800044575</v>
      </c>
      <c r="E21" s="0" t="n">
        <f aca="false">E19*E20</f>
        <v>322.962052441683</v>
      </c>
      <c r="F21" s="0" t="n">
        <f aca="false">F19*F20</f>
        <v>354.298222551863</v>
      </c>
      <c r="G21" s="0" t="n">
        <f aca="false">G19*G20</f>
        <v>362.833088104119</v>
      </c>
      <c r="H21" s="0" t="n">
        <f aca="false">H19*H20</f>
        <v>372.971876183704</v>
      </c>
      <c r="I21" s="0" t="n">
        <f aca="false">I19*I20</f>
        <v>373.765920037667</v>
      </c>
      <c r="J21" s="0" t="n">
        <f aca="false">J19*J20</f>
        <v>367.735383316507</v>
      </c>
      <c r="K21" s="0" t="n">
        <f aca="false">K19*K20</f>
        <v>354.197494208492</v>
      </c>
      <c r="L21" s="0" t="n">
        <f aca="false">L19*L20</f>
        <v>347.052399418542</v>
      </c>
    </row>
    <row r="23" customFormat="false" ht="15" hidden="false" customHeight="false" outlineLevel="0" collapsed="false">
      <c r="A23" s="0" t="s">
        <v>108</v>
      </c>
      <c r="C23" s="4" t="n">
        <f aca="false">Assumptions!C30</f>
        <v>1.3</v>
      </c>
      <c r="D23" s="4" t="n">
        <f aca="false">Assumptions!D30</f>
        <v>1.3</v>
      </c>
      <c r="E23" s="4" t="n">
        <f aca="false">Assumptions!E30</f>
        <v>1.3</v>
      </c>
      <c r="F23" s="4" t="n">
        <f aca="false">Assumptions!F30</f>
        <v>1.3</v>
      </c>
      <c r="G23" s="4" t="n">
        <f aca="false">Assumptions!G30</f>
        <v>1.3</v>
      </c>
      <c r="H23" s="4" t="n">
        <f aca="false">Assumptions!H30</f>
        <v>1.3</v>
      </c>
      <c r="I23" s="4" t="n">
        <f aca="false">Assumptions!I30</f>
        <v>1.3</v>
      </c>
      <c r="J23" s="4" t="n">
        <f aca="false">Assumptions!J30</f>
        <v>1.3</v>
      </c>
      <c r="K23" s="4" t="n">
        <f aca="false">Assumptions!K30</f>
        <v>1.3</v>
      </c>
      <c r="L23" s="4" t="n">
        <f aca="false">Assumptions!L30</f>
        <v>1.3</v>
      </c>
    </row>
    <row r="24" customFormat="false" ht="15" hidden="false" customHeight="false" outlineLevel="0" collapsed="false">
      <c r="A24" s="0" t="s">
        <v>133</v>
      </c>
      <c r="C24" s="0" t="n">
        <f aca="false">-C6*C23/100</f>
        <v>-49.783019</v>
      </c>
      <c r="D24" s="0" t="n">
        <f aca="false">-D6*D23/100</f>
        <v>-53.76566052</v>
      </c>
      <c r="E24" s="0" t="n">
        <f aca="false">-E6*E23/100</f>
        <v>-58.0669133616</v>
      </c>
      <c r="F24" s="0" t="n">
        <f aca="false">-F6*F23/100</f>
        <v>-62.131597296912</v>
      </c>
      <c r="G24" s="0" t="n">
        <f aca="false">-G6*G23/100</f>
        <v>-65.8594931347267</v>
      </c>
      <c r="H24" s="0" t="n">
        <f aca="false">-H6*H23/100</f>
        <v>-69.1524677914631</v>
      </c>
      <c r="I24" s="0" t="n">
        <f aca="false">-I6*I23/100</f>
        <v>-71.9185665031216</v>
      </c>
      <c r="J24" s="0" t="n">
        <f aca="false">-J6*J23/100</f>
        <v>-74.4357163307308</v>
      </c>
      <c r="K24" s="0" t="n">
        <f aca="false">-K6*K23/100</f>
        <v>-76.6687878206528</v>
      </c>
      <c r="L24" s="0" t="n">
        <f aca="false">-L6*L23/100</f>
        <v>-78.5855075161691</v>
      </c>
    </row>
    <row r="26" customFormat="false" ht="15" hidden="false" customHeight="false" outlineLevel="0" collapsed="false">
      <c r="A26" s="2" t="s">
        <v>134</v>
      </c>
    </row>
    <row r="27" customFormat="false" ht="15" hidden="false" customHeight="false" outlineLevel="0" collapsed="false">
      <c r="A27" s="0" t="s">
        <v>112</v>
      </c>
      <c r="B27" s="4" t="n">
        <f aca="false">Assumptions!$B$34</f>
        <v>9</v>
      </c>
    </row>
    <row r="28" customFormat="false" ht="15" hidden="false" customHeight="false" outlineLevel="0" collapsed="false">
      <c r="A28" s="0" t="s">
        <v>113</v>
      </c>
      <c r="B28" s="4" t="n">
        <f aca="false">Assumptions!$B$35</f>
        <v>2.5</v>
      </c>
    </row>
    <row r="29" customFormat="false" ht="15" hidden="false" customHeight="false" outlineLevel="0" collapsed="false">
      <c r="A29" s="0" t="s">
        <v>114</v>
      </c>
      <c r="B29" s="4" t="n">
        <f aca="false">Assumptions!$B$36</f>
        <v>18</v>
      </c>
    </row>
    <row r="30" customFormat="false" ht="15" hidden="false" customHeight="false" outlineLevel="0" collapsed="false">
      <c r="A30" s="0" t="s">
        <v>135</v>
      </c>
      <c r="B30" s="0" t="n">
        <f aca="false">SUM(C21:L21)</f>
        <v>3324.46579067046</v>
      </c>
    </row>
    <row r="31" customFormat="false" ht="15" hidden="false" customHeight="false" outlineLevel="0" collapsed="false">
      <c r="A31" s="0" t="s">
        <v>136</v>
      </c>
      <c r="B31" s="0" t="n">
        <f aca="false">L19</f>
        <v>821.599243563492</v>
      </c>
    </row>
    <row r="32" customFormat="false" ht="15" hidden="false" customHeight="false" outlineLevel="0" collapsed="false">
      <c r="A32" s="0" t="s">
        <v>137</v>
      </c>
      <c r="B32" s="0" t="n">
        <f aca="false">IF(B27&gt;B28,B31*(1+B28/100)/((B27-B28)/100),B31*B29)</f>
        <v>12955.9880715781</v>
      </c>
    </row>
    <row r="33" customFormat="false" ht="15" hidden="false" customHeight="false" outlineLevel="0" collapsed="false">
      <c r="A33" s="0" t="s">
        <v>138</v>
      </c>
      <c r="B33" s="0" t="n">
        <f aca="false">B31*B29</f>
        <v>14788.7863841429</v>
      </c>
    </row>
    <row r="34" customFormat="false" ht="15" hidden="false" customHeight="false" outlineLevel="0" collapsed="false">
      <c r="A34" s="0" t="s">
        <v>139</v>
      </c>
      <c r="B34" s="0" t="n">
        <f aca="false">MAX(0,MIN(B32,B33))</f>
        <v>12955.9880715781</v>
      </c>
    </row>
    <row r="35" customFormat="false" ht="15" hidden="false" customHeight="false" outlineLevel="0" collapsed="false">
      <c r="A35" s="0" t="s">
        <v>140</v>
      </c>
      <c r="B35" s="0" t="n">
        <f aca="false">B34/(1+B27/100)^L4</f>
        <v>5472.74937544624</v>
      </c>
    </row>
    <row r="36" customFormat="false" ht="15" hidden="false" customHeight="false" outlineLevel="0" collapsed="false">
      <c r="A36" s="0" t="s">
        <v>141</v>
      </c>
      <c r="B36" s="0" t="n">
        <f aca="false">B30+B35</f>
        <v>8797.2151661167</v>
      </c>
    </row>
    <row r="37" customFormat="false" ht="15" hidden="false" customHeight="false" outlineLevel="0" collapsed="false">
      <c r="A37" s="0" t="s">
        <v>142</v>
      </c>
      <c r="B37" s="0" t="n">
        <f aca="false">B36+Assumptions!$B$5-Assumptions!$B$4</f>
        <v>7167.2151661167</v>
      </c>
    </row>
    <row r="38" customFormat="false" ht="15" hidden="false" customHeight="false" outlineLevel="0" collapsed="false">
      <c r="A38" s="0" t="s">
        <v>143</v>
      </c>
      <c r="B38" s="0" t="n">
        <f aca="false">B37/Assumptions!$B$3*Assumptions!$B$10</f>
        <v>574.296087028582</v>
      </c>
    </row>
    <row r="39" customFormat="false" ht="15" hidden="false" customHeight="false" outlineLevel="0" collapsed="false">
      <c r="A39" s="0" t="s">
        <v>144</v>
      </c>
      <c r="B39" s="4" t="n">
        <f aca="false">B38/Assumptions!$B$2-1</f>
        <v>0.292004695227405</v>
      </c>
    </row>
    <row r="41" customFormat="false" ht="15" hidden="false" customHeight="false" outlineLevel="0" collapsed="false">
      <c r="A41" s="0" t="s">
        <v>145</v>
      </c>
      <c r="B41" s="0" t="n">
        <f aca="false">SUMPRODUCT(-C10:L10/(1+$B$27/100)^C4:L4)</f>
        <v>25.1699622989166</v>
      </c>
    </row>
    <row r="42" customFormat="false" ht="15" hidden="false" customHeight="false" outlineLevel="0" collapsed="false">
      <c r="A42" s="0" t="s">
        <v>146</v>
      </c>
      <c r="B42" s="0" t="n">
        <f aca="false">IF(B27&gt;B28,-L10*(1+B28/100)/((B27-B28)/100),-L10*20)/(1+B27/100)^L4</f>
        <v>32.2132561715669</v>
      </c>
    </row>
    <row r="43" customFormat="false" ht="15" hidden="false" customHeight="false" outlineLevel="0" collapsed="false">
      <c r="A43" s="0" t="s">
        <v>147</v>
      </c>
      <c r="B43" s="0" t="n">
        <f aca="false">(B37+B41+B42)/Assumptions!$B$3*Assumptions!$B$10</f>
        <v>578.894101329101</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6737.11379722063</v>
      </c>
    </row>
    <row r="47" customFormat="false" ht="15" hidden="false" customHeight="false" outlineLevel="0" collapsed="false">
      <c r="A47" s="0" t="s">
        <v>149</v>
      </c>
      <c r="B47" s="0" t="n">
        <f aca="false">(SUMPRODUCT(C19:L19/(1+B45/100)^C4:L4)+B46/(1+B45/100)^L4+Assumptions!$B$5-Assumptions!$B$4)/Assumptions!$B$3*Assumptions!$B$10</f>
        <v>199.864157314827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Assumptions!C41</f>
        <v>7.5</v>
      </c>
      <c r="D5" s="4" t="n">
        <f aca="false">Assumptions!D41</f>
        <v>10</v>
      </c>
      <c r="E5" s="4" t="n">
        <f aca="false">Assumptions!E41</f>
        <v>10</v>
      </c>
      <c r="F5" s="4" t="n">
        <f aca="false">Assumptions!F41</f>
        <v>9</v>
      </c>
      <c r="G5" s="4" t="n">
        <f aca="false">Assumptions!G41</f>
        <v>8</v>
      </c>
      <c r="H5" s="4" t="n">
        <f aca="false">Assumptions!H41</f>
        <v>7</v>
      </c>
      <c r="I5" s="4" t="n">
        <f aca="false">Assumptions!I41</f>
        <v>6</v>
      </c>
      <c r="J5" s="4" t="n">
        <f aca="false">Assumptions!J41</f>
        <v>5</v>
      </c>
      <c r="K5" s="4" t="n">
        <f aca="false">Assumptions!K41</f>
        <v>4</v>
      </c>
      <c r="L5" s="4" t="n">
        <f aca="false">Assumptions!L41</f>
        <v>3</v>
      </c>
    </row>
    <row r="6" customFormat="false" ht="15" hidden="false" customHeight="false" outlineLevel="0" collapsed="false">
      <c r="A6" s="0" t="s">
        <v>38</v>
      </c>
      <c r="B6" s="3" t="n">
        <v>3589</v>
      </c>
      <c r="C6" s="0" t="n">
        <f aca="false">B6*(1+C5/100)</f>
        <v>3858.175</v>
      </c>
      <c r="D6" s="0" t="n">
        <f aca="false">C6*(1+D5/100)</f>
        <v>4243.9925</v>
      </c>
      <c r="E6" s="0" t="n">
        <f aca="false">D6*(1+E5/100)</f>
        <v>4668.39175</v>
      </c>
      <c r="F6" s="0" t="n">
        <f aca="false">E6*(1+F5/100)</f>
        <v>5088.5470075</v>
      </c>
      <c r="G6" s="0" t="n">
        <f aca="false">F6*(1+G5/100)</f>
        <v>5495.6307681</v>
      </c>
      <c r="H6" s="0" t="n">
        <f aca="false">G6*(1+H5/100)</f>
        <v>5880.324921867</v>
      </c>
      <c r="I6" s="0" t="n">
        <f aca="false">H6*(1+I5/100)</f>
        <v>6233.14441717902</v>
      </c>
      <c r="J6" s="0" t="n">
        <f aca="false">I6*(1+J5/100)</f>
        <v>6544.80163803797</v>
      </c>
      <c r="K6" s="0" t="n">
        <f aca="false">J6*(1+K5/100)</f>
        <v>6806.59370355949</v>
      </c>
      <c r="L6" s="0" t="n">
        <f aca="false">K6*(1+L5/100)</f>
        <v>7010.79151466628</v>
      </c>
    </row>
    <row r="7" customFormat="false" ht="15" hidden="false" customHeight="false" outlineLevel="0" collapsed="false">
      <c r="A7" s="0" t="s">
        <v>106</v>
      </c>
      <c r="C7" s="4" t="n">
        <f aca="false">Assumptions!C42</f>
        <v>22.7</v>
      </c>
      <c r="D7" s="4" t="n">
        <f aca="false">Assumptions!D42</f>
        <v>24</v>
      </c>
      <c r="E7" s="4" t="n">
        <f aca="false">Assumptions!E42</f>
        <v>25.5</v>
      </c>
      <c r="F7" s="4" t="n">
        <f aca="false">Assumptions!F42</f>
        <v>27</v>
      </c>
      <c r="G7" s="4" t="n">
        <f aca="false">Assumptions!G42</f>
        <v>27.8</v>
      </c>
      <c r="H7" s="4" t="n">
        <f aca="false">Assumptions!H42</f>
        <v>28.3</v>
      </c>
      <c r="I7" s="4" t="n">
        <f aca="false">Assumptions!I42</f>
        <v>28.5</v>
      </c>
      <c r="J7" s="4" t="n">
        <f aca="false">Assumptions!J42</f>
        <v>28.5</v>
      </c>
      <c r="K7" s="4" t="n">
        <f aca="false">Assumptions!K42</f>
        <v>28.5</v>
      </c>
      <c r="L7" s="4" t="n">
        <f aca="false">Assumptions!L42</f>
        <v>28.5</v>
      </c>
    </row>
    <row r="8" customFormat="false" ht="15" hidden="false" customHeight="false" outlineLevel="0" collapsed="false">
      <c r="A8" s="0" t="s">
        <v>44</v>
      </c>
      <c r="C8" s="0" t="n">
        <f aca="false">C6*C7/100</f>
        <v>875.805725</v>
      </c>
      <c r="D8" s="0" t="n">
        <f aca="false">D6*D7/100</f>
        <v>1018.5582</v>
      </c>
      <c r="E8" s="0" t="n">
        <f aca="false">E6*E7/100</f>
        <v>1190.43989625</v>
      </c>
      <c r="F8" s="0" t="n">
        <f aca="false">F6*F7/100</f>
        <v>1373.907692025</v>
      </c>
      <c r="G8" s="0" t="n">
        <f aca="false">G6*G7/100</f>
        <v>1527.7853535318</v>
      </c>
      <c r="H8" s="0" t="n">
        <f aca="false">H6*H7/100</f>
        <v>1664.13195288836</v>
      </c>
      <c r="I8" s="0" t="n">
        <f aca="false">I6*I7/100</f>
        <v>1776.44615889602</v>
      </c>
      <c r="J8" s="0" t="n">
        <f aca="false">J6*J7/100</f>
        <v>1865.26846684082</v>
      </c>
      <c r="K8" s="0" t="n">
        <f aca="false">K6*K7/100</f>
        <v>1939.87920551446</v>
      </c>
      <c r="L8" s="0" t="n">
        <f aca="false">L6*L7/100</f>
        <v>1998.07558167989</v>
      </c>
    </row>
    <row r="9" customFormat="false" ht="15" hidden="false" customHeight="false" outlineLevel="0" collapsed="false">
      <c r="A9" s="0" t="s">
        <v>107</v>
      </c>
      <c r="C9" s="4" t="n">
        <f aca="false">Assumptions!C43</f>
        <v>0.08</v>
      </c>
      <c r="D9" s="4" t="n">
        <f aca="false">Assumptions!D43</f>
        <v>0.08</v>
      </c>
      <c r="E9" s="4" t="n">
        <f aca="false">Assumptions!E43</f>
        <v>0.08</v>
      </c>
      <c r="F9" s="4" t="n">
        <f aca="false">Assumptions!F43</f>
        <v>0.08</v>
      </c>
      <c r="G9" s="4" t="n">
        <f aca="false">Assumptions!G43</f>
        <v>0.08</v>
      </c>
      <c r="H9" s="4" t="n">
        <f aca="false">Assumptions!H43</f>
        <v>0.08</v>
      </c>
      <c r="I9" s="4" t="n">
        <f aca="false">Assumptions!I43</f>
        <v>0.08</v>
      </c>
      <c r="J9" s="4" t="n">
        <f aca="false">Assumptions!J43</f>
        <v>0.08</v>
      </c>
      <c r="K9" s="4" t="n">
        <f aca="false">Assumptions!K43</f>
        <v>0.08</v>
      </c>
      <c r="L9" s="4" t="n">
        <f aca="false">Assumptions!L43</f>
        <v>0.08</v>
      </c>
    </row>
    <row r="10" customFormat="false" ht="15" hidden="false" customHeight="false" outlineLevel="0" collapsed="false">
      <c r="A10" s="0" t="s">
        <v>122</v>
      </c>
      <c r="C10" s="0" t="n">
        <f aca="false">-C6*C9/100</f>
        <v>-3.08654</v>
      </c>
      <c r="D10" s="0" t="n">
        <f aca="false">-D6*D9/100</f>
        <v>-3.395194</v>
      </c>
      <c r="E10" s="0" t="n">
        <f aca="false">-E6*E9/100</f>
        <v>-3.7347134</v>
      </c>
      <c r="F10" s="0" t="n">
        <f aca="false">-F6*F9/100</f>
        <v>-4.070837606</v>
      </c>
      <c r="G10" s="0" t="n">
        <f aca="false">-G6*G9/100</f>
        <v>-4.39650461448</v>
      </c>
      <c r="H10" s="0" t="n">
        <f aca="false">-H6*H9/100</f>
        <v>-4.7042599374936</v>
      </c>
      <c r="I10" s="0" t="n">
        <f aca="false">-I6*I9/100</f>
        <v>-4.98651553374322</v>
      </c>
      <c r="J10" s="0" t="n">
        <f aca="false">-J6*J9/100</f>
        <v>-5.23584131043038</v>
      </c>
      <c r="K10" s="0" t="n">
        <f aca="false">-K6*K9/100</f>
        <v>-5.4452749628476</v>
      </c>
      <c r="L10" s="0" t="n">
        <f aca="false">-L6*L9/100</f>
        <v>-5.60863321173302</v>
      </c>
    </row>
    <row r="11" customFormat="false" ht="15" hidden="false" customHeight="false" outlineLevel="0" collapsed="false">
      <c r="A11" s="0" t="s">
        <v>123</v>
      </c>
      <c r="C11" s="0" t="n">
        <f aca="false">C8+C10+C24</f>
        <v>822.56291</v>
      </c>
      <c r="D11" s="0" t="n">
        <f aca="false">D8+D10+D24</f>
        <v>959.9911035</v>
      </c>
      <c r="E11" s="0" t="n">
        <f aca="false">E8+E10+E24</f>
        <v>1126.0160901</v>
      </c>
      <c r="F11" s="0" t="n">
        <f aca="false">F8+F10+F24</f>
        <v>1303.6857433215</v>
      </c>
      <c r="G11" s="0" t="n">
        <f aca="false">G8+G10+G24</f>
        <v>1451.94564893202</v>
      </c>
      <c r="H11" s="0" t="n">
        <f aca="false">H8+H10+H24</f>
        <v>1582.9834689666</v>
      </c>
      <c r="I11" s="0" t="n">
        <f aca="false">I8+I10+I24</f>
        <v>1690.42876593895</v>
      </c>
      <c r="J11" s="0" t="n">
        <f aca="false">J8+J10+J24</f>
        <v>1774.9502042359</v>
      </c>
      <c r="K11" s="0" t="n">
        <f aca="false">K8+K10+K24</f>
        <v>1845.94821240533</v>
      </c>
      <c r="L11" s="0" t="n">
        <f aca="false">L8+L10+L24</f>
        <v>1901.32665877749</v>
      </c>
    </row>
    <row r="12" customFormat="false" ht="15" hidden="false" customHeight="false" outlineLevel="0" collapsed="false">
      <c r="A12" s="0" t="s">
        <v>124</v>
      </c>
      <c r="C12" s="4" t="n">
        <f aca="false">-C6*Assumptions!C45/100</f>
        <v>-111.887075</v>
      </c>
      <c r="D12" s="4" t="n">
        <f aca="false">-D6*Assumptions!D45/100</f>
        <v>-123.0757825</v>
      </c>
      <c r="E12" s="4" t="n">
        <f aca="false">-E6*Assumptions!E45/100</f>
        <v>-140.0517525</v>
      </c>
      <c r="F12" s="4" t="n">
        <f aca="false">-F6*Assumptions!F45/100</f>
        <v>-152.656410225</v>
      </c>
      <c r="G12" s="4" t="n">
        <f aca="false">-G6*Assumptions!G45/100</f>
        <v>-164.868923043</v>
      </c>
      <c r="H12" s="4" t="n">
        <f aca="false">-H6*Assumptions!H45/100</f>
        <v>-176.40974765601</v>
      </c>
      <c r="I12" s="4" t="n">
        <f aca="false">-I6*Assumptions!I45/100</f>
        <v>-186.994332515371</v>
      </c>
      <c r="J12" s="4" t="n">
        <f aca="false">-J6*Assumptions!J45/100</f>
        <v>-196.344049141139</v>
      </c>
      <c r="K12" s="4" t="n">
        <f aca="false">-K6*Assumptions!K45/100</f>
        <v>-204.197811106785</v>
      </c>
      <c r="L12" s="4" t="n">
        <f aca="false">-L6*Assumptions!L45/100</f>
        <v>-210.323745439988</v>
      </c>
    </row>
    <row r="13" customFormat="false" ht="15" hidden="false" customHeight="false" outlineLevel="0" collapsed="false">
      <c r="A13" s="0" t="s">
        <v>125</v>
      </c>
      <c r="C13" s="0" t="n">
        <f aca="false">C11+C12</f>
        <v>710.675835</v>
      </c>
      <c r="D13" s="0" t="n">
        <f aca="false">D11+D12</f>
        <v>836.915321</v>
      </c>
      <c r="E13" s="0" t="n">
        <f aca="false">E11+E12</f>
        <v>985.9643376</v>
      </c>
      <c r="F13" s="0" t="n">
        <f aca="false">F11+F12</f>
        <v>1151.0293330965</v>
      </c>
      <c r="G13" s="0" t="n">
        <f aca="false">G11+G12</f>
        <v>1287.07672588902</v>
      </c>
      <c r="H13" s="0" t="n">
        <f aca="false">H11+H12</f>
        <v>1406.57372131059</v>
      </c>
      <c r="I13" s="0" t="n">
        <f aca="false">I11+I12</f>
        <v>1503.43443342358</v>
      </c>
      <c r="J13" s="0" t="n">
        <f aca="false">J11+J12</f>
        <v>1578.60615509476</v>
      </c>
      <c r="K13" s="0" t="n">
        <f aca="false">K11+K12</f>
        <v>1641.75040129855</v>
      </c>
      <c r="L13" s="0" t="n">
        <f aca="false">L11+L12</f>
        <v>1691.00291333751</v>
      </c>
    </row>
    <row r="14" customFormat="false" ht="15" hidden="false" customHeight="false" outlineLevel="0" collapsed="false">
      <c r="A14" s="0" t="s">
        <v>111</v>
      </c>
      <c r="C14" s="4" t="n">
        <f aca="false">Assumptions!C47</f>
        <v>4</v>
      </c>
      <c r="D14" s="4" t="n">
        <f aca="false">Assumptions!D47</f>
        <v>8</v>
      </c>
      <c r="E14" s="4" t="n">
        <f aca="false">Assumptions!E47</f>
        <v>13</v>
      </c>
      <c r="F14" s="4" t="n">
        <f aca="false">Assumptions!F47</f>
        <v>18</v>
      </c>
      <c r="G14" s="4" t="n">
        <f aca="false">Assumptions!G47</f>
        <v>22</v>
      </c>
      <c r="H14" s="4" t="n">
        <f aca="false">Assumptions!H47</f>
        <v>24</v>
      </c>
      <c r="I14" s="4" t="n">
        <f aca="false">Assumptions!I47</f>
        <v>24</v>
      </c>
      <c r="J14" s="4" t="n">
        <f aca="false">Assumptions!J47</f>
        <v>24</v>
      </c>
      <c r="K14" s="4" t="n">
        <f aca="false">Assumptions!K47</f>
        <v>24</v>
      </c>
      <c r="L14" s="4" t="n">
        <f aca="false">Assumptions!L47</f>
        <v>24</v>
      </c>
    </row>
    <row r="15" customFormat="false" ht="15" hidden="false" customHeight="false" outlineLevel="0" collapsed="false">
      <c r="A15" s="0" t="s">
        <v>126</v>
      </c>
      <c r="C15" s="0" t="n">
        <f aca="false">C13-MAX(0,C13)*C14/100</f>
        <v>682.2488016</v>
      </c>
      <c r="D15" s="0" t="n">
        <f aca="false">D13-MAX(0,D13)*D14/100</f>
        <v>769.96209532</v>
      </c>
      <c r="E15" s="0" t="n">
        <f aca="false">E13-MAX(0,E13)*E14/100</f>
        <v>857.788973712</v>
      </c>
      <c r="F15" s="0" t="n">
        <f aca="false">F13-MAX(0,F13)*F14/100</f>
        <v>943.84405313913</v>
      </c>
      <c r="G15" s="0" t="n">
        <f aca="false">G13-MAX(0,G13)*G14/100</f>
        <v>1003.91984619344</v>
      </c>
      <c r="H15" s="0" t="n">
        <f aca="false">H13-MAX(0,H13)*H14/100</f>
        <v>1068.99602819605</v>
      </c>
      <c r="I15" s="0" t="n">
        <f aca="false">I13-MAX(0,I13)*I14/100</f>
        <v>1142.61016940192</v>
      </c>
      <c r="J15" s="0" t="n">
        <f aca="false">J13-MAX(0,J13)*J14/100</f>
        <v>1199.74067787202</v>
      </c>
      <c r="K15" s="0" t="n">
        <f aca="false">K13-MAX(0,K13)*K14/100</f>
        <v>1247.7303049869</v>
      </c>
      <c r="L15" s="0" t="n">
        <f aca="false">L13-MAX(0,L13)*L14/100</f>
        <v>1285.1622141365</v>
      </c>
    </row>
    <row r="16" customFormat="false" ht="15" hidden="false" customHeight="false" outlineLevel="0" collapsed="false">
      <c r="A16" s="0" t="s">
        <v>127</v>
      </c>
      <c r="C16" s="0" t="n">
        <f aca="false">-C12</f>
        <v>111.887075</v>
      </c>
      <c r="D16" s="0" t="n">
        <f aca="false">-D12</f>
        <v>123.0757825</v>
      </c>
      <c r="E16" s="0" t="n">
        <f aca="false">-E12</f>
        <v>140.0517525</v>
      </c>
      <c r="F16" s="0" t="n">
        <f aca="false">-F12</f>
        <v>152.656410225</v>
      </c>
      <c r="G16" s="0" t="n">
        <f aca="false">-G12</f>
        <v>164.868923043</v>
      </c>
      <c r="H16" s="0" t="n">
        <f aca="false">-H12</f>
        <v>176.40974765601</v>
      </c>
      <c r="I16" s="0" t="n">
        <f aca="false">-I12</f>
        <v>186.994332515371</v>
      </c>
      <c r="J16" s="0" t="n">
        <f aca="false">-J12</f>
        <v>196.344049141139</v>
      </c>
      <c r="K16" s="0" t="n">
        <f aca="false">-K12</f>
        <v>204.197811106785</v>
      </c>
      <c r="L16" s="0" t="n">
        <f aca="false">-L12</f>
        <v>210.323745439988</v>
      </c>
    </row>
    <row r="17" customFormat="false" ht="15" hidden="false" customHeight="false" outlineLevel="0" collapsed="false">
      <c r="A17" s="0" t="s">
        <v>128</v>
      </c>
      <c r="C17" s="4" t="n">
        <f aca="false">-C6*Assumptions!C46/100</f>
        <v>-513.137275</v>
      </c>
      <c r="D17" s="4" t="n">
        <f aca="false">-D6*Assumptions!D46/100</f>
        <v>-509.2791</v>
      </c>
      <c r="E17" s="4" t="n">
        <f aca="false">-E6*Assumptions!E46/100</f>
        <v>-443.49721625</v>
      </c>
      <c r="F17" s="4" t="n">
        <f aca="false">-F6*Assumptions!F46/100</f>
        <v>-407.0837606</v>
      </c>
      <c r="G17" s="4" t="n">
        <f aca="false">-G6*Assumptions!G46/100</f>
        <v>-384.694153767</v>
      </c>
      <c r="H17" s="4" t="n">
        <f aca="false">-H6*Assumptions!H46/100</f>
        <v>-370.460470077621</v>
      </c>
      <c r="I17" s="4" t="n">
        <f aca="false">-I6*Assumptions!I46/100</f>
        <v>-361.522376196383</v>
      </c>
      <c r="J17" s="4" t="n">
        <f aca="false">-J6*Assumptions!J46/100</f>
        <v>-359.964090092089</v>
      </c>
      <c r="K17" s="4" t="n">
        <f aca="false">-K6*Assumptions!K46/100</f>
        <v>-360.749466288653</v>
      </c>
      <c r="L17" s="4" t="n">
        <f aca="false">-L6*Assumptions!L46/100</f>
        <v>-364.561158762646</v>
      </c>
    </row>
    <row r="18" customFormat="false" ht="15" hidden="false" customHeight="false" outlineLevel="0" collapsed="false">
      <c r="A18" s="0" t="s">
        <v>129</v>
      </c>
      <c r="C18" s="4" t="n">
        <f aca="false">(C6-B6)*Assumptions!$B$51/100</f>
        <v>-26.9175</v>
      </c>
      <c r="D18" s="4" t="n">
        <f aca="false">(D6-C6)*Assumptions!$B$51/100</f>
        <v>-38.5817500000001</v>
      </c>
      <c r="E18" s="4" t="n">
        <f aca="false">(E6-D6)*Assumptions!$B$51/100</f>
        <v>-42.439925</v>
      </c>
      <c r="F18" s="4" t="n">
        <f aca="false">(F6-E6)*Assumptions!$B$51/100</f>
        <v>-42.0155257500001</v>
      </c>
      <c r="G18" s="4" t="n">
        <f aca="false">(G6-F6)*Assumptions!$B$51/100</f>
        <v>-40.7083760600001</v>
      </c>
      <c r="H18" s="4" t="n">
        <f aca="false">(H6-G6)*Assumptions!$B$51/100</f>
        <v>-38.4694153767001</v>
      </c>
      <c r="I18" s="4" t="n">
        <f aca="false">(I6-H6)*Assumptions!$B$51/100</f>
        <v>-35.281949531202</v>
      </c>
      <c r="J18" s="4" t="n">
        <f aca="false">(J6-I6)*Assumptions!$B$51/100</f>
        <v>-31.1657220858951</v>
      </c>
      <c r="K18" s="4" t="n">
        <f aca="false">(K6-J6)*Assumptions!$B$51/100</f>
        <v>-26.1792065521519</v>
      </c>
      <c r="L18" s="4" t="n">
        <f aca="false">(L6-K6)*Assumptions!$B$51/100</f>
        <v>-20.4197811106785</v>
      </c>
    </row>
    <row r="19" customFormat="false" ht="15" hidden="false" customHeight="false" outlineLevel="0" collapsed="false">
      <c r="A19" s="0" t="s">
        <v>130</v>
      </c>
      <c r="C19" s="0" t="n">
        <f aca="false">C15+C16+C17+C18</f>
        <v>254.0811016</v>
      </c>
      <c r="D19" s="0" t="n">
        <f aca="false">D15+D16+D17+D18</f>
        <v>345.17702782</v>
      </c>
      <c r="E19" s="0" t="n">
        <f aca="false">E15+E16+E17+E18</f>
        <v>511.903584962</v>
      </c>
      <c r="F19" s="0" t="n">
        <f aca="false">F15+F16+F17+F18</f>
        <v>647.40117701413</v>
      </c>
      <c r="G19" s="0" t="n">
        <f aca="false">G15+G16+G17+G18</f>
        <v>743.386239409436</v>
      </c>
      <c r="H19" s="0" t="n">
        <f aca="false">H15+H16+H17+H18</f>
        <v>836.475890397735</v>
      </c>
      <c r="I19" s="0" t="n">
        <f aca="false">I15+I16+I17+I18</f>
        <v>932.800176189707</v>
      </c>
      <c r="J19" s="0" t="n">
        <f aca="false">J15+J16+J17+J18</f>
        <v>1004.95491483517</v>
      </c>
      <c r="K19" s="0" t="n">
        <f aca="false">K15+K16+K17+K18</f>
        <v>1064.99944325288</v>
      </c>
      <c r="L19" s="0" t="n">
        <f aca="false">L15+L16+L17+L18</f>
        <v>1110.50501970317</v>
      </c>
    </row>
    <row r="20" customFormat="false" ht="15" hidden="false" customHeight="false" outlineLevel="0" collapsed="false">
      <c r="A20" s="0" t="s">
        <v>131</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132</v>
      </c>
      <c r="C21" s="0" t="n">
        <f aca="false">C19*C20</f>
        <v>233.101928073394</v>
      </c>
      <c r="D21" s="0" t="n">
        <f aca="false">D19*D20</f>
        <v>290.528598451309</v>
      </c>
      <c r="E21" s="0" t="n">
        <f aca="false">E19*E20</f>
        <v>395.283491691692</v>
      </c>
      <c r="F21" s="0" t="n">
        <f aca="false">F19*F20</f>
        <v>458.635315470092</v>
      </c>
      <c r="G21" s="0" t="n">
        <f aca="false">G19*G20</f>
        <v>483.150049134488</v>
      </c>
      <c r="H21" s="0" t="n">
        <f aca="false">H19*H20</f>
        <v>498.763243166369</v>
      </c>
      <c r="I21" s="0" t="n">
        <f aca="false">I19*I20</f>
        <v>510.273639971649</v>
      </c>
      <c r="J21" s="0" t="n">
        <f aca="false">J19*J20</f>
        <v>504.352984347191</v>
      </c>
      <c r="K21" s="0" t="n">
        <f aca="false">K19*K20</f>
        <v>490.355328843019</v>
      </c>
      <c r="L21" s="0" t="n">
        <f aca="false">L19*L20</f>
        <v>469.089321434528</v>
      </c>
    </row>
    <row r="23" customFormat="false" ht="15" hidden="false" customHeight="false" outlineLevel="0" collapsed="false">
      <c r="A23" s="0" t="s">
        <v>108</v>
      </c>
      <c r="C23" s="4" t="n">
        <f aca="false">Assumptions!C44</f>
        <v>1.3</v>
      </c>
      <c r="D23" s="4" t="n">
        <f aca="false">Assumptions!D44</f>
        <v>1.3</v>
      </c>
      <c r="E23" s="4" t="n">
        <f aca="false">Assumptions!E44</f>
        <v>1.3</v>
      </c>
      <c r="F23" s="4" t="n">
        <f aca="false">Assumptions!F44</f>
        <v>1.3</v>
      </c>
      <c r="G23" s="4" t="n">
        <f aca="false">Assumptions!G44</f>
        <v>1.3</v>
      </c>
      <c r="H23" s="4" t="n">
        <f aca="false">Assumptions!H44</f>
        <v>1.3</v>
      </c>
      <c r="I23" s="4" t="n">
        <f aca="false">Assumptions!I44</f>
        <v>1.3</v>
      </c>
      <c r="J23" s="4" t="n">
        <f aca="false">Assumptions!J44</f>
        <v>1.3</v>
      </c>
      <c r="K23" s="4" t="n">
        <f aca="false">Assumptions!K44</f>
        <v>1.3</v>
      </c>
      <c r="L23" s="4" t="n">
        <f aca="false">Assumptions!L44</f>
        <v>1.3</v>
      </c>
    </row>
    <row r="24" customFormat="false" ht="15" hidden="false" customHeight="false" outlineLevel="0" collapsed="false">
      <c r="A24" s="0" t="s">
        <v>133</v>
      </c>
      <c r="C24" s="0" t="n">
        <f aca="false">-C6*C23/100</f>
        <v>-50.156275</v>
      </c>
      <c r="D24" s="0" t="n">
        <f aca="false">-D6*D23/100</f>
        <v>-55.1719025</v>
      </c>
      <c r="E24" s="0" t="n">
        <f aca="false">-E6*E23/100</f>
        <v>-60.68909275</v>
      </c>
      <c r="F24" s="0" t="n">
        <f aca="false">-F6*F23/100</f>
        <v>-66.1511110975</v>
      </c>
      <c r="G24" s="0" t="n">
        <f aca="false">-G6*G23/100</f>
        <v>-71.4431999853</v>
      </c>
      <c r="H24" s="0" t="n">
        <f aca="false">-H6*H23/100</f>
        <v>-76.444223984271</v>
      </c>
      <c r="I24" s="0" t="n">
        <f aca="false">-I6*I23/100</f>
        <v>-81.0308774233273</v>
      </c>
      <c r="J24" s="0" t="n">
        <f aca="false">-J6*J23/100</f>
        <v>-85.0824212944937</v>
      </c>
      <c r="K24" s="0" t="n">
        <f aca="false">-K6*K23/100</f>
        <v>-88.4857181462734</v>
      </c>
      <c r="L24" s="0" t="n">
        <f aca="false">-L6*L23/100</f>
        <v>-91.1402896906616</v>
      </c>
    </row>
    <row r="26" customFormat="false" ht="15" hidden="false" customHeight="false" outlineLevel="0" collapsed="false">
      <c r="A26" s="2" t="s">
        <v>134</v>
      </c>
    </row>
    <row r="27" customFormat="false" ht="15" hidden="false" customHeight="false" outlineLevel="0" collapsed="false">
      <c r="A27" s="0" t="s">
        <v>112</v>
      </c>
      <c r="B27" s="4" t="n">
        <f aca="false">Assumptions!$B$48</f>
        <v>9</v>
      </c>
    </row>
    <row r="28" customFormat="false" ht="15" hidden="false" customHeight="false" outlineLevel="0" collapsed="false">
      <c r="A28" s="0" t="s">
        <v>113</v>
      </c>
      <c r="B28" s="4" t="n">
        <f aca="false">Assumptions!$B$49</f>
        <v>3</v>
      </c>
    </row>
    <row r="29" customFormat="false" ht="15" hidden="false" customHeight="false" outlineLevel="0" collapsed="false">
      <c r="A29" s="0" t="s">
        <v>114</v>
      </c>
      <c r="B29" s="4" t="n">
        <f aca="false">Assumptions!$B$50</f>
        <v>18</v>
      </c>
    </row>
    <row r="30" customFormat="false" ht="15" hidden="false" customHeight="false" outlineLevel="0" collapsed="false">
      <c r="A30" s="0" t="s">
        <v>135</v>
      </c>
      <c r="B30" s="0" t="n">
        <f aca="false">SUM(C21:L21)</f>
        <v>4333.53390058373</v>
      </c>
    </row>
    <row r="31" customFormat="false" ht="15" hidden="false" customHeight="false" outlineLevel="0" collapsed="false">
      <c r="A31" s="0" t="s">
        <v>136</v>
      </c>
      <c r="B31" s="0" t="n">
        <f aca="false">L19</f>
        <v>1110.50501970317</v>
      </c>
    </row>
    <row r="32" customFormat="false" ht="15" hidden="false" customHeight="false" outlineLevel="0" collapsed="false">
      <c r="A32" s="0" t="s">
        <v>137</v>
      </c>
      <c r="B32" s="0" t="n">
        <f aca="false">IF(B27&gt;B28,B31*(1+B28/100)/((B27-B28)/100),B31*B29)</f>
        <v>19063.6695049044</v>
      </c>
    </row>
    <row r="33" customFormat="false" ht="15" hidden="false" customHeight="false" outlineLevel="0" collapsed="false">
      <c r="A33" s="0" t="s">
        <v>138</v>
      </c>
      <c r="B33" s="0" t="n">
        <f aca="false">B31*B29</f>
        <v>19989.090354657</v>
      </c>
    </row>
    <row r="34" customFormat="false" ht="15" hidden="false" customHeight="false" outlineLevel="0" collapsed="false">
      <c r="A34" s="0" t="s">
        <v>139</v>
      </c>
      <c r="B34" s="0" t="n">
        <f aca="false">MAX(0,MIN(B32,B33))</f>
        <v>19063.6695049044</v>
      </c>
    </row>
    <row r="35" customFormat="false" ht="15" hidden="false" customHeight="false" outlineLevel="0" collapsed="false">
      <c r="A35" s="0" t="s">
        <v>140</v>
      </c>
      <c r="B35" s="0" t="n">
        <f aca="false">B34/(1+B27/100)^L4</f>
        <v>8052.7000179594</v>
      </c>
    </row>
    <row r="36" customFormat="false" ht="15" hidden="false" customHeight="false" outlineLevel="0" collapsed="false">
      <c r="A36" s="0" t="s">
        <v>141</v>
      </c>
      <c r="B36" s="0" t="n">
        <f aca="false">B30+B35</f>
        <v>12386.2339185431</v>
      </c>
    </row>
    <row r="37" customFormat="false" ht="15" hidden="false" customHeight="false" outlineLevel="0" collapsed="false">
      <c r="A37" s="0" t="s">
        <v>142</v>
      </c>
      <c r="B37" s="0" t="n">
        <f aca="false">B36+Assumptions!$B$5-Assumptions!$B$4</f>
        <v>10756.2339185431</v>
      </c>
    </row>
    <row r="38" customFormat="false" ht="15" hidden="false" customHeight="false" outlineLevel="0" collapsed="false">
      <c r="A38" s="0" t="s">
        <v>143</v>
      </c>
      <c r="B38" s="0" t="n">
        <f aca="false">B37/Assumptions!$B$3*Assumptions!$B$10</f>
        <v>861.877717831982</v>
      </c>
    </row>
    <row r="39" customFormat="false" ht="15" hidden="false" customHeight="false" outlineLevel="0" collapsed="false">
      <c r="A39" s="0" t="s">
        <v>144</v>
      </c>
      <c r="B39" s="4" t="n">
        <f aca="false">B38/Assumptions!$B$2-1</f>
        <v>0.93898249231042</v>
      </c>
    </row>
    <row r="41" customFormat="false" ht="15" hidden="false" customHeight="false" outlineLevel="0" collapsed="false">
      <c r="A41" s="0" t="s">
        <v>145</v>
      </c>
      <c r="B41" s="0" t="n">
        <f aca="false">SUMPRODUCT(-C10:L10/(1+$B$27/100)^C4:L4)</f>
        <v>27.351335853142</v>
      </c>
    </row>
    <row r="42" customFormat="false" ht="15" hidden="false" customHeight="false" outlineLevel="0" collapsed="false">
      <c r="A42" s="0" t="s">
        <v>146</v>
      </c>
      <c r="B42" s="0" t="n">
        <f aca="false">IF(B27&gt;B28,-L10*(1+B28/100)/((B27-B28)/100),-L10*20)/(1+B27/100)^L4</f>
        <v>40.6703616494435</v>
      </c>
    </row>
    <row r="43" customFormat="false" ht="15" hidden="false" customHeight="false" outlineLevel="0" collapsed="false">
      <c r="A43" s="0" t="s">
        <v>147</v>
      </c>
      <c r="B43" s="0" t="n">
        <f aca="false">(B37+B41+B42)/Assumptions!$B$3*Assumptions!$B$10</f>
        <v>867.328174362638</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9531.83475245219</v>
      </c>
    </row>
    <row r="47" customFormat="false" ht="15" hidden="false" customHeight="false" outlineLevel="0" collapsed="false">
      <c r="A47" s="0" t="s">
        <v>149</v>
      </c>
      <c r="B47" s="0" t="n">
        <f aca="false">(SUMPRODUCT(C19:L19/(1+B45/100)^C4:L4)+B46/(1+B45/100)^L4+Assumptions!$B$5-Assumptions!$B$4)/Assumptions!$B$3*Assumptions!$B$10</f>
        <v>312.697654488112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152</v>
      </c>
    </row>
    <row r="3" customFormat="false" ht="15" hidden="false" customHeight="false" outlineLevel="0" collapsed="false">
      <c r="A3" s="2" t="s">
        <v>153</v>
      </c>
      <c r="B3" s="2" t="s">
        <v>154</v>
      </c>
      <c r="C3" s="2" t="s">
        <v>144</v>
      </c>
      <c r="D3" s="2" t="s">
        <v>155</v>
      </c>
      <c r="E3" s="2" t="s">
        <v>147</v>
      </c>
      <c r="F3" s="2" t="s">
        <v>156</v>
      </c>
    </row>
    <row r="4" customFormat="false" ht="15" hidden="false" customHeight="false" outlineLevel="0" collapsed="false">
      <c r="A4" s="0" t="s">
        <v>157</v>
      </c>
      <c r="B4" s="4" t="n">
        <f aca="false">DCF_Bear!$B$38</f>
        <v>233.512146764931</v>
      </c>
      <c r="C4" s="0" t="n">
        <f aca="false">B4/Assumptions!$B$2-1</f>
        <v>-0.474663336861798</v>
      </c>
      <c r="D4" s="4" t="n">
        <f aca="false">Assumptions!$B$24</f>
        <v>0.25</v>
      </c>
      <c r="E4" s="4" t="n">
        <f aca="false">DCF_Bear!$B$43</f>
        <v>237.207016254562</v>
      </c>
      <c r="F4" s="4" t="n">
        <f aca="false">DCF_Bear!$B$47</f>
        <v>54.8171578405351</v>
      </c>
    </row>
    <row r="5" customFormat="false" ht="15" hidden="false" customHeight="false" outlineLevel="0" collapsed="false">
      <c r="A5" s="0" t="s">
        <v>158</v>
      </c>
      <c r="B5" s="4" t="n">
        <f aca="false">DCF_Base!$B$38</f>
        <v>574.296087028582</v>
      </c>
      <c r="C5" s="0" t="n">
        <f aca="false">B5/Assumptions!$B$2-1</f>
        <v>0.292004695227405</v>
      </c>
      <c r="D5" s="4" t="n">
        <f aca="false">Assumptions!$B$38</f>
        <v>0.5</v>
      </c>
      <c r="E5" s="4" t="n">
        <f aca="false">DCF_Base!$B$43</f>
        <v>578.894101329101</v>
      </c>
      <c r="F5" s="4" t="n">
        <f aca="false">DCF_Base!$B$47</f>
        <v>199.864157314827</v>
      </c>
    </row>
    <row r="6" customFormat="false" ht="15" hidden="false" customHeight="false" outlineLevel="0" collapsed="false">
      <c r="A6" s="0" t="s">
        <v>159</v>
      </c>
      <c r="B6" s="4" t="n">
        <f aca="false">DCF_Bull!$B$38</f>
        <v>861.877717831982</v>
      </c>
      <c r="C6" s="0" t="n">
        <f aca="false">B6/Assumptions!$B$2-1</f>
        <v>0.93898249231042</v>
      </c>
      <c r="D6" s="4" t="n">
        <f aca="false">Assumptions!$B$52</f>
        <v>0.25</v>
      </c>
      <c r="E6" s="4" t="n">
        <f aca="false">DCF_Bull!$B$43</f>
        <v>867.328174362638</v>
      </c>
      <c r="F6" s="4" t="n">
        <f aca="false">DCF_Bull!$B$47</f>
        <v>312.697654488112</v>
      </c>
    </row>
    <row r="8" customFormat="false" ht="15" hidden="false" customHeight="false" outlineLevel="0" collapsed="false">
      <c r="A8" s="0" t="s">
        <v>160</v>
      </c>
      <c r="B8" s="0" t="n">
        <f aca="false">SUMPRODUCT(B4:B6,D4:D6)</f>
        <v>560.995509663519</v>
      </c>
    </row>
    <row r="9" customFormat="false" ht="15" hidden="false" customHeight="false" outlineLevel="0" collapsed="false">
      <c r="A9" s="0" t="s">
        <v>161</v>
      </c>
      <c r="B9" s="0" t="n">
        <f aca="false">SUMPRODUCT(E4:E6,D4:D6)</f>
        <v>565.580848318851</v>
      </c>
    </row>
    <row r="10" customFormat="false" ht="15" hidden="false" customHeight="false" outlineLevel="0" collapsed="false">
      <c r="A10" s="0" t="s">
        <v>162</v>
      </c>
      <c r="B10" s="0" t="n">
        <f aca="false">1-Assumptions!$B$2/B8</f>
        <v>0.207658542103826</v>
      </c>
    </row>
    <row r="11" customFormat="false" ht="15" hidden="false" customHeight="false" outlineLevel="0" collapsed="false">
      <c r="A11" s="0" t="s">
        <v>163</v>
      </c>
      <c r="B11" s="0" t="str">
        <f aca="false">IF(ABS(B9-B8)&gt;0.01*ABS(B8),(Assumptions!$B$2-B8)/(B9-B8)*100,"n/a")</f>
        <v>n/a</v>
      </c>
    </row>
    <row r="12" customFormat="false" ht="15" hidden="false" customHeight="false" outlineLevel="0" collapsed="false">
      <c r="A12" s="0" t="s">
        <v>164</v>
      </c>
      <c r="B12" s="0" t="n">
        <f aca="false">SUMPRODUCT(F4:F6,D4:D6)</f>
        <v>191.810781739575</v>
      </c>
    </row>
    <row r="14" customFormat="false" ht="15" hidden="false" customHeight="false" outlineLevel="0" collapsed="false">
      <c r="A14" s="2" t="s">
        <v>165</v>
      </c>
      <c r="C14" s="0" t="s">
        <v>166</v>
      </c>
    </row>
    <row r="15" customFormat="false" ht="15" hidden="false" customHeight="false" outlineLevel="0" collapsed="false">
      <c r="A15" s="0" t="s">
        <v>167</v>
      </c>
      <c r="B15" s="0" t="n">
        <f aca="false">(SUMPRODUCT(DCF_Base!$C$19:$L$19/(1+$C$15/100)^DCF_Base!$C$4:$L$4)+MAX(0,MIN(IF($C$15&gt;DCF_Base!$B$28,DCF_Base!$L$19*(1+DCF_Base!$B$28/100)/(($C$15-DCF_Base!$B$28)/100),DCF_Base!$L$19*DCF_Base!$B$29),DCF_Base!$L$19*DCF_Base!$B$29))/(1+$C$15/100)^DCF_Base!$L$4+Assumptions!$B$5-Assumptions!$B$4)/Assumptions!$B$3*Assumptions!$B$10</f>
        <v>574.296087028582</v>
      </c>
      <c r="C15" s="3" t="n">
        <v>9</v>
      </c>
    </row>
    <row r="16" customFormat="false" ht="15" hidden="false" customHeight="false" outlineLevel="0" collapsed="false">
      <c r="A16" s="0" t="s">
        <v>168</v>
      </c>
      <c r="B16" s="0" t="n">
        <f aca="false">(SUMPRODUCT(DCF_Base!$C$19:$L$19/(1+$C$16/100)^DCF_Base!$C$4:$L$4)+MAX(0,MIN(IF($C$16&gt;DCF_Base!$B$28,DCF_Base!$L$19*(1+DCF_Base!$B$28/100)/(($C$16-DCF_Base!$B$28)/100),DCF_Base!$L$19*DCF_Base!$B$29),DCF_Base!$L$19*DCF_Base!$B$29))/(1+$C$16/100)^DCF_Base!$L$4+Assumptions!$B$5-Assumptions!$B$4)/Assumptions!$B$3*Assumptions!$B$10</f>
        <v>468.929064899224</v>
      </c>
      <c r="C16" s="3" t="n">
        <v>10</v>
      </c>
    </row>
    <row r="17" customFormat="false" ht="15" hidden="false" customHeight="false" outlineLevel="0" collapsed="false">
      <c r="A17" s="0" t="s">
        <v>169</v>
      </c>
      <c r="B17" s="0" t="n">
        <f aca="false">(SUMPRODUCT(DCF_Base!$C$19:$L$19/(1+$C$17/100)^DCF_Base!$C$4:$L$4)+MAX(0,MIN(IF($C$17&gt;DCF_Base!$B$28,DCF_Base!$L$19*(1+DCF_Base!$B$28/100)/(($C$17-DCF_Base!$B$28)/100),DCF_Base!$L$19*DCF_Base!$B$29),DCF_Base!$L$19*DCF_Base!$B$29))/(1+$C$17/100)^DCF_Base!$L$4+Assumptions!$B$5-Assumptions!$B$4)/Assumptions!$B$3*Assumptions!$B$10</f>
        <v>388.878650476758</v>
      </c>
      <c r="C17" s="3" t="n">
        <v>11</v>
      </c>
    </row>
    <row r="18" customFormat="false" ht="15" hidden="false" customHeight="false" outlineLevel="0" collapsed="false">
      <c r="A18" s="0" t="s">
        <v>170</v>
      </c>
      <c r="B18" s="0" t="n">
        <f aca="false">(SUMPRODUCT(DCF_Base!$C$19:$L$19/(1+$C$18/100)^DCF_Base!$C$4:$L$4)+MAX(0,MIN(IF($C$18&gt;DCF_Base!$B$28,DCF_Base!$L$19*(1+DCF_Base!$B$28/100)/(($C$18-DCF_Base!$B$28)/100),DCF_Base!$L$19*DCF_Base!$B$29),DCF_Base!$L$19*DCF_Base!$B$29))/(1+$C$18/100)^DCF_Base!$L$4+Assumptions!$B$5-Assumptions!$B$4)/Assumptions!$B$3*Assumptions!$B$10</f>
        <v>326.118015171449</v>
      </c>
      <c r="C18" s="3" t="n">
        <v>12</v>
      </c>
    </row>
    <row r="19" customFormat="false" ht="15" hidden="false" customHeight="false" outlineLevel="0" collapsed="false">
      <c r="A19" s="0" t="s">
        <v>171</v>
      </c>
      <c r="B19" s="0" t="n">
        <f aca="false">(SUMPRODUCT(DCF_Base!$C$19:$L$19/(1+$C$19/100)^DCF_Base!$C$4:$L$4)+MAX(0,MIN(IF($C$19&gt;DCF_Base!$B$28,DCF_Base!$L$19*(1+DCF_Base!$B$28/100)/(($C$19-DCF_Base!$B$28)/100),DCF_Base!$L$19*DCF_Base!$B$29),DCF_Base!$L$19*DCF_Base!$B$29))/(1+$C$19/100)^DCF_Base!$L$4+Assumptions!$B$5-Assumptions!$B$4)/Assumptions!$B$3*Assumptions!$B$10</f>
        <v>199.864157314827</v>
      </c>
      <c r="C19" s="3" t="n">
        <v>15</v>
      </c>
    </row>
    <row r="21" customFormat="false" ht="15" hidden="false" customHeight="false" outlineLevel="0" collapsed="false">
      <c r="A21" s="2" t="s">
        <v>172</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7</v>
      </c>
      <c r="B23" s="0" t="n">
        <f aca="false">(SUMPRODUCT(DCF_Base!$C$19:$L$19/(1+$A$23/100)^DCF_Base!$C$4:$L$4)+MAX(0,MIN(IF($A$23&gt;$B$22,DCF_Base!$L$19*(1+$B$22/100)/(($A$23-$B$22)/100),DCF_Base!$L$19*DCF_Base!$B$29),DCF_Base!$L$19*DCF_Base!$B$29))/(1+$A$23/100)^DCF_Base!$L$4+Assumptions!$B$5-Assumptions!$B$4)/Assumptions!$B$3*Assumptions!$B$10</f>
        <v>768.89884375775</v>
      </c>
      <c r="C23" s="0" t="n">
        <f aca="false">(SUMPRODUCT(DCF_Base!$C$19:$L$19/(1+$A$23/100)^DCF_Base!$C$4:$L$4)+MAX(0,MIN(IF($A$23&gt;$C$22,DCF_Base!$L$19*(1+$C$22/100)/(($A$23-$C$22)/100),DCF_Base!$L$19*DCF_Base!$B$29),DCF_Base!$L$19*DCF_Base!$B$29))/(1+$A$23/100)^DCF_Base!$L$4+Assumptions!$B$5-Assumptions!$B$4)/Assumptions!$B$3*Assumptions!$B$10</f>
        <v>768.89884375775</v>
      </c>
      <c r="D23" s="0" t="n">
        <f aca="false">(SUMPRODUCT(DCF_Base!$C$19:$L$19/(1+$A$23/100)^DCF_Base!$C$4:$L$4)+MAX(0,MIN(IF($A$23&gt;$D$22,DCF_Base!$L$19*(1+$D$22/100)/(($A$23-$D$22)/100),DCF_Base!$L$19*DCF_Base!$B$29),DCF_Base!$L$19*DCF_Base!$B$29))/(1+$A$23/100)^DCF_Base!$L$4+Assumptions!$B$5-Assumptions!$B$4)/Assumptions!$B$3*Assumptions!$B$10</f>
        <v>768.89884375775</v>
      </c>
      <c r="E23" s="0" t="n">
        <f aca="false">(SUMPRODUCT(DCF_Base!$C$19:$L$19/(1+$A$23/100)^DCF_Base!$C$4:$L$4)+MAX(0,MIN(IF($A$23&gt;$E$22,DCF_Base!$L$19*(1+$E$22/100)/(($A$23-$E$22)/100),DCF_Base!$L$19*DCF_Base!$B$29),DCF_Base!$L$19*DCF_Base!$B$29))/(1+$A$23/100)^DCF_Base!$L$4+Assumptions!$B$5-Assumptions!$B$4)/Assumptions!$B$3*Assumptions!$B$10</f>
        <v>768.89884375775</v>
      </c>
      <c r="F23" s="0" t="n">
        <f aca="false">(SUMPRODUCT(DCF_Base!$C$19:$L$19/(1+$A$23/100)^DCF_Base!$C$4:$L$4)+MAX(0,MIN(IF($A$23&gt;$F$22,DCF_Base!$L$19*(1+$F$22/100)/(($A$23-$F$22)/100),DCF_Base!$L$19*DCF_Base!$B$29),DCF_Base!$L$19*DCF_Base!$B$29))/(1+$A$23/100)^DCF_Base!$L$4+Assumptions!$B$5-Assumptions!$B$4)/Assumptions!$B$3*Assumptions!$B$10</f>
        <v>768.89884375775</v>
      </c>
    </row>
    <row r="24" customFormat="false" ht="15" hidden="false" customHeight="false" outlineLevel="0" collapsed="false">
      <c r="A24" s="3" t="n">
        <v>8</v>
      </c>
      <c r="B24" s="0" t="n">
        <f aca="false">(SUMPRODUCT(DCF_Base!$C$19:$L$19/(1+$A$24/100)^DCF_Base!$C$4:$L$4)+MAX(0,MIN(IF($A$24&gt;$B$22,DCF_Base!$L$19*(1+$B$22/100)/(($A$24-$B$22)/100),DCF_Base!$L$19*DCF_Base!$B$29),DCF_Base!$L$19*DCF_Base!$B$29))/(1+$A$24/100)^DCF_Base!$L$4+Assumptions!$B$5-Assumptions!$B$4)/Assumptions!$B$3*Assumptions!$B$10</f>
        <v>626.728902516969</v>
      </c>
      <c r="C24" s="0" t="n">
        <f aca="false">(SUMPRODUCT(DCF_Base!$C$19:$L$19/(1+$A$24/100)^DCF_Base!$C$4:$L$4)+MAX(0,MIN(IF($A$24&gt;$C$22,DCF_Base!$L$19*(1+$C$22/100)/(($A$24-$C$22)/100),DCF_Base!$L$19*DCF_Base!$B$29),DCF_Base!$L$19*DCF_Base!$B$29))/(1+$A$24/100)^DCF_Base!$L$4+Assumptions!$B$5-Assumptions!$B$4)/Assumptions!$B$3*Assumptions!$B$10</f>
        <v>668.950731596176</v>
      </c>
      <c r="D24" s="0" t="n">
        <f aca="false">(SUMPRODUCT(DCF_Base!$C$19:$L$19/(1+$A$24/100)^DCF_Base!$C$4:$L$4)+MAX(0,MIN(IF($A$24&gt;$D$22,DCF_Base!$L$19*(1+$D$22/100)/(($A$24-$D$22)/100),DCF_Base!$L$19*DCF_Base!$B$29),DCF_Base!$L$19*DCF_Base!$B$29))/(1+$A$24/100)^DCF_Base!$L$4+Assumptions!$B$5-Assumptions!$B$4)/Assumptions!$B$3*Assumptions!$B$10</f>
        <v>699.444274820047</v>
      </c>
      <c r="E24" s="0" t="n">
        <f aca="false">(SUMPRODUCT(DCF_Base!$C$19:$L$19/(1+$A$24/100)^DCF_Base!$C$4:$L$4)+MAX(0,MIN(IF($A$24&gt;$E$22,DCF_Base!$L$19*(1+$E$22/100)/(($A$24-$E$22)/100),DCF_Base!$L$19*DCF_Base!$B$29),DCF_Base!$L$19*DCF_Base!$B$29))/(1+$A$24/100)^DCF_Base!$L$4+Assumptions!$B$5-Assumptions!$B$4)/Assumptions!$B$3*Assumptions!$B$10</f>
        <v>699.444274820047</v>
      </c>
      <c r="F24" s="0" t="n">
        <f aca="false">(SUMPRODUCT(DCF_Base!$C$19:$L$19/(1+$A$24/100)^DCF_Base!$C$4:$L$4)+MAX(0,MIN(IF($A$24&gt;$F$22,DCF_Base!$L$19*(1+$F$22/100)/(($A$24-$F$22)/100),DCF_Base!$L$19*DCF_Base!$B$29),DCF_Base!$L$19*DCF_Base!$B$29))/(1+$A$24/100)^DCF_Base!$L$4+Assumptions!$B$5-Assumptions!$B$4)/Assumptions!$B$3*Assumptions!$B$10</f>
        <v>699.444274820047</v>
      </c>
    </row>
    <row r="25" customFormat="false" ht="15" hidden="false" customHeight="false" outlineLevel="0" collapsed="false">
      <c r="A25" s="3" t="n">
        <v>9</v>
      </c>
      <c r="B25" s="0" t="n">
        <f aca="false">(SUMPRODUCT(DCF_Base!$C$19:$L$19/(1+$A$25/100)^DCF_Base!$C$4:$L$4)+MAX(0,MIN(IF($A$25&gt;$B$22,DCF_Base!$L$19*(1+$B$22/100)/(($A$25-$B$22)/100),DCF_Base!$L$19*DCF_Base!$B$29),DCF_Base!$L$19*DCF_Base!$B$29))/(1+$A$25/100)^DCF_Base!$L$4+Assumptions!$B$5-Assumptions!$B$4)/Assumptions!$B$3*Assumptions!$B$10</f>
        <v>512.118717639001</v>
      </c>
      <c r="C25" s="0" t="n">
        <f aca="false">(SUMPRODUCT(DCF_Base!$C$19:$L$19/(1+$A$25/100)^DCF_Base!$C$4:$L$4)+MAX(0,MIN(IF($A$25&gt;$C$22,DCF_Base!$L$19*(1+$C$22/100)/(($A$25-$C$22)/100),DCF_Base!$L$19*DCF_Base!$B$29),DCF_Base!$L$19*DCF_Base!$B$29))/(1+$A$25/100)^DCF_Base!$L$4+Assumptions!$B$5-Assumptions!$B$4)/Assumptions!$B$3*Assumptions!$B$10</f>
        <v>540.986781998449</v>
      </c>
      <c r="D25" s="0" t="n">
        <f aca="false">(SUMPRODUCT(DCF_Base!$C$19:$L$19/(1+$A$25/100)^DCF_Base!$C$4:$L$4)+MAX(0,MIN(IF($A$25&gt;$D$22,DCF_Base!$L$19*(1+$D$22/100)/(($A$25-$D$22)/100),DCF_Base!$L$19*DCF_Base!$B$29),DCF_Base!$L$19*DCF_Base!$B$29))/(1+$A$25/100)^DCF_Base!$L$4+Assumptions!$B$5-Assumptions!$B$4)/Assumptions!$B$3*Assumptions!$B$10</f>
        <v>574.296087028582</v>
      </c>
      <c r="E25" s="0" t="n">
        <f aca="false">(SUMPRODUCT(DCF_Base!$C$19:$L$19/(1+$A$25/100)^DCF_Base!$C$4:$L$4)+MAX(0,MIN(IF($A$25&gt;$E$22,DCF_Base!$L$19*(1+$E$22/100)/(($A$25-$E$22)/100),DCF_Base!$L$19*DCF_Base!$B$29),DCF_Base!$L$19*DCF_Base!$B$29))/(1+$A$25/100)^DCF_Base!$L$4+Assumptions!$B$5-Assumptions!$B$4)/Assumptions!$B$3*Assumptions!$B$10</f>
        <v>613.15694289707</v>
      </c>
      <c r="F25" s="0" t="n">
        <f aca="false">(SUMPRODUCT(DCF_Base!$C$19:$L$19/(1+$A$25/100)^DCF_Base!$C$4:$L$4)+MAX(0,MIN(IF($A$25&gt;$F$22,DCF_Base!$L$19*(1+$F$22/100)/(($A$25-$F$22)/100),DCF_Base!$L$19*DCF_Base!$B$29),DCF_Base!$L$19*DCF_Base!$B$29))/(1+$A$25/100)^DCF_Base!$L$4+Assumptions!$B$5-Assumptions!$B$4)/Assumptions!$B$3*Assumptions!$B$10</f>
        <v>636.330847772774</v>
      </c>
    </row>
    <row r="26" customFormat="false" ht="15" hidden="false" customHeight="false" outlineLevel="0" collapsed="false">
      <c r="A26" s="3" t="n">
        <v>10</v>
      </c>
      <c r="B26" s="0" t="n">
        <f aca="false">(SUMPRODUCT(DCF_Base!$C$19:$L$19/(1+$A$26/100)^DCF_Base!$C$4:$L$4)+MAX(0,MIN(IF($A$26&gt;$B$22,DCF_Base!$L$19*(1+$B$22/100)/(($A$26-$B$22)/100),DCF_Base!$L$19*DCF_Base!$B$29),DCF_Base!$L$19*DCF_Base!$B$29))/(1+$A$26/100)^DCF_Base!$L$4+Assumptions!$B$5-Assumptions!$B$4)/Assumptions!$B$3*Assumptions!$B$10</f>
        <v>425.133403454791</v>
      </c>
      <c r="C26" s="0" t="n">
        <f aca="false">(SUMPRODUCT(DCF_Base!$C$19:$L$19/(1+$A$26/100)^DCF_Base!$C$4:$L$4)+MAX(0,MIN(IF($A$26&gt;$C$22,DCF_Base!$L$19*(1+$C$22/100)/(($A$26-$C$22)/100),DCF_Base!$L$19*DCF_Base!$B$29),DCF_Base!$L$19*DCF_Base!$B$29))/(1+$A$26/100)^DCF_Base!$L$4+Assumptions!$B$5-Assumptions!$B$4)/Assumptions!$B$3*Assumptions!$B$10</f>
        <v>445.662619756869</v>
      </c>
      <c r="D26" s="0" t="n">
        <f aca="false">(SUMPRODUCT(DCF_Base!$C$19:$L$19/(1+$A$26/100)^DCF_Base!$C$4:$L$4)+MAX(0,MIN(IF($A$26&gt;$D$22,DCF_Base!$L$19*(1+$D$22/100)/(($A$26-$D$22)/100),DCF_Base!$L$19*DCF_Base!$B$29),DCF_Base!$L$19*DCF_Base!$B$29))/(1+$A$26/100)^DCF_Base!$L$4+Assumptions!$B$5-Assumptions!$B$4)/Assumptions!$B$3*Assumptions!$B$10</f>
        <v>468.929064899224</v>
      </c>
      <c r="E26" s="0" t="n">
        <f aca="false">(SUMPRODUCT(DCF_Base!$C$19:$L$19/(1+$A$26/100)^DCF_Base!$C$4:$L$4)+MAX(0,MIN(IF($A$26&gt;$E$22,DCF_Base!$L$19*(1+$E$22/100)/(($A$26-$E$22)/100),DCF_Base!$L$19*DCF_Base!$B$29),DCF_Base!$L$19*DCF_Base!$B$29))/(1+$A$26/100)^DCF_Base!$L$4+Assumptions!$B$5-Assumptions!$B$4)/Assumptions!$B$3*Assumptions!$B$10</f>
        <v>495.519287919059</v>
      </c>
      <c r="F26" s="0" t="n">
        <f aca="false">(SUMPRODUCT(DCF_Base!$C$19:$L$19/(1+$A$26/100)^DCF_Base!$C$4:$L$4)+MAX(0,MIN(IF($A$26&gt;$F$22,DCF_Base!$L$19*(1+$F$22/100)/(($A$26-$F$22)/100),DCF_Base!$L$19*DCF_Base!$B$29),DCF_Base!$L$19*DCF_Base!$B$29))/(1+$A$26/100)^DCF_Base!$L$4+Assumptions!$B$5-Assumptions!$B$4)/Assumptions!$B$3*Assumptions!$B$10</f>
        <v>526.200314480406</v>
      </c>
    </row>
    <row r="27" customFormat="false" ht="15" hidden="false" customHeight="false" outlineLevel="0" collapsed="false">
      <c r="A27" s="3" t="n">
        <v>11</v>
      </c>
      <c r="B27" s="0" t="n">
        <f aca="false">(SUMPRODUCT(DCF_Base!$C$19:$L$19/(1+$A$27/100)^DCF_Base!$C$4:$L$4)+MAX(0,MIN(IF($A$27&gt;$B$22,DCF_Base!$L$19*(1+$B$22/100)/(($A$27-$B$22)/100),DCF_Base!$L$19*DCF_Base!$B$29),DCF_Base!$L$19*DCF_Base!$B$29))/(1+$A$27/100)^DCF_Base!$L$4+Assumptions!$B$5-Assumptions!$B$4)/Assumptions!$B$3*Assumptions!$B$10</f>
        <v>357.007620022577</v>
      </c>
      <c r="C27" s="0" t="n">
        <f aca="false">(SUMPRODUCT(DCF_Base!$C$19:$L$19/(1+$A$27/100)^DCF_Base!$C$4:$L$4)+MAX(0,MIN(IF($A$27&gt;$C$22,DCF_Base!$L$19*(1+$C$22/100)/(($A$27-$C$22)/100),DCF_Base!$L$19*DCF_Base!$B$29),DCF_Base!$L$19*DCF_Base!$B$29))/(1+$A$27/100)^DCF_Base!$L$4+Assumptions!$B$5-Assumptions!$B$4)/Assumptions!$B$3*Assumptions!$B$10</f>
        <v>372.057828848162</v>
      </c>
      <c r="D27" s="0" t="n">
        <f aca="false">(SUMPRODUCT(DCF_Base!$C$19:$L$19/(1+$A$27/100)^DCF_Base!$C$4:$L$4)+MAX(0,MIN(IF($A$27&gt;$D$22,DCF_Base!$L$19*(1+$D$22/100)/(($A$27-$D$22)/100),DCF_Base!$L$19*DCF_Base!$B$29),DCF_Base!$L$19*DCF_Base!$B$29))/(1+$A$27/100)^DCF_Base!$L$4+Assumptions!$B$5-Assumptions!$B$4)/Assumptions!$B$3*Assumptions!$B$10</f>
        <v>388.878650476758</v>
      </c>
      <c r="E27" s="0" t="n">
        <f aca="false">(SUMPRODUCT(DCF_Base!$C$19:$L$19/(1+$A$27/100)^DCF_Base!$C$4:$L$4)+MAX(0,MIN(IF($A$27&gt;$E$22,DCF_Base!$L$19*(1+$E$22/100)/(($A$27-$E$22)/100),DCF_Base!$L$19*DCF_Base!$B$29),DCF_Base!$L$19*DCF_Base!$B$29))/(1+$A$27/100)^DCF_Base!$L$4+Assumptions!$B$5-Assumptions!$B$4)/Assumptions!$B$3*Assumptions!$B$10</f>
        <v>407.802074808928</v>
      </c>
      <c r="F27" s="0" t="n">
        <f aca="false">(SUMPRODUCT(DCF_Base!$C$19:$L$19/(1+$A$27/100)^DCF_Base!$C$4:$L$4)+MAX(0,MIN(IF($A$27&gt;$F$22,DCF_Base!$L$19*(1+$F$22/100)/(($A$27-$F$22)/100),DCF_Base!$L$19*DCF_Base!$B$29),DCF_Base!$L$19*DCF_Base!$B$29))/(1+$A$27/100)^DCF_Base!$L$4+Assumptions!$B$5-Assumptions!$B$4)/Assumptions!$B$3*Assumptions!$B$10</f>
        <v>429.248622385387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2026-10-10T00:53:46Z</dcterms:created>
  <dc:creator>openpyxl</dc:creator>
  <dc:description/>
  <dc:language>en-NZ</dc:language>
  <cp:lastModifiedBy/>
  <dcterms:modified xsi:type="dcterms:W3CDTF">2026-10-10T00:53:46Z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