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<sst xmlns="http://schemas.openxmlformats.org/spreadsheetml/2006/main" count="370" uniqueCount="174">
  <si>
    <t xml:space="preserve">Ticker</t>
  </si>
  <si>
    <t xml:space="preserve">S32.AX</t>
  </si>
  <si>
    <t xml:space="preserve">Company</t>
  </si>
  <si>
    <t xml:space="preserve">South32 Limited</t>
  </si>
  <si>
    <t xml:space="preserve">Valuation date</t>
  </si>
  <si>
    <t xml:space="preserve">2026-09-25</t>
  </si>
  <si>
    <t xml:space="preserve">Current price</t>
  </si>
  <si>
    <t xml:space="preserve">Price as of</t>
  </si>
  <si>
    <t xml:space="preserve">2026-09-25T04:12:58Z ASX regular session</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</si>
  <si>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</si>
  <si>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</si>
  <si>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</si>
  <si>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</si>
  <si>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</si>
  <si>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</si>
  <si>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</si>
  <si>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AUD</t>
  </si>
  <si>
    <t xml:space="preserve">Units</t>
  </si>
  <si>
    <t xml:space="preserve">millions</t>
  </si>
  <si>
    <t xml:space="preserve">Engine</t>
  </si>
  <si>
    <t xml:space="preserve">dcf_engine v1</t>
  </si>
  <si>
    <t xml:space="preserve">Built at</t>
  </si>
  <si>
    <t xml:space="preserve">2026-09-25T04:41:37Z</t>
  </si>
  <si>
    <t xml:space="preserve">Drivers file</t>
  </si>
  <si>
    <t xml:space="preserve">S32.AX_Drivers.json</t>
  </si>
  <si>
    <t xml:space="preserve">Convention</t>
  </si>
  <si>
    <t xml:space="preserve">Percents stored as percents; formulas divide by 100. Blue = input, green = link, black = formula.</t>
  </si>
  <si>
    <t xml:space="preserve">Methodology</t>
  </si>
  <si>
    <t xml:space="preserve">summary: Value the business that will exist, at the prices that persist. South32 post-Alcoa is a US$3.7B cash-and-shares receivable, US$1.0B of net cash, two high-margin base-metals assets it does not fully own or operate, a marginal manganese business and a US$3.3B construction project. The market price (A$4.94, ~US$15.6B) implies an enterprise value of ~US$11B for the continuing operations, which is ~7x FY26 EBITDA at cycle-high prices but ~11x mid-cycle and ~6x the FY31 EBITDA that requires Taylor and the fourth line to arrive. The house view charges the price cycle in the flows: base reverts to mid-cycle, the bear takes 30% weight. Each +US$0.50/lb sustained copper is worth ~A$0.26/share and each +US$10/oz silver ~A$0.64/share; the current price is consistent with a permanent deck near Cu US$5.50-6.00 / Ag US$55-65, which the house does not underwrite.
key_risks_to_valuation: Price deck: the entire gap to the market price is the deck. Sustained copper above US$5.50/lb and silver above US$50/oz would put the base near the current price.; Hermosa/Taylor execution: capex already +US$1.1B to US$3.3B, first production moved to H2 FY28; another slip in a price trough is the bear case and it consumes most of the Alcoa proceeds.; Alcoa completion: shareholder vote and FIRB/Brazil/SA approvals; consideration includes 17m Alcoa shares (equity-market exposure) and US$750m price-linked contingent (taken at 20%). Disposal tax (assumed US$300m) is undisclosed.; Non-operated assets: Sierra Gorda (45%, KGHM operates) and Ambler (50%) control capital timing and costs; the fourth grinding line is a JV decision.; Cannington reserve life to FY33; base assumes extension, bear does not.; Rehabilitation/closure provisions on retained assets are not deducted (folder convention); Alcoa assumes ~US$1.1-1.2B of the aluminium chain's provisions, which is part of why the EV looks higher than the cash.; USD/AUD: the flows are USD, the quote is AUD; a stronger AUD lowers the AUD value per share one-for-one.</t>
  </si>
  <si>
    <t xml:space="preserve">Data sources</t>
  </si>
  <si>
    <t xml:space="preserve">price: Yahoo Finance chart API at inputs.price_as_of; 52-week range 2.60-5.33. FX AUDUSD=X, parity checked against SOUHY (1 ADR = 5 shares) and S32.L.
financials: S32.AX_Metrics.csv (FY2016-FY2026, H1 FY24-26) from the annual reports; FY26 Annual Report for the operations table (p39), segment note 4, capex/other-expenditure guidance (p36-38), balance sheet table (p33), note 2(c) Alcoa transaction terms, Hermosa project update (p23).
qualitative: S32.AX_Analysis.json (2026-09-25); AR FY26 outlook and guidance; FY26 results market releases referenced in the AR (Alcoa agreement 1-Jul-2026, Hermosa project update 30-Apr-2026, Sierra Gorda 4th line FID 1-Jul-2026).</t>
  </si>
  <si>
    <t xml:space="preserve">Scenario narrative: bear</t>
  </si>
  <si>
    <t xml:space="preserve">A demand-led price reversion to 2023-24 levels (Cu 3.90, Ag 26, Zn 2,500) coincides with a second Taylor slip and overrun; South32 spends ~US$2.4B of cumulative negative owner FCF over FY27-31 funded by the Alcoa cash, South Africa Manganese is loss-making at the deck, and Cannington closes in FY33 without replacement. The DCF of the continuing business is negative and the equity is essentially the Alcoa proceeds, net cash and the Illawarra receivable, less the Hermosa burn.</t>
  </si>
  <si>
    <t xml:space="preserve">Scenario narrative: base</t>
  </si>
  <si>
    <t xml:space="preserve">The company that exists after H2 FY27 is a 45% Sierra Gorda stake, Cannington, a 60%/54.6% manganese business and a US$3.3B zinc-lead-silver mine under construction, plus ~US$3.7B of risk-adjusted Alcoa proceeds and US$1.0B of net cash. Base assumes prices revert from the FY26/FY27 highs (Cu US$5.92-6.20/lb, Ag US$65-71/oz) to a mid-cycle deck (Cu 4.75, Ag 35, Zn 2,800, Mn 4.50) by FY28, which takes continuing EBITDA from ~1,430 (FY26 actual) to ~970. Owner FCF is negative in FY27 (~-670) and FY28 (~-370) while Hermosa consumes US$1,000m then ~550m, turns positive in FY29 and reaches ~630 in FY31 once Taylor (~US$1,000m revenue, ~55% margin at the mid-cycle deck) and the Sierra Gorda fourth grinding line (+30% CuEq) are at capacity. The axes are the price deck and Taylor delivery; the Alcoa package is worth ~A$1.16/share on its own.</t>
  </si>
  <si>
    <t xml:space="preserve">Scenario narrative: bull</t>
  </si>
  <si>
    <t xml:space="preserve">Copper and silver hold near current levels on the structural-deficit thesis (Cu 5.50, Ag 50), FY27 lands at the full guidance deck, Taylor is on the April-2026 schedule and de-bottlenecks ~25% above design via the Clark decline, the fourth grinding line delivers FY31 and Cannington's open-pit extension replaces the FY33 underground closure. Mature margin 47%, terminal cap 14x. Even here the FY27-28 Hermosa spend keeps cumulative owner FCF negative until FY29.</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</si>
  <si>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</si>
  <si>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</si>
  <si>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</si>
  <si>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</si>
  <si>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</si>
  <si>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</si>
  <si>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</si>
  <si>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</si>
  <si>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</si>
  <si>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</si>
  <si>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</si>
  <si>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</si>
  <si>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</si>
  <si>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</si>
  <si>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</si>
  <si>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</si>
  <si>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</si>
  <si>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</si>
  <si>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</si>
  <si>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</si>
  <si>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</si>
  <si>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</si>
  <si>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</si>
  <si>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</si>
  <si>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</si>
  <si>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</si>
  <si>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</si>
  <si>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BasicEPS</t>
  </si>
  <si>
    <t xml:space="preserve">EPSDiluted</t>
  </si>
  <si>
    <t xml:space="preserve">LeasePrincipalRepaid</t>
  </si>
  <si>
    <t xml:space="preserve">NetIncomeContinuing</t>
  </si>
  <si>
    <t xml:space="preserve">ShareOfAssociatesProfit</t>
  </si>
  <si>
    <t xml:space="preserve">TreasurySharesPurchased</t>
  </si>
  <si>
    <t xml:space="preserve">UnderlyingEBIT</t>
  </si>
  <si>
    <t xml:space="preserve">UnderlyingEBITDA</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</si>
  <si>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</si>
  <si>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</si>
  <si>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</si>
  <si>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</si>
  <si>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</si>
  <si>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</si>
  <si>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</si>
  <si>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</si>
  <si>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</si>
  <si>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</si>
  <si>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</si>
  <si>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</si>
  <si>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</si>
  <si>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</si>
  <si>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</si>
  <si>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</si>
  <si>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</si>
  <si>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</si>
  <si>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</si>
  <si>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</si>
  <si>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</si>
  <si>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</si>
  <si>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</si>
  <si>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</si>
  <si>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</si>
  <si>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</si>
  <si>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</si>
  <si>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</si>
  <si>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</si>
  <si>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</si>
  <si>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</si>
  <si>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</si>
  <si>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</si>
  <si>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</si>
  <si>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</si>
  <si>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</si>
  <si>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</si>
  <si>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</si>
  <si>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</si>
  <si>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</si>
  <si>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</si>
  <si>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</si>
  <si>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</si>
  <si>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</si>
  <si>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</si>
  <si>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</si>
  <si>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</si>
  <si>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</si>
  <si>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S32.AX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</si>
  <si>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</si>
  <si>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</si>
  <si>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</si>
  <si>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</si>
  <si>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</si>
  <si>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</si>
  <si>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</si>
  <si>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</si>
  <si>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</si>
  <si>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</si>
  <si>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</si>
  <si>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</si>
  <si>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</si>
  <si>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</si>
  <si>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</si>
  <si>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</si>
  <si>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</si>
  <si>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</si>
  <si>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</si>
  <si>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</si>
  <si>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</si>
  <si>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</si>
  <si>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</si>
  <si>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</si>
  <si>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</si>
  <si>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</si>
  <si>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</si>
  <si>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</si>
  <si>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</si>
  <si>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</si>
  <si>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S32.AX owner-FCF component DCF: base case (millions, USD)</t>
  </si>
  <si>
    <t xml:space="preserve">S32.AX owner-FCF component DCF: bull case (millions, USD)</t>
  </si>
  <si>
    <t xml:space="preserve">S32.AX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</si>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</sst>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4.94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5812</v>
      </c>
      <c r="F2" s="0" t="n">
        <v>-1441</v>
      </c>
      <c r="G2" s="0" t="n">
        <v>-24.8</v>
      </c>
      <c r="H2" s="0" t="n">
        <v>1131</v>
      </c>
      <c r="I2" s="0" t="n">
        <v>-1615</v>
      </c>
      <c r="J2" s="0" t="n">
        <v>-27.8</v>
      </c>
      <c r="K2" s="0" t="n">
        <v>-0.303</v>
      </c>
      <c r="L2" s="0" t="n">
        <v>1030</v>
      </c>
      <c r="M2" s="0" t="n">
        <v>400</v>
      </c>
      <c r="N2" s="0" t="n">
        <v>630</v>
      </c>
      <c r="O2" s="0" t="n">
        <v>9422</v>
      </c>
      <c r="P2" s="0" t="n">
        <v>13374</v>
      </c>
      <c r="Q2" s="0" t="n">
        <v>3952</v>
      </c>
      <c r="R2" s="0" t="n">
        <v>913</v>
      </c>
      <c r="S2" s="0" t="n">
        <v>1225</v>
      </c>
      <c r="T2" s="0" t="n">
        <v>5330</v>
      </c>
      <c r="U2" s="0" t="n">
        <v>23</v>
      </c>
      <c r="W2" s="0" t="n">
        <v>1131</v>
      </c>
      <c r="AA2" s="0" t="s">
        <v>18</v>
      </c>
      <c r="AB2" s="0" t="s">
        <v>14</v>
      </c>
      <c r="AC2" s="0" t="n">
        <v>-0.303</v>
      </c>
      <c r="AD2" s="0" t="n">
        <v>-0.303</v>
      </c>
      <c r="AF2" s="0" t="n">
        <v>-1615</v>
      </c>
      <c r="AG2" s="0" t="n">
        <v>-330</v>
      </c>
      <c r="AH2" s="0" t="n">
        <v>3</v>
      </c>
      <c r="AJ2" s="0" t="n">
        <v>1131</v>
      </c>
    </row>
    <row r="3" customFormat="false" ht="15" hidden="false" customHeight="false" outlineLevel="0" collapsed="false">
      <c r="A3" s="0" t="s">
        <v>73</v>
      </c>
      <c r="B3" s="0" t="n">
        <v>6950</v>
      </c>
      <c r="F3" s="0" t="n">
        <v>1795</v>
      </c>
      <c r="G3" s="0" t="n">
        <v>25.8</v>
      </c>
      <c r="H3" s="0" t="n">
        <v>2411</v>
      </c>
      <c r="I3" s="0" t="n">
        <v>1231</v>
      </c>
      <c r="J3" s="0" t="n">
        <v>17.7</v>
      </c>
      <c r="K3" s="0" t="n">
        <v>0.229</v>
      </c>
      <c r="L3" s="0" t="n">
        <v>2132</v>
      </c>
      <c r="M3" s="0" t="n">
        <v>319</v>
      </c>
      <c r="N3" s="0" t="n">
        <v>1813</v>
      </c>
      <c r="O3" s="0" t="n">
        <v>10235</v>
      </c>
      <c r="P3" s="0" t="n">
        <v>14733</v>
      </c>
      <c r="Q3" s="0" t="n">
        <v>4498</v>
      </c>
      <c r="R3" s="0" t="n">
        <v>1035</v>
      </c>
      <c r="S3" s="0" t="n">
        <v>2675</v>
      </c>
      <c r="T3" s="0" t="n">
        <v>5306</v>
      </c>
      <c r="U3" s="0" t="n">
        <v>37</v>
      </c>
      <c r="W3" s="0" t="n">
        <v>2411</v>
      </c>
      <c r="AA3" s="0" t="s">
        <v>18</v>
      </c>
      <c r="AB3" s="0" t="s">
        <v>14</v>
      </c>
      <c r="AC3" s="0" t="n">
        <v>0.232</v>
      </c>
      <c r="AD3" s="0" t="n">
        <v>0.229</v>
      </c>
      <c r="AF3" s="0" t="n">
        <v>1231</v>
      </c>
      <c r="AG3" s="0" t="n">
        <v>312</v>
      </c>
      <c r="AH3" s="0" t="n">
        <v>27</v>
      </c>
      <c r="AJ3" s="0" t="n">
        <v>2411</v>
      </c>
    </row>
    <row r="4" customFormat="false" ht="15" hidden="false" customHeight="false" outlineLevel="0" collapsed="false">
      <c r="A4" s="0" t="s">
        <v>74</v>
      </c>
      <c r="B4" s="0" t="n">
        <v>7549</v>
      </c>
      <c r="F4" s="0" t="n">
        <v>1719</v>
      </c>
      <c r="G4" s="0" t="n">
        <v>22.8</v>
      </c>
      <c r="H4" s="0" t="n">
        <v>2516</v>
      </c>
      <c r="I4" s="0" t="n">
        <v>1332</v>
      </c>
      <c r="J4" s="0" t="n">
        <v>17.6</v>
      </c>
      <c r="K4" s="0" t="n">
        <v>0.254</v>
      </c>
      <c r="L4" s="0" t="n">
        <v>1717</v>
      </c>
      <c r="M4" s="0" t="n">
        <v>436</v>
      </c>
      <c r="N4" s="0" t="n">
        <v>1281</v>
      </c>
      <c r="O4" s="0" t="n">
        <v>10709</v>
      </c>
      <c r="P4" s="0" t="n">
        <v>15133</v>
      </c>
      <c r="Q4" s="0" t="n">
        <v>4424</v>
      </c>
      <c r="R4" s="0" t="n">
        <v>929</v>
      </c>
      <c r="S4" s="0" t="n">
        <v>2970</v>
      </c>
      <c r="T4" s="0" t="n">
        <v>5120</v>
      </c>
      <c r="U4" s="0" t="n">
        <v>40</v>
      </c>
      <c r="W4" s="0" t="n">
        <v>2516</v>
      </c>
      <c r="AA4" s="0" t="s">
        <v>18</v>
      </c>
      <c r="AB4" s="0" t="s">
        <v>14</v>
      </c>
      <c r="AC4" s="0" t="n">
        <v>0.258</v>
      </c>
      <c r="AD4" s="0" t="n">
        <v>0.254</v>
      </c>
      <c r="AF4" s="0" t="n">
        <v>1332</v>
      </c>
      <c r="AG4" s="0" t="n">
        <v>521</v>
      </c>
      <c r="AH4" s="0" t="n">
        <v>84</v>
      </c>
      <c r="AJ4" s="0" t="n">
        <v>2516</v>
      </c>
    </row>
    <row r="5" customFormat="false" ht="15" hidden="false" customHeight="false" outlineLevel="0" collapsed="false">
      <c r="A5" s="0" t="s">
        <v>75</v>
      </c>
      <c r="B5" s="0" t="n">
        <v>7274</v>
      </c>
      <c r="F5" s="0" t="n">
        <v>887</v>
      </c>
      <c r="G5" s="0" t="n">
        <v>12.2</v>
      </c>
      <c r="H5" s="0" t="n">
        <v>2197</v>
      </c>
      <c r="I5" s="0" t="n">
        <v>389</v>
      </c>
      <c r="J5" s="0" t="n">
        <v>5.3</v>
      </c>
      <c r="K5" s="0" t="n">
        <v>0.076</v>
      </c>
      <c r="L5" s="0" t="n">
        <v>1817</v>
      </c>
      <c r="M5" s="0" t="n">
        <v>710</v>
      </c>
      <c r="N5" s="0" t="n">
        <v>1107</v>
      </c>
      <c r="O5" s="0" t="n">
        <v>10168</v>
      </c>
      <c r="P5" s="0" t="n">
        <v>14715</v>
      </c>
      <c r="Q5" s="0" t="n">
        <v>4547</v>
      </c>
      <c r="R5" s="0" t="n">
        <v>904</v>
      </c>
      <c r="S5" s="0" t="n">
        <v>1408</v>
      </c>
      <c r="T5" s="0" t="n">
        <v>5006</v>
      </c>
      <c r="U5" s="0" t="n">
        <v>38</v>
      </c>
      <c r="W5" s="0" t="n">
        <v>2197</v>
      </c>
      <c r="AA5" s="0" t="s">
        <v>18</v>
      </c>
      <c r="AB5" s="0" t="s">
        <v>14</v>
      </c>
      <c r="AC5" s="0" t="n">
        <v>0.077</v>
      </c>
      <c r="AD5" s="0" t="n">
        <v>0.076</v>
      </c>
      <c r="AF5" s="0" t="n">
        <v>389</v>
      </c>
      <c r="AG5" s="0" t="n">
        <v>467</v>
      </c>
      <c r="AH5" s="0" t="n">
        <v>99</v>
      </c>
      <c r="AJ5" s="0" t="n">
        <v>2197</v>
      </c>
    </row>
    <row r="6" customFormat="false" ht="15" hidden="false" customHeight="false" outlineLevel="0" collapsed="false">
      <c r="A6" s="0" t="s">
        <v>76</v>
      </c>
      <c r="B6" s="0" t="n">
        <v>6075</v>
      </c>
      <c r="F6" s="0" t="n">
        <v>261</v>
      </c>
      <c r="G6" s="0" t="n">
        <v>4.3</v>
      </c>
      <c r="H6" s="0" t="n">
        <v>1185</v>
      </c>
      <c r="I6" s="0" t="n">
        <v>-65</v>
      </c>
      <c r="J6" s="0" t="n">
        <v>-1.1</v>
      </c>
      <c r="K6" s="0" t="n">
        <v>-0.013</v>
      </c>
      <c r="L6" s="0" t="n">
        <v>1365</v>
      </c>
      <c r="M6" s="0" t="n">
        <v>745</v>
      </c>
      <c r="N6" s="0" t="n">
        <v>620</v>
      </c>
      <c r="O6" s="0" t="n">
        <v>9562</v>
      </c>
      <c r="P6" s="0" t="n">
        <v>13737</v>
      </c>
      <c r="Q6" s="0" t="n">
        <v>4175</v>
      </c>
      <c r="R6" s="0" t="n">
        <v>1017</v>
      </c>
      <c r="S6" s="0" t="n">
        <v>1315</v>
      </c>
      <c r="T6" s="0" t="n">
        <v>4846</v>
      </c>
      <c r="U6" s="0" t="n">
        <v>29</v>
      </c>
      <c r="W6" s="0" t="n">
        <v>1185</v>
      </c>
      <c r="AA6" s="0" t="s">
        <v>18</v>
      </c>
      <c r="AB6" s="0" t="s">
        <v>14</v>
      </c>
      <c r="AC6" s="0" t="n">
        <v>-0.013</v>
      </c>
      <c r="AD6" s="0" t="n">
        <v>-0.013</v>
      </c>
      <c r="AF6" s="0" t="n">
        <v>-65</v>
      </c>
      <c r="AG6" s="0" t="n">
        <v>100</v>
      </c>
      <c r="AH6" s="0" t="n">
        <v>23</v>
      </c>
      <c r="AJ6" s="0" t="n">
        <v>1185</v>
      </c>
    </row>
    <row r="7" customFormat="false" ht="15" hidden="false" customHeight="false" outlineLevel="0" collapsed="false">
      <c r="A7" s="0" t="s">
        <v>77</v>
      </c>
      <c r="B7" s="0" t="n">
        <v>5476</v>
      </c>
      <c r="F7" s="0" t="n">
        <v>203</v>
      </c>
      <c r="G7" s="0" t="n">
        <v>3.7</v>
      </c>
      <c r="H7" s="0" t="n">
        <v>1564</v>
      </c>
      <c r="I7" s="0" t="n">
        <v>-195</v>
      </c>
      <c r="J7" s="0" t="n">
        <v>-3.6</v>
      </c>
      <c r="K7" s="0" t="n">
        <v>-0.041</v>
      </c>
      <c r="L7" s="0" t="n">
        <v>1405</v>
      </c>
      <c r="M7" s="0" t="n">
        <v>566</v>
      </c>
      <c r="N7" s="0" t="n">
        <v>839</v>
      </c>
      <c r="O7" s="0" t="n">
        <v>8954</v>
      </c>
      <c r="P7" s="0" t="n">
        <v>13242</v>
      </c>
      <c r="Q7" s="0" t="n">
        <v>4288</v>
      </c>
      <c r="R7" s="0" t="n">
        <v>1207</v>
      </c>
      <c r="S7" s="0" t="n">
        <v>1613</v>
      </c>
      <c r="T7" s="0" t="n">
        <v>4675</v>
      </c>
      <c r="U7" s="0" t="n">
        <v>32</v>
      </c>
      <c r="W7" s="0" t="n">
        <v>1564</v>
      </c>
      <c r="AA7" s="0" t="s">
        <v>18</v>
      </c>
      <c r="AB7" s="0" t="s">
        <v>14</v>
      </c>
      <c r="AC7" s="0" t="n">
        <v>-0.041</v>
      </c>
      <c r="AD7" s="0" t="n">
        <v>-0.041</v>
      </c>
      <c r="AF7" s="0" t="n">
        <v>142</v>
      </c>
      <c r="AG7" s="0" t="n">
        <v>141</v>
      </c>
      <c r="AH7" s="0" t="n">
        <v>0</v>
      </c>
      <c r="AJ7" s="0" t="n">
        <v>1564</v>
      </c>
    </row>
    <row r="8" customFormat="false" ht="15" hidden="false" customHeight="false" outlineLevel="0" collapsed="false">
      <c r="A8" s="0" t="s">
        <v>78</v>
      </c>
      <c r="B8" s="0" t="n">
        <v>9269</v>
      </c>
      <c r="F8" s="0" t="n">
        <v>3724</v>
      </c>
      <c r="G8" s="0" t="n">
        <v>40.2</v>
      </c>
      <c r="H8" s="0" t="n">
        <v>4755</v>
      </c>
      <c r="I8" s="0" t="n">
        <v>2669</v>
      </c>
      <c r="J8" s="0" t="n">
        <v>28.8</v>
      </c>
      <c r="K8" s="0" t="n">
        <v>0.57</v>
      </c>
      <c r="L8" s="0" t="n">
        <v>3070</v>
      </c>
      <c r="M8" s="0" t="n">
        <v>559</v>
      </c>
      <c r="N8" s="0" t="n">
        <v>2511</v>
      </c>
      <c r="O8" s="0" t="n">
        <v>10779</v>
      </c>
      <c r="P8" s="0" t="n">
        <v>16336</v>
      </c>
      <c r="Q8" s="0" t="n">
        <v>5557</v>
      </c>
      <c r="R8" s="0" t="n">
        <v>1827</v>
      </c>
      <c r="S8" s="0" t="n">
        <v>2365</v>
      </c>
      <c r="T8" s="0" t="n">
        <v>4628</v>
      </c>
      <c r="U8" s="0" t="n">
        <v>23</v>
      </c>
      <c r="W8" s="0" t="n">
        <v>4755</v>
      </c>
      <c r="AA8" s="0" t="s">
        <v>18</v>
      </c>
      <c r="AB8" s="0" t="s">
        <v>14</v>
      </c>
      <c r="AC8" s="0" t="n">
        <v>0.574</v>
      </c>
      <c r="AD8" s="0" t="n">
        <v>0.57</v>
      </c>
      <c r="AF8" s="0" t="n">
        <v>2669</v>
      </c>
      <c r="AG8" s="0" t="n">
        <v>272</v>
      </c>
      <c r="AH8" s="0" t="n">
        <v>22</v>
      </c>
      <c r="AJ8" s="0" t="n">
        <v>4755</v>
      </c>
    </row>
    <row r="9" customFormat="false" ht="15" hidden="false" customHeight="false" outlineLevel="0" collapsed="false">
      <c r="A9" s="0" t="s">
        <v>79</v>
      </c>
      <c r="B9" s="0" t="n">
        <v>7429</v>
      </c>
      <c r="F9" s="0" t="n">
        <v>198</v>
      </c>
      <c r="G9" s="0" t="n">
        <v>2.7</v>
      </c>
      <c r="H9" s="0" t="n">
        <v>2534</v>
      </c>
      <c r="I9" s="0" t="n">
        <v>-173</v>
      </c>
      <c r="J9" s="0" t="n">
        <v>-2.3</v>
      </c>
      <c r="K9" s="0" t="n">
        <v>-0.038</v>
      </c>
      <c r="L9" s="0" t="n">
        <v>1191</v>
      </c>
      <c r="M9" s="0" t="n">
        <v>894</v>
      </c>
      <c r="N9" s="0" t="n">
        <v>297</v>
      </c>
      <c r="O9" s="0" t="n">
        <v>9375</v>
      </c>
      <c r="P9" s="0" t="n">
        <v>14564</v>
      </c>
      <c r="Q9" s="0" t="n">
        <v>5189</v>
      </c>
      <c r="R9" s="0" t="n">
        <v>1741</v>
      </c>
      <c r="S9" s="0" t="n">
        <v>1258</v>
      </c>
      <c r="T9" s="0" t="n">
        <v>4545</v>
      </c>
      <c r="U9" s="0" t="n">
        <v>24</v>
      </c>
      <c r="W9" s="0" t="n">
        <v>2534</v>
      </c>
      <c r="AA9" s="0" t="s">
        <v>18</v>
      </c>
      <c r="AB9" s="0" t="s">
        <v>14</v>
      </c>
      <c r="AC9" s="0" t="n">
        <v>-0.038</v>
      </c>
      <c r="AD9" s="0" t="n">
        <v>-0.038</v>
      </c>
      <c r="AF9" s="0" t="n">
        <v>-173</v>
      </c>
      <c r="AG9" s="0" t="n">
        <v>246</v>
      </c>
      <c r="AH9" s="0" t="n">
        <v>33</v>
      </c>
      <c r="AJ9" s="0" t="n">
        <v>2534</v>
      </c>
    </row>
    <row r="10" customFormat="false" ht="15" hidden="false" customHeight="false" outlineLevel="0" collapsed="false">
      <c r="A10" s="0" t="s">
        <v>80</v>
      </c>
      <c r="B10" s="0" t="n">
        <v>5479</v>
      </c>
      <c r="F10" s="0" t="n">
        <v>-735</v>
      </c>
      <c r="G10" s="0" t="n">
        <v>-13.4</v>
      </c>
      <c r="H10" s="0" t="n">
        <v>1802</v>
      </c>
      <c r="I10" s="0" t="n">
        <v>-203</v>
      </c>
      <c r="J10" s="0" t="n">
        <v>-3.7</v>
      </c>
      <c r="K10" s="0" t="n">
        <v>-0.045</v>
      </c>
      <c r="L10" s="0" t="n">
        <v>1119</v>
      </c>
      <c r="M10" s="0" t="n">
        <v>1080</v>
      </c>
      <c r="N10" s="0" t="n">
        <v>39</v>
      </c>
      <c r="O10" s="0" t="n">
        <v>8971</v>
      </c>
      <c r="P10" s="0" t="n">
        <v>14245</v>
      </c>
      <c r="Q10" s="0" t="n">
        <v>5274</v>
      </c>
      <c r="R10" s="0" t="n">
        <v>1566</v>
      </c>
      <c r="S10" s="0" t="n">
        <v>842</v>
      </c>
      <c r="T10" s="0" t="n">
        <v>4529</v>
      </c>
      <c r="U10" s="0" t="n">
        <v>22</v>
      </c>
      <c r="W10" s="0" t="n">
        <v>1802</v>
      </c>
      <c r="AA10" s="0" t="s">
        <v>18</v>
      </c>
      <c r="AB10" s="0" t="s">
        <v>14</v>
      </c>
      <c r="AC10" s="0" t="n">
        <v>-0.045</v>
      </c>
      <c r="AD10" s="0" t="n">
        <v>-0.045</v>
      </c>
      <c r="AF10" s="0" t="n">
        <v>-640</v>
      </c>
      <c r="AG10" s="0" t="n">
        <v>-59</v>
      </c>
      <c r="AH10" s="0" t="n">
        <v>11</v>
      </c>
      <c r="AI10" s="0" t="n">
        <v>886</v>
      </c>
      <c r="AJ10" s="0" t="n">
        <v>1802</v>
      </c>
    </row>
    <row r="11" customFormat="false" ht="15" hidden="false" customHeight="false" outlineLevel="0" collapsed="false">
      <c r="A11" s="0" t="s">
        <v>81</v>
      </c>
      <c r="B11" s="0" t="n">
        <v>5780</v>
      </c>
      <c r="F11" s="0" t="n">
        <v>554</v>
      </c>
      <c r="G11" s="0" t="n">
        <v>9.6</v>
      </c>
      <c r="H11" s="0" t="n">
        <v>1928</v>
      </c>
      <c r="I11" s="0" t="n">
        <v>213</v>
      </c>
      <c r="J11" s="0" t="n">
        <v>3.7</v>
      </c>
      <c r="K11" s="0" t="n">
        <v>0.047</v>
      </c>
      <c r="L11" s="0" t="n">
        <v>1335</v>
      </c>
      <c r="M11" s="0" t="n">
        <v>963</v>
      </c>
      <c r="N11" s="0" t="n">
        <v>372</v>
      </c>
      <c r="O11" s="0" t="n">
        <v>8857</v>
      </c>
      <c r="P11" s="0" t="n">
        <v>13727</v>
      </c>
      <c r="Q11" s="0" t="n">
        <v>4870</v>
      </c>
      <c r="R11" s="0" t="n">
        <v>1634</v>
      </c>
      <c r="S11" s="0" t="n">
        <v>1677</v>
      </c>
      <c r="T11" s="0" t="n">
        <v>4504</v>
      </c>
      <c r="U11" s="0" t="n">
        <v>20</v>
      </c>
      <c r="W11" s="0" t="n">
        <v>1928</v>
      </c>
      <c r="AA11" s="0" t="s">
        <v>18</v>
      </c>
      <c r="AB11" s="0" t="s">
        <v>14</v>
      </c>
      <c r="AC11" s="0" t="n">
        <v>0.047</v>
      </c>
      <c r="AD11" s="0" t="n">
        <v>0.047</v>
      </c>
      <c r="AE11" s="0" t="n">
        <v>76</v>
      </c>
      <c r="AF11" s="0" t="n">
        <v>315</v>
      </c>
      <c r="AG11" s="0" t="n">
        <v>99</v>
      </c>
      <c r="AH11" s="0" t="n">
        <v>10</v>
      </c>
      <c r="AI11" s="0" t="n">
        <v>1211</v>
      </c>
      <c r="AJ11" s="0" t="n">
        <v>1928</v>
      </c>
    </row>
    <row r="12" customFormat="false" ht="15" hidden="false" customHeight="false" outlineLevel="0" collapsed="false">
      <c r="A12" s="0" t="s">
        <v>82</v>
      </c>
      <c r="B12" s="0" t="n">
        <v>5816</v>
      </c>
      <c r="F12" s="0" t="n">
        <v>1359</v>
      </c>
      <c r="G12" s="0" t="n">
        <v>23.4</v>
      </c>
      <c r="H12" s="0" t="n">
        <v>2462</v>
      </c>
      <c r="I12" s="0" t="n">
        <v>1087</v>
      </c>
      <c r="J12" s="0" t="n">
        <v>18.7</v>
      </c>
      <c r="K12" s="0" t="n">
        <v>0.241</v>
      </c>
      <c r="L12" s="0" t="n">
        <v>1634</v>
      </c>
      <c r="M12" s="0" t="n">
        <v>1094</v>
      </c>
      <c r="N12" s="0" t="n">
        <v>540</v>
      </c>
      <c r="O12" s="0" t="n">
        <v>9714</v>
      </c>
      <c r="P12" s="0" t="n">
        <v>14491</v>
      </c>
      <c r="Q12" s="0" t="n">
        <v>4777</v>
      </c>
      <c r="R12" s="0" t="n">
        <v>1851</v>
      </c>
      <c r="S12" s="0" t="n">
        <v>2134</v>
      </c>
      <c r="T12" s="0" t="n">
        <v>4486</v>
      </c>
      <c r="U12" s="0" t="n">
        <v>20</v>
      </c>
      <c r="W12" s="0" t="n">
        <v>2462</v>
      </c>
      <c r="AA12" s="0" t="s">
        <v>18</v>
      </c>
      <c r="AB12" s="0" t="s">
        <v>14</v>
      </c>
      <c r="AC12" s="0" t="n">
        <v>0.242</v>
      </c>
      <c r="AD12" s="0" t="n">
        <v>0.241</v>
      </c>
      <c r="AE12" s="0" t="n">
        <v>110</v>
      </c>
      <c r="AF12" s="0" t="n">
        <v>1059</v>
      </c>
      <c r="AG12" s="0" t="n">
        <v>89</v>
      </c>
      <c r="AH12" s="0" t="n">
        <v>5</v>
      </c>
      <c r="AI12" s="0" t="n">
        <v>1717</v>
      </c>
      <c r="AJ12" s="0" t="n">
        <v>2462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4.94</v>
      </c>
    </row>
    <row r="3" customFormat="false" ht="15" hidden="false" customHeight="false" outlineLevel="0" collapsed="false">
      <c r="A3" s="0" t="s">
        <v>86</v>
      </c>
      <c r="B3" s="3" t="n">
        <v>4500</v>
      </c>
    </row>
    <row r="4" customFormat="false" ht="15" hidden="false" customHeight="false" outlineLevel="0" collapsed="false">
      <c r="A4" s="0" t="s">
        <v>87</v>
      </c>
      <c r="B4" s="3" t="n">
        <v>-1031</v>
      </c>
    </row>
    <row r="5" customFormat="false" ht="15" hidden="false" customHeight="false" outlineLevel="0" collapsed="false">
      <c r="A5" s="0" t="s">
        <v>88</v>
      </c>
      <c r="B5" s="3" t="n">
        <v>3674</v>
      </c>
    </row>
    <row r="6" customFormat="false" ht="15" hidden="false" customHeight="false" outlineLevel="0" collapsed="false">
      <c r="A6" s="0" t="s">
        <v>89</v>
      </c>
      <c r="B6" s="3" t="n">
        <v>15</v>
      </c>
    </row>
    <row r="7" customFormat="false" ht="15" hidden="false" customHeight="false" outlineLevel="0" collapsed="false">
      <c r="A7" s="0" t="s">
        <v>90</v>
      </c>
      <c r="B7" s="3" t="n">
        <v>3045</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1.4253</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-6.4</v>
      </c>
      <c r="D13" s="3" t="n">
        <v>-18.3</v>
      </c>
      <c r="E13" s="3" t="n">
        <v>2</v>
      </c>
      <c r="F13" s="3" t="n">
        <v>12.6</v>
      </c>
      <c r="G13" s="3" t="n">
        <v>14.8</v>
      </c>
      <c r="H13" s="3" t="n">
        <v>11.4</v>
      </c>
      <c r="I13" s="3" t="n">
        <v>11</v>
      </c>
      <c r="J13" s="3" t="n">
        <v>-20</v>
      </c>
      <c r="K13" s="3" t="n">
        <v>2</v>
      </c>
      <c r="L13" s="3" t="n">
        <v>2</v>
      </c>
    </row>
    <row r="14" customFormat="false" ht="15" hidden="false" customHeight="false" outlineLevel="0" collapsed="false">
      <c r="A14" s="0" t="s">
        <v>107</v>
      </c>
      <c r="C14" s="3" t="n">
        <v>33</v>
      </c>
      <c r="D14" s="3" t="n">
        <v>25</v>
      </c>
      <c r="E14" s="3" t="n">
        <v>25</v>
      </c>
      <c r="F14" s="3" t="n">
        <v>27</v>
      </c>
      <c r="G14" s="3" t="n">
        <v>29.5</v>
      </c>
      <c r="H14" s="3" t="n">
        <v>30</v>
      </c>
      <c r="I14" s="3" t="n">
        <v>33</v>
      </c>
      <c r="J14" s="3" t="n">
        <v>32.5</v>
      </c>
      <c r="K14" s="3" t="n">
        <v>32.5</v>
      </c>
      <c r="L14" s="3" t="n">
        <v>32.5</v>
      </c>
    </row>
    <row r="15" customFormat="false" ht="15" hidden="false" customHeight="false" outlineLevel="0" collapsed="false">
      <c r="A15" s="0" t="s">
        <v>108</v>
      </c>
      <c r="C15" s="3" t="n">
        <v>0.6</v>
      </c>
      <c r="D15" s="3" t="n">
        <v>0.6</v>
      </c>
      <c r="E15" s="3" t="n">
        <v>0.6</v>
      </c>
      <c r="F15" s="3" t="n">
        <v>0.6</v>
      </c>
      <c r="G15" s="3" t="n">
        <v>0.6</v>
      </c>
      <c r="H15" s="3" t="n">
        <v>0.6</v>
      </c>
      <c r="I15" s="3" t="n">
        <v>0.6</v>
      </c>
      <c r="J15" s="3" t="n">
        <v>0.6</v>
      </c>
      <c r="K15" s="3" t="n">
        <v>0.6</v>
      </c>
      <c r="L15" s="3" t="n">
        <v>0.6</v>
      </c>
    </row>
    <row r="16" customFormat="false" ht="15" hidden="false" customHeight="false" outlineLevel="0" collapsed="false">
      <c r="A16" s="0" t="s">
        <v>109</v>
      </c>
      <c r="C16" s="3" t="n">
        <v>3.2</v>
      </c>
      <c r="D16" s="3" t="n">
        <v>3.2</v>
      </c>
      <c r="E16" s="3" t="n">
        <v>3.2</v>
      </c>
      <c r="F16" s="3" t="n">
        <v>3.2</v>
      </c>
      <c r="G16" s="3" t="n">
        <v>3.2</v>
      </c>
      <c r="H16" s="3" t="n">
        <v>3.2</v>
      </c>
      <c r="I16" s="3" t="n">
        <v>3.2</v>
      </c>
      <c r="J16" s="3" t="n">
        <v>3.2</v>
      </c>
      <c r="K16" s="3" t="n">
        <v>3.2</v>
      </c>
      <c r="L16" s="3" t="n">
        <v>3.2</v>
      </c>
    </row>
    <row r="17" customFormat="false" ht="15" hidden="false" customHeight="false" outlineLevel="0" collapsed="false">
      <c r="A17" s="0" t="s">
        <v>110</v>
      </c>
      <c r="C17" s="3" t="n">
        <v>15.8</v>
      </c>
      <c r="D17" s="3" t="n">
        <v>19</v>
      </c>
      <c r="E17" s="3" t="n">
        <v>19</v>
      </c>
      <c r="F17" s="3" t="n">
        <v>18</v>
      </c>
      <c r="G17" s="3" t="n">
        <v>17</v>
      </c>
      <c r="H17" s="3" t="n">
        <v>17</v>
      </c>
      <c r="I17" s="3" t="n">
        <v>17</v>
      </c>
      <c r="J17" s="3" t="n">
        <v>17</v>
      </c>
      <c r="K17" s="3" t="n">
        <v>17</v>
      </c>
      <c r="L17" s="3" t="n">
        <v>17</v>
      </c>
    </row>
    <row r="18" customFormat="false" ht="15" hidden="false" customHeight="false" outlineLevel="0" collapsed="false">
      <c r="A18" s="0" t="s">
        <v>111</v>
      </c>
      <c r="C18" s="3" t="n">
        <v>55.4</v>
      </c>
      <c r="D18" s="3" t="n">
        <v>59.3</v>
      </c>
      <c r="E18" s="3" t="n">
        <v>41.3</v>
      </c>
      <c r="F18" s="3" t="n">
        <v>28</v>
      </c>
      <c r="G18" s="3" t="n">
        <v>23.8</v>
      </c>
      <c r="H18" s="3" t="n">
        <v>20.8</v>
      </c>
      <c r="I18" s="3" t="n">
        <v>16.3</v>
      </c>
      <c r="J18" s="3" t="n">
        <v>17.8</v>
      </c>
      <c r="K18" s="3" t="n">
        <v>17</v>
      </c>
      <c r="L18" s="3" t="n">
        <v>17</v>
      </c>
    </row>
    <row r="19" customFormat="false" ht="15" hidden="false" customHeight="false" outlineLevel="0" collapsed="false">
      <c r="A19" s="0" t="s">
        <v>112</v>
      </c>
      <c r="C19" s="3" t="n">
        <v>32</v>
      </c>
      <c r="D19" s="3" t="n">
        <v>30</v>
      </c>
      <c r="E19" s="3" t="n">
        <v>28</v>
      </c>
      <c r="F19" s="3" t="n">
        <v>26</v>
      </c>
      <c r="G19" s="3" t="n">
        <v>28</v>
      </c>
      <c r="H19" s="3" t="n">
        <v>30</v>
      </c>
      <c r="I19" s="3" t="n">
        <v>33</v>
      </c>
      <c r="J19" s="3" t="n">
        <v>33</v>
      </c>
      <c r="K19" s="3" t="n">
        <v>33</v>
      </c>
      <c r="L19" s="3" t="n">
        <v>33</v>
      </c>
    </row>
    <row r="20" customFormat="false" ht="15" hidden="false" customHeight="false" outlineLevel="0" collapsed="false">
      <c r="A20" s="0" t="s">
        <v>113</v>
      </c>
      <c r="B20" s="3" t="n">
        <v>10</v>
      </c>
    </row>
    <row r="21" customFormat="false" ht="15" hidden="false" customHeight="false" outlineLevel="0" collapsed="false">
      <c r="A21" s="0" t="s">
        <v>114</v>
      </c>
      <c r="B21" s="3" t="n">
        <v>1.5</v>
      </c>
    </row>
    <row r="22" customFormat="false" ht="15" hidden="false" customHeight="false" outlineLevel="0" collapsed="false">
      <c r="A22" s="0" t="s">
        <v>115</v>
      </c>
      <c r="B22" s="3" t="n">
        <v>10</v>
      </c>
    </row>
    <row r="23" customFormat="false" ht="15" hidden="false" customHeight="false" outlineLevel="0" collapsed="false">
      <c r="A23" s="0" t="s">
        <v>116</v>
      </c>
      <c r="B23" s="3" t="n">
        <v>-10</v>
      </c>
    </row>
    <row r="24" customFormat="false" ht="15" hidden="false" customHeight="false" outlineLevel="0" collapsed="false">
      <c r="A24" s="0" t="s">
        <v>117</v>
      </c>
      <c r="B24" s="3" t="n">
        <v>0.3</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0.2</v>
      </c>
      <c r="D27" s="3" t="n">
        <v>-9.5</v>
      </c>
      <c r="E27" s="3" t="n">
        <v>10.9</v>
      </c>
      <c r="F27" s="3" t="n">
        <v>11.4</v>
      </c>
      <c r="G27" s="3" t="n">
        <v>17.3</v>
      </c>
      <c r="H27" s="3" t="n">
        <v>2.5</v>
      </c>
      <c r="I27" s="3" t="n">
        <v>2.5</v>
      </c>
      <c r="J27" s="3" t="n">
        <v>2.5</v>
      </c>
      <c r="K27" s="3" t="n">
        <v>2.5</v>
      </c>
      <c r="L27" s="3" t="n">
        <v>2.5</v>
      </c>
    </row>
    <row r="28" customFormat="false" ht="15" hidden="false" customHeight="false" outlineLevel="0" collapsed="false">
      <c r="A28" s="0" t="s">
        <v>107</v>
      </c>
      <c r="C28" s="3" t="n">
        <v>40.5</v>
      </c>
      <c r="D28" s="3" t="n">
        <v>35</v>
      </c>
      <c r="E28" s="3" t="n">
        <v>37</v>
      </c>
      <c r="F28" s="3" t="n">
        <v>39.5</v>
      </c>
      <c r="G28" s="3" t="n">
        <v>43.5</v>
      </c>
      <c r="H28" s="3" t="n">
        <v>43.5</v>
      </c>
      <c r="I28" s="3" t="n">
        <v>43.5</v>
      </c>
      <c r="J28" s="3" t="n">
        <v>43.5</v>
      </c>
      <c r="K28" s="3" t="n">
        <v>43.5</v>
      </c>
      <c r="L28" s="3" t="n">
        <v>43.5</v>
      </c>
    </row>
    <row r="29" customFormat="false" ht="15" hidden="false" customHeight="false" outlineLevel="0" collapsed="false">
      <c r="A29" s="0" t="s">
        <v>108</v>
      </c>
      <c r="C29" s="3" t="n">
        <v>0.6</v>
      </c>
      <c r="D29" s="3" t="n">
        <v>0.6</v>
      </c>
      <c r="E29" s="3" t="n">
        <v>0.6</v>
      </c>
      <c r="F29" s="3" t="n">
        <v>0.6</v>
      </c>
      <c r="G29" s="3" t="n">
        <v>0.6</v>
      </c>
      <c r="H29" s="3" t="n">
        <v>0.6</v>
      </c>
      <c r="I29" s="3" t="n">
        <v>0.6</v>
      </c>
      <c r="J29" s="3" t="n">
        <v>0.6</v>
      </c>
      <c r="K29" s="3" t="n">
        <v>0.6</v>
      </c>
      <c r="L29" s="3" t="n">
        <v>0.6</v>
      </c>
    </row>
    <row r="30" customFormat="false" ht="15" hidden="false" customHeight="false" outlineLevel="0" collapsed="false">
      <c r="A30" s="0" t="s">
        <v>109</v>
      </c>
      <c r="C30" s="3" t="n">
        <v>3</v>
      </c>
      <c r="D30" s="3" t="n">
        <v>3</v>
      </c>
      <c r="E30" s="3" t="n">
        <v>3</v>
      </c>
      <c r="F30" s="3" t="n">
        <v>3</v>
      </c>
      <c r="G30" s="3" t="n">
        <v>3</v>
      </c>
      <c r="H30" s="3" t="n">
        <v>3</v>
      </c>
      <c r="I30" s="3" t="n">
        <v>3</v>
      </c>
      <c r="J30" s="3" t="n">
        <v>3</v>
      </c>
      <c r="K30" s="3" t="n">
        <v>3</v>
      </c>
      <c r="L30" s="3" t="n">
        <v>3</v>
      </c>
    </row>
    <row r="31" customFormat="false" ht="15" hidden="false" customHeight="false" outlineLevel="0" collapsed="false">
      <c r="A31" s="0" t="s">
        <v>110</v>
      </c>
      <c r="C31" s="3" t="n">
        <v>14.8</v>
      </c>
      <c r="D31" s="3" t="n">
        <v>16.5</v>
      </c>
      <c r="E31" s="3" t="n">
        <v>16</v>
      </c>
      <c r="F31" s="3" t="n">
        <v>15.8</v>
      </c>
      <c r="G31" s="3" t="n">
        <v>15.8</v>
      </c>
      <c r="H31" s="3" t="n">
        <v>15.5</v>
      </c>
      <c r="I31" s="3" t="n">
        <v>15.5</v>
      </c>
      <c r="J31" s="3" t="n">
        <v>15.5</v>
      </c>
      <c r="K31" s="3" t="n">
        <v>15.5</v>
      </c>
      <c r="L31" s="3" t="n">
        <v>15.5</v>
      </c>
    </row>
    <row r="32" customFormat="false" ht="15" hidden="false" customHeight="false" outlineLevel="0" collapsed="false">
      <c r="A32" s="0" t="s">
        <v>111</v>
      </c>
      <c r="C32" s="3" t="n">
        <v>51.8</v>
      </c>
      <c r="D32" s="3" t="n">
        <v>40.9</v>
      </c>
      <c r="E32" s="3" t="n">
        <v>24.5</v>
      </c>
      <c r="F32" s="3" t="n">
        <v>20.2</v>
      </c>
      <c r="G32" s="3" t="n">
        <v>15.5</v>
      </c>
      <c r="H32" s="3" t="n">
        <v>15.5</v>
      </c>
      <c r="I32" s="3" t="n">
        <v>15.5</v>
      </c>
      <c r="J32" s="3" t="n">
        <v>15.5</v>
      </c>
      <c r="K32" s="3" t="n">
        <v>15.5</v>
      </c>
      <c r="L32" s="3" t="n">
        <v>15.5</v>
      </c>
    </row>
    <row r="33" customFormat="false" ht="15" hidden="false" customHeight="false" outlineLevel="0" collapsed="false">
      <c r="A33" s="0" t="s">
        <v>112</v>
      </c>
      <c r="C33" s="3" t="n">
        <v>32</v>
      </c>
      <c r="D33" s="3" t="n">
        <v>32</v>
      </c>
      <c r="E33" s="3" t="n">
        <v>30</v>
      </c>
      <c r="F33" s="3" t="n">
        <v>28</v>
      </c>
      <c r="G33" s="3" t="n">
        <v>30</v>
      </c>
      <c r="H33" s="3" t="n">
        <v>32</v>
      </c>
      <c r="I33" s="3" t="n">
        <v>33</v>
      </c>
      <c r="J33" s="3" t="n">
        <v>33</v>
      </c>
      <c r="K33" s="3" t="n">
        <v>33</v>
      </c>
      <c r="L33" s="3" t="n">
        <v>33</v>
      </c>
    </row>
    <row r="34" customFormat="false" ht="15" hidden="false" customHeight="false" outlineLevel="0" collapsed="false">
      <c r="A34" s="0" t="s">
        <v>113</v>
      </c>
      <c r="B34" s="3" t="n">
        <v>10</v>
      </c>
    </row>
    <row r="35" customFormat="false" ht="15" hidden="false" customHeight="false" outlineLevel="0" collapsed="false">
      <c r="A35" s="0" t="s">
        <v>114</v>
      </c>
      <c r="B35" s="3" t="n">
        <v>2</v>
      </c>
    </row>
    <row r="36" customFormat="false" ht="15" hidden="false" customHeight="false" outlineLevel="0" collapsed="false">
      <c r="A36" s="0" t="s">
        <v>115</v>
      </c>
      <c r="B36" s="3" t="n">
        <v>12</v>
      </c>
    </row>
    <row r="37" customFormat="false" ht="15" hidden="false" customHeight="false" outlineLevel="0" collapsed="false">
      <c r="A37" s="0" t="s">
        <v>116</v>
      </c>
      <c r="B37" s="3" t="n">
        <v>-10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11.1</v>
      </c>
      <c r="D41" s="3" t="n">
        <v>-5.4</v>
      </c>
      <c r="E41" s="3" t="n">
        <v>10.6</v>
      </c>
      <c r="F41" s="3" t="n">
        <v>11.3</v>
      </c>
      <c r="G41" s="3" t="n">
        <v>17.5</v>
      </c>
      <c r="H41" s="3" t="n">
        <v>3</v>
      </c>
      <c r="I41" s="3" t="n">
        <v>3</v>
      </c>
      <c r="J41" s="3" t="n">
        <v>3</v>
      </c>
      <c r="K41" s="3" t="n">
        <v>3</v>
      </c>
      <c r="L41" s="3" t="n">
        <v>3</v>
      </c>
    </row>
    <row r="42" customFormat="false" ht="15" hidden="false" customHeight="false" outlineLevel="0" collapsed="false">
      <c r="A42" s="0" t="s">
        <v>107</v>
      </c>
      <c r="C42" s="3" t="n">
        <v>45</v>
      </c>
      <c r="D42" s="3" t="n">
        <v>40</v>
      </c>
      <c r="E42" s="3" t="n">
        <v>41</v>
      </c>
      <c r="F42" s="3" t="n">
        <v>43</v>
      </c>
      <c r="G42" s="3" t="n">
        <v>47</v>
      </c>
      <c r="H42" s="3" t="n">
        <v>47</v>
      </c>
      <c r="I42" s="3" t="n">
        <v>47</v>
      </c>
      <c r="J42" s="3" t="n">
        <v>47</v>
      </c>
      <c r="K42" s="3" t="n">
        <v>47</v>
      </c>
      <c r="L42" s="3" t="n">
        <v>47</v>
      </c>
    </row>
    <row r="43" customFormat="false" ht="15" hidden="false" customHeight="false" outlineLevel="0" collapsed="false">
      <c r="A43" s="0" t="s">
        <v>108</v>
      </c>
      <c r="C43" s="3" t="n">
        <v>0.6</v>
      </c>
      <c r="D43" s="3" t="n">
        <v>0.6</v>
      </c>
      <c r="E43" s="3" t="n">
        <v>0.6</v>
      </c>
      <c r="F43" s="3" t="n">
        <v>0.6</v>
      </c>
      <c r="G43" s="3" t="n">
        <v>0.6</v>
      </c>
      <c r="H43" s="3" t="n">
        <v>0.6</v>
      </c>
      <c r="I43" s="3" t="n">
        <v>0.6</v>
      </c>
      <c r="J43" s="3" t="n">
        <v>0.6</v>
      </c>
      <c r="K43" s="3" t="n">
        <v>0.6</v>
      </c>
      <c r="L43" s="3" t="n">
        <v>0.6</v>
      </c>
    </row>
    <row r="44" customFormat="false" ht="15" hidden="false" customHeight="false" outlineLevel="0" collapsed="false">
      <c r="A44" s="0" t="s">
        <v>109</v>
      </c>
      <c r="C44" s="3" t="n">
        <v>2.8</v>
      </c>
      <c r="D44" s="3" t="n">
        <v>2.8</v>
      </c>
      <c r="E44" s="3" t="n">
        <v>2.8</v>
      </c>
      <c r="F44" s="3" t="n">
        <v>2.8</v>
      </c>
      <c r="G44" s="3" t="n">
        <v>2.8</v>
      </c>
      <c r="H44" s="3" t="n">
        <v>2.8</v>
      </c>
      <c r="I44" s="3" t="n">
        <v>2.8</v>
      </c>
      <c r="J44" s="3" t="n">
        <v>2.8</v>
      </c>
      <c r="K44" s="3" t="n">
        <v>2.8</v>
      </c>
      <c r="L44" s="3" t="n">
        <v>2.8</v>
      </c>
    </row>
    <row r="45" customFormat="false" ht="15" hidden="false" customHeight="false" outlineLevel="0" collapsed="false">
      <c r="A45" s="0" t="s">
        <v>110</v>
      </c>
      <c r="C45" s="3" t="n">
        <v>13.3</v>
      </c>
      <c r="D45" s="3" t="n">
        <v>14.2</v>
      </c>
      <c r="E45" s="3" t="n">
        <v>13.8</v>
      </c>
      <c r="F45" s="3" t="n">
        <v>13.7</v>
      </c>
      <c r="G45" s="3" t="n">
        <v>13.6</v>
      </c>
      <c r="H45" s="3" t="n">
        <v>13.5</v>
      </c>
      <c r="I45" s="3" t="n">
        <v>13.5</v>
      </c>
      <c r="J45" s="3" t="n">
        <v>13.5</v>
      </c>
      <c r="K45" s="3" t="n">
        <v>13.5</v>
      </c>
      <c r="L45" s="3" t="n">
        <v>13.5</v>
      </c>
    </row>
    <row r="46" customFormat="false" ht="15" hidden="false" customHeight="false" outlineLevel="0" collapsed="false">
      <c r="A46" s="0" t="s">
        <v>111</v>
      </c>
      <c r="C46" s="3" t="n">
        <v>46.7</v>
      </c>
      <c r="D46" s="3" t="n">
        <v>35.3</v>
      </c>
      <c r="E46" s="3" t="n">
        <v>21.2</v>
      </c>
      <c r="F46" s="3" t="n">
        <v>17.5</v>
      </c>
      <c r="G46" s="3" t="n">
        <v>13.8</v>
      </c>
      <c r="H46" s="3" t="n">
        <v>14</v>
      </c>
      <c r="I46" s="3" t="n">
        <v>14</v>
      </c>
      <c r="J46" s="3" t="n">
        <v>14</v>
      </c>
      <c r="K46" s="3" t="n">
        <v>14</v>
      </c>
      <c r="L46" s="3" t="n">
        <v>14</v>
      </c>
    </row>
    <row r="47" customFormat="false" ht="15" hidden="false" customHeight="false" outlineLevel="0" collapsed="false">
      <c r="A47" s="0" t="s">
        <v>112</v>
      </c>
      <c r="C47" s="3" t="n">
        <v>32</v>
      </c>
      <c r="D47" s="3" t="n">
        <v>32</v>
      </c>
      <c r="E47" s="3" t="n">
        <v>30</v>
      </c>
      <c r="F47" s="3" t="n">
        <v>28</v>
      </c>
      <c r="G47" s="3" t="n">
        <v>30</v>
      </c>
      <c r="H47" s="3" t="n">
        <v>32</v>
      </c>
      <c r="I47" s="3" t="n">
        <v>33</v>
      </c>
      <c r="J47" s="3" t="n">
        <v>33</v>
      </c>
      <c r="K47" s="3" t="n">
        <v>33</v>
      </c>
      <c r="L47" s="3" t="n">
        <v>33</v>
      </c>
    </row>
    <row r="48" customFormat="false" ht="15" hidden="false" customHeight="false" outlineLevel="0" collapsed="false">
      <c r="A48" s="0" t="s">
        <v>113</v>
      </c>
      <c r="B48" s="3" t="n">
        <v>10</v>
      </c>
    </row>
    <row r="49" customFormat="false" ht="15" hidden="false" customHeight="false" outlineLevel="0" collapsed="false">
      <c r="A49" s="0" t="s">
        <v>114</v>
      </c>
      <c r="B49" s="3" t="n">
        <v>2.5</v>
      </c>
    </row>
    <row r="50" customFormat="false" ht="15" hidden="false" customHeight="false" outlineLevel="0" collapsed="false">
      <c r="A50" s="0" t="s">
        <v>115</v>
      </c>
      <c r="B50" s="3" t="n">
        <v>14</v>
      </c>
    </row>
    <row r="51" customFormat="false" ht="15" hidden="false" customHeight="false" outlineLevel="0" collapsed="false">
      <c r="A51" s="0" t="s">
        <v>116</v>
      </c>
      <c r="B51" s="3" t="n">
        <v>-10</v>
      </c>
    </row>
    <row r="52" customFormat="false" ht="15" hidden="false" customHeight="false" outlineLevel="0" collapsed="false">
      <c r="A52" s="0" t="s">
        <v>117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-6.4</v>
      </c>
      <c r="D5" s="4" t="n">
        <f aca="false">Assumptions!D13</f>
        <v>-18.3</v>
      </c>
      <c r="E5" s="4" t="n">
        <f aca="false">Assumptions!E13</f>
        <v>2</v>
      </c>
      <c r="F5" s="4" t="n">
        <f aca="false">Assumptions!F13</f>
        <v>12.6</v>
      </c>
      <c r="G5" s="4" t="n">
        <f aca="false">Assumptions!G13</f>
        <v>14.8</v>
      </c>
      <c r="H5" s="4" t="n">
        <f aca="false">Assumptions!H13</f>
        <v>11.4</v>
      </c>
      <c r="I5" s="4" t="n">
        <f aca="false">Assumptions!I13</f>
        <v>11</v>
      </c>
      <c r="J5" s="4" t="n">
        <f aca="false">Assumptions!J13</f>
        <v>-20</v>
      </c>
      <c r="K5" s="4" t="n">
        <f aca="false">Assumptions!K13</f>
        <v>2</v>
      </c>
      <c r="L5" s="4" t="n">
        <f aca="false">Assumptions!L13</f>
        <v>2</v>
      </c>
    </row>
    <row r="6" customFormat="false" ht="15" hidden="false" customHeight="false" outlineLevel="0" collapsed="false">
      <c r="A6" s="0" t="s">
        <v>38</v>
      </c>
      <c r="B6" s="3" t="n">
        <v>3045</v>
      </c>
      <c r="C6" s="0" t="n">
        <f aca="false">B6*(1+C5/100)</f>
        <v>2850.12</v>
      </c>
      <c r="D6" s="0" t="n">
        <f aca="false">C6*(1+D5/100)</f>
        <v>2328.54804</v>
      </c>
      <c r="E6" s="0" t="n">
        <f aca="false">D6*(1+E5/100)</f>
        <v>2375.1190008</v>
      </c>
      <c r="F6" s="0" t="n">
        <f aca="false">E6*(1+F5/100)</f>
        <v>2674.3839949008</v>
      </c>
      <c r="G6" s="0" t="n">
        <f aca="false">F6*(1+G5/100)</f>
        <v>3070.19282614612</v>
      </c>
      <c r="H6" s="0" t="n">
        <f aca="false">G6*(1+H5/100)</f>
        <v>3420.19480832678</v>
      </c>
      <c r="I6" s="0" t="n">
        <f aca="false">H6*(1+I5/100)</f>
        <v>3796.41623724272</v>
      </c>
      <c r="J6" s="0" t="n">
        <f aca="false">I6*(1+J5/100)</f>
        <v>3037.13298979418</v>
      </c>
      <c r="K6" s="0" t="n">
        <f aca="false">J6*(1+K5/100)</f>
        <v>3097.87564959006</v>
      </c>
      <c r="L6" s="0" t="n">
        <f aca="false">K6*(1+L5/100)</f>
        <v>3159.83316258186</v>
      </c>
    </row>
    <row r="7" customFormat="false" ht="15" hidden="false" customHeight="false" outlineLevel="0" collapsed="false">
      <c r="A7" s="0" t="s">
        <v>107</v>
      </c>
      <c r="C7" s="4" t="n">
        <f aca="false">Assumptions!C14</f>
        <v>33</v>
      </c>
      <c r="D7" s="4" t="n">
        <f aca="false">Assumptions!D14</f>
        <v>25</v>
      </c>
      <c r="E7" s="4" t="n">
        <f aca="false">Assumptions!E14</f>
        <v>25</v>
      </c>
      <c r="F7" s="4" t="n">
        <f aca="false">Assumptions!F14</f>
        <v>27</v>
      </c>
      <c r="G7" s="4" t="n">
        <f aca="false">Assumptions!G14</f>
        <v>29.5</v>
      </c>
      <c r="H7" s="4" t="n">
        <f aca="false">Assumptions!H14</f>
        <v>30</v>
      </c>
      <c r="I7" s="4" t="n">
        <f aca="false">Assumptions!I14</f>
        <v>33</v>
      </c>
      <c r="J7" s="4" t="n">
        <f aca="false">Assumptions!J14</f>
        <v>32.5</v>
      </c>
      <c r="K7" s="4" t="n">
        <f aca="false">Assumptions!K14</f>
        <v>32.5</v>
      </c>
      <c r="L7" s="4" t="n">
        <f aca="false">Assumptions!L14</f>
        <v>32.5</v>
      </c>
    </row>
    <row r="8" customFormat="false" ht="15" hidden="false" customHeight="false" outlineLevel="0" collapsed="false">
      <c r="A8" s="0" t="s">
        <v>44</v>
      </c>
      <c r="C8" s="0" t="n">
        <f aca="false">C6*C7/100</f>
        <v>940.5396</v>
      </c>
      <c r="D8" s="0" t="n">
        <f aca="false">D6*D7/100</f>
        <v>582.13701</v>
      </c>
      <c r="E8" s="0" t="n">
        <f aca="false">E6*E7/100</f>
        <v>593.7797502</v>
      </c>
      <c r="F8" s="0" t="n">
        <f aca="false">F6*F7/100</f>
        <v>722.083678623216</v>
      </c>
      <c r="G8" s="0" t="n">
        <f aca="false">G6*G7/100</f>
        <v>905.706883713105</v>
      </c>
      <c r="H8" s="0" t="n">
        <f aca="false">H6*H7/100</f>
        <v>1026.05844249803</v>
      </c>
      <c r="I8" s="0" t="n">
        <f aca="false">I6*I7/100</f>
        <v>1252.8173582901</v>
      </c>
      <c r="J8" s="0" t="n">
        <f aca="false">J6*J7/100</f>
        <v>987.068221683108</v>
      </c>
      <c r="K8" s="0" t="n">
        <f aca="false">K6*K7/100</f>
        <v>1006.80958611677</v>
      </c>
      <c r="L8" s="0" t="n">
        <f aca="false">L6*L7/100</f>
        <v>1026.94577783911</v>
      </c>
    </row>
    <row r="9" customFormat="false" ht="15" hidden="false" customHeight="false" outlineLevel="0" collapsed="false">
      <c r="A9" s="0" t="s">
        <v>108</v>
      </c>
      <c r="C9" s="4" t="n">
        <f aca="false">Assumptions!C15</f>
        <v>0.6</v>
      </c>
      <c r="D9" s="4" t="n">
        <f aca="false">Assumptions!D15</f>
        <v>0.6</v>
      </c>
      <c r="E9" s="4" t="n">
        <f aca="false">Assumptions!E15</f>
        <v>0.6</v>
      </c>
      <c r="F9" s="4" t="n">
        <f aca="false">Assumptions!F15</f>
        <v>0.6</v>
      </c>
      <c r="G9" s="4" t="n">
        <f aca="false">Assumptions!G15</f>
        <v>0.6</v>
      </c>
      <c r="H9" s="4" t="n">
        <f aca="false">Assumptions!H15</f>
        <v>0.6</v>
      </c>
      <c r="I9" s="4" t="n">
        <f aca="false">Assumptions!I15</f>
        <v>0.6</v>
      </c>
      <c r="J9" s="4" t="n">
        <f aca="false">Assumptions!J15</f>
        <v>0.6</v>
      </c>
      <c r="K9" s="4" t="n">
        <f aca="false">Assumptions!K15</f>
        <v>0.6</v>
      </c>
      <c r="L9" s="4" t="n">
        <f aca="false">Assumptions!L15</f>
        <v>0.6</v>
      </c>
    </row>
    <row r="10" customFormat="false" ht="15" hidden="false" customHeight="false" outlineLevel="0" collapsed="false">
      <c r="A10" s="0" t="s">
        <v>123</v>
      </c>
      <c r="C10" s="0" t="n">
        <f aca="false">-C6*C9/100</f>
        <v>-17.10072</v>
      </c>
      <c r="D10" s="0" t="n">
        <f aca="false">-D6*D9/100</f>
        <v>-13.97128824</v>
      </c>
      <c r="E10" s="0" t="n">
        <f aca="false">-E6*E9/100</f>
        <v>-14.2507140048</v>
      </c>
      <c r="F10" s="0" t="n">
        <f aca="false">-F6*F9/100</f>
        <v>-16.0463039694048</v>
      </c>
      <c r="G10" s="0" t="n">
        <f aca="false">-G6*G9/100</f>
        <v>-18.4211569568767</v>
      </c>
      <c r="H10" s="0" t="n">
        <f aca="false">-H6*H9/100</f>
        <v>-20.5211688499607</v>
      </c>
      <c r="I10" s="0" t="n">
        <f aca="false">-I6*I9/100</f>
        <v>-22.7784974234563</v>
      </c>
      <c r="J10" s="0" t="n">
        <f aca="false">-J6*J9/100</f>
        <v>-18.2227979387651</v>
      </c>
      <c r="K10" s="0" t="n">
        <f aca="false">-K6*K9/100</f>
        <v>-18.5872538975404</v>
      </c>
      <c r="L10" s="0" t="n">
        <f aca="false">-L6*L9/100</f>
        <v>-18.9589989754912</v>
      </c>
    </row>
    <row r="11" customFormat="false" ht="15" hidden="false" customHeight="false" outlineLevel="0" collapsed="false">
      <c r="A11" s="0" t="s">
        <v>124</v>
      </c>
      <c r="C11" s="0" t="n">
        <f aca="false">C8+C10+C24</f>
        <v>832.23504</v>
      </c>
      <c r="D11" s="0" t="n">
        <f aca="false">D8+D10+D24</f>
        <v>493.65218448</v>
      </c>
      <c r="E11" s="0" t="n">
        <f aca="false">E8+E10+E24</f>
        <v>503.5252281696</v>
      </c>
      <c r="F11" s="0" t="n">
        <f aca="false">F8+F10+F24</f>
        <v>620.457086816986</v>
      </c>
      <c r="G11" s="0" t="n">
        <f aca="false">G8+G10+G24</f>
        <v>789.039556319552</v>
      </c>
      <c r="H11" s="0" t="n">
        <f aca="false">H8+H10+H24</f>
        <v>896.091039781615</v>
      </c>
      <c r="I11" s="0" t="n">
        <f aca="false">I8+I10+I24</f>
        <v>1108.55354127487</v>
      </c>
      <c r="J11" s="0" t="n">
        <f aca="false">J8+J10+J24</f>
        <v>871.657168070929</v>
      </c>
      <c r="K11" s="0" t="n">
        <f aca="false">K8+K10+K24</f>
        <v>889.090311432348</v>
      </c>
      <c r="L11" s="0" t="n">
        <f aca="false">L8+L10+L24</f>
        <v>906.872117660995</v>
      </c>
    </row>
    <row r="12" customFormat="false" ht="15" hidden="false" customHeight="false" outlineLevel="0" collapsed="false">
      <c r="A12" s="0" t="s">
        <v>125</v>
      </c>
      <c r="C12" s="4" t="n">
        <f aca="false">-C6*Assumptions!C17/100</f>
        <v>-450.31896</v>
      </c>
      <c r="D12" s="4" t="n">
        <f aca="false">-D6*Assumptions!D17/100</f>
        <v>-442.4241276</v>
      </c>
      <c r="E12" s="4" t="n">
        <f aca="false">-E6*Assumptions!E17/100</f>
        <v>-451.272610152</v>
      </c>
      <c r="F12" s="4" t="n">
        <f aca="false">-F6*Assumptions!F17/100</f>
        <v>-481.389119082144</v>
      </c>
      <c r="G12" s="4" t="n">
        <f aca="false">-G6*Assumptions!G17/100</f>
        <v>-521.93278044484</v>
      </c>
      <c r="H12" s="4" t="n">
        <f aca="false">-H6*Assumptions!H17/100</f>
        <v>-581.433117415552</v>
      </c>
      <c r="I12" s="4" t="n">
        <f aca="false">-I6*Assumptions!I17/100</f>
        <v>-645.390760331263</v>
      </c>
      <c r="J12" s="4" t="n">
        <f aca="false">-J6*Assumptions!J17/100</f>
        <v>-516.31260826501</v>
      </c>
      <c r="K12" s="4" t="n">
        <f aca="false">-K6*Assumptions!K17/100</f>
        <v>-526.638860430311</v>
      </c>
      <c r="L12" s="4" t="n">
        <f aca="false">-L6*Assumptions!L17/100</f>
        <v>-537.171637638917</v>
      </c>
    </row>
    <row r="13" customFormat="false" ht="15" hidden="false" customHeight="false" outlineLevel="0" collapsed="false">
      <c r="A13" s="0" t="s">
        <v>126</v>
      </c>
      <c r="C13" s="0" t="n">
        <f aca="false">C11+C12</f>
        <v>381.91608</v>
      </c>
      <c r="D13" s="0" t="n">
        <f aca="false">D11+D12</f>
        <v>51.22805688</v>
      </c>
      <c r="E13" s="0" t="n">
        <f aca="false">E11+E12</f>
        <v>52.2526180176</v>
      </c>
      <c r="F13" s="0" t="n">
        <f aca="false">F11+F12</f>
        <v>139.067967734842</v>
      </c>
      <c r="G13" s="0" t="n">
        <f aca="false">G11+G12</f>
        <v>267.106775874712</v>
      </c>
      <c r="H13" s="0" t="n">
        <f aca="false">H11+H12</f>
        <v>314.657922366063</v>
      </c>
      <c r="I13" s="0" t="n">
        <f aca="false">I11+I12</f>
        <v>463.162780943612</v>
      </c>
      <c r="J13" s="0" t="n">
        <f aca="false">J11+J12</f>
        <v>355.344559805919</v>
      </c>
      <c r="K13" s="0" t="n">
        <f aca="false">K11+K12</f>
        <v>362.451451002037</v>
      </c>
      <c r="L13" s="0" t="n">
        <f aca="false">L11+L12</f>
        <v>369.700480022078</v>
      </c>
    </row>
    <row r="14" customFormat="false" ht="15" hidden="false" customHeight="false" outlineLevel="0" collapsed="false">
      <c r="A14" s="0" t="s">
        <v>112</v>
      </c>
      <c r="C14" s="4" t="n">
        <f aca="false">Assumptions!C19</f>
        <v>32</v>
      </c>
      <c r="D14" s="4" t="n">
        <f aca="false">Assumptions!D19</f>
        <v>30</v>
      </c>
      <c r="E14" s="4" t="n">
        <f aca="false">Assumptions!E19</f>
        <v>28</v>
      </c>
      <c r="F14" s="4" t="n">
        <f aca="false">Assumptions!F19</f>
        <v>26</v>
      </c>
      <c r="G14" s="4" t="n">
        <f aca="false">Assumptions!G19</f>
        <v>28</v>
      </c>
      <c r="H14" s="4" t="n">
        <f aca="false">Assumptions!H19</f>
        <v>30</v>
      </c>
      <c r="I14" s="4" t="n">
        <f aca="false">Assumptions!I19</f>
        <v>33</v>
      </c>
      <c r="J14" s="4" t="n">
        <f aca="false">Assumptions!J19</f>
        <v>33</v>
      </c>
      <c r="K14" s="4" t="n">
        <f aca="false">Assumptions!K19</f>
        <v>33</v>
      </c>
      <c r="L14" s="4" t="n">
        <f aca="false">Assumptions!L19</f>
        <v>33</v>
      </c>
    </row>
    <row r="15" customFormat="false" ht="15" hidden="false" customHeight="false" outlineLevel="0" collapsed="false">
      <c r="A15" s="0" t="s">
        <v>127</v>
      </c>
      <c r="C15" s="0" t="n">
        <f aca="false">C13-MAX(0,C13)*C14/100</f>
        <v>259.7029344</v>
      </c>
      <c r="D15" s="0" t="n">
        <f aca="false">D13-MAX(0,D13)*D14/100</f>
        <v>35.859639816</v>
      </c>
      <c r="E15" s="0" t="n">
        <f aca="false">E13-MAX(0,E13)*E14/100</f>
        <v>37.621884972672</v>
      </c>
      <c r="F15" s="0" t="n">
        <f aca="false">F13-MAX(0,F13)*F14/100</f>
        <v>102.910296123783</v>
      </c>
      <c r="G15" s="0" t="n">
        <f aca="false">G13-MAX(0,G13)*G14/100</f>
        <v>192.316878629793</v>
      </c>
      <c r="H15" s="0" t="n">
        <f aca="false">H13-MAX(0,H13)*H14/100</f>
        <v>220.260545656244</v>
      </c>
      <c r="I15" s="0" t="n">
        <f aca="false">I13-MAX(0,I13)*I14/100</f>
        <v>310.31906323222</v>
      </c>
      <c r="J15" s="0" t="n">
        <f aca="false">J13-MAX(0,J13)*J14/100</f>
        <v>238.080855069966</v>
      </c>
      <c r="K15" s="0" t="n">
        <f aca="false">K13-MAX(0,K13)*K14/100</f>
        <v>242.842472171365</v>
      </c>
      <c r="L15" s="0" t="n">
        <f aca="false">L13-MAX(0,L13)*L14/100</f>
        <v>247.699321614792</v>
      </c>
    </row>
    <row r="16" customFormat="false" ht="15" hidden="false" customHeight="false" outlineLevel="0" collapsed="false">
      <c r="A16" s="0" t="s">
        <v>128</v>
      </c>
      <c r="C16" s="0" t="n">
        <f aca="false">-C12</f>
        <v>450.31896</v>
      </c>
      <c r="D16" s="0" t="n">
        <f aca="false">-D12</f>
        <v>442.4241276</v>
      </c>
      <c r="E16" s="0" t="n">
        <f aca="false">-E12</f>
        <v>451.272610152</v>
      </c>
      <c r="F16" s="0" t="n">
        <f aca="false">-F12</f>
        <v>481.389119082144</v>
      </c>
      <c r="G16" s="0" t="n">
        <f aca="false">-G12</f>
        <v>521.93278044484</v>
      </c>
      <c r="H16" s="0" t="n">
        <f aca="false">-H12</f>
        <v>581.433117415552</v>
      </c>
      <c r="I16" s="0" t="n">
        <f aca="false">-I12</f>
        <v>645.390760331263</v>
      </c>
      <c r="J16" s="0" t="n">
        <f aca="false">-J12</f>
        <v>516.31260826501</v>
      </c>
      <c r="K16" s="0" t="n">
        <f aca="false">-K12</f>
        <v>526.638860430311</v>
      </c>
      <c r="L16" s="0" t="n">
        <f aca="false">-L12</f>
        <v>537.171637638917</v>
      </c>
    </row>
    <row r="17" customFormat="false" ht="15" hidden="false" customHeight="false" outlineLevel="0" collapsed="false">
      <c r="A17" s="0" t="s">
        <v>129</v>
      </c>
      <c r="C17" s="4" t="n">
        <f aca="false">-C6*Assumptions!C18/100</f>
        <v>-1578.96648</v>
      </c>
      <c r="D17" s="4" t="n">
        <f aca="false">-D6*Assumptions!D18/100</f>
        <v>-1380.82898772</v>
      </c>
      <c r="E17" s="4" t="n">
        <f aca="false">-E6*Assumptions!E18/100</f>
        <v>-980.9241473304</v>
      </c>
      <c r="F17" s="4" t="n">
        <f aca="false">-F6*Assumptions!F18/100</f>
        <v>-748.827518572224</v>
      </c>
      <c r="G17" s="4" t="n">
        <f aca="false">-G6*Assumptions!G18/100</f>
        <v>-730.705892622776</v>
      </c>
      <c r="H17" s="4" t="n">
        <f aca="false">-H6*Assumptions!H18/100</f>
        <v>-711.40052013197</v>
      </c>
      <c r="I17" s="4" t="n">
        <f aca="false">-I6*Assumptions!I18/100</f>
        <v>-618.815846670564</v>
      </c>
      <c r="J17" s="4" t="n">
        <f aca="false">-J6*Assumptions!J18/100</f>
        <v>-540.609672183364</v>
      </c>
      <c r="K17" s="4" t="n">
        <f aca="false">-K6*Assumptions!K18/100</f>
        <v>-526.638860430311</v>
      </c>
      <c r="L17" s="4" t="n">
        <f aca="false">-L6*Assumptions!L18/100</f>
        <v>-537.171637638917</v>
      </c>
    </row>
    <row r="18" customFormat="false" ht="15" hidden="false" customHeight="false" outlineLevel="0" collapsed="false">
      <c r="A18" s="0" t="s">
        <v>130</v>
      </c>
      <c r="C18" s="4" t="n">
        <f aca="false">(C6-B6)*Assumptions!$B$23/100</f>
        <v>19.488</v>
      </c>
      <c r="D18" s="4" t="n">
        <f aca="false">(D6-C6)*Assumptions!$B$23/100</f>
        <v>52.157196</v>
      </c>
      <c r="E18" s="4" t="n">
        <f aca="false">(E6-D6)*Assumptions!$B$23/100</f>
        <v>-4.65709608000002</v>
      </c>
      <c r="F18" s="4" t="n">
        <f aca="false">(F6-E6)*Assumptions!$B$23/100</f>
        <v>-29.92649941008</v>
      </c>
      <c r="G18" s="4" t="n">
        <f aca="false">(G6-F6)*Assumptions!$B$23/100</f>
        <v>-39.5808831245319</v>
      </c>
      <c r="H18" s="4" t="n">
        <f aca="false">(H6-G6)*Assumptions!$B$23/100</f>
        <v>-35.0001982180658</v>
      </c>
      <c r="I18" s="4" t="n">
        <f aca="false">(I6-H6)*Assumptions!$B$23/100</f>
        <v>-37.6221428915946</v>
      </c>
      <c r="J18" s="4" t="n">
        <f aca="false">(J6-I6)*Assumptions!$B$23/100</f>
        <v>75.9283247448544</v>
      </c>
      <c r="K18" s="4" t="n">
        <f aca="false">(K6-J6)*Assumptions!$B$23/100</f>
        <v>-6.07426597958838</v>
      </c>
      <c r="L18" s="4" t="n">
        <f aca="false">(L6-K6)*Assumptions!$B$23/100</f>
        <v>-6.19575129918012</v>
      </c>
    </row>
    <row r="19" customFormat="false" ht="15" hidden="false" customHeight="false" outlineLevel="0" collapsed="false">
      <c r="A19" s="0" t="s">
        <v>131</v>
      </c>
      <c r="C19" s="0" t="n">
        <f aca="false">C15+C16+C17+C18</f>
        <v>-849.4565856</v>
      </c>
      <c r="D19" s="0" t="n">
        <f aca="false">D15+D16+D17+D18</f>
        <v>-850.388024304</v>
      </c>
      <c r="E19" s="0" t="n">
        <f aca="false">E15+E16+E17+E18</f>
        <v>-496.686748285728</v>
      </c>
      <c r="F19" s="0" t="n">
        <f aca="false">F15+F16+F17+F18</f>
        <v>-194.454602776377</v>
      </c>
      <c r="G19" s="0" t="n">
        <f aca="false">G15+G16+G17+G18</f>
        <v>-56.037116672675</v>
      </c>
      <c r="H19" s="0" t="n">
        <f aca="false">H15+H16+H17+H18</f>
        <v>55.2929447217609</v>
      </c>
      <c r="I19" s="0" t="n">
        <f aca="false">I15+I16+I17+I18</f>
        <v>299.271834001324</v>
      </c>
      <c r="J19" s="0" t="n">
        <f aca="false">J15+J16+J17+J18</f>
        <v>289.712115896467</v>
      </c>
      <c r="K19" s="0" t="n">
        <f aca="false">K15+K16+K17+K18</f>
        <v>236.768206191777</v>
      </c>
      <c r="L19" s="0" t="n">
        <f aca="false">L15+L16+L17+L18</f>
        <v>241.503570315612</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-772.233259636363</v>
      </c>
      <c r="D21" s="0" t="n">
        <f aca="false">D19*D20</f>
        <v>-702.80002008595</v>
      </c>
      <c r="E21" s="0" t="n">
        <f aca="false">E19*E20</f>
        <v>-373.168105398744</v>
      </c>
      <c r="F21" s="0" t="n">
        <f aca="false">F19*F20</f>
        <v>-132.815110153936</v>
      </c>
      <c r="G21" s="0" t="n">
        <f aca="false">G19*G20</f>
        <v>-34.7946406248176</v>
      </c>
      <c r="H21" s="0" t="n">
        <f aca="false">H19*H20</f>
        <v>31.2114258113386</v>
      </c>
      <c r="I21" s="0" t="n">
        <f aca="false">I19*I20</f>
        <v>153.573771175572</v>
      </c>
      <c r="J21" s="0" t="n">
        <f aca="false">J19*J20</f>
        <v>135.152840201879</v>
      </c>
      <c r="K21" s="0" t="n">
        <f aca="false">K19*K20</f>
        <v>100.412832352258</v>
      </c>
      <c r="L21" s="0" t="n">
        <f aca="false">L19*L20</f>
        <v>93.1100809084572</v>
      </c>
    </row>
    <row r="23" customFormat="false" ht="15" hidden="false" customHeight="false" outlineLevel="0" collapsed="false">
      <c r="A23" s="0" t="s">
        <v>109</v>
      </c>
      <c r="C23" s="4" t="n">
        <f aca="false">Assumptions!C16</f>
        <v>3.2</v>
      </c>
      <c r="D23" s="4" t="n">
        <f aca="false">Assumptions!D16</f>
        <v>3.2</v>
      </c>
      <c r="E23" s="4" t="n">
        <f aca="false">Assumptions!E16</f>
        <v>3.2</v>
      </c>
      <c r="F23" s="4" t="n">
        <f aca="false">Assumptions!F16</f>
        <v>3.2</v>
      </c>
      <c r="G23" s="4" t="n">
        <f aca="false">Assumptions!G16</f>
        <v>3.2</v>
      </c>
      <c r="H23" s="4" t="n">
        <f aca="false">Assumptions!H16</f>
        <v>3.2</v>
      </c>
      <c r="I23" s="4" t="n">
        <f aca="false">Assumptions!I16</f>
        <v>3.2</v>
      </c>
      <c r="J23" s="4" t="n">
        <f aca="false">Assumptions!J16</f>
        <v>3.2</v>
      </c>
      <c r="K23" s="4" t="n">
        <f aca="false">Assumptions!K16</f>
        <v>3.2</v>
      </c>
      <c r="L23" s="4" t="n">
        <f aca="false">Assumptions!L16</f>
        <v>3.2</v>
      </c>
    </row>
    <row r="24" customFormat="false" ht="15" hidden="false" customHeight="false" outlineLevel="0" collapsed="false">
      <c r="A24" s="0" t="s">
        <v>134</v>
      </c>
      <c r="C24" s="0" t="n">
        <f aca="false">-C6*C23/100</f>
        <v>-91.20384</v>
      </c>
      <c r="D24" s="0" t="n">
        <f aca="false">-D6*D23/100</f>
        <v>-74.51353728</v>
      </c>
      <c r="E24" s="0" t="n">
        <f aca="false">-E6*E23/100</f>
        <v>-76.0038080256</v>
      </c>
      <c r="F24" s="0" t="n">
        <f aca="false">-F6*F23/100</f>
        <v>-85.5802878368256</v>
      </c>
      <c r="G24" s="0" t="n">
        <f aca="false">-G6*G23/100</f>
        <v>-98.2461704366758</v>
      </c>
      <c r="H24" s="0" t="n">
        <f aca="false">-H6*H23/100</f>
        <v>-109.446233866457</v>
      </c>
      <c r="I24" s="0" t="n">
        <f aca="false">-I6*I23/100</f>
        <v>-121.485319591767</v>
      </c>
      <c r="J24" s="0" t="n">
        <f aca="false">-J6*J23/100</f>
        <v>-97.1882556734137</v>
      </c>
      <c r="K24" s="0" t="n">
        <f aca="false">-K6*K23/100</f>
        <v>-99.132020786882</v>
      </c>
      <c r="L24" s="0" t="n">
        <f aca="false">-L6*L23/100</f>
        <v>-101.11466120262</v>
      </c>
    </row>
    <row r="26" customFormat="false" ht="15" hidden="false" customHeight="false" outlineLevel="0" collapsed="false">
      <c r="A26" s="2" t="s">
        <v>135</v>
      </c>
    </row>
    <row r="27" customFormat="false" ht="15" hidden="false" customHeight="false" outlineLevel="0" collapsed="false">
      <c r="A27" s="0" t="s">
        <v>113</v>
      </c>
      <c r="B27" s="4" t="n">
        <f aca="false">Assumptions!$B$20</f>
        <v>10</v>
      </c>
    </row>
    <row r="28" customFormat="false" ht="15" hidden="false" customHeight="false" outlineLevel="0" collapsed="false">
      <c r="A28" s="0" t="s">
        <v>114</v>
      </c>
      <c r="B28" s="4" t="n">
        <f aca="false">Assumptions!$B$21</f>
        <v>1.5</v>
      </c>
    </row>
    <row r="29" customFormat="false" ht="15" hidden="false" customHeight="false" outlineLevel="0" collapsed="false">
      <c r="A29" s="0" t="s">
        <v>115</v>
      </c>
      <c r="B29" s="4" t="n">
        <f aca="false">Assumptions!$B$22</f>
        <v>10</v>
      </c>
    </row>
    <row r="30" customFormat="false" ht="15" hidden="false" customHeight="false" outlineLevel="0" collapsed="false">
      <c r="A30" s="0" t="s">
        <v>136</v>
      </c>
      <c r="B30" s="0" t="n">
        <f aca="false">SUM(C21:L21)</f>
        <v>-1502.35018545031</v>
      </c>
    </row>
    <row r="31" customFormat="false" ht="15" hidden="false" customHeight="false" outlineLevel="0" collapsed="false">
      <c r="A31" s="0" t="s">
        <v>137</v>
      </c>
      <c r="B31" s="0" t="n">
        <f aca="false">L19</f>
        <v>241.503570315612</v>
      </c>
    </row>
    <row r="32" customFormat="false" ht="15" hidden="false" customHeight="false" outlineLevel="0" collapsed="false">
      <c r="A32" s="0" t="s">
        <v>138</v>
      </c>
      <c r="B32" s="0" t="n">
        <f aca="false">IF(B27&gt;B28,B31*(1+B28/100)/((B27-B28)/100),B31*B29)</f>
        <v>2883.83675141584</v>
      </c>
    </row>
    <row r="33" customFormat="false" ht="15" hidden="false" customHeight="false" outlineLevel="0" collapsed="false">
      <c r="A33" s="0" t="s">
        <v>139</v>
      </c>
      <c r="B33" s="0" t="n">
        <f aca="false">B31*B29</f>
        <v>2415.03570315612</v>
      </c>
    </row>
    <row r="34" customFormat="false" ht="15" hidden="false" customHeight="false" outlineLevel="0" collapsed="false">
      <c r="A34" s="0" t="s">
        <v>140</v>
      </c>
      <c r="B34" s="0" t="n">
        <f aca="false">MAX(0,MIN(B32,B33))</f>
        <v>2415.03570315612</v>
      </c>
    </row>
    <row r="35" customFormat="false" ht="15" hidden="false" customHeight="false" outlineLevel="0" collapsed="false">
      <c r="A35" s="0" t="s">
        <v>141</v>
      </c>
      <c r="B35" s="0" t="n">
        <f aca="false">B34/(1+B27/100)^L4</f>
        <v>931.100809084572</v>
      </c>
    </row>
    <row r="36" customFormat="false" ht="15" hidden="false" customHeight="false" outlineLevel="0" collapsed="false">
      <c r="A36" s="0" t="s">
        <v>142</v>
      </c>
      <c r="B36" s="0" t="n">
        <f aca="false">B30+B35</f>
        <v>-571.249376365734</v>
      </c>
    </row>
    <row r="37" customFormat="false" ht="15" hidden="false" customHeight="false" outlineLevel="0" collapsed="false">
      <c r="A37" s="0" t="s">
        <v>143</v>
      </c>
      <c r="B37" s="0" t="n">
        <f aca="false">B36+Assumptions!$B$5-Assumptions!$B$4</f>
        <v>4133.75062363427</v>
      </c>
    </row>
    <row r="38" customFormat="false" ht="15" hidden="false" customHeight="false" outlineLevel="0" collapsed="false">
      <c r="A38" s="0" t="s">
        <v>144</v>
      </c>
      <c r="B38" s="0" t="n">
        <f aca="false">B37/Assumptions!$B$3*Assumptions!$B$10</f>
        <v>1.30929661419243</v>
      </c>
    </row>
    <row r="39" customFormat="false" ht="15" hidden="false" customHeight="false" outlineLevel="0" collapsed="false">
      <c r="A39" s="0" t="s">
        <v>145</v>
      </c>
      <c r="B39" s="4" t="n">
        <f aca="false">B38/Assumptions!$B$2-1</f>
        <v>-0.734960199556189</v>
      </c>
    </row>
    <row r="41" customFormat="false" ht="15" hidden="false" customHeight="false" outlineLevel="0" collapsed="false">
      <c r="A41" s="0" t="s">
        <v>146</v>
      </c>
      <c r="B41" s="0" t="n">
        <f aca="false">SUMPRODUCT(-C10:L10/(1+$B$27/100)^C4:L4)</f>
        <v>107.163361692484</v>
      </c>
    </row>
    <row r="42" customFormat="false" ht="15" hidden="false" customHeight="false" outlineLevel="0" collapsed="false">
      <c r="A42" s="0" t="s">
        <v>147</v>
      </c>
      <c r="B42" s="0" t="n">
        <f aca="false">IF(B27&gt;B28,-L10*(1+B28/100)/((B27-B28)/100),-L10*20)/(1+B27/100)^L4</f>
        <v>87.2842064910766</v>
      </c>
    </row>
    <row r="43" customFormat="false" ht="15" hidden="false" customHeight="false" outlineLevel="0" collapsed="false">
      <c r="A43" s="0" t="s">
        <v>148</v>
      </c>
      <c r="B43" s="0" t="n">
        <f aca="false">(B37+B41+B42)/Assumptions!$B$3*Assumptions!$B$10</f>
        <v>1.37088464062177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1815.74906570627</v>
      </c>
    </row>
    <row r="47" customFormat="false" ht="15" hidden="false" customHeight="false" outlineLevel="0" collapsed="false">
      <c r="A47" s="0" t="s">
        <v>150</v>
      </c>
      <c r="B47" s="0" t="n">
        <f aca="false">(SUMPRODUCT(C19:L19/(1+B45/100)^C4:L4)+B46/(1+B45/100)^L4+Assumptions!$B$5-Assumptions!$B$4)/Assumptions!$B$3*Assumptions!$B$10</f>
        <v>1.16071735074102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0.2</v>
      </c>
      <c r="D5" s="4" t="n">
        <f aca="false">Assumptions!D27</f>
        <v>-9.5</v>
      </c>
      <c r="E5" s="4" t="n">
        <f aca="false">Assumptions!E27</f>
        <v>10.9</v>
      </c>
      <c r="F5" s="4" t="n">
        <f aca="false">Assumptions!F27</f>
        <v>11.4</v>
      </c>
      <c r="G5" s="4" t="n">
        <f aca="false">Assumptions!G27</f>
        <v>17.3</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3045</v>
      </c>
      <c r="C6" s="0" t="n">
        <f aca="false">B6*(1+C5/100)</f>
        <v>3051.09</v>
      </c>
      <c r="D6" s="0" t="n">
        <f aca="false">C6*(1+D5/100)</f>
        <v>2761.23645</v>
      </c>
      <c r="E6" s="0" t="n">
        <f aca="false">D6*(1+E5/100)</f>
        <v>3062.21122305</v>
      </c>
      <c r="F6" s="0" t="n">
        <f aca="false">E6*(1+F5/100)</f>
        <v>3411.3033024777</v>
      </c>
      <c r="G6" s="0" t="n">
        <f aca="false">F6*(1+G5/100)</f>
        <v>4001.45877380634</v>
      </c>
      <c r="H6" s="0" t="n">
        <f aca="false">G6*(1+H5/100)</f>
        <v>4101.4952431515</v>
      </c>
      <c r="I6" s="0" t="n">
        <f aca="false">H6*(1+I5/100)</f>
        <v>4204.03262423029</v>
      </c>
      <c r="J6" s="0" t="n">
        <f aca="false">I6*(1+J5/100)</f>
        <v>4309.13343983605</v>
      </c>
      <c r="K6" s="0" t="n">
        <f aca="false">J6*(1+K5/100)</f>
        <v>4416.86177583195</v>
      </c>
      <c r="L6" s="0" t="n">
        <f aca="false">K6*(1+L5/100)</f>
        <v>4527.28332022774</v>
      </c>
    </row>
    <row r="7" customFormat="false" ht="15" hidden="false" customHeight="false" outlineLevel="0" collapsed="false">
      <c r="A7" s="0" t="s">
        <v>107</v>
      </c>
      <c r="C7" s="4" t="n">
        <f aca="false">Assumptions!C28</f>
        <v>40.5</v>
      </c>
      <c r="D7" s="4" t="n">
        <f aca="false">Assumptions!D28</f>
        <v>35</v>
      </c>
      <c r="E7" s="4" t="n">
        <f aca="false">Assumptions!E28</f>
        <v>37</v>
      </c>
      <c r="F7" s="4" t="n">
        <f aca="false">Assumptions!F28</f>
        <v>39.5</v>
      </c>
      <c r="G7" s="4" t="n">
        <f aca="false">Assumptions!G28</f>
        <v>43.5</v>
      </c>
      <c r="H7" s="4" t="n">
        <f aca="false">Assumptions!H28</f>
        <v>43.5</v>
      </c>
      <c r="I7" s="4" t="n">
        <f aca="false">Assumptions!I28</f>
        <v>43.5</v>
      </c>
      <c r="J7" s="4" t="n">
        <f aca="false">Assumptions!J28</f>
        <v>43.5</v>
      </c>
      <c r="K7" s="4" t="n">
        <f aca="false">Assumptions!K28</f>
        <v>43.5</v>
      </c>
      <c r="L7" s="4" t="n">
        <f aca="false">Assumptions!L28</f>
        <v>43.5</v>
      </c>
    </row>
    <row r="8" customFormat="false" ht="15" hidden="false" customHeight="false" outlineLevel="0" collapsed="false">
      <c r="A8" s="0" t="s">
        <v>44</v>
      </c>
      <c r="C8" s="0" t="n">
        <f aca="false">C6*C7/100</f>
        <v>1235.69145</v>
      </c>
      <c r="D8" s="0" t="n">
        <f aca="false">D6*D7/100</f>
        <v>966.4327575</v>
      </c>
      <c r="E8" s="0" t="n">
        <f aca="false">E6*E7/100</f>
        <v>1133.0181525285</v>
      </c>
      <c r="F8" s="0" t="n">
        <f aca="false">F6*F7/100</f>
        <v>1347.46480447869</v>
      </c>
      <c r="G8" s="0" t="n">
        <f aca="false">G6*G7/100</f>
        <v>1740.63456660576</v>
      </c>
      <c r="H8" s="0" t="n">
        <f aca="false">H6*H7/100</f>
        <v>1784.1504307709</v>
      </c>
      <c r="I8" s="0" t="n">
        <f aca="false">I6*I7/100</f>
        <v>1828.75419154018</v>
      </c>
      <c r="J8" s="0" t="n">
        <f aca="false">J6*J7/100</f>
        <v>1874.47304632868</v>
      </c>
      <c r="K8" s="0" t="n">
        <f aca="false">K6*K7/100</f>
        <v>1921.3348724869</v>
      </c>
      <c r="L8" s="0" t="n">
        <f aca="false">L6*L7/100</f>
        <v>1969.36824429907</v>
      </c>
    </row>
    <row r="9" customFormat="false" ht="15" hidden="false" customHeight="false" outlineLevel="0" collapsed="false">
      <c r="A9" s="0" t="s">
        <v>108</v>
      </c>
      <c r="C9" s="4" t="n">
        <f aca="false">Assumptions!C29</f>
        <v>0.6</v>
      </c>
      <c r="D9" s="4" t="n">
        <f aca="false">Assumptions!D29</f>
        <v>0.6</v>
      </c>
      <c r="E9" s="4" t="n">
        <f aca="false">Assumptions!E29</f>
        <v>0.6</v>
      </c>
      <c r="F9" s="4" t="n">
        <f aca="false">Assumptions!F29</f>
        <v>0.6</v>
      </c>
      <c r="G9" s="4" t="n">
        <f aca="false">Assumptions!G29</f>
        <v>0.6</v>
      </c>
      <c r="H9" s="4" t="n">
        <f aca="false">Assumptions!H29</f>
        <v>0.6</v>
      </c>
      <c r="I9" s="4" t="n">
        <f aca="false">Assumptions!I29</f>
        <v>0.6</v>
      </c>
      <c r="J9" s="4" t="n">
        <f aca="false">Assumptions!J29</f>
        <v>0.6</v>
      </c>
      <c r="K9" s="4" t="n">
        <f aca="false">Assumptions!K29</f>
        <v>0.6</v>
      </c>
      <c r="L9" s="4" t="n">
        <f aca="false">Assumptions!L29</f>
        <v>0.6</v>
      </c>
    </row>
    <row r="10" customFormat="false" ht="15" hidden="false" customHeight="false" outlineLevel="0" collapsed="false">
      <c r="A10" s="0" t="s">
        <v>123</v>
      </c>
      <c r="C10" s="0" t="n">
        <f aca="false">-C6*C9/100</f>
        <v>-18.30654</v>
      </c>
      <c r="D10" s="0" t="n">
        <f aca="false">-D6*D9/100</f>
        <v>-16.5674187</v>
      </c>
      <c r="E10" s="0" t="n">
        <f aca="false">-E6*E9/100</f>
        <v>-18.3732673383</v>
      </c>
      <c r="F10" s="0" t="n">
        <f aca="false">-F6*F9/100</f>
        <v>-20.4678198148662</v>
      </c>
      <c r="G10" s="0" t="n">
        <f aca="false">-G6*G9/100</f>
        <v>-24.0087526428381</v>
      </c>
      <c r="H10" s="0" t="n">
        <f aca="false">-H6*H9/100</f>
        <v>-24.608971458909</v>
      </c>
      <c r="I10" s="0" t="n">
        <f aca="false">-I6*I9/100</f>
        <v>-25.2241957453817</v>
      </c>
      <c r="J10" s="0" t="n">
        <f aca="false">-J6*J9/100</f>
        <v>-25.8548006390163</v>
      </c>
      <c r="K10" s="0" t="n">
        <f aca="false">-K6*K9/100</f>
        <v>-26.5011706549917</v>
      </c>
      <c r="L10" s="0" t="n">
        <f aca="false">-L6*L9/100</f>
        <v>-27.1636999213665</v>
      </c>
    </row>
    <row r="11" customFormat="false" ht="15" hidden="false" customHeight="false" outlineLevel="0" collapsed="false">
      <c r="A11" s="0" t="s">
        <v>124</v>
      </c>
      <c r="C11" s="0" t="n">
        <f aca="false">C8+C10+C24</f>
        <v>1125.85221</v>
      </c>
      <c r="D11" s="0" t="n">
        <f aca="false">D8+D10+D24</f>
        <v>867.0282453</v>
      </c>
      <c r="E11" s="0" t="n">
        <f aca="false">E8+E10+E24</f>
        <v>1022.7785484987</v>
      </c>
      <c r="F11" s="0" t="n">
        <f aca="false">F8+F10+F24</f>
        <v>1224.65788558949</v>
      </c>
      <c r="G11" s="0" t="n">
        <f aca="false">G8+G10+G24</f>
        <v>1596.58205074873</v>
      </c>
      <c r="H11" s="0" t="n">
        <f aca="false">H8+H10+H24</f>
        <v>1636.49660201745</v>
      </c>
      <c r="I11" s="0" t="n">
        <f aca="false">I8+I10+I24</f>
        <v>1677.40901706789</v>
      </c>
      <c r="J11" s="0" t="n">
        <f aca="false">J8+J10+J24</f>
        <v>1719.34424249458</v>
      </c>
      <c r="K11" s="0" t="n">
        <f aca="false">K8+K10+K24</f>
        <v>1762.32784855695</v>
      </c>
      <c r="L11" s="0" t="n">
        <f aca="false">L8+L10+L24</f>
        <v>1806.38604477087</v>
      </c>
    </row>
    <row r="12" customFormat="false" ht="15" hidden="false" customHeight="false" outlineLevel="0" collapsed="false">
      <c r="A12" s="0" t="s">
        <v>125</v>
      </c>
      <c r="C12" s="4" t="n">
        <f aca="false">-C6*Assumptions!C31/100</f>
        <v>-451.56132</v>
      </c>
      <c r="D12" s="4" t="n">
        <f aca="false">-D6*Assumptions!D31/100</f>
        <v>-455.60401425</v>
      </c>
      <c r="E12" s="4" t="n">
        <f aca="false">-E6*Assumptions!E31/100</f>
        <v>-489.953795688</v>
      </c>
      <c r="F12" s="4" t="n">
        <f aca="false">-F6*Assumptions!F31/100</f>
        <v>-538.985921791477</v>
      </c>
      <c r="G12" s="4" t="n">
        <f aca="false">-G6*Assumptions!G31/100</f>
        <v>-632.230486261402</v>
      </c>
      <c r="H12" s="4" t="n">
        <f aca="false">-H6*Assumptions!H31/100</f>
        <v>-635.731762688483</v>
      </c>
      <c r="I12" s="4" t="n">
        <f aca="false">-I6*Assumptions!I31/100</f>
        <v>-651.625056755695</v>
      </c>
      <c r="J12" s="4" t="n">
        <f aca="false">-J6*Assumptions!J31/100</f>
        <v>-667.915683174587</v>
      </c>
      <c r="K12" s="4" t="n">
        <f aca="false">-K6*Assumptions!K31/100</f>
        <v>-684.613575253952</v>
      </c>
      <c r="L12" s="4" t="n">
        <f aca="false">-L6*Assumptions!L31/100</f>
        <v>-701.7289146353</v>
      </c>
    </row>
    <row r="13" customFormat="false" ht="15" hidden="false" customHeight="false" outlineLevel="0" collapsed="false">
      <c r="A13" s="0" t="s">
        <v>126</v>
      </c>
      <c r="C13" s="0" t="n">
        <f aca="false">C11+C12</f>
        <v>674.29089</v>
      </c>
      <c r="D13" s="0" t="n">
        <f aca="false">D11+D12</f>
        <v>411.42423105</v>
      </c>
      <c r="E13" s="0" t="n">
        <f aca="false">E11+E12</f>
        <v>532.8247528107</v>
      </c>
      <c r="F13" s="0" t="n">
        <f aca="false">F11+F12</f>
        <v>685.671963798018</v>
      </c>
      <c r="G13" s="0" t="n">
        <f aca="false">G11+G12</f>
        <v>964.351564487329</v>
      </c>
      <c r="H13" s="0" t="n">
        <f aca="false">H11+H12</f>
        <v>1000.76483932897</v>
      </c>
      <c r="I13" s="0" t="n">
        <f aca="false">I11+I12</f>
        <v>1025.78396031219</v>
      </c>
      <c r="J13" s="0" t="n">
        <f aca="false">J11+J12</f>
        <v>1051.42855931999</v>
      </c>
      <c r="K13" s="0" t="n">
        <f aca="false">K11+K12</f>
        <v>1077.714273303</v>
      </c>
      <c r="L13" s="0" t="n">
        <f aca="false">L11+L12</f>
        <v>1104.65713013557</v>
      </c>
    </row>
    <row r="14" customFormat="false" ht="15" hidden="false" customHeight="false" outlineLevel="0" collapsed="false">
      <c r="A14" s="0" t="s">
        <v>112</v>
      </c>
      <c r="C14" s="4" t="n">
        <f aca="false">Assumptions!C33</f>
        <v>32</v>
      </c>
      <c r="D14" s="4" t="n">
        <f aca="false">Assumptions!D33</f>
        <v>32</v>
      </c>
      <c r="E14" s="4" t="n">
        <f aca="false">Assumptions!E33</f>
        <v>30</v>
      </c>
      <c r="F14" s="4" t="n">
        <f aca="false">Assumptions!F33</f>
        <v>28</v>
      </c>
      <c r="G14" s="4" t="n">
        <f aca="false">Assumptions!G33</f>
        <v>30</v>
      </c>
      <c r="H14" s="4" t="n">
        <f aca="false">Assumptions!H33</f>
        <v>32</v>
      </c>
      <c r="I14" s="4" t="n">
        <f aca="false">Assumptions!I33</f>
        <v>33</v>
      </c>
      <c r="J14" s="4" t="n">
        <f aca="false">Assumptions!J33</f>
        <v>33</v>
      </c>
      <c r="K14" s="4" t="n">
        <f aca="false">Assumptions!K33</f>
        <v>33</v>
      </c>
      <c r="L14" s="4" t="n">
        <f aca="false">Assumptions!L33</f>
        <v>33</v>
      </c>
    </row>
    <row r="15" customFormat="false" ht="15" hidden="false" customHeight="false" outlineLevel="0" collapsed="false">
      <c r="A15" s="0" t="s">
        <v>127</v>
      </c>
      <c r="C15" s="0" t="n">
        <f aca="false">C13-MAX(0,C13)*C14/100</f>
        <v>458.5178052</v>
      </c>
      <c r="D15" s="0" t="n">
        <f aca="false">D13-MAX(0,D13)*D14/100</f>
        <v>279.768477114</v>
      </c>
      <c r="E15" s="0" t="n">
        <f aca="false">E13-MAX(0,E13)*E14/100</f>
        <v>372.97732696749</v>
      </c>
      <c r="F15" s="0" t="n">
        <f aca="false">F13-MAX(0,F13)*F14/100</f>
        <v>493.683813934573</v>
      </c>
      <c r="G15" s="0" t="n">
        <f aca="false">G13-MAX(0,G13)*G14/100</f>
        <v>675.04609514113</v>
      </c>
      <c r="H15" s="0" t="n">
        <f aca="false">H13-MAX(0,H13)*H14/100</f>
        <v>680.520090743697</v>
      </c>
      <c r="I15" s="0" t="n">
        <f aca="false">I13-MAX(0,I13)*I14/100</f>
        <v>687.275253409168</v>
      </c>
      <c r="J15" s="0" t="n">
        <f aca="false">J13-MAX(0,J13)*J14/100</f>
        <v>704.457134744396</v>
      </c>
      <c r="K15" s="0" t="n">
        <f aca="false">K13-MAX(0,K13)*K14/100</f>
        <v>722.068563113007</v>
      </c>
      <c r="L15" s="0" t="n">
        <f aca="false">L13-MAX(0,L13)*L14/100</f>
        <v>740.120277190832</v>
      </c>
    </row>
    <row r="16" customFormat="false" ht="15" hidden="false" customHeight="false" outlineLevel="0" collapsed="false">
      <c r="A16" s="0" t="s">
        <v>128</v>
      </c>
      <c r="C16" s="0" t="n">
        <f aca="false">-C12</f>
        <v>451.56132</v>
      </c>
      <c r="D16" s="0" t="n">
        <f aca="false">-D12</f>
        <v>455.60401425</v>
      </c>
      <c r="E16" s="0" t="n">
        <f aca="false">-E12</f>
        <v>489.953795688</v>
      </c>
      <c r="F16" s="0" t="n">
        <f aca="false">-F12</f>
        <v>538.985921791477</v>
      </c>
      <c r="G16" s="0" t="n">
        <f aca="false">-G12</f>
        <v>632.230486261402</v>
      </c>
      <c r="H16" s="0" t="n">
        <f aca="false">-H12</f>
        <v>635.731762688483</v>
      </c>
      <c r="I16" s="0" t="n">
        <f aca="false">-I12</f>
        <v>651.625056755695</v>
      </c>
      <c r="J16" s="0" t="n">
        <f aca="false">-J12</f>
        <v>667.915683174587</v>
      </c>
      <c r="K16" s="0" t="n">
        <f aca="false">-K12</f>
        <v>684.613575253952</v>
      </c>
      <c r="L16" s="0" t="n">
        <f aca="false">-L12</f>
        <v>701.7289146353</v>
      </c>
    </row>
    <row r="17" customFormat="false" ht="15" hidden="false" customHeight="false" outlineLevel="0" collapsed="false">
      <c r="A17" s="0" t="s">
        <v>129</v>
      </c>
      <c r="C17" s="4" t="n">
        <f aca="false">-C6*Assumptions!C32/100</f>
        <v>-1580.46462</v>
      </c>
      <c r="D17" s="4" t="n">
        <f aca="false">-D6*Assumptions!D32/100</f>
        <v>-1129.34570805</v>
      </c>
      <c r="E17" s="4" t="n">
        <f aca="false">-E6*Assumptions!E32/100</f>
        <v>-750.24174964725</v>
      </c>
      <c r="F17" s="4" t="n">
        <f aca="false">-F6*Assumptions!F32/100</f>
        <v>-689.083267100495</v>
      </c>
      <c r="G17" s="4" t="n">
        <f aca="false">-G6*Assumptions!G32/100</f>
        <v>-620.226109939983</v>
      </c>
      <c r="H17" s="4" t="n">
        <f aca="false">-H6*Assumptions!H32/100</f>
        <v>-635.731762688483</v>
      </c>
      <c r="I17" s="4" t="n">
        <f aca="false">-I6*Assumptions!I32/100</f>
        <v>-651.625056755695</v>
      </c>
      <c r="J17" s="4" t="n">
        <f aca="false">-J6*Assumptions!J32/100</f>
        <v>-667.915683174587</v>
      </c>
      <c r="K17" s="4" t="n">
        <f aca="false">-K6*Assumptions!K32/100</f>
        <v>-684.613575253952</v>
      </c>
      <c r="L17" s="4" t="n">
        <f aca="false">-L6*Assumptions!L32/100</f>
        <v>-701.7289146353</v>
      </c>
    </row>
    <row r="18" customFormat="false" ht="15" hidden="false" customHeight="false" outlineLevel="0" collapsed="false">
      <c r="A18" s="0" t="s">
        <v>130</v>
      </c>
      <c r="C18" s="4" t="n">
        <f aca="false">(C6-B6)*Assumptions!$B$37/100</f>
        <v>-0.609000000000015</v>
      </c>
      <c r="D18" s="4" t="n">
        <f aca="false">(D6-C6)*Assumptions!$B$37/100</f>
        <v>28.985355</v>
      </c>
      <c r="E18" s="4" t="n">
        <f aca="false">(E6-D6)*Assumptions!$B$37/100</f>
        <v>-30.097477305</v>
      </c>
      <c r="F18" s="4" t="n">
        <f aca="false">(F6-E6)*Assumptions!$B$37/100</f>
        <v>-34.90920794277</v>
      </c>
      <c r="G18" s="4" t="n">
        <f aca="false">(G6-F6)*Assumptions!$B$37/100</f>
        <v>-59.0155471328642</v>
      </c>
      <c r="H18" s="4" t="n">
        <f aca="false">(H6-G6)*Assumptions!$B$37/100</f>
        <v>-10.0036469345158</v>
      </c>
      <c r="I18" s="4" t="n">
        <f aca="false">(I6-H6)*Assumptions!$B$37/100</f>
        <v>-10.2537381078787</v>
      </c>
      <c r="J18" s="4" t="n">
        <f aca="false">(J6-I6)*Assumptions!$B$37/100</f>
        <v>-10.5100815605757</v>
      </c>
      <c r="K18" s="4" t="n">
        <f aca="false">(K6-J6)*Assumptions!$B$37/100</f>
        <v>-10.7728335995901</v>
      </c>
      <c r="L18" s="4" t="n">
        <f aca="false">(L6-K6)*Assumptions!$B$37/100</f>
        <v>-11.0421544395798</v>
      </c>
    </row>
    <row r="19" customFormat="false" ht="15" hidden="false" customHeight="false" outlineLevel="0" collapsed="false">
      <c r="A19" s="0" t="s">
        <v>131</v>
      </c>
      <c r="C19" s="0" t="n">
        <f aca="false">C15+C16+C17+C18</f>
        <v>-670.9944948</v>
      </c>
      <c r="D19" s="0" t="n">
        <f aca="false">D15+D16+D17+D18</f>
        <v>-364.987861686</v>
      </c>
      <c r="E19" s="0" t="n">
        <f aca="false">E15+E16+E17+E18</f>
        <v>82.59189570324</v>
      </c>
      <c r="F19" s="0" t="n">
        <f aca="false">F15+F16+F17+F18</f>
        <v>308.677260682784</v>
      </c>
      <c r="G19" s="0" t="n">
        <f aca="false">G15+G16+G17+G18</f>
        <v>628.034924329685</v>
      </c>
      <c r="H19" s="0" t="n">
        <f aca="false">H15+H16+H17+H18</f>
        <v>670.516443809181</v>
      </c>
      <c r="I19" s="0" t="n">
        <f aca="false">I15+I16+I17+I18</f>
        <v>677.021515301289</v>
      </c>
      <c r="J19" s="0" t="n">
        <f aca="false">J15+J16+J17+J18</f>
        <v>693.947053183821</v>
      </c>
      <c r="K19" s="0" t="n">
        <f aca="false">K15+K16+K17+K18</f>
        <v>711.295729513416</v>
      </c>
      <c r="L19" s="0" t="n">
        <f aca="false">L15+L16+L17+L18</f>
        <v>729.078122751252</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-609.994995272727</v>
      </c>
      <c r="D21" s="0" t="n">
        <f aca="false">D19*D20</f>
        <v>-301.642860897521</v>
      </c>
      <c r="E21" s="0" t="n">
        <f aca="false">E19*E20</f>
        <v>62.0525136763636</v>
      </c>
      <c r="F21" s="0" t="n">
        <f aca="false">F19*F20</f>
        <v>210.830722411573</v>
      </c>
      <c r="G21" s="0" t="n">
        <f aca="false">G19*G20</f>
        <v>389.960276142144</v>
      </c>
      <c r="H21" s="0" t="n">
        <f aca="false">H19*H20</f>
        <v>378.489052202651</v>
      </c>
      <c r="I21" s="0" t="n">
        <f aca="false">I19*I20</f>
        <v>347.419086793711</v>
      </c>
      <c r="J21" s="0" t="n">
        <f aca="false">J19*J20</f>
        <v>323.731421785049</v>
      </c>
      <c r="K21" s="0" t="n">
        <f aca="false">K19*K20</f>
        <v>301.658824845159</v>
      </c>
      <c r="L21" s="0" t="n">
        <f aca="false">L19*L20</f>
        <v>281.091177696625</v>
      </c>
    </row>
    <row r="23" customFormat="false" ht="15" hidden="false" customHeight="false" outlineLevel="0" collapsed="false">
      <c r="A23" s="0" t="s">
        <v>109</v>
      </c>
      <c r="C23" s="4" t="n">
        <f aca="false">Assumptions!C30</f>
        <v>3</v>
      </c>
      <c r="D23" s="4" t="n">
        <f aca="false">Assumptions!D30</f>
        <v>3</v>
      </c>
      <c r="E23" s="4" t="n">
        <f aca="false">Assumptions!E30</f>
        <v>3</v>
      </c>
      <c r="F23" s="4" t="n">
        <f aca="false">Assumptions!F30</f>
        <v>3</v>
      </c>
      <c r="G23" s="4" t="n">
        <f aca="false">Assumptions!G30</f>
        <v>3</v>
      </c>
      <c r="H23" s="4" t="n">
        <f aca="false">Assumptions!H30</f>
        <v>3</v>
      </c>
      <c r="I23" s="4" t="n">
        <f aca="false">Assumptions!I30</f>
        <v>3</v>
      </c>
      <c r="J23" s="4" t="n">
        <f aca="false">Assumptions!J30</f>
        <v>3</v>
      </c>
      <c r="K23" s="4" t="n">
        <f aca="false">Assumptions!K30</f>
        <v>3</v>
      </c>
      <c r="L23" s="4" t="n">
        <f aca="false">Assumptions!L30</f>
        <v>3</v>
      </c>
    </row>
    <row r="24" customFormat="false" ht="15" hidden="false" customHeight="false" outlineLevel="0" collapsed="false">
      <c r="A24" s="0" t="s">
        <v>134</v>
      </c>
      <c r="C24" s="0" t="n">
        <f aca="false">-C6*C23/100</f>
        <v>-91.5327</v>
      </c>
      <c r="D24" s="0" t="n">
        <f aca="false">-D6*D23/100</f>
        <v>-82.8370935</v>
      </c>
      <c r="E24" s="0" t="n">
        <f aca="false">-E6*E23/100</f>
        <v>-91.8663366915</v>
      </c>
      <c r="F24" s="0" t="n">
        <f aca="false">-F6*F23/100</f>
        <v>-102.339099074331</v>
      </c>
      <c r="G24" s="0" t="n">
        <f aca="false">-G6*G23/100</f>
        <v>-120.04376321419</v>
      </c>
      <c r="H24" s="0" t="n">
        <f aca="false">-H6*H23/100</f>
        <v>-123.044857294545</v>
      </c>
      <c r="I24" s="0" t="n">
        <f aca="false">-I6*I23/100</f>
        <v>-126.120978726909</v>
      </c>
      <c r="J24" s="0" t="n">
        <f aca="false">-J6*J23/100</f>
        <v>-129.274003195081</v>
      </c>
      <c r="K24" s="0" t="n">
        <f aca="false">-K6*K23/100</f>
        <v>-132.505853274958</v>
      </c>
      <c r="L24" s="0" t="n">
        <f aca="false">-L6*L23/100</f>
        <v>-135.818499606832</v>
      </c>
    </row>
    <row r="26" customFormat="false" ht="15" hidden="false" customHeight="false" outlineLevel="0" collapsed="false">
      <c r="A26" s="2" t="s">
        <v>135</v>
      </c>
    </row>
    <row r="27" customFormat="false" ht="15" hidden="false" customHeight="false" outlineLevel="0" collapsed="false">
      <c r="A27" s="0" t="s">
        <v>113</v>
      </c>
      <c r="B27" s="4" t="n">
        <f aca="false">Assumptions!$B$34</f>
        <v>10</v>
      </c>
    </row>
    <row r="28" customFormat="false" ht="15" hidden="false" customHeight="false" outlineLevel="0" collapsed="false">
      <c r="A28" s="0" t="s">
        <v>114</v>
      </c>
      <c r="B28" s="4" t="n">
        <f aca="false">Assumptions!$B$35</f>
        <v>2</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1383.59521938303</v>
      </c>
    </row>
    <row r="31" customFormat="false" ht="15" hidden="false" customHeight="false" outlineLevel="0" collapsed="false">
      <c r="A31" s="0" t="s">
        <v>137</v>
      </c>
      <c r="B31" s="0" t="n">
        <f aca="false">L19</f>
        <v>729.078122751252</v>
      </c>
    </row>
    <row r="32" customFormat="false" ht="15" hidden="false" customHeight="false" outlineLevel="0" collapsed="false">
      <c r="A32" s="0" t="s">
        <v>138</v>
      </c>
      <c r="B32" s="0" t="n">
        <f aca="false">IF(B27&gt;B28,B31*(1+B28/100)/((B27-B28)/100),B31*B29)</f>
        <v>9295.74606507846</v>
      </c>
    </row>
    <row r="33" customFormat="false" ht="15" hidden="false" customHeight="false" outlineLevel="0" collapsed="false">
      <c r="A33" s="0" t="s">
        <v>139</v>
      </c>
      <c r="B33" s="0" t="n">
        <f aca="false">B31*B29</f>
        <v>8748.93747301502</v>
      </c>
    </row>
    <row r="34" customFormat="false" ht="15" hidden="false" customHeight="false" outlineLevel="0" collapsed="false">
      <c r="A34" s="0" t="s">
        <v>140</v>
      </c>
      <c r="B34" s="0" t="n">
        <f aca="false">MAX(0,MIN(B32,B33))</f>
        <v>8748.93747301502</v>
      </c>
    </row>
    <row r="35" customFormat="false" ht="15" hidden="false" customHeight="false" outlineLevel="0" collapsed="false">
      <c r="A35" s="0" t="s">
        <v>141</v>
      </c>
      <c r="B35" s="0" t="n">
        <f aca="false">B34/(1+B27/100)^L4</f>
        <v>3373.0941323595</v>
      </c>
    </row>
    <row r="36" customFormat="false" ht="15" hidden="false" customHeight="false" outlineLevel="0" collapsed="false">
      <c r="A36" s="0" t="s">
        <v>142</v>
      </c>
      <c r="B36" s="0" t="n">
        <f aca="false">B30+B35</f>
        <v>4756.68935174253</v>
      </c>
    </row>
    <row r="37" customFormat="false" ht="15" hidden="false" customHeight="false" outlineLevel="0" collapsed="false">
      <c r="A37" s="0" t="s">
        <v>143</v>
      </c>
      <c r="B37" s="0" t="n">
        <f aca="false">B36+Assumptions!$B$5-Assumptions!$B$4</f>
        <v>9461.68935174253</v>
      </c>
    </row>
    <row r="38" customFormat="false" ht="15" hidden="false" customHeight="false" outlineLevel="0" collapsed="false">
      <c r="A38" s="0" t="s">
        <v>144</v>
      </c>
      <c r="B38" s="0" t="n">
        <f aca="false">B37/Assumptions!$B$3*Assumptions!$B$10</f>
        <v>2.99683240734192</v>
      </c>
    </row>
    <row r="39" customFormat="false" ht="15" hidden="false" customHeight="false" outlineLevel="0" collapsed="false">
      <c r="A39" s="0" t="s">
        <v>145</v>
      </c>
      <c r="B39" s="4" t="n">
        <f aca="false">B38/Assumptions!$B$2-1</f>
        <v>-0.393353763695968</v>
      </c>
    </row>
    <row r="41" customFormat="false" ht="15" hidden="false" customHeight="false" outlineLevel="0" collapsed="false">
      <c r="A41" s="0" t="s">
        <v>146</v>
      </c>
      <c r="B41" s="0" t="n">
        <f aca="false">SUMPRODUCT(-C10:L10/(1+$B$27/100)^C4:L4)</f>
        <v>133.634285693028</v>
      </c>
    </row>
    <row r="42" customFormat="false" ht="15" hidden="false" customHeight="false" outlineLevel="0" collapsed="false">
      <c r="A42" s="0" t="s">
        <v>147</v>
      </c>
      <c r="B42" s="0" t="n">
        <f aca="false">IF(B27&gt;B28,-L10*(1+B28/100)/((B27-B28)/100),-L10*20)/(1+B27/100)^L4</f>
        <v>133.527973314694</v>
      </c>
    </row>
    <row r="43" customFormat="false" ht="15" hidden="false" customHeight="false" outlineLevel="0" collapsed="false">
      <c r="A43" s="0" t="s">
        <v>148</v>
      </c>
      <c r="B43" s="0" t="n">
        <f aca="false">(B37+B41+B42)/Assumptions!$B$3*Assumptions!$B$10</f>
        <v>3.0814516001783</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5720.45911697136</v>
      </c>
    </row>
    <row r="47" customFormat="false" ht="15" hidden="false" customHeight="false" outlineLevel="0" collapsed="false">
      <c r="A47" s="0" t="s">
        <v>150</v>
      </c>
      <c r="B47" s="0" t="n">
        <f aca="false">(SUMPRODUCT(C19:L19/(1+B45/100)^C4:L4)+B46/(1+B45/100)^L4+Assumptions!$B$5-Assumptions!$B$4)/Assumptions!$B$3*Assumptions!$B$10</f>
        <v>2.20327774285093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11.1</v>
      </c>
      <c r="D5" s="4" t="n">
        <f aca="false">Assumptions!D41</f>
        <v>-5.4</v>
      </c>
      <c r="E5" s="4" t="n">
        <f aca="false">Assumptions!E41</f>
        <v>10.6</v>
      </c>
      <c r="F5" s="4" t="n">
        <f aca="false">Assumptions!F41</f>
        <v>11.3</v>
      </c>
      <c r="G5" s="4" t="n">
        <f aca="false">Assumptions!G41</f>
        <v>17.5</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3045</v>
      </c>
      <c r="C6" s="0" t="n">
        <f aca="false">B6*(1+C5/100)</f>
        <v>3382.995</v>
      </c>
      <c r="D6" s="0" t="n">
        <f aca="false">C6*(1+D5/100)</f>
        <v>3200.31327</v>
      </c>
      <c r="E6" s="0" t="n">
        <f aca="false">D6*(1+E5/100)</f>
        <v>3539.54647662</v>
      </c>
      <c r="F6" s="0" t="n">
        <f aca="false">E6*(1+F5/100)</f>
        <v>3939.51522847806</v>
      </c>
      <c r="G6" s="0" t="n">
        <f aca="false">F6*(1+G5/100)</f>
        <v>4628.93039346172</v>
      </c>
      <c r="H6" s="0" t="n">
        <f aca="false">G6*(1+H5/100)</f>
        <v>4767.79830526557</v>
      </c>
      <c r="I6" s="0" t="n">
        <f aca="false">H6*(1+I5/100)</f>
        <v>4910.83225442354</v>
      </c>
      <c r="J6" s="0" t="n">
        <f aca="false">I6*(1+J5/100)</f>
        <v>5058.15722205625</v>
      </c>
      <c r="K6" s="0" t="n">
        <f aca="false">J6*(1+K5/100)</f>
        <v>5209.90193871793</v>
      </c>
      <c r="L6" s="0" t="n">
        <f aca="false">K6*(1+L5/100)</f>
        <v>5366.19899687947</v>
      </c>
    </row>
    <row r="7" customFormat="false" ht="15" hidden="false" customHeight="false" outlineLevel="0" collapsed="false">
      <c r="A7" s="0" t="s">
        <v>107</v>
      </c>
      <c r="C7" s="4" t="n">
        <f aca="false">Assumptions!C42</f>
        <v>45</v>
      </c>
      <c r="D7" s="4" t="n">
        <f aca="false">Assumptions!D42</f>
        <v>40</v>
      </c>
      <c r="E7" s="4" t="n">
        <f aca="false">Assumptions!E42</f>
        <v>41</v>
      </c>
      <c r="F7" s="4" t="n">
        <f aca="false">Assumptions!F42</f>
        <v>43</v>
      </c>
      <c r="G7" s="4" t="n">
        <f aca="false">Assumptions!G42</f>
        <v>47</v>
      </c>
      <c r="H7" s="4" t="n">
        <f aca="false">Assumptions!H42</f>
        <v>47</v>
      </c>
      <c r="I7" s="4" t="n">
        <f aca="false">Assumptions!I42</f>
        <v>47</v>
      </c>
      <c r="J7" s="4" t="n">
        <f aca="false">Assumptions!J42</f>
        <v>47</v>
      </c>
      <c r="K7" s="4" t="n">
        <f aca="false">Assumptions!K42</f>
        <v>47</v>
      </c>
      <c r="L7" s="4" t="n">
        <f aca="false">Assumptions!L42</f>
        <v>47</v>
      </c>
    </row>
    <row r="8" customFormat="false" ht="15" hidden="false" customHeight="false" outlineLevel="0" collapsed="false">
      <c r="A8" s="0" t="s">
        <v>44</v>
      </c>
      <c r="C8" s="0" t="n">
        <f aca="false">C6*C7/100</f>
        <v>1522.34775</v>
      </c>
      <c r="D8" s="0" t="n">
        <f aca="false">D6*D7/100</f>
        <v>1280.125308</v>
      </c>
      <c r="E8" s="0" t="n">
        <f aca="false">E6*E7/100</f>
        <v>1451.2140554142</v>
      </c>
      <c r="F8" s="0" t="n">
        <f aca="false">F6*F7/100</f>
        <v>1693.99154824557</v>
      </c>
      <c r="G8" s="0" t="n">
        <f aca="false">G6*G7/100</f>
        <v>2175.59728492701</v>
      </c>
      <c r="H8" s="0" t="n">
        <f aca="false">H6*H7/100</f>
        <v>2240.86520347482</v>
      </c>
      <c r="I8" s="0" t="n">
        <f aca="false">I6*I7/100</f>
        <v>2308.09115957906</v>
      </c>
      <c r="J8" s="0" t="n">
        <f aca="false">J6*J7/100</f>
        <v>2377.33389436644</v>
      </c>
      <c r="K8" s="0" t="n">
        <f aca="false">K6*K7/100</f>
        <v>2448.65391119743</v>
      </c>
      <c r="L8" s="0" t="n">
        <f aca="false">L6*L7/100</f>
        <v>2522.11352853335</v>
      </c>
    </row>
    <row r="9" customFormat="false" ht="15" hidden="false" customHeight="false" outlineLevel="0" collapsed="false">
      <c r="A9" s="0" t="s">
        <v>108</v>
      </c>
      <c r="C9" s="4" t="n">
        <f aca="false">Assumptions!C43</f>
        <v>0.6</v>
      </c>
      <c r="D9" s="4" t="n">
        <f aca="false">Assumptions!D43</f>
        <v>0.6</v>
      </c>
      <c r="E9" s="4" t="n">
        <f aca="false">Assumptions!E43</f>
        <v>0.6</v>
      </c>
      <c r="F9" s="4" t="n">
        <f aca="false">Assumptions!F43</f>
        <v>0.6</v>
      </c>
      <c r="G9" s="4" t="n">
        <f aca="false">Assumptions!G43</f>
        <v>0.6</v>
      </c>
      <c r="H9" s="4" t="n">
        <f aca="false">Assumptions!H43</f>
        <v>0.6</v>
      </c>
      <c r="I9" s="4" t="n">
        <f aca="false">Assumptions!I43</f>
        <v>0.6</v>
      </c>
      <c r="J9" s="4" t="n">
        <f aca="false">Assumptions!J43</f>
        <v>0.6</v>
      </c>
      <c r="K9" s="4" t="n">
        <f aca="false">Assumptions!K43</f>
        <v>0.6</v>
      </c>
      <c r="L9" s="4" t="n">
        <f aca="false">Assumptions!L43</f>
        <v>0.6</v>
      </c>
    </row>
    <row r="10" customFormat="false" ht="15" hidden="false" customHeight="false" outlineLevel="0" collapsed="false">
      <c r="A10" s="0" t="s">
        <v>123</v>
      </c>
      <c r="C10" s="0" t="n">
        <f aca="false">-C6*C9/100</f>
        <v>-20.29797</v>
      </c>
      <c r="D10" s="0" t="n">
        <f aca="false">-D6*D9/100</f>
        <v>-19.20187962</v>
      </c>
      <c r="E10" s="0" t="n">
        <f aca="false">-E6*E9/100</f>
        <v>-21.23727885972</v>
      </c>
      <c r="F10" s="0" t="n">
        <f aca="false">-F6*F9/100</f>
        <v>-23.6370913708684</v>
      </c>
      <c r="G10" s="0" t="n">
        <f aca="false">-G6*G9/100</f>
        <v>-27.7735823607703</v>
      </c>
      <c r="H10" s="0" t="n">
        <f aca="false">-H6*H9/100</f>
        <v>-28.6067898315934</v>
      </c>
      <c r="I10" s="0" t="n">
        <f aca="false">-I6*I9/100</f>
        <v>-29.4649935265412</v>
      </c>
      <c r="J10" s="0" t="n">
        <f aca="false">-J6*J9/100</f>
        <v>-30.3489433323375</v>
      </c>
      <c r="K10" s="0" t="n">
        <f aca="false">-K6*K9/100</f>
        <v>-31.2594116323076</v>
      </c>
      <c r="L10" s="0" t="n">
        <f aca="false">-L6*L9/100</f>
        <v>-32.1971939812768</v>
      </c>
    </row>
    <row r="11" customFormat="false" ht="15" hidden="false" customHeight="false" outlineLevel="0" collapsed="false">
      <c r="A11" s="0" t="s">
        <v>124</v>
      </c>
      <c r="C11" s="0" t="n">
        <f aca="false">C8+C10+C24</f>
        <v>1407.32592</v>
      </c>
      <c r="D11" s="0" t="n">
        <f aca="false">D8+D10+D24</f>
        <v>1171.31465682</v>
      </c>
      <c r="E11" s="0" t="n">
        <f aca="false">E8+E10+E24</f>
        <v>1330.86947520912</v>
      </c>
      <c r="F11" s="0" t="n">
        <f aca="false">F8+F10+F24</f>
        <v>1560.04803047731</v>
      </c>
      <c r="G11" s="0" t="n">
        <f aca="false">G8+G10+G24</f>
        <v>2018.21365154931</v>
      </c>
      <c r="H11" s="0" t="n">
        <f aca="false">H8+H10+H24</f>
        <v>2078.76006109579</v>
      </c>
      <c r="I11" s="0" t="n">
        <f aca="false">I8+I10+I24</f>
        <v>2141.12286292866</v>
      </c>
      <c r="J11" s="0" t="n">
        <f aca="false">J8+J10+J24</f>
        <v>2205.35654881652</v>
      </c>
      <c r="K11" s="0" t="n">
        <f aca="false">K8+K10+K24</f>
        <v>2271.51724528102</v>
      </c>
      <c r="L11" s="0" t="n">
        <f aca="false">L8+L10+L24</f>
        <v>2339.66276263945</v>
      </c>
    </row>
    <row r="12" customFormat="false" ht="15" hidden="false" customHeight="false" outlineLevel="0" collapsed="false">
      <c r="A12" s="0" t="s">
        <v>125</v>
      </c>
      <c r="C12" s="4" t="n">
        <f aca="false">-C6*Assumptions!C45/100</f>
        <v>-449.938335</v>
      </c>
      <c r="D12" s="4" t="n">
        <f aca="false">-D6*Assumptions!D45/100</f>
        <v>-454.44448434</v>
      </c>
      <c r="E12" s="4" t="n">
        <f aca="false">-E6*Assumptions!E45/100</f>
        <v>-488.45741377356</v>
      </c>
      <c r="F12" s="4" t="n">
        <f aca="false">-F6*Assumptions!F45/100</f>
        <v>-539.713586301494</v>
      </c>
      <c r="G12" s="4" t="n">
        <f aca="false">-G6*Assumptions!G45/100</f>
        <v>-629.534533510794</v>
      </c>
      <c r="H12" s="4" t="n">
        <f aca="false">-H6*Assumptions!H45/100</f>
        <v>-643.652771210852</v>
      </c>
      <c r="I12" s="4" t="n">
        <f aca="false">-I6*Assumptions!I45/100</f>
        <v>-662.962354347178</v>
      </c>
      <c r="J12" s="4" t="n">
        <f aca="false">-J6*Assumptions!J45/100</f>
        <v>-682.851224977593</v>
      </c>
      <c r="K12" s="4" t="n">
        <f aca="false">-K6*Assumptions!K45/100</f>
        <v>-703.336761726921</v>
      </c>
      <c r="L12" s="4" t="n">
        <f aca="false">-L6*Assumptions!L45/100</f>
        <v>-724.436864578729</v>
      </c>
    </row>
    <row r="13" customFormat="false" ht="15" hidden="false" customHeight="false" outlineLevel="0" collapsed="false">
      <c r="A13" s="0" t="s">
        <v>126</v>
      </c>
      <c r="C13" s="0" t="n">
        <f aca="false">C11+C12</f>
        <v>957.387585</v>
      </c>
      <c r="D13" s="0" t="n">
        <f aca="false">D11+D12</f>
        <v>716.87017248</v>
      </c>
      <c r="E13" s="0" t="n">
        <f aca="false">E11+E12</f>
        <v>842.41206143556</v>
      </c>
      <c r="F13" s="0" t="n">
        <f aca="false">F11+F12</f>
        <v>1020.33444417582</v>
      </c>
      <c r="G13" s="0" t="n">
        <f aca="false">G11+G12</f>
        <v>1388.67911803852</v>
      </c>
      <c r="H13" s="0" t="n">
        <f aca="false">H11+H12</f>
        <v>1435.10728988494</v>
      </c>
      <c r="I13" s="0" t="n">
        <f aca="false">I11+I12</f>
        <v>1478.16050858149</v>
      </c>
      <c r="J13" s="0" t="n">
        <f aca="false">J11+J12</f>
        <v>1522.50532383893</v>
      </c>
      <c r="K13" s="0" t="n">
        <f aca="false">K11+K12</f>
        <v>1568.1804835541</v>
      </c>
      <c r="L13" s="0" t="n">
        <f aca="false">L11+L12</f>
        <v>1615.22589806072</v>
      </c>
    </row>
    <row r="14" customFormat="false" ht="15" hidden="false" customHeight="false" outlineLevel="0" collapsed="false">
      <c r="A14" s="0" t="s">
        <v>112</v>
      </c>
      <c r="C14" s="4" t="n">
        <f aca="false">Assumptions!C47</f>
        <v>32</v>
      </c>
      <c r="D14" s="4" t="n">
        <f aca="false">Assumptions!D47</f>
        <v>32</v>
      </c>
      <c r="E14" s="4" t="n">
        <f aca="false">Assumptions!E47</f>
        <v>30</v>
      </c>
      <c r="F14" s="4" t="n">
        <f aca="false">Assumptions!F47</f>
        <v>28</v>
      </c>
      <c r="G14" s="4" t="n">
        <f aca="false">Assumptions!G47</f>
        <v>30</v>
      </c>
      <c r="H14" s="4" t="n">
        <f aca="false">Assumptions!H47</f>
        <v>32</v>
      </c>
      <c r="I14" s="4" t="n">
        <f aca="false">Assumptions!I47</f>
        <v>33</v>
      </c>
      <c r="J14" s="4" t="n">
        <f aca="false">Assumptions!J47</f>
        <v>33</v>
      </c>
      <c r="K14" s="4" t="n">
        <f aca="false">Assumptions!K47</f>
        <v>33</v>
      </c>
      <c r="L14" s="4" t="n">
        <f aca="false">Assumptions!L47</f>
        <v>33</v>
      </c>
    </row>
    <row r="15" customFormat="false" ht="15" hidden="false" customHeight="false" outlineLevel="0" collapsed="false">
      <c r="A15" s="0" t="s">
        <v>127</v>
      </c>
      <c r="C15" s="0" t="n">
        <f aca="false">C13-MAX(0,C13)*C14/100</f>
        <v>651.0235578</v>
      </c>
      <c r="D15" s="0" t="n">
        <f aca="false">D13-MAX(0,D13)*D14/100</f>
        <v>487.4717172864</v>
      </c>
      <c r="E15" s="0" t="n">
        <f aca="false">E13-MAX(0,E13)*E14/100</f>
        <v>589.688443004892</v>
      </c>
      <c r="F15" s="0" t="n">
        <f aca="false">F13-MAX(0,F13)*F14/100</f>
        <v>734.640799806589</v>
      </c>
      <c r="G15" s="0" t="n">
        <f aca="false">G13-MAX(0,G13)*G14/100</f>
        <v>972.075382626961</v>
      </c>
      <c r="H15" s="0" t="n">
        <f aca="false">H13-MAX(0,H13)*H14/100</f>
        <v>975.872957121758</v>
      </c>
      <c r="I15" s="0" t="n">
        <f aca="false">I13-MAX(0,I13)*I14/100</f>
        <v>990.367540749595</v>
      </c>
      <c r="J15" s="0" t="n">
        <f aca="false">J13-MAX(0,J13)*J14/100</f>
        <v>1020.07856697208</v>
      </c>
      <c r="K15" s="0" t="n">
        <f aca="false">K13-MAX(0,K13)*K14/100</f>
        <v>1050.68092398125</v>
      </c>
      <c r="L15" s="0" t="n">
        <f aca="false">L13-MAX(0,L13)*L14/100</f>
        <v>1082.20135170068</v>
      </c>
    </row>
    <row r="16" customFormat="false" ht="15" hidden="false" customHeight="false" outlineLevel="0" collapsed="false">
      <c r="A16" s="0" t="s">
        <v>128</v>
      </c>
      <c r="C16" s="0" t="n">
        <f aca="false">-C12</f>
        <v>449.938335</v>
      </c>
      <c r="D16" s="0" t="n">
        <f aca="false">-D12</f>
        <v>454.44448434</v>
      </c>
      <c r="E16" s="0" t="n">
        <f aca="false">-E12</f>
        <v>488.45741377356</v>
      </c>
      <c r="F16" s="0" t="n">
        <f aca="false">-F12</f>
        <v>539.713586301494</v>
      </c>
      <c r="G16" s="0" t="n">
        <f aca="false">-G12</f>
        <v>629.534533510794</v>
      </c>
      <c r="H16" s="0" t="n">
        <f aca="false">-H12</f>
        <v>643.652771210852</v>
      </c>
      <c r="I16" s="0" t="n">
        <f aca="false">-I12</f>
        <v>662.962354347178</v>
      </c>
      <c r="J16" s="0" t="n">
        <f aca="false">-J12</f>
        <v>682.851224977593</v>
      </c>
      <c r="K16" s="0" t="n">
        <f aca="false">-K12</f>
        <v>703.336761726921</v>
      </c>
      <c r="L16" s="0" t="n">
        <f aca="false">-L12</f>
        <v>724.436864578729</v>
      </c>
    </row>
    <row r="17" customFormat="false" ht="15" hidden="false" customHeight="false" outlineLevel="0" collapsed="false">
      <c r="A17" s="0" t="s">
        <v>129</v>
      </c>
      <c r="C17" s="4" t="n">
        <f aca="false">-C6*Assumptions!C46/100</f>
        <v>-1579.858665</v>
      </c>
      <c r="D17" s="4" t="n">
        <f aca="false">-D6*Assumptions!D46/100</f>
        <v>-1129.71058431</v>
      </c>
      <c r="E17" s="4" t="n">
        <f aca="false">-E6*Assumptions!E46/100</f>
        <v>-750.38385304344</v>
      </c>
      <c r="F17" s="4" t="n">
        <f aca="false">-F6*Assumptions!F46/100</f>
        <v>-689.415164983661</v>
      </c>
      <c r="G17" s="4" t="n">
        <f aca="false">-G6*Assumptions!G46/100</f>
        <v>-638.792394297717</v>
      </c>
      <c r="H17" s="4" t="n">
        <f aca="false">-H6*Assumptions!H46/100</f>
        <v>-667.49176273718</v>
      </c>
      <c r="I17" s="4" t="n">
        <f aca="false">-I6*Assumptions!I46/100</f>
        <v>-687.516515619295</v>
      </c>
      <c r="J17" s="4" t="n">
        <f aca="false">-J6*Assumptions!J46/100</f>
        <v>-708.142011087874</v>
      </c>
      <c r="K17" s="4" t="n">
        <f aca="false">-K6*Assumptions!K46/100</f>
        <v>-729.386271420511</v>
      </c>
      <c r="L17" s="4" t="n">
        <f aca="false">-L6*Assumptions!L46/100</f>
        <v>-751.267859563126</v>
      </c>
    </row>
    <row r="18" customFormat="false" ht="15" hidden="false" customHeight="false" outlineLevel="0" collapsed="false">
      <c r="A18" s="0" t="s">
        <v>130</v>
      </c>
      <c r="C18" s="4" t="n">
        <f aca="false">(C6-B6)*Assumptions!$B$51/100</f>
        <v>-33.7995</v>
      </c>
      <c r="D18" s="4" t="n">
        <f aca="false">(D6-C6)*Assumptions!$B$51/100</f>
        <v>18.268173</v>
      </c>
      <c r="E18" s="4" t="n">
        <f aca="false">(E6-D6)*Assumptions!$B$51/100</f>
        <v>-33.923320662</v>
      </c>
      <c r="F18" s="4" t="n">
        <f aca="false">(F6-E6)*Assumptions!$B$51/100</f>
        <v>-39.996875185806</v>
      </c>
      <c r="G18" s="4" t="n">
        <f aca="false">(G6-F6)*Assumptions!$B$51/100</f>
        <v>-68.941516498366</v>
      </c>
      <c r="H18" s="4" t="n">
        <f aca="false">(H6-G6)*Assumptions!$B$51/100</f>
        <v>-13.8867911803852</v>
      </c>
      <c r="I18" s="4" t="n">
        <f aca="false">(I6-H6)*Assumptions!$B$51/100</f>
        <v>-14.3033949157967</v>
      </c>
      <c r="J18" s="4" t="n">
        <f aca="false">(J6-I6)*Assumptions!$B$51/100</f>
        <v>-14.7324967632706</v>
      </c>
      <c r="K18" s="4" t="n">
        <f aca="false">(K6-J6)*Assumptions!$B$51/100</f>
        <v>-15.1744716661688</v>
      </c>
      <c r="L18" s="4" t="n">
        <f aca="false">(L6-K6)*Assumptions!$B$51/100</f>
        <v>-15.6297058161538</v>
      </c>
    </row>
    <row r="19" customFormat="false" ht="15" hidden="false" customHeight="false" outlineLevel="0" collapsed="false">
      <c r="A19" s="0" t="s">
        <v>131</v>
      </c>
      <c r="C19" s="0" t="n">
        <f aca="false">C15+C16+C17+C18</f>
        <v>-512.6962722</v>
      </c>
      <c r="D19" s="0" t="n">
        <f aca="false">D15+D16+D17+D18</f>
        <v>-169.5262096836</v>
      </c>
      <c r="E19" s="0" t="n">
        <f aca="false">E15+E16+E17+E18</f>
        <v>293.838683073012</v>
      </c>
      <c r="F19" s="0" t="n">
        <f aca="false">F15+F16+F17+F18</f>
        <v>544.942345938617</v>
      </c>
      <c r="G19" s="0" t="n">
        <f aca="false">G15+G16+G17+G18</f>
        <v>893.876005341672</v>
      </c>
      <c r="H19" s="0" t="n">
        <f aca="false">H15+H16+H17+H18</f>
        <v>938.147174415044</v>
      </c>
      <c r="I19" s="0" t="n">
        <f aca="false">I15+I16+I17+I18</f>
        <v>951.509984561681</v>
      </c>
      <c r="J19" s="0" t="n">
        <f aca="false">J15+J16+J17+J18</f>
        <v>980.055284098531</v>
      </c>
      <c r="K19" s="0" t="n">
        <f aca="false">K15+K16+K17+K18</f>
        <v>1009.45694262149</v>
      </c>
      <c r="L19" s="0" t="n">
        <f aca="false">L15+L16+L17+L18</f>
        <v>1039.74065090013</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-466.087520181818</v>
      </c>
      <c r="D21" s="0" t="n">
        <f aca="false">D19*D20</f>
        <v>-140.104305523636</v>
      </c>
      <c r="E21" s="0" t="n">
        <f aca="false">E19*E20</f>
        <v>220.765351670182</v>
      </c>
      <c r="F21" s="0" t="n">
        <f aca="false">F19*F20</f>
        <v>372.202954674282</v>
      </c>
      <c r="G21" s="0" t="n">
        <f aca="false">G19*G20</f>
        <v>555.026671887583</v>
      </c>
      <c r="H21" s="0" t="n">
        <f aca="false">H19*H20</f>
        <v>529.559622510907</v>
      </c>
      <c r="I21" s="0" t="n">
        <f aca="false">I19*I20</f>
        <v>488.275073155401</v>
      </c>
      <c r="J21" s="0" t="n">
        <f aca="false">J19*J20</f>
        <v>457.203023045512</v>
      </c>
      <c r="K21" s="0" t="n">
        <f aca="false">K19*K20</f>
        <v>428.108285215342</v>
      </c>
      <c r="L21" s="0" t="n">
        <f aca="false">L19*L20</f>
        <v>400.865030701639</v>
      </c>
    </row>
    <row r="23" customFormat="false" ht="15" hidden="false" customHeight="false" outlineLevel="0" collapsed="false">
      <c r="A23" s="0" t="s">
        <v>109</v>
      </c>
      <c r="C23" s="4" t="n">
        <f aca="false">Assumptions!C44</f>
        <v>2.8</v>
      </c>
      <c r="D23" s="4" t="n">
        <f aca="false">Assumptions!D44</f>
        <v>2.8</v>
      </c>
      <c r="E23" s="4" t="n">
        <f aca="false">Assumptions!E44</f>
        <v>2.8</v>
      </c>
      <c r="F23" s="4" t="n">
        <f aca="false">Assumptions!F44</f>
        <v>2.8</v>
      </c>
      <c r="G23" s="4" t="n">
        <f aca="false">Assumptions!G44</f>
        <v>2.8</v>
      </c>
      <c r="H23" s="4" t="n">
        <f aca="false">Assumptions!H44</f>
        <v>2.8</v>
      </c>
      <c r="I23" s="4" t="n">
        <f aca="false">Assumptions!I44</f>
        <v>2.8</v>
      </c>
      <c r="J23" s="4" t="n">
        <f aca="false">Assumptions!J44</f>
        <v>2.8</v>
      </c>
      <c r="K23" s="4" t="n">
        <f aca="false">Assumptions!K44</f>
        <v>2.8</v>
      </c>
      <c r="L23" s="4" t="n">
        <f aca="false">Assumptions!L44</f>
        <v>2.8</v>
      </c>
    </row>
    <row r="24" customFormat="false" ht="15" hidden="false" customHeight="false" outlineLevel="0" collapsed="false">
      <c r="A24" s="0" t="s">
        <v>134</v>
      </c>
      <c r="C24" s="0" t="n">
        <f aca="false">-C6*C23/100</f>
        <v>-94.72386</v>
      </c>
      <c r="D24" s="0" t="n">
        <f aca="false">-D6*D23/100</f>
        <v>-89.60877156</v>
      </c>
      <c r="E24" s="0" t="n">
        <f aca="false">-E6*E23/100</f>
        <v>-99.10730134536</v>
      </c>
      <c r="F24" s="0" t="n">
        <f aca="false">-F6*F23/100</f>
        <v>-110.306426397386</v>
      </c>
      <c r="G24" s="0" t="n">
        <f aca="false">-G6*G23/100</f>
        <v>-129.610051016928</v>
      </c>
      <c r="H24" s="0" t="n">
        <f aca="false">-H6*H23/100</f>
        <v>-133.498352547436</v>
      </c>
      <c r="I24" s="0" t="n">
        <f aca="false">-I6*I23/100</f>
        <v>-137.503303123859</v>
      </c>
      <c r="J24" s="0" t="n">
        <f aca="false">-J6*J23/100</f>
        <v>-141.628402217575</v>
      </c>
      <c r="K24" s="0" t="n">
        <f aca="false">-K6*K23/100</f>
        <v>-145.877254284102</v>
      </c>
      <c r="L24" s="0" t="n">
        <f aca="false">-L6*L23/100</f>
        <v>-150.253571912625</v>
      </c>
    </row>
    <row r="26" customFormat="false" ht="15" hidden="false" customHeight="false" outlineLevel="0" collapsed="false">
      <c r="A26" s="2" t="s">
        <v>135</v>
      </c>
    </row>
    <row r="27" customFormat="false" ht="15" hidden="false" customHeight="false" outlineLevel="0" collapsed="false">
      <c r="A27" s="0" t="s">
        <v>113</v>
      </c>
      <c r="B27" s="4" t="n">
        <f aca="false">Assumptions!$B$48</f>
        <v>10</v>
      </c>
    </row>
    <row r="28" customFormat="false" ht="15" hidden="false" customHeight="false" outlineLevel="0" collapsed="false">
      <c r="A28" s="0" t="s">
        <v>114</v>
      </c>
      <c r="B28" s="4" t="n">
        <f aca="false">Assumptions!$B$49</f>
        <v>2.5</v>
      </c>
    </row>
    <row r="29" customFormat="false" ht="15" hidden="false" customHeight="false" outlineLevel="0" collapsed="false">
      <c r="A29" s="0" t="s">
        <v>115</v>
      </c>
      <c r="B29" s="4" t="n">
        <f aca="false">Assumptions!$B$50</f>
        <v>14</v>
      </c>
    </row>
    <row r="30" customFormat="false" ht="15" hidden="false" customHeight="false" outlineLevel="0" collapsed="false">
      <c r="A30" s="0" t="s">
        <v>136</v>
      </c>
      <c r="B30" s="0" t="n">
        <f aca="false">SUM(C21:L21)</f>
        <v>2845.81418715539</v>
      </c>
    </row>
    <row r="31" customFormat="false" ht="15" hidden="false" customHeight="false" outlineLevel="0" collapsed="false">
      <c r="A31" s="0" t="s">
        <v>137</v>
      </c>
      <c r="B31" s="0" t="n">
        <f aca="false">L19</f>
        <v>1039.74065090013</v>
      </c>
    </row>
    <row r="32" customFormat="false" ht="15" hidden="false" customHeight="false" outlineLevel="0" collapsed="false">
      <c r="A32" s="0" t="s">
        <v>138</v>
      </c>
      <c r="B32" s="0" t="n">
        <f aca="false">IF(B27&gt;B28,B31*(1+B28/100)/((B27-B28)/100),B31*B29)</f>
        <v>14209.7888956351</v>
      </c>
    </row>
    <row r="33" customFormat="false" ht="15" hidden="false" customHeight="false" outlineLevel="0" collapsed="false">
      <c r="A33" s="0" t="s">
        <v>139</v>
      </c>
      <c r="B33" s="0" t="n">
        <f aca="false">B31*B29</f>
        <v>14556.3691126018</v>
      </c>
    </row>
    <row r="34" customFormat="false" ht="15" hidden="false" customHeight="false" outlineLevel="0" collapsed="false">
      <c r="A34" s="0" t="s">
        <v>140</v>
      </c>
      <c r="B34" s="0" t="n">
        <f aca="false">MAX(0,MIN(B32,B33))</f>
        <v>14209.7888956351</v>
      </c>
    </row>
    <row r="35" customFormat="false" ht="15" hidden="false" customHeight="false" outlineLevel="0" collapsed="false">
      <c r="A35" s="0" t="s">
        <v>141</v>
      </c>
      <c r="B35" s="0" t="n">
        <f aca="false">B34/(1+B27/100)^L4</f>
        <v>5478.4887529224</v>
      </c>
    </row>
    <row r="36" customFormat="false" ht="15" hidden="false" customHeight="false" outlineLevel="0" collapsed="false">
      <c r="A36" s="0" t="s">
        <v>142</v>
      </c>
      <c r="B36" s="0" t="n">
        <f aca="false">B30+B35</f>
        <v>8324.30294007779</v>
      </c>
    </row>
    <row r="37" customFormat="false" ht="15" hidden="false" customHeight="false" outlineLevel="0" collapsed="false">
      <c r="A37" s="0" t="s">
        <v>143</v>
      </c>
      <c r="B37" s="0" t="n">
        <f aca="false">B36+Assumptions!$B$5-Assumptions!$B$4</f>
        <v>13029.3029400778</v>
      </c>
    </row>
    <row r="38" customFormat="false" ht="15" hidden="false" customHeight="false" outlineLevel="0" collapsed="false">
      <c r="A38" s="0" t="s">
        <v>144</v>
      </c>
      <c r="B38" s="0" t="n">
        <f aca="false">B37/Assumptions!$B$3*Assumptions!$B$10</f>
        <v>4.12681455122064</v>
      </c>
    </row>
    <row r="39" customFormat="false" ht="15" hidden="false" customHeight="false" outlineLevel="0" collapsed="false">
      <c r="A39" s="0" t="s">
        <v>145</v>
      </c>
      <c r="B39" s="4" t="n">
        <f aca="false">B38/Assumptions!$B$2-1</f>
        <v>-0.164612439024162</v>
      </c>
    </row>
    <row r="41" customFormat="false" ht="15" hidden="false" customHeight="false" outlineLevel="0" collapsed="false">
      <c r="A41" s="0" t="s">
        <v>146</v>
      </c>
      <c r="B41" s="0" t="n">
        <f aca="false">SUMPRODUCT(-C10:L10/(1+$B$27/100)^C4:L4)</f>
        <v>154.764012758974</v>
      </c>
    </row>
    <row r="42" customFormat="false" ht="15" hidden="false" customHeight="false" outlineLevel="0" collapsed="false">
      <c r="A42" s="0" t="s">
        <v>147</v>
      </c>
      <c r="B42" s="0" t="n">
        <f aca="false">IF(B27&gt;B28,-L10*(1+B28/100)/((B27-B28)/100),-L10*20)/(1+B27/100)^L4</f>
        <v>169.64996506521</v>
      </c>
    </row>
    <row r="43" customFormat="false" ht="15" hidden="false" customHeight="false" outlineLevel="0" collapsed="false">
      <c r="A43" s="0" t="s">
        <v>148</v>
      </c>
      <c r="B43" s="0" t="n">
        <f aca="false">(B37+B41+B42)/Assumptions!$B$3*Assumptions!$B$10</f>
        <v>4.22956727179682</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8525.87333738108</v>
      </c>
    </row>
    <row r="47" customFormat="false" ht="15" hidden="false" customHeight="false" outlineLevel="0" collapsed="false">
      <c r="A47" s="0" t="s">
        <v>150</v>
      </c>
      <c r="B47" s="0" t="n">
        <f aca="false">(SUMPRODUCT(C19:L19/(1+B45/100)^C4:L4)+B46/(1+B45/100)^L4+Assumptions!$B$5-Assumptions!$B$4)/Assumptions!$B$3*Assumptions!$B$10</f>
        <v>2.7920937522048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1.30929661419243</v>
      </c>
      <c r="C4" s="0" t="n">
        <f aca="false">B4/Assumptions!$B$2-1</f>
        <v>-0.734960199556189</v>
      </c>
      <c r="D4" s="4" t="n">
        <f aca="false">Assumptions!$B$24</f>
        <v>0.3</v>
      </c>
      <c r="E4" s="4" t="n">
        <f aca="false">DCF_Bear!$B$43</f>
        <v>1.37088464062177</v>
      </c>
      <c r="F4" s="4" t="n">
        <f aca="false">DCF_Bear!$B$47</f>
        <v>1.16071735074102</v>
      </c>
    </row>
    <row r="5" customFormat="false" ht="15" hidden="false" customHeight="false" outlineLevel="0" collapsed="false">
      <c r="A5" s="0" t="s">
        <v>159</v>
      </c>
      <c r="B5" s="4" t="n">
        <f aca="false">DCF_Base!$B$38</f>
        <v>2.99683240734192</v>
      </c>
      <c r="C5" s="0" t="n">
        <f aca="false">B5/Assumptions!$B$2-1</f>
        <v>-0.393353763695968</v>
      </c>
      <c r="D5" s="4" t="n">
        <f aca="false">Assumptions!$B$38</f>
        <v>0.5</v>
      </c>
      <c r="E5" s="4" t="n">
        <f aca="false">DCF_Base!$B$43</f>
        <v>3.0814516001783</v>
      </c>
      <c r="F5" s="4" t="n">
        <f aca="false">DCF_Base!$B$47</f>
        <v>2.20327774285093</v>
      </c>
    </row>
    <row r="6" customFormat="false" ht="15" hidden="false" customHeight="false" outlineLevel="0" collapsed="false">
      <c r="A6" s="0" t="s">
        <v>160</v>
      </c>
      <c r="B6" s="4" t="n">
        <f aca="false">DCF_Bull!$B$38</f>
        <v>4.12681455122064</v>
      </c>
      <c r="C6" s="0" t="n">
        <f aca="false">B6/Assumptions!$B$2-1</f>
        <v>-0.164612439024162</v>
      </c>
      <c r="D6" s="4" t="n">
        <f aca="false">Assumptions!$B$52</f>
        <v>0.2</v>
      </c>
      <c r="E6" s="4" t="n">
        <f aca="false">DCF_Bull!$B$43</f>
        <v>4.22956727179682</v>
      </c>
      <c r="F6" s="4" t="n">
        <f aca="false">DCF_Bull!$B$47</f>
        <v>2.7920937522048</v>
      </c>
    </row>
    <row r="8" customFormat="false" ht="15" hidden="false" customHeight="false" outlineLevel="0" collapsed="false">
      <c r="A8" s="0" t="s">
        <v>161</v>
      </c>
      <c r="B8" s="0" t="n">
        <f aca="false">SUMPRODUCT(B4:B6,D4:D6)</f>
        <v>2.71656809817282</v>
      </c>
    </row>
    <row r="9" customFormat="false" ht="15" hidden="false" customHeight="false" outlineLevel="0" collapsed="false">
      <c r="A9" s="0" t="s">
        <v>162</v>
      </c>
      <c r="B9" s="0" t="n">
        <f aca="false">SUMPRODUCT(E4:E6,D4:D6)</f>
        <v>2.79790464663504</v>
      </c>
    </row>
    <row r="10" customFormat="false" ht="15" hidden="false" customHeight="false" outlineLevel="0" collapsed="false">
      <c r="A10" s="0" t="s">
        <v>163</v>
      </c>
      <c r="B10" s="0" t="n">
        <f aca="false">1-Assumptions!$B$2/B8</f>
        <v>-0.818470887338581</v>
      </c>
    </row>
    <row r="11" customFormat="false" ht="15" hidden="false" customHeight="false" outlineLevel="0" collapsed="false">
      <c r="A11" s="0" t="s">
        <v>164</v>
      </c>
      <c r="B11" s="0" t="n">
        <f aca="false">IF(ABS(B9-B8)&gt;0.01*ABS(B8),(Assumptions!$B$2-B8)/(B9-B8)*100,"n/a")</f>
        <v>2733.61968741488</v>
      </c>
    </row>
    <row r="12" customFormat="false" ht="15" hidden="false" customHeight="false" outlineLevel="0" collapsed="false">
      <c r="A12" s="0" t="s">
        <v>165</v>
      </c>
      <c r="B12" s="0" t="n">
        <f aca="false">SUMPRODUCT(F4:F6,D4:D6)</f>
        <v>2.00827282708873</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3.14274923794677</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2.99683240734192</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2.80983506758068</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2.60928411094874</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2.20327774285093</v>
      </c>
      <c r="C19" s="3" t="n">
        <v>15</v>
      </c>
    </row>
    <row r="21" customFormat="false" ht="15" hidden="false" customHeight="false" outlineLevel="0" collapsed="false">
      <c r="A21" s="2" t="s">
        <v>173</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3.30325766113153</v>
      </c>
      <c r="C23" s="0" t="n">
        <f aca="false">(SUMPRODUCT(DCF_Base!$C$19:$L$19/(1+$A$23/100)^DCF_Base!$C$4:$L$4)+MAX(0,MIN(IF($A$23&gt;$C$22,DCF_Base!$L$19*(1+$C$22/100)/(($A$23-$C$22)/100),DCF_Base!$L$19*DCF_Base!$B$29),DCF_Base!$L$19*DCF_Base!$B$29))/(1+$A$23/100)^DCF_Base!$L$4+Assumptions!$B$5-Assumptions!$B$4)/Assumptions!$B$3*Assumptions!$B$10</f>
        <v>3.30325766113153</v>
      </c>
      <c r="D23" s="0" t="n">
        <f aca="false">(SUMPRODUCT(DCF_Base!$C$19:$L$19/(1+$A$23/100)^DCF_Base!$C$4:$L$4)+MAX(0,MIN(IF($A$23&gt;$D$22,DCF_Base!$L$19*(1+$D$22/100)/(($A$23-$D$22)/100),DCF_Base!$L$19*DCF_Base!$B$29),DCF_Base!$L$19*DCF_Base!$B$29))/(1+$A$23/100)^DCF_Base!$L$4+Assumptions!$B$5-Assumptions!$B$4)/Assumptions!$B$3*Assumptions!$B$10</f>
        <v>3.30325766113153</v>
      </c>
      <c r="E23" s="0" t="n">
        <f aca="false">(SUMPRODUCT(DCF_Base!$C$19:$L$19/(1+$A$23/100)^DCF_Base!$C$4:$L$4)+MAX(0,MIN(IF($A$23&gt;$E$22,DCF_Base!$L$19*(1+$E$22/100)/(($A$23-$E$22)/100),DCF_Base!$L$19*DCF_Base!$B$29),DCF_Base!$L$19*DCF_Base!$B$29))/(1+$A$23/100)^DCF_Base!$L$4+Assumptions!$B$5-Assumptions!$B$4)/Assumptions!$B$3*Assumptions!$B$10</f>
        <v>3.30325766113153</v>
      </c>
      <c r="F23" s="0" t="n">
        <f aca="false">(SUMPRODUCT(DCF_Base!$C$19:$L$19/(1+$A$23/100)^DCF_Base!$C$4:$L$4)+MAX(0,MIN(IF($A$23&gt;$F$22,DCF_Base!$L$19*(1+$F$22/100)/(($A$23-$F$22)/100),DCF_Base!$L$19*DCF_Base!$B$29),DCF_Base!$L$19*DCF_Base!$B$29))/(1+$A$23/100)^DCF_Base!$L$4+Assumptions!$B$5-Assumptions!$B$4)/Assumptions!$B$3*Assumptions!$B$10</f>
        <v>3.30325766113153</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3.14274923794677</v>
      </c>
      <c r="C24" s="0" t="n">
        <f aca="false">(SUMPRODUCT(DCF_Base!$C$19:$L$19/(1+$A$24/100)^DCF_Base!$C$4:$L$4)+MAX(0,MIN(IF($A$24&gt;$C$22,DCF_Base!$L$19*(1+$C$22/100)/(($A$24-$C$22)/100),DCF_Base!$L$19*DCF_Base!$B$29),DCF_Base!$L$19*DCF_Base!$B$29))/(1+$A$24/100)^DCF_Base!$L$4+Assumptions!$B$5-Assumptions!$B$4)/Assumptions!$B$3*Assumptions!$B$10</f>
        <v>3.14274923794677</v>
      </c>
      <c r="D24" s="0" t="n">
        <f aca="false">(SUMPRODUCT(DCF_Base!$C$19:$L$19/(1+$A$24/100)^DCF_Base!$C$4:$L$4)+MAX(0,MIN(IF($A$24&gt;$D$22,DCF_Base!$L$19*(1+$D$22/100)/(($A$24-$D$22)/100),DCF_Base!$L$19*DCF_Base!$B$29),DCF_Base!$L$19*DCF_Base!$B$29))/(1+$A$24/100)^DCF_Base!$L$4+Assumptions!$B$5-Assumptions!$B$4)/Assumptions!$B$3*Assumptions!$B$10</f>
        <v>3.14274923794677</v>
      </c>
      <c r="E24" s="0" t="n">
        <f aca="false">(SUMPRODUCT(DCF_Base!$C$19:$L$19/(1+$A$24/100)^DCF_Base!$C$4:$L$4)+MAX(0,MIN(IF($A$24&gt;$E$22,DCF_Base!$L$19*(1+$E$22/100)/(($A$24-$E$22)/100),DCF_Base!$L$19*DCF_Base!$B$29),DCF_Base!$L$19*DCF_Base!$B$29))/(1+$A$24/100)^DCF_Base!$L$4+Assumptions!$B$5-Assumptions!$B$4)/Assumptions!$B$3*Assumptions!$B$10</f>
        <v>3.14274923794677</v>
      </c>
      <c r="F24" s="0" t="n">
        <f aca="false">(SUMPRODUCT(DCF_Base!$C$19:$L$19/(1+$A$24/100)^DCF_Base!$C$4:$L$4)+MAX(0,MIN(IF($A$24&gt;$F$22,DCF_Base!$L$19*(1+$F$22/100)/(($A$24-$F$22)/100),DCF_Base!$L$19*DCF_Base!$B$29),DCF_Base!$L$19*DCF_Base!$B$29))/(1+$A$24/100)^DCF_Base!$L$4+Assumptions!$B$5-Assumptions!$B$4)/Assumptions!$B$3*Assumptions!$B$10</f>
        <v>3.14274923794677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2.92758611625557</v>
      </c>
      <c r="C25" s="0" t="n">
        <f aca="false">(SUMPRODUCT(DCF_Base!$C$19:$L$19/(1+$A$25/100)^DCF_Base!$C$4:$L$4)+MAX(0,MIN(IF($A$25&gt;$C$22,DCF_Base!$L$19*(1+$C$22/100)/(($A$25-$C$22)/100),DCF_Base!$L$19*DCF_Base!$B$29),DCF_Base!$L$19*DCF_Base!$B$29))/(1+$A$25/100)^DCF_Base!$L$4+Assumptions!$B$5-Assumptions!$B$4)/Assumptions!$B$3*Assumptions!$B$10</f>
        <v>2.99159529289001</v>
      </c>
      <c r="D25" s="0" t="n">
        <f aca="false">(SUMPRODUCT(DCF_Base!$C$19:$L$19/(1+$A$25/100)^DCF_Base!$C$4:$L$4)+MAX(0,MIN(IF($A$25&gt;$D$22,DCF_Base!$L$19*(1+$D$22/100)/(($A$25-$D$22)/100),DCF_Base!$L$19*DCF_Base!$B$29),DCF_Base!$L$19*DCF_Base!$B$29))/(1+$A$25/100)^DCF_Base!$L$4+Assumptions!$B$5-Assumptions!$B$4)/Assumptions!$B$3*Assumptions!$B$10</f>
        <v>2.99683240734192</v>
      </c>
      <c r="E25" s="0" t="n">
        <f aca="false">(SUMPRODUCT(DCF_Base!$C$19:$L$19/(1+$A$25/100)^DCF_Base!$C$4:$L$4)+MAX(0,MIN(IF($A$25&gt;$E$22,DCF_Base!$L$19*(1+$E$22/100)/(($A$25-$E$22)/100),DCF_Base!$L$19*DCF_Base!$B$29),DCF_Base!$L$19*DCF_Base!$B$29))/(1+$A$25/100)^DCF_Base!$L$4+Assumptions!$B$5-Assumptions!$B$4)/Assumptions!$B$3*Assumptions!$B$10</f>
        <v>2.99683240734192</v>
      </c>
      <c r="F25" s="0" t="n">
        <f aca="false">(SUMPRODUCT(DCF_Base!$C$19:$L$19/(1+$A$25/100)^DCF_Base!$C$4:$L$4)+MAX(0,MIN(IF($A$25&gt;$F$22,DCF_Base!$L$19*(1+$F$22/100)/(($A$25-$F$22)/100),DCF_Base!$L$19*DCF_Base!$B$29),DCF_Base!$L$19*DCF_Base!$B$29))/(1+$A$25/100)^DCF_Base!$L$4+Assumptions!$B$5-Assumptions!$B$4)/Assumptions!$B$3*Assumptions!$B$10</f>
        <v>2.99683240734192</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2.7095310059092</v>
      </c>
      <c r="C26" s="0" t="n">
        <f aca="false">(SUMPRODUCT(DCF_Base!$C$19:$L$19/(1+$A$26/100)^DCF_Base!$C$4:$L$4)+MAX(0,MIN(IF($A$26&gt;$C$22,DCF_Base!$L$19*(1+$C$22/100)/(($A$26-$C$22)/100),DCF_Base!$L$19*DCF_Base!$B$29),DCF_Base!$L$19*DCF_Base!$B$29))/(1+$A$26/100)^DCF_Base!$L$4+Assumptions!$B$5-Assumptions!$B$4)/Assumptions!$B$3*Assumptions!$B$10</f>
        <v>2.75704345617464</v>
      </c>
      <c r="D26" s="0" t="n">
        <f aca="false">(SUMPRODUCT(DCF_Base!$C$19:$L$19/(1+$A$26/100)^DCF_Base!$C$4:$L$4)+MAX(0,MIN(IF($A$26&gt;$D$22,DCF_Base!$L$19*(1+$D$22/100)/(($A$26-$D$22)/100),DCF_Base!$L$19*DCF_Base!$B$29),DCF_Base!$L$19*DCF_Base!$B$29))/(1+$A$26/100)^DCF_Base!$L$4+Assumptions!$B$5-Assumptions!$B$4)/Assumptions!$B$3*Assumptions!$B$10</f>
        <v>2.80983506758068</v>
      </c>
      <c r="E26" s="0" t="n">
        <f aca="false">(SUMPRODUCT(DCF_Base!$C$19:$L$19/(1+$A$26/100)^DCF_Base!$C$4:$L$4)+MAX(0,MIN(IF($A$26&gt;$E$22,DCF_Base!$L$19*(1+$E$22/100)/(($A$26-$E$22)/100),DCF_Base!$L$19*DCF_Base!$B$29),DCF_Base!$L$19*DCF_Base!$B$29))/(1+$A$26/100)^DCF_Base!$L$4+Assumptions!$B$5-Assumptions!$B$4)/Assumptions!$B$3*Assumptions!$B$10</f>
        <v>2.86405347929499</v>
      </c>
      <c r="F26" s="0" t="n">
        <f aca="false">(SUMPRODUCT(DCF_Base!$C$19:$L$19/(1+$A$26/100)^DCF_Base!$C$4:$L$4)+MAX(0,MIN(IF($A$26&gt;$F$22,DCF_Base!$L$19*(1+$F$22/100)/(($A$26-$F$22)/100),DCF_Base!$L$19*DCF_Base!$B$29),DCF_Base!$L$19*DCF_Base!$B$29))/(1+$A$26/100)^DCF_Base!$L$4+Assumptions!$B$5-Assumptions!$B$4)/Assumptions!$B$3*Assumptions!$B$10</f>
        <v>2.86405347929499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2.53358113560573</v>
      </c>
      <c r="C27" s="0" t="n">
        <f aca="false">(SUMPRODUCT(DCF_Base!$C$19:$L$19/(1+$A$27/100)^DCF_Base!$C$4:$L$4)+MAX(0,MIN(IF($A$27&gt;$C$22,DCF_Base!$L$19*(1+$C$22/100)/(($A$27-$C$22)/100),DCF_Base!$L$19*DCF_Base!$B$29),DCF_Base!$L$19*DCF_Base!$B$29))/(1+$A$27/100)^DCF_Base!$L$4+Assumptions!$B$5-Assumptions!$B$4)/Assumptions!$B$3*Assumptions!$B$10</f>
        <v>2.56963017148335</v>
      </c>
      <c r="D27" s="0" t="n">
        <f aca="false">(SUMPRODUCT(DCF_Base!$C$19:$L$19/(1+$A$27/100)^DCF_Base!$C$4:$L$4)+MAX(0,MIN(IF($A$27&gt;$D$22,DCF_Base!$L$19*(1+$D$22/100)/(($A$27-$D$22)/100),DCF_Base!$L$19*DCF_Base!$B$29),DCF_Base!$L$19*DCF_Base!$B$29))/(1+$A$27/100)^DCF_Base!$L$4+Assumptions!$B$5-Assumptions!$B$4)/Assumptions!$B$3*Assumptions!$B$10</f>
        <v>2.60928411094874</v>
      </c>
      <c r="E27" s="0" t="n">
        <f aca="false">(SUMPRODUCT(DCF_Base!$C$19:$L$19/(1+$A$27/100)^DCF_Base!$C$4:$L$4)+MAX(0,MIN(IF($A$27&gt;$E$22,DCF_Base!$L$19*(1+$E$22/100)/(($A$27-$E$22)/100),DCF_Base!$L$19*DCF_Base!$B$29),DCF_Base!$L$19*DCF_Base!$B$29))/(1+$A$27/100)^DCF_Base!$L$4+Assumptions!$B$5-Assumptions!$B$4)/Assumptions!$B$3*Assumptions!$B$10</f>
        <v>2.65311214930522</v>
      </c>
      <c r="F27" s="0" t="n">
        <f aca="false">(SUMPRODUCT(DCF_Base!$C$19:$L$19/(1+$A$27/100)^DCF_Base!$C$4:$L$4)+MAX(0,MIN(IF($A$27&gt;$F$22,DCF_Base!$L$19*(1+$F$22/100)/(($A$27-$F$22)/100),DCF_Base!$L$19*DCF_Base!$B$29),DCF_Base!$L$19*DCF_Base!$B$29))/(1+$A$27/100)^DCF_Base!$L$4+Assumptions!$B$5-Assumptions!$B$4)/Assumptions!$B$3*Assumptions!$B$10</f>
        <v>2.7018099697013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2026-09-25T04:41:37Z</dcterms:created>
  <dc:creator>openpyxl</dc:creator>
  <dc:description/>
  <dc:language>en-NZ</dc:language>
  <cp:lastModifiedBy/>
  <dcterms:modified xsi:type="dcterms:W3CDTF">2026-09-25T04:41:37Z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