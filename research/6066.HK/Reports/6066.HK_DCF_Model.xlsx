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<sst xmlns="http://schemas.openxmlformats.org/spreadsheetml/2006/main" count="359" uniqueCount="167">
  <si>
    <t xml:space="preserve">Ticker</t>
  </si>
  <si>
    <t xml:space="preserve">6066.HK</t>
  </si>
  <si>
    <t xml:space="preserve">Company</t>
  </si>
  <si>
    <t xml:space="preserve">CSC Financial Co., Ltd.</t>
  </si>
  <si>
    <t xml:space="preserve">Valuation date</t>
  </si>
  <si>
    <t xml:space="preserve">2026-10-24</t>
  </si>
  <si>
    <t xml:space="preserve">Current price</t>
  </si>
  <si>
    <t xml:space="preserve">Price as of</t>
  </si>
  <si>
    <t xml:space="preserve">2026-10-23T08:08:08Z (HKEX regular session close; 52-week range 10.18-14.35)</t>
  </si>
  <si>
    <t xml:space="preserve">Balance sheet date</t>
  </si>
  <si>
    <t xml:space="preserve">2026-06-30</t>
  </si>
  <si>
    <t xml:space="preserve">Model</t>
  </si>
  <si>
    <t xml:space="preserve">Broker FCFE capitalisation at cost of equity (bank-style, net debt held at zero, engine route)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</si>
  <si>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</si>
  <si>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</si>
  <si>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</si>
  <si>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</si>
  <si>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</si>
  <si>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</si>
  <si>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</si>
  <si>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</si>
  <si>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</si>
  <si>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2026-10-23T11:23:49Z</t>
  </si>
  <si>
    <t xml:space="preserve">Drivers file</t>
  </si>
  <si>
    <t xml:space="preserve">6066.HK_Drivers.json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</si>
  <si>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</si>
  <si>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</si>
  <si>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</si>
  <si>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broker's value is its through-cycle return on equity against its cost of equity, not a snapshot of a boom year. CSC Financial is a top-3 Chinese investment bank with state parents and a strong underwriting franchise, and it has earned ~9-10% on common equity across the last cycle -- about its cost of equity -- so fair value is close to common book (RMB11.29/sh after stripping RMB38bn of equity-classified perpetual bonds, whose distributions are charged in the flows). FY2026 earnings (likely ~RMB12-13bn to common, ROE ~15%) are a cycle high built on near-doubled A-share turnover, and the model fades them rather than capitalising them. The H-share at ~0.8x common book and ~6-7x FY2026E earnings prices a cycle reversal; the A-share at ~2x book prices the reform story and a scarcity premium. The valuation sits at the H-share, not between.
key_risks_to_valuation: Cycle reversal: 25% of FY2025 revenue was mark-to-market investment income (with an -RMB8.6bn derivatives line inside it) and brokerage commissions move one-for-one with A-share turnover; a market fall reverses both (bear case -20% revenue in FY2027).; Policy: CSRC levers on IPO pace, margin rules, stamp duty and fund fee-rate reform can cut brokerage, IB and AM revenue abruptly, as they did in 2022-23.; Retention earning below cost of equity: actual payout ~32% means the company keeps compounding common book at 6-8%/yr while the balance sheet grows faster (+27% total assets in H1 2026, risk coverage 236% -&gt; 207%); if the retained capital earns 7% rather than 9-10%, value falls toward the bear case regardless of the cycle.; Perpetual bonds: RMB38bn of equity-classified perpetuals (44% of common equity) carry a fixed ~RMB1.3bn/yr distribution that is senior to ordinary dividends; the model treats them as a leakage on PBT, and a trough year makes that charge a larger share of earnings.; Consolidation: a forced merger (CSC has been a recurring subject of tie-up speculation with CITIC Securities, unconfirmed) would bring dilution and integration risk; merged rivals could take underwriting share.; Currency: value is built in CNY and bridged at 1.1748 HKD/CNY; CNY depreciation lowers the HKD value one-for-one.; A/H discount: the H-share trades at ~40% of the A-share's common-currency price; the model does not assume the discount closes, and H-share supply (16% of capital) is thin.</t>
  </si>
  <si>
    <t xml:space="preserve">Data sources</t>
  </si>
  <si>
    <t xml:space="preserve">price: Yahoo Finance chart API for 6066.HK at inputs.price_as_of; 52-week range 10.18-14.35. CNYHKD=X and 601066.SS from the same API at the same time.
financials: 6066.HK_Metrics.csv / core_metrics (FY2017-FY2025 annual, H1 FY2023-FY2026 interims; RMB millions). H1 2026 PBT, equity, perpetual bonds and distributions from 6066.HK_HalfYear_H1-2026.txt (lines 474, 543-547, 3690-3699, 4481, 5613-5639). PBT 5-year table, ROE, tax, perpetual distributions and dividends from 6066.HK_Annual_FY2025.txt (lines 1294, 1337, 1423, 9439, 12180, 12191); FY2020-23 perpetual distributions from the FY2021/FY2023 statements of changes in equity.
qualitative: 6066.HK_Analysis.json (2026-10-24).</t>
  </si>
  <si>
    <t xml:space="preserve">Scenario narrative: bear</t>
  </si>
  <si>
    <t xml:space="preserve">The boom reverses: a policy move to cool speculative turnover, or a market fall that flips the proprietary and derivatives book's marks. Revenue -20% in FY2027 and -8% in FY2028 (a harsher replay of FY2022-23), pre-tax margin 25-27%, fee-rate reform and the merged rivals cap the recovery at 2.5% growth, and the RMB38bn of perpetual bonds become a heavier fixed charge on a smaller PBT. ROE ~7% against a 10.5% cost of equity: the FCFE stream is ~RMB3-4bn and the common equity is worth ~0.5x book, the 2023-24 trough rating for the sector.</t>
  </si>
  <si>
    <t xml:space="preserve">Scenario narrative: base</t>
  </si>
  <si>
    <t xml:space="preserve">FY2026 is the cycle peak: revenue +25% to ~RMB43.7bn on H1's +42%, pre-tax margin 39%, common profit ~RMB12.5bn (ROE ~15% on the RMB83bn common base). FY2027-28 give back 11% of revenue as A-share turnover, margin balances and investment-income marks normalise, the margin settles at 30% (a point above the FY2021-25 average, held by scale, the international arm and the fee-mix shift), and growth fades to 3% nominal. Through-cycle ROE ~9% versus a 10.5% cost of equity, so fair value sits a little under common book (RMB11.29/sh, ex the RMB38bn of perpetuals): the FCFE stream of ~RMB5-7bn/yr capitalised at 7.5% (10.5% - 3%). The business compounds common book at 3-5% while paying out ~65% of earnings in capacity terms; actual payout is ~32% and the surplus is credited as value-neutral retention.</t>
  </si>
  <si>
    <t xml:space="preserve">Scenario narrative: bull</t>
  </si>
  <si>
    <t xml:space="preserve">The 2025-26 upswing is the start of the structural re-rating Beijing is engineering: consolidation toward ~10 leading institutions with CSC a designated 'first-class investment bank' by 2030, pension pillars past RMB1tn, Stock Connect flows, and China Securities International (CATL sponsor) taking international revenue to a meaningful share. Revenue +33% in FY2026 with only a shallow FY2027 dip, a 33% through-cycle pre-tax margin, ROE ~11%, terminal growth 3.5%. CSC earns above its cost of equity, so the value moves above common book -- still far below where the A-share (~2x book) trades.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</si>
  <si>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</si>
  <si>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</si>
  <si>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</si>
  <si>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</si>
  <si>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</si>
  <si>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</si>
  <si>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</si>
  <si>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</si>
  <si>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</si>
  <si>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</si>
  <si>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</si>
  <si>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</si>
  <si>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</si>
  <si>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</si>
  <si>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</si>
  <si>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</si>
  <si>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</si>
  <si>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</si>
  <si>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</si>
  <si>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</si>
  <si>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</si>
  <si>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</si>
  <si>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</si>
  <si>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</si>
  <si>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</si>
  <si>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</si>
  <si>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</si>
  <si>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OtherEquityInstruments</t>
  </si>
  <si>
    <t xml:space="preserve">RevenueRestated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</si>
  <si>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</si>
  <si>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</si>
  <si>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</si>
  <si>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</si>
  <si>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</si>
  <si>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</si>
  <si>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</si>
  <si>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</si>
  <si>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</si>
  <si>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</si>
  <si>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</si>
  <si>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</si>
  <si>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</si>
  <si>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</si>
  <si>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</si>
  <si>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</si>
  <si>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</si>
  <si>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</si>
  <si>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</si>
  <si>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</si>
  <si>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</si>
  <si>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</si>
  <si>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</si>
  <si>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</si>
  <si>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</si>
  <si>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</si>
  <si>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</si>
  <si>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</si>
  <si>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</si>
  <si>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</si>
  <si>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</si>
  <si>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</si>
  <si>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</si>
  <si>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</si>
  <si>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</si>
  <si>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</si>
  <si>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</si>
  <si>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</si>
  <si>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</si>
  <si>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</si>
  <si>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</si>
  <si>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</si>
  <si>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</si>
  <si>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</si>
  <si>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</si>
  <si>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</si>
  <si>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6066.HK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</si>
  <si>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</si>
  <si>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</si>
  <si>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</si>
  <si>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</si>
  <si>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</si>
  <si>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</si>
  <si>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</si>
  <si>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</si>
  <si>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</si>
  <si>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</si>
  <si>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</si>
  <si>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</si>
  <si>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</si>
  <si>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</si>
  <si>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</si>
  <si>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</si>
  <si>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</si>
  <si>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</si>
  <si>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</si>
  <si>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</si>
  <si>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</si>
  <si>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</si>
  <si>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</si>
  <si>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</si>
  <si>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</si>
  <si>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</si>
  <si>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</si>
  <si>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</si>
  <si>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</si>
  <si>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</si>
  <si>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6066.HK owner-FCF component DCF: base case (millions, CNY)</t>
  </si>
  <si>
    <t xml:space="preserve">6066.HK owner-FCF component DCF: bull case (millions, CNY)</t>
  </si>
  <si>
    <t xml:space="preserve">6066.HK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</si>
  <si>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</si>
  <si>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</si>
  <si>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</si>
  <si>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</si>
  <si>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</si>
  <si>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</si>
  <si>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</si>
  <si>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</si>
  <si>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</si>
  <si>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</si>
  <si>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</si>
  <si>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</si>
  <si>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</si>
  <si>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</si>
  <si>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</si>
  <si>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</si>
  <si>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10.5%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</si>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</sst>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10.76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</row>
    <row r="2" customFormat="false" ht="15" hidden="false" customHeight="false" outlineLevel="0" collapsed="false">
      <c r="A2" s="0" t="s">
        <v>66</v>
      </c>
      <c r="B2" s="0" t="n">
        <v>16421.4</v>
      </c>
      <c r="F2" s="0" t="n">
        <v>5349.3</v>
      </c>
      <c r="G2" s="0" t="n">
        <v>32.6</v>
      </c>
      <c r="I2" s="0" t="n">
        <v>4015.4</v>
      </c>
      <c r="J2" s="0" t="n">
        <v>24.5</v>
      </c>
      <c r="K2" s="0" t="n">
        <v>0.51</v>
      </c>
      <c r="L2" s="0" t="n">
        <v>-30447.5</v>
      </c>
      <c r="M2" s="0" t="n">
        <v>258.2</v>
      </c>
      <c r="O2" s="0" t="n">
        <v>43754.1</v>
      </c>
      <c r="P2" s="0" t="n">
        <v>205883.4</v>
      </c>
      <c r="Q2" s="0" t="n">
        <v>161884.6</v>
      </c>
      <c r="R2" s="0" t="n">
        <v>53565.3</v>
      </c>
      <c r="S2" s="0" t="n">
        <v>11227.9</v>
      </c>
      <c r="AA2" s="0" t="s">
        <v>18</v>
      </c>
      <c r="AB2" s="0" t="s">
        <v>14</v>
      </c>
      <c r="AC2" s="0" t="n">
        <v>5000</v>
      </c>
    </row>
    <row r="3" customFormat="false" ht="15" hidden="false" customHeight="false" outlineLevel="0" collapsed="false">
      <c r="A3" s="0" t="s">
        <v>67</v>
      </c>
      <c r="B3" s="0" t="n">
        <v>16491.8</v>
      </c>
      <c r="F3" s="0" t="n">
        <v>4043.6</v>
      </c>
      <c r="G3" s="0" t="n">
        <v>24.5</v>
      </c>
      <c r="I3" s="0" t="n">
        <v>3087.5</v>
      </c>
      <c r="J3" s="0" t="n">
        <v>18.7</v>
      </c>
      <c r="K3" s="0" t="n">
        <v>0.37</v>
      </c>
      <c r="L3" s="0" t="n">
        <v>10560.1</v>
      </c>
      <c r="M3" s="0" t="n">
        <v>172.9</v>
      </c>
      <c r="O3" s="0" t="n">
        <v>47577.2</v>
      </c>
      <c r="P3" s="0" t="n">
        <v>195082.3</v>
      </c>
      <c r="Q3" s="0" t="n">
        <v>147218.9</v>
      </c>
      <c r="R3" s="0" t="n">
        <v>52522.2</v>
      </c>
      <c r="S3" s="0" t="n">
        <v>17055.8</v>
      </c>
      <c r="T3" s="0" t="n">
        <v>7458.99</v>
      </c>
      <c r="AA3" s="0" t="s">
        <v>18</v>
      </c>
      <c r="AB3" s="0" t="s">
        <v>14</v>
      </c>
      <c r="AC3" s="0" t="n">
        <v>5000</v>
      </c>
    </row>
    <row r="4" customFormat="false" ht="15" hidden="false" customHeight="false" outlineLevel="0" collapsed="false">
      <c r="A4" s="0" t="s">
        <v>68</v>
      </c>
      <c r="B4" s="0" t="n">
        <v>19407.4</v>
      </c>
      <c r="F4" s="0" t="n">
        <v>7161.3</v>
      </c>
      <c r="G4" s="0" t="n">
        <v>36.9</v>
      </c>
      <c r="I4" s="0" t="n">
        <v>5501.7</v>
      </c>
      <c r="J4" s="0" t="n">
        <v>28.3</v>
      </c>
      <c r="K4" s="0" t="n">
        <v>0.67</v>
      </c>
      <c r="L4" s="0" t="n">
        <v>17691.6</v>
      </c>
      <c r="M4" s="0" t="n">
        <v>290.3</v>
      </c>
      <c r="O4" s="0" t="n">
        <v>56581.9</v>
      </c>
      <c r="P4" s="0" t="n">
        <v>285669.6</v>
      </c>
      <c r="Q4" s="0" t="n">
        <v>228774.9</v>
      </c>
      <c r="R4" s="0" t="n">
        <v>52518</v>
      </c>
      <c r="S4" s="0" t="n">
        <v>47221.1</v>
      </c>
      <c r="T4" s="0" t="n">
        <v>7646.385</v>
      </c>
      <c r="AA4" s="0" t="s">
        <v>18</v>
      </c>
      <c r="AB4" s="0" t="s">
        <v>14</v>
      </c>
      <c r="AC4" s="0" t="n">
        <v>9980.7</v>
      </c>
    </row>
    <row r="5" customFormat="false" ht="15" hidden="false" customHeight="false" outlineLevel="0" collapsed="false">
      <c r="A5" s="0" t="s">
        <v>69</v>
      </c>
      <c r="B5" s="0" t="n">
        <v>30720.1</v>
      </c>
      <c r="F5" s="0" t="n">
        <v>12113.9</v>
      </c>
      <c r="G5" s="0" t="n">
        <v>39.4</v>
      </c>
      <c r="I5" s="0" t="n">
        <v>9509.4</v>
      </c>
      <c r="J5" s="0" t="n">
        <v>31</v>
      </c>
      <c r="K5" s="0" t="n">
        <v>1.2</v>
      </c>
      <c r="L5" s="0" t="n">
        <v>-38307.9</v>
      </c>
      <c r="M5" s="0" t="n">
        <v>432.8</v>
      </c>
      <c r="O5" s="0" t="n">
        <v>67735.2</v>
      </c>
      <c r="P5" s="0" t="n">
        <v>371228.1</v>
      </c>
      <c r="Q5" s="0" t="n">
        <v>303156.7</v>
      </c>
      <c r="R5" s="0" t="n">
        <v>92937.5</v>
      </c>
      <c r="S5" s="0" t="n">
        <v>28580.1</v>
      </c>
      <c r="T5" s="0" t="n">
        <v>7756.695</v>
      </c>
      <c r="AA5" s="0" t="s">
        <v>18</v>
      </c>
      <c r="AB5" s="0" t="s">
        <v>14</v>
      </c>
      <c r="AC5" s="0" t="n">
        <v>9961.5</v>
      </c>
    </row>
    <row r="6" customFormat="false" ht="15" hidden="false" customHeight="false" outlineLevel="0" collapsed="false">
      <c r="A6" s="0" t="s">
        <v>70</v>
      </c>
      <c r="B6" s="0" t="n">
        <v>39033</v>
      </c>
      <c r="F6" s="0" t="n">
        <v>13018.7</v>
      </c>
      <c r="G6" s="0" t="n">
        <v>33.4</v>
      </c>
      <c r="I6" s="0" t="n">
        <v>10238.7</v>
      </c>
      <c r="J6" s="0" t="n">
        <v>26.2</v>
      </c>
      <c r="K6" s="0" t="n">
        <v>1.25</v>
      </c>
      <c r="L6" s="0" t="n">
        <v>-6654.8</v>
      </c>
      <c r="M6" s="0" t="n">
        <v>620.4</v>
      </c>
      <c r="O6" s="0" t="n">
        <v>79818.5</v>
      </c>
      <c r="P6" s="0" t="n">
        <v>452791.4</v>
      </c>
      <c r="Q6" s="0" t="n">
        <v>372785.1</v>
      </c>
      <c r="R6" s="0" t="n">
        <v>79297.7</v>
      </c>
      <c r="S6" s="0" t="n">
        <v>36002.7</v>
      </c>
      <c r="T6" s="0" t="n">
        <v>7756.695</v>
      </c>
      <c r="AA6" s="0" t="s">
        <v>18</v>
      </c>
      <c r="AB6" s="0" t="s">
        <v>14</v>
      </c>
      <c r="AC6" s="0" t="n">
        <v>14937.5</v>
      </c>
    </row>
    <row r="7" customFormat="false" ht="15" hidden="false" customHeight="false" outlineLevel="0" collapsed="false">
      <c r="A7" s="0" t="s">
        <v>71</v>
      </c>
      <c r="B7" s="0" t="n">
        <v>36470.8</v>
      </c>
      <c r="F7" s="0" t="n">
        <v>9458.7</v>
      </c>
      <c r="G7" s="0" t="n">
        <v>25.9</v>
      </c>
      <c r="I7" s="0" t="n">
        <v>7507.3</v>
      </c>
      <c r="J7" s="0" t="n">
        <v>20.6</v>
      </c>
      <c r="K7" s="0" t="n">
        <v>0.86</v>
      </c>
      <c r="L7" s="0" t="n">
        <v>24279.4</v>
      </c>
      <c r="M7" s="0" t="n">
        <v>546.9</v>
      </c>
      <c r="O7" s="0" t="n">
        <v>93244.3</v>
      </c>
      <c r="P7" s="0" t="n">
        <v>509955.5</v>
      </c>
      <c r="Q7" s="0" t="n">
        <v>416666.8</v>
      </c>
      <c r="R7" s="0" t="n">
        <v>82995.3</v>
      </c>
      <c r="S7" s="0" t="n">
        <v>38944.9</v>
      </c>
      <c r="T7" s="0" t="n">
        <v>7756.695</v>
      </c>
      <c r="AA7" s="0" t="s">
        <v>18</v>
      </c>
      <c r="AB7" s="0" t="s">
        <v>14</v>
      </c>
      <c r="AC7" s="0" t="n">
        <v>24906.5</v>
      </c>
    </row>
    <row r="8" customFormat="false" ht="15" hidden="false" customHeight="false" outlineLevel="0" collapsed="false">
      <c r="A8" s="0" t="s">
        <v>72</v>
      </c>
      <c r="B8" s="0" t="n">
        <v>33979.4</v>
      </c>
      <c r="F8" s="0" t="n">
        <v>8364.4</v>
      </c>
      <c r="G8" s="0" t="n">
        <v>24.6</v>
      </c>
      <c r="I8" s="0" t="n">
        <v>7034.5</v>
      </c>
      <c r="J8" s="0" t="n">
        <v>20.7</v>
      </c>
      <c r="K8" s="0" t="n">
        <v>0.78</v>
      </c>
      <c r="L8" s="0" t="n">
        <v>-10126.9</v>
      </c>
      <c r="M8" s="0" t="n">
        <v>1077.8</v>
      </c>
      <c r="O8" s="0" t="n">
        <v>97478</v>
      </c>
      <c r="P8" s="0" t="n">
        <v>522752.2</v>
      </c>
      <c r="Q8" s="0" t="n">
        <v>425225.8</v>
      </c>
      <c r="R8" s="0" t="n">
        <v>118819.1</v>
      </c>
      <c r="S8" s="0" t="n">
        <v>36620.7</v>
      </c>
      <c r="T8" s="0" t="n">
        <v>7756.695</v>
      </c>
      <c r="AA8" s="0" t="s">
        <v>18</v>
      </c>
      <c r="AB8" s="0" t="s">
        <v>14</v>
      </c>
      <c r="AC8" s="0" t="n">
        <v>24906.5</v>
      </c>
    </row>
    <row r="9" customFormat="false" ht="15" hidden="false" customHeight="false" outlineLevel="0" collapsed="false">
      <c r="A9" s="0" t="s">
        <v>73</v>
      </c>
      <c r="B9" s="0" t="n">
        <v>32216.2</v>
      </c>
      <c r="F9" s="0" t="n">
        <v>8681.9</v>
      </c>
      <c r="G9" s="0" t="n">
        <v>26.9</v>
      </c>
      <c r="I9" s="0" t="n">
        <v>7223.2</v>
      </c>
      <c r="J9" s="0" t="n">
        <v>22.4</v>
      </c>
      <c r="K9" s="0" t="n">
        <v>0.79</v>
      </c>
      <c r="L9" s="0" t="n">
        <v>1064.9</v>
      </c>
      <c r="M9" s="0" t="n">
        <v>538.8</v>
      </c>
      <c r="O9" s="0" t="n">
        <v>106468.7</v>
      </c>
      <c r="P9" s="0" t="n">
        <v>566418.2</v>
      </c>
      <c r="Q9" s="0" t="n">
        <v>459899.3</v>
      </c>
      <c r="R9" s="0" t="n">
        <v>140167.7</v>
      </c>
      <c r="S9" s="0" t="n">
        <v>46473.1</v>
      </c>
      <c r="T9" s="0" t="n">
        <v>7756.695</v>
      </c>
      <c r="AA9" s="0" t="s">
        <v>18</v>
      </c>
      <c r="AB9" s="0" t="s">
        <v>14</v>
      </c>
      <c r="AC9" s="0" t="n">
        <v>29825.8</v>
      </c>
      <c r="AD9" s="0" t="n">
        <v>30140.2</v>
      </c>
    </row>
    <row r="10" customFormat="false" ht="15" hidden="false" customHeight="false" outlineLevel="0" collapsed="false">
      <c r="A10" s="0" t="s">
        <v>74</v>
      </c>
      <c r="B10" s="0" t="n">
        <v>34985.1</v>
      </c>
      <c r="F10" s="0" t="n">
        <v>11733.4</v>
      </c>
      <c r="G10" s="0" t="n">
        <v>33.5</v>
      </c>
      <c r="I10" s="0" t="n">
        <v>9439.4</v>
      </c>
      <c r="J10" s="0" t="n">
        <v>27</v>
      </c>
      <c r="K10" s="0" t="n">
        <v>1.09</v>
      </c>
      <c r="L10" s="0" t="n">
        <v>42719.7</v>
      </c>
      <c r="M10" s="0" t="n">
        <v>529.4</v>
      </c>
      <c r="O10" s="0" t="n">
        <v>119101.7</v>
      </c>
      <c r="P10" s="0" t="n">
        <v>676815.8</v>
      </c>
      <c r="Q10" s="0" t="n">
        <v>557665.5</v>
      </c>
      <c r="R10" s="0" t="n">
        <v>155882</v>
      </c>
      <c r="S10" s="0" t="n">
        <v>54686.3</v>
      </c>
      <c r="T10" s="0" t="n">
        <v>7756.695</v>
      </c>
      <c r="AA10" s="0" t="s">
        <v>18</v>
      </c>
      <c r="AB10" s="0" t="s">
        <v>14</v>
      </c>
      <c r="AC10" s="0" t="n">
        <v>36145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10.76</v>
      </c>
    </row>
    <row r="3" customFormat="false" ht="15" hidden="false" customHeight="false" outlineLevel="0" collapsed="false">
      <c r="A3" s="0" t="s">
        <v>78</v>
      </c>
      <c r="B3" s="3" t="n">
        <v>7756.695</v>
      </c>
    </row>
    <row r="4" customFormat="false" ht="15" hidden="false" customHeight="false" outlineLevel="0" collapsed="false">
      <c r="A4" s="0" t="s">
        <v>79</v>
      </c>
      <c r="B4" s="3" t="n">
        <v>0</v>
      </c>
    </row>
    <row r="5" customFormat="false" ht="15" hidden="false" customHeight="false" outlineLevel="0" collapsed="false">
      <c r="A5" s="0" t="s">
        <v>80</v>
      </c>
      <c r="B5" s="3" t="n">
        <v>0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34985.1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1.1748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15</v>
      </c>
      <c r="D13" s="3" t="n">
        <v>-20</v>
      </c>
      <c r="E13" s="3" t="n">
        <v>-8</v>
      </c>
      <c r="F13" s="3" t="n">
        <v>2</v>
      </c>
      <c r="G13" s="3" t="n">
        <v>3</v>
      </c>
      <c r="H13" s="3" t="n">
        <v>3</v>
      </c>
      <c r="I13" s="3" t="n">
        <v>3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99</v>
      </c>
      <c r="C14" s="3" t="n">
        <v>37</v>
      </c>
      <c r="D14" s="3" t="n">
        <v>27</v>
      </c>
      <c r="E14" s="3" t="n">
        <v>25</v>
      </c>
      <c r="F14" s="3" t="n">
        <v>27</v>
      </c>
      <c r="G14" s="3" t="n">
        <v>27</v>
      </c>
      <c r="H14" s="3" t="n">
        <v>27</v>
      </c>
      <c r="I14" s="3" t="n">
        <v>27</v>
      </c>
      <c r="J14" s="3" t="n">
        <v>27</v>
      </c>
      <c r="K14" s="3" t="n">
        <v>27</v>
      </c>
      <c r="L14" s="3" t="n">
        <v>27</v>
      </c>
    </row>
    <row r="15" customFormat="false" ht="15" hidden="false" customHeight="false" outlineLevel="0" collapsed="false">
      <c r="A15" s="0" t="s">
        <v>100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102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103</v>
      </c>
      <c r="C18" s="3" t="n">
        <v>10.5</v>
      </c>
      <c r="D18" s="3" t="n">
        <v>9.5</v>
      </c>
      <c r="E18" s="3" t="n">
        <v>8</v>
      </c>
      <c r="F18" s="3" t="n">
        <v>7</v>
      </c>
      <c r="G18" s="3" t="n">
        <v>6.6</v>
      </c>
      <c r="H18" s="3" t="n">
        <v>6.5</v>
      </c>
      <c r="I18" s="3" t="n">
        <v>6.5</v>
      </c>
      <c r="J18" s="3" t="n">
        <v>6.5</v>
      </c>
      <c r="K18" s="3" t="n">
        <v>6.5</v>
      </c>
      <c r="L18" s="3" t="n">
        <v>6.5</v>
      </c>
    </row>
    <row r="19" customFormat="false" ht="15" hidden="false" customHeight="false" outlineLevel="0" collapsed="false">
      <c r="A19" s="0" t="s">
        <v>104</v>
      </c>
      <c r="C19" s="3" t="n">
        <v>27</v>
      </c>
      <c r="D19" s="3" t="n">
        <v>32</v>
      </c>
      <c r="E19" s="3" t="n">
        <v>33</v>
      </c>
      <c r="F19" s="3" t="n">
        <v>33</v>
      </c>
      <c r="G19" s="3" t="n">
        <v>33</v>
      </c>
      <c r="H19" s="3" t="n">
        <v>33</v>
      </c>
      <c r="I19" s="3" t="n">
        <v>33</v>
      </c>
      <c r="J19" s="3" t="n">
        <v>33</v>
      </c>
      <c r="K19" s="3" t="n">
        <v>33</v>
      </c>
      <c r="L19" s="3" t="n">
        <v>33</v>
      </c>
    </row>
    <row r="20" customFormat="false" ht="15" hidden="false" customHeight="false" outlineLevel="0" collapsed="false">
      <c r="A20" s="0" t="s">
        <v>105</v>
      </c>
      <c r="B20" s="3" t="n">
        <v>10.5</v>
      </c>
    </row>
    <row r="21" customFormat="false" ht="15" hidden="false" customHeight="false" outlineLevel="0" collapsed="false">
      <c r="A21" s="0" t="s">
        <v>106</v>
      </c>
      <c r="B21" s="3" t="n">
        <v>2.5</v>
      </c>
    </row>
    <row r="22" customFormat="false" ht="15" hidden="false" customHeight="false" outlineLevel="0" collapsed="false">
      <c r="A22" s="0" t="s">
        <v>107</v>
      </c>
      <c r="B22" s="3" t="n">
        <v>15</v>
      </c>
    </row>
    <row r="23" customFormat="false" ht="15" hidden="false" customHeight="false" outlineLevel="0" collapsed="false">
      <c r="A23" s="0" t="s">
        <v>108</v>
      </c>
      <c r="B23" s="3" t="n">
        <v>0</v>
      </c>
    </row>
    <row r="24" customFormat="false" ht="15" hidden="false" customHeight="false" outlineLevel="0" collapsed="false">
      <c r="A24" s="0" t="s">
        <v>109</v>
      </c>
      <c r="B24" s="3" t="n">
        <v>0.25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25</v>
      </c>
      <c r="D27" s="3" t="n">
        <v>-8</v>
      </c>
      <c r="E27" s="3" t="n">
        <v>-3</v>
      </c>
      <c r="F27" s="3" t="n">
        <v>4</v>
      </c>
      <c r="G27" s="3" t="n">
        <v>4</v>
      </c>
      <c r="H27" s="3" t="n">
        <v>4</v>
      </c>
      <c r="I27" s="3" t="n">
        <v>3.5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99</v>
      </c>
      <c r="C28" s="3" t="n">
        <v>39</v>
      </c>
      <c r="D28" s="3" t="n">
        <v>33</v>
      </c>
      <c r="E28" s="3" t="n">
        <v>30</v>
      </c>
      <c r="F28" s="3" t="n">
        <v>30</v>
      </c>
      <c r="G28" s="3" t="n">
        <v>30</v>
      </c>
      <c r="H28" s="3" t="n">
        <v>30</v>
      </c>
      <c r="I28" s="3" t="n">
        <v>30</v>
      </c>
      <c r="J28" s="3" t="n">
        <v>30</v>
      </c>
      <c r="K28" s="3" t="n">
        <v>30</v>
      </c>
      <c r="L28" s="3" t="n">
        <v>30</v>
      </c>
    </row>
    <row r="29" customFormat="false" ht="15" hidden="false" customHeight="false" outlineLevel="0" collapsed="false">
      <c r="A29" s="0" t="s">
        <v>100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102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103</v>
      </c>
      <c r="C32" s="3" t="n">
        <v>10.4</v>
      </c>
      <c r="D32" s="3" t="n">
        <v>9.8</v>
      </c>
      <c r="E32" s="3" t="n">
        <v>8.2</v>
      </c>
      <c r="F32" s="3" t="n">
        <v>7.6</v>
      </c>
      <c r="G32" s="3" t="n">
        <v>7.4</v>
      </c>
      <c r="H32" s="3" t="n">
        <v>7.2</v>
      </c>
      <c r="I32" s="3" t="n">
        <v>7.2</v>
      </c>
      <c r="J32" s="3" t="n">
        <v>7.2</v>
      </c>
      <c r="K32" s="3" t="n">
        <v>7.2</v>
      </c>
      <c r="L32" s="3" t="n">
        <v>7.2</v>
      </c>
    </row>
    <row r="33" customFormat="false" ht="15" hidden="false" customHeight="false" outlineLevel="0" collapsed="false">
      <c r="A33" s="0" t="s">
        <v>104</v>
      </c>
      <c r="C33" s="3" t="n">
        <v>26.5</v>
      </c>
      <c r="D33" s="3" t="n">
        <v>29.5</v>
      </c>
      <c r="E33" s="3" t="n">
        <v>30</v>
      </c>
      <c r="F33" s="3" t="n">
        <v>30</v>
      </c>
      <c r="G33" s="3" t="n">
        <v>30</v>
      </c>
      <c r="H33" s="3" t="n">
        <v>30</v>
      </c>
      <c r="I33" s="3" t="n">
        <v>30</v>
      </c>
      <c r="J33" s="3" t="n">
        <v>30</v>
      </c>
      <c r="K33" s="3" t="n">
        <v>30</v>
      </c>
      <c r="L33" s="3" t="n">
        <v>30</v>
      </c>
    </row>
    <row r="34" customFormat="false" ht="15" hidden="false" customHeight="false" outlineLevel="0" collapsed="false">
      <c r="A34" s="0" t="s">
        <v>105</v>
      </c>
      <c r="B34" s="3" t="n">
        <v>10.5</v>
      </c>
    </row>
    <row r="35" customFormat="false" ht="15" hidden="false" customHeight="false" outlineLevel="0" collapsed="false">
      <c r="A35" s="0" t="s">
        <v>106</v>
      </c>
      <c r="B35" s="3" t="n">
        <v>3</v>
      </c>
    </row>
    <row r="36" customFormat="false" ht="15" hidden="false" customHeight="false" outlineLevel="0" collapsed="false">
      <c r="A36" s="0" t="s">
        <v>107</v>
      </c>
      <c r="B36" s="3" t="n">
        <v>15</v>
      </c>
    </row>
    <row r="37" customFormat="false" ht="15" hidden="false" customHeight="false" outlineLevel="0" collapsed="false">
      <c r="A37" s="0" t="s">
        <v>108</v>
      </c>
      <c r="B37" s="3" t="n">
        <v>0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33</v>
      </c>
      <c r="D41" s="3" t="n">
        <v>-3</v>
      </c>
      <c r="E41" s="3" t="n">
        <v>3</v>
      </c>
      <c r="F41" s="3" t="n">
        <v>5</v>
      </c>
      <c r="G41" s="3" t="n">
        <v>5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3.5</v>
      </c>
    </row>
    <row r="42" customFormat="false" ht="15" hidden="false" customHeight="false" outlineLevel="0" collapsed="false">
      <c r="A42" s="0" t="s">
        <v>99</v>
      </c>
      <c r="C42" s="3" t="n">
        <v>41</v>
      </c>
      <c r="D42" s="3" t="n">
        <v>36</v>
      </c>
      <c r="E42" s="3" t="n">
        <v>34</v>
      </c>
      <c r="F42" s="3" t="n">
        <v>33</v>
      </c>
      <c r="G42" s="3" t="n">
        <v>33</v>
      </c>
      <c r="H42" s="3" t="n">
        <v>33</v>
      </c>
      <c r="I42" s="3" t="n">
        <v>33</v>
      </c>
      <c r="J42" s="3" t="n">
        <v>33</v>
      </c>
      <c r="K42" s="3" t="n">
        <v>33</v>
      </c>
      <c r="L42" s="3" t="n">
        <v>33</v>
      </c>
    </row>
    <row r="43" customFormat="false" ht="15" hidden="false" customHeight="false" outlineLevel="0" collapsed="false">
      <c r="A43" s="0" t="s">
        <v>100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102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103</v>
      </c>
      <c r="C46" s="3" t="n">
        <v>10</v>
      </c>
      <c r="D46" s="3" t="n">
        <v>9.5</v>
      </c>
      <c r="E46" s="3" t="n">
        <v>8.5</v>
      </c>
      <c r="F46" s="3" t="n">
        <v>7.8</v>
      </c>
      <c r="G46" s="3" t="n">
        <v>7.5</v>
      </c>
      <c r="H46" s="3" t="n">
        <v>7.4</v>
      </c>
      <c r="I46" s="3" t="n">
        <v>7.4</v>
      </c>
      <c r="J46" s="3" t="n">
        <v>7.4</v>
      </c>
      <c r="K46" s="3" t="n">
        <v>7.4</v>
      </c>
      <c r="L46" s="3" t="n">
        <v>7.4</v>
      </c>
    </row>
    <row r="47" customFormat="false" ht="15" hidden="false" customHeight="false" outlineLevel="0" collapsed="false">
      <c r="A47" s="0" t="s">
        <v>104</v>
      </c>
      <c r="C47" s="3" t="n">
        <v>26</v>
      </c>
      <c r="D47" s="3" t="n">
        <v>29</v>
      </c>
      <c r="E47" s="3" t="n">
        <v>29.5</v>
      </c>
      <c r="F47" s="3" t="n">
        <v>29.5</v>
      </c>
      <c r="G47" s="3" t="n">
        <v>29.5</v>
      </c>
      <c r="H47" s="3" t="n">
        <v>29.5</v>
      </c>
      <c r="I47" s="3" t="n">
        <v>29.5</v>
      </c>
      <c r="J47" s="3" t="n">
        <v>29.5</v>
      </c>
      <c r="K47" s="3" t="n">
        <v>29.5</v>
      </c>
      <c r="L47" s="3" t="n">
        <v>29.5</v>
      </c>
    </row>
    <row r="48" customFormat="false" ht="15" hidden="false" customHeight="false" outlineLevel="0" collapsed="false">
      <c r="A48" s="0" t="s">
        <v>105</v>
      </c>
      <c r="B48" s="3" t="n">
        <v>10.5</v>
      </c>
    </row>
    <row r="49" customFormat="false" ht="15" hidden="false" customHeight="false" outlineLevel="0" collapsed="false">
      <c r="A49" s="0" t="s">
        <v>106</v>
      </c>
      <c r="B49" s="3" t="n">
        <v>3.5</v>
      </c>
    </row>
    <row r="50" customFormat="false" ht="15" hidden="false" customHeight="false" outlineLevel="0" collapsed="false">
      <c r="A50" s="0" t="s">
        <v>107</v>
      </c>
      <c r="B50" s="3" t="n">
        <v>15</v>
      </c>
    </row>
    <row r="51" customFormat="false" ht="15" hidden="false" customHeight="false" outlineLevel="0" collapsed="false">
      <c r="A51" s="0" t="s">
        <v>108</v>
      </c>
      <c r="B51" s="3" t="n">
        <v>0</v>
      </c>
    </row>
    <row r="52" customFormat="false" ht="15" hidden="false" customHeight="false" outlineLevel="0" collapsed="false">
      <c r="A52" s="0" t="s">
        <v>109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15</v>
      </c>
      <c r="D5" s="4" t="n">
        <f aca="false">Assumptions!D13</f>
        <v>-20</v>
      </c>
      <c r="E5" s="4" t="n">
        <f aca="false">Assumptions!E13</f>
        <v>-8</v>
      </c>
      <c r="F5" s="4" t="n">
        <f aca="false">Assumptions!F13</f>
        <v>2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34985.1</v>
      </c>
      <c r="C6" s="0" t="n">
        <f aca="false">B6*(1+C5/100)</f>
        <v>40232.865</v>
      </c>
      <c r="D6" s="0" t="n">
        <f aca="false">C6*(1+D5/100)</f>
        <v>32186.292</v>
      </c>
      <c r="E6" s="0" t="n">
        <f aca="false">D6*(1+E5/100)</f>
        <v>29611.38864</v>
      </c>
      <c r="F6" s="0" t="n">
        <f aca="false">E6*(1+F5/100)</f>
        <v>30203.6164128</v>
      </c>
      <c r="G6" s="0" t="n">
        <f aca="false">F6*(1+G5/100)</f>
        <v>31109.724905184</v>
      </c>
      <c r="H6" s="0" t="n">
        <f aca="false">G6*(1+H5/100)</f>
        <v>32043.0166523395</v>
      </c>
      <c r="I6" s="0" t="n">
        <f aca="false">H6*(1+I5/100)</f>
        <v>33004.3071519097</v>
      </c>
      <c r="J6" s="0" t="n">
        <f aca="false">I6*(1+J5/100)</f>
        <v>33829.4148307075</v>
      </c>
      <c r="K6" s="0" t="n">
        <f aca="false">J6*(1+K5/100)</f>
        <v>34675.1502014751</v>
      </c>
      <c r="L6" s="0" t="n">
        <f aca="false">K6*(1+L5/100)</f>
        <v>35542.028956512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37</v>
      </c>
      <c r="D7" s="4" t="n">
        <f aca="false">Assumptions!D14</f>
        <v>27</v>
      </c>
      <c r="E7" s="4" t="n">
        <f aca="false">Assumptions!E14</f>
        <v>25</v>
      </c>
      <c r="F7" s="4" t="n">
        <f aca="false">Assumptions!F14</f>
        <v>27</v>
      </c>
      <c r="G7" s="4" t="n">
        <f aca="false">Assumptions!G14</f>
        <v>27</v>
      </c>
      <c r="H7" s="4" t="n">
        <f aca="false">Assumptions!H14</f>
        <v>27</v>
      </c>
      <c r="I7" s="4" t="n">
        <f aca="false">Assumptions!I14</f>
        <v>27</v>
      </c>
      <c r="J7" s="4" t="n">
        <f aca="false">Assumptions!J14</f>
        <v>27</v>
      </c>
      <c r="K7" s="4" t="n">
        <f aca="false">Assumptions!K14</f>
        <v>27</v>
      </c>
      <c r="L7" s="4" t="n">
        <f aca="false">Assumptions!L14</f>
        <v>27</v>
      </c>
    </row>
    <row r="8" customFormat="false" ht="15" hidden="false" customHeight="false" outlineLevel="0" collapsed="false">
      <c r="A8" s="0" t="s">
        <v>44</v>
      </c>
      <c r="C8" s="0" t="n">
        <f aca="false">C6*C7/100</f>
        <v>14886.16005</v>
      </c>
      <c r="D8" s="0" t="n">
        <f aca="false">D6*D7/100</f>
        <v>8690.29884</v>
      </c>
      <c r="E8" s="0" t="n">
        <f aca="false">E6*E7/100</f>
        <v>7402.84716</v>
      </c>
      <c r="F8" s="0" t="n">
        <f aca="false">F6*F7/100</f>
        <v>8154.976431456</v>
      </c>
      <c r="G8" s="0" t="n">
        <f aca="false">G6*G7/100</f>
        <v>8399.62572439968</v>
      </c>
      <c r="H8" s="0" t="n">
        <f aca="false">H6*H7/100</f>
        <v>8651.61449613167</v>
      </c>
      <c r="I8" s="0" t="n">
        <f aca="false">I6*I7/100</f>
        <v>8911.16293101562</v>
      </c>
      <c r="J8" s="0" t="n">
        <f aca="false">J6*J7/100</f>
        <v>9133.94200429101</v>
      </c>
      <c r="K8" s="0" t="n">
        <f aca="false">K6*K7/100</f>
        <v>9362.29055439829</v>
      </c>
      <c r="L8" s="0" t="n">
        <f aca="false">L6*L7/100</f>
        <v>9596.34781825824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14886.16005</v>
      </c>
      <c r="D11" s="0" t="n">
        <f aca="false">D8+D10+D24</f>
        <v>8690.29884</v>
      </c>
      <c r="E11" s="0" t="n">
        <f aca="false">E8+E10+E24</f>
        <v>7402.84716</v>
      </c>
      <c r="F11" s="0" t="n">
        <f aca="false">F8+F10+F24</f>
        <v>8154.976431456</v>
      </c>
      <c r="G11" s="0" t="n">
        <f aca="false">G8+G10+G24</f>
        <v>8399.62572439968</v>
      </c>
      <c r="H11" s="0" t="n">
        <f aca="false">H8+H10+H24</f>
        <v>8651.61449613167</v>
      </c>
      <c r="I11" s="0" t="n">
        <f aca="false">I8+I10+I24</f>
        <v>8911.16293101562</v>
      </c>
      <c r="J11" s="0" t="n">
        <f aca="false">J8+J10+J24</f>
        <v>9133.94200429101</v>
      </c>
      <c r="K11" s="0" t="n">
        <f aca="false">K8+K10+K24</f>
        <v>9362.29055439829</v>
      </c>
      <c r="L11" s="0" t="n">
        <f aca="false">L8+L10+L24</f>
        <v>9596.34781825824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14886.16005</v>
      </c>
      <c r="D13" s="0" t="n">
        <f aca="false">D11+D12</f>
        <v>8690.29884</v>
      </c>
      <c r="E13" s="0" t="n">
        <f aca="false">E11+E12</f>
        <v>7402.84716</v>
      </c>
      <c r="F13" s="0" t="n">
        <f aca="false">F11+F12</f>
        <v>8154.976431456</v>
      </c>
      <c r="G13" s="0" t="n">
        <f aca="false">G11+G12</f>
        <v>8399.62572439968</v>
      </c>
      <c r="H13" s="0" t="n">
        <f aca="false">H11+H12</f>
        <v>8651.61449613167</v>
      </c>
      <c r="I13" s="0" t="n">
        <f aca="false">I11+I12</f>
        <v>8911.16293101562</v>
      </c>
      <c r="J13" s="0" t="n">
        <f aca="false">J11+J12</f>
        <v>9133.94200429101</v>
      </c>
      <c r="K13" s="0" t="n">
        <f aca="false">K11+K12</f>
        <v>9362.29055439829</v>
      </c>
      <c r="L13" s="0" t="n">
        <f aca="false">L11+L12</f>
        <v>9596.34781825824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27</v>
      </c>
      <c r="D14" s="4" t="n">
        <f aca="false">Assumptions!D19</f>
        <v>32</v>
      </c>
      <c r="E14" s="4" t="n">
        <f aca="false">Assumptions!E19</f>
        <v>33</v>
      </c>
      <c r="F14" s="4" t="n">
        <f aca="false">Assumptions!F19</f>
        <v>33</v>
      </c>
      <c r="G14" s="4" t="n">
        <f aca="false">Assumptions!G19</f>
        <v>33</v>
      </c>
      <c r="H14" s="4" t="n">
        <f aca="false">Assumptions!H19</f>
        <v>33</v>
      </c>
      <c r="I14" s="4" t="n">
        <f aca="false">Assumptions!I19</f>
        <v>33</v>
      </c>
      <c r="J14" s="4" t="n">
        <f aca="false">Assumptions!J19</f>
        <v>33</v>
      </c>
      <c r="K14" s="4" t="n">
        <f aca="false">Assumptions!K19</f>
        <v>33</v>
      </c>
      <c r="L14" s="4" t="n">
        <f aca="false">Assumptions!L19</f>
        <v>33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10866.8968365</v>
      </c>
      <c r="D15" s="0" t="n">
        <f aca="false">D13-MAX(0,D13)*D14/100</f>
        <v>5909.4032112</v>
      </c>
      <c r="E15" s="0" t="n">
        <f aca="false">E13-MAX(0,E13)*E14/100</f>
        <v>4959.9075972</v>
      </c>
      <c r="F15" s="0" t="n">
        <f aca="false">F13-MAX(0,F13)*F14/100</f>
        <v>5463.83420907552</v>
      </c>
      <c r="G15" s="0" t="n">
        <f aca="false">G13-MAX(0,G13)*G14/100</f>
        <v>5627.74923534779</v>
      </c>
      <c r="H15" s="0" t="n">
        <f aca="false">H13-MAX(0,H13)*H14/100</f>
        <v>5796.58171240822</v>
      </c>
      <c r="I15" s="0" t="n">
        <f aca="false">I13-MAX(0,I13)*I14/100</f>
        <v>5970.47916378047</v>
      </c>
      <c r="J15" s="0" t="n">
        <f aca="false">J13-MAX(0,J13)*J14/100</f>
        <v>6119.74114287498</v>
      </c>
      <c r="K15" s="0" t="n">
        <f aca="false">K13-MAX(0,K13)*K14/100</f>
        <v>6272.73467144685</v>
      </c>
      <c r="L15" s="0" t="n">
        <f aca="false">L13-MAX(0,L13)*L14/100</f>
        <v>6429.55303823302</v>
      </c>
    </row>
    <row r="16" customFormat="false" ht="15" hidden="false" customHeight="false" outlineLevel="0" collapsed="false">
      <c r="A16" s="0" t="s">
        <v>120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-4224.450825</v>
      </c>
      <c r="D17" s="4" t="n">
        <f aca="false">-D6*Assumptions!D18/100</f>
        <v>-3057.69774</v>
      </c>
      <c r="E17" s="4" t="n">
        <f aca="false">-E6*Assumptions!E18/100</f>
        <v>-2368.9110912</v>
      </c>
      <c r="F17" s="4" t="n">
        <f aca="false">-F6*Assumptions!F18/100</f>
        <v>-2114.253148896</v>
      </c>
      <c r="G17" s="4" t="n">
        <f aca="false">-G6*Assumptions!G18/100</f>
        <v>-2053.24184374214</v>
      </c>
      <c r="H17" s="4" t="n">
        <f aca="false">-H6*Assumptions!H18/100</f>
        <v>-2082.79608240207</v>
      </c>
      <c r="I17" s="4" t="n">
        <f aca="false">-I6*Assumptions!I18/100</f>
        <v>-2145.27996487413</v>
      </c>
      <c r="J17" s="4" t="n">
        <f aca="false">-J6*Assumptions!J18/100</f>
        <v>-2198.91196399598</v>
      </c>
      <c r="K17" s="4" t="n">
        <f aca="false">-K6*Assumptions!K18/100</f>
        <v>-2253.88476309588</v>
      </c>
      <c r="L17" s="4" t="n">
        <f aca="false">-L6*Assumptions!L18/100</f>
        <v>-2310.23188217328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6642.4460115</v>
      </c>
      <c r="D19" s="0" t="n">
        <f aca="false">D15+D16+D17+D18</f>
        <v>2851.7054712</v>
      </c>
      <c r="E19" s="0" t="n">
        <f aca="false">E15+E16+E17+E18</f>
        <v>2590.996506</v>
      </c>
      <c r="F19" s="0" t="n">
        <f aca="false">F15+F16+F17+F18</f>
        <v>3349.58106017952</v>
      </c>
      <c r="G19" s="0" t="n">
        <f aca="false">G15+G16+G17+G18</f>
        <v>3574.50739160564</v>
      </c>
      <c r="H19" s="0" t="n">
        <f aca="false">H15+H16+H17+H18</f>
        <v>3713.78563000615</v>
      </c>
      <c r="I19" s="0" t="n">
        <f aca="false">I15+I16+I17+I18</f>
        <v>3825.19919890634</v>
      </c>
      <c r="J19" s="0" t="n">
        <f aca="false">J15+J16+J17+J18</f>
        <v>3920.82917887899</v>
      </c>
      <c r="K19" s="0" t="n">
        <f aca="false">K15+K16+K17+K18</f>
        <v>4018.84990835097</v>
      </c>
      <c r="L19" s="0" t="n">
        <f aca="false">L15+L16+L17+L18</f>
        <v>4119.32115605974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6011.26335882353</v>
      </c>
      <c r="D21" s="0" t="n">
        <f aca="false">D19*D20</f>
        <v>2335.50129702504</v>
      </c>
      <c r="E21" s="0" t="n">
        <f aca="false">E19*E20</f>
        <v>1920.34824684142</v>
      </c>
      <c r="F21" s="0" t="n">
        <f aca="false">F19*F20</f>
        <v>2246.68083243654</v>
      </c>
      <c r="G21" s="0" t="n">
        <f aca="false">G19*G20</f>
        <v>2169.72558112659</v>
      </c>
      <c r="H21" s="0" t="n">
        <f aca="false">H19*H20</f>
        <v>2040.06104618337</v>
      </c>
      <c r="I21" s="0" t="n">
        <f aca="false">I19*I20</f>
        <v>1901.59536431572</v>
      </c>
      <c r="J21" s="0" t="n">
        <f aca="false">J19*J20</f>
        <v>1763.92330174083</v>
      </c>
      <c r="K21" s="0" t="n">
        <f aca="false">K19*K20</f>
        <v>1636.21844731615</v>
      </c>
      <c r="L21" s="0" t="n">
        <f aca="false">L19*L20</f>
        <v>1517.75919321182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23543.076669021</v>
      </c>
    </row>
    <row r="31" customFormat="false" ht="15" hidden="false" customHeight="false" outlineLevel="0" collapsed="false">
      <c r="A31" s="0" t="s">
        <v>129</v>
      </c>
      <c r="B31" s="0" t="n">
        <f aca="false">L19</f>
        <v>4119.32115605974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52778.8023120154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61789.8173408961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52778.8023120154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19446.2896630264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42989.3663320474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42989.3663320474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6.51100856316889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-0.394887680002891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6.51100856316889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33778.4334796899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4.2655750478518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25</v>
      </c>
      <c r="D5" s="4" t="n">
        <f aca="false">Assumptions!D27</f>
        <v>-8</v>
      </c>
      <c r="E5" s="4" t="n">
        <f aca="false">Assumptions!E27</f>
        <v>-3</v>
      </c>
      <c r="F5" s="4" t="n">
        <f aca="false">Assumptions!F27</f>
        <v>4</v>
      </c>
      <c r="G5" s="4" t="n">
        <f aca="false">Assumptions!G27</f>
        <v>4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34985.1</v>
      </c>
      <c r="C6" s="0" t="n">
        <f aca="false">B6*(1+C5/100)</f>
        <v>43731.375</v>
      </c>
      <c r="D6" s="0" t="n">
        <f aca="false">C6*(1+D5/100)</f>
        <v>40232.865</v>
      </c>
      <c r="E6" s="0" t="n">
        <f aca="false">D6*(1+E5/100)</f>
        <v>39025.87905</v>
      </c>
      <c r="F6" s="0" t="n">
        <f aca="false">E6*(1+F5/100)</f>
        <v>40586.914212</v>
      </c>
      <c r="G6" s="0" t="n">
        <f aca="false">F6*(1+G5/100)</f>
        <v>42210.39078048</v>
      </c>
      <c r="H6" s="0" t="n">
        <f aca="false">G6*(1+H5/100)</f>
        <v>43898.8064116992</v>
      </c>
      <c r="I6" s="0" t="n">
        <f aca="false">H6*(1+I5/100)</f>
        <v>45435.2646361087</v>
      </c>
      <c r="J6" s="0" t="n">
        <f aca="false">I6*(1+J5/100)</f>
        <v>46798.3225751919</v>
      </c>
      <c r="K6" s="0" t="n">
        <f aca="false">J6*(1+K5/100)</f>
        <v>48202.2722524477</v>
      </c>
      <c r="L6" s="0" t="n">
        <f aca="false">K6*(1+L5/100)</f>
        <v>49648.3404200211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39</v>
      </c>
      <c r="D7" s="4" t="n">
        <f aca="false">Assumptions!D28</f>
        <v>33</v>
      </c>
      <c r="E7" s="4" t="n">
        <f aca="false">Assumptions!E28</f>
        <v>30</v>
      </c>
      <c r="F7" s="4" t="n">
        <f aca="false">Assumptions!F28</f>
        <v>30</v>
      </c>
      <c r="G7" s="4" t="n">
        <f aca="false">Assumptions!G28</f>
        <v>30</v>
      </c>
      <c r="H7" s="4" t="n">
        <f aca="false">Assumptions!H28</f>
        <v>30</v>
      </c>
      <c r="I7" s="4" t="n">
        <f aca="false">Assumptions!I28</f>
        <v>30</v>
      </c>
      <c r="J7" s="4" t="n">
        <f aca="false">Assumptions!J28</f>
        <v>30</v>
      </c>
      <c r="K7" s="4" t="n">
        <f aca="false">Assumptions!K28</f>
        <v>30</v>
      </c>
      <c r="L7" s="4" t="n">
        <f aca="false">Assumptions!L28</f>
        <v>30</v>
      </c>
    </row>
    <row r="8" customFormat="false" ht="15" hidden="false" customHeight="false" outlineLevel="0" collapsed="false">
      <c r="A8" s="0" t="s">
        <v>44</v>
      </c>
      <c r="C8" s="0" t="n">
        <f aca="false">C6*C7/100</f>
        <v>17055.23625</v>
      </c>
      <c r="D8" s="0" t="n">
        <f aca="false">D6*D7/100</f>
        <v>13276.84545</v>
      </c>
      <c r="E8" s="0" t="n">
        <f aca="false">E6*E7/100</f>
        <v>11707.763715</v>
      </c>
      <c r="F8" s="0" t="n">
        <f aca="false">F6*F7/100</f>
        <v>12176.0742636</v>
      </c>
      <c r="G8" s="0" t="n">
        <f aca="false">G6*G7/100</f>
        <v>12663.117234144</v>
      </c>
      <c r="H8" s="0" t="n">
        <f aca="false">H6*H7/100</f>
        <v>13169.6419235098</v>
      </c>
      <c r="I8" s="0" t="n">
        <f aca="false">I6*I7/100</f>
        <v>13630.5793908326</v>
      </c>
      <c r="J8" s="0" t="n">
        <f aca="false">J6*J7/100</f>
        <v>14039.4967725576</v>
      </c>
      <c r="K8" s="0" t="n">
        <f aca="false">K6*K7/100</f>
        <v>14460.6816757343</v>
      </c>
      <c r="L8" s="0" t="n">
        <f aca="false">L6*L7/100</f>
        <v>14894.5021260063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17055.23625</v>
      </c>
      <c r="D11" s="0" t="n">
        <f aca="false">D8+D10+D24</f>
        <v>13276.84545</v>
      </c>
      <c r="E11" s="0" t="n">
        <f aca="false">E8+E10+E24</f>
        <v>11707.763715</v>
      </c>
      <c r="F11" s="0" t="n">
        <f aca="false">F8+F10+F24</f>
        <v>12176.0742636</v>
      </c>
      <c r="G11" s="0" t="n">
        <f aca="false">G8+G10+G24</f>
        <v>12663.117234144</v>
      </c>
      <c r="H11" s="0" t="n">
        <f aca="false">H8+H10+H24</f>
        <v>13169.6419235098</v>
      </c>
      <c r="I11" s="0" t="n">
        <f aca="false">I8+I10+I24</f>
        <v>13630.5793908326</v>
      </c>
      <c r="J11" s="0" t="n">
        <f aca="false">J8+J10+J24</f>
        <v>14039.4967725576</v>
      </c>
      <c r="K11" s="0" t="n">
        <f aca="false">K8+K10+K24</f>
        <v>14460.6816757343</v>
      </c>
      <c r="L11" s="0" t="n">
        <f aca="false">L8+L10+L24</f>
        <v>14894.5021260063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17055.23625</v>
      </c>
      <c r="D13" s="0" t="n">
        <f aca="false">D11+D12</f>
        <v>13276.84545</v>
      </c>
      <c r="E13" s="0" t="n">
        <f aca="false">E11+E12</f>
        <v>11707.763715</v>
      </c>
      <c r="F13" s="0" t="n">
        <f aca="false">F11+F12</f>
        <v>12176.0742636</v>
      </c>
      <c r="G13" s="0" t="n">
        <f aca="false">G11+G12</f>
        <v>12663.117234144</v>
      </c>
      <c r="H13" s="0" t="n">
        <f aca="false">H11+H12</f>
        <v>13169.6419235098</v>
      </c>
      <c r="I13" s="0" t="n">
        <f aca="false">I11+I12</f>
        <v>13630.5793908326</v>
      </c>
      <c r="J13" s="0" t="n">
        <f aca="false">J11+J12</f>
        <v>14039.4967725576</v>
      </c>
      <c r="K13" s="0" t="n">
        <f aca="false">K11+K12</f>
        <v>14460.6816757343</v>
      </c>
      <c r="L13" s="0" t="n">
        <f aca="false">L11+L12</f>
        <v>14894.5021260063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26.5</v>
      </c>
      <c r="D14" s="4" t="n">
        <f aca="false">Assumptions!D33</f>
        <v>29.5</v>
      </c>
      <c r="E14" s="4" t="n">
        <f aca="false">Assumptions!E33</f>
        <v>30</v>
      </c>
      <c r="F14" s="4" t="n">
        <f aca="false">Assumptions!F33</f>
        <v>30</v>
      </c>
      <c r="G14" s="4" t="n">
        <f aca="false">Assumptions!G33</f>
        <v>30</v>
      </c>
      <c r="H14" s="4" t="n">
        <f aca="false">Assumptions!H33</f>
        <v>30</v>
      </c>
      <c r="I14" s="4" t="n">
        <f aca="false">Assumptions!I33</f>
        <v>30</v>
      </c>
      <c r="J14" s="4" t="n">
        <f aca="false">Assumptions!J33</f>
        <v>30</v>
      </c>
      <c r="K14" s="4" t="n">
        <f aca="false">Assumptions!K33</f>
        <v>30</v>
      </c>
      <c r="L14" s="4" t="n">
        <f aca="false">Assumptions!L33</f>
        <v>30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12535.59864375</v>
      </c>
      <c r="D15" s="0" t="n">
        <f aca="false">D13-MAX(0,D13)*D14/100</f>
        <v>9360.17604225</v>
      </c>
      <c r="E15" s="0" t="n">
        <f aca="false">E13-MAX(0,E13)*E14/100</f>
        <v>8195.4346005</v>
      </c>
      <c r="F15" s="0" t="n">
        <f aca="false">F13-MAX(0,F13)*F14/100</f>
        <v>8523.25198452</v>
      </c>
      <c r="G15" s="0" t="n">
        <f aca="false">G13-MAX(0,G13)*G14/100</f>
        <v>8864.1820639008</v>
      </c>
      <c r="H15" s="0" t="n">
        <f aca="false">H13-MAX(0,H13)*H14/100</f>
        <v>9218.74934645683</v>
      </c>
      <c r="I15" s="0" t="n">
        <f aca="false">I13-MAX(0,I13)*I14/100</f>
        <v>9541.40557358282</v>
      </c>
      <c r="J15" s="0" t="n">
        <f aca="false">J13-MAX(0,J13)*J14/100</f>
        <v>9827.64774079031</v>
      </c>
      <c r="K15" s="0" t="n">
        <f aca="false">K13-MAX(0,K13)*K14/100</f>
        <v>10122.477173014</v>
      </c>
      <c r="L15" s="0" t="n">
        <f aca="false">L13-MAX(0,L13)*L14/100</f>
        <v>10426.1514882044</v>
      </c>
    </row>
    <row r="16" customFormat="false" ht="15" hidden="false" customHeight="false" outlineLevel="0" collapsed="false">
      <c r="A16" s="0" t="s">
        <v>120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-4548.063</v>
      </c>
      <c r="D17" s="4" t="n">
        <f aca="false">-D6*Assumptions!D32/100</f>
        <v>-3942.82077</v>
      </c>
      <c r="E17" s="4" t="n">
        <f aca="false">-E6*Assumptions!E32/100</f>
        <v>-3200.1220821</v>
      </c>
      <c r="F17" s="4" t="n">
        <f aca="false">-F6*Assumptions!F32/100</f>
        <v>-3084.605480112</v>
      </c>
      <c r="G17" s="4" t="n">
        <f aca="false">-G6*Assumptions!G32/100</f>
        <v>-3123.56891775552</v>
      </c>
      <c r="H17" s="4" t="n">
        <f aca="false">-H6*Assumptions!H32/100</f>
        <v>-3160.71406164234</v>
      </c>
      <c r="I17" s="4" t="n">
        <f aca="false">-I6*Assumptions!I32/100</f>
        <v>-3271.33905379982</v>
      </c>
      <c r="J17" s="4" t="n">
        <f aca="false">-J6*Assumptions!J32/100</f>
        <v>-3369.47922541382</v>
      </c>
      <c r="K17" s="4" t="n">
        <f aca="false">-K6*Assumptions!K32/100</f>
        <v>-3470.56360217624</v>
      </c>
      <c r="L17" s="4" t="n">
        <f aca="false">-L6*Assumptions!L32/100</f>
        <v>-3574.68051024152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0</v>
      </c>
      <c r="D18" s="4" t="n">
        <f aca="false">(D6-C6)*Assumptions!$B$37/100</f>
        <v>-0</v>
      </c>
      <c r="E18" s="4" t="n">
        <f aca="false">(E6-D6)*Assumptions!$B$37/100</f>
        <v>-0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7987.53564375</v>
      </c>
      <c r="D19" s="0" t="n">
        <f aca="false">D15+D16+D17+D18</f>
        <v>5417.35527225</v>
      </c>
      <c r="E19" s="0" t="n">
        <f aca="false">E15+E16+E17+E18</f>
        <v>4995.3125184</v>
      </c>
      <c r="F19" s="0" t="n">
        <f aca="false">F15+F16+F17+F18</f>
        <v>5438.646504408</v>
      </c>
      <c r="G19" s="0" t="n">
        <f aca="false">G15+G16+G17+G18</f>
        <v>5740.61314614528</v>
      </c>
      <c r="H19" s="0" t="n">
        <f aca="false">H15+H16+H17+H18</f>
        <v>6058.03528481449</v>
      </c>
      <c r="I19" s="0" t="n">
        <f aca="false">I15+I16+I17+I18</f>
        <v>6270.066519783</v>
      </c>
      <c r="J19" s="0" t="n">
        <f aca="false">J15+J16+J17+J18</f>
        <v>6458.16851537649</v>
      </c>
      <c r="K19" s="0" t="n">
        <f aca="false">K15+K16+K17+K18</f>
        <v>6651.91357083778</v>
      </c>
      <c r="L19" s="0" t="n">
        <f aca="false">L15+L16+L17+L18</f>
        <v>6851.47097796292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7228.53904411765</v>
      </c>
      <c r="D21" s="0" t="n">
        <f aca="false">D19*D20</f>
        <v>4436.72756270347</v>
      </c>
      <c r="E21" s="0" t="n">
        <f aca="false">E19*E20</f>
        <v>3702.33599887936</v>
      </c>
      <c r="F21" s="0" t="n">
        <f aca="false">F19*F20</f>
        <v>3647.88988124878</v>
      </c>
      <c r="G21" s="0" t="n">
        <f aca="false">G19*G20</f>
        <v>3484.55152835705</v>
      </c>
      <c r="H21" s="0" t="n">
        <f aca="false">H19*H20</f>
        <v>3327.8069959396</v>
      </c>
      <c r="I21" s="0" t="n">
        <f aca="false">I19*I20</f>
        <v>3116.9956930294</v>
      </c>
      <c r="J21" s="0" t="n">
        <f aca="false">J19*J20</f>
        <v>2905.43489938487</v>
      </c>
      <c r="K21" s="0" t="n">
        <f aca="false">K19*K20</f>
        <v>2708.23343562572</v>
      </c>
      <c r="L21" s="0" t="n">
        <f aca="false">L19*L20</f>
        <v>2524.41668660135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10.5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37082.9317258873</v>
      </c>
    </row>
    <row r="31" customFormat="false" ht="15" hidden="false" customHeight="false" outlineLevel="0" collapsed="false">
      <c r="A31" s="0" t="s">
        <v>129</v>
      </c>
      <c r="B31" s="0" t="n">
        <f aca="false">L19</f>
        <v>6851.47097796292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94093.5347640241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102772.064669444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94093.5347640241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34668.6558293252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71751.5875552125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71751.5875552125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10.8672269645595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0.00996533127876087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10.8672269645595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58808.459227515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6.89104112915674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33</v>
      </c>
      <c r="D5" s="4" t="n">
        <f aca="false">Assumptions!D41</f>
        <v>-3</v>
      </c>
      <c r="E5" s="4" t="n">
        <f aca="false">Assumptions!E41</f>
        <v>3</v>
      </c>
      <c r="F5" s="4" t="n">
        <f aca="false">Assumptions!F41</f>
        <v>5</v>
      </c>
      <c r="G5" s="4" t="n">
        <f aca="false">Assumptions!G41</f>
        <v>5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38</v>
      </c>
      <c r="B6" s="3" t="n">
        <v>34985.1</v>
      </c>
      <c r="C6" s="0" t="n">
        <f aca="false">B6*(1+C5/100)</f>
        <v>46530.183</v>
      </c>
      <c r="D6" s="0" t="n">
        <f aca="false">C6*(1+D5/100)</f>
        <v>45134.27751</v>
      </c>
      <c r="E6" s="0" t="n">
        <f aca="false">D6*(1+E5/100)</f>
        <v>46488.3058353</v>
      </c>
      <c r="F6" s="0" t="n">
        <f aca="false">E6*(1+F5/100)</f>
        <v>48812.721127065</v>
      </c>
      <c r="G6" s="0" t="n">
        <f aca="false">F6*(1+G5/100)</f>
        <v>51253.3571834182</v>
      </c>
      <c r="H6" s="0" t="n">
        <f aca="false">G6*(1+H5/100)</f>
        <v>53816.0250425892</v>
      </c>
      <c r="I6" s="0" t="n">
        <f aca="false">H6*(1+I5/100)</f>
        <v>56237.7461695057</v>
      </c>
      <c r="J6" s="0" t="n">
        <f aca="false">I6*(1+J5/100)</f>
        <v>58487.2560162859</v>
      </c>
      <c r="K6" s="0" t="n">
        <f aca="false">J6*(1+K5/100)</f>
        <v>60534.3099768559</v>
      </c>
      <c r="L6" s="0" t="n">
        <f aca="false">K6*(1+L5/100)</f>
        <v>62653.0108260459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41</v>
      </c>
      <c r="D7" s="4" t="n">
        <f aca="false">Assumptions!D42</f>
        <v>36</v>
      </c>
      <c r="E7" s="4" t="n">
        <f aca="false">Assumptions!E42</f>
        <v>34</v>
      </c>
      <c r="F7" s="4" t="n">
        <f aca="false">Assumptions!F42</f>
        <v>33</v>
      </c>
      <c r="G7" s="4" t="n">
        <f aca="false">Assumptions!G42</f>
        <v>33</v>
      </c>
      <c r="H7" s="4" t="n">
        <f aca="false">Assumptions!H42</f>
        <v>33</v>
      </c>
      <c r="I7" s="4" t="n">
        <f aca="false">Assumptions!I42</f>
        <v>33</v>
      </c>
      <c r="J7" s="4" t="n">
        <f aca="false">Assumptions!J42</f>
        <v>33</v>
      </c>
      <c r="K7" s="4" t="n">
        <f aca="false">Assumptions!K42</f>
        <v>33</v>
      </c>
      <c r="L7" s="4" t="n">
        <f aca="false">Assumptions!L42</f>
        <v>33</v>
      </c>
    </row>
    <row r="8" customFormat="false" ht="15" hidden="false" customHeight="false" outlineLevel="0" collapsed="false">
      <c r="A8" s="0" t="s">
        <v>44</v>
      </c>
      <c r="C8" s="0" t="n">
        <f aca="false">C6*C7/100</f>
        <v>19077.37503</v>
      </c>
      <c r="D8" s="0" t="n">
        <f aca="false">D6*D7/100</f>
        <v>16248.3399036</v>
      </c>
      <c r="E8" s="0" t="n">
        <f aca="false">E6*E7/100</f>
        <v>15806.023984002</v>
      </c>
      <c r="F8" s="0" t="n">
        <f aca="false">F6*F7/100</f>
        <v>16108.1979719314</v>
      </c>
      <c r="G8" s="0" t="n">
        <f aca="false">G6*G7/100</f>
        <v>16913.607870528</v>
      </c>
      <c r="H8" s="0" t="n">
        <f aca="false">H6*H7/100</f>
        <v>17759.2882640544</v>
      </c>
      <c r="I8" s="0" t="n">
        <f aca="false">I6*I7/100</f>
        <v>18558.4562359369</v>
      </c>
      <c r="J8" s="0" t="n">
        <f aca="false">J6*J7/100</f>
        <v>19300.7944853743</v>
      </c>
      <c r="K8" s="0" t="n">
        <f aca="false">K6*K7/100</f>
        <v>19976.3222923624</v>
      </c>
      <c r="L8" s="0" t="n">
        <f aca="false">L6*L7/100</f>
        <v>20675.4935725951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19077.37503</v>
      </c>
      <c r="D11" s="0" t="n">
        <f aca="false">D8+D10+D24</f>
        <v>16248.3399036</v>
      </c>
      <c r="E11" s="0" t="n">
        <f aca="false">E8+E10+E24</f>
        <v>15806.023984002</v>
      </c>
      <c r="F11" s="0" t="n">
        <f aca="false">F8+F10+F24</f>
        <v>16108.1979719314</v>
      </c>
      <c r="G11" s="0" t="n">
        <f aca="false">G8+G10+G24</f>
        <v>16913.607870528</v>
      </c>
      <c r="H11" s="0" t="n">
        <f aca="false">H8+H10+H24</f>
        <v>17759.2882640544</v>
      </c>
      <c r="I11" s="0" t="n">
        <f aca="false">I8+I10+I24</f>
        <v>18558.4562359369</v>
      </c>
      <c r="J11" s="0" t="n">
        <f aca="false">J8+J10+J24</f>
        <v>19300.7944853743</v>
      </c>
      <c r="K11" s="0" t="n">
        <f aca="false">K8+K10+K24</f>
        <v>19976.3222923624</v>
      </c>
      <c r="L11" s="0" t="n">
        <f aca="false">L8+L10+L24</f>
        <v>20675.4935725951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19077.37503</v>
      </c>
      <c r="D13" s="0" t="n">
        <f aca="false">D11+D12</f>
        <v>16248.3399036</v>
      </c>
      <c r="E13" s="0" t="n">
        <f aca="false">E11+E12</f>
        <v>15806.023984002</v>
      </c>
      <c r="F13" s="0" t="n">
        <f aca="false">F11+F12</f>
        <v>16108.1979719314</v>
      </c>
      <c r="G13" s="0" t="n">
        <f aca="false">G11+G12</f>
        <v>16913.607870528</v>
      </c>
      <c r="H13" s="0" t="n">
        <f aca="false">H11+H12</f>
        <v>17759.2882640544</v>
      </c>
      <c r="I13" s="0" t="n">
        <f aca="false">I11+I12</f>
        <v>18558.4562359369</v>
      </c>
      <c r="J13" s="0" t="n">
        <f aca="false">J11+J12</f>
        <v>19300.7944853743</v>
      </c>
      <c r="K13" s="0" t="n">
        <f aca="false">K11+K12</f>
        <v>19976.3222923624</v>
      </c>
      <c r="L13" s="0" t="n">
        <f aca="false">L11+L12</f>
        <v>20675.4935725951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26</v>
      </c>
      <c r="D14" s="4" t="n">
        <f aca="false">Assumptions!D47</f>
        <v>29</v>
      </c>
      <c r="E14" s="4" t="n">
        <f aca="false">Assumptions!E47</f>
        <v>29.5</v>
      </c>
      <c r="F14" s="4" t="n">
        <f aca="false">Assumptions!F47</f>
        <v>29.5</v>
      </c>
      <c r="G14" s="4" t="n">
        <f aca="false">Assumptions!G47</f>
        <v>29.5</v>
      </c>
      <c r="H14" s="4" t="n">
        <f aca="false">Assumptions!H47</f>
        <v>29.5</v>
      </c>
      <c r="I14" s="4" t="n">
        <f aca="false">Assumptions!I47</f>
        <v>29.5</v>
      </c>
      <c r="J14" s="4" t="n">
        <f aca="false">Assumptions!J47</f>
        <v>29.5</v>
      </c>
      <c r="K14" s="4" t="n">
        <f aca="false">Assumptions!K47</f>
        <v>29.5</v>
      </c>
      <c r="L14" s="4" t="n">
        <f aca="false">Assumptions!L47</f>
        <v>29.5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14117.2575222</v>
      </c>
      <c r="D15" s="0" t="n">
        <f aca="false">D13-MAX(0,D13)*D14/100</f>
        <v>11536.321331556</v>
      </c>
      <c r="E15" s="0" t="n">
        <f aca="false">E13-MAX(0,E13)*E14/100</f>
        <v>11143.2469087214</v>
      </c>
      <c r="F15" s="0" t="n">
        <f aca="false">F13-MAX(0,F13)*F14/100</f>
        <v>11356.2795702117</v>
      </c>
      <c r="G15" s="0" t="n">
        <f aca="false">G13-MAX(0,G13)*G14/100</f>
        <v>11924.0935487223</v>
      </c>
      <c r="H15" s="0" t="n">
        <f aca="false">H13-MAX(0,H13)*H14/100</f>
        <v>12520.2982261584</v>
      </c>
      <c r="I15" s="0" t="n">
        <f aca="false">I13-MAX(0,I13)*I14/100</f>
        <v>13083.7116463355</v>
      </c>
      <c r="J15" s="0" t="n">
        <f aca="false">J13-MAX(0,J13)*J14/100</f>
        <v>13607.0601121889</v>
      </c>
      <c r="K15" s="0" t="n">
        <f aca="false">K13-MAX(0,K13)*K14/100</f>
        <v>14083.3072161155</v>
      </c>
      <c r="L15" s="0" t="n">
        <f aca="false">L13-MAX(0,L13)*L14/100</f>
        <v>14576.2229686796</v>
      </c>
    </row>
    <row r="16" customFormat="false" ht="15" hidden="false" customHeight="false" outlineLevel="0" collapsed="false">
      <c r="A16" s="0" t="s">
        <v>120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-4653.0183</v>
      </c>
      <c r="D17" s="4" t="n">
        <f aca="false">-D6*Assumptions!D46/100</f>
        <v>-4287.75636345</v>
      </c>
      <c r="E17" s="4" t="n">
        <f aca="false">-E6*Assumptions!E46/100</f>
        <v>-3951.5059960005</v>
      </c>
      <c r="F17" s="4" t="n">
        <f aca="false">-F6*Assumptions!F46/100</f>
        <v>-3807.39224791107</v>
      </c>
      <c r="G17" s="4" t="n">
        <f aca="false">-G6*Assumptions!G46/100</f>
        <v>-3844.00178875637</v>
      </c>
      <c r="H17" s="4" t="n">
        <f aca="false">-H6*Assumptions!H46/100</f>
        <v>-3982.3858531516</v>
      </c>
      <c r="I17" s="4" t="n">
        <f aca="false">-I6*Assumptions!I46/100</f>
        <v>-4161.59321654342</v>
      </c>
      <c r="J17" s="4" t="n">
        <f aca="false">-J6*Assumptions!J46/100</f>
        <v>-4328.05694520516</v>
      </c>
      <c r="K17" s="4" t="n">
        <f aca="false">-K6*Assumptions!K46/100</f>
        <v>-4479.53893828734</v>
      </c>
      <c r="L17" s="4" t="n">
        <f aca="false">-L6*Assumptions!L46/100</f>
        <v>-4636.32280112739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0</v>
      </c>
      <c r="D18" s="4" t="n">
        <f aca="false">(D6-C6)*Assumptions!$B$51/100</f>
        <v>-0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9464.2392222</v>
      </c>
      <c r="D19" s="0" t="n">
        <f aca="false">D15+D16+D17+D18</f>
        <v>7248.564968106</v>
      </c>
      <c r="E19" s="0" t="n">
        <f aca="false">E15+E16+E17+E18</f>
        <v>7191.74091272091</v>
      </c>
      <c r="F19" s="0" t="n">
        <f aca="false">F15+F16+F17+F18</f>
        <v>7548.8873223006</v>
      </c>
      <c r="G19" s="0" t="n">
        <f aca="false">G15+G16+G17+G18</f>
        <v>8080.09175996588</v>
      </c>
      <c r="H19" s="0" t="n">
        <f aca="false">H15+H16+H17+H18</f>
        <v>8537.91237300677</v>
      </c>
      <c r="I19" s="0" t="n">
        <f aca="false">I15+I16+I17+I18</f>
        <v>8922.11842979207</v>
      </c>
      <c r="J19" s="0" t="n">
        <f aca="false">J15+J16+J17+J18</f>
        <v>9279.00316698376</v>
      </c>
      <c r="K19" s="0" t="n">
        <f aca="false">K15+K16+K17+K18</f>
        <v>9603.76827782819</v>
      </c>
      <c r="L19" s="0" t="n">
        <f aca="false">L15+L16+L17+L18</f>
        <v>9939.90016755218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8564.92237303167</v>
      </c>
      <c r="D21" s="0" t="n">
        <f aca="false">D19*D20</f>
        <v>5936.45909633791</v>
      </c>
      <c r="E21" s="0" t="n">
        <f aca="false">E19*E20</f>
        <v>5330.24534054749</v>
      </c>
      <c r="F21" s="0" t="n">
        <f aca="false">F19*F20</f>
        <v>5063.30199166071</v>
      </c>
      <c r="G21" s="0" t="n">
        <f aca="false">G19*G20</f>
        <v>4904.61478149947</v>
      </c>
      <c r="H21" s="0" t="n">
        <f aca="false">H19*H20</f>
        <v>4690.05596531141</v>
      </c>
      <c r="I21" s="0" t="n">
        <f aca="false">I19*I20</f>
        <v>4435.39229298681</v>
      </c>
      <c r="J21" s="0" t="n">
        <f aca="false">J19*J20</f>
        <v>4174.48686398759</v>
      </c>
      <c r="K21" s="0" t="n">
        <f aca="false">K19*K20</f>
        <v>3910.03973233226</v>
      </c>
      <c r="L21" s="0" t="n">
        <f aca="false">L19*L20</f>
        <v>3662.34490765963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10.5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50671.863345355</v>
      </c>
    </row>
    <row r="31" customFormat="false" ht="15" hidden="false" customHeight="false" outlineLevel="0" collapsed="false">
      <c r="A31" s="0" t="s">
        <v>129</v>
      </c>
      <c r="B31" s="0" t="n">
        <f aca="false">L19</f>
        <v>9939.90016755218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146968.52390595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149098.502513283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146968.52390595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54150.385420396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104822.248765751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104822.248765751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15.8759855647288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0.475463342446917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15.8759855647288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89459.1015079696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9.71611682988962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6.51100856316889</v>
      </c>
      <c r="C4" s="0" t="n">
        <f aca="false">B4/Assumptions!$B$2-1</f>
        <v>-0.394887680002891</v>
      </c>
      <c r="D4" s="4" t="n">
        <f aca="false">Assumptions!$B$24</f>
        <v>0.25</v>
      </c>
      <c r="E4" s="4" t="n">
        <f aca="false">DCF_Bear!$B$43</f>
        <v>6.51100856316889</v>
      </c>
      <c r="F4" s="4" t="n">
        <f aca="false">DCF_Bear!$B$47</f>
        <v>4.2655750478518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10.8672269645595</v>
      </c>
      <c r="C5" s="0" t="n">
        <f aca="false">B5/Assumptions!$B$2-1</f>
        <v>0.00996533127876087</v>
      </c>
      <c r="D5" s="4" t="n">
        <f aca="false">Assumptions!$B$38</f>
        <v>0.5</v>
      </c>
      <c r="E5" s="4" t="n">
        <f aca="false">DCF_Base!$B$43</f>
        <v>10.8672269645595</v>
      </c>
      <c r="F5" s="4" t="n">
        <f aca="false">DCF_Base!$B$47</f>
        <v>6.89104112915674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15.8759855647288</v>
      </c>
      <c r="C6" s="0" t="n">
        <f aca="false">B6/Assumptions!$B$2-1</f>
        <v>0.475463342446917</v>
      </c>
      <c r="D6" s="4" t="n">
        <f aca="false">Assumptions!$B$52</f>
        <v>0.25</v>
      </c>
      <c r="E6" s="4" t="n">
        <f aca="false">DCF_Bull!$B$43</f>
        <v>15.8759855647288</v>
      </c>
      <c r="F6" s="4" t="n">
        <f aca="false">DCF_Bull!$B$47</f>
        <v>9.71611682988962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11.0303620142542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11.0303620142542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0.0245107108819079</v>
      </c>
    </row>
    <row r="11" customFormat="false" ht="15" hidden="false" customHeight="false" outlineLevel="0" collapsed="false">
      <c r="A11" s="0" t="s">
        <v>156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6.94094353401372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12.5679992091523</v>
      </c>
      <c r="C15" s="3" t="n">
        <v>9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11.6245124027867</v>
      </c>
      <c r="C16" s="3" t="n">
        <v>10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10.8672269645595</v>
      </c>
      <c r="C17" s="3" t="n">
        <v>10.5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10.2045966822682</v>
      </c>
      <c r="C18" s="3" t="n">
        <v>11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9.10018517832646</v>
      </c>
      <c r="C19" s="3" t="n">
        <v>12</v>
      </c>
    </row>
    <row r="20" customFormat="false" ht="15" hidden="false" customHeight="false" outlineLevel="0" collapsed="false">
      <c r="A20" s="0" t="s">
        <v>165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6.89104112915674</v>
      </c>
      <c r="C20" s="3" t="n">
        <v>15</v>
      </c>
    </row>
    <row r="22" customFormat="false" ht="15" hidden="false" customHeight="false" outlineLevel="0" collapsed="false">
      <c r="A22" s="2" t="s">
        <v>166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8.5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13.0118434920504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13.0118434920504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13.0118434920504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13.0118434920504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13.0118434920504</v>
      </c>
    </row>
    <row r="25" customFormat="false" ht="15" hidden="false" customHeight="false" outlineLevel="0" collapsed="false">
      <c r="A25" s="3" t="n">
        <v>9.5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11.5577784169463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11.994449741705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12.1439947159375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12.1439947159375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12.1439947159375</v>
      </c>
    </row>
    <row r="26" customFormat="false" ht="15" hidden="false" customHeight="false" outlineLevel="0" collapsed="false">
      <c r="A26" s="3" t="n">
        <v>10.5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10.2045065421038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10.5151567401299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10.8672269645595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11.2695929353361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11.3515226578925</v>
      </c>
    </row>
    <row r="27" customFormat="false" ht="15" hidden="false" customHeight="false" outlineLevel="0" collapsed="false">
      <c r="A27" s="3" t="n">
        <v>11.5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9.13746156648212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9.36528643510384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9.61991422944577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9.90637049808044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10.2310209358664</v>
      </c>
    </row>
    <row r="28" customFormat="false" ht="15" hidden="false" customHeight="false" outlineLevel="0" collapsed="false">
      <c r="A28" s="3" t="n">
        <v>12.5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8.27475036965613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8.44594062849881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8.63515091458808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8.84538456579838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9.08035158773931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2026-10-23T11:23:49Z</dcterms:created>
  <dc:creator>openpyxl</dc:creator>
  <dc:description/>
  <dc:language>en-NZ</dc:language>
  <cp:lastModifiedBy/>
  <dcterms:modified xsi:type="dcterms:W3CDTF">2026-10-23T11:23:49Z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