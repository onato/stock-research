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<sst xmlns="http://schemas.openxmlformats.org/spreadsheetml/2006/main" count="361" uniqueCount="168">
  <si>
    <t xml:space="preserve">Ticker</t>
  </si>
  <si>
    <t xml:space="preserve">BNS</t>
  </si>
  <si>
    <t xml:space="preserve">Company</t>
  </si>
  <si>
    <t xml:space="preserve">The Bank of Nova Scotia (Scotiabank)</t>
  </si>
  <si>
    <t xml:space="preserve">Valuation date</t>
  </si>
  <si>
    <t xml:space="preserve">2026-10-04</t>
  </si>
  <si>
    <t xml:space="preserve">Current price</t>
  </si>
  <si>
    <t xml:space="preserve">Price as of</t>
  </si>
  <si>
    <t xml:space="preserve">2026-10-02T20:00:02Z NYSE regular close (Yahoo chart API regularMarketTime)</t>
  </si>
  <si>
    <t xml:space="preserve">Balance sheet date</t>
  </si>
  <si>
    <t xml:space="preserve">2026-07-31</t>
  </si>
  <si>
    <t xml:space="preserve">Model</t>
  </si>
  <si>
    <t xml:space="preserve">Bank FCFE capitalisation at cost of equity (engine route; adjusted common earnings after CET1 capital retention, net debt zero)</t>
  </si>
  <si>
    <t xml:space="preserve">Currency (model)</t>
  </si>
  <si>
    <t xml:space="preserve">CAD</t>
  </si>
  <si>
    <t xml:space="preserve">Currency (quote)</t>
  </si>
  <si>
    <t xml:space="preserve">USD</t>
  </si>
  <si>
    <t xml:space="preserve">Units</t>
  </si>
  <si>
    <t xml:space="preserve">millions</t>
  </si>
  <si>
    <t xml:space="preserve">Engine</t>
  </si>
  <si>
    <t xml:space="preserve">dcf_engine v1</t>
  </si>
  <si>
    <t xml:space="preserve">Built at</t>
  </si>
  <si>
    <t xml:space="preserve">2026-10-03T21:26:19Z</t>
  </si>
  <si>
    <t xml:space="preserve">Drivers file</t>
  </si>
  <si>
    <t xml:space="preserve">BNS_Drivers.json</t>
  </si>
  <si>
    <t xml:space="preserve">Convention</t>
  </si>
  <si>
    <t xml:space="preserve">Percents stored as percents; formulas divide by 100. Blue = input, green = link, black = formula.</t>
  </si>
  <si>
    <t xml:space="preserve">Methodology</t>
  </si>
  <si>
    <t xml:space="preserve">summary: A Canadian D-SIB is valued on what it can distribute to common shareholders after funding the CET1 capital its risk-weighted assets require, discounted at a CAD cost of equity - never on statutory operating cash flow (deposit and loan movement) and never with deposits, senior funding or subordinated debt treated as net debt. Adjusted common earnings are the flow, capital retention is the reinvestment, and preferred/AT1 distributions and NCI are charged inside the flow. The result is the residual-income answer in FCFE form: with ROTCE rising from ~17% to ~18%, 3% terminal growth and a 9.8% cost of equity, the base is worth ~2.4x tangible book against the ~2.5x the market pays - roughly fair to modestly rich, with the bear case (ROE back to 12-13%) about 25% below the price and the bull about 10% above.
key_risks_to_valuation: Credit cycle: every 10bp of PCL on ~C$770bn of loans is ~C$770m pre-tax (~5% of adjusted pre-tax income); Q2 FY26 ran at 66bp and the bear case uses ~80bp for two years; Net interest margin: 5bp on ~C$1.2tn of average earning assets is ~C$600m of revenue (~1.5%); NIM has expanded for five quarters and Bank of Canada / Banxico cuts point the other way; Canadian housing: mortgage renewals at higher rates with delinquencies already elevated in Q3 FY26; U.S. tariffs and Mexico: management's own pessimistic scenario (7.5% effective tariff on Canada/Mexico) and very pessimistic (3x, full retaliation) would move both PCL and growth; Capital: OSFI can raise the Domestic Stability Buffer back up from 3.0% (range 0-3%), and the CET1-surplus credit in the bridge assumes it stays deployable; FX: flows are CAD and the USD quote is converted at a dated CAD/USD rate; a 5% CAD move shifts the USD value ~5% with no change in the business; Strategic M&amp;A: a larger U.S. acquisition (e.g. KeyCorp step-up) at ~1.5-2x book would change both capital and ROE; not modelled</t>
  </si>
  <si>
    <t xml:space="preserve">Data sources</t>
  </si>
  <si>
    <t xml:space="preserve">price: Yahoo Finance chart API at inputs.price_as_of (NYSE BNS, USD regular close); 52-week range 62.98-95.74 USD. TSX BNS.TO and CADUSD=X fetched at the same time for the fx_note parity check.
financials: BNS_Metrics.csv / BNS.duckdb (core_metrics + kpis, CAD millions, FY2016-FY2025 annual, Q1-Q3 FY2022-FY2025) - Revenue, NetIncome, TotalCommonEquity, NetInterestIncome, DividendsPaid, ShareRepurchases; FY2025 annual FS/MD&amp;A (SBC at BNS_Annual_FY2025_FS.txt:645, share counts BNS_Annual_FY2025_MDA.txt:10310); Q3 FY2026 Quarterly Report to Shareholders (SEC 6-K accession 0001193125-26-364115, exhibit 99.1, fetched 2026-10-04 to research/BNS/Extracted/BNS_Quarterly_Q3-2026.txt): T1 highlights (:84-160), T2 adjusted reconciliation (:182-227), capital and NCIB (:2329-2383), balance sheet (:2770-2800).
qualitative: BNS_Analysis.json (2026-10-04): North America-first strategy, KeyCorp 14.9% stake, Davivienda divestiture (1 Dec 2025), MapleMark acquisition, medium-term targets (14%+ ROE, 7%+ EPS growth, positive operating leverage, 40-50% payout), risks.</t>
  </si>
  <si>
    <t xml:space="preserve">Scenario narrative: bear</t>
  </si>
  <si>
    <t xml:space="preserve">The tariff shock management stress-tests becomes the base: Canada stalls, Mexico contracts and Canadian mortgage renewals at higher rates push PCL to ~80bp for two years, NIM falls back toward 2.2% on rate cuts, and record capital-markets fees revert. Operating leverage turns negative and the productivity ratio drifts to ~54%. RWA migration absorbs capital and buybacks stop. ROE falls back to the 12-13% of the pre-pivot years - the bank's historical position as the weakest of the Big Six.</t>
  </si>
  <si>
    <t xml:space="preserve">Scenario narrative: base</t>
  </si>
  <si>
    <t xml:space="preserve">Scotiabank completes the North American pivot: Canadian Banking keeps its 19% ROE, wealth and capital markets grow faster than the loan book, and International Banking is a smaller, steadier Mexico/Peru/Chile franchise plus Davivienda and KeyCorp associate stakes. Revenue compounds at 5% fading to 3%, positive operating leverage takes the productivity ratio to ~51.5%, and credit normalises to ~54bp. Adjusted ROE settles near 15-16% (ROTCE ~18%) with roughly 70-80% of earnings distributed. At a 9.8% CAD cost of equity that franchise is worth ~2.4x tangible book, a little below the ~2.5x the market pays after the FY2025-26 re-rating: the price discounts the base case and a bit more.</t>
  </si>
  <si>
    <t xml:space="preserve">Scenario narrative: bull</t>
  </si>
  <si>
    <t xml:space="preserve">The pivot overdelivers: management's '14% is not a ceiling' proves right as U.S. commercial and deposit growth (MapleMark, KeyCorp) adds a third growth leg, productivity falls toward 49.5%, credit stays benign at ~50bp and the wealth mix lowers capital intensity. ROE reaches 16-17%, matching RBC-class peers. At a 9.8% cost of equity the bull value is only ~10% above the current price, so the market is already paying for much of this case.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</si>
  <si>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</si>
  <si>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</si>
  <si>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</si>
  <si>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</si>
  <si>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</si>
  <si>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</si>
  <si>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</si>
  <si>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</si>
  <si>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</si>
  <si>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</si>
  <si>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</si>
  <si>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</si>
  <si>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</si>
  <si>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</si>
  <si>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</si>
  <si>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</si>
  <si>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</si>
  <si>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</si>
  <si>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</si>
  <si>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</si>
  <si>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</si>
  <si>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</si>
  <si>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</si>
  <si>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</si>
  <si>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</si>
  <si>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</si>
  <si>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</si>
  <si>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NetInterestIncome</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</si>
  <si>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</si>
  <si>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</si>
  <si>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</si>
  <si>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</si>
  <si>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</si>
  <si>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</si>
  <si>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</si>
  <si>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</si>
  <si>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</si>
  <si>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</si>
  <si>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</si>
  <si>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</si>
  <si>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</si>
  <si>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</si>
  <si>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</si>
  <si>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</si>
  <si>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</si>
  <si>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</si>
  <si>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</si>
  <si>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</si>
  <si>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</si>
  <si>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CAD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</si>
  <si>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</si>
  <si>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</si>
  <si>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</si>
  <si>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</si>
  <si>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</si>
  <si>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</si>
  <si>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</si>
  <si>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</si>
  <si>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</si>
  <si>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</si>
  <si>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</si>
  <si>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</si>
  <si>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</si>
  <si>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</si>
  <si>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</si>
  <si>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</si>
  <si>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</si>
  <si>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</si>
  <si>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</si>
  <si>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</si>
  <si>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</si>
  <si>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</si>
  <si>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</si>
  <si>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</si>
  <si>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</si>
  <si>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</si>
  <si>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BNS owner-FCF component DCF: bear case (millions, CAD)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</si>
  <si>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</si>
  <si>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</si>
  <si>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</si>
  <si>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</si>
  <si>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</si>
  <si>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</si>
  <si>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</si>
  <si>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</si>
  <si>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</si>
  <si>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</si>
  <si>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</si>
  <si>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</si>
  <si>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</si>
  <si>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</si>
  <si>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</si>
  <si>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</si>
  <si>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</si>
  <si>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</si>
  <si>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</si>
  <si>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</si>
  <si>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</si>
  <si>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</si>
  <si>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</si>
  <si>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</si>
  <si>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</si>
  <si>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</si>
  <si>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</si>
  <si>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</si>
  <si>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</si>
  <si>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</si>
  <si>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BNS owner-FCF component DCF: base case (millions, CAD)</t>
  </si>
  <si>
    <t xml:space="preserve">BNS owner-FCF component DCF: bull case (millions, CAD)</t>
  </si>
  <si>
    <t xml:space="preserve">BNS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</si>
  <si>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</si>
  <si>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</si>
  <si>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</si>
  <si>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</si>
  <si>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</si>
  <si>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</si>
  <si>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</si>
  <si>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</si>
  <si>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</si>
  <si>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</si>
  <si>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</si>
  <si>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</si>
  <si>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</si>
  <si>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</si>
  <si>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</si>
  <si>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9.8%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</si>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</sst>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91.19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26350</v>
      </c>
      <c r="I2" s="0" t="n">
        <v>7117</v>
      </c>
      <c r="J2" s="0" t="n">
        <v>27</v>
      </c>
      <c r="K2" s="0" t="n">
        <v>5.77</v>
      </c>
      <c r="L2" s="0" t="n">
        <v>4099</v>
      </c>
      <c r="M2" s="0" t="n">
        <v>348</v>
      </c>
      <c r="N2" s="0" t="n">
        <v>3751</v>
      </c>
      <c r="O2" s="0" t="n">
        <v>56251</v>
      </c>
      <c r="P2" s="0" t="n">
        <v>896266</v>
      </c>
      <c r="Q2" s="0" t="n">
        <v>838445</v>
      </c>
      <c r="R2" s="0" t="n">
        <v>7633</v>
      </c>
      <c r="S2" s="0" t="n">
        <v>46344</v>
      </c>
      <c r="T2" s="0" t="n">
        <v>1208</v>
      </c>
      <c r="U2" s="0" t="n">
        <v>7</v>
      </c>
      <c r="V2" s="0" t="n">
        <v>2.88</v>
      </c>
      <c r="AA2" s="0" t="s">
        <v>18</v>
      </c>
      <c r="AB2" s="0" t="s">
        <v>14</v>
      </c>
      <c r="AC2" s="0" t="n">
        <v>14292</v>
      </c>
    </row>
    <row r="3" customFormat="false" ht="15" hidden="false" customHeight="false" outlineLevel="0" collapsed="false">
      <c r="A3" s="0" t="s">
        <v>66</v>
      </c>
      <c r="B3" s="0" t="n">
        <v>27155</v>
      </c>
      <c r="I3" s="0" t="n">
        <v>8005</v>
      </c>
      <c r="J3" s="0" t="n">
        <v>29.5</v>
      </c>
      <c r="K3" s="0" t="n">
        <v>6.49</v>
      </c>
      <c r="L3" s="0" t="n">
        <v>16584</v>
      </c>
      <c r="M3" s="0" t="n">
        <v>-3</v>
      </c>
      <c r="N3" s="0" t="n">
        <v>16587</v>
      </c>
      <c r="O3" s="0" t="n">
        <v>60033</v>
      </c>
      <c r="P3" s="0" t="n">
        <v>915273</v>
      </c>
      <c r="Q3" s="0" t="n">
        <v>853648</v>
      </c>
      <c r="R3" s="0" t="n">
        <v>5935</v>
      </c>
      <c r="S3" s="0" t="n">
        <v>59663</v>
      </c>
      <c r="T3" s="0" t="n">
        <v>1199</v>
      </c>
      <c r="U3" s="0" t="n">
        <v>8</v>
      </c>
      <c r="V3" s="0" t="n">
        <v>3.05</v>
      </c>
      <c r="AA3" s="0" t="s">
        <v>18</v>
      </c>
      <c r="AB3" s="0" t="s">
        <v>14</v>
      </c>
      <c r="AC3" s="0" t="n">
        <v>15035</v>
      </c>
    </row>
    <row r="4" customFormat="false" ht="15" hidden="false" customHeight="false" outlineLevel="0" collapsed="false">
      <c r="A4" s="0" t="s">
        <v>67</v>
      </c>
      <c r="B4" s="0" t="n">
        <v>28775</v>
      </c>
      <c r="I4" s="0" t="n">
        <v>8548</v>
      </c>
      <c r="J4" s="0" t="n">
        <v>29.7</v>
      </c>
      <c r="K4" s="0" t="n">
        <v>6.82</v>
      </c>
      <c r="L4" s="0" t="n">
        <v>17811</v>
      </c>
      <c r="M4" s="0" t="n">
        <v>416</v>
      </c>
      <c r="N4" s="0" t="n">
        <v>17395</v>
      </c>
      <c r="O4" s="0" t="n">
        <v>65228</v>
      </c>
      <c r="P4" s="0" t="n">
        <v>998493</v>
      </c>
      <c r="Q4" s="0" t="n">
        <v>930813</v>
      </c>
      <c r="R4" s="0" t="n">
        <v>5698</v>
      </c>
      <c r="S4" s="0" t="n">
        <v>62269</v>
      </c>
      <c r="T4" s="0" t="n">
        <v>1227</v>
      </c>
      <c r="U4" s="0" t="n">
        <v>6</v>
      </c>
      <c r="V4" s="0" t="n">
        <v>3.28</v>
      </c>
      <c r="AA4" s="0" t="s">
        <v>18</v>
      </c>
      <c r="AB4" s="0" t="s">
        <v>14</v>
      </c>
      <c r="AC4" s="0" t="n">
        <v>16191</v>
      </c>
    </row>
    <row r="5" customFormat="false" ht="15" hidden="false" customHeight="false" outlineLevel="0" collapsed="false">
      <c r="A5" s="0" t="s">
        <v>68</v>
      </c>
      <c r="B5" s="0" t="n">
        <v>31034</v>
      </c>
      <c r="I5" s="0" t="n">
        <v>8390</v>
      </c>
      <c r="J5" s="0" t="n">
        <v>27</v>
      </c>
      <c r="K5" s="0" t="n">
        <v>6.68</v>
      </c>
      <c r="L5" s="0" t="n">
        <v>-12025</v>
      </c>
      <c r="M5" s="0" t="n">
        <v>186</v>
      </c>
      <c r="N5" s="0" t="n">
        <v>-12211</v>
      </c>
      <c r="O5" s="0" t="n">
        <v>67522</v>
      </c>
      <c r="P5" s="0" t="n">
        <v>1086161</v>
      </c>
      <c r="Q5" s="0" t="n">
        <v>1015969</v>
      </c>
      <c r="R5" s="0" t="n">
        <v>7252</v>
      </c>
      <c r="S5" s="0" t="n">
        <v>46720</v>
      </c>
      <c r="T5" s="0" t="n">
        <v>1216</v>
      </c>
      <c r="U5" s="0" t="n">
        <v>7</v>
      </c>
      <c r="V5" s="0" t="n">
        <v>3.49</v>
      </c>
      <c r="AA5" s="0" t="s">
        <v>18</v>
      </c>
      <c r="AB5" s="0" t="s">
        <v>14</v>
      </c>
      <c r="AC5" s="0" t="n">
        <v>17177</v>
      </c>
    </row>
    <row r="6" customFormat="false" ht="15" hidden="false" customHeight="false" outlineLevel="0" collapsed="false">
      <c r="A6" s="0" t="s">
        <v>69</v>
      </c>
      <c r="B6" s="0" t="n">
        <v>31336</v>
      </c>
      <c r="I6" s="0" t="n">
        <v>6778</v>
      </c>
      <c r="J6" s="0" t="n">
        <v>21.6</v>
      </c>
      <c r="K6" s="0" t="n">
        <v>5.3</v>
      </c>
      <c r="L6" s="0" t="n">
        <v>56664</v>
      </c>
      <c r="M6" s="0" t="n">
        <v>771</v>
      </c>
      <c r="N6" s="0" t="n">
        <v>55893</v>
      </c>
      <c r="O6" s="0" t="n">
        <v>68127</v>
      </c>
      <c r="P6" s="0" t="n">
        <v>1136466</v>
      </c>
      <c r="Q6" s="0" t="n">
        <v>1065963</v>
      </c>
      <c r="R6" s="0" t="n">
        <v>7405</v>
      </c>
      <c r="S6" s="0" t="n">
        <v>76460</v>
      </c>
      <c r="T6" s="0" t="n">
        <v>1211</v>
      </c>
      <c r="U6" s="0" t="n">
        <v>5</v>
      </c>
      <c r="V6" s="0" t="n">
        <v>3.6</v>
      </c>
      <c r="AA6" s="0" t="s">
        <v>18</v>
      </c>
      <c r="AB6" s="0" t="s">
        <v>14</v>
      </c>
      <c r="AC6" s="0" t="n">
        <v>17320</v>
      </c>
    </row>
    <row r="7" customFormat="false" ht="15" hidden="false" customHeight="false" outlineLevel="0" collapsed="false">
      <c r="A7" s="0" t="s">
        <v>70</v>
      </c>
      <c r="B7" s="0" t="n">
        <v>31252</v>
      </c>
      <c r="I7" s="0" t="n">
        <v>9624</v>
      </c>
      <c r="J7" s="0" t="n">
        <v>30.8</v>
      </c>
      <c r="K7" s="0" t="n">
        <v>7.7</v>
      </c>
      <c r="L7" s="0" t="n">
        <v>-12807</v>
      </c>
      <c r="M7" s="0" t="n">
        <v>462</v>
      </c>
      <c r="N7" s="0" t="n">
        <v>-13269</v>
      </c>
      <c r="O7" s="0" t="n">
        <v>70802</v>
      </c>
      <c r="P7" s="0" t="n">
        <v>1184844</v>
      </c>
      <c r="Q7" s="0" t="n">
        <v>1111952</v>
      </c>
      <c r="R7" s="0" t="n">
        <v>6334</v>
      </c>
      <c r="S7" s="0" t="n">
        <v>86323</v>
      </c>
      <c r="T7" s="0" t="n">
        <v>1215</v>
      </c>
      <c r="U7" s="0" t="n">
        <v>7</v>
      </c>
      <c r="V7" s="0" t="n">
        <v>3.6</v>
      </c>
      <c r="AA7" s="0" t="s">
        <v>18</v>
      </c>
      <c r="AB7" s="0" t="s">
        <v>14</v>
      </c>
      <c r="AC7" s="0" t="n">
        <v>16961</v>
      </c>
    </row>
    <row r="8" customFormat="false" ht="15" hidden="false" customHeight="false" outlineLevel="0" collapsed="false">
      <c r="A8" s="0" t="s">
        <v>71</v>
      </c>
      <c r="B8" s="0" t="n">
        <v>31416</v>
      </c>
      <c r="I8" s="0" t="n">
        <v>9916</v>
      </c>
      <c r="J8" s="0" t="n">
        <v>31.6</v>
      </c>
      <c r="K8" s="0" t="n">
        <v>8.02</v>
      </c>
      <c r="L8" s="0" t="n">
        <v>16943</v>
      </c>
      <c r="M8" s="0" t="n">
        <v>571</v>
      </c>
      <c r="N8" s="0" t="n">
        <v>16372</v>
      </c>
      <c r="O8" s="0" t="n">
        <v>73225</v>
      </c>
      <c r="P8" s="0" t="n">
        <v>1349418</v>
      </c>
      <c r="Q8" s="0" t="n">
        <v>1274669</v>
      </c>
      <c r="R8" s="0" t="n">
        <v>8469</v>
      </c>
      <c r="S8" s="0" t="n">
        <v>65895</v>
      </c>
      <c r="T8" s="0" t="n">
        <v>1191</v>
      </c>
      <c r="U8" s="0" t="n">
        <v>10</v>
      </c>
      <c r="V8" s="0" t="n">
        <v>4.06</v>
      </c>
      <c r="AA8" s="0" t="s">
        <v>18</v>
      </c>
      <c r="AB8" s="0" t="s">
        <v>14</v>
      </c>
      <c r="AC8" s="0" t="n">
        <v>18115</v>
      </c>
    </row>
    <row r="9" customFormat="false" ht="15" hidden="false" customHeight="false" outlineLevel="0" collapsed="false">
      <c r="A9" s="0" t="s">
        <v>72</v>
      </c>
      <c r="B9" s="0" t="n">
        <v>32307</v>
      </c>
      <c r="I9" s="0" t="n">
        <v>7410</v>
      </c>
      <c r="J9" s="0" t="n">
        <v>22.9</v>
      </c>
      <c r="K9" s="0" t="n">
        <v>5.78</v>
      </c>
      <c r="L9" s="0" t="n">
        <v>31724</v>
      </c>
      <c r="M9" s="0" t="n">
        <v>442</v>
      </c>
      <c r="N9" s="0" t="n">
        <v>31282</v>
      </c>
      <c r="O9" s="0" t="n">
        <v>76928</v>
      </c>
      <c r="P9" s="0" t="n">
        <v>1410789</v>
      </c>
      <c r="Q9" s="0" t="n">
        <v>1332122</v>
      </c>
      <c r="R9" s="0" t="n">
        <v>9693</v>
      </c>
      <c r="S9" s="0" t="n">
        <v>90312</v>
      </c>
      <c r="T9" s="0" t="n">
        <v>1214</v>
      </c>
      <c r="U9" s="0" t="n">
        <v>14</v>
      </c>
      <c r="V9" s="0" t="n">
        <v>4.18</v>
      </c>
      <c r="AA9" s="0" t="s">
        <v>18</v>
      </c>
      <c r="AB9" s="0" t="s">
        <v>14</v>
      </c>
      <c r="AC9" s="0" t="n">
        <v>18287</v>
      </c>
    </row>
    <row r="10" customFormat="false" ht="15" hidden="false" customHeight="false" outlineLevel="0" collapsed="false">
      <c r="A10" s="0" t="s">
        <v>73</v>
      </c>
      <c r="B10" s="0" t="n">
        <v>33670</v>
      </c>
      <c r="I10" s="0" t="n">
        <v>7758</v>
      </c>
      <c r="J10" s="0" t="n">
        <v>23</v>
      </c>
      <c r="K10" s="0" t="n">
        <v>5.87</v>
      </c>
      <c r="L10" s="0" t="n">
        <v>15652</v>
      </c>
      <c r="M10" s="0" t="n">
        <v>489</v>
      </c>
      <c r="N10" s="0" t="n">
        <v>15163</v>
      </c>
      <c r="O10" s="0" t="n">
        <v>82369</v>
      </c>
      <c r="P10" s="0" t="n">
        <v>1412027</v>
      </c>
      <c r="Q10" s="0" t="n">
        <v>1327951</v>
      </c>
      <c r="R10" s="0" t="n">
        <v>7833</v>
      </c>
      <c r="S10" s="0" t="n">
        <v>63860</v>
      </c>
      <c r="T10" s="0" t="n">
        <v>1244</v>
      </c>
      <c r="U10" s="0" t="n">
        <v>13</v>
      </c>
      <c r="V10" s="0" t="n">
        <v>4.24</v>
      </c>
      <c r="AA10" s="0" t="s">
        <v>18</v>
      </c>
      <c r="AB10" s="0" t="s">
        <v>14</v>
      </c>
      <c r="AC10" s="0" t="n">
        <v>19252</v>
      </c>
    </row>
    <row r="11" customFormat="false" ht="15" hidden="false" customHeight="false" outlineLevel="0" collapsed="false">
      <c r="A11" s="0" t="s">
        <v>74</v>
      </c>
      <c r="B11" s="0" t="n">
        <v>37741</v>
      </c>
      <c r="I11" s="0" t="n">
        <v>7789</v>
      </c>
      <c r="J11" s="0" t="n">
        <v>20.6</v>
      </c>
      <c r="K11" s="0" t="n">
        <v>5.67</v>
      </c>
      <c r="L11" s="0" t="n">
        <v>5407</v>
      </c>
      <c r="M11" s="0" t="n">
        <v>347</v>
      </c>
      <c r="N11" s="0" t="n">
        <v>5060</v>
      </c>
      <c r="O11" s="0" t="n">
        <v>86866</v>
      </c>
      <c r="P11" s="0" t="n">
        <v>1460042</v>
      </c>
      <c r="Q11" s="0" t="n">
        <v>1371455</v>
      </c>
      <c r="R11" s="0" t="n">
        <v>7692</v>
      </c>
      <c r="S11" s="0" t="n">
        <v>65967</v>
      </c>
      <c r="T11" s="0" t="n">
        <v>1236</v>
      </c>
      <c r="U11" s="0" t="n">
        <v>15</v>
      </c>
      <c r="V11" s="0" t="n">
        <v>4.32</v>
      </c>
      <c r="AA11" s="0" t="s">
        <v>18</v>
      </c>
      <c r="AB11" s="0" t="s">
        <v>14</v>
      </c>
      <c r="AC11" s="0" t="n">
        <v>21522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91.19</v>
      </c>
    </row>
    <row r="3" customFormat="false" ht="15" hidden="false" customHeight="false" outlineLevel="0" collapsed="false">
      <c r="A3" s="0" t="s">
        <v>78</v>
      </c>
      <c r="B3" s="3" t="n">
        <v>1222</v>
      </c>
    </row>
    <row r="4" customFormat="false" ht="15" hidden="false" customHeight="false" outlineLevel="0" collapsed="false">
      <c r="A4" s="0" t="s">
        <v>79</v>
      </c>
      <c r="B4" s="3" t="n">
        <v>0</v>
      </c>
    </row>
    <row r="5" customFormat="false" ht="15" hidden="false" customHeight="false" outlineLevel="0" collapsed="false">
      <c r="A5" s="0" t="s">
        <v>80</v>
      </c>
      <c r="B5" s="3" t="n">
        <v>2711</v>
      </c>
    </row>
    <row r="6" customFormat="false" ht="15" hidden="false" customHeight="false" outlineLevel="0" collapsed="false">
      <c r="A6" s="0" t="s">
        <v>81</v>
      </c>
      <c r="B6" s="3" t="n">
        <v>15</v>
      </c>
    </row>
    <row r="7" customFormat="false" ht="15" hidden="false" customHeight="false" outlineLevel="0" collapsed="false">
      <c r="A7" s="0" t="s">
        <v>82</v>
      </c>
      <c r="B7" s="3" t="n">
        <v>41065</v>
      </c>
    </row>
    <row r="8" customFormat="false" ht="15" hidden="false" customHeight="false" outlineLevel="0" collapsed="false">
      <c r="A8" s="0" t="s">
        <v>83</v>
      </c>
      <c r="B8" s="3" t="s">
        <v>84</v>
      </c>
    </row>
    <row r="9" customFormat="false" ht="15" hidden="false" customHeight="false" outlineLevel="0" collapsed="false">
      <c r="A9" s="0" t="s">
        <v>85</v>
      </c>
      <c r="B9" s="3" t="s">
        <v>86</v>
      </c>
    </row>
    <row r="10" customFormat="false" ht="15" hidden="false" customHeight="false" outlineLevel="0" collapsed="false">
      <c r="A10" s="0" t="s">
        <v>87</v>
      </c>
      <c r="B10" s="3" t="n">
        <v>0.7019</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2</v>
      </c>
      <c r="D13" s="3" t="n">
        <v>2.5</v>
      </c>
      <c r="E13" s="3" t="n">
        <v>3</v>
      </c>
      <c r="F13" s="3" t="n">
        <v>3</v>
      </c>
      <c r="G13" s="3" t="n">
        <v>3</v>
      </c>
      <c r="H13" s="3" t="n">
        <v>3</v>
      </c>
      <c r="I13" s="3" t="n">
        <v>2.5</v>
      </c>
      <c r="J13" s="3" t="n">
        <v>2.5</v>
      </c>
      <c r="K13" s="3" t="n">
        <v>2.5</v>
      </c>
      <c r="L13" s="3" t="n">
        <v>2.5</v>
      </c>
    </row>
    <row r="14" customFormat="false" ht="15" hidden="false" customHeight="false" outlineLevel="0" collapsed="false">
      <c r="A14" s="0" t="s">
        <v>100</v>
      </c>
      <c r="C14" s="3" t="n">
        <v>31.5</v>
      </c>
      <c r="D14" s="3" t="n">
        <v>32.5</v>
      </c>
      <c r="E14" s="3" t="n">
        <v>34</v>
      </c>
      <c r="F14" s="3" t="n">
        <v>35</v>
      </c>
      <c r="G14" s="3" t="n">
        <v>35</v>
      </c>
      <c r="H14" s="3" t="n">
        <v>35</v>
      </c>
      <c r="I14" s="3" t="n">
        <v>35</v>
      </c>
      <c r="J14" s="3" t="n">
        <v>35</v>
      </c>
      <c r="K14" s="3" t="n">
        <v>35</v>
      </c>
      <c r="L14" s="3" t="n">
        <v>35</v>
      </c>
    </row>
    <row r="15" customFormat="false" ht="15" hidden="false" customHeight="false" outlineLevel="0" collapsed="false">
      <c r="A15" s="0" t="s">
        <v>101</v>
      </c>
      <c r="C15" s="3" t="n">
        <v>0.04</v>
      </c>
      <c r="D15" s="3" t="n">
        <v>0.04</v>
      </c>
      <c r="E15" s="3" t="n">
        <v>0.04</v>
      </c>
      <c r="F15" s="3" t="n">
        <v>0.04</v>
      </c>
      <c r="G15" s="3" t="n">
        <v>0.04</v>
      </c>
      <c r="H15" s="3" t="n">
        <v>0.04</v>
      </c>
      <c r="I15" s="3" t="n">
        <v>0.04</v>
      </c>
      <c r="J15" s="3" t="n">
        <v>0.04</v>
      </c>
      <c r="K15" s="3" t="n">
        <v>0.04</v>
      </c>
      <c r="L15" s="3" t="n">
        <v>0.04</v>
      </c>
    </row>
    <row r="16" customFormat="false" ht="15" hidden="false" customHeight="false" outlineLevel="0" collapsed="false">
      <c r="A16" s="0" t="s">
        <v>102</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103</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104</v>
      </c>
      <c r="C18" s="3" t="n">
        <v>6</v>
      </c>
      <c r="D18" s="3" t="n">
        <v>6</v>
      </c>
      <c r="E18" s="3" t="n">
        <v>4.5</v>
      </c>
      <c r="F18" s="3" t="n">
        <v>4.5</v>
      </c>
      <c r="G18" s="3" t="n">
        <v>4.5</v>
      </c>
      <c r="H18" s="3" t="n">
        <v>4.5</v>
      </c>
      <c r="I18" s="3" t="n">
        <v>3.75</v>
      </c>
      <c r="J18" s="3" t="n">
        <v>3.75</v>
      </c>
      <c r="K18" s="3" t="n">
        <v>3.75</v>
      </c>
      <c r="L18" s="3" t="n">
        <v>3.75</v>
      </c>
    </row>
    <row r="19" customFormat="false" ht="15" hidden="false" customHeight="false" outlineLevel="0" collapsed="false">
      <c r="A19" s="0" t="s">
        <v>105</v>
      </c>
      <c r="C19" s="3" t="n">
        <v>29.5</v>
      </c>
      <c r="D19" s="3" t="n">
        <v>29.5</v>
      </c>
      <c r="E19" s="3" t="n">
        <v>29.5</v>
      </c>
      <c r="F19" s="3" t="n">
        <v>29.5</v>
      </c>
      <c r="G19" s="3" t="n">
        <v>29.5</v>
      </c>
      <c r="H19" s="3" t="n">
        <v>29.5</v>
      </c>
      <c r="I19" s="3" t="n">
        <v>29.5</v>
      </c>
      <c r="J19" s="3" t="n">
        <v>29.5</v>
      </c>
      <c r="K19" s="3" t="n">
        <v>29.5</v>
      </c>
      <c r="L19" s="3" t="n">
        <v>29.5</v>
      </c>
    </row>
    <row r="20" customFormat="false" ht="15" hidden="false" customHeight="false" outlineLevel="0" collapsed="false">
      <c r="A20" s="0" t="s">
        <v>106</v>
      </c>
      <c r="B20" s="3" t="n">
        <v>9.8</v>
      </c>
    </row>
    <row r="21" customFormat="false" ht="15" hidden="false" customHeight="false" outlineLevel="0" collapsed="false">
      <c r="A21" s="0" t="s">
        <v>107</v>
      </c>
      <c r="B21" s="3" t="n">
        <v>2.5</v>
      </c>
    </row>
    <row r="22" customFormat="false" ht="15" hidden="false" customHeight="false" outlineLevel="0" collapsed="false">
      <c r="A22" s="0" t="s">
        <v>108</v>
      </c>
      <c r="B22" s="3" t="n">
        <v>18</v>
      </c>
    </row>
    <row r="23" customFormat="false" ht="15" hidden="false" customHeight="false" outlineLevel="0" collapsed="false">
      <c r="A23" s="0" t="s">
        <v>109</v>
      </c>
      <c r="B23" s="3" t="n">
        <v>0</v>
      </c>
    </row>
    <row r="24" customFormat="false" ht="15" hidden="false" customHeight="false" outlineLevel="0" collapsed="false">
      <c r="A24" s="0" t="s">
        <v>110</v>
      </c>
      <c r="B24" s="3" t="n">
        <v>0.25</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5</v>
      </c>
      <c r="D27" s="3" t="n">
        <v>5</v>
      </c>
      <c r="E27" s="3" t="n">
        <v>4.5</v>
      </c>
      <c r="F27" s="3" t="n">
        <v>4.5</v>
      </c>
      <c r="G27" s="3" t="n">
        <v>4</v>
      </c>
      <c r="H27" s="3" t="n">
        <v>4</v>
      </c>
      <c r="I27" s="3" t="n">
        <v>3.5</v>
      </c>
      <c r="J27" s="3" t="n">
        <v>3.5</v>
      </c>
      <c r="K27" s="3" t="n">
        <v>3</v>
      </c>
      <c r="L27" s="3" t="n">
        <v>3</v>
      </c>
    </row>
    <row r="28" customFormat="false" ht="15" hidden="false" customHeight="false" outlineLevel="0" collapsed="false">
      <c r="A28" s="0" t="s">
        <v>100</v>
      </c>
      <c r="C28" s="3" t="n">
        <v>36.8</v>
      </c>
      <c r="D28" s="3" t="n">
        <v>37.5</v>
      </c>
      <c r="E28" s="3" t="n">
        <v>38</v>
      </c>
      <c r="F28" s="3" t="n">
        <v>38.3</v>
      </c>
      <c r="G28" s="3" t="n">
        <v>38.5</v>
      </c>
      <c r="H28" s="3" t="n">
        <v>38.5</v>
      </c>
      <c r="I28" s="3" t="n">
        <v>38.5</v>
      </c>
      <c r="J28" s="3" t="n">
        <v>38.5</v>
      </c>
      <c r="K28" s="3" t="n">
        <v>38.5</v>
      </c>
      <c r="L28" s="3" t="n">
        <v>38.5</v>
      </c>
    </row>
    <row r="29" customFormat="false" ht="15" hidden="false" customHeight="false" outlineLevel="0" collapsed="false">
      <c r="A29" s="0" t="s">
        <v>101</v>
      </c>
      <c r="C29" s="3" t="n">
        <v>0.04</v>
      </c>
      <c r="D29" s="3" t="n">
        <v>0.04</v>
      </c>
      <c r="E29" s="3" t="n">
        <v>0.04</v>
      </c>
      <c r="F29" s="3" t="n">
        <v>0.04</v>
      </c>
      <c r="G29" s="3" t="n">
        <v>0.04</v>
      </c>
      <c r="H29" s="3" t="n">
        <v>0.04</v>
      </c>
      <c r="I29" s="3" t="n">
        <v>0.04</v>
      </c>
      <c r="J29" s="3" t="n">
        <v>0.04</v>
      </c>
      <c r="K29" s="3" t="n">
        <v>0.04</v>
      </c>
      <c r="L29" s="3" t="n">
        <v>0.04</v>
      </c>
    </row>
    <row r="30" customFormat="false" ht="15" hidden="false" customHeight="false" outlineLevel="0" collapsed="false">
      <c r="A30" s="0" t="s">
        <v>102</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103</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104</v>
      </c>
      <c r="C32" s="3" t="n">
        <v>7.5</v>
      </c>
      <c r="D32" s="3" t="n">
        <v>7.5</v>
      </c>
      <c r="E32" s="3" t="n">
        <v>6.75</v>
      </c>
      <c r="F32" s="3" t="n">
        <v>6.75</v>
      </c>
      <c r="G32" s="3" t="n">
        <v>6</v>
      </c>
      <c r="H32" s="3" t="n">
        <v>6</v>
      </c>
      <c r="I32" s="3" t="n">
        <v>5.25</v>
      </c>
      <c r="J32" s="3" t="n">
        <v>5.25</v>
      </c>
      <c r="K32" s="3" t="n">
        <v>4.5</v>
      </c>
      <c r="L32" s="3" t="n">
        <v>4.5</v>
      </c>
    </row>
    <row r="33" customFormat="false" ht="15" hidden="false" customHeight="false" outlineLevel="0" collapsed="false">
      <c r="A33" s="0" t="s">
        <v>105</v>
      </c>
      <c r="C33" s="3" t="n">
        <v>29</v>
      </c>
      <c r="D33" s="3" t="n">
        <v>29</v>
      </c>
      <c r="E33" s="3" t="n">
        <v>29</v>
      </c>
      <c r="F33" s="3" t="n">
        <v>29</v>
      </c>
      <c r="G33" s="3" t="n">
        <v>29</v>
      </c>
      <c r="H33" s="3" t="n">
        <v>29</v>
      </c>
      <c r="I33" s="3" t="n">
        <v>29</v>
      </c>
      <c r="J33" s="3" t="n">
        <v>29</v>
      </c>
      <c r="K33" s="3" t="n">
        <v>29</v>
      </c>
      <c r="L33" s="3" t="n">
        <v>29</v>
      </c>
    </row>
    <row r="34" customFormat="false" ht="15" hidden="false" customHeight="false" outlineLevel="0" collapsed="false">
      <c r="A34" s="0" t="s">
        <v>106</v>
      </c>
      <c r="B34" s="3" t="n">
        <v>9.8</v>
      </c>
    </row>
    <row r="35" customFormat="false" ht="15" hidden="false" customHeight="false" outlineLevel="0" collapsed="false">
      <c r="A35" s="0" t="s">
        <v>107</v>
      </c>
      <c r="B35" s="3" t="n">
        <v>3</v>
      </c>
    </row>
    <row r="36" customFormat="false" ht="15" hidden="false" customHeight="false" outlineLevel="0" collapsed="false">
      <c r="A36" s="0" t="s">
        <v>108</v>
      </c>
      <c r="B36" s="3" t="n">
        <v>18</v>
      </c>
    </row>
    <row r="37" customFormat="false" ht="15" hidden="false" customHeight="false" outlineLevel="0" collapsed="false">
      <c r="A37" s="0" t="s">
        <v>109</v>
      </c>
      <c r="B37" s="3" t="n">
        <v>0</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6.5</v>
      </c>
      <c r="D41" s="3" t="n">
        <v>6</v>
      </c>
      <c r="E41" s="3" t="n">
        <v>5.5</v>
      </c>
      <c r="F41" s="3" t="n">
        <v>5</v>
      </c>
      <c r="G41" s="3" t="n">
        <v>4.5</v>
      </c>
      <c r="H41" s="3" t="n">
        <v>4</v>
      </c>
      <c r="I41" s="3" t="n">
        <v>4</v>
      </c>
      <c r="J41" s="3" t="n">
        <v>3.5</v>
      </c>
      <c r="K41" s="3" t="n">
        <v>3.5</v>
      </c>
      <c r="L41" s="3" t="n">
        <v>3.5</v>
      </c>
    </row>
    <row r="42" customFormat="false" ht="15" hidden="false" customHeight="false" outlineLevel="0" collapsed="false">
      <c r="A42" s="0" t="s">
        <v>100</v>
      </c>
      <c r="C42" s="3" t="n">
        <v>37.5</v>
      </c>
      <c r="D42" s="3" t="n">
        <v>38.8</v>
      </c>
      <c r="E42" s="3" t="n">
        <v>39.8</v>
      </c>
      <c r="F42" s="3" t="n">
        <v>40.5</v>
      </c>
      <c r="G42" s="3" t="n">
        <v>41</v>
      </c>
      <c r="H42" s="3" t="n">
        <v>41</v>
      </c>
      <c r="I42" s="3" t="n">
        <v>41</v>
      </c>
      <c r="J42" s="3" t="n">
        <v>41</v>
      </c>
      <c r="K42" s="3" t="n">
        <v>41</v>
      </c>
      <c r="L42" s="3" t="n">
        <v>41</v>
      </c>
    </row>
    <row r="43" customFormat="false" ht="15" hidden="false" customHeight="false" outlineLevel="0" collapsed="false">
      <c r="A43" s="0" t="s">
        <v>101</v>
      </c>
      <c r="C43" s="3" t="n">
        <v>0.04</v>
      </c>
      <c r="D43" s="3" t="n">
        <v>0.04</v>
      </c>
      <c r="E43" s="3" t="n">
        <v>0.04</v>
      </c>
      <c r="F43" s="3" t="n">
        <v>0.04</v>
      </c>
      <c r="G43" s="3" t="n">
        <v>0.04</v>
      </c>
      <c r="H43" s="3" t="n">
        <v>0.04</v>
      </c>
      <c r="I43" s="3" t="n">
        <v>0.04</v>
      </c>
      <c r="J43" s="3" t="n">
        <v>0.04</v>
      </c>
      <c r="K43" s="3" t="n">
        <v>0.04</v>
      </c>
      <c r="L43" s="3" t="n">
        <v>0.04</v>
      </c>
    </row>
    <row r="44" customFormat="false" ht="15" hidden="false" customHeight="false" outlineLevel="0" collapsed="false">
      <c r="A44" s="0" t="s">
        <v>102</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103</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104</v>
      </c>
      <c r="C46" s="3" t="n">
        <v>9.1</v>
      </c>
      <c r="D46" s="3" t="n">
        <v>8.4</v>
      </c>
      <c r="E46" s="3" t="n">
        <v>7.7</v>
      </c>
      <c r="F46" s="3" t="n">
        <v>7</v>
      </c>
      <c r="G46" s="3" t="n">
        <v>6.3</v>
      </c>
      <c r="H46" s="3" t="n">
        <v>5.6</v>
      </c>
      <c r="I46" s="3" t="n">
        <v>5.6</v>
      </c>
      <c r="J46" s="3" t="n">
        <v>4.9</v>
      </c>
      <c r="K46" s="3" t="n">
        <v>4.9</v>
      </c>
      <c r="L46" s="3" t="n">
        <v>4.9</v>
      </c>
    </row>
    <row r="47" customFormat="false" ht="15" hidden="false" customHeight="false" outlineLevel="0" collapsed="false">
      <c r="A47" s="0" t="s">
        <v>105</v>
      </c>
      <c r="C47" s="3" t="n">
        <v>29</v>
      </c>
      <c r="D47" s="3" t="n">
        <v>29</v>
      </c>
      <c r="E47" s="3" t="n">
        <v>29</v>
      </c>
      <c r="F47" s="3" t="n">
        <v>29</v>
      </c>
      <c r="G47" s="3" t="n">
        <v>29</v>
      </c>
      <c r="H47" s="3" t="n">
        <v>29</v>
      </c>
      <c r="I47" s="3" t="n">
        <v>29</v>
      </c>
      <c r="J47" s="3" t="n">
        <v>29</v>
      </c>
      <c r="K47" s="3" t="n">
        <v>29</v>
      </c>
      <c r="L47" s="3" t="n">
        <v>29</v>
      </c>
    </row>
    <row r="48" customFormat="false" ht="15" hidden="false" customHeight="false" outlineLevel="0" collapsed="false">
      <c r="A48" s="0" t="s">
        <v>106</v>
      </c>
      <c r="B48" s="3" t="n">
        <v>9.8</v>
      </c>
    </row>
    <row r="49" customFormat="false" ht="15" hidden="false" customHeight="false" outlineLevel="0" collapsed="false">
      <c r="A49" s="0" t="s">
        <v>107</v>
      </c>
      <c r="B49" s="3" t="n">
        <v>3.5</v>
      </c>
    </row>
    <row r="50" customFormat="false" ht="15" hidden="false" customHeight="false" outlineLevel="0" collapsed="false">
      <c r="A50" s="0" t="s">
        <v>108</v>
      </c>
      <c r="B50" s="3" t="n">
        <v>18</v>
      </c>
    </row>
    <row r="51" customFormat="false" ht="15" hidden="false" customHeight="false" outlineLevel="0" collapsed="false">
      <c r="A51" s="0" t="s">
        <v>109</v>
      </c>
      <c r="B51" s="3" t="n">
        <v>0</v>
      </c>
    </row>
    <row r="52" customFormat="false" ht="15" hidden="false" customHeight="false" outlineLevel="0" collapsed="false">
      <c r="A52" s="0" t="s">
        <v>110</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84</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2</v>
      </c>
      <c r="D5" s="4" t="n">
        <f aca="false">Assumptions!D13</f>
        <v>2.5</v>
      </c>
      <c r="E5" s="4" t="n">
        <f aca="false">Assumptions!E13</f>
        <v>3</v>
      </c>
      <c r="F5" s="4" t="n">
        <f aca="false">Assumptions!F13</f>
        <v>3</v>
      </c>
      <c r="G5" s="4" t="n">
        <f aca="false">Assumptions!G13</f>
        <v>3</v>
      </c>
      <c r="H5" s="4" t="n">
        <f aca="false">Assumptions!H13</f>
        <v>3</v>
      </c>
      <c r="I5" s="4" t="n">
        <f aca="false">Assumptions!I13</f>
        <v>2.5</v>
      </c>
      <c r="J5" s="4" t="n">
        <f aca="false">Assumptions!J13</f>
        <v>2.5</v>
      </c>
      <c r="K5" s="4" t="n">
        <f aca="false">Assumptions!K13</f>
        <v>2.5</v>
      </c>
      <c r="L5" s="4" t="n">
        <f aca="false">Assumptions!L13</f>
        <v>2.5</v>
      </c>
    </row>
    <row r="6" customFormat="false" ht="15" hidden="false" customHeight="false" outlineLevel="0" collapsed="false">
      <c r="A6" s="0" t="s">
        <v>38</v>
      </c>
      <c r="B6" s="3" t="n">
        <v>41065</v>
      </c>
      <c r="C6" s="0" t="n">
        <f aca="false">B6*(1+C5/100)</f>
        <v>41886.3</v>
      </c>
      <c r="D6" s="0" t="n">
        <f aca="false">C6*(1+D5/100)</f>
        <v>42933.4575</v>
      </c>
      <c r="E6" s="0" t="n">
        <f aca="false">D6*(1+E5/100)</f>
        <v>44221.461225</v>
      </c>
      <c r="F6" s="0" t="n">
        <f aca="false">E6*(1+F5/100)</f>
        <v>45548.10506175</v>
      </c>
      <c r="G6" s="0" t="n">
        <f aca="false">F6*(1+G5/100)</f>
        <v>46914.5482136025</v>
      </c>
      <c r="H6" s="0" t="n">
        <f aca="false">G6*(1+H5/100)</f>
        <v>48321.9846600106</v>
      </c>
      <c r="I6" s="0" t="n">
        <f aca="false">H6*(1+I5/100)</f>
        <v>49530.0342765108</v>
      </c>
      <c r="J6" s="0" t="n">
        <f aca="false">I6*(1+J5/100)</f>
        <v>50768.2851334236</v>
      </c>
      <c r="K6" s="0" t="n">
        <f aca="false">J6*(1+K5/100)</f>
        <v>52037.4922617592</v>
      </c>
      <c r="L6" s="0" t="n">
        <f aca="false">K6*(1+L5/100)</f>
        <v>53338.4295683032</v>
      </c>
    </row>
    <row r="7" customFormat="false" ht="15" hidden="false" customHeight="false" outlineLevel="0" collapsed="false">
      <c r="A7" s="0" t="s">
        <v>100</v>
      </c>
      <c r="C7" s="4" t="n">
        <f aca="false">Assumptions!C14</f>
        <v>31.5</v>
      </c>
      <c r="D7" s="4" t="n">
        <f aca="false">Assumptions!D14</f>
        <v>32.5</v>
      </c>
      <c r="E7" s="4" t="n">
        <f aca="false">Assumptions!E14</f>
        <v>34</v>
      </c>
      <c r="F7" s="4" t="n">
        <f aca="false">Assumptions!F14</f>
        <v>35</v>
      </c>
      <c r="G7" s="4" t="n">
        <f aca="false">Assumptions!G14</f>
        <v>35</v>
      </c>
      <c r="H7" s="4" t="n">
        <f aca="false">Assumptions!H14</f>
        <v>35</v>
      </c>
      <c r="I7" s="4" t="n">
        <f aca="false">Assumptions!I14</f>
        <v>35</v>
      </c>
      <c r="J7" s="4" t="n">
        <f aca="false">Assumptions!J14</f>
        <v>35</v>
      </c>
      <c r="K7" s="4" t="n">
        <f aca="false">Assumptions!K14</f>
        <v>35</v>
      </c>
      <c r="L7" s="4" t="n">
        <f aca="false">Assumptions!L14</f>
        <v>35</v>
      </c>
    </row>
    <row r="8" customFormat="false" ht="15" hidden="false" customHeight="false" outlineLevel="0" collapsed="false">
      <c r="A8" s="0" t="s">
        <v>44</v>
      </c>
      <c r="C8" s="0" t="n">
        <f aca="false">C6*C7/100</f>
        <v>13194.1845</v>
      </c>
      <c r="D8" s="0" t="n">
        <f aca="false">D6*D7/100</f>
        <v>13953.3736875</v>
      </c>
      <c r="E8" s="0" t="n">
        <f aca="false">E6*E7/100</f>
        <v>15035.2968165</v>
      </c>
      <c r="F8" s="0" t="n">
        <f aca="false">F6*F7/100</f>
        <v>15941.8367716125</v>
      </c>
      <c r="G8" s="0" t="n">
        <f aca="false">G6*G7/100</f>
        <v>16420.0918747609</v>
      </c>
      <c r="H8" s="0" t="n">
        <f aca="false">H6*H7/100</f>
        <v>16912.6946310037</v>
      </c>
      <c r="I8" s="0" t="n">
        <f aca="false">I6*I7/100</f>
        <v>17335.5119967788</v>
      </c>
      <c r="J8" s="0" t="n">
        <f aca="false">J6*J7/100</f>
        <v>17768.8997966983</v>
      </c>
      <c r="K8" s="0" t="n">
        <f aca="false">K6*K7/100</f>
        <v>18213.1222916157</v>
      </c>
      <c r="L8" s="0" t="n">
        <f aca="false">L6*L7/100</f>
        <v>18668.4503489061</v>
      </c>
    </row>
    <row r="9" customFormat="false" ht="15" hidden="false" customHeight="false" outlineLevel="0" collapsed="false">
      <c r="A9" s="0" t="s">
        <v>101</v>
      </c>
      <c r="C9" s="4" t="n">
        <f aca="false">Assumptions!C15</f>
        <v>0.04</v>
      </c>
      <c r="D9" s="4" t="n">
        <f aca="false">Assumptions!D15</f>
        <v>0.04</v>
      </c>
      <c r="E9" s="4" t="n">
        <f aca="false">Assumptions!E15</f>
        <v>0.04</v>
      </c>
      <c r="F9" s="4" t="n">
        <f aca="false">Assumptions!F15</f>
        <v>0.04</v>
      </c>
      <c r="G9" s="4" t="n">
        <f aca="false">Assumptions!G15</f>
        <v>0.04</v>
      </c>
      <c r="H9" s="4" t="n">
        <f aca="false">Assumptions!H15</f>
        <v>0.04</v>
      </c>
      <c r="I9" s="4" t="n">
        <f aca="false">Assumptions!I15</f>
        <v>0.04</v>
      </c>
      <c r="J9" s="4" t="n">
        <f aca="false">Assumptions!J15</f>
        <v>0.04</v>
      </c>
      <c r="K9" s="4" t="n">
        <f aca="false">Assumptions!K15</f>
        <v>0.04</v>
      </c>
      <c r="L9" s="4" t="n">
        <f aca="false">Assumptions!L15</f>
        <v>0.04</v>
      </c>
    </row>
    <row r="10" customFormat="false" ht="15" hidden="false" customHeight="false" outlineLevel="0" collapsed="false">
      <c r="A10" s="0" t="s">
        <v>116</v>
      </c>
      <c r="C10" s="0" t="n">
        <f aca="false">-C6*C9/100</f>
        <v>-16.75452</v>
      </c>
      <c r="D10" s="0" t="n">
        <f aca="false">-D6*D9/100</f>
        <v>-17.173383</v>
      </c>
      <c r="E10" s="0" t="n">
        <f aca="false">-E6*E9/100</f>
        <v>-17.68858449</v>
      </c>
      <c r="F10" s="0" t="n">
        <f aca="false">-F6*F9/100</f>
        <v>-18.2192420247</v>
      </c>
      <c r="G10" s="0" t="n">
        <f aca="false">-G6*G9/100</f>
        <v>-18.765819285441</v>
      </c>
      <c r="H10" s="0" t="n">
        <f aca="false">-H6*H9/100</f>
        <v>-19.3287938640042</v>
      </c>
      <c r="I10" s="0" t="n">
        <f aca="false">-I6*I9/100</f>
        <v>-19.8120137106043</v>
      </c>
      <c r="J10" s="0" t="n">
        <f aca="false">-J6*J9/100</f>
        <v>-20.3073140533694</v>
      </c>
      <c r="K10" s="0" t="n">
        <f aca="false">-K6*K9/100</f>
        <v>-20.8149969047037</v>
      </c>
      <c r="L10" s="0" t="n">
        <f aca="false">-L6*L9/100</f>
        <v>-21.3353718273213</v>
      </c>
    </row>
    <row r="11" customFormat="false" ht="15" hidden="false" customHeight="false" outlineLevel="0" collapsed="false">
      <c r="A11" s="0" t="s">
        <v>117</v>
      </c>
      <c r="C11" s="0" t="n">
        <f aca="false">C8+C10+C24</f>
        <v>13177.42998</v>
      </c>
      <c r="D11" s="0" t="n">
        <f aca="false">D8+D10+D24</f>
        <v>13936.2003045</v>
      </c>
      <c r="E11" s="0" t="n">
        <f aca="false">E8+E10+E24</f>
        <v>15017.60823201</v>
      </c>
      <c r="F11" s="0" t="n">
        <f aca="false">F8+F10+F24</f>
        <v>15923.6175295878</v>
      </c>
      <c r="G11" s="0" t="n">
        <f aca="false">G8+G10+G24</f>
        <v>16401.3260554754</v>
      </c>
      <c r="H11" s="0" t="n">
        <f aca="false">H8+H10+H24</f>
        <v>16893.3658371397</v>
      </c>
      <c r="I11" s="0" t="n">
        <f aca="false">I8+I10+I24</f>
        <v>17315.6999830682</v>
      </c>
      <c r="J11" s="0" t="n">
        <f aca="false">J8+J10+J24</f>
        <v>17748.5924826449</v>
      </c>
      <c r="K11" s="0" t="n">
        <f aca="false">K8+K10+K24</f>
        <v>18192.307294711</v>
      </c>
      <c r="L11" s="0" t="n">
        <f aca="false">L8+L10+L24</f>
        <v>18647.1149770788</v>
      </c>
    </row>
    <row r="12" customFormat="false" ht="15" hidden="false" customHeight="false" outlineLevel="0" collapsed="false">
      <c r="A12" s="0" t="s">
        <v>118</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119</v>
      </c>
      <c r="C13" s="0" t="n">
        <f aca="false">C11+C12</f>
        <v>13177.42998</v>
      </c>
      <c r="D13" s="0" t="n">
        <f aca="false">D11+D12</f>
        <v>13936.2003045</v>
      </c>
      <c r="E13" s="0" t="n">
        <f aca="false">E11+E12</f>
        <v>15017.60823201</v>
      </c>
      <c r="F13" s="0" t="n">
        <f aca="false">F11+F12</f>
        <v>15923.6175295878</v>
      </c>
      <c r="G13" s="0" t="n">
        <f aca="false">G11+G12</f>
        <v>16401.3260554754</v>
      </c>
      <c r="H13" s="0" t="n">
        <f aca="false">H11+H12</f>
        <v>16893.3658371397</v>
      </c>
      <c r="I13" s="0" t="n">
        <f aca="false">I11+I12</f>
        <v>17315.6999830682</v>
      </c>
      <c r="J13" s="0" t="n">
        <f aca="false">J11+J12</f>
        <v>17748.5924826449</v>
      </c>
      <c r="K13" s="0" t="n">
        <f aca="false">K11+K12</f>
        <v>18192.307294711</v>
      </c>
      <c r="L13" s="0" t="n">
        <f aca="false">L11+L12</f>
        <v>18647.1149770788</v>
      </c>
    </row>
    <row r="14" customFormat="false" ht="15" hidden="false" customHeight="false" outlineLevel="0" collapsed="false">
      <c r="A14" s="0" t="s">
        <v>105</v>
      </c>
      <c r="C14" s="4" t="n">
        <f aca="false">Assumptions!C19</f>
        <v>29.5</v>
      </c>
      <c r="D14" s="4" t="n">
        <f aca="false">Assumptions!D19</f>
        <v>29.5</v>
      </c>
      <c r="E14" s="4" t="n">
        <f aca="false">Assumptions!E19</f>
        <v>29.5</v>
      </c>
      <c r="F14" s="4" t="n">
        <f aca="false">Assumptions!F19</f>
        <v>29.5</v>
      </c>
      <c r="G14" s="4" t="n">
        <f aca="false">Assumptions!G19</f>
        <v>29.5</v>
      </c>
      <c r="H14" s="4" t="n">
        <f aca="false">Assumptions!H19</f>
        <v>29.5</v>
      </c>
      <c r="I14" s="4" t="n">
        <f aca="false">Assumptions!I19</f>
        <v>29.5</v>
      </c>
      <c r="J14" s="4" t="n">
        <f aca="false">Assumptions!J19</f>
        <v>29.5</v>
      </c>
      <c r="K14" s="4" t="n">
        <f aca="false">Assumptions!K19</f>
        <v>29.5</v>
      </c>
      <c r="L14" s="4" t="n">
        <f aca="false">Assumptions!L19</f>
        <v>29.5</v>
      </c>
    </row>
    <row r="15" customFormat="false" ht="15" hidden="false" customHeight="false" outlineLevel="0" collapsed="false">
      <c r="A15" s="0" t="s">
        <v>120</v>
      </c>
      <c r="C15" s="0" t="n">
        <f aca="false">C13-MAX(0,C13)*C14/100</f>
        <v>9290.0881359</v>
      </c>
      <c r="D15" s="0" t="n">
        <f aca="false">D13-MAX(0,D13)*D14/100</f>
        <v>9825.0212146725</v>
      </c>
      <c r="E15" s="0" t="n">
        <f aca="false">E13-MAX(0,E13)*E14/100</f>
        <v>10587.413803567</v>
      </c>
      <c r="F15" s="0" t="n">
        <f aca="false">F13-MAX(0,F13)*F14/100</f>
        <v>11226.1503583594</v>
      </c>
      <c r="G15" s="0" t="n">
        <f aca="false">G13-MAX(0,G13)*G14/100</f>
        <v>11562.9348691102</v>
      </c>
      <c r="H15" s="0" t="n">
        <f aca="false">H13-MAX(0,H13)*H14/100</f>
        <v>11909.8229151835</v>
      </c>
      <c r="I15" s="0" t="n">
        <f aca="false">I13-MAX(0,I13)*I14/100</f>
        <v>12207.5684880631</v>
      </c>
      <c r="J15" s="0" t="n">
        <f aca="false">J13-MAX(0,J13)*J14/100</f>
        <v>12512.7577002647</v>
      </c>
      <c r="K15" s="0" t="n">
        <f aca="false">K13-MAX(0,K13)*K14/100</f>
        <v>12825.5766427713</v>
      </c>
      <c r="L15" s="0" t="n">
        <f aca="false">L13-MAX(0,L13)*L14/100</f>
        <v>13146.2160588405</v>
      </c>
    </row>
    <row r="16" customFormat="false" ht="15" hidden="false" customHeight="false" outlineLevel="0" collapsed="false">
      <c r="A16" s="0" t="s">
        <v>121</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122</v>
      </c>
      <c r="C17" s="4" t="n">
        <f aca="false">-C6*Assumptions!C18/100</f>
        <v>-2513.178</v>
      </c>
      <c r="D17" s="4" t="n">
        <f aca="false">-D6*Assumptions!D18/100</f>
        <v>-2576.00745</v>
      </c>
      <c r="E17" s="4" t="n">
        <f aca="false">-E6*Assumptions!E18/100</f>
        <v>-1989.965755125</v>
      </c>
      <c r="F17" s="4" t="n">
        <f aca="false">-F6*Assumptions!F18/100</f>
        <v>-2049.66472777875</v>
      </c>
      <c r="G17" s="4" t="n">
        <f aca="false">-G6*Assumptions!G18/100</f>
        <v>-2111.15466961211</v>
      </c>
      <c r="H17" s="4" t="n">
        <f aca="false">-H6*Assumptions!H18/100</f>
        <v>-2174.48930970048</v>
      </c>
      <c r="I17" s="4" t="n">
        <f aca="false">-I6*Assumptions!I18/100</f>
        <v>-1857.37628536916</v>
      </c>
      <c r="J17" s="4" t="n">
        <f aca="false">-J6*Assumptions!J18/100</f>
        <v>-1903.81069250339</v>
      </c>
      <c r="K17" s="4" t="n">
        <f aca="false">-K6*Assumptions!K18/100</f>
        <v>-1951.40595981597</v>
      </c>
      <c r="L17" s="4" t="n">
        <f aca="false">-L6*Assumptions!L18/100</f>
        <v>-2000.19110881137</v>
      </c>
    </row>
    <row r="18" customFormat="false" ht="15" hidden="false" customHeight="false" outlineLevel="0" collapsed="false">
      <c r="A18" s="0" t="s">
        <v>123</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124</v>
      </c>
      <c r="C19" s="0" t="n">
        <f aca="false">C15+C16+C17+C18</f>
        <v>6776.9101359</v>
      </c>
      <c r="D19" s="0" t="n">
        <f aca="false">D15+D16+D17+D18</f>
        <v>7249.0137646725</v>
      </c>
      <c r="E19" s="0" t="n">
        <f aca="false">E15+E16+E17+E18</f>
        <v>8597.44804844205</v>
      </c>
      <c r="F19" s="0" t="n">
        <f aca="false">F15+F16+F17+F18</f>
        <v>9176.48563058065</v>
      </c>
      <c r="G19" s="0" t="n">
        <f aca="false">G15+G16+G17+G18</f>
        <v>9451.78019949807</v>
      </c>
      <c r="H19" s="0" t="n">
        <f aca="false">H15+H16+H17+H18</f>
        <v>9735.33360548301</v>
      </c>
      <c r="I19" s="0" t="n">
        <f aca="false">I15+I16+I17+I18</f>
        <v>10350.1922026939</v>
      </c>
      <c r="J19" s="0" t="n">
        <f aca="false">J15+J16+J17+J18</f>
        <v>10608.9470077613</v>
      </c>
      <c r="K19" s="0" t="n">
        <f aca="false">K15+K16+K17+K18</f>
        <v>10874.1706829553</v>
      </c>
      <c r="L19" s="0" t="n">
        <f aca="false">L15+L16+L17+L18</f>
        <v>11146.0249500292</v>
      </c>
    </row>
    <row r="20" customFormat="false" ht="15" hidden="false" customHeight="false" outlineLevel="0" collapsed="false">
      <c r="A20" s="0" t="s">
        <v>125</v>
      </c>
      <c r="C20" s="0" t="n">
        <f aca="false">1/(1+$B$27/100)^C4</f>
        <v>0.910746812386157</v>
      </c>
      <c r="D20" s="0" t="n">
        <f aca="false">1/(1+$B$27/100)^D4</f>
        <v>0.829459756271545</v>
      </c>
      <c r="E20" s="0" t="n">
        <f aca="false">1/(1+$B$27/100)^E4</f>
        <v>0.755427829026908</v>
      </c>
      <c r="F20" s="0" t="n">
        <f aca="false">1/(1+$B$27/100)^F4</f>
        <v>0.688003487274051</v>
      </c>
      <c r="G20" s="0" t="n">
        <f aca="false">1/(1+$B$27/100)^G4</f>
        <v>0.626596982945402</v>
      </c>
      <c r="H20" s="0" t="n">
        <f aca="false">1/(1+$B$27/100)^H4</f>
        <v>0.570671204868308</v>
      </c>
      <c r="I20" s="0" t="n">
        <f aca="false">1/(1+$B$27/100)^I4</f>
        <v>0.519736980754378</v>
      </c>
      <c r="J20" s="0" t="n">
        <f aca="false">1/(1+$B$27/100)^J4</f>
        <v>0.473348798501255</v>
      </c>
      <c r="K20" s="0" t="n">
        <f aca="false">1/(1+$B$27/100)^K4</f>
        <v>0.431100909381835</v>
      </c>
      <c r="L20" s="0" t="n">
        <f aca="false">1/(1+$B$27/100)^L4</f>
        <v>0.39262377903628</v>
      </c>
    </row>
    <row r="21" customFormat="false" ht="15" hidden="false" customHeight="false" outlineLevel="0" collapsed="false">
      <c r="A21" s="0" t="s">
        <v>126</v>
      </c>
      <c r="C21" s="0" t="n">
        <f aca="false">C19*C20</f>
        <v>6172.04930409836</v>
      </c>
      <c r="D21" s="0" t="n">
        <f aca="false">D19*D20</f>
        <v>6012.76519045433</v>
      </c>
      <c r="E21" s="0" t="n">
        <f aca="false">E19*E20</f>
        <v>6494.7515144062</v>
      </c>
      <c r="F21" s="0" t="n">
        <f aca="false">F19*F20</f>
        <v>6313.4541147597</v>
      </c>
      <c r="G21" s="0" t="n">
        <f aca="false">G19*G20</f>
        <v>5922.45695646858</v>
      </c>
      <c r="H21" s="0" t="n">
        <f aca="false">H19*H20</f>
        <v>5555.67455843591</v>
      </c>
      <c r="I21" s="0" t="n">
        <f aca="false">I19*I20</f>
        <v>5379.37764565564</v>
      </c>
      <c r="J21" s="0" t="n">
        <f aca="false">J19*J20</f>
        <v>5021.73231948728</v>
      </c>
      <c r="K21" s="0" t="n">
        <f aca="false">K19*K20</f>
        <v>4687.86487019532</v>
      </c>
      <c r="L21" s="0" t="n">
        <f aca="false">L19*L20</f>
        <v>4376.19443711312</v>
      </c>
    </row>
    <row r="23" customFormat="false" ht="15" hidden="false" customHeight="false" outlineLevel="0" collapsed="false">
      <c r="A23" s="0" t="s">
        <v>102</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Assumptions!$B$20</f>
        <v>9.8</v>
      </c>
    </row>
    <row r="28" customFormat="false" ht="15" hidden="false" customHeight="false" outlineLevel="0" collapsed="false">
      <c r="A28" s="0" t="s">
        <v>107</v>
      </c>
      <c r="B28" s="4" t="n">
        <f aca="false">Assumptions!$B$21</f>
        <v>2.5</v>
      </c>
    </row>
    <row r="29" customFormat="false" ht="15" hidden="false" customHeight="false" outlineLevel="0" collapsed="false">
      <c r="A29" s="0" t="s">
        <v>108</v>
      </c>
      <c r="B29" s="4" t="n">
        <f aca="false">Assumptions!$B$22</f>
        <v>18</v>
      </c>
    </row>
    <row r="30" customFormat="false" ht="15" hidden="false" customHeight="false" outlineLevel="0" collapsed="false">
      <c r="A30" s="0" t="s">
        <v>129</v>
      </c>
      <c r="B30" s="0" t="n">
        <f aca="false">SUM(C21:L21)</f>
        <v>55936.3209110745</v>
      </c>
    </row>
    <row r="31" customFormat="false" ht="15" hidden="false" customHeight="false" outlineLevel="0" collapsed="false">
      <c r="A31" s="0" t="s">
        <v>130</v>
      </c>
      <c r="B31" s="0" t="n">
        <f aca="false">L19</f>
        <v>11146.0249500292</v>
      </c>
    </row>
    <row r="32" customFormat="false" ht="15" hidden="false" customHeight="false" outlineLevel="0" collapsed="false">
      <c r="A32" s="0" t="s">
        <v>131</v>
      </c>
      <c r="B32" s="0" t="n">
        <f aca="false">IF(B27&gt;B28,B31*(1+B28/100)/((B27-B28)/100),B31*B29)</f>
        <v>156502.405120273</v>
      </c>
    </row>
    <row r="33" customFormat="false" ht="15" hidden="false" customHeight="false" outlineLevel="0" collapsed="false">
      <c r="A33" s="0" t="s">
        <v>132</v>
      </c>
      <c r="B33" s="0" t="n">
        <f aca="false">B31*B29</f>
        <v>200628.449100525</v>
      </c>
    </row>
    <row r="34" customFormat="false" ht="15" hidden="false" customHeight="false" outlineLevel="0" collapsed="false">
      <c r="A34" s="0" t="s">
        <v>133</v>
      </c>
      <c r="B34" s="0" t="n">
        <f aca="false">MAX(0,MIN(B32,B33))</f>
        <v>156502.405120273</v>
      </c>
    </row>
    <row r="35" customFormat="false" ht="15" hidden="false" customHeight="false" outlineLevel="0" collapsed="false">
      <c r="A35" s="0" t="s">
        <v>134</v>
      </c>
      <c r="B35" s="0" t="n">
        <f aca="false">B34/(1+B27/100)^L4</f>
        <v>61446.5657265883</v>
      </c>
    </row>
    <row r="36" customFormat="false" ht="15" hidden="false" customHeight="false" outlineLevel="0" collapsed="false">
      <c r="A36" s="0" t="s">
        <v>135</v>
      </c>
      <c r="B36" s="0" t="n">
        <f aca="false">B30+B35</f>
        <v>117382.886637663</v>
      </c>
    </row>
    <row r="37" customFormat="false" ht="15" hidden="false" customHeight="false" outlineLevel="0" collapsed="false">
      <c r="A37" s="0" t="s">
        <v>136</v>
      </c>
      <c r="B37" s="0" t="n">
        <f aca="false">B36+Assumptions!$B$5-Assumptions!$B$4</f>
        <v>120093.886637663</v>
      </c>
    </row>
    <row r="38" customFormat="false" ht="15" hidden="false" customHeight="false" outlineLevel="0" collapsed="false">
      <c r="A38" s="0" t="s">
        <v>137</v>
      </c>
      <c r="B38" s="0" t="n">
        <f aca="false">B37/Assumptions!$B$3*Assumptions!$B$10</f>
        <v>68.9802774394235</v>
      </c>
    </row>
    <row r="39" customFormat="false" ht="15" hidden="false" customHeight="false" outlineLevel="0" collapsed="false">
      <c r="A39" s="0" t="s">
        <v>138</v>
      </c>
      <c r="B39" s="4" t="n">
        <f aca="false">B38/Assumptions!$B$2-1</f>
        <v>-0.243554365177942</v>
      </c>
    </row>
    <row r="41" customFormat="false" ht="15" hidden="false" customHeight="false" outlineLevel="0" collapsed="false">
      <c r="A41" s="0" t="s">
        <v>139</v>
      </c>
      <c r="B41" s="0" t="n">
        <f aca="false">SUMPRODUCT(-C10:L10/(1+$B$27/100)^C4:L4)</f>
        <v>115.449715923649</v>
      </c>
    </row>
    <row r="42" customFormat="false" ht="15" hidden="false" customHeight="false" outlineLevel="0" collapsed="false">
      <c r="A42" s="0" t="s">
        <v>140</v>
      </c>
      <c r="B42" s="0" t="n">
        <f aca="false">IF(B27&gt;B28,-L10*(1+B28/100)/((B27-B28)/100),-L10*20)/(1+B27/100)^L4</f>
        <v>117.619091395024</v>
      </c>
    </row>
    <row r="43" customFormat="false" ht="15" hidden="false" customHeight="false" outlineLevel="0" collapsed="false">
      <c r="A43" s="0" t="s">
        <v>141</v>
      </c>
      <c r="B43" s="0" t="n">
        <f aca="false">(B37+B41+B42)/Assumptions!$B$3*Assumptions!$B$10</f>
        <v>69.114148958128</v>
      </c>
    </row>
    <row r="45" customFormat="false" ht="15" hidden="false" customHeight="false" outlineLevel="0" collapsed="false">
      <c r="A45" s="0" t="s">
        <v>81</v>
      </c>
      <c r="B45" s="4" t="n">
        <f aca="false">Assumptions!$B$6</f>
        <v>15</v>
      </c>
    </row>
    <row r="46" customFormat="false" ht="15" hidden="false" customHeight="false" outlineLevel="0" collapsed="false">
      <c r="A46" s="0" t="s">
        <v>142</v>
      </c>
      <c r="B46" s="0" t="n">
        <f aca="false">MAX(0,MIN(IF(B45&gt;B28,B31*(1+B28/100)/((B45-B28)/100),B31*B29),B31*B29))</f>
        <v>91397.4045902392</v>
      </c>
    </row>
    <row r="47" customFormat="false" ht="15" hidden="false" customHeight="false" outlineLevel="0" collapsed="false">
      <c r="A47" s="0" t="s">
        <v>143</v>
      </c>
      <c r="B47" s="0" t="n">
        <f aca="false">(SUMPRODUCT(C19:L19/(1+B45/100)^C4:L4)+B46/(1+B45/100)^L4+Assumptions!$B$5-Assumptions!$B$4)/Assumptions!$B$3*Assumptions!$B$10</f>
        <v>40.0291827155521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84</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5</v>
      </c>
      <c r="D5" s="4" t="n">
        <f aca="false">Assumptions!D27</f>
        <v>5</v>
      </c>
      <c r="E5" s="4" t="n">
        <f aca="false">Assumptions!E27</f>
        <v>4.5</v>
      </c>
      <c r="F5" s="4" t="n">
        <f aca="false">Assumptions!F27</f>
        <v>4.5</v>
      </c>
      <c r="G5" s="4" t="n">
        <f aca="false">Assumptions!G27</f>
        <v>4</v>
      </c>
      <c r="H5" s="4" t="n">
        <f aca="false">Assumptions!H27</f>
        <v>4</v>
      </c>
      <c r="I5" s="4" t="n">
        <f aca="false">Assumptions!I27</f>
        <v>3.5</v>
      </c>
      <c r="J5" s="4" t="n">
        <f aca="false">Assumptions!J27</f>
        <v>3.5</v>
      </c>
      <c r="K5" s="4" t="n">
        <f aca="false">Assumptions!K27</f>
        <v>3</v>
      </c>
      <c r="L5" s="4" t="n">
        <f aca="false">Assumptions!L27</f>
        <v>3</v>
      </c>
    </row>
    <row r="6" customFormat="false" ht="15" hidden="false" customHeight="false" outlineLevel="0" collapsed="false">
      <c r="A6" s="0" t="s">
        <v>38</v>
      </c>
      <c r="B6" s="3" t="n">
        <v>41065</v>
      </c>
      <c r="C6" s="0" t="n">
        <f aca="false">B6*(1+C5/100)</f>
        <v>43118.25</v>
      </c>
      <c r="D6" s="0" t="n">
        <f aca="false">C6*(1+D5/100)</f>
        <v>45274.1625</v>
      </c>
      <c r="E6" s="0" t="n">
        <f aca="false">D6*(1+E5/100)</f>
        <v>47311.4998125</v>
      </c>
      <c r="F6" s="0" t="n">
        <f aca="false">E6*(1+F5/100)</f>
        <v>49440.5173040625</v>
      </c>
      <c r="G6" s="0" t="n">
        <f aca="false">F6*(1+G5/100)</f>
        <v>51418.137996225</v>
      </c>
      <c r="H6" s="0" t="n">
        <f aca="false">G6*(1+H5/100)</f>
        <v>53474.863516074</v>
      </c>
      <c r="I6" s="0" t="n">
        <f aca="false">H6*(1+I5/100)</f>
        <v>55346.4837391366</v>
      </c>
      <c r="J6" s="0" t="n">
        <f aca="false">I6*(1+J5/100)</f>
        <v>57283.6106700064</v>
      </c>
      <c r="K6" s="0" t="n">
        <f aca="false">J6*(1+K5/100)</f>
        <v>59002.1189901065</v>
      </c>
      <c r="L6" s="0" t="n">
        <f aca="false">K6*(1+L5/100)</f>
        <v>60772.1825598097</v>
      </c>
    </row>
    <row r="7" customFormat="false" ht="15" hidden="false" customHeight="false" outlineLevel="0" collapsed="false">
      <c r="A7" s="0" t="s">
        <v>100</v>
      </c>
      <c r="C7" s="4" t="n">
        <f aca="false">Assumptions!C28</f>
        <v>36.8</v>
      </c>
      <c r="D7" s="4" t="n">
        <f aca="false">Assumptions!D28</f>
        <v>37.5</v>
      </c>
      <c r="E7" s="4" t="n">
        <f aca="false">Assumptions!E28</f>
        <v>38</v>
      </c>
      <c r="F7" s="4" t="n">
        <f aca="false">Assumptions!F28</f>
        <v>38.3</v>
      </c>
      <c r="G7" s="4" t="n">
        <f aca="false">Assumptions!G28</f>
        <v>38.5</v>
      </c>
      <c r="H7" s="4" t="n">
        <f aca="false">Assumptions!H28</f>
        <v>38.5</v>
      </c>
      <c r="I7" s="4" t="n">
        <f aca="false">Assumptions!I28</f>
        <v>38.5</v>
      </c>
      <c r="J7" s="4" t="n">
        <f aca="false">Assumptions!J28</f>
        <v>38.5</v>
      </c>
      <c r="K7" s="4" t="n">
        <f aca="false">Assumptions!K28</f>
        <v>38.5</v>
      </c>
      <c r="L7" s="4" t="n">
        <f aca="false">Assumptions!L28</f>
        <v>38.5</v>
      </c>
    </row>
    <row r="8" customFormat="false" ht="15" hidden="false" customHeight="false" outlineLevel="0" collapsed="false">
      <c r="A8" s="0" t="s">
        <v>44</v>
      </c>
      <c r="C8" s="0" t="n">
        <f aca="false">C6*C7/100</f>
        <v>15867.516</v>
      </c>
      <c r="D8" s="0" t="n">
        <f aca="false">D6*D7/100</f>
        <v>16977.8109375</v>
      </c>
      <c r="E8" s="0" t="n">
        <f aca="false">E6*E7/100</f>
        <v>17978.36992875</v>
      </c>
      <c r="F8" s="0" t="n">
        <f aca="false">F6*F7/100</f>
        <v>18935.7181274559</v>
      </c>
      <c r="G8" s="0" t="n">
        <f aca="false">G6*G7/100</f>
        <v>19795.9831285466</v>
      </c>
      <c r="H8" s="0" t="n">
        <f aca="false">H6*H7/100</f>
        <v>20587.8224536885</v>
      </c>
      <c r="I8" s="0" t="n">
        <f aca="false">I6*I7/100</f>
        <v>21308.3962395676</v>
      </c>
      <c r="J8" s="0" t="n">
        <f aca="false">J6*J7/100</f>
        <v>22054.1901079524</v>
      </c>
      <c r="K8" s="0" t="n">
        <f aca="false">K6*K7/100</f>
        <v>22715.815811191</v>
      </c>
      <c r="L8" s="0" t="n">
        <f aca="false">L6*L7/100</f>
        <v>23397.2902855268</v>
      </c>
    </row>
    <row r="9" customFormat="false" ht="15" hidden="false" customHeight="false" outlineLevel="0" collapsed="false">
      <c r="A9" s="0" t="s">
        <v>101</v>
      </c>
      <c r="C9" s="4" t="n">
        <f aca="false">Assumptions!C29</f>
        <v>0.04</v>
      </c>
      <c r="D9" s="4" t="n">
        <f aca="false">Assumptions!D29</f>
        <v>0.04</v>
      </c>
      <c r="E9" s="4" t="n">
        <f aca="false">Assumptions!E29</f>
        <v>0.04</v>
      </c>
      <c r="F9" s="4" t="n">
        <f aca="false">Assumptions!F29</f>
        <v>0.04</v>
      </c>
      <c r="G9" s="4" t="n">
        <f aca="false">Assumptions!G29</f>
        <v>0.04</v>
      </c>
      <c r="H9" s="4" t="n">
        <f aca="false">Assumptions!H29</f>
        <v>0.04</v>
      </c>
      <c r="I9" s="4" t="n">
        <f aca="false">Assumptions!I29</f>
        <v>0.04</v>
      </c>
      <c r="J9" s="4" t="n">
        <f aca="false">Assumptions!J29</f>
        <v>0.04</v>
      </c>
      <c r="K9" s="4" t="n">
        <f aca="false">Assumptions!K29</f>
        <v>0.04</v>
      </c>
      <c r="L9" s="4" t="n">
        <f aca="false">Assumptions!L29</f>
        <v>0.04</v>
      </c>
    </row>
    <row r="10" customFormat="false" ht="15" hidden="false" customHeight="false" outlineLevel="0" collapsed="false">
      <c r="A10" s="0" t="s">
        <v>116</v>
      </c>
      <c r="C10" s="0" t="n">
        <f aca="false">-C6*C9/100</f>
        <v>-17.2473</v>
      </c>
      <c r="D10" s="0" t="n">
        <f aca="false">-D6*D9/100</f>
        <v>-18.109665</v>
      </c>
      <c r="E10" s="0" t="n">
        <f aca="false">-E6*E9/100</f>
        <v>-18.924599925</v>
      </c>
      <c r="F10" s="0" t="n">
        <f aca="false">-F6*F9/100</f>
        <v>-19.776206921625</v>
      </c>
      <c r="G10" s="0" t="n">
        <f aca="false">-G6*G9/100</f>
        <v>-20.56725519849</v>
      </c>
      <c r="H10" s="0" t="n">
        <f aca="false">-H6*H9/100</f>
        <v>-21.3899454064296</v>
      </c>
      <c r="I10" s="0" t="n">
        <f aca="false">-I6*I9/100</f>
        <v>-22.1385934956546</v>
      </c>
      <c r="J10" s="0" t="n">
        <f aca="false">-J6*J9/100</f>
        <v>-22.9134442680025</v>
      </c>
      <c r="K10" s="0" t="n">
        <f aca="false">-K6*K9/100</f>
        <v>-23.6008475960426</v>
      </c>
      <c r="L10" s="0" t="n">
        <f aca="false">-L6*L9/100</f>
        <v>-24.3088730239239</v>
      </c>
    </row>
    <row r="11" customFormat="false" ht="15" hidden="false" customHeight="false" outlineLevel="0" collapsed="false">
      <c r="A11" s="0" t="s">
        <v>117</v>
      </c>
      <c r="C11" s="0" t="n">
        <f aca="false">C8+C10+C24</f>
        <v>15850.2687</v>
      </c>
      <c r="D11" s="0" t="n">
        <f aca="false">D8+D10+D24</f>
        <v>16959.7012725</v>
      </c>
      <c r="E11" s="0" t="n">
        <f aca="false">E8+E10+E24</f>
        <v>17959.445328825</v>
      </c>
      <c r="F11" s="0" t="n">
        <f aca="false">F8+F10+F24</f>
        <v>18915.9419205343</v>
      </c>
      <c r="G11" s="0" t="n">
        <f aca="false">G8+G10+G24</f>
        <v>19775.4158733481</v>
      </c>
      <c r="H11" s="0" t="n">
        <f aca="false">H8+H10+H24</f>
        <v>20566.4325082821</v>
      </c>
      <c r="I11" s="0" t="n">
        <f aca="false">I8+I10+I24</f>
        <v>21286.2576460719</v>
      </c>
      <c r="J11" s="0" t="n">
        <f aca="false">J8+J10+J24</f>
        <v>22031.2766636844</v>
      </c>
      <c r="K11" s="0" t="n">
        <f aca="false">K8+K10+K24</f>
        <v>22692.214963595</v>
      </c>
      <c r="L11" s="0" t="n">
        <f aca="false">L8+L10+L24</f>
        <v>23372.9814125028</v>
      </c>
    </row>
    <row r="12" customFormat="false" ht="15" hidden="false" customHeight="false" outlineLevel="0" collapsed="false">
      <c r="A12" s="0" t="s">
        <v>118</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119</v>
      </c>
      <c r="C13" s="0" t="n">
        <f aca="false">C11+C12</f>
        <v>15850.2687</v>
      </c>
      <c r="D13" s="0" t="n">
        <f aca="false">D11+D12</f>
        <v>16959.7012725</v>
      </c>
      <c r="E13" s="0" t="n">
        <f aca="false">E11+E12</f>
        <v>17959.445328825</v>
      </c>
      <c r="F13" s="0" t="n">
        <f aca="false">F11+F12</f>
        <v>18915.9419205343</v>
      </c>
      <c r="G13" s="0" t="n">
        <f aca="false">G11+G12</f>
        <v>19775.4158733481</v>
      </c>
      <c r="H13" s="0" t="n">
        <f aca="false">H11+H12</f>
        <v>20566.4325082821</v>
      </c>
      <c r="I13" s="0" t="n">
        <f aca="false">I11+I12</f>
        <v>21286.2576460719</v>
      </c>
      <c r="J13" s="0" t="n">
        <f aca="false">J11+J12</f>
        <v>22031.2766636844</v>
      </c>
      <c r="K13" s="0" t="n">
        <f aca="false">K11+K12</f>
        <v>22692.214963595</v>
      </c>
      <c r="L13" s="0" t="n">
        <f aca="false">L11+L12</f>
        <v>23372.9814125028</v>
      </c>
    </row>
    <row r="14" customFormat="false" ht="15" hidden="false" customHeight="false" outlineLevel="0" collapsed="false">
      <c r="A14" s="0" t="s">
        <v>105</v>
      </c>
      <c r="C14" s="4" t="n">
        <f aca="false">Assumptions!C33</f>
        <v>29</v>
      </c>
      <c r="D14" s="4" t="n">
        <f aca="false">Assumptions!D33</f>
        <v>29</v>
      </c>
      <c r="E14" s="4" t="n">
        <f aca="false">Assumptions!E33</f>
        <v>29</v>
      </c>
      <c r="F14" s="4" t="n">
        <f aca="false">Assumptions!F33</f>
        <v>29</v>
      </c>
      <c r="G14" s="4" t="n">
        <f aca="false">Assumptions!G33</f>
        <v>29</v>
      </c>
      <c r="H14" s="4" t="n">
        <f aca="false">Assumptions!H33</f>
        <v>29</v>
      </c>
      <c r="I14" s="4" t="n">
        <f aca="false">Assumptions!I33</f>
        <v>29</v>
      </c>
      <c r="J14" s="4" t="n">
        <f aca="false">Assumptions!J33</f>
        <v>29</v>
      </c>
      <c r="K14" s="4" t="n">
        <f aca="false">Assumptions!K33</f>
        <v>29</v>
      </c>
      <c r="L14" s="4" t="n">
        <f aca="false">Assumptions!L33</f>
        <v>29</v>
      </c>
    </row>
    <row r="15" customFormat="false" ht="15" hidden="false" customHeight="false" outlineLevel="0" collapsed="false">
      <c r="A15" s="0" t="s">
        <v>120</v>
      </c>
      <c r="C15" s="0" t="n">
        <f aca="false">C13-MAX(0,C13)*C14/100</f>
        <v>11253.690777</v>
      </c>
      <c r="D15" s="0" t="n">
        <f aca="false">D13-MAX(0,D13)*D14/100</f>
        <v>12041.387903475</v>
      </c>
      <c r="E15" s="0" t="n">
        <f aca="false">E13-MAX(0,E13)*E14/100</f>
        <v>12751.2061834657</v>
      </c>
      <c r="F15" s="0" t="n">
        <f aca="false">F13-MAX(0,F13)*F14/100</f>
        <v>13430.3187635794</v>
      </c>
      <c r="G15" s="0" t="n">
        <f aca="false">G13-MAX(0,G13)*G14/100</f>
        <v>14040.5452700772</v>
      </c>
      <c r="H15" s="0" t="n">
        <f aca="false">H13-MAX(0,H13)*H14/100</f>
        <v>14602.1670808803</v>
      </c>
      <c r="I15" s="0" t="n">
        <f aca="false">I13-MAX(0,I13)*I14/100</f>
        <v>15113.2429287111</v>
      </c>
      <c r="J15" s="0" t="n">
        <f aca="false">J13-MAX(0,J13)*J14/100</f>
        <v>15642.206431216</v>
      </c>
      <c r="K15" s="0" t="n">
        <f aca="false">K13-MAX(0,K13)*K14/100</f>
        <v>16111.4726241524</v>
      </c>
      <c r="L15" s="0" t="n">
        <f aca="false">L13-MAX(0,L13)*L14/100</f>
        <v>16594.816802877</v>
      </c>
    </row>
    <row r="16" customFormat="false" ht="15" hidden="false" customHeight="false" outlineLevel="0" collapsed="false">
      <c r="A16" s="0" t="s">
        <v>121</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122</v>
      </c>
      <c r="C17" s="4" t="n">
        <f aca="false">-C6*Assumptions!C32/100</f>
        <v>-3233.86875</v>
      </c>
      <c r="D17" s="4" t="n">
        <f aca="false">-D6*Assumptions!D32/100</f>
        <v>-3395.5621875</v>
      </c>
      <c r="E17" s="4" t="n">
        <f aca="false">-E6*Assumptions!E32/100</f>
        <v>-3193.52623734375</v>
      </c>
      <c r="F17" s="4" t="n">
        <f aca="false">-F6*Assumptions!F32/100</f>
        <v>-3337.23491802422</v>
      </c>
      <c r="G17" s="4" t="n">
        <f aca="false">-G6*Assumptions!G32/100</f>
        <v>-3085.0882797735</v>
      </c>
      <c r="H17" s="4" t="n">
        <f aca="false">-H6*Assumptions!H32/100</f>
        <v>-3208.49181096444</v>
      </c>
      <c r="I17" s="4" t="n">
        <f aca="false">-I6*Assumptions!I32/100</f>
        <v>-2905.69039630467</v>
      </c>
      <c r="J17" s="4" t="n">
        <f aca="false">-J6*Assumptions!J32/100</f>
        <v>-3007.38956017533</v>
      </c>
      <c r="K17" s="4" t="n">
        <f aca="false">-K6*Assumptions!K32/100</f>
        <v>-2655.09535455479</v>
      </c>
      <c r="L17" s="4" t="n">
        <f aca="false">-L6*Assumptions!L32/100</f>
        <v>-2734.74821519144</v>
      </c>
    </row>
    <row r="18" customFormat="false" ht="15" hidden="false" customHeight="false" outlineLevel="0" collapsed="false">
      <c r="A18" s="0" t="s">
        <v>123</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124</v>
      </c>
      <c r="C19" s="0" t="n">
        <f aca="false">C15+C16+C17+C18</f>
        <v>8019.822027</v>
      </c>
      <c r="D19" s="0" t="n">
        <f aca="false">D15+D16+D17+D18</f>
        <v>8645.825715975</v>
      </c>
      <c r="E19" s="0" t="n">
        <f aca="false">E15+E16+E17+E18</f>
        <v>9557.679946122</v>
      </c>
      <c r="F19" s="0" t="n">
        <f aca="false">F15+F16+F17+F18</f>
        <v>10093.0838455551</v>
      </c>
      <c r="G19" s="0" t="n">
        <f aca="false">G15+G16+G17+G18</f>
        <v>10955.4569903037</v>
      </c>
      <c r="H19" s="0" t="n">
        <f aca="false">H15+H16+H17+H18</f>
        <v>11393.6752699158</v>
      </c>
      <c r="I19" s="0" t="n">
        <f aca="false">I15+I16+I17+I18</f>
        <v>12207.5525324064</v>
      </c>
      <c r="J19" s="0" t="n">
        <f aca="false">J15+J16+J17+J18</f>
        <v>12634.8168710406</v>
      </c>
      <c r="K19" s="0" t="n">
        <f aca="false">K15+K16+K17+K18</f>
        <v>13456.3772695976</v>
      </c>
      <c r="L19" s="0" t="n">
        <f aca="false">L15+L16+L17+L18</f>
        <v>13860.0685876856</v>
      </c>
    </row>
    <row r="20" customFormat="false" ht="15" hidden="false" customHeight="false" outlineLevel="0" collapsed="false">
      <c r="A20" s="0" t="s">
        <v>125</v>
      </c>
      <c r="C20" s="0" t="n">
        <f aca="false">1/(1+$B$27/100)^C4</f>
        <v>0.910746812386157</v>
      </c>
      <c r="D20" s="0" t="n">
        <f aca="false">1/(1+$B$27/100)^D4</f>
        <v>0.829459756271545</v>
      </c>
      <c r="E20" s="0" t="n">
        <f aca="false">1/(1+$B$27/100)^E4</f>
        <v>0.755427829026908</v>
      </c>
      <c r="F20" s="0" t="n">
        <f aca="false">1/(1+$B$27/100)^F4</f>
        <v>0.688003487274051</v>
      </c>
      <c r="G20" s="0" t="n">
        <f aca="false">1/(1+$B$27/100)^G4</f>
        <v>0.626596982945402</v>
      </c>
      <c r="H20" s="0" t="n">
        <f aca="false">1/(1+$B$27/100)^H4</f>
        <v>0.570671204868308</v>
      </c>
      <c r="I20" s="0" t="n">
        <f aca="false">1/(1+$B$27/100)^I4</f>
        <v>0.519736980754378</v>
      </c>
      <c r="J20" s="0" t="n">
        <f aca="false">1/(1+$B$27/100)^J4</f>
        <v>0.473348798501255</v>
      </c>
      <c r="K20" s="0" t="n">
        <f aca="false">1/(1+$B$27/100)^K4</f>
        <v>0.431100909381835</v>
      </c>
      <c r="L20" s="0" t="n">
        <f aca="false">1/(1+$B$27/100)^L4</f>
        <v>0.39262377903628</v>
      </c>
    </row>
    <row r="21" customFormat="false" ht="15" hidden="false" customHeight="false" outlineLevel="0" collapsed="false">
      <c r="A21" s="0" t="s">
        <v>126</v>
      </c>
      <c r="C21" s="0" t="n">
        <f aca="false">C19*C20</f>
        <v>7304.02734699453</v>
      </c>
      <c r="D21" s="0" t="n">
        <f aca="false">D19*D20</f>
        <v>7171.36449113888</v>
      </c>
      <c r="E21" s="0" t="n">
        <f aca="false">E19*E20</f>
        <v>7220.13741223296</v>
      </c>
      <c r="F21" s="0" t="n">
        <f aca="false">F19*F20</f>
        <v>6944.07688309133</v>
      </c>
      <c r="G21" s="0" t="n">
        <f aca="false">G19*G20</f>
        <v>6864.65629691239</v>
      </c>
      <c r="H21" s="0" t="n">
        <f aca="false">H19*H20</f>
        <v>6502.0423941611</v>
      </c>
      <c r="I21" s="0" t="n">
        <f aca="false">I19*I20</f>
        <v>6344.71649559337</v>
      </c>
      <c r="J21" s="0" t="n">
        <f aca="false">J19*J20</f>
        <v>5980.67538519047</v>
      </c>
      <c r="K21" s="0" t="n">
        <f aca="false">K19*K20</f>
        <v>5801.0564779086</v>
      </c>
      <c r="L21" s="0" t="n">
        <f aca="false">L19*L20</f>
        <v>5441.79250659914</v>
      </c>
    </row>
    <row r="23" customFormat="false" ht="15" hidden="false" customHeight="false" outlineLevel="0" collapsed="false">
      <c r="A23" s="0" t="s">
        <v>102</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Assumptions!$B$34</f>
        <v>9.8</v>
      </c>
    </row>
    <row r="28" customFormat="false" ht="15" hidden="false" customHeight="false" outlineLevel="0" collapsed="false">
      <c r="A28" s="0" t="s">
        <v>107</v>
      </c>
      <c r="B28" s="4" t="n">
        <f aca="false">Assumptions!$B$35</f>
        <v>3</v>
      </c>
    </row>
    <row r="29" customFormat="false" ht="15" hidden="false" customHeight="false" outlineLevel="0" collapsed="false">
      <c r="A29" s="0" t="s">
        <v>108</v>
      </c>
      <c r="B29" s="4" t="n">
        <f aca="false">Assumptions!$B$36</f>
        <v>18</v>
      </c>
    </row>
    <row r="30" customFormat="false" ht="15" hidden="false" customHeight="false" outlineLevel="0" collapsed="false">
      <c r="A30" s="0" t="s">
        <v>129</v>
      </c>
      <c r="B30" s="0" t="n">
        <f aca="false">SUM(C21:L21)</f>
        <v>65574.5456898228</v>
      </c>
    </row>
    <row r="31" customFormat="false" ht="15" hidden="false" customHeight="false" outlineLevel="0" collapsed="false">
      <c r="A31" s="0" t="s">
        <v>130</v>
      </c>
      <c r="B31" s="0" t="n">
        <f aca="false">L19</f>
        <v>13860.0685876856</v>
      </c>
    </row>
    <row r="32" customFormat="false" ht="15" hidden="false" customHeight="false" outlineLevel="0" collapsed="false">
      <c r="A32" s="0" t="s">
        <v>131</v>
      </c>
      <c r="B32" s="0" t="n">
        <f aca="false">IF(B27&gt;B28,B31*(1+B28/100)/((B27-B28)/100),B31*B29)</f>
        <v>209939.274195826</v>
      </c>
    </row>
    <row r="33" customFormat="false" ht="15" hidden="false" customHeight="false" outlineLevel="0" collapsed="false">
      <c r="A33" s="0" t="s">
        <v>132</v>
      </c>
      <c r="B33" s="0" t="n">
        <f aca="false">B31*B29</f>
        <v>249481.23457834</v>
      </c>
    </row>
    <row r="34" customFormat="false" ht="15" hidden="false" customHeight="false" outlineLevel="0" collapsed="false">
      <c r="A34" s="0" t="s">
        <v>133</v>
      </c>
      <c r="B34" s="0" t="n">
        <f aca="false">MAX(0,MIN(B32,B33))</f>
        <v>209939.274195826</v>
      </c>
    </row>
    <row r="35" customFormat="false" ht="15" hidden="false" customHeight="false" outlineLevel="0" collapsed="false">
      <c r="A35" s="0" t="s">
        <v>134</v>
      </c>
      <c r="B35" s="0" t="n">
        <f aca="false">B34/(1+B27/100)^L4</f>
        <v>82427.1512028988</v>
      </c>
    </row>
    <row r="36" customFormat="false" ht="15" hidden="false" customHeight="false" outlineLevel="0" collapsed="false">
      <c r="A36" s="0" t="s">
        <v>135</v>
      </c>
      <c r="B36" s="0" t="n">
        <f aca="false">B30+B35</f>
        <v>148001.696892722</v>
      </c>
    </row>
    <row r="37" customFormat="false" ht="15" hidden="false" customHeight="false" outlineLevel="0" collapsed="false">
      <c r="A37" s="0" t="s">
        <v>136</v>
      </c>
      <c r="B37" s="0" t="n">
        <f aca="false">B36+Assumptions!$B$5-Assumptions!$B$4</f>
        <v>150712.696892722</v>
      </c>
    </row>
    <row r="38" customFormat="false" ht="15" hidden="false" customHeight="false" outlineLevel="0" collapsed="false">
      <c r="A38" s="0" t="s">
        <v>137</v>
      </c>
      <c r="B38" s="0" t="n">
        <f aca="false">B37/Assumptions!$B$3*Assumptions!$B$10</f>
        <v>86.567301103929</v>
      </c>
    </row>
    <row r="39" customFormat="false" ht="15" hidden="false" customHeight="false" outlineLevel="0" collapsed="false">
      <c r="A39" s="0" t="s">
        <v>138</v>
      </c>
      <c r="B39" s="4" t="n">
        <f aca="false">B38/Assumptions!$B$2-1</f>
        <v>-0.0506930463435792</v>
      </c>
    </row>
    <row r="41" customFormat="false" ht="15" hidden="false" customHeight="false" outlineLevel="0" collapsed="false">
      <c r="A41" s="0" t="s">
        <v>139</v>
      </c>
      <c r="B41" s="0" t="n">
        <f aca="false">SUMPRODUCT(-C10:L10/(1+$B$27/100)^C4:L4)</f>
        <v>125.796322056967</v>
      </c>
    </row>
    <row r="42" customFormat="false" ht="15" hidden="false" customHeight="false" outlineLevel="0" collapsed="false">
      <c r="A42" s="0" t="s">
        <v>140</v>
      </c>
      <c r="B42" s="0" t="n">
        <f aca="false">IF(B27&gt;B28,-L10*(1+B28/100)/((B27-B28)/100),-L10*20)/(1+B27/100)^L4</f>
        <v>144.56718880131</v>
      </c>
    </row>
    <row r="43" customFormat="false" ht="15" hidden="false" customHeight="false" outlineLevel="0" collapsed="false">
      <c r="A43" s="0" t="s">
        <v>141</v>
      </c>
      <c r="B43" s="0" t="n">
        <f aca="false">(B37+B41+B42)/Assumptions!$B$3*Assumptions!$B$10</f>
        <v>86.7225941876208</v>
      </c>
    </row>
    <row r="45" customFormat="false" ht="15" hidden="false" customHeight="false" outlineLevel="0" collapsed="false">
      <c r="A45" s="0" t="s">
        <v>81</v>
      </c>
      <c r="B45" s="4" t="n">
        <f aca="false">Assumptions!$B$6</f>
        <v>15</v>
      </c>
    </row>
    <row r="46" customFormat="false" ht="15" hidden="false" customHeight="false" outlineLevel="0" collapsed="false">
      <c r="A46" s="0" t="s">
        <v>142</v>
      </c>
      <c r="B46" s="0" t="n">
        <f aca="false">MAX(0,MIN(IF(B45&gt;B28,B31*(1+B28/100)/((B45-B28)/100),B31*B29),B31*B29))</f>
        <v>118965.588710968</v>
      </c>
    </row>
    <row r="47" customFormat="false" ht="15" hidden="false" customHeight="false" outlineLevel="0" collapsed="false">
      <c r="A47" s="0" t="s">
        <v>143</v>
      </c>
      <c r="B47" s="0" t="n">
        <f aca="false">(SUMPRODUCT(C19:L19/(1+B45/100)^C4:L4)+B46/(1+B45/100)^L4+Assumptions!$B$5-Assumptions!$B$4)/Assumptions!$B$3*Assumptions!$B$10</f>
        <v>48.2640425833149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84</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6.5</v>
      </c>
      <c r="D5" s="4" t="n">
        <f aca="false">Assumptions!D41</f>
        <v>6</v>
      </c>
      <c r="E5" s="4" t="n">
        <f aca="false">Assumptions!E41</f>
        <v>5.5</v>
      </c>
      <c r="F5" s="4" t="n">
        <f aca="false">Assumptions!F41</f>
        <v>5</v>
      </c>
      <c r="G5" s="4" t="n">
        <f aca="false">Assumptions!G41</f>
        <v>4.5</v>
      </c>
      <c r="H5" s="4" t="n">
        <f aca="false">Assumptions!H41</f>
        <v>4</v>
      </c>
      <c r="I5" s="4" t="n">
        <f aca="false">Assumptions!I41</f>
        <v>4</v>
      </c>
      <c r="J5" s="4" t="n">
        <f aca="false">Assumptions!J41</f>
        <v>3.5</v>
      </c>
      <c r="K5" s="4" t="n">
        <f aca="false">Assumptions!K41</f>
        <v>3.5</v>
      </c>
      <c r="L5" s="4" t="n">
        <f aca="false">Assumptions!L41</f>
        <v>3.5</v>
      </c>
    </row>
    <row r="6" customFormat="false" ht="15" hidden="false" customHeight="false" outlineLevel="0" collapsed="false">
      <c r="A6" s="0" t="s">
        <v>38</v>
      </c>
      <c r="B6" s="3" t="n">
        <v>41065</v>
      </c>
      <c r="C6" s="0" t="n">
        <f aca="false">B6*(1+C5/100)</f>
        <v>43734.225</v>
      </c>
      <c r="D6" s="0" t="n">
        <f aca="false">C6*(1+D5/100)</f>
        <v>46358.2785</v>
      </c>
      <c r="E6" s="0" t="n">
        <f aca="false">D6*(1+E5/100)</f>
        <v>48907.9838175</v>
      </c>
      <c r="F6" s="0" t="n">
        <f aca="false">E6*(1+F5/100)</f>
        <v>51353.383008375</v>
      </c>
      <c r="G6" s="0" t="n">
        <f aca="false">F6*(1+G5/100)</f>
        <v>53664.2852437519</v>
      </c>
      <c r="H6" s="0" t="n">
        <f aca="false">G6*(1+H5/100)</f>
        <v>55810.856653502</v>
      </c>
      <c r="I6" s="0" t="n">
        <f aca="false">H6*(1+I5/100)</f>
        <v>58043.290919642</v>
      </c>
      <c r="J6" s="0" t="n">
        <f aca="false">I6*(1+J5/100)</f>
        <v>60074.8061018295</v>
      </c>
      <c r="K6" s="0" t="n">
        <f aca="false">J6*(1+K5/100)</f>
        <v>62177.4243153935</v>
      </c>
      <c r="L6" s="0" t="n">
        <f aca="false">K6*(1+L5/100)</f>
        <v>64353.6341664323</v>
      </c>
    </row>
    <row r="7" customFormat="false" ht="15" hidden="false" customHeight="false" outlineLevel="0" collapsed="false">
      <c r="A7" s="0" t="s">
        <v>100</v>
      </c>
      <c r="C7" s="4" t="n">
        <f aca="false">Assumptions!C42</f>
        <v>37.5</v>
      </c>
      <c r="D7" s="4" t="n">
        <f aca="false">Assumptions!D42</f>
        <v>38.8</v>
      </c>
      <c r="E7" s="4" t="n">
        <f aca="false">Assumptions!E42</f>
        <v>39.8</v>
      </c>
      <c r="F7" s="4" t="n">
        <f aca="false">Assumptions!F42</f>
        <v>40.5</v>
      </c>
      <c r="G7" s="4" t="n">
        <f aca="false">Assumptions!G42</f>
        <v>41</v>
      </c>
      <c r="H7" s="4" t="n">
        <f aca="false">Assumptions!H42</f>
        <v>41</v>
      </c>
      <c r="I7" s="4" t="n">
        <f aca="false">Assumptions!I42</f>
        <v>41</v>
      </c>
      <c r="J7" s="4" t="n">
        <f aca="false">Assumptions!J42</f>
        <v>41</v>
      </c>
      <c r="K7" s="4" t="n">
        <f aca="false">Assumptions!K42</f>
        <v>41</v>
      </c>
      <c r="L7" s="4" t="n">
        <f aca="false">Assumptions!L42</f>
        <v>41</v>
      </c>
    </row>
    <row r="8" customFormat="false" ht="15" hidden="false" customHeight="false" outlineLevel="0" collapsed="false">
      <c r="A8" s="0" t="s">
        <v>44</v>
      </c>
      <c r="C8" s="0" t="n">
        <f aca="false">C6*C7/100</f>
        <v>16400.334375</v>
      </c>
      <c r="D8" s="0" t="n">
        <f aca="false">D6*D7/100</f>
        <v>17987.012058</v>
      </c>
      <c r="E8" s="0" t="n">
        <f aca="false">E6*E7/100</f>
        <v>19465.377559365</v>
      </c>
      <c r="F8" s="0" t="n">
        <f aca="false">F6*F7/100</f>
        <v>20798.1201183919</v>
      </c>
      <c r="G8" s="0" t="n">
        <f aca="false">G6*G7/100</f>
        <v>22002.3569499383</v>
      </c>
      <c r="H8" s="0" t="n">
        <f aca="false">H6*H7/100</f>
        <v>22882.4512279358</v>
      </c>
      <c r="I8" s="0" t="n">
        <f aca="false">I6*I7/100</f>
        <v>23797.7492770532</v>
      </c>
      <c r="J8" s="0" t="n">
        <f aca="false">J6*J7/100</f>
        <v>24630.6705017501</v>
      </c>
      <c r="K8" s="0" t="n">
        <f aca="false">K6*K7/100</f>
        <v>25492.7439693113</v>
      </c>
      <c r="L8" s="0" t="n">
        <f aca="false">L6*L7/100</f>
        <v>26384.9900082372</v>
      </c>
    </row>
    <row r="9" customFormat="false" ht="15" hidden="false" customHeight="false" outlineLevel="0" collapsed="false">
      <c r="A9" s="0" t="s">
        <v>101</v>
      </c>
      <c r="C9" s="4" t="n">
        <f aca="false">Assumptions!C43</f>
        <v>0.04</v>
      </c>
      <c r="D9" s="4" t="n">
        <f aca="false">Assumptions!D43</f>
        <v>0.04</v>
      </c>
      <c r="E9" s="4" t="n">
        <f aca="false">Assumptions!E43</f>
        <v>0.04</v>
      </c>
      <c r="F9" s="4" t="n">
        <f aca="false">Assumptions!F43</f>
        <v>0.04</v>
      </c>
      <c r="G9" s="4" t="n">
        <f aca="false">Assumptions!G43</f>
        <v>0.04</v>
      </c>
      <c r="H9" s="4" t="n">
        <f aca="false">Assumptions!H43</f>
        <v>0.04</v>
      </c>
      <c r="I9" s="4" t="n">
        <f aca="false">Assumptions!I43</f>
        <v>0.04</v>
      </c>
      <c r="J9" s="4" t="n">
        <f aca="false">Assumptions!J43</f>
        <v>0.04</v>
      </c>
      <c r="K9" s="4" t="n">
        <f aca="false">Assumptions!K43</f>
        <v>0.04</v>
      </c>
      <c r="L9" s="4" t="n">
        <f aca="false">Assumptions!L43</f>
        <v>0.04</v>
      </c>
    </row>
    <row r="10" customFormat="false" ht="15" hidden="false" customHeight="false" outlineLevel="0" collapsed="false">
      <c r="A10" s="0" t="s">
        <v>116</v>
      </c>
      <c r="C10" s="0" t="n">
        <f aca="false">-C6*C9/100</f>
        <v>-17.49369</v>
      </c>
      <c r="D10" s="0" t="n">
        <f aca="false">-D6*D9/100</f>
        <v>-18.5433114</v>
      </c>
      <c r="E10" s="0" t="n">
        <f aca="false">-E6*E9/100</f>
        <v>-19.563193527</v>
      </c>
      <c r="F10" s="0" t="n">
        <f aca="false">-F6*F9/100</f>
        <v>-20.54135320335</v>
      </c>
      <c r="G10" s="0" t="n">
        <f aca="false">-G6*G9/100</f>
        <v>-21.4657140975008</v>
      </c>
      <c r="H10" s="0" t="n">
        <f aca="false">-H6*H9/100</f>
        <v>-22.3243426614008</v>
      </c>
      <c r="I10" s="0" t="n">
        <f aca="false">-I6*I9/100</f>
        <v>-23.2173163678568</v>
      </c>
      <c r="J10" s="0" t="n">
        <f aca="false">-J6*J9/100</f>
        <v>-24.0299224407318</v>
      </c>
      <c r="K10" s="0" t="n">
        <f aca="false">-K6*K9/100</f>
        <v>-24.8709697261574</v>
      </c>
      <c r="L10" s="0" t="n">
        <f aca="false">-L6*L9/100</f>
        <v>-25.7414536665729</v>
      </c>
    </row>
    <row r="11" customFormat="false" ht="15" hidden="false" customHeight="false" outlineLevel="0" collapsed="false">
      <c r="A11" s="0" t="s">
        <v>117</v>
      </c>
      <c r="C11" s="0" t="n">
        <f aca="false">C8+C10+C24</f>
        <v>16382.840685</v>
      </c>
      <c r="D11" s="0" t="n">
        <f aca="false">D8+D10+D24</f>
        <v>17968.4687466</v>
      </c>
      <c r="E11" s="0" t="n">
        <f aca="false">E8+E10+E24</f>
        <v>19445.814365838</v>
      </c>
      <c r="F11" s="0" t="n">
        <f aca="false">F8+F10+F24</f>
        <v>20777.5787651885</v>
      </c>
      <c r="G11" s="0" t="n">
        <f aca="false">G8+G10+G24</f>
        <v>21980.8912358408</v>
      </c>
      <c r="H11" s="0" t="n">
        <f aca="false">H8+H10+H24</f>
        <v>22860.1268852744</v>
      </c>
      <c r="I11" s="0" t="n">
        <f aca="false">I8+I10+I24</f>
        <v>23774.5319606854</v>
      </c>
      <c r="J11" s="0" t="n">
        <f aca="false">J8+J10+J24</f>
        <v>24606.6405793094</v>
      </c>
      <c r="K11" s="0" t="n">
        <f aca="false">K8+K10+K24</f>
        <v>25467.8729995852</v>
      </c>
      <c r="L11" s="0" t="n">
        <f aca="false">L8+L10+L24</f>
        <v>26359.2485545707</v>
      </c>
    </row>
    <row r="12" customFormat="false" ht="15" hidden="false" customHeight="false" outlineLevel="0" collapsed="false">
      <c r="A12" s="0" t="s">
        <v>118</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119</v>
      </c>
      <c r="C13" s="0" t="n">
        <f aca="false">C11+C12</f>
        <v>16382.840685</v>
      </c>
      <c r="D13" s="0" t="n">
        <f aca="false">D11+D12</f>
        <v>17968.4687466</v>
      </c>
      <c r="E13" s="0" t="n">
        <f aca="false">E11+E12</f>
        <v>19445.814365838</v>
      </c>
      <c r="F13" s="0" t="n">
        <f aca="false">F11+F12</f>
        <v>20777.5787651885</v>
      </c>
      <c r="G13" s="0" t="n">
        <f aca="false">G11+G12</f>
        <v>21980.8912358408</v>
      </c>
      <c r="H13" s="0" t="n">
        <f aca="false">H11+H12</f>
        <v>22860.1268852744</v>
      </c>
      <c r="I13" s="0" t="n">
        <f aca="false">I11+I12</f>
        <v>23774.5319606854</v>
      </c>
      <c r="J13" s="0" t="n">
        <f aca="false">J11+J12</f>
        <v>24606.6405793094</v>
      </c>
      <c r="K13" s="0" t="n">
        <f aca="false">K11+K12</f>
        <v>25467.8729995852</v>
      </c>
      <c r="L13" s="0" t="n">
        <f aca="false">L11+L12</f>
        <v>26359.2485545707</v>
      </c>
    </row>
    <row r="14" customFormat="false" ht="15" hidden="false" customHeight="false" outlineLevel="0" collapsed="false">
      <c r="A14" s="0" t="s">
        <v>105</v>
      </c>
      <c r="C14" s="4" t="n">
        <f aca="false">Assumptions!C47</f>
        <v>29</v>
      </c>
      <c r="D14" s="4" t="n">
        <f aca="false">Assumptions!D47</f>
        <v>29</v>
      </c>
      <c r="E14" s="4" t="n">
        <f aca="false">Assumptions!E47</f>
        <v>29</v>
      </c>
      <c r="F14" s="4" t="n">
        <f aca="false">Assumptions!F47</f>
        <v>29</v>
      </c>
      <c r="G14" s="4" t="n">
        <f aca="false">Assumptions!G47</f>
        <v>29</v>
      </c>
      <c r="H14" s="4" t="n">
        <f aca="false">Assumptions!H47</f>
        <v>29</v>
      </c>
      <c r="I14" s="4" t="n">
        <f aca="false">Assumptions!I47</f>
        <v>29</v>
      </c>
      <c r="J14" s="4" t="n">
        <f aca="false">Assumptions!J47</f>
        <v>29</v>
      </c>
      <c r="K14" s="4" t="n">
        <f aca="false">Assumptions!K47</f>
        <v>29</v>
      </c>
      <c r="L14" s="4" t="n">
        <f aca="false">Assumptions!L47</f>
        <v>29</v>
      </c>
    </row>
    <row r="15" customFormat="false" ht="15" hidden="false" customHeight="false" outlineLevel="0" collapsed="false">
      <c r="A15" s="0" t="s">
        <v>120</v>
      </c>
      <c r="C15" s="0" t="n">
        <f aca="false">C13-MAX(0,C13)*C14/100</f>
        <v>11631.81688635</v>
      </c>
      <c r="D15" s="0" t="n">
        <f aca="false">D13-MAX(0,D13)*D14/100</f>
        <v>12757.612810086</v>
      </c>
      <c r="E15" s="0" t="n">
        <f aca="false">E13-MAX(0,E13)*E14/100</f>
        <v>13806.528199745</v>
      </c>
      <c r="F15" s="0" t="n">
        <f aca="false">F13-MAX(0,F13)*F14/100</f>
        <v>14752.0809232839</v>
      </c>
      <c r="G15" s="0" t="n">
        <f aca="false">G13-MAX(0,G13)*G14/100</f>
        <v>15606.432777447</v>
      </c>
      <c r="H15" s="0" t="n">
        <f aca="false">H13-MAX(0,H13)*H14/100</f>
        <v>16230.6900885448</v>
      </c>
      <c r="I15" s="0" t="n">
        <f aca="false">I13-MAX(0,I13)*I14/100</f>
        <v>16879.9176920866</v>
      </c>
      <c r="J15" s="0" t="n">
        <f aca="false">J13-MAX(0,J13)*J14/100</f>
        <v>17470.7148113097</v>
      </c>
      <c r="K15" s="0" t="n">
        <f aca="false">K13-MAX(0,K13)*K14/100</f>
        <v>18082.1898297055</v>
      </c>
      <c r="L15" s="0" t="n">
        <f aca="false">L13-MAX(0,L13)*L14/100</f>
        <v>18715.0664737452</v>
      </c>
    </row>
    <row r="16" customFormat="false" ht="15" hidden="false" customHeight="false" outlineLevel="0" collapsed="false">
      <c r="A16" s="0" t="s">
        <v>121</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122</v>
      </c>
      <c r="C17" s="4" t="n">
        <f aca="false">-C6*Assumptions!C46/100</f>
        <v>-3979.814475</v>
      </c>
      <c r="D17" s="4" t="n">
        <f aca="false">-D6*Assumptions!D46/100</f>
        <v>-3894.095394</v>
      </c>
      <c r="E17" s="4" t="n">
        <f aca="false">-E6*Assumptions!E46/100</f>
        <v>-3765.9147539475</v>
      </c>
      <c r="F17" s="4" t="n">
        <f aca="false">-F6*Assumptions!F46/100</f>
        <v>-3594.73681058625</v>
      </c>
      <c r="G17" s="4" t="n">
        <f aca="false">-G6*Assumptions!G46/100</f>
        <v>-3380.84997035637</v>
      </c>
      <c r="H17" s="4" t="n">
        <f aca="false">-H6*Assumptions!H46/100</f>
        <v>-3125.40797259611</v>
      </c>
      <c r="I17" s="4" t="n">
        <f aca="false">-I6*Assumptions!I46/100</f>
        <v>-3250.42429149995</v>
      </c>
      <c r="J17" s="4" t="n">
        <f aca="false">-J6*Assumptions!J46/100</f>
        <v>-2943.66549898965</v>
      </c>
      <c r="K17" s="4" t="n">
        <f aca="false">-K6*Assumptions!K46/100</f>
        <v>-3046.69379145428</v>
      </c>
      <c r="L17" s="4" t="n">
        <f aca="false">-L6*Assumptions!L46/100</f>
        <v>-3153.32807415518</v>
      </c>
    </row>
    <row r="18" customFormat="false" ht="15" hidden="false" customHeight="false" outlineLevel="0" collapsed="false">
      <c r="A18" s="0" t="s">
        <v>123</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124</v>
      </c>
      <c r="C19" s="0" t="n">
        <f aca="false">C15+C16+C17+C18</f>
        <v>7652.00241135</v>
      </c>
      <c r="D19" s="0" t="n">
        <f aca="false">D15+D16+D17+D18</f>
        <v>8863.517416086</v>
      </c>
      <c r="E19" s="0" t="n">
        <f aca="false">E15+E16+E17+E18</f>
        <v>10040.6134457975</v>
      </c>
      <c r="F19" s="0" t="n">
        <f aca="false">F15+F16+F17+F18</f>
        <v>11157.3441126976</v>
      </c>
      <c r="G19" s="0" t="n">
        <f aca="false">G15+G16+G17+G18</f>
        <v>12225.5828070906</v>
      </c>
      <c r="H19" s="0" t="n">
        <f aca="false">H15+H16+H17+H18</f>
        <v>13105.2821159487</v>
      </c>
      <c r="I19" s="0" t="n">
        <f aca="false">I15+I16+I17+I18</f>
        <v>13629.4934005867</v>
      </c>
      <c r="J19" s="0" t="n">
        <f aca="false">J15+J16+J17+J18</f>
        <v>14527.04931232</v>
      </c>
      <c r="K19" s="0" t="n">
        <f aca="false">K15+K16+K17+K18</f>
        <v>15035.4960382512</v>
      </c>
      <c r="L19" s="0" t="n">
        <f aca="false">L15+L16+L17+L18</f>
        <v>15561.73839959</v>
      </c>
    </row>
    <row r="20" customFormat="false" ht="15" hidden="false" customHeight="false" outlineLevel="0" collapsed="false">
      <c r="A20" s="0" t="s">
        <v>125</v>
      </c>
      <c r="C20" s="0" t="n">
        <f aca="false">1/(1+$B$27/100)^C4</f>
        <v>0.910746812386157</v>
      </c>
      <c r="D20" s="0" t="n">
        <f aca="false">1/(1+$B$27/100)^D4</f>
        <v>0.829459756271545</v>
      </c>
      <c r="E20" s="0" t="n">
        <f aca="false">1/(1+$B$27/100)^E4</f>
        <v>0.755427829026908</v>
      </c>
      <c r="F20" s="0" t="n">
        <f aca="false">1/(1+$B$27/100)^F4</f>
        <v>0.688003487274051</v>
      </c>
      <c r="G20" s="0" t="n">
        <f aca="false">1/(1+$B$27/100)^G4</f>
        <v>0.626596982945402</v>
      </c>
      <c r="H20" s="0" t="n">
        <f aca="false">1/(1+$B$27/100)^H4</f>
        <v>0.570671204868308</v>
      </c>
      <c r="I20" s="0" t="n">
        <f aca="false">1/(1+$B$27/100)^I4</f>
        <v>0.519736980754378</v>
      </c>
      <c r="J20" s="0" t="n">
        <f aca="false">1/(1+$B$27/100)^J4</f>
        <v>0.473348798501255</v>
      </c>
      <c r="K20" s="0" t="n">
        <f aca="false">1/(1+$B$27/100)^K4</f>
        <v>0.431100909381835</v>
      </c>
      <c r="L20" s="0" t="n">
        <f aca="false">1/(1+$B$27/100)^L4</f>
        <v>0.39262377903628</v>
      </c>
    </row>
    <row r="21" customFormat="false" ht="15" hidden="false" customHeight="false" outlineLevel="0" collapsed="false">
      <c r="A21" s="0" t="s">
        <v>126</v>
      </c>
      <c r="C21" s="0" t="n">
        <f aca="false">C19*C20</f>
        <v>6969.0368045082</v>
      </c>
      <c r="D21" s="0" t="n">
        <f aca="false">D19*D20</f>
        <v>7351.93099565529</v>
      </c>
      <c r="E21" s="0" t="n">
        <f aca="false">E19*E20</f>
        <v>7584.95881745717</v>
      </c>
      <c r="F21" s="0" t="n">
        <f aca="false">F19*F20</f>
        <v>7676.29165825255</v>
      </c>
      <c r="G21" s="0" t="n">
        <f aca="false">G19*G20</f>
        <v>7660.51330167213</v>
      </c>
      <c r="H21" s="0" t="n">
        <f aca="false">H19*H20</f>
        <v>7478.80713524753</v>
      </c>
      <c r="I21" s="0" t="n">
        <f aca="false">I19*I20</f>
        <v>7083.75174923264</v>
      </c>
      <c r="J21" s="0" t="n">
        <f aca="false">J19*J20</f>
        <v>6876.36133775516</v>
      </c>
      <c r="K21" s="0" t="n">
        <f aca="false">K19*K20</f>
        <v>6481.81601509707</v>
      </c>
      <c r="L21" s="0" t="n">
        <f aca="false">L19*L20</f>
        <v>6109.90853882101</v>
      </c>
    </row>
    <row r="23" customFormat="false" ht="15" hidden="false" customHeight="false" outlineLevel="0" collapsed="false">
      <c r="A23" s="0" t="s">
        <v>102</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Assumptions!$B$48</f>
        <v>9.8</v>
      </c>
    </row>
    <row r="28" customFormat="false" ht="15" hidden="false" customHeight="false" outlineLevel="0" collapsed="false">
      <c r="A28" s="0" t="s">
        <v>107</v>
      </c>
      <c r="B28" s="4" t="n">
        <f aca="false">Assumptions!$B$49</f>
        <v>3.5</v>
      </c>
    </row>
    <row r="29" customFormat="false" ht="15" hidden="false" customHeight="false" outlineLevel="0" collapsed="false">
      <c r="A29" s="0" t="s">
        <v>108</v>
      </c>
      <c r="B29" s="4" t="n">
        <f aca="false">Assumptions!$B$50</f>
        <v>18</v>
      </c>
    </row>
    <row r="30" customFormat="false" ht="15" hidden="false" customHeight="false" outlineLevel="0" collapsed="false">
      <c r="A30" s="0" t="s">
        <v>129</v>
      </c>
      <c r="B30" s="0" t="n">
        <f aca="false">SUM(C21:L21)</f>
        <v>71273.3763536988</v>
      </c>
    </row>
    <row r="31" customFormat="false" ht="15" hidden="false" customHeight="false" outlineLevel="0" collapsed="false">
      <c r="A31" s="0" t="s">
        <v>130</v>
      </c>
      <c r="B31" s="0" t="n">
        <f aca="false">L19</f>
        <v>15561.73839959</v>
      </c>
    </row>
    <row r="32" customFormat="false" ht="15" hidden="false" customHeight="false" outlineLevel="0" collapsed="false">
      <c r="A32" s="0" t="s">
        <v>131</v>
      </c>
      <c r="B32" s="0" t="n">
        <f aca="false">IF(B27&gt;B28,B31*(1+B28/100)/((B27-B28)/100),B31*B29)</f>
        <v>255657.130850407</v>
      </c>
    </row>
    <row r="33" customFormat="false" ht="15" hidden="false" customHeight="false" outlineLevel="0" collapsed="false">
      <c r="A33" s="0" t="s">
        <v>132</v>
      </c>
      <c r="B33" s="0" t="n">
        <f aca="false">B31*B29</f>
        <v>280111.29119262</v>
      </c>
    </row>
    <row r="34" customFormat="false" ht="15" hidden="false" customHeight="false" outlineLevel="0" collapsed="false">
      <c r="A34" s="0" t="s">
        <v>133</v>
      </c>
      <c r="B34" s="0" t="n">
        <f aca="false">MAX(0,MIN(B32,B33))</f>
        <v>255657.130850407</v>
      </c>
    </row>
    <row r="35" customFormat="false" ht="15" hidden="false" customHeight="false" outlineLevel="0" collapsed="false">
      <c r="A35" s="0" t="s">
        <v>134</v>
      </c>
      <c r="B35" s="0" t="n">
        <f aca="false">B34/(1+B27/100)^L4</f>
        <v>100377.068852059</v>
      </c>
    </row>
    <row r="36" customFormat="false" ht="15" hidden="false" customHeight="false" outlineLevel="0" collapsed="false">
      <c r="A36" s="0" t="s">
        <v>135</v>
      </c>
      <c r="B36" s="0" t="n">
        <f aca="false">B30+B35</f>
        <v>171650.445205758</v>
      </c>
    </row>
    <row r="37" customFormat="false" ht="15" hidden="false" customHeight="false" outlineLevel="0" collapsed="false">
      <c r="A37" s="0" t="s">
        <v>136</v>
      </c>
      <c r="B37" s="0" t="n">
        <f aca="false">B36+Assumptions!$B$5-Assumptions!$B$4</f>
        <v>174361.445205758</v>
      </c>
    </row>
    <row r="38" customFormat="false" ht="15" hidden="false" customHeight="false" outlineLevel="0" collapsed="false">
      <c r="A38" s="0" t="s">
        <v>137</v>
      </c>
      <c r="B38" s="0" t="n">
        <f aca="false">B37/Assumptions!$B$3*Assumptions!$B$10</f>
        <v>100.150817013029</v>
      </c>
    </row>
    <row r="39" customFormat="false" ht="15" hidden="false" customHeight="false" outlineLevel="0" collapsed="false">
      <c r="A39" s="0" t="s">
        <v>138</v>
      </c>
      <c r="B39" s="4" t="n">
        <f aca="false">B38/Assumptions!$B$2-1</f>
        <v>0.0982653472204105</v>
      </c>
    </row>
    <row r="41" customFormat="false" ht="15" hidden="false" customHeight="false" outlineLevel="0" collapsed="false">
      <c r="A41" s="0" t="s">
        <v>139</v>
      </c>
      <c r="B41" s="0" t="n">
        <f aca="false">SUMPRODUCT(-C10:L10/(1+$B$27/100)^C4:L4)</f>
        <v>130.684604933847</v>
      </c>
    </row>
    <row r="42" customFormat="false" ht="15" hidden="false" customHeight="false" outlineLevel="0" collapsed="false">
      <c r="A42" s="0" t="s">
        <v>140</v>
      </c>
      <c r="B42" s="0" t="n">
        <f aca="false">IF(B27&gt;B28,-L10*(1+B28/100)/((B27-B28)/100),-L10*20)/(1+B27/100)^L4</f>
        <v>166.038754841796</v>
      </c>
    </row>
    <row r="43" customFormat="false" ht="15" hidden="false" customHeight="false" outlineLevel="0" collapsed="false">
      <c r="A43" s="0" t="s">
        <v>141</v>
      </c>
      <c r="B43" s="0" t="n">
        <f aca="false">(B37+B41+B42)/Assumptions!$B$3*Assumptions!$B$10</f>
        <v>100.321250831545</v>
      </c>
    </row>
    <row r="45" customFormat="false" ht="15" hidden="false" customHeight="false" outlineLevel="0" collapsed="false">
      <c r="A45" s="0" t="s">
        <v>81</v>
      </c>
      <c r="B45" s="4" t="n">
        <f aca="false">Assumptions!$B$6</f>
        <v>15</v>
      </c>
    </row>
    <row r="46" customFormat="false" ht="15" hidden="false" customHeight="false" outlineLevel="0" collapsed="false">
      <c r="A46" s="0" t="s">
        <v>142</v>
      </c>
      <c r="B46" s="0" t="n">
        <f aca="false">MAX(0,MIN(IF(B45&gt;B28,B31*(1+B28/100)/((B45-B28)/100),B31*B29),B31*B29))</f>
        <v>140055.64559631</v>
      </c>
    </row>
    <row r="47" customFormat="false" ht="15" hidden="false" customHeight="false" outlineLevel="0" collapsed="false">
      <c r="A47" s="0" t="s">
        <v>143</v>
      </c>
      <c r="B47" s="0" t="n">
        <f aca="false">(SUMPRODUCT(C19:L19/(1+B45/100)^C4:L4)+B46/(1+B45/100)^L4+Assumptions!$B$5-Assumptions!$B$4)/Assumptions!$B$3*Assumptions!$B$10</f>
        <v>53.6506544149597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68.9802774394235</v>
      </c>
      <c r="C4" s="0" t="n">
        <f aca="false">B4/Assumptions!$B$2-1</f>
        <v>-0.243554365177942</v>
      </c>
      <c r="D4" s="4" t="n">
        <f aca="false">Assumptions!$B$24</f>
        <v>0.25</v>
      </c>
      <c r="E4" s="4" t="n">
        <f aca="false">DCF_Bear!$B$43</f>
        <v>69.114148958128</v>
      </c>
      <c r="F4" s="4" t="n">
        <f aca="false">DCF_Bear!$B$47</f>
        <v>40.0291827155521</v>
      </c>
    </row>
    <row r="5" customFormat="false" ht="15" hidden="false" customHeight="false" outlineLevel="0" collapsed="false">
      <c r="A5" s="0" t="s">
        <v>152</v>
      </c>
      <c r="B5" s="4" t="n">
        <f aca="false">DCF_Base!$B$38</f>
        <v>86.567301103929</v>
      </c>
      <c r="C5" s="0" t="n">
        <f aca="false">B5/Assumptions!$B$2-1</f>
        <v>-0.0506930463435792</v>
      </c>
      <c r="D5" s="4" t="n">
        <f aca="false">Assumptions!$B$38</f>
        <v>0.5</v>
      </c>
      <c r="E5" s="4" t="n">
        <f aca="false">DCF_Base!$B$43</f>
        <v>86.7225941876208</v>
      </c>
      <c r="F5" s="4" t="n">
        <f aca="false">DCF_Base!$B$47</f>
        <v>48.2640425833149</v>
      </c>
    </row>
    <row r="6" customFormat="false" ht="15" hidden="false" customHeight="false" outlineLevel="0" collapsed="false">
      <c r="A6" s="0" t="s">
        <v>153</v>
      </c>
      <c r="B6" s="4" t="n">
        <f aca="false">DCF_Bull!$B$38</f>
        <v>100.150817013029</v>
      </c>
      <c r="C6" s="0" t="n">
        <f aca="false">B6/Assumptions!$B$2-1</f>
        <v>0.0982653472204105</v>
      </c>
      <c r="D6" s="4" t="n">
        <f aca="false">Assumptions!$B$52</f>
        <v>0.25</v>
      </c>
      <c r="E6" s="4" t="n">
        <f aca="false">DCF_Bull!$B$43</f>
        <v>100.321250831545</v>
      </c>
      <c r="F6" s="4" t="n">
        <f aca="false">DCF_Bull!$B$47</f>
        <v>53.6506544149597</v>
      </c>
    </row>
    <row r="8" customFormat="false" ht="15" hidden="false" customHeight="false" outlineLevel="0" collapsed="false">
      <c r="A8" s="0" t="s">
        <v>154</v>
      </c>
      <c r="B8" s="0" t="n">
        <f aca="false">SUMPRODUCT(B4:B6,D4:D6)</f>
        <v>85.5664241650777</v>
      </c>
    </row>
    <row r="9" customFormat="false" ht="15" hidden="false" customHeight="false" outlineLevel="0" collapsed="false">
      <c r="A9" s="0" t="s">
        <v>155</v>
      </c>
      <c r="B9" s="0" t="n">
        <f aca="false">SUMPRODUCT(E4:E6,D4:D6)</f>
        <v>85.7201470412287</v>
      </c>
    </row>
    <row r="10" customFormat="false" ht="15" hidden="false" customHeight="false" outlineLevel="0" collapsed="false">
      <c r="A10" s="0" t="s">
        <v>156</v>
      </c>
      <c r="B10" s="0" t="n">
        <f aca="false">1-Assumptions!$B$2/B8</f>
        <v>-0.0657217581521594</v>
      </c>
    </row>
    <row r="11" customFormat="false" ht="15" hidden="false" customHeight="false" outlineLevel="0" collapsed="false">
      <c r="A11" s="0" t="s">
        <v>157</v>
      </c>
      <c r="B11" s="0" t="str">
        <f aca="false">IF(ABS(B9-B8)&gt;0.01*ABS(B8),(Assumptions!$B$2-B8)/(B9-B8)*100,"n/a")</f>
        <v>n/a</v>
      </c>
    </row>
    <row r="12" customFormat="false" ht="15" hidden="false" customHeight="false" outlineLevel="0" collapsed="false">
      <c r="A12" s="0" t="s">
        <v>158</v>
      </c>
      <c r="B12" s="0" t="n">
        <f aca="false">SUMPRODUCT(F4:F6,D4:D6)</f>
        <v>47.5519805742854</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98.4291680853737</v>
      </c>
      <c r="C15" s="3" t="n">
        <v>9</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86.567301103929</v>
      </c>
      <c r="C16" s="3" t="n">
        <v>9.8</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84.0285198624626</v>
      </c>
      <c r="C17" s="3" t="n">
        <v>10</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73.2539605950831</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64.8952279113218</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48.2640425833149</v>
      </c>
      <c r="C20" s="3" t="n">
        <v>15</v>
      </c>
    </row>
    <row r="22" customFormat="false" ht="15" hidden="false" customHeight="false" outlineLevel="0" collapsed="false">
      <c r="A22" s="2" t="s">
        <v>167</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7.8</v>
      </c>
      <c r="B24" s="0" t="n">
        <f aca="false">(SUMPRODUCT(DCF_Base!$C$19:$L$19/(1+$A$24/100)^DCF_Base!$C$4:$L$4)+MAX(0,MIN(IF($A$24&gt;$B$23,DCF_Base!$L$19*(1+$B$23/100)/(($A$24-$B$23)/100),DCF_Base!$L$19*DCF_Base!$B$29),DCF_Base!$L$19*DCF_Base!$B$29))/(1+$A$24/100)^DCF_Base!$L$4+Assumptions!$B$5-Assumptions!$B$4)/Assumptions!$B$3*Assumptions!$B$10</f>
        <v>109.146271980964</v>
      </c>
      <c r="C24" s="0" t="n">
        <f aca="false">(SUMPRODUCT(DCF_Base!$C$19:$L$19/(1+$A$24/100)^DCF_Base!$C$4:$L$4)+MAX(0,MIN(IF($A$24&gt;$C$23,DCF_Base!$L$19*(1+$C$23/100)/(($A$24-$C$23)/100),DCF_Base!$L$19*DCF_Base!$B$29),DCF_Base!$L$19*DCF_Base!$B$29))/(1+$A$24/100)^DCF_Base!$L$4+Assumptions!$B$5-Assumptions!$B$4)/Assumptions!$B$3*Assumptions!$B$10</f>
        <v>110.700680098393</v>
      </c>
      <c r="D24" s="0" t="n">
        <f aca="false">(SUMPRODUCT(DCF_Base!$C$19:$L$19/(1+$A$24/100)^DCF_Base!$C$4:$L$4)+MAX(0,MIN(IF($A$24&gt;$D$23,DCF_Base!$L$19*(1+$D$23/100)/(($A$24-$D$23)/100),DCF_Base!$L$19*DCF_Base!$B$29),DCF_Base!$L$19*DCF_Base!$B$29))/(1+$A$24/100)^DCF_Base!$L$4+Assumptions!$B$5-Assumptions!$B$4)/Assumptions!$B$3*Assumptions!$B$10</f>
        <v>110.700680098393</v>
      </c>
      <c r="E24" s="0" t="n">
        <f aca="false">(SUMPRODUCT(DCF_Base!$C$19:$L$19/(1+$A$24/100)^DCF_Base!$C$4:$L$4)+MAX(0,MIN(IF($A$24&gt;$E$23,DCF_Base!$L$19*(1+$E$23/100)/(($A$24-$E$23)/100),DCF_Base!$L$19*DCF_Base!$B$29),DCF_Base!$L$19*DCF_Base!$B$29))/(1+$A$24/100)^DCF_Base!$L$4+Assumptions!$B$5-Assumptions!$B$4)/Assumptions!$B$3*Assumptions!$B$10</f>
        <v>110.700680098393</v>
      </c>
      <c r="F24" s="0" t="n">
        <f aca="false">(SUMPRODUCT(DCF_Base!$C$19:$L$19/(1+$A$24/100)^DCF_Base!$C$4:$L$4)+MAX(0,MIN(IF($A$24&gt;$F$23,DCF_Base!$L$19*(1+$F$23/100)/(($A$24-$F$23)/100),DCF_Base!$L$19*DCF_Base!$B$29),DCF_Base!$L$19*DCF_Base!$B$29))/(1+$A$24/100)^DCF_Base!$L$4+Assumptions!$B$5-Assumptions!$B$4)/Assumptions!$B$3*Assumptions!$B$10</f>
        <v>110.700680098393</v>
      </c>
    </row>
    <row r="25" customFormat="false" ht="15" hidden="false" customHeight="false" outlineLevel="0" collapsed="false">
      <c r="A25" s="3" t="n">
        <v>8.8</v>
      </c>
      <c r="B25" s="0" t="n">
        <f aca="false">(SUMPRODUCT(DCF_Base!$C$19:$L$19/(1+$A$25/100)^DCF_Base!$C$4:$L$4)+MAX(0,MIN(IF($A$25&gt;$B$23,DCF_Base!$L$19*(1+$B$23/100)/(($A$25-$B$23)/100),DCF_Base!$L$19*DCF_Base!$B$29),DCF_Base!$L$19*DCF_Base!$B$29))/(1+$A$25/100)^DCF_Base!$L$4+Assumptions!$B$5-Assumptions!$B$4)/Assumptions!$B$3*Assumptions!$B$10</f>
        <v>92.4609982087104</v>
      </c>
      <c r="C25" s="0" t="n">
        <f aca="false">(SUMPRODUCT(DCF_Base!$C$19:$L$19/(1+$A$25/100)^DCF_Base!$C$4:$L$4)+MAX(0,MIN(IF($A$25&gt;$C$23,DCF_Base!$L$19*(1+$C$23/100)/(($A$25-$C$23)/100),DCF_Base!$L$19*DCF_Base!$B$29),DCF_Base!$L$19*DCF_Base!$B$29))/(1+$A$25/100)^DCF_Base!$L$4+Assumptions!$B$5-Assumptions!$B$4)/Assumptions!$B$3*Assumptions!$B$10</f>
        <v>96.8104037139795</v>
      </c>
      <c r="D25" s="0" t="n">
        <f aca="false">(SUMPRODUCT(DCF_Base!$C$19:$L$19/(1+$A$25/100)^DCF_Base!$C$4:$L$4)+MAX(0,MIN(IF($A$25&gt;$D$23,DCF_Base!$L$19*(1+$D$23/100)/(($A$25-$D$23)/100),DCF_Base!$L$19*DCF_Base!$B$29),DCF_Base!$L$19*DCF_Base!$B$29))/(1+$A$25/100)^DCF_Base!$L$4+Assumptions!$B$5-Assumptions!$B$4)/Assumptions!$B$3*Assumptions!$B$10</f>
        <v>101.909706720157</v>
      </c>
      <c r="E25" s="0" t="n">
        <f aca="false">(SUMPRODUCT(DCF_Base!$C$19:$L$19/(1+$A$25/100)^DCF_Base!$C$4:$L$4)+MAX(0,MIN(IF($A$25&gt;$E$23,DCF_Base!$L$19*(1+$E$23/100)/(($A$25-$E$23)/100),DCF_Base!$L$19*DCF_Base!$B$29),DCF_Base!$L$19*DCF_Base!$B$29))/(1+$A$25/100)^DCF_Base!$L$4+Assumptions!$B$5-Assumptions!$B$4)/Assumptions!$B$3*Assumptions!$B$10</f>
        <v>102.736468714909</v>
      </c>
      <c r="F25" s="0" t="n">
        <f aca="false">(SUMPRODUCT(DCF_Base!$C$19:$L$19/(1+$A$25/100)^DCF_Base!$C$4:$L$4)+MAX(0,MIN(IF($A$25&gt;$F$23,DCF_Base!$L$19*(1+$F$23/100)/(($A$25-$F$23)/100),DCF_Base!$L$19*DCF_Base!$B$29),DCF_Base!$L$19*DCF_Base!$B$29))/(1+$A$25/100)^DCF_Base!$L$4+Assumptions!$B$5-Assumptions!$B$4)/Assumptions!$B$3*Assumptions!$B$10</f>
        <v>102.736468714909</v>
      </c>
    </row>
    <row r="26" customFormat="false" ht="15" hidden="false" customHeight="false" outlineLevel="0" collapsed="false">
      <c r="A26" s="3" t="n">
        <v>9.8</v>
      </c>
      <c r="B26" s="0" t="n">
        <f aca="false">(SUMPRODUCT(DCF_Base!$C$19:$L$19/(1+$A$26/100)^DCF_Base!$C$4:$L$4)+MAX(0,MIN(IF($A$26&gt;$B$23,DCF_Base!$L$19*(1+$B$23/100)/(($A$26-$B$23)/100),DCF_Base!$L$19*DCF_Base!$B$29),DCF_Base!$L$19*DCF_Base!$B$29))/(1+$A$26/100)^DCF_Base!$L$4+Assumptions!$B$5-Assumptions!$B$4)/Assumptions!$B$3*Assumptions!$B$10</f>
        <v>80.0966968412977</v>
      </c>
      <c r="C26" s="0" t="n">
        <f aca="false">(SUMPRODUCT(DCF_Base!$C$19:$L$19/(1+$A$26/100)^DCF_Base!$C$4:$L$4)+MAX(0,MIN(IF($A$26&gt;$C$23,DCF_Base!$L$19*(1+$C$23/100)/(($A$26-$C$23)/100),DCF_Base!$L$19*DCF_Base!$B$29),DCF_Base!$L$19*DCF_Base!$B$29))/(1+$A$26/100)^DCF_Base!$L$4+Assumptions!$B$5-Assumptions!$B$4)/Assumptions!$B$3*Assumptions!$B$10</f>
        <v>83.1104029362219</v>
      </c>
      <c r="D26" s="0" t="n">
        <f aca="false">(SUMPRODUCT(DCF_Base!$C$19:$L$19/(1+$A$26/100)^DCF_Base!$C$4:$L$4)+MAX(0,MIN(IF($A$26&gt;$D$23,DCF_Base!$L$19*(1+$D$23/100)/(($A$26-$D$23)/100),DCF_Base!$L$19*DCF_Base!$B$29),DCF_Base!$L$19*DCF_Base!$B$29))/(1+$A$26/100)^DCF_Base!$L$4+Assumptions!$B$5-Assumptions!$B$4)/Assumptions!$B$3*Assumptions!$B$10</f>
        <v>86.567301103929</v>
      </c>
      <c r="E26" s="0" t="n">
        <f aca="false">(SUMPRODUCT(DCF_Base!$C$19:$L$19/(1+$A$26/100)^DCF_Base!$C$4:$L$4)+MAX(0,MIN(IF($A$26&gt;$E$23,DCF_Base!$L$19*(1+$E$23/100)/(($A$26-$E$23)/100),DCF_Base!$L$19*DCF_Base!$B$29),DCF_Base!$L$19*DCF_Base!$B$29))/(1+$A$26/100)^DCF_Base!$L$4+Assumptions!$B$5-Assumptions!$B$4)/Assumptions!$B$3*Assumptions!$B$10</f>
        <v>90.5729132665103</v>
      </c>
      <c r="F26" s="0" t="n">
        <f aca="false">(SUMPRODUCT(DCF_Base!$C$19:$L$19/(1+$A$26/100)^DCF_Base!$C$4:$L$4)+MAX(0,MIN(IF($A$26&gt;$F$23,DCF_Base!$L$19*(1+$F$23/100)/(($A$26-$F$23)/100),DCF_Base!$L$19*DCF_Base!$B$29),DCF_Base!$L$19*DCF_Base!$B$29))/(1+$A$26/100)^DCF_Base!$L$4+Assumptions!$B$5-Assumptions!$B$4)/Assumptions!$B$3*Assumptions!$B$10</f>
        <v>95.2691482157435</v>
      </c>
    </row>
    <row r="27" customFormat="false" ht="15" hidden="false" customHeight="false" outlineLevel="0" collapsed="false">
      <c r="A27" s="3" t="n">
        <v>10.8</v>
      </c>
      <c r="B27" s="0" t="n">
        <f aca="false">(SUMPRODUCT(DCF_Base!$C$19:$L$19/(1+$A$27/100)^DCF_Base!$C$4:$L$4)+MAX(0,MIN(IF($A$27&gt;$B$23,DCF_Base!$L$19*(1+$B$23/100)/(($A$27-$B$23)/100),DCF_Base!$L$19*DCF_Base!$B$29),DCF_Base!$L$19*DCF_Base!$B$29))/(1+$A$27/100)^DCF_Base!$L$4+Assumptions!$B$5-Assumptions!$B$4)/Assumptions!$B$3*Assumptions!$B$10</f>
        <v>70.5775858291877</v>
      </c>
      <c r="C27" s="0" t="n">
        <f aca="false">(SUMPRODUCT(DCF_Base!$C$19:$L$19/(1+$A$27/100)^DCF_Base!$C$4:$L$4)+MAX(0,MIN(IF($A$27&gt;$C$23,DCF_Base!$L$19*(1+$C$23/100)/(($A$27-$C$23)/100),DCF_Base!$L$19*DCF_Base!$B$29),DCF_Base!$L$19*DCF_Base!$B$29))/(1+$A$27/100)^DCF_Base!$L$4+Assumptions!$B$5-Assumptions!$B$4)/Assumptions!$B$3*Assumptions!$B$10</f>
        <v>72.7428994719032</v>
      </c>
      <c r="D27" s="0" t="n">
        <f aca="false">(SUMPRODUCT(DCF_Base!$C$19:$L$19/(1+$A$27/100)^DCF_Base!$C$4:$L$4)+MAX(0,MIN(IF($A$27&gt;$D$23,DCF_Base!$L$19*(1+$D$23/100)/(($A$27-$D$23)/100),DCF_Base!$L$19*DCF_Base!$B$29),DCF_Base!$L$19*DCF_Base!$B$29))/(1+$A$27/100)^DCF_Base!$L$4+Assumptions!$B$5-Assumptions!$B$4)/Assumptions!$B$3*Assumptions!$B$10</f>
        <v>75.1858174277874</v>
      </c>
      <c r="E27" s="0" t="n">
        <f aca="false">(SUMPRODUCT(DCF_Base!$C$19:$L$19/(1+$A$27/100)^DCF_Base!$C$4:$L$4)+MAX(0,MIN(IF($A$27&gt;$E$23,DCF_Base!$L$19*(1+$E$23/100)/(($A$27-$E$23)/100),DCF_Base!$L$19*DCF_Base!$B$29),DCF_Base!$L$19*DCF_Base!$B$29))/(1+$A$27/100)^DCF_Base!$L$4+Assumptions!$B$5-Assumptions!$B$4)/Assumptions!$B$3*Assumptions!$B$10</f>
        <v>77.9633816789981</v>
      </c>
      <c r="F27" s="0" t="n">
        <f aca="false">(SUMPRODUCT(DCF_Base!$C$19:$L$19/(1+$A$27/100)^DCF_Base!$C$4:$L$4)+MAX(0,MIN(IF($A$27&gt;$F$23,DCF_Base!$L$19*(1+$F$23/100)/(($A$27-$F$23)/100),DCF_Base!$L$19*DCF_Base!$B$29),DCF_Base!$L$19*DCF_Base!$B$29))/(1+$A$27/100)^DCF_Base!$L$4+Assumptions!$B$5-Assumptions!$B$4)/Assumptions!$B$3*Assumptions!$B$10</f>
        <v>81.1494112612693</v>
      </c>
    </row>
    <row r="28" customFormat="false" ht="15" hidden="false" customHeight="false" outlineLevel="0" collapsed="false">
      <c r="A28" s="3" t="n">
        <v>11.8</v>
      </c>
      <c r="B28" s="0" t="n">
        <f aca="false">(SUMPRODUCT(DCF_Base!$C$19:$L$19/(1+$A$28/100)^DCF_Base!$C$4:$L$4)+MAX(0,MIN(IF($A$28&gt;$B$23,DCF_Base!$L$19*(1+$B$23/100)/(($A$28-$B$23)/100),DCF_Base!$L$19*DCF_Base!$B$29),DCF_Base!$L$19*DCF_Base!$B$29))/(1+$A$28/100)^DCF_Base!$L$4+Assumptions!$B$5-Assumptions!$B$4)/Assumptions!$B$3*Assumptions!$B$10</f>
        <v>63.0304492815153</v>
      </c>
      <c r="C28" s="0" t="n">
        <f aca="false">(SUMPRODUCT(DCF_Base!$C$19:$L$19/(1+$A$28/100)^DCF_Base!$C$4:$L$4)+MAX(0,MIN(IF($A$28&gt;$C$23,DCF_Base!$L$19*(1+$C$23/100)/(($A$28-$C$23)/100),DCF_Base!$L$19*DCF_Base!$B$29),DCF_Base!$L$19*DCF_Base!$B$29))/(1+$A$28/100)^DCF_Base!$L$4+Assumptions!$B$5-Assumptions!$B$4)/Assumptions!$B$3*Assumptions!$B$10</f>
        <v>64.6309437004684</v>
      </c>
      <c r="D28" s="0" t="n">
        <f aca="false">(SUMPRODUCT(DCF_Base!$C$19:$L$19/(1+$A$28/100)^DCF_Base!$C$4:$L$4)+MAX(0,MIN(IF($A$28&gt;$D$23,DCF_Base!$L$19*(1+$D$23/100)/(($A$28-$D$23)/100),DCF_Base!$L$19*DCF_Base!$B$29),DCF_Base!$L$19*DCF_Base!$B$29))/(1+$A$28/100)^DCF_Base!$L$4+Assumptions!$B$5-Assumptions!$B$4)/Assumptions!$B$3*Assumptions!$B$10</f>
        <v>66.4133124852115</v>
      </c>
      <c r="E28" s="0" t="n">
        <f aca="false">(SUMPRODUCT(DCF_Base!$C$19:$L$19/(1+$A$28/100)^DCF_Base!$C$4:$L$4)+MAX(0,MIN(IF($A$28&gt;$E$23,DCF_Base!$L$19*(1+$E$23/100)/(($A$28-$E$23)/100),DCF_Base!$L$19*DCF_Base!$B$29),DCF_Base!$L$19*DCF_Base!$B$29))/(1+$A$28/100)^DCF_Base!$L$4+Assumptions!$B$5-Assumptions!$B$4)/Assumptions!$B$3*Assumptions!$B$10</f>
        <v>68.4104244970321</v>
      </c>
      <c r="F28" s="0" t="n">
        <f aca="false">(SUMPRODUCT(DCF_Base!$C$19:$L$19/(1+$A$28/100)^DCF_Base!$C$4:$L$4)+MAX(0,MIN(IF($A$28&gt;$F$23,DCF_Base!$L$19*(1+$F$23/100)/(($A$28-$F$23)/100),DCF_Base!$L$19*DCF_Base!$B$29),DCF_Base!$L$19*DCF_Base!$B$29))/(1+$A$28/100)^DCF_Base!$L$4+Assumptions!$B$5-Assumptions!$B$4)/Assumptions!$B$3*Assumptions!$B$10</f>
        <v>70.6635765103682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2026-10-03T21:26:19Z</dcterms:created>
  <dc:creator>openpyxl</dc:creator>
  <dc:description/>
  <dc:language>en-NZ</dc:language>
  <cp:lastModifiedBy/>
  <dcterms:modified xsi:type="dcterms:W3CDTF">2026-10-03T21:26:19Z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