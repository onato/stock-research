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<sst xmlns="http://schemas.openxmlformats.org/spreadsheetml/2006/main" count="364" uniqueCount="169">
  <si>
    <t xml:space="preserve">Ticker</t>
  </si>
  <si>
    <t xml:space="preserve">4452.T</t>
  </si>
  <si>
    <t xml:space="preserve">Company</t>
  </si>
  <si>
    <t xml:space="preserve">Kao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</si>
  <si>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</si>
  <si>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</si>
  <si>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</si>
  <si>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</si>
  <si>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JST, 2026-10-30)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</si>
  <si>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</si>
  <si>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</si>
  <si>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</si>
  <si>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</si>
  <si>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</si>
  <si>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</si>
  <si>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</si>
  <si>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</si>
  <si>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</si>
  <si>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</si>
  <si>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</si>
  <si>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</si>
  <si>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2026-10-31T02:10:54Z</t>
  </si>
  <si>
    <t xml:space="preserve">Drivers file</t>
  </si>
  <si>
    <t xml:space="preserve">4452.T_Drivers.json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</si>
  <si>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</si>
  <si>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</si>
  <si>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</si>
  <si>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JPY-built 7% WACC with risk carried in three scenario paths rather than the discount rate. SBC is immaterial so house and street coincide; leases are charged as operating cost (treatment B) and excluded from net debt; NCI deducted once at book; interest income stripped and the JPY194bn net cash added once in the bridge. Terminal value is the lower of Gordon and 20x year-10 FCF; at 7%/1.5% Gordon (~18.5x) binds.
key_risks_to_valuation: Margin path: each 1pp of terminal EBITDA margin is worth roughly JPY180-200/share; the base assumes 17% against a 14.8% FY2025 actual and a 19.6% FY2019 peak; Raw-material (palm oil, petrochemical) and tariff cost cycles with lagged price pass-through, the mechanism behind the FY2021-23 margin collapse; Cosmetics reform execution: the 2030+ JPY400bn / 15% OI target is not in the base and is the main bull driver; China demand and local-brand competition in Merries and Cosmetics; JPY translation of the ~43% overseas sales base; WACC built in JPY so a weaker yen flatters flows but not the discount rate; Terminal-value share of EV is high (~60%) for a low-growth, low-WACC staple, so the valuation is sensitive to the WACC/g pair; see sensitivity grid; Unmodelled: investment securities and cross-shareholdings are not in the bridge (modest upside); the FY2026 overlap between FY0 flows and the June-2026 balance sheet is immaterial because net cash was flat</t>
  </si>
  <si>
    <t xml:space="preserve">Data sources</t>
  </si>
  <si>
    <t xml:space="preserve">price: Yahoo Finance chart API regular close at inputs.price_as_of; 52-week range 2,880-3,880 JPY
financials: 4452.T_Metrics.csv / DuckDB core_metrics and kpis adjudicated from the FY2016-FY2025 annual securities reports and H1 FY2026 tanshin (IFRS, JPY millions); lease, NCI and buyback lines read directly from 4452.T_Annual_FY2025.txt (cash-flow statement, notes 17 and 22) and 4452.T_HalfYear_H1-2026.txt (share counts restated for the 2026-07-01 split)
qualitative: 4452.T_Analysis.json (2026-10-31): K27 mid-term plan, September-2025 Cosmetics strategy, August-2026 raised FY2026 guidance, risk factors</t>
  </si>
  <si>
    <t xml:space="preserve">Scenario narrative: bear</t>
  </si>
  <si>
    <t xml:space="preserve">Raw-material and tariff cost inflation outruns pricing (as in FY2021-22, when EBITDA margin fell from 18.9% to 12.9%), Japanese volumes soften under consumer price sensitivity, China sanitary and cosmetics demand keeps eroding to local brands, and the Cosmetics reform stalls at break-even. EBITDA margin settles at 13.5%, revenue grows ~1% nominal, terminal growth 1%. Balance sheet unimpaired; the downside is a de-rating of a 25x-earnings staple, not distress.</t>
  </si>
  <si>
    <t xml:space="preserve">Scenario narrative: base</t>
  </si>
  <si>
    <t xml:space="preserve">K27 keeps delivering what it has since FY2024: price/mix in Fabric &amp; Home Care, a Cosmetics business that is profitable again (OI JPY10.4bn FY2025 from -3.7bn) but still well short of its 2030+ ambitions, and a Chemical business tracking industrial demand. Revenue follows the raised FY2026 guidance then compounds 2-4% on price/mix; EBITDA margin climbs from 14.8% to 17% over seven years (OI margin ~12%), short of the FY2019 peak. Capex and lease spend hold at ~5.5% of revenue combined; the JPY194bn net cash funds buybacks that keep the count flat.</t>
  </si>
  <si>
    <t xml:space="preserve">Scenario narrative: bull</t>
  </si>
  <si>
    <t xml:space="preserve">The September-2025 Cosmetics overhaul under Uchiyama repeats her Hair Care turnaround: SENSAI, Molton Brown, Kanebo, Sofina, Curel and KATE scale internationally, ASEAN/India expansion lands, and group EBITDA margin returns to the ~19.5% FY2019 level by year 10 while revenue compounds 4-5% for five years. Chemical specialty mix adds a point of margin. Terminal growth 2% reflects a larger overseas 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</si>
  <si>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</si>
  <si>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</si>
  <si>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</si>
  <si>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</si>
  <si>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</si>
  <si>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</si>
  <si>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</si>
  <si>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</si>
  <si>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</si>
  <si>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</si>
  <si>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</si>
  <si>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</si>
  <si>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</si>
  <si>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</si>
  <si>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</si>
  <si>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</si>
  <si>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</si>
  <si>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</si>
  <si>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</si>
  <si>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</si>
  <si>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</si>
  <si>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</si>
  <si>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</si>
  <si>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</si>
  <si>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</si>
  <si>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</si>
  <si>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</si>
  <si>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SegmentOperatingProfitConsumerProducts</t>
  </si>
  <si>
    <t xml:space="preserve">SegmentRevenueBeautyCare</t>
  </si>
  <si>
    <t xml:space="preserve">SegmentRevenueConsumerProducts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</si>
  <si>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</si>
  <si>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</si>
  <si>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</si>
  <si>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</si>
  <si>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</si>
  <si>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</si>
  <si>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</si>
  <si>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</si>
  <si>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</si>
  <si>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</si>
  <si>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</si>
  <si>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</si>
  <si>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</si>
  <si>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</si>
  <si>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</si>
  <si>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</si>
  <si>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</si>
  <si>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</si>
  <si>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</si>
  <si>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</si>
  <si>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</si>
  <si>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</si>
  <si>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</si>
  <si>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</si>
  <si>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</si>
  <si>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</si>
  <si>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</si>
  <si>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</si>
  <si>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</si>
  <si>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</si>
  <si>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</si>
  <si>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</si>
  <si>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</si>
  <si>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</si>
  <si>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</si>
  <si>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</si>
  <si>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</si>
  <si>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</si>
  <si>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</si>
  <si>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</si>
  <si>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</si>
  <si>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</si>
  <si>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</si>
  <si>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</si>
  <si>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</si>
  <si>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</si>
  <si>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</si>
  <si>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</si>
  <si>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4452.T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</si>
  <si>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</si>
  <si>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</si>
  <si>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</si>
  <si>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</si>
  <si>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</si>
  <si>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</si>
  <si>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</si>
  <si>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</si>
  <si>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</si>
  <si>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</si>
  <si>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</si>
  <si>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</si>
  <si>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</si>
  <si>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</si>
  <si>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</si>
  <si>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</si>
  <si>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</si>
  <si>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</si>
  <si>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</si>
  <si>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</si>
  <si>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</si>
  <si>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</si>
  <si>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</si>
  <si>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</si>
  <si>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</si>
  <si>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</si>
  <si>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</si>
  <si>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</si>
  <si>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</si>
  <si>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</si>
  <si>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4452.T owner-FCF component DCF: base case (millions, JPY)</t>
  </si>
  <si>
    <t xml:space="preserve">4452.T owner-FCF component DCF: bull case (millions, JPY)</t>
  </si>
  <si>
    <t xml:space="preserve">4452.T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</si>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</sst>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1457610</v>
      </c>
      <c r="C2" s="0" t="n">
        <v>637502</v>
      </c>
      <c r="D2" s="0" t="n">
        <v>820108</v>
      </c>
      <c r="E2" s="0" t="n">
        <v>56.3</v>
      </c>
      <c r="F2" s="0" t="n">
        <v>185571</v>
      </c>
      <c r="G2" s="0" t="n">
        <v>12.7</v>
      </c>
      <c r="H2" s="0" t="n">
        <v>236687</v>
      </c>
      <c r="I2" s="0" t="n">
        <v>126551</v>
      </c>
      <c r="J2" s="0" t="n">
        <v>8.7</v>
      </c>
      <c r="K2" s="0" t="n">
        <v>253.18</v>
      </c>
      <c r="L2" s="0" t="n">
        <v>184307</v>
      </c>
      <c r="M2" s="0" t="n">
        <v>79697</v>
      </c>
      <c r="N2" s="0" t="n">
        <v>104610</v>
      </c>
      <c r="O2" s="0" t="n">
        <v>679842</v>
      </c>
      <c r="P2" s="0" t="n">
        <v>1338309</v>
      </c>
      <c r="Q2" s="0" t="n">
        <v>646846</v>
      </c>
      <c r="R2" s="0" t="n">
        <v>120646</v>
      </c>
      <c r="S2" s="0" t="n">
        <v>303026</v>
      </c>
      <c r="T2" s="0" t="n">
        <v>499.353</v>
      </c>
      <c r="U2" s="0" t="n">
        <v>227</v>
      </c>
      <c r="V2" s="0" t="n">
        <v>94</v>
      </c>
      <c r="AA2" s="0" t="s">
        <v>17</v>
      </c>
      <c r="AB2" s="0" t="s">
        <v>14</v>
      </c>
      <c r="AC2" s="0" t="n">
        <v>155100</v>
      </c>
      <c r="AD2" s="0" t="n">
        <v>601600</v>
      </c>
      <c r="AE2" s="0" t="n">
        <v>1219800</v>
      </c>
      <c r="AF2" s="0" t="n">
        <v>691463</v>
      </c>
    </row>
    <row r="3" customFormat="false" ht="15" hidden="false" customHeight="false" outlineLevel="0" collapsed="false">
      <c r="A3" s="0" t="s">
        <v>68</v>
      </c>
      <c r="B3" s="0" t="n">
        <v>1489421</v>
      </c>
      <c r="C3" s="0" t="n">
        <v>834107</v>
      </c>
      <c r="D3" s="0" t="n">
        <v>655314</v>
      </c>
      <c r="E3" s="0" t="n">
        <v>44</v>
      </c>
      <c r="F3" s="0" t="n">
        <v>204791</v>
      </c>
      <c r="G3" s="0" t="n">
        <v>13.7</v>
      </c>
      <c r="H3" s="0" t="n">
        <v>259299</v>
      </c>
      <c r="I3" s="0" t="n">
        <v>147010</v>
      </c>
      <c r="J3" s="0" t="n">
        <v>9.9</v>
      </c>
      <c r="K3" s="0" t="n">
        <v>298.09</v>
      </c>
      <c r="L3" s="0" t="n">
        <v>185845</v>
      </c>
      <c r="M3" s="0" t="n">
        <v>89936</v>
      </c>
      <c r="N3" s="0" t="n">
        <v>95909</v>
      </c>
      <c r="O3" s="0" t="n">
        <v>806381</v>
      </c>
      <c r="P3" s="0" t="n">
        <v>1427375</v>
      </c>
      <c r="Q3" s="0" t="n">
        <v>608011</v>
      </c>
      <c r="R3" s="0" t="n">
        <v>120584</v>
      </c>
      <c r="S3" s="0" t="n">
        <v>343076</v>
      </c>
      <c r="T3" s="0" t="n">
        <v>492.826</v>
      </c>
      <c r="U3" s="0" t="n">
        <v>332</v>
      </c>
      <c r="V3" s="0" t="n">
        <v>110</v>
      </c>
      <c r="AA3" s="0" t="s">
        <v>17</v>
      </c>
      <c r="AB3" s="0" t="s">
        <v>14</v>
      </c>
      <c r="AC3" s="0" t="n">
        <v>172300</v>
      </c>
      <c r="AD3" s="0" t="n">
        <v>586000</v>
      </c>
      <c r="AE3" s="0" t="n">
        <v>1216000</v>
      </c>
      <c r="AF3" s="0" t="n">
        <v>819364</v>
      </c>
    </row>
    <row r="4" customFormat="false" ht="15" hidden="false" customHeight="false" outlineLevel="0" collapsed="false">
      <c r="A4" s="0" t="s">
        <v>69</v>
      </c>
      <c r="B4" s="0" t="n">
        <v>1508007</v>
      </c>
      <c r="C4" s="0" t="n">
        <v>853989</v>
      </c>
      <c r="D4" s="0" t="n">
        <v>654018</v>
      </c>
      <c r="E4" s="0" t="n">
        <v>43.4</v>
      </c>
      <c r="F4" s="0" t="n">
        <v>207703</v>
      </c>
      <c r="G4" s="0" t="n">
        <v>13.8</v>
      </c>
      <c r="H4" s="0" t="n">
        <v>268365</v>
      </c>
      <c r="I4" s="0" t="n">
        <v>153698</v>
      </c>
      <c r="J4" s="0" t="n">
        <v>10.2</v>
      </c>
      <c r="K4" s="0" t="n">
        <v>314.12</v>
      </c>
      <c r="L4" s="0" t="n">
        <v>195610</v>
      </c>
      <c r="M4" s="0" t="n">
        <v>87998</v>
      </c>
      <c r="N4" s="0" t="n">
        <v>107612</v>
      </c>
      <c r="O4" s="0" t="n">
        <v>822360</v>
      </c>
      <c r="P4" s="0" t="n">
        <v>1460986</v>
      </c>
      <c r="Q4" s="0" t="n">
        <v>625477</v>
      </c>
      <c r="R4" s="0" t="n">
        <v>120827</v>
      </c>
      <c r="S4" s="0" t="n">
        <v>265978</v>
      </c>
      <c r="T4" s="0" t="n">
        <v>489.095</v>
      </c>
      <c r="U4" s="0" t="n">
        <v>364</v>
      </c>
      <c r="V4" s="0" t="n">
        <v>120</v>
      </c>
      <c r="AA4" s="0" t="s">
        <v>17</v>
      </c>
      <c r="AB4" s="0" t="s">
        <v>14</v>
      </c>
      <c r="AC4" s="0" t="n">
        <v>175700</v>
      </c>
      <c r="AE4" s="0" t="n">
        <v>1232900</v>
      </c>
      <c r="AF4" s="0" t="n">
        <v>835509</v>
      </c>
    </row>
    <row r="5" customFormat="false" ht="15" hidden="false" customHeight="false" outlineLevel="0" collapsed="false">
      <c r="A5" s="0" t="s">
        <v>70</v>
      </c>
      <c r="B5" s="0" t="n">
        <v>1502241</v>
      </c>
      <c r="C5" s="0" t="n">
        <v>848723</v>
      </c>
      <c r="D5" s="0" t="n">
        <v>653518</v>
      </c>
      <c r="E5" s="0" t="n">
        <v>43.5</v>
      </c>
      <c r="F5" s="0" t="n">
        <v>211723</v>
      </c>
      <c r="G5" s="0" t="n">
        <v>14.1</v>
      </c>
      <c r="H5" s="0" t="n">
        <v>295092</v>
      </c>
      <c r="I5" s="0" t="n">
        <v>148213</v>
      </c>
      <c r="J5" s="0" t="n">
        <v>9.9</v>
      </c>
      <c r="K5" s="0" t="n">
        <v>306.63</v>
      </c>
      <c r="L5" s="0" t="n">
        <v>244523</v>
      </c>
      <c r="M5" s="0" t="n">
        <v>93778</v>
      </c>
      <c r="N5" s="0" t="n">
        <v>150745</v>
      </c>
      <c r="O5" s="0" t="n">
        <v>857695</v>
      </c>
      <c r="P5" s="0" t="n">
        <v>1653919</v>
      </c>
      <c r="Q5" s="0" t="n">
        <v>782498</v>
      </c>
      <c r="R5" s="0" t="n">
        <v>127141</v>
      </c>
      <c r="S5" s="0" t="n">
        <v>289681</v>
      </c>
      <c r="T5" s="0" t="n">
        <v>483.251</v>
      </c>
      <c r="U5" s="0" t="n">
        <v>337</v>
      </c>
      <c r="V5" s="0" t="n">
        <v>130</v>
      </c>
      <c r="AA5" s="0" t="s">
        <v>17</v>
      </c>
      <c r="AB5" s="0" t="s">
        <v>14</v>
      </c>
      <c r="AC5" s="0" t="n">
        <v>179900</v>
      </c>
      <c r="AE5" s="0" t="n">
        <v>1257000</v>
      </c>
      <c r="AF5" s="0" t="n">
        <v>871421</v>
      </c>
    </row>
    <row r="6" customFormat="false" ht="15" hidden="false" customHeight="false" outlineLevel="0" collapsed="false">
      <c r="A6" s="0" t="s">
        <v>71</v>
      </c>
      <c r="B6" s="0" t="n">
        <v>1381997</v>
      </c>
      <c r="C6" s="0" t="n">
        <v>791304</v>
      </c>
      <c r="D6" s="0" t="n">
        <v>590693</v>
      </c>
      <c r="E6" s="0" t="n">
        <v>42.7</v>
      </c>
      <c r="F6" s="0" t="n">
        <v>175563</v>
      </c>
      <c r="G6" s="0" t="n">
        <v>12.7</v>
      </c>
      <c r="H6" s="0" t="n">
        <v>261643</v>
      </c>
      <c r="I6" s="0" t="n">
        <v>126142</v>
      </c>
      <c r="J6" s="0" t="n">
        <v>9.1</v>
      </c>
      <c r="K6" s="0" t="n">
        <v>262.25</v>
      </c>
      <c r="L6" s="0" t="n">
        <v>214718</v>
      </c>
      <c r="M6" s="0" t="n">
        <v>69850</v>
      </c>
      <c r="N6" s="0" t="n">
        <v>144868</v>
      </c>
      <c r="O6" s="0" t="n">
        <v>923687</v>
      </c>
      <c r="P6" s="0" t="n">
        <v>1665616</v>
      </c>
      <c r="Q6" s="0" t="n">
        <v>727422</v>
      </c>
      <c r="R6" s="0" t="n">
        <v>127694</v>
      </c>
      <c r="S6" s="0" t="n">
        <v>353176</v>
      </c>
      <c r="T6" s="0" t="n">
        <v>480.926</v>
      </c>
      <c r="U6" s="0" t="n">
        <v>-394</v>
      </c>
      <c r="V6" s="0" t="n">
        <v>140</v>
      </c>
      <c r="AA6" s="0" t="s">
        <v>17</v>
      </c>
      <c r="AB6" s="0" t="s">
        <v>14</v>
      </c>
      <c r="AC6" s="0" t="n">
        <v>147200</v>
      </c>
      <c r="AE6" s="0" t="n">
        <v>1151300</v>
      </c>
      <c r="AF6" s="0" t="n">
        <v>938194</v>
      </c>
    </row>
    <row r="7" customFormat="false" ht="15" hidden="false" customHeight="false" outlineLevel="0" collapsed="false">
      <c r="A7" s="0" t="s">
        <v>72</v>
      </c>
      <c r="B7" s="0" t="n">
        <v>1418768</v>
      </c>
      <c r="C7" s="0" t="n">
        <v>845574</v>
      </c>
      <c r="D7" s="0" t="n">
        <v>573194</v>
      </c>
      <c r="E7" s="0" t="n">
        <v>40.4</v>
      </c>
      <c r="F7" s="0" t="n">
        <v>143510</v>
      </c>
      <c r="G7" s="0" t="n">
        <v>10.1</v>
      </c>
      <c r="H7" s="0" t="n">
        <v>230851</v>
      </c>
      <c r="I7" s="0" t="n">
        <v>109636</v>
      </c>
      <c r="J7" s="0" t="n">
        <v>7.7</v>
      </c>
      <c r="K7" s="0" t="n">
        <v>230.57</v>
      </c>
      <c r="L7" s="0" t="n">
        <v>175524</v>
      </c>
      <c r="M7" s="0" t="n">
        <v>71519</v>
      </c>
      <c r="N7" s="0" t="n">
        <v>104005</v>
      </c>
      <c r="O7" s="0" t="n">
        <v>965137</v>
      </c>
      <c r="P7" s="0" t="n">
        <v>1704007</v>
      </c>
      <c r="Q7" s="0" t="n">
        <v>720130</v>
      </c>
      <c r="R7" s="0" t="n">
        <v>127737</v>
      </c>
      <c r="S7" s="0" t="n">
        <v>336069</v>
      </c>
      <c r="T7" s="0" t="n">
        <v>475.459</v>
      </c>
      <c r="U7" s="0" t="n">
        <v>370</v>
      </c>
      <c r="V7" s="0" t="n">
        <v>144</v>
      </c>
      <c r="AA7" s="0" t="s">
        <v>17</v>
      </c>
      <c r="AB7" s="0" t="s">
        <v>14</v>
      </c>
      <c r="AC7" s="0" t="n">
        <v>112600</v>
      </c>
      <c r="AE7" s="0" t="n">
        <v>1143700</v>
      </c>
      <c r="AF7" s="0" t="n">
        <v>983877</v>
      </c>
    </row>
    <row r="8" customFormat="false" ht="15" hidden="false" customHeight="false" outlineLevel="0" collapsed="false">
      <c r="A8" s="0" t="s">
        <v>73</v>
      </c>
      <c r="B8" s="0" t="n">
        <v>1551059</v>
      </c>
      <c r="C8" s="0" t="n">
        <v>1002717</v>
      </c>
      <c r="D8" s="0" t="n">
        <v>548342</v>
      </c>
      <c r="E8" s="0" t="n">
        <v>35.4</v>
      </c>
      <c r="F8" s="0" t="n">
        <v>110071</v>
      </c>
      <c r="G8" s="0" t="n">
        <v>7.1</v>
      </c>
      <c r="H8" s="0" t="n">
        <v>199809</v>
      </c>
      <c r="I8" s="0" t="n">
        <v>86038</v>
      </c>
      <c r="J8" s="0" t="n">
        <v>5.5</v>
      </c>
      <c r="K8" s="0" t="n">
        <v>183.27</v>
      </c>
      <c r="L8" s="0" t="n">
        <v>130905</v>
      </c>
      <c r="M8" s="0" t="n">
        <v>77201</v>
      </c>
      <c r="N8" s="0" t="n">
        <v>53704</v>
      </c>
      <c r="O8" s="0" t="n">
        <v>972061</v>
      </c>
      <c r="P8" s="0" t="n">
        <v>1726350</v>
      </c>
      <c r="Q8" s="0" t="n">
        <v>730966</v>
      </c>
      <c r="R8" s="0" t="n">
        <v>127836</v>
      </c>
      <c r="S8" s="0" t="n">
        <v>268248</v>
      </c>
      <c r="T8" s="0" t="n">
        <v>469.435</v>
      </c>
      <c r="U8" s="0" t="n">
        <v>384</v>
      </c>
      <c r="V8" s="0" t="n">
        <v>148</v>
      </c>
      <c r="AA8" s="0" t="s">
        <v>17</v>
      </c>
      <c r="AB8" s="0" t="s">
        <v>14</v>
      </c>
      <c r="AC8" s="0" t="n">
        <v>79300</v>
      </c>
      <c r="AE8" s="0" t="n">
        <v>1193300</v>
      </c>
      <c r="AF8" s="0" t="n">
        <v>995384</v>
      </c>
    </row>
    <row r="9" customFormat="false" ht="15" hidden="false" customHeight="false" outlineLevel="0" collapsed="false">
      <c r="A9" s="0" t="s">
        <v>74</v>
      </c>
      <c r="B9" s="0" t="n">
        <v>1532579</v>
      </c>
      <c r="C9" s="0" t="n">
        <v>972152</v>
      </c>
      <c r="D9" s="0" t="n">
        <v>560427</v>
      </c>
      <c r="E9" s="0" t="n">
        <v>36.6</v>
      </c>
      <c r="F9" s="0" t="n">
        <v>60035</v>
      </c>
      <c r="G9" s="0" t="n">
        <v>3.9</v>
      </c>
      <c r="H9" s="0" t="n">
        <v>149630</v>
      </c>
      <c r="I9" s="0" t="n">
        <v>43870</v>
      </c>
      <c r="J9" s="0" t="n">
        <v>2.9</v>
      </c>
      <c r="K9" s="0" t="n">
        <v>94.37</v>
      </c>
      <c r="L9" s="0" t="n">
        <v>202481</v>
      </c>
      <c r="M9" s="0" t="n">
        <v>66447</v>
      </c>
      <c r="N9" s="0" t="n">
        <v>136034</v>
      </c>
      <c r="O9" s="0" t="n">
        <v>983658</v>
      </c>
      <c r="P9" s="0" t="n">
        <v>1769746</v>
      </c>
      <c r="Q9" s="0" t="n">
        <v>757703</v>
      </c>
      <c r="R9" s="0" t="n">
        <v>138480</v>
      </c>
      <c r="S9" s="0" t="n">
        <v>291663</v>
      </c>
      <c r="T9" s="0" t="n">
        <v>464.872</v>
      </c>
      <c r="U9" s="0" t="n">
        <v>200</v>
      </c>
      <c r="V9" s="0" t="n">
        <v>150</v>
      </c>
      <c r="AA9" s="0" t="s">
        <v>17</v>
      </c>
      <c r="AB9" s="0" t="s">
        <v>14</v>
      </c>
      <c r="AE9" s="0" t="n">
        <v>1210300</v>
      </c>
      <c r="AF9" s="0" t="n">
        <v>1012043</v>
      </c>
    </row>
    <row r="10" customFormat="false" ht="15" hidden="false" customHeight="false" outlineLevel="0" collapsed="false">
      <c r="A10" s="0" t="s">
        <v>75</v>
      </c>
      <c r="B10" s="0" t="n">
        <v>1628448</v>
      </c>
      <c r="C10" s="0" t="n">
        <v>990044</v>
      </c>
      <c r="D10" s="0" t="n">
        <v>638404</v>
      </c>
      <c r="E10" s="0" t="n">
        <v>39.2</v>
      </c>
      <c r="F10" s="0" t="n">
        <v>146644</v>
      </c>
      <c r="G10" s="0" t="n">
        <v>9</v>
      </c>
      <c r="H10" s="0" t="n">
        <v>235066</v>
      </c>
      <c r="I10" s="0" t="n">
        <v>107767</v>
      </c>
      <c r="J10" s="0" t="n">
        <v>6.6</v>
      </c>
      <c r="K10" s="0" t="n">
        <v>231.94</v>
      </c>
      <c r="L10" s="0" t="n">
        <v>201585</v>
      </c>
      <c r="M10" s="0" t="n">
        <v>67476</v>
      </c>
      <c r="N10" s="0" t="n">
        <v>134109</v>
      </c>
      <c r="O10" s="0" t="n">
        <v>1066776</v>
      </c>
      <c r="P10" s="0" t="n">
        <v>1867237</v>
      </c>
      <c r="Q10" s="0" t="n">
        <v>768402</v>
      </c>
      <c r="R10" s="0" t="n">
        <v>131059</v>
      </c>
      <c r="S10" s="0" t="n">
        <v>357713</v>
      </c>
      <c r="T10" s="0" t="n">
        <v>464.633</v>
      </c>
      <c r="U10" s="0" t="n">
        <v>653</v>
      </c>
      <c r="V10" s="0" t="n">
        <v>152</v>
      </c>
      <c r="AA10" s="0" t="s">
        <v>17</v>
      </c>
      <c r="AB10" s="0" t="s">
        <v>14</v>
      </c>
      <c r="AC10" s="0" t="n">
        <v>111700</v>
      </c>
      <c r="AE10" s="0" t="n">
        <v>1252800</v>
      </c>
      <c r="AF10" s="0" t="n">
        <v>1098835</v>
      </c>
    </row>
    <row r="11" customFormat="false" ht="15" hidden="false" customHeight="false" outlineLevel="0" collapsed="false">
      <c r="A11" s="0" t="s">
        <v>76</v>
      </c>
      <c r="B11" s="0" t="n">
        <v>1688633</v>
      </c>
      <c r="C11" s="0" t="n">
        <v>1020464</v>
      </c>
      <c r="D11" s="0" t="n">
        <v>668169</v>
      </c>
      <c r="E11" s="0" t="n">
        <v>39.6</v>
      </c>
      <c r="F11" s="0" t="n">
        <v>164069</v>
      </c>
      <c r="G11" s="0" t="n">
        <v>9.7</v>
      </c>
      <c r="H11" s="0" t="n">
        <v>249910</v>
      </c>
      <c r="I11" s="0" t="n">
        <v>120081</v>
      </c>
      <c r="J11" s="0" t="n">
        <v>7.1</v>
      </c>
      <c r="K11" s="0" t="n">
        <v>260.3</v>
      </c>
      <c r="L11" s="0" t="n">
        <v>199680</v>
      </c>
      <c r="M11" s="0" t="n">
        <v>70845</v>
      </c>
      <c r="N11" s="0" t="n">
        <v>128835</v>
      </c>
      <c r="O11" s="0" t="n">
        <v>1064077</v>
      </c>
      <c r="P11" s="0" t="n">
        <v>1875054</v>
      </c>
      <c r="Q11" s="0" t="n">
        <v>780354</v>
      </c>
      <c r="R11" s="0" t="n">
        <v>131658</v>
      </c>
      <c r="S11" s="0" t="n">
        <v>323282</v>
      </c>
      <c r="T11" s="0" t="n">
        <v>461.318</v>
      </c>
      <c r="U11" s="0" t="n">
        <v>641</v>
      </c>
      <c r="V11" s="0" t="n">
        <v>154</v>
      </c>
      <c r="AA11" s="0" t="s">
        <v>17</v>
      </c>
      <c r="AB11" s="0" t="s">
        <v>14</v>
      </c>
      <c r="AC11" s="0" t="n">
        <v>133100</v>
      </c>
      <c r="AE11" s="0" t="n">
        <v>1283000</v>
      </c>
      <c r="AF11" s="0" t="n">
        <v>1094700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3747</v>
      </c>
    </row>
    <row r="3" customFormat="false" ht="15" hidden="false" customHeight="false" outlineLevel="0" collapsed="false">
      <c r="A3" s="0" t="s">
        <v>80</v>
      </c>
      <c r="B3" s="3" t="n">
        <v>904.758</v>
      </c>
    </row>
    <row r="4" customFormat="false" ht="15" hidden="false" customHeight="false" outlineLevel="0" collapsed="false">
      <c r="A4" s="0" t="s">
        <v>81</v>
      </c>
      <c r="B4" s="3" t="n">
        <v>-194347</v>
      </c>
    </row>
    <row r="5" customFormat="false" ht="15" hidden="false" customHeight="false" outlineLevel="0" collapsed="false">
      <c r="A5" s="0" t="s">
        <v>82</v>
      </c>
      <c r="B5" s="3" t="n">
        <v>-30091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1688633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6</v>
      </c>
      <c r="D13" s="3" t="n">
        <v>1.5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101</v>
      </c>
      <c r="C14" s="3" t="n">
        <v>15.2</v>
      </c>
      <c r="D14" s="3" t="n">
        <v>14.5</v>
      </c>
      <c r="E14" s="3" t="n">
        <v>14</v>
      </c>
      <c r="F14" s="3" t="n">
        <v>13.8</v>
      </c>
      <c r="G14" s="3" t="n">
        <v>13.6</v>
      </c>
      <c r="H14" s="3" t="n">
        <v>13.5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102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103</v>
      </c>
      <c r="C16" s="3" t="n">
        <v>1.4</v>
      </c>
      <c r="D16" s="3" t="n">
        <v>1.4</v>
      </c>
      <c r="E16" s="3" t="n">
        <v>1.4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104</v>
      </c>
      <c r="C17" s="3" t="n">
        <v>3.9</v>
      </c>
      <c r="D17" s="3" t="n">
        <v>3.9</v>
      </c>
      <c r="E17" s="3" t="n">
        <v>3.9</v>
      </c>
      <c r="F17" s="3" t="n">
        <v>3.9</v>
      </c>
      <c r="G17" s="3" t="n">
        <v>3.9</v>
      </c>
      <c r="H17" s="3" t="n">
        <v>3.9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105</v>
      </c>
      <c r="C18" s="3" t="n">
        <v>4.2</v>
      </c>
      <c r="D18" s="3" t="n">
        <v>4.2</v>
      </c>
      <c r="E18" s="3" t="n">
        <v>4.2</v>
      </c>
      <c r="F18" s="3" t="n">
        <v>4.2</v>
      </c>
      <c r="G18" s="3" t="n">
        <v>4.2</v>
      </c>
      <c r="H18" s="3" t="n">
        <v>4.2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106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107</v>
      </c>
      <c r="B20" s="3" t="n">
        <v>7</v>
      </c>
    </row>
    <row r="21" customFormat="false" ht="15" hidden="false" customHeight="false" outlineLevel="0" collapsed="false">
      <c r="A21" s="0" t="s">
        <v>108</v>
      </c>
      <c r="B21" s="3" t="n">
        <v>1</v>
      </c>
    </row>
    <row r="22" customFormat="false" ht="15" hidden="false" customHeight="false" outlineLevel="0" collapsed="false">
      <c r="A22" s="0" t="s">
        <v>109</v>
      </c>
      <c r="B22" s="3" t="n">
        <v>20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0.2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6.6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101</v>
      </c>
      <c r="C28" s="3" t="n">
        <v>15.6</v>
      </c>
      <c r="D28" s="3" t="n">
        <v>15.9</v>
      </c>
      <c r="E28" s="3" t="n">
        <v>16.2</v>
      </c>
      <c r="F28" s="3" t="n">
        <v>16.5</v>
      </c>
      <c r="G28" s="3" t="n">
        <v>16.7</v>
      </c>
      <c r="H28" s="3" t="n">
        <v>16.9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102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103</v>
      </c>
      <c r="C30" s="3" t="n">
        <v>1.4</v>
      </c>
      <c r="D30" s="3" t="n">
        <v>1.4</v>
      </c>
      <c r="E30" s="3" t="n">
        <v>1.4</v>
      </c>
      <c r="F30" s="3" t="n">
        <v>1.4</v>
      </c>
      <c r="G30" s="3" t="n">
        <v>1.4</v>
      </c>
      <c r="H30" s="3" t="n">
        <v>1.4</v>
      </c>
      <c r="I30" s="3" t="n">
        <v>1.4</v>
      </c>
      <c r="J30" s="3" t="n">
        <v>1.4</v>
      </c>
      <c r="K30" s="3" t="n">
        <v>1.4</v>
      </c>
      <c r="L30" s="3" t="n">
        <v>1.4</v>
      </c>
    </row>
    <row r="31" customFormat="false" ht="15" hidden="false" customHeight="false" outlineLevel="0" collapsed="false">
      <c r="A31" s="0" t="s">
        <v>104</v>
      </c>
      <c r="C31" s="3" t="n">
        <v>3.9</v>
      </c>
      <c r="D31" s="3" t="n">
        <v>3.9</v>
      </c>
      <c r="E31" s="3" t="n">
        <v>3.9</v>
      </c>
      <c r="F31" s="3" t="n">
        <v>3.9</v>
      </c>
      <c r="G31" s="3" t="n">
        <v>3.9</v>
      </c>
      <c r="H31" s="3" t="n">
        <v>3.9</v>
      </c>
      <c r="I31" s="3" t="n">
        <v>3.9</v>
      </c>
      <c r="J31" s="3" t="n">
        <v>3.9</v>
      </c>
      <c r="K31" s="3" t="n">
        <v>3.9</v>
      </c>
      <c r="L31" s="3" t="n">
        <v>3.9</v>
      </c>
    </row>
    <row r="32" customFormat="false" ht="15" hidden="false" customHeight="false" outlineLevel="0" collapsed="false">
      <c r="A32" s="0" t="s">
        <v>105</v>
      </c>
      <c r="C32" s="3" t="n">
        <v>4.1</v>
      </c>
      <c r="D32" s="3" t="n">
        <v>4.1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106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107</v>
      </c>
      <c r="B34" s="3" t="n">
        <v>7</v>
      </c>
    </row>
    <row r="35" customFormat="false" ht="15" hidden="false" customHeight="false" outlineLevel="0" collapsed="false">
      <c r="A35" s="0" t="s">
        <v>108</v>
      </c>
      <c r="B35" s="3" t="n">
        <v>1.5</v>
      </c>
    </row>
    <row r="36" customFormat="false" ht="15" hidden="false" customHeight="false" outlineLevel="0" collapsed="false">
      <c r="A36" s="0" t="s">
        <v>109</v>
      </c>
      <c r="B36" s="3" t="n">
        <v>20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7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16</v>
      </c>
      <c r="D42" s="3" t="n">
        <v>16.6</v>
      </c>
      <c r="E42" s="3" t="n">
        <v>17.2</v>
      </c>
      <c r="F42" s="3" t="n">
        <v>17.8</v>
      </c>
      <c r="G42" s="3" t="n">
        <v>18.3</v>
      </c>
      <c r="H42" s="3" t="n">
        <v>18.7</v>
      </c>
      <c r="I42" s="3" t="n">
        <v>19</v>
      </c>
      <c r="J42" s="3" t="n">
        <v>19.2</v>
      </c>
      <c r="K42" s="3" t="n">
        <v>19.4</v>
      </c>
      <c r="L42" s="3" t="n">
        <v>19.5</v>
      </c>
    </row>
    <row r="43" customFormat="false" ht="15" hidden="false" customHeight="false" outlineLevel="0" collapsed="false">
      <c r="A43" s="0" t="s">
        <v>102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103</v>
      </c>
      <c r="C44" s="3" t="n">
        <v>1.4</v>
      </c>
      <c r="D44" s="3" t="n">
        <v>1.4</v>
      </c>
      <c r="E44" s="3" t="n">
        <v>1.4</v>
      </c>
      <c r="F44" s="3" t="n">
        <v>1.4</v>
      </c>
      <c r="G44" s="3" t="n">
        <v>1.4</v>
      </c>
      <c r="H44" s="3" t="n">
        <v>1.4</v>
      </c>
      <c r="I44" s="3" t="n">
        <v>1.4</v>
      </c>
      <c r="J44" s="3" t="n">
        <v>1.4</v>
      </c>
      <c r="K44" s="3" t="n">
        <v>1.4</v>
      </c>
      <c r="L44" s="3" t="n">
        <v>1.4</v>
      </c>
    </row>
    <row r="45" customFormat="false" ht="15" hidden="false" customHeight="false" outlineLevel="0" collapsed="false">
      <c r="A45" s="0" t="s">
        <v>104</v>
      </c>
      <c r="C45" s="3" t="n">
        <v>3.9</v>
      </c>
      <c r="D45" s="3" t="n">
        <v>3.9</v>
      </c>
      <c r="E45" s="3" t="n">
        <v>3.9</v>
      </c>
      <c r="F45" s="3" t="n">
        <v>3.9</v>
      </c>
      <c r="G45" s="3" t="n">
        <v>3.9</v>
      </c>
      <c r="H45" s="3" t="n">
        <v>3.9</v>
      </c>
      <c r="I45" s="3" t="n">
        <v>3.9</v>
      </c>
      <c r="J45" s="3" t="n">
        <v>3.9</v>
      </c>
      <c r="K45" s="3" t="n">
        <v>3.9</v>
      </c>
      <c r="L45" s="3" t="n">
        <v>3.9</v>
      </c>
    </row>
    <row r="46" customFormat="false" ht="15" hidden="false" customHeight="false" outlineLevel="0" collapsed="false">
      <c r="A46" s="0" t="s">
        <v>105</v>
      </c>
      <c r="C46" s="3" t="n">
        <v>4.1</v>
      </c>
      <c r="D46" s="3" t="n">
        <v>4.1</v>
      </c>
      <c r="E46" s="3" t="n">
        <v>4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106</v>
      </c>
      <c r="C47" s="3" t="n">
        <v>29</v>
      </c>
      <c r="D47" s="3" t="n">
        <v>29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107</v>
      </c>
      <c r="B48" s="3" t="n">
        <v>7</v>
      </c>
    </row>
    <row r="49" customFormat="false" ht="15" hidden="false" customHeight="false" outlineLevel="0" collapsed="false">
      <c r="A49" s="0" t="s">
        <v>108</v>
      </c>
      <c r="B49" s="3" t="n">
        <v>2</v>
      </c>
    </row>
    <row r="50" customFormat="false" ht="15" hidden="false" customHeight="false" outlineLevel="0" collapsed="false">
      <c r="A50" s="0" t="s">
        <v>109</v>
      </c>
      <c r="B50" s="3" t="n">
        <v>20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6</v>
      </c>
      <c r="D5" s="4" t="n">
        <f aca="false">Assumptions!D13</f>
        <v>1.5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1688633</v>
      </c>
      <c r="C6" s="0" t="n">
        <f aca="false">B6*(1+C5/100)</f>
        <v>1789950.98</v>
      </c>
      <c r="D6" s="0" t="n">
        <f aca="false">C6*(1+D5/100)</f>
        <v>1816800.2447</v>
      </c>
      <c r="E6" s="0" t="n">
        <f aca="false">D6*(1+E5/100)</f>
        <v>1834968.247147</v>
      </c>
      <c r="F6" s="0" t="n">
        <f aca="false">E6*(1+F5/100)</f>
        <v>1853317.92961847</v>
      </c>
      <c r="G6" s="0" t="n">
        <f aca="false">F6*(1+G5/100)</f>
        <v>1871851.10891465</v>
      </c>
      <c r="H6" s="0" t="n">
        <f aca="false">G6*(1+H5/100)</f>
        <v>1890569.6200038</v>
      </c>
      <c r="I6" s="0" t="n">
        <f aca="false">H6*(1+I5/100)</f>
        <v>1909475.31620384</v>
      </c>
      <c r="J6" s="0" t="n">
        <f aca="false">I6*(1+J5/100)</f>
        <v>1928570.06936588</v>
      </c>
      <c r="K6" s="0" t="n">
        <f aca="false">J6*(1+K5/100)</f>
        <v>1947855.77005954</v>
      </c>
      <c r="L6" s="0" t="n">
        <f aca="false">K6*(1+L5/100)</f>
        <v>1967334.32776013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15.2</v>
      </c>
      <c r="D7" s="4" t="n">
        <f aca="false">Assumptions!D14</f>
        <v>14.5</v>
      </c>
      <c r="E7" s="4" t="n">
        <f aca="false">Assumptions!E14</f>
        <v>14</v>
      </c>
      <c r="F7" s="4" t="n">
        <f aca="false">Assumptions!F14</f>
        <v>13.8</v>
      </c>
      <c r="G7" s="4" t="n">
        <f aca="false">Assumptions!G14</f>
        <v>13.6</v>
      </c>
      <c r="H7" s="4" t="n">
        <f aca="false">Assumptions!H14</f>
        <v>13.5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272072.54896</v>
      </c>
      <c r="D8" s="0" t="n">
        <f aca="false">D6*D7/100</f>
        <v>263436.0354815</v>
      </c>
      <c r="E8" s="0" t="n">
        <f aca="false">E6*E7/100</f>
        <v>256895.55460058</v>
      </c>
      <c r="F8" s="0" t="n">
        <f aca="false">F6*F7/100</f>
        <v>255757.874287349</v>
      </c>
      <c r="G8" s="0" t="n">
        <f aca="false">G6*G7/100</f>
        <v>254571.750812393</v>
      </c>
      <c r="H8" s="0" t="n">
        <f aca="false">H6*H7/100</f>
        <v>255226.898700513</v>
      </c>
      <c r="I8" s="0" t="n">
        <f aca="false">I6*I7/100</f>
        <v>257779.167687518</v>
      </c>
      <c r="J8" s="0" t="n">
        <f aca="false">J6*J7/100</f>
        <v>260356.959364394</v>
      </c>
      <c r="K8" s="0" t="n">
        <f aca="false">K6*K7/100</f>
        <v>262960.528958037</v>
      </c>
      <c r="L8" s="0" t="n">
        <f aca="false">L6*L7/100</f>
        <v>265590.134247618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-715.980392</v>
      </c>
      <c r="D10" s="0" t="n">
        <f aca="false">-D6*D9/100</f>
        <v>-726.72009788</v>
      </c>
      <c r="E10" s="0" t="n">
        <f aca="false">-E6*E9/100</f>
        <v>-733.9872988588</v>
      </c>
      <c r="F10" s="0" t="n">
        <f aca="false">-F6*F9/100</f>
        <v>-741.327171847388</v>
      </c>
      <c r="G10" s="0" t="n">
        <f aca="false">-G6*G9/100</f>
        <v>-748.740443565862</v>
      </c>
      <c r="H10" s="0" t="n">
        <f aca="false">-H6*H9/100</f>
        <v>-756.22784800152</v>
      </c>
      <c r="I10" s="0" t="n">
        <f aca="false">-I6*I9/100</f>
        <v>-763.790126481536</v>
      </c>
      <c r="J10" s="0" t="n">
        <f aca="false">-J6*J9/100</f>
        <v>-771.428027746351</v>
      </c>
      <c r="K10" s="0" t="n">
        <f aca="false">-K6*K9/100</f>
        <v>-779.142308023815</v>
      </c>
      <c r="L10" s="0" t="n">
        <f aca="false">-L6*L9/100</f>
        <v>-786.933731104053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246297.254848</v>
      </c>
      <c r="D11" s="0" t="n">
        <f aca="false">D8+D10+D24</f>
        <v>237274.11195782</v>
      </c>
      <c r="E11" s="0" t="n">
        <f aca="false">E8+E10+E24</f>
        <v>230472.011841663</v>
      </c>
      <c r="F11" s="0" t="n">
        <f aca="false">F8+F10+F24</f>
        <v>229070.096100843</v>
      </c>
      <c r="G11" s="0" t="n">
        <f aca="false">G8+G10+G24</f>
        <v>227617.094844022</v>
      </c>
      <c r="H11" s="0" t="n">
        <f aca="false">H8+H10+H24</f>
        <v>228002.696172458</v>
      </c>
      <c r="I11" s="0" t="n">
        <f aca="false">I8+I10+I24</f>
        <v>230282.723134183</v>
      </c>
      <c r="J11" s="0" t="n">
        <f aca="false">J8+J10+J24</f>
        <v>232585.550365525</v>
      </c>
      <c r="K11" s="0" t="n">
        <f aca="false">K8+K10+K24</f>
        <v>234911.40586918</v>
      </c>
      <c r="L11" s="0" t="n">
        <f aca="false">L8+L10+L24</f>
        <v>237260.519927872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-69808.08822</v>
      </c>
      <c r="D12" s="4" t="n">
        <f aca="false">-D6*Assumptions!D17/100</f>
        <v>-70855.2095433</v>
      </c>
      <c r="E12" s="4" t="n">
        <f aca="false">-E6*Assumptions!E17/100</f>
        <v>-71563.761638733</v>
      </c>
      <c r="F12" s="4" t="n">
        <f aca="false">-F6*Assumptions!F17/100</f>
        <v>-72279.3992551203</v>
      </c>
      <c r="G12" s="4" t="n">
        <f aca="false">-G6*Assumptions!G17/100</f>
        <v>-73002.1932476715</v>
      </c>
      <c r="H12" s="4" t="n">
        <f aca="false">-H6*Assumptions!H17/100</f>
        <v>-73732.2151801482</v>
      </c>
      <c r="I12" s="4" t="n">
        <f aca="false">-I6*Assumptions!I17/100</f>
        <v>-74469.5373319497</v>
      </c>
      <c r="J12" s="4" t="n">
        <f aca="false">-J6*Assumptions!J17/100</f>
        <v>-75214.2327052692</v>
      </c>
      <c r="K12" s="4" t="n">
        <f aca="false">-K6*Assumptions!K17/100</f>
        <v>-75966.3750323219</v>
      </c>
      <c r="L12" s="4" t="n">
        <f aca="false">-L6*Assumptions!L17/100</f>
        <v>-76726.0387826451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176489.166628</v>
      </c>
      <c r="D13" s="0" t="n">
        <f aca="false">D11+D12</f>
        <v>166418.90241452</v>
      </c>
      <c r="E13" s="0" t="n">
        <f aca="false">E11+E12</f>
        <v>158908.25020293</v>
      </c>
      <c r="F13" s="0" t="n">
        <f aca="false">F11+F12</f>
        <v>156790.696845723</v>
      </c>
      <c r="G13" s="0" t="n">
        <f aca="false">G11+G12</f>
        <v>154614.90159635</v>
      </c>
      <c r="H13" s="0" t="n">
        <f aca="false">H11+H12</f>
        <v>154270.48099231</v>
      </c>
      <c r="I13" s="0" t="n">
        <f aca="false">I11+I12</f>
        <v>155813.185802233</v>
      </c>
      <c r="J13" s="0" t="n">
        <f aca="false">J11+J12</f>
        <v>157371.317660256</v>
      </c>
      <c r="K13" s="0" t="n">
        <f aca="false">K11+K12</f>
        <v>158945.030836858</v>
      </c>
      <c r="L13" s="0" t="n">
        <f aca="false">L11+L12</f>
        <v>160534.481145227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125307.30830588</v>
      </c>
      <c r="D15" s="0" t="n">
        <f aca="false">D13-MAX(0,D13)*D14/100</f>
        <v>118157.420714309</v>
      </c>
      <c r="E15" s="0" t="n">
        <f aca="false">E13-MAX(0,E13)*E14/100</f>
        <v>112824.85764408</v>
      </c>
      <c r="F15" s="0" t="n">
        <f aca="false">F13-MAX(0,F13)*F14/100</f>
        <v>111321.394760463</v>
      </c>
      <c r="G15" s="0" t="n">
        <f aca="false">G13-MAX(0,G13)*G14/100</f>
        <v>109776.580133409</v>
      </c>
      <c r="H15" s="0" t="n">
        <f aca="false">H13-MAX(0,H13)*H14/100</f>
        <v>109532.04150454</v>
      </c>
      <c r="I15" s="0" t="n">
        <f aca="false">I13-MAX(0,I13)*I14/100</f>
        <v>110627.361919586</v>
      </c>
      <c r="J15" s="0" t="n">
        <f aca="false">J13-MAX(0,J13)*J14/100</f>
        <v>111733.635538782</v>
      </c>
      <c r="K15" s="0" t="n">
        <f aca="false">K13-MAX(0,K13)*K14/100</f>
        <v>112850.971894169</v>
      </c>
      <c r="L15" s="0" t="n">
        <f aca="false">L13-MAX(0,L13)*L14/100</f>
        <v>113979.481613111</v>
      </c>
    </row>
    <row r="16" customFormat="false" ht="15" hidden="false" customHeight="false" outlineLevel="0" collapsed="false">
      <c r="A16" s="0" t="s">
        <v>122</v>
      </c>
      <c r="C16" s="0" t="n">
        <f aca="false">-C12</f>
        <v>69808.08822</v>
      </c>
      <c r="D16" s="0" t="n">
        <f aca="false">-D12</f>
        <v>70855.2095433</v>
      </c>
      <c r="E16" s="0" t="n">
        <f aca="false">-E12</f>
        <v>71563.761638733</v>
      </c>
      <c r="F16" s="0" t="n">
        <f aca="false">-F12</f>
        <v>72279.3992551203</v>
      </c>
      <c r="G16" s="0" t="n">
        <f aca="false">-G12</f>
        <v>73002.1932476715</v>
      </c>
      <c r="H16" s="0" t="n">
        <f aca="false">-H12</f>
        <v>73732.2151801482</v>
      </c>
      <c r="I16" s="0" t="n">
        <f aca="false">-I12</f>
        <v>74469.5373319497</v>
      </c>
      <c r="J16" s="0" t="n">
        <f aca="false">-J12</f>
        <v>75214.2327052692</v>
      </c>
      <c r="K16" s="0" t="n">
        <f aca="false">-K12</f>
        <v>75966.3750323219</v>
      </c>
      <c r="L16" s="0" t="n">
        <f aca="false">-L12</f>
        <v>76726.0387826451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-75177.94116</v>
      </c>
      <c r="D17" s="4" t="n">
        <f aca="false">-D6*Assumptions!D18/100</f>
        <v>-76305.6102774</v>
      </c>
      <c r="E17" s="4" t="n">
        <f aca="false">-E6*Assumptions!E18/100</f>
        <v>-77068.666380174</v>
      </c>
      <c r="F17" s="4" t="n">
        <f aca="false">-F6*Assumptions!F18/100</f>
        <v>-77839.3530439757</v>
      </c>
      <c r="G17" s="4" t="n">
        <f aca="false">-G6*Assumptions!G18/100</f>
        <v>-78617.7465744155</v>
      </c>
      <c r="H17" s="4" t="n">
        <f aca="false">-H6*Assumptions!H18/100</f>
        <v>-79403.9240401597</v>
      </c>
      <c r="I17" s="4" t="n">
        <f aca="false">-I6*Assumptions!I18/100</f>
        <v>-80197.9632805613</v>
      </c>
      <c r="J17" s="4" t="n">
        <f aca="false">-J6*Assumptions!J18/100</f>
        <v>-80999.9429133669</v>
      </c>
      <c r="K17" s="4" t="n">
        <f aca="false">-K6*Assumptions!K18/100</f>
        <v>-81809.9423425005</v>
      </c>
      <c r="L17" s="4" t="n">
        <f aca="false">-L6*Assumptions!L18/100</f>
        <v>-82628.0417659255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-5065.899</v>
      </c>
      <c r="D18" s="4" t="n">
        <f aca="false">(D6-C6)*Assumptions!$B$23/100</f>
        <v>-1342.46323499999</v>
      </c>
      <c r="E18" s="4" t="n">
        <f aca="false">(E6-D6)*Assumptions!$B$23/100</f>
        <v>-908.40012235</v>
      </c>
      <c r="F18" s="4" t="n">
        <f aca="false">(F6-E6)*Assumptions!$B$23/100</f>
        <v>-917.484123573499</v>
      </c>
      <c r="G18" s="4" t="n">
        <f aca="false">(G6-F6)*Assumptions!$B$23/100</f>
        <v>-926.65896480924</v>
      </c>
      <c r="H18" s="4" t="n">
        <f aca="false">(H6-G6)*Assumptions!$B$23/100</f>
        <v>-935.92555445733</v>
      </c>
      <c r="I18" s="4" t="n">
        <f aca="false">(I6-H6)*Assumptions!$B$23/100</f>
        <v>-945.284810001904</v>
      </c>
      <c r="J18" s="4" t="n">
        <f aca="false">(J6-I6)*Assumptions!$B$23/100</f>
        <v>-954.737658101926</v>
      </c>
      <c r="K18" s="4" t="n">
        <f aca="false">(K6-J6)*Assumptions!$B$23/100</f>
        <v>-964.285034682939</v>
      </c>
      <c r="L18" s="4" t="n">
        <f aca="false">(L6-K6)*Assumptions!$B$23/100</f>
        <v>-973.927885029768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114871.55636588</v>
      </c>
      <c r="D19" s="0" t="n">
        <f aca="false">D15+D16+D17+D18</f>
        <v>111364.556745209</v>
      </c>
      <c r="E19" s="0" t="n">
        <f aca="false">E15+E16+E17+E18</f>
        <v>106411.552780289</v>
      </c>
      <c r="F19" s="0" t="n">
        <f aca="false">F15+F16+F17+F18</f>
        <v>104843.956848034</v>
      </c>
      <c r="G19" s="0" t="n">
        <f aca="false">G15+G16+G17+G18</f>
        <v>103234.367841856</v>
      </c>
      <c r="H19" s="0" t="n">
        <f aca="false">H15+H16+H17+H18</f>
        <v>102924.407090071</v>
      </c>
      <c r="I19" s="0" t="n">
        <f aca="false">I15+I16+I17+I18</f>
        <v>103953.651160972</v>
      </c>
      <c r="J19" s="0" t="n">
        <f aca="false">J15+J16+J17+J18</f>
        <v>104993.187672582</v>
      </c>
      <c r="K19" s="0" t="n">
        <f aca="false">K15+K16+K17+K18</f>
        <v>106043.119549308</v>
      </c>
      <c r="L19" s="0" t="n">
        <f aca="false">L15+L16+L17+L18</f>
        <v>107103.550744801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107356.594734467</v>
      </c>
      <c r="D21" s="0" t="n">
        <f aca="false">D19*D20</f>
        <v>97270.1168182454</v>
      </c>
      <c r="E21" s="0" t="n">
        <f aca="false">E19*E20</f>
        <v>86863.5246112091</v>
      </c>
      <c r="F21" s="0" t="n">
        <f aca="false">F19*F20</f>
        <v>79984.9526914825</v>
      </c>
      <c r="G21" s="0" t="n">
        <f aca="false">G19*G20</f>
        <v>73604.6775189763</v>
      </c>
      <c r="H21" s="0" t="n">
        <f aca="false">H19*H20</f>
        <v>68582.8783053942</v>
      </c>
      <c r="I21" s="0" t="n">
        <f aca="false">I19*I20</f>
        <v>64737.1094284563</v>
      </c>
      <c r="J21" s="0" t="n">
        <f aca="false">J19*J20</f>
        <v>61106.9911427484</v>
      </c>
      <c r="K21" s="0" t="n">
        <f aca="false">K19*K20</f>
        <v>57680.4308917532</v>
      </c>
      <c r="L21" s="0" t="n">
        <f aca="false">L19*L20</f>
        <v>54446.0142062343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1.4</v>
      </c>
      <c r="D23" s="4" t="n">
        <f aca="false">Assumptions!D16</f>
        <v>1.4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-25059.31372</v>
      </c>
      <c r="D24" s="0" t="n">
        <f aca="false">-D6*D23/100</f>
        <v>-25435.2034258</v>
      </c>
      <c r="E24" s="0" t="n">
        <f aca="false">-E6*E23/100</f>
        <v>-25689.555460058</v>
      </c>
      <c r="F24" s="0" t="n">
        <f aca="false">-F6*F23/100</f>
        <v>-25946.4510146586</v>
      </c>
      <c r="G24" s="0" t="n">
        <f aca="false">-G6*G23/100</f>
        <v>-26205.9155248052</v>
      </c>
      <c r="H24" s="0" t="n">
        <f aca="false">-H6*H23/100</f>
        <v>-26467.9746800532</v>
      </c>
      <c r="I24" s="0" t="n">
        <f aca="false">-I6*I23/100</f>
        <v>-26732.6544268537</v>
      </c>
      <c r="J24" s="0" t="n">
        <f aca="false">-J6*J23/100</f>
        <v>-26999.9809711223</v>
      </c>
      <c r="K24" s="0" t="n">
        <f aca="false">-K6*K23/100</f>
        <v>-27269.9807808335</v>
      </c>
      <c r="L24" s="0" t="n">
        <f aca="false">-L6*L23/100</f>
        <v>-27542.6805886418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751633.290348967</v>
      </c>
    </row>
    <row r="31" customFormat="false" ht="15" hidden="false" customHeight="false" outlineLevel="0" collapsed="false">
      <c r="A31" s="0" t="s">
        <v>131</v>
      </c>
      <c r="B31" s="0" t="n">
        <f aca="false">L19</f>
        <v>107103.550744801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1802909.77087081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2142071.01489602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1802909.77087081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916507.905804944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1668141.19615391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1832397.19615391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2025.28985226316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-0.459490298301799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5254.80862585068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6733.95962025524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2038.54065330179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772675.616087492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989.326883550267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6.6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1688633</v>
      </c>
      <c r="C6" s="0" t="n">
        <f aca="false">B6*(1+C5/100)</f>
        <v>1800082.778</v>
      </c>
      <c r="D6" s="0" t="n">
        <f aca="false">C6*(1+D5/100)</f>
        <v>1872086.08912</v>
      </c>
      <c r="E6" s="0" t="n">
        <f aca="false">D6*(1+E5/100)</f>
        <v>1937609.1022392</v>
      </c>
      <c r="F6" s="0" t="n">
        <f aca="false">E6*(1+F5/100)</f>
        <v>1995737.37530638</v>
      </c>
      <c r="G6" s="0" t="n">
        <f aca="false">F6*(1+G5/100)</f>
        <v>2055609.49656557</v>
      </c>
      <c r="H6" s="0" t="n">
        <f aca="false">G6*(1+H5/100)</f>
        <v>2106999.73397971</v>
      </c>
      <c r="I6" s="0" t="n">
        <f aca="false">H6*(1+I5/100)</f>
        <v>2159674.7273292</v>
      </c>
      <c r="J6" s="0" t="n">
        <f aca="false">I6*(1+J5/100)</f>
        <v>2202868.22187578</v>
      </c>
      <c r="K6" s="0" t="n">
        <f aca="false">J6*(1+K5/100)</f>
        <v>2246925.5863133</v>
      </c>
      <c r="L6" s="0" t="n">
        <f aca="false">K6*(1+L5/100)</f>
        <v>2291864.09803956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15.6</v>
      </c>
      <c r="D7" s="4" t="n">
        <f aca="false">Assumptions!D28</f>
        <v>15.9</v>
      </c>
      <c r="E7" s="4" t="n">
        <f aca="false">Assumptions!E28</f>
        <v>16.2</v>
      </c>
      <c r="F7" s="4" t="n">
        <f aca="false">Assumptions!F28</f>
        <v>16.5</v>
      </c>
      <c r="G7" s="4" t="n">
        <f aca="false">Assumptions!G28</f>
        <v>16.7</v>
      </c>
      <c r="H7" s="4" t="n">
        <f aca="false">Assumptions!H28</f>
        <v>16.9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280812.913368</v>
      </c>
      <c r="D8" s="0" t="n">
        <f aca="false">D6*D7/100</f>
        <v>297661.68817008</v>
      </c>
      <c r="E8" s="0" t="n">
        <f aca="false">E6*E7/100</f>
        <v>313892.67456275</v>
      </c>
      <c r="F8" s="0" t="n">
        <f aca="false">F6*F7/100</f>
        <v>329296.666925552</v>
      </c>
      <c r="G8" s="0" t="n">
        <f aca="false">G6*G7/100</f>
        <v>343286.78592645</v>
      </c>
      <c r="H8" s="0" t="n">
        <f aca="false">H6*H7/100</f>
        <v>356082.95504257</v>
      </c>
      <c r="I8" s="0" t="n">
        <f aca="false">I6*I7/100</f>
        <v>367144.703645964</v>
      </c>
      <c r="J8" s="0" t="n">
        <f aca="false">J6*J7/100</f>
        <v>374487.597718883</v>
      </c>
      <c r="K8" s="0" t="n">
        <f aca="false">K6*K7/100</f>
        <v>381977.349673261</v>
      </c>
      <c r="L8" s="0" t="n">
        <f aca="false">L6*L7/100</f>
        <v>389616.896666726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-720.0331112</v>
      </c>
      <c r="D10" s="0" t="n">
        <f aca="false">-D6*D9/100</f>
        <v>-748.834435648</v>
      </c>
      <c r="E10" s="0" t="n">
        <f aca="false">-E6*E9/100</f>
        <v>-775.04364089568</v>
      </c>
      <c r="F10" s="0" t="n">
        <f aca="false">-F6*F9/100</f>
        <v>-798.29495012255</v>
      </c>
      <c r="G10" s="0" t="n">
        <f aca="false">-G6*G9/100</f>
        <v>-822.243798626227</v>
      </c>
      <c r="H10" s="0" t="n">
        <f aca="false">-H6*H9/100</f>
        <v>-842.799893591882</v>
      </c>
      <c r="I10" s="0" t="n">
        <f aca="false">-I6*I9/100</f>
        <v>-863.86989093168</v>
      </c>
      <c r="J10" s="0" t="n">
        <f aca="false">-J6*J9/100</f>
        <v>-881.147288750313</v>
      </c>
      <c r="K10" s="0" t="n">
        <f aca="false">-K6*K9/100</f>
        <v>-898.770234525319</v>
      </c>
      <c r="L10" s="0" t="n">
        <f aca="false">-L6*L9/100</f>
        <v>-916.745639215826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254891.7213648</v>
      </c>
      <c r="D11" s="0" t="n">
        <f aca="false">D8+D10+D24</f>
        <v>270703.648486752</v>
      </c>
      <c r="E11" s="0" t="n">
        <f aca="false">E8+E10+E24</f>
        <v>285991.103490506</v>
      </c>
      <c r="F11" s="0" t="n">
        <f aca="false">F8+F10+F24</f>
        <v>300558.04872114</v>
      </c>
      <c r="G11" s="0" t="n">
        <f aca="false">G8+G10+G24</f>
        <v>313686.009175906</v>
      </c>
      <c r="H11" s="0" t="n">
        <f aca="false">H8+H10+H24</f>
        <v>325742.158873263</v>
      </c>
      <c r="I11" s="0" t="n">
        <f aca="false">I8+I10+I24</f>
        <v>336045.387572423</v>
      </c>
      <c r="J11" s="0" t="n">
        <f aca="false">J8+J10+J24</f>
        <v>342766.295323872</v>
      </c>
      <c r="K11" s="0" t="n">
        <f aca="false">K8+K10+K24</f>
        <v>349621.621230349</v>
      </c>
      <c r="L11" s="0" t="n">
        <f aca="false">L8+L10+L24</f>
        <v>356614.053654956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-70203.228342</v>
      </c>
      <c r="D12" s="4" t="n">
        <f aca="false">-D6*Assumptions!D31/100</f>
        <v>-73011.35747568</v>
      </c>
      <c r="E12" s="4" t="n">
        <f aca="false">-E6*Assumptions!E31/100</f>
        <v>-75566.7549873288</v>
      </c>
      <c r="F12" s="4" t="n">
        <f aca="false">-F6*Assumptions!F31/100</f>
        <v>-77833.7576369487</v>
      </c>
      <c r="G12" s="4" t="n">
        <f aca="false">-G6*Assumptions!G31/100</f>
        <v>-80168.7703660571</v>
      </c>
      <c r="H12" s="4" t="n">
        <f aca="false">-H6*Assumptions!H31/100</f>
        <v>-82172.9896252085</v>
      </c>
      <c r="I12" s="4" t="n">
        <f aca="false">-I6*Assumptions!I31/100</f>
        <v>-84227.3143658387</v>
      </c>
      <c r="J12" s="4" t="n">
        <f aca="false">-J6*Assumptions!J31/100</f>
        <v>-85911.8606531555</v>
      </c>
      <c r="K12" s="4" t="n">
        <f aca="false">-K6*Assumptions!K31/100</f>
        <v>-87630.0978662186</v>
      </c>
      <c r="L12" s="4" t="n">
        <f aca="false">-L6*Assumptions!L31/100</f>
        <v>-89382.699823543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184688.4930228</v>
      </c>
      <c r="D13" s="0" t="n">
        <f aca="false">D11+D12</f>
        <v>197692.291011072</v>
      </c>
      <c r="E13" s="0" t="n">
        <f aca="false">E11+E12</f>
        <v>210424.348503177</v>
      </c>
      <c r="F13" s="0" t="n">
        <f aca="false">F11+F12</f>
        <v>222724.291084192</v>
      </c>
      <c r="G13" s="0" t="n">
        <f aca="false">G11+G12</f>
        <v>233517.238809848</v>
      </c>
      <c r="H13" s="0" t="n">
        <f aca="false">H11+H12</f>
        <v>243569.169248054</v>
      </c>
      <c r="I13" s="0" t="n">
        <f aca="false">I11+I12</f>
        <v>251818.073206585</v>
      </c>
      <c r="J13" s="0" t="n">
        <f aca="false">J11+J12</f>
        <v>256854.434670716</v>
      </c>
      <c r="K13" s="0" t="n">
        <f aca="false">K11+K12</f>
        <v>261991.523364131</v>
      </c>
      <c r="L13" s="0" t="n">
        <f aca="false">L11+L12</f>
        <v>267231.353831413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131128.830046188</v>
      </c>
      <c r="D15" s="0" t="n">
        <f aca="false">D13-MAX(0,D13)*D14/100</f>
        <v>140361.526617861</v>
      </c>
      <c r="E15" s="0" t="n">
        <f aca="false">E13-MAX(0,E13)*E14/100</f>
        <v>149401.287437256</v>
      </c>
      <c r="F15" s="0" t="n">
        <f aca="false">F13-MAX(0,F13)*F14/100</f>
        <v>158134.246669776</v>
      </c>
      <c r="G15" s="0" t="n">
        <f aca="false">G13-MAX(0,G13)*G14/100</f>
        <v>165797.239554992</v>
      </c>
      <c r="H15" s="0" t="n">
        <f aca="false">H13-MAX(0,H13)*H14/100</f>
        <v>172934.110166118</v>
      </c>
      <c r="I15" s="0" t="n">
        <f aca="false">I13-MAX(0,I13)*I14/100</f>
        <v>178790.831976675</v>
      </c>
      <c r="J15" s="0" t="n">
        <f aca="false">J13-MAX(0,J13)*J14/100</f>
        <v>182366.648616209</v>
      </c>
      <c r="K15" s="0" t="n">
        <f aca="false">K13-MAX(0,K13)*K14/100</f>
        <v>186013.981588533</v>
      </c>
      <c r="L15" s="0" t="n">
        <f aca="false">L13-MAX(0,L13)*L14/100</f>
        <v>189734.261220303</v>
      </c>
    </row>
    <row r="16" customFormat="false" ht="15" hidden="false" customHeight="false" outlineLevel="0" collapsed="false">
      <c r="A16" s="0" t="s">
        <v>122</v>
      </c>
      <c r="C16" s="0" t="n">
        <f aca="false">-C12</f>
        <v>70203.228342</v>
      </c>
      <c r="D16" s="0" t="n">
        <f aca="false">-D12</f>
        <v>73011.35747568</v>
      </c>
      <c r="E16" s="0" t="n">
        <f aca="false">-E12</f>
        <v>75566.7549873288</v>
      </c>
      <c r="F16" s="0" t="n">
        <f aca="false">-F12</f>
        <v>77833.7576369487</v>
      </c>
      <c r="G16" s="0" t="n">
        <f aca="false">-G12</f>
        <v>80168.7703660571</v>
      </c>
      <c r="H16" s="0" t="n">
        <f aca="false">-H12</f>
        <v>82172.9896252085</v>
      </c>
      <c r="I16" s="0" t="n">
        <f aca="false">-I12</f>
        <v>84227.3143658387</v>
      </c>
      <c r="J16" s="0" t="n">
        <f aca="false">-J12</f>
        <v>85911.8606531555</v>
      </c>
      <c r="K16" s="0" t="n">
        <f aca="false">-K12</f>
        <v>87630.0978662186</v>
      </c>
      <c r="L16" s="0" t="n">
        <f aca="false">-L12</f>
        <v>89382.699823543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-73803.393898</v>
      </c>
      <c r="D17" s="4" t="n">
        <f aca="false">-D6*Assumptions!D32/100</f>
        <v>-76755.52965392</v>
      </c>
      <c r="E17" s="4" t="n">
        <f aca="false">-E6*Assumptions!E32/100</f>
        <v>-77504.364089568</v>
      </c>
      <c r="F17" s="4" t="n">
        <f aca="false">-F6*Assumptions!F32/100</f>
        <v>-79829.495012255</v>
      </c>
      <c r="G17" s="4" t="n">
        <f aca="false">-G6*Assumptions!G32/100</f>
        <v>-82224.3798626227</v>
      </c>
      <c r="H17" s="4" t="n">
        <f aca="false">-H6*Assumptions!H32/100</f>
        <v>-84279.9893591882</v>
      </c>
      <c r="I17" s="4" t="n">
        <f aca="false">-I6*Assumptions!I32/100</f>
        <v>-86386.989093168</v>
      </c>
      <c r="J17" s="4" t="n">
        <f aca="false">-J6*Assumptions!J32/100</f>
        <v>-88114.7288750313</v>
      </c>
      <c r="K17" s="4" t="n">
        <f aca="false">-K6*Assumptions!K32/100</f>
        <v>-89877.0234525319</v>
      </c>
      <c r="L17" s="4" t="n">
        <f aca="false">-L6*Assumptions!L32/100</f>
        <v>-91674.5639215826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-5572.48890000001</v>
      </c>
      <c r="D18" s="4" t="n">
        <f aca="false">(D6-C6)*Assumptions!$B$37/100</f>
        <v>-3600.165556</v>
      </c>
      <c r="E18" s="4" t="n">
        <f aca="false">(E6-D6)*Assumptions!$B$37/100</f>
        <v>-3276.15065595999</v>
      </c>
      <c r="F18" s="4" t="n">
        <f aca="false">(F6-E6)*Assumptions!$B$37/100</f>
        <v>-2906.41365335881</v>
      </c>
      <c r="G18" s="4" t="n">
        <f aca="false">(G6-F6)*Assumptions!$B$37/100</f>
        <v>-2993.60606295957</v>
      </c>
      <c r="H18" s="4" t="n">
        <f aca="false">(H6-G6)*Assumptions!$B$37/100</f>
        <v>-2569.51187070694</v>
      </c>
      <c r="I18" s="4" t="n">
        <f aca="false">(I6-H6)*Assumptions!$B$37/100</f>
        <v>-2633.74966747463</v>
      </c>
      <c r="J18" s="4" t="n">
        <f aca="false">(J6-I6)*Assumptions!$B$37/100</f>
        <v>-2159.67472732919</v>
      </c>
      <c r="K18" s="4" t="n">
        <f aca="false">(K6-J6)*Assumptions!$B$37/100</f>
        <v>-2202.86822187579</v>
      </c>
      <c r="L18" s="4" t="n">
        <f aca="false">(L6-K6)*Assumptions!$B$37/100</f>
        <v>-2246.92558631331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121956.175590188</v>
      </c>
      <c r="D19" s="0" t="n">
        <f aca="false">D15+D16+D17+D18</f>
        <v>133017.188883621</v>
      </c>
      <c r="E19" s="0" t="n">
        <f aca="false">E15+E16+E17+E18</f>
        <v>144187.527679057</v>
      </c>
      <c r="F19" s="0" t="n">
        <f aca="false">F15+F16+F17+F18</f>
        <v>153232.095641111</v>
      </c>
      <c r="G19" s="0" t="n">
        <f aca="false">G15+G16+G17+G18</f>
        <v>160748.023995467</v>
      </c>
      <c r="H19" s="0" t="n">
        <f aca="false">H15+H16+H17+H18</f>
        <v>168257.598561432</v>
      </c>
      <c r="I19" s="0" t="n">
        <f aca="false">I15+I16+I17+I18</f>
        <v>173997.407581871</v>
      </c>
      <c r="J19" s="0" t="n">
        <f aca="false">J15+J16+J17+J18</f>
        <v>178004.105667004</v>
      </c>
      <c r="K19" s="0" t="n">
        <f aca="false">K15+K16+K17+K18</f>
        <v>181564.187780344</v>
      </c>
      <c r="L19" s="0" t="n">
        <f aca="false">L15+L16+L17+L18</f>
        <v>185195.471535951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113977.734196437</v>
      </c>
      <c r="D21" s="0" t="n">
        <f aca="false">D19*D20</f>
        <v>116182.364296988</v>
      </c>
      <c r="E21" s="0" t="n">
        <f aca="false">E19*E20</f>
        <v>117699.972718555</v>
      </c>
      <c r="F21" s="0" t="n">
        <f aca="false">F19*F20</f>
        <v>116900.032096612</v>
      </c>
      <c r="G21" s="0" t="n">
        <f aca="false">G19*G20</f>
        <v>114611.119488077</v>
      </c>
      <c r="H21" s="0" t="n">
        <f aca="false">H19*H20</f>
        <v>112117.14239945</v>
      </c>
      <c r="I21" s="0" t="n">
        <f aca="false">I19*I20</f>
        <v>108356.840660198</v>
      </c>
      <c r="J21" s="0" t="n">
        <f aca="false">J19*J20</f>
        <v>103600.010148153</v>
      </c>
      <c r="K21" s="0" t="n">
        <f aca="false">K19*K20</f>
        <v>98758.8881786133</v>
      </c>
      <c r="L21" s="0" t="n">
        <f aca="false">L19*L20</f>
        <v>94143.9868618557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1.4</v>
      </c>
      <c r="I23" s="4" t="n">
        <f aca="false">Assumptions!I30</f>
        <v>1.4</v>
      </c>
      <c r="J23" s="4" t="n">
        <f aca="false">Assumptions!J30</f>
        <v>1.4</v>
      </c>
      <c r="K23" s="4" t="n">
        <f aca="false">Assumptions!K30</f>
        <v>1.4</v>
      </c>
      <c r="L23" s="4" t="n">
        <f aca="false">Assumptions!L30</f>
        <v>1.4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-25201.158892</v>
      </c>
      <c r="D24" s="0" t="n">
        <f aca="false">-D6*D23/100</f>
        <v>-26209.20524768</v>
      </c>
      <c r="E24" s="0" t="n">
        <f aca="false">-E6*E23/100</f>
        <v>-27126.5274313488</v>
      </c>
      <c r="F24" s="0" t="n">
        <f aca="false">-F6*F23/100</f>
        <v>-27940.3232542893</v>
      </c>
      <c r="G24" s="0" t="n">
        <f aca="false">-G6*G23/100</f>
        <v>-28778.5329519179</v>
      </c>
      <c r="H24" s="0" t="n">
        <f aca="false">-H6*H23/100</f>
        <v>-29497.9962757159</v>
      </c>
      <c r="I24" s="0" t="n">
        <f aca="false">-I6*I23/100</f>
        <v>-30235.4461826088</v>
      </c>
      <c r="J24" s="0" t="n">
        <f aca="false">-J6*J23/100</f>
        <v>-30840.155106261</v>
      </c>
      <c r="K24" s="0" t="n">
        <f aca="false">-K6*K23/100</f>
        <v>-31456.9582083862</v>
      </c>
      <c r="L24" s="0" t="n">
        <f aca="false">-L6*L23/100</f>
        <v>-32086.0973725539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1096348.09104494</v>
      </c>
    </row>
    <row r="31" customFormat="false" ht="15" hidden="false" customHeight="false" outlineLevel="0" collapsed="false">
      <c r="A31" s="0" t="s">
        <v>131</v>
      </c>
      <c r="B31" s="0" t="n">
        <f aca="false">L19</f>
        <v>185195.471535951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3417698.24743618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3703909.43071901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3417698.24743618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1737384.48481425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2833732.57585919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2997988.57585919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3313.58062140283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-0.115671037789476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5722.22158246069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8600.31639480725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3329.41086327665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1392395.58228881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1404.94397995897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7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1688633</v>
      </c>
      <c r="C6" s="0" t="n">
        <f aca="false">B6*(1+C5/100)</f>
        <v>1806837.31</v>
      </c>
      <c r="D6" s="0" t="n">
        <f aca="false">C6*(1+D5/100)</f>
        <v>1906213.36205</v>
      </c>
      <c r="E6" s="0" t="n">
        <f aca="false">D6*(1+E5/100)</f>
        <v>2001524.0301525</v>
      </c>
      <c r="F6" s="0" t="n">
        <f aca="false">E6*(1+F5/100)</f>
        <v>2091592.61150936</v>
      </c>
      <c r="G6" s="0" t="n">
        <f aca="false">F6*(1+G5/100)</f>
        <v>2175256.31596974</v>
      </c>
      <c r="H6" s="0" t="n">
        <f aca="false">G6*(1+H5/100)</f>
        <v>2251390.28702868</v>
      </c>
      <c r="I6" s="0" t="n">
        <f aca="false">H6*(1+I5/100)</f>
        <v>2318931.99563954</v>
      </c>
      <c r="J6" s="0" t="n">
        <f aca="false">I6*(1+J5/100)</f>
        <v>2388499.95550872</v>
      </c>
      <c r="K6" s="0" t="n">
        <f aca="false">J6*(1+K5/100)</f>
        <v>2448212.45439644</v>
      </c>
      <c r="L6" s="0" t="n">
        <f aca="false">K6*(1+L5/100)</f>
        <v>2509417.76575635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16</v>
      </c>
      <c r="D7" s="4" t="n">
        <f aca="false">Assumptions!D42</f>
        <v>16.6</v>
      </c>
      <c r="E7" s="4" t="n">
        <f aca="false">Assumptions!E42</f>
        <v>17.2</v>
      </c>
      <c r="F7" s="4" t="n">
        <f aca="false">Assumptions!F42</f>
        <v>17.8</v>
      </c>
      <c r="G7" s="4" t="n">
        <f aca="false">Assumptions!G42</f>
        <v>18.3</v>
      </c>
      <c r="H7" s="4" t="n">
        <f aca="false">Assumptions!H42</f>
        <v>18.7</v>
      </c>
      <c r="I7" s="4" t="n">
        <f aca="false">Assumptions!I42</f>
        <v>19</v>
      </c>
      <c r="J7" s="4" t="n">
        <f aca="false">Assumptions!J42</f>
        <v>19.2</v>
      </c>
      <c r="K7" s="4" t="n">
        <f aca="false">Assumptions!K42</f>
        <v>19.4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289093.9696</v>
      </c>
      <c r="D8" s="0" t="n">
        <f aca="false">D6*D7/100</f>
        <v>316431.4181003</v>
      </c>
      <c r="E8" s="0" t="n">
        <f aca="false">E6*E7/100</f>
        <v>344262.13318623</v>
      </c>
      <c r="F8" s="0" t="n">
        <f aca="false">F6*F7/100</f>
        <v>372303.484848666</v>
      </c>
      <c r="G8" s="0" t="n">
        <f aca="false">G6*G7/100</f>
        <v>398071.905822462</v>
      </c>
      <c r="H8" s="0" t="n">
        <f aca="false">H6*H7/100</f>
        <v>421009.983674363</v>
      </c>
      <c r="I8" s="0" t="n">
        <f aca="false">I6*I7/100</f>
        <v>440597.079171512</v>
      </c>
      <c r="J8" s="0" t="n">
        <f aca="false">J6*J7/100</f>
        <v>458591.991457675</v>
      </c>
      <c r="K8" s="0" t="n">
        <f aca="false">K6*K7/100</f>
        <v>474953.21615291</v>
      </c>
      <c r="L8" s="0" t="n">
        <f aca="false">L6*L7/100</f>
        <v>489336.464322489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-722.734924</v>
      </c>
      <c r="D10" s="0" t="n">
        <f aca="false">-D6*D9/100</f>
        <v>-762.48534482</v>
      </c>
      <c r="E10" s="0" t="n">
        <f aca="false">-E6*E9/100</f>
        <v>-800.609612061</v>
      </c>
      <c r="F10" s="0" t="n">
        <f aca="false">-F6*F9/100</f>
        <v>-836.637044603745</v>
      </c>
      <c r="G10" s="0" t="n">
        <f aca="false">-G6*G9/100</f>
        <v>-870.102526387895</v>
      </c>
      <c r="H10" s="0" t="n">
        <f aca="false">-H6*H9/100</f>
        <v>-900.556114811471</v>
      </c>
      <c r="I10" s="0" t="n">
        <f aca="false">-I6*I9/100</f>
        <v>-927.572798255815</v>
      </c>
      <c r="J10" s="0" t="n">
        <f aca="false">-J6*J9/100</f>
        <v>-955.39998220349</v>
      </c>
      <c r="K10" s="0" t="n">
        <f aca="false">-K6*K9/100</f>
        <v>-979.284981758577</v>
      </c>
      <c r="L10" s="0" t="n">
        <f aca="false">-L6*L9/100</f>
        <v>-1003.76710630254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263075.512336</v>
      </c>
      <c r="D11" s="0" t="n">
        <f aca="false">D8+D10+D24</f>
        <v>288981.94568678</v>
      </c>
      <c r="E11" s="0" t="n">
        <f aca="false">E8+E10+E24</f>
        <v>315440.187152034</v>
      </c>
      <c r="F11" s="0" t="n">
        <f aca="false">F8+F10+F24</f>
        <v>342184.551242932</v>
      </c>
      <c r="G11" s="0" t="n">
        <f aca="false">G8+G10+G24</f>
        <v>366748.214872498</v>
      </c>
      <c r="H11" s="0" t="n">
        <f aca="false">H8+H10+H24</f>
        <v>388589.96354115</v>
      </c>
      <c r="I11" s="0" t="n">
        <f aca="false">I8+I10+I24</f>
        <v>407204.458434303</v>
      </c>
      <c r="J11" s="0" t="n">
        <f aca="false">J8+J10+J24</f>
        <v>424197.592098349</v>
      </c>
      <c r="K11" s="0" t="n">
        <f aca="false">K8+K10+K24</f>
        <v>439698.956809601</v>
      </c>
      <c r="L11" s="0" t="n">
        <f aca="false">L8+L10+L24</f>
        <v>453200.848495597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-70466.65509</v>
      </c>
      <c r="D12" s="4" t="n">
        <f aca="false">-D6*Assumptions!D45/100</f>
        <v>-74342.32111995</v>
      </c>
      <c r="E12" s="4" t="n">
        <f aca="false">-E6*Assumptions!E45/100</f>
        <v>-78059.4371759475</v>
      </c>
      <c r="F12" s="4" t="n">
        <f aca="false">-F6*Assumptions!F45/100</f>
        <v>-81572.1118488651</v>
      </c>
      <c r="G12" s="4" t="n">
        <f aca="false">-G6*Assumptions!G45/100</f>
        <v>-84834.9963228197</v>
      </c>
      <c r="H12" s="4" t="n">
        <f aca="false">-H6*Assumptions!H45/100</f>
        <v>-87804.2211941184</v>
      </c>
      <c r="I12" s="4" t="n">
        <f aca="false">-I6*Assumptions!I45/100</f>
        <v>-90438.347829942</v>
      </c>
      <c r="J12" s="4" t="n">
        <f aca="false">-J6*Assumptions!J45/100</f>
        <v>-93151.4982648402</v>
      </c>
      <c r="K12" s="4" t="n">
        <f aca="false">-K6*Assumptions!K45/100</f>
        <v>-95480.2857214612</v>
      </c>
      <c r="L12" s="4" t="n">
        <f aca="false">-L6*Assumptions!L45/100</f>
        <v>-97867.2928644977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192608.857246</v>
      </c>
      <c r="D13" s="0" t="n">
        <f aca="false">D11+D12</f>
        <v>214639.62456683</v>
      </c>
      <c r="E13" s="0" t="n">
        <f aca="false">E11+E12</f>
        <v>237380.749976087</v>
      </c>
      <c r="F13" s="0" t="n">
        <f aca="false">F11+F12</f>
        <v>260612.439394067</v>
      </c>
      <c r="G13" s="0" t="n">
        <f aca="false">G11+G12</f>
        <v>281913.218549678</v>
      </c>
      <c r="H13" s="0" t="n">
        <f aca="false">H11+H12</f>
        <v>300785.742347031</v>
      </c>
      <c r="I13" s="0" t="n">
        <f aca="false">I11+I12</f>
        <v>316766.110604361</v>
      </c>
      <c r="J13" s="0" t="n">
        <f aca="false">J11+J12</f>
        <v>331046.093833509</v>
      </c>
      <c r="K13" s="0" t="n">
        <f aca="false">K11+K12</f>
        <v>344218.67108814</v>
      </c>
      <c r="L13" s="0" t="n">
        <f aca="false">L11+L12</f>
        <v>355333.555631099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136752.28864466</v>
      </c>
      <c r="D15" s="0" t="n">
        <f aca="false">D13-MAX(0,D13)*D14/100</f>
        <v>152394.133442449</v>
      </c>
      <c r="E15" s="0" t="n">
        <f aca="false">E13-MAX(0,E13)*E14/100</f>
        <v>168540.332483021</v>
      </c>
      <c r="F15" s="0" t="n">
        <f aca="false">F13-MAX(0,F13)*F14/100</f>
        <v>185034.831969787</v>
      </c>
      <c r="G15" s="0" t="n">
        <f aca="false">G13-MAX(0,G13)*G14/100</f>
        <v>200158.385170271</v>
      </c>
      <c r="H15" s="0" t="n">
        <f aca="false">H13-MAX(0,H13)*H14/100</f>
        <v>213557.877066392</v>
      </c>
      <c r="I15" s="0" t="n">
        <f aca="false">I13-MAX(0,I13)*I14/100</f>
        <v>224903.938529096</v>
      </c>
      <c r="J15" s="0" t="n">
        <f aca="false">J13-MAX(0,J13)*J14/100</f>
        <v>235042.726621791</v>
      </c>
      <c r="K15" s="0" t="n">
        <f aca="false">K13-MAX(0,K13)*K14/100</f>
        <v>244395.256472579</v>
      </c>
      <c r="L15" s="0" t="n">
        <f aca="false">L13-MAX(0,L13)*L14/100</f>
        <v>252286.824498081</v>
      </c>
    </row>
    <row r="16" customFormat="false" ht="15" hidden="false" customHeight="false" outlineLevel="0" collapsed="false">
      <c r="A16" s="0" t="s">
        <v>122</v>
      </c>
      <c r="C16" s="0" t="n">
        <f aca="false">-C12</f>
        <v>70466.65509</v>
      </c>
      <c r="D16" s="0" t="n">
        <f aca="false">-D12</f>
        <v>74342.32111995</v>
      </c>
      <c r="E16" s="0" t="n">
        <f aca="false">-E12</f>
        <v>78059.4371759475</v>
      </c>
      <c r="F16" s="0" t="n">
        <f aca="false">-F12</f>
        <v>81572.1118488651</v>
      </c>
      <c r="G16" s="0" t="n">
        <f aca="false">-G12</f>
        <v>84834.9963228197</v>
      </c>
      <c r="H16" s="0" t="n">
        <f aca="false">-H12</f>
        <v>87804.2211941184</v>
      </c>
      <c r="I16" s="0" t="n">
        <f aca="false">-I12</f>
        <v>90438.347829942</v>
      </c>
      <c r="J16" s="0" t="n">
        <f aca="false">-J12</f>
        <v>93151.4982648402</v>
      </c>
      <c r="K16" s="0" t="n">
        <f aca="false">-K12</f>
        <v>95480.2857214612</v>
      </c>
      <c r="L16" s="0" t="n">
        <f aca="false">-L12</f>
        <v>97867.2928644977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-74080.32971</v>
      </c>
      <c r="D17" s="4" t="n">
        <f aca="false">-D6*Assumptions!D46/100</f>
        <v>-78154.74784405</v>
      </c>
      <c r="E17" s="4" t="n">
        <f aca="false">-E6*Assumptions!E46/100</f>
        <v>-80060.9612061</v>
      </c>
      <c r="F17" s="4" t="n">
        <f aca="false">-F6*Assumptions!F46/100</f>
        <v>-83663.7044603745</v>
      </c>
      <c r="G17" s="4" t="n">
        <f aca="false">-G6*Assumptions!G46/100</f>
        <v>-87010.2526387895</v>
      </c>
      <c r="H17" s="4" t="n">
        <f aca="false">-H6*Assumptions!H46/100</f>
        <v>-90055.6114811471</v>
      </c>
      <c r="I17" s="4" t="n">
        <f aca="false">-I6*Assumptions!I46/100</f>
        <v>-92757.2798255815</v>
      </c>
      <c r="J17" s="4" t="n">
        <f aca="false">-J6*Assumptions!J46/100</f>
        <v>-95539.998220349</v>
      </c>
      <c r="K17" s="4" t="n">
        <f aca="false">-K6*Assumptions!K46/100</f>
        <v>-97928.4981758577</v>
      </c>
      <c r="L17" s="4" t="n">
        <f aca="false">-L6*Assumptions!L46/100</f>
        <v>-100376.710630254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-5910.2155</v>
      </c>
      <c r="D18" s="4" t="n">
        <f aca="false">(D6-C6)*Assumptions!$B$51/100</f>
        <v>-4968.80260249999</v>
      </c>
      <c r="E18" s="4" t="n">
        <f aca="false">(E6-D6)*Assumptions!$B$51/100</f>
        <v>-4765.533405125</v>
      </c>
      <c r="F18" s="4" t="n">
        <f aca="false">(F6-E6)*Assumptions!$B$51/100</f>
        <v>-4503.42906784312</v>
      </c>
      <c r="G18" s="4" t="n">
        <f aca="false">(G6-F6)*Assumptions!$B$51/100</f>
        <v>-4183.18522301873</v>
      </c>
      <c r="H18" s="4" t="n">
        <f aca="false">(H6-G6)*Assumptions!$B$51/100</f>
        <v>-3806.69855294703</v>
      </c>
      <c r="I18" s="4" t="n">
        <f aca="false">(I6-H6)*Assumptions!$B$51/100</f>
        <v>-3377.08543054301</v>
      </c>
      <c r="J18" s="4" t="n">
        <f aca="false">(J6-I6)*Assumptions!$B$51/100</f>
        <v>-3478.39799345932</v>
      </c>
      <c r="K18" s="4" t="n">
        <f aca="false">(K6-J6)*Assumptions!$B$51/100</f>
        <v>-2985.62494438589</v>
      </c>
      <c r="L18" s="4" t="n">
        <f aca="false">(L6-K6)*Assumptions!$B$51/100</f>
        <v>-3060.26556799554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127228.39852466</v>
      </c>
      <c r="D19" s="0" t="n">
        <f aca="false">D15+D16+D17+D18</f>
        <v>143612.904115849</v>
      </c>
      <c r="E19" s="0" t="n">
        <f aca="false">E15+E16+E17+E18</f>
        <v>161773.275047744</v>
      </c>
      <c r="F19" s="0" t="n">
        <f aca="false">F15+F16+F17+F18</f>
        <v>178439.810290435</v>
      </c>
      <c r="G19" s="0" t="n">
        <f aca="false">G15+G16+G17+G18</f>
        <v>193799.943631283</v>
      </c>
      <c r="H19" s="0" t="n">
        <f aca="false">H15+H16+H17+H18</f>
        <v>207499.788226417</v>
      </c>
      <c r="I19" s="0" t="n">
        <f aca="false">I15+I16+I17+I18</f>
        <v>219207.921102914</v>
      </c>
      <c r="J19" s="0" t="n">
        <f aca="false">J15+J16+J17+J18</f>
        <v>229175.828672823</v>
      </c>
      <c r="K19" s="0" t="n">
        <f aca="false">K15+K16+K17+K18</f>
        <v>238961.419073797</v>
      </c>
      <c r="L19" s="0" t="n">
        <f aca="false">L15+L16+L17+L18</f>
        <v>246717.141164329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118905.04535015</v>
      </c>
      <c r="D21" s="0" t="n">
        <f aca="false">D19*D20</f>
        <v>125437.07233457</v>
      </c>
      <c r="E21" s="0" t="n">
        <f aca="false">E19*E20</f>
        <v>132055.180959153</v>
      </c>
      <c r="F21" s="0" t="n">
        <f aca="false">F19*F20</f>
        <v>136130.876909241</v>
      </c>
      <c r="G21" s="0" t="n">
        <f aca="false">G19*G20</f>
        <v>138176.681393819</v>
      </c>
      <c r="H21" s="0" t="n">
        <f aca="false">H19*H20</f>
        <v>138265.870328246</v>
      </c>
      <c r="I21" s="0" t="n">
        <f aca="false">I19*I20</f>
        <v>136511.676285897</v>
      </c>
      <c r="J21" s="0" t="n">
        <f aca="false">J19*J20</f>
        <v>133382.418833821</v>
      </c>
      <c r="K21" s="0" t="n">
        <f aca="false">K19*K20</f>
        <v>129979.179010029</v>
      </c>
      <c r="L21" s="0" t="n">
        <f aca="false">L19*L20</f>
        <v>125418.484068388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1.4</v>
      </c>
      <c r="D23" s="4" t="n">
        <f aca="false">Assumptions!D44</f>
        <v>1.4</v>
      </c>
      <c r="E23" s="4" t="n">
        <f aca="false">Assumptions!E44</f>
        <v>1.4</v>
      </c>
      <c r="F23" s="4" t="n">
        <f aca="false">Assumptions!F44</f>
        <v>1.4</v>
      </c>
      <c r="G23" s="4" t="n">
        <f aca="false">Assumptions!G44</f>
        <v>1.4</v>
      </c>
      <c r="H23" s="4" t="n">
        <f aca="false">Assumptions!H44</f>
        <v>1.4</v>
      </c>
      <c r="I23" s="4" t="n">
        <f aca="false">Assumptions!I44</f>
        <v>1.4</v>
      </c>
      <c r="J23" s="4" t="n">
        <f aca="false">Assumptions!J44</f>
        <v>1.4</v>
      </c>
      <c r="K23" s="4" t="n">
        <f aca="false">Assumptions!K44</f>
        <v>1.4</v>
      </c>
      <c r="L23" s="4" t="n">
        <f aca="false">Assumptions!L44</f>
        <v>1.4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-25295.72234</v>
      </c>
      <c r="D24" s="0" t="n">
        <f aca="false">-D6*D23/100</f>
        <v>-26686.9870687</v>
      </c>
      <c r="E24" s="0" t="n">
        <f aca="false">-E6*E23/100</f>
        <v>-28021.336422135</v>
      </c>
      <c r="F24" s="0" t="n">
        <f aca="false">-F6*F23/100</f>
        <v>-29282.2965611311</v>
      </c>
      <c r="G24" s="0" t="n">
        <f aca="false">-G6*G23/100</f>
        <v>-30453.5884235763</v>
      </c>
      <c r="H24" s="0" t="n">
        <f aca="false">-H6*H23/100</f>
        <v>-31519.4640184015</v>
      </c>
      <c r="I24" s="0" t="n">
        <f aca="false">-I6*I23/100</f>
        <v>-32465.0479389535</v>
      </c>
      <c r="J24" s="0" t="n">
        <f aca="false">-J6*J23/100</f>
        <v>-33438.9993771221</v>
      </c>
      <c r="K24" s="0" t="n">
        <f aca="false">-K6*K23/100</f>
        <v>-34274.9743615502</v>
      </c>
      <c r="L24" s="0" t="n">
        <f aca="false">-L6*L23/100</f>
        <v>-35131.8487205889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1314262.48547331</v>
      </c>
    </row>
    <row r="31" customFormat="false" ht="15" hidden="false" customHeight="false" outlineLevel="0" collapsed="false">
      <c r="A31" s="0" t="s">
        <v>131</v>
      </c>
      <c r="B31" s="0" t="n">
        <f aca="false">L19</f>
        <v>246717.141164329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5033029.67975231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4934342.82328657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4934342.82328657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2508369.68136775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3822632.16684107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3986888.16684107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4406.57962332587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0.176028722531591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6030.31704424165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10409.391678323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4424.74990612256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1935780.64605858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1705.06186880499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2025.28985226316</v>
      </c>
      <c r="C4" s="0" t="n">
        <f aca="false">B4/Assumptions!$B$2-1</f>
        <v>-0.459490298301799</v>
      </c>
      <c r="D4" s="4" t="n">
        <f aca="false">Assumptions!$B$24</f>
        <v>0.2</v>
      </c>
      <c r="E4" s="4" t="n">
        <f aca="false">DCF_Bear!$B$43</f>
        <v>2038.54065330179</v>
      </c>
      <c r="F4" s="4" t="n">
        <f aca="false">DCF_Bear!$B$47</f>
        <v>989.326883550267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3313.58062140283</v>
      </c>
      <c r="C5" s="0" t="n">
        <f aca="false">B5/Assumptions!$B$2-1</f>
        <v>-0.115671037789476</v>
      </c>
      <c r="D5" s="4" t="n">
        <f aca="false">Assumptions!$B$38</f>
        <v>0.5</v>
      </c>
      <c r="E5" s="4" t="n">
        <f aca="false">DCF_Base!$B$43</f>
        <v>3329.41086327665</v>
      </c>
      <c r="F5" s="4" t="n">
        <f aca="false">DCF_Base!$B$47</f>
        <v>1404.94397995897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4406.57962332587</v>
      </c>
      <c r="C6" s="0" t="n">
        <f aca="false">B6/Assumptions!$B$2-1</f>
        <v>0.176028722531591</v>
      </c>
      <c r="D6" s="4" t="n">
        <f aca="false">Assumptions!$B$52</f>
        <v>0.3</v>
      </c>
      <c r="E6" s="4" t="n">
        <f aca="false">DCF_Bull!$B$43</f>
        <v>4424.74990612256</v>
      </c>
      <c r="F6" s="4" t="n">
        <f aca="false">DCF_Bull!$B$47</f>
        <v>1705.06186880499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3383.82216815181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3399.83853413545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-0.107327694482997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1411.85592733103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3313.58062140283</v>
      </c>
      <c r="C15" s="3" t="n">
        <v>7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2451.2969934196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2173.15143754403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1954.01637871679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1777.0066555935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1404.94397995897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4036.35978716283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4036.35978716283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4036.35978716283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4036.35978716283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4036.35978716283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3544.3383070017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3741.76241943298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3741.76241943298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3741.76241943298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3741.76241943298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3002.14528617829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3144.88648148954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3313.58062140283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3474.39185758187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3474.39185758187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2605.6887339703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2703.20898995592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2815.73236224701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2947.00962991995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3102.15549171524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2303.46131436396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2372.75928892129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2451.2969934196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2541.05436998909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2644.62057372311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2026-10-31T02:10:54Z</dcterms:created>
  <dc:creator>openpyxl</dc:creator>
  <dc:description/>
  <dc:language>en-NZ</dc:language>
  <cp:lastModifiedBy/>
  <dcterms:modified xsi:type="dcterms:W3CDTF">2026-10-31T02:10:54Z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