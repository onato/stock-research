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<sst xmlns="http://schemas.openxmlformats.org/spreadsheetml/2006/main" count="360" uniqueCount="168">
  <si>
    <t xml:space="preserve">Ticker</t>
  </si>
  <si>
    <t xml:space="preserve">3339.HK</t>
  </si>
  <si>
    <t xml:space="preserve">Company</t>
  </si>
  <si>
    <t xml:space="preserve">Lonking Holdings Limited</t>
  </si>
  <si>
    <t xml:space="preserve">Valuation date</t>
  </si>
  <si>
    <t xml:space="preserve">2026-10-22</t>
  </si>
  <si>
    <t xml:space="preserve">Current price</t>
  </si>
  <si>
    <t xml:space="preserve">Price as of</t>
  </si>
  <si>
    <t xml:space="preserve">2026-10-22T08:08:33Z (HKEX regular-session close 16:08 HKT; not an after-hours print)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</si>
  <si>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</si>
  <si>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</si>
  <si>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</si>
  <si>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</si>
  <si>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</si>
  <si>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</si>
  <si>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</si>
  <si>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</si>
  <si>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</si>
  <si>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</si>
  <si>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</si>
  <si>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</si>
  <si>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</si>
  <si>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2026-10-22T08:58:13Z</t>
  </si>
  <si>
    <t xml:space="preserve">Drivers file</t>
  </si>
  <si>
    <t xml:space="preserve">3339.HK_Drivers.json</t>
  </si>
  <si>
    <t xml:space="preserve">Convention</t>
  </si>
  <si>
    <t xml:space="preserve">Percents stored as percents; formulas divide by 100. Blue = input, green = link, black = formula.</t>
  </si>
  <si>
    <t xml:space="preserve">Methodology</t>
  </si>
  <si>
    <t xml:space="preserve">summary: Lonking is valued as two things: a net-cash-and-investments position and a cyclical, sub-scale but consistently profitable loader/forklift/excavator franchise generating ~RMB1.0-1.2bn of owner FCF a year at mid-cycle. The DCF strips finance income and investment gains from the flows and puts their source assets in the bridge at face, so the cash is counted exactly once. The growth path is capped at the through-cycle rate and the exit multiples at the stock's own trading history, so the base case does not require the market to pay more for the operating business than it has on average over the last decade; what it does require is that the cash be credited at face.
re_rate_free_floor: At 30 June 2026 the group held RMB7,276.6m of cash and time deposits with zero borrowings (71% of the market capitalisation of ~RMB10.2bn at current_price and CNY/HKD 1.1747), plus RMB900.8m of FVTPL wealth-management products and listed equities (80% of market cap together). Net of the RMB743.5m FY2025 final dividend that was still a liability at that date and was paid on 31 July 2026 (the price is ex-dividend), the position is RMB7,433m = RMB1.74 = HK$2.04 per share, 73% of the share price. That is the re-rate-free floor: the ~HK$0.75 the market pays above it buys ~RMB1.0bn a year of owner FCF at under 3x, i.e. the market capitalises the operating franchise near its FY2023 trough multiple and treats most of the cash as trapped inside PRC subsidiaries under a 57% family holder. The house view credits the cash at face (payout was 58% in FY2025, so it is being returned, if slowly) and charges the cyclicality and governance risk through a 25% bear weight and historical-range exit multiples rather than through an ad-hoc discount on the cash.
sanity_check_fix: The first build (base IV HK$6.54, +134% at a price in the upper 77% of its 10-year range) tripped scripts/sanity_check.py with diagnosis growth_too_high: the base 10-year revenue CAGR of 4.7% exceeded the FY2017-FY2025 through-cycle CAGR of 2.8%. Fix applied per the runbook (Step 8c.5, items 3 and 4): (1) base growth path capped at a 2.77% 10-year CAGR, keeping the banked FY2026 +15% and flattening to 1% by FY2032, terminal growth 2.5% -&gt; 2.0%; bull trimmed 6.4% -&gt; 5.0% for ordering; bear unchanged (~0%). (2) Exit-multiple caps set from the stock's own 10-year EV/EBITDA range -- bear 3.7x (min), base 6.6x (average), bull 10.9x (max) -- expressed as owner-FCF cap multiples of 5.6x / 9.5x / 14x (bull kept at the tighter 14x already judged). Margins, capex, D&amp;A, tax, working capital, WACC, bridge and weights were deliberately left unchanged: none of them was the diagnosed cause and the margin anchor is reported history, not the growth path. The residual upside after the fix is almost entirely the cash: the 10-year historical multiples the check compares against were struck on an EV that had already deducted the cash, so a model that credits the cash at face will always print a higher P/B and EV/EBITDA than the stock's own history. Whether that credit is deserved is the governance risk, not a growth or multiple error.
key_risks_to_valuation: Trapped-cash discount: ~HK$2.04/share of the value (73% of the price) is cash, time deposits and wealth-management products inside PRC subsidiaries under a 57% family holder; a 58% payout returns some of it, but a buyer of the shares cannot compel its return and the market has historically capitalised it at a steep discount -- this, not growth or the exit multiple, is what the residual upside after the sanity-check fix turns on; China construction cycle: domestic sales (~66%) fell 23% across FY2021-23; the current recovery is subsidy- and renewal-driven and the bear case assumes it repeats; Trade remedies on exports: the UK's 18.8-83.5% anti-dumping duties on Chinese excavators (May 2025) are the template; exports are the only structural growth driver; Receivables quality: trade and long-term receivables are growing faster than revenue on extended terms for electric machines (long-term receivables +82% in H1 FY2026); a downturn converts that into credit losses that the model's -12% WC capture does not fully price; Forklift segment (25-31% of revenue) is shrinking in both volume and price; a faster decline than assumed takes the mid-cycle margin below 13%; FX: RMB flows against an HKD quote; the fx_rate 1.1747 is dated 2026-10-22 and is not refreshed by price-only updates; Capex has run at a quarter of D&amp;A for four years; if the 'technology deployment reform' and electrification require a step-up beyond the 1.8% of revenue modelled, FCF conversion falls; Through-cycle cap is itself a judgment: FY2017 (start of the measured CAGR) was mid-recovery, not a trough, so 2.8% is not obviously conservative; a FY2016 trough start would read higher and a FY2020 peak start lower</t>
  </si>
  <si>
    <t xml:space="preserve">Data sources</t>
  </si>
  <si>
    <t xml:space="preserve">price: Yahoo Finance chart API at inputs.price_as_of (HKEX regular-session close); 52-week range HK$2.51-3.62
fx: Yahoo Finance CNYHKD=X and HKDCNY=X, 2026-10-22
financials: 3339.HK_Metrics.csv (core_metrics, CNY millions, FY2017-FY2025 annual and H1 FY2023-H1 FY2026 interim); Annual Report FY2025 notes 5 (finance income, other income, other gains and losses), cash flow statement; Interim Report H1 FY2026 balance sheet, notes 8, 14 and 15 for shares, FVTPL assets, cash/time deposits/pledged deposits and dividends payable
qualitative: 3339.HK_Analysis.json (2026-10-22): segment mix, export share, guidance commentary, bull/bear axes, UK anti-dumping duties, CCMA industry volumes</t>
  </si>
  <si>
    <t xml:space="preserve">Scenario narrative: bear</t>
  </si>
  <si>
    <t xml:space="preserve">The 'bottoming recovery' management describes proves to be a subsidy-driven renewal spike rather than a new up-cycle. From FY2027 domestic volumes roll over as old-for-new incentives fade and property/infrastructure investment disappoints, while trade remedies spread from the UK's 18.8-83.5% excavator duties to other developed and emerging markets, stalling the export engine. Revenue falls ~19% over three years (FY2021-23 was -23%), operating EBITDA margin troughs at 8% in a loader/forklift price war, and receivables stretched on electric machines produce credit losses. The cash pile cushions the equity but the operating business exits at the stock's own 10-year trough multiple of 3.7x EV/EBITDA (5.6x owner FCF): a sub-scale player (vs XCMG/SANY/Zoomlion) whose cash the family-controlled board returns only partially, and which the market never re-rates.</t>
  </si>
  <si>
    <t xml:space="preserve">Scenario narrative: base</t>
  </si>
  <si>
    <t xml:space="preserve">China's construction-machinery recovery that began in 2025 runs through FY2026 (revenue +15%, H1 already +19%) and then the path reverts to the FY2017-FY2025 through-cycle growth rate of 2.8% a year, compounded over ten years: domestic equipment renewal and 15th Five-Year Plan infrastructure keep loaders and excavators growing while forklifts keep shrinking under price competition, exports (34% of FY2025 sales) grow faster than the group but face incremental trade friction, and the next downturn is averaged into the path rather than modelled as an event. Operating EBITDA margin holds ~13.75% while volumes are rising and settles at 13% mid-cycle; capex normalises back toward D&amp;A after four years of under-investment; working capital absorbs ~12% of each year's revenue increase as electric machines sell on extended terms. Terminal value is capped at the stock's own 10-year average EV/EBITDA of 6.6x (9.5x owner FCF), so the base case assumes NO re-rating of the operating business relative to its own history; the upside to the price is the net cash credited at face plus the operating franchise at its historical multiple.</t>
  </si>
  <si>
    <t xml:space="preserve">Scenario narrative: bull</t>
  </si>
  <si>
    <t xml:space="preserve">Chinese machinery brands keep taking global share: Lonking's exports compound high-teens for two more years along Belt and Road and resource-rich emerging markets without new anti-dumping actions, excavators and electric loaders keep lifting mix, and forklift electrification turns that segment from drag to contributor, for a 10-year revenue CAGR of 5% (through-cycle plus ~2pp). Gross margin keeps expanding (19.6% -&gt; 21.4% -&gt; 21.55% and on) so operating EBITDA reaches 15.5%; the board keeps lifting the payout (58% in FY2025) and the market starts to credit the cash pile. Exit at 14x owner FCF (~9.9x EBITDA), below the stock's own 10-year maximum of 10.9x and well short of the FY2019-20 margin peak.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</si>
  <si>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</si>
  <si>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</si>
  <si>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</si>
  <si>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</si>
  <si>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</si>
  <si>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</si>
  <si>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</si>
  <si>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</si>
  <si>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</si>
  <si>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</si>
  <si>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</si>
  <si>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</si>
  <si>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</si>
  <si>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</si>
  <si>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</si>
  <si>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</si>
  <si>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</si>
  <si>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</si>
  <si>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</si>
  <si>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</si>
  <si>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</si>
  <si>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</si>
  <si>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</si>
  <si>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</si>
  <si>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</si>
  <si>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</si>
  <si>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</si>
  <si>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EffectiveCashTaxRate</t>
  </si>
  <si>
    <t xml:space="preserve">ShortTermInvestmentsFVTPL</t>
  </si>
  <si>
    <t xml:space="preserve">TimeDeposits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</si>
  <si>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</si>
  <si>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</si>
  <si>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</si>
  <si>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</si>
  <si>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</si>
  <si>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</si>
  <si>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</si>
  <si>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</si>
  <si>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</si>
  <si>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</si>
  <si>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</si>
  <si>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</si>
  <si>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</si>
  <si>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</si>
  <si>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</si>
  <si>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</si>
  <si>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</si>
  <si>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</si>
  <si>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</si>
  <si>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</si>
  <si>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</si>
  <si>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</si>
  <si>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</si>
  <si>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</si>
  <si>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</si>
  <si>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</si>
  <si>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</si>
  <si>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</si>
  <si>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</si>
  <si>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</si>
  <si>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</si>
  <si>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</si>
  <si>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</si>
  <si>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</si>
  <si>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</si>
  <si>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</si>
  <si>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</si>
  <si>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</si>
  <si>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</si>
  <si>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</si>
  <si>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</si>
  <si>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</si>
  <si>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</si>
  <si>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</si>
  <si>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</si>
  <si>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</si>
  <si>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3339.HK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</si>
  <si>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</si>
  <si>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</si>
  <si>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</si>
  <si>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</si>
  <si>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</si>
  <si>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</si>
  <si>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</si>
  <si>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</si>
  <si>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</si>
  <si>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</si>
  <si>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</si>
  <si>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</si>
  <si>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</si>
  <si>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</si>
  <si>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</si>
  <si>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</si>
  <si>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</si>
  <si>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</si>
  <si>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</si>
  <si>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</si>
  <si>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</si>
  <si>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</si>
  <si>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</si>
  <si>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</si>
  <si>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</si>
  <si>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</si>
  <si>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</si>
  <si>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</si>
  <si>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</si>
  <si>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</si>
  <si>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3339.HK owner-FCF component DCF: base case (millions, CNY)</t>
  </si>
  <si>
    <t xml:space="preserve">3339.HK owner-FCF component DCF: bull case (millions, CNY)</t>
  </si>
  <si>
    <t xml:space="preserve">3339.HK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</si>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</sst>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2.795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46.2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8994.097</v>
      </c>
      <c r="C2" s="0" t="n">
        <v>-6602.561</v>
      </c>
      <c r="D2" s="0" t="n">
        <v>2391.536</v>
      </c>
      <c r="E2" s="0" t="n">
        <v>26.6</v>
      </c>
      <c r="F2" s="0" t="n">
        <v>1360.888</v>
      </c>
      <c r="G2" s="0" t="n">
        <v>15.1</v>
      </c>
      <c r="H2" s="0" t="n">
        <v>1720.226</v>
      </c>
      <c r="I2" s="0" t="n">
        <v>1045.635</v>
      </c>
      <c r="J2" s="0" t="n">
        <v>11.6</v>
      </c>
      <c r="K2" s="0" t="n">
        <v>0.24</v>
      </c>
      <c r="L2" s="0" t="n">
        <v>1591.813</v>
      </c>
      <c r="M2" s="0" t="n">
        <v>170.105</v>
      </c>
      <c r="N2" s="0" t="n">
        <v>1421.708</v>
      </c>
      <c r="O2" s="0" t="n">
        <v>7727.762</v>
      </c>
      <c r="P2" s="0" t="n">
        <v>13818.866</v>
      </c>
      <c r="Q2" s="0" t="n">
        <v>6088.66</v>
      </c>
      <c r="R2" s="0" t="n">
        <v>1502.866</v>
      </c>
      <c r="S2" s="0" t="n">
        <v>1633.686</v>
      </c>
      <c r="T2" s="0" t="n">
        <v>4280.1</v>
      </c>
      <c r="U2" s="0" t="n">
        <v>0</v>
      </c>
      <c r="AA2" s="0" t="s">
        <v>18</v>
      </c>
      <c r="AB2" s="0" t="s">
        <v>14</v>
      </c>
      <c r="AC2" s="0" t="n">
        <v>19.6</v>
      </c>
    </row>
    <row r="3" customFormat="false" ht="15" hidden="false" customHeight="false" outlineLevel="0" collapsed="false">
      <c r="A3" s="0" t="s">
        <v>68</v>
      </c>
      <c r="B3" s="0" t="n">
        <v>11868.316</v>
      </c>
      <c r="C3" s="0" t="n">
        <v>-9143.78</v>
      </c>
      <c r="D3" s="0" t="n">
        <v>2724.536</v>
      </c>
      <c r="E3" s="0" t="n">
        <v>23</v>
      </c>
      <c r="F3" s="0" t="n">
        <v>1230.212</v>
      </c>
      <c r="G3" s="0" t="n">
        <v>10.4</v>
      </c>
      <c r="H3" s="0" t="n">
        <v>1583.146</v>
      </c>
      <c r="I3" s="0" t="n">
        <v>1143.867</v>
      </c>
      <c r="J3" s="0" t="n">
        <v>9.6</v>
      </c>
      <c r="K3" s="0" t="n">
        <v>0.27</v>
      </c>
      <c r="L3" s="0" t="n">
        <v>811.077</v>
      </c>
      <c r="M3" s="0" t="n">
        <v>348.986</v>
      </c>
      <c r="N3" s="0" t="n">
        <v>462.091</v>
      </c>
      <c r="O3" s="0" t="n">
        <v>8204.643</v>
      </c>
      <c r="P3" s="0" t="n">
        <v>14072.347</v>
      </c>
      <c r="Q3" s="0" t="n">
        <v>5865.164</v>
      </c>
      <c r="R3" s="0" t="n">
        <v>1286.85</v>
      </c>
      <c r="S3" s="0" t="n">
        <v>2565.018</v>
      </c>
      <c r="T3" s="0" t="n">
        <v>4280.1</v>
      </c>
      <c r="U3" s="0" t="n">
        <v>0</v>
      </c>
      <c r="AA3" s="0" t="s">
        <v>18</v>
      </c>
      <c r="AB3" s="0" t="s">
        <v>14</v>
      </c>
      <c r="AC3" s="0" t="n">
        <v>31.1</v>
      </c>
    </row>
    <row r="4" customFormat="false" ht="15" hidden="false" customHeight="false" outlineLevel="0" collapsed="false">
      <c r="A4" s="0" t="s">
        <v>69</v>
      </c>
      <c r="B4" s="0" t="n">
        <v>11743.824</v>
      </c>
      <c r="C4" s="0" t="n">
        <v>-8932.96</v>
      </c>
      <c r="D4" s="0" t="n">
        <v>2810.864</v>
      </c>
      <c r="E4" s="0" t="n">
        <v>23.9</v>
      </c>
      <c r="F4" s="0" t="n">
        <v>1840.287</v>
      </c>
      <c r="G4" s="0" t="n">
        <v>15.7</v>
      </c>
      <c r="H4" s="0" t="n">
        <v>2189.659</v>
      </c>
      <c r="I4" s="0" t="n">
        <v>1643.405</v>
      </c>
      <c r="J4" s="0" t="n">
        <v>14</v>
      </c>
      <c r="K4" s="0" t="n">
        <v>0.38</v>
      </c>
      <c r="L4" s="0" t="n">
        <v>1571.123</v>
      </c>
      <c r="M4" s="0" t="n">
        <v>197.445</v>
      </c>
      <c r="N4" s="0" t="n">
        <v>1373.678</v>
      </c>
      <c r="O4" s="0" t="n">
        <v>9074.446</v>
      </c>
      <c r="P4" s="0" t="n">
        <v>14617.703</v>
      </c>
      <c r="Q4" s="0" t="n">
        <v>5540.738</v>
      </c>
      <c r="R4" s="0" t="n">
        <v>709.34</v>
      </c>
      <c r="S4" s="0" t="n">
        <v>2501.836</v>
      </c>
      <c r="T4" s="0" t="n">
        <v>4280.1</v>
      </c>
      <c r="U4" s="0" t="n">
        <v>0</v>
      </c>
      <c r="AA4" s="0" t="s">
        <v>18</v>
      </c>
      <c r="AB4" s="0" t="s">
        <v>14</v>
      </c>
      <c r="AC4" s="0" t="n">
        <v>15.3</v>
      </c>
    </row>
    <row r="5" customFormat="false" ht="15" hidden="false" customHeight="false" outlineLevel="0" collapsed="false">
      <c r="A5" s="0" t="s">
        <v>70</v>
      </c>
      <c r="B5" s="0" t="n">
        <v>12880.448</v>
      </c>
      <c r="C5" s="0" t="n">
        <v>-9870.405</v>
      </c>
      <c r="D5" s="0" t="n">
        <v>3010.043</v>
      </c>
      <c r="E5" s="0" t="n">
        <v>23.4</v>
      </c>
      <c r="F5" s="0" t="n">
        <v>2176.787</v>
      </c>
      <c r="G5" s="0" t="n">
        <v>16.9</v>
      </c>
      <c r="H5" s="0" t="n">
        <v>2517.343</v>
      </c>
      <c r="I5" s="0" t="n">
        <v>1959.235</v>
      </c>
      <c r="J5" s="0" t="n">
        <v>15.2</v>
      </c>
      <c r="K5" s="0" t="n">
        <v>0.46</v>
      </c>
      <c r="L5" s="0" t="n">
        <v>1070.526</v>
      </c>
      <c r="M5" s="0" t="n">
        <v>289.568</v>
      </c>
      <c r="N5" s="0" t="n">
        <v>780.958</v>
      </c>
      <c r="O5" s="0" t="n">
        <v>10091.794</v>
      </c>
      <c r="P5" s="0" t="n">
        <v>17274.236</v>
      </c>
      <c r="Q5" s="0" t="n">
        <v>7179.961</v>
      </c>
      <c r="R5" s="0" t="n">
        <v>663.452</v>
      </c>
      <c r="S5" s="0" t="n">
        <v>2780.567</v>
      </c>
      <c r="T5" s="0" t="n">
        <v>4280.1</v>
      </c>
      <c r="U5" s="0" t="n">
        <v>0</v>
      </c>
      <c r="AA5" s="0" t="s">
        <v>18</v>
      </c>
      <c r="AB5" s="0" t="s">
        <v>14</v>
      </c>
      <c r="AC5" s="0" t="n">
        <v>11.1</v>
      </c>
    </row>
    <row r="6" customFormat="false" ht="15" hidden="false" customHeight="false" outlineLevel="0" collapsed="false">
      <c r="A6" s="0" t="s">
        <v>71</v>
      </c>
      <c r="B6" s="0" t="n">
        <v>13690.52</v>
      </c>
      <c r="C6" s="0" t="n">
        <v>-11233.102</v>
      </c>
      <c r="D6" s="0" t="n">
        <v>2457.418</v>
      </c>
      <c r="E6" s="0" t="n">
        <v>17.9</v>
      </c>
      <c r="F6" s="0" t="n">
        <v>1301.045</v>
      </c>
      <c r="G6" s="0" t="n">
        <v>9.5</v>
      </c>
      <c r="H6" s="0" t="n">
        <v>1591.864</v>
      </c>
      <c r="I6" s="0" t="n">
        <v>1275.383</v>
      </c>
      <c r="J6" s="0" t="n">
        <v>9.3</v>
      </c>
      <c r="K6" s="0" t="n">
        <v>0.3</v>
      </c>
      <c r="L6" s="0" t="n">
        <v>419.684</v>
      </c>
      <c r="M6" s="0" t="n">
        <v>382.399</v>
      </c>
      <c r="N6" s="0" t="n">
        <v>37.285</v>
      </c>
      <c r="O6" s="0" t="n">
        <v>10202.265</v>
      </c>
      <c r="P6" s="0" t="n">
        <v>16602.217</v>
      </c>
      <c r="Q6" s="0" t="n">
        <v>6397.428</v>
      </c>
      <c r="R6" s="0" t="n">
        <v>648.281</v>
      </c>
      <c r="S6" s="0" t="n">
        <v>2025.005</v>
      </c>
      <c r="T6" s="0" t="n">
        <v>4280.1</v>
      </c>
      <c r="U6" s="0" t="n">
        <v>0</v>
      </c>
      <c r="AA6" s="0" t="s">
        <v>18</v>
      </c>
      <c r="AB6" s="0" t="s">
        <v>14</v>
      </c>
      <c r="AC6" s="0" t="n">
        <v>21.8</v>
      </c>
    </row>
    <row r="7" customFormat="false" ht="15" hidden="false" customHeight="false" outlineLevel="0" collapsed="false">
      <c r="A7" s="0" t="s">
        <v>72</v>
      </c>
      <c r="B7" s="0" t="n">
        <v>11150.234</v>
      </c>
      <c r="C7" s="0" t="n">
        <v>-9283.208</v>
      </c>
      <c r="D7" s="0" t="n">
        <v>1867.026</v>
      </c>
      <c r="E7" s="0" t="n">
        <v>16.7</v>
      </c>
      <c r="F7" s="0" t="n">
        <v>340.931</v>
      </c>
      <c r="G7" s="0" t="n">
        <v>3.1</v>
      </c>
      <c r="H7" s="0" t="n">
        <v>616.451</v>
      </c>
      <c r="I7" s="0" t="n">
        <v>400.454</v>
      </c>
      <c r="J7" s="0" t="n">
        <v>3.6</v>
      </c>
      <c r="K7" s="0" t="n">
        <v>0.09</v>
      </c>
      <c r="L7" s="0" t="n">
        <v>1856.727</v>
      </c>
      <c r="M7" s="0" t="n">
        <v>239.267</v>
      </c>
      <c r="N7" s="0" t="n">
        <v>1617.46</v>
      </c>
      <c r="O7" s="0" t="n">
        <v>9748.745</v>
      </c>
      <c r="P7" s="0" t="n">
        <v>15390.93</v>
      </c>
      <c r="Q7" s="0" t="n">
        <v>5639.775</v>
      </c>
      <c r="R7" s="0" t="n">
        <v>708.161</v>
      </c>
      <c r="S7" s="0" t="n">
        <v>2031.973</v>
      </c>
      <c r="T7" s="0" t="n">
        <v>4280.1</v>
      </c>
      <c r="U7" s="0" t="n">
        <v>0</v>
      </c>
      <c r="AA7" s="0" t="s">
        <v>18</v>
      </c>
      <c r="AB7" s="0" t="s">
        <v>14</v>
      </c>
      <c r="AC7" s="0" t="n">
        <v>16</v>
      </c>
    </row>
    <row r="8" customFormat="false" ht="15" hidden="false" customHeight="false" outlineLevel="0" collapsed="false">
      <c r="A8" s="0" t="s">
        <v>73</v>
      </c>
      <c r="B8" s="0" t="n">
        <v>10522.925</v>
      </c>
      <c r="C8" s="0" t="n">
        <v>-8677.945</v>
      </c>
      <c r="D8" s="0" t="n">
        <v>1844.98</v>
      </c>
      <c r="E8" s="0" t="n">
        <v>17.5</v>
      </c>
      <c r="F8" s="0" t="n">
        <v>689.496</v>
      </c>
      <c r="G8" s="0" t="n">
        <v>6.6</v>
      </c>
      <c r="H8" s="0" t="n">
        <v>963.636</v>
      </c>
      <c r="I8" s="0" t="n">
        <v>645.44</v>
      </c>
      <c r="J8" s="0" t="n">
        <v>6.1</v>
      </c>
      <c r="K8" s="0" t="n">
        <v>0.15</v>
      </c>
      <c r="L8" s="0" t="n">
        <v>1984.159</v>
      </c>
      <c r="M8" s="0" t="n">
        <v>186.592</v>
      </c>
      <c r="N8" s="0" t="n">
        <v>1797.567</v>
      </c>
      <c r="O8" s="0" t="n">
        <v>9979.006</v>
      </c>
      <c r="P8" s="0" t="n">
        <v>15623.542</v>
      </c>
      <c r="Q8" s="0" t="n">
        <v>5642.022</v>
      </c>
      <c r="R8" s="0" t="n">
        <v>726.556</v>
      </c>
      <c r="S8" s="0" t="n">
        <v>3470.777</v>
      </c>
      <c r="T8" s="0" t="n">
        <v>4280.1</v>
      </c>
      <c r="U8" s="0" t="n">
        <v>0</v>
      </c>
      <c r="AA8" s="0" t="s">
        <v>18</v>
      </c>
      <c r="AB8" s="0" t="s">
        <v>14</v>
      </c>
      <c r="AC8" s="0" t="n">
        <v>17.9</v>
      </c>
      <c r="AE8" s="0" t="n">
        <v>743.688</v>
      </c>
    </row>
    <row r="9" customFormat="false" ht="15" hidden="false" customHeight="false" outlineLevel="0" collapsed="false">
      <c r="A9" s="0" t="s">
        <v>74</v>
      </c>
      <c r="B9" s="0" t="n">
        <v>10213.556</v>
      </c>
      <c r="C9" s="0" t="n">
        <v>-8215.442</v>
      </c>
      <c r="D9" s="0" t="n">
        <v>1998.114</v>
      </c>
      <c r="E9" s="0" t="n">
        <v>19.6</v>
      </c>
      <c r="F9" s="0" t="n">
        <v>1095.095</v>
      </c>
      <c r="G9" s="0" t="n">
        <v>10.7</v>
      </c>
      <c r="H9" s="0" t="n">
        <v>1353.164</v>
      </c>
      <c r="I9" s="0" t="n">
        <v>1018.4</v>
      </c>
      <c r="J9" s="0" t="n">
        <v>10</v>
      </c>
      <c r="K9" s="0" t="n">
        <v>0.24</v>
      </c>
      <c r="L9" s="0" t="n">
        <v>1365.587</v>
      </c>
      <c r="M9" s="0" t="n">
        <v>83.455</v>
      </c>
      <c r="N9" s="0" t="n">
        <v>1282.132</v>
      </c>
      <c r="O9" s="0" t="n">
        <v>10701.34</v>
      </c>
      <c r="P9" s="0" t="n">
        <v>15474.995</v>
      </c>
      <c r="Q9" s="0" t="n">
        <v>4770.902</v>
      </c>
      <c r="R9" s="0" t="n">
        <v>0</v>
      </c>
      <c r="S9" s="0" t="n">
        <v>1218.049</v>
      </c>
      <c r="T9" s="0" t="n">
        <v>4280.1</v>
      </c>
      <c r="U9" s="0" t="n">
        <v>0</v>
      </c>
      <c r="AA9" s="0" t="s">
        <v>18</v>
      </c>
      <c r="AB9" s="0" t="s">
        <v>14</v>
      </c>
      <c r="AC9" s="0" t="n">
        <v>14.5</v>
      </c>
      <c r="AD9" s="0" t="n">
        <v>3659.338</v>
      </c>
      <c r="AE9" s="0" t="n">
        <v>1059.336</v>
      </c>
    </row>
    <row r="10" customFormat="false" ht="15" hidden="false" customHeight="false" outlineLevel="0" collapsed="false">
      <c r="A10" s="0" t="s">
        <v>75</v>
      </c>
      <c r="B10" s="0" t="n">
        <v>11215.184</v>
      </c>
      <c r="C10" s="0" t="n">
        <v>-8818.483</v>
      </c>
      <c r="D10" s="0" t="n">
        <v>2396.701</v>
      </c>
      <c r="E10" s="0" t="n">
        <v>21.4</v>
      </c>
      <c r="F10" s="0" t="n">
        <v>1381.801</v>
      </c>
      <c r="G10" s="0" t="n">
        <v>12.3</v>
      </c>
      <c r="H10" s="0" t="n">
        <v>1620.483</v>
      </c>
      <c r="I10" s="0" t="n">
        <v>1300.528</v>
      </c>
      <c r="J10" s="0" t="n">
        <v>11.6</v>
      </c>
      <c r="K10" s="0" t="n">
        <v>0.3</v>
      </c>
      <c r="L10" s="0" t="n">
        <v>1244.557</v>
      </c>
      <c r="M10" s="0" t="n">
        <v>61.538</v>
      </c>
      <c r="N10" s="0" t="n">
        <v>1183.019</v>
      </c>
      <c r="O10" s="0" t="n">
        <v>11479.278</v>
      </c>
      <c r="P10" s="0" t="n">
        <v>16915.487</v>
      </c>
      <c r="Q10" s="0" t="n">
        <v>5433.481</v>
      </c>
      <c r="R10" s="0" t="n">
        <v>20</v>
      </c>
      <c r="S10" s="0" t="n">
        <v>4364.812</v>
      </c>
      <c r="T10" s="0" t="n">
        <v>4280.1</v>
      </c>
      <c r="U10" s="0" t="n">
        <v>0</v>
      </c>
      <c r="AA10" s="0" t="s">
        <v>18</v>
      </c>
      <c r="AB10" s="0" t="s">
        <v>14</v>
      </c>
      <c r="AC10" s="0" t="n">
        <v>8.4</v>
      </c>
      <c r="AD10" s="0" t="n">
        <v>253.314</v>
      </c>
      <c r="AE10" s="0" t="n">
        <v>2473.656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2.795</v>
      </c>
    </row>
    <row r="3" customFormat="false" ht="15" hidden="false" customHeight="false" outlineLevel="0" collapsed="false">
      <c r="A3" s="0" t="s">
        <v>79</v>
      </c>
      <c r="B3" s="3" t="n">
        <v>4280.1</v>
      </c>
    </row>
    <row r="4" customFormat="false" ht="15" hidden="false" customHeight="false" outlineLevel="0" collapsed="false">
      <c r="A4" s="0" t="s">
        <v>80</v>
      </c>
      <c r="B4" s="3" t="n">
        <v>-7276.632</v>
      </c>
    </row>
    <row r="5" customFormat="false" ht="15" hidden="false" customHeight="false" outlineLevel="0" collapsed="false">
      <c r="A5" s="0" t="s">
        <v>81</v>
      </c>
      <c r="B5" s="3" t="n">
        <v>154.443</v>
      </c>
    </row>
    <row r="6" customFormat="false" ht="15" hidden="false" customHeight="false" outlineLevel="0" collapsed="false">
      <c r="A6" s="0" t="s">
        <v>82</v>
      </c>
      <c r="B6" s="3" t="n">
        <v>15</v>
      </c>
    </row>
    <row r="7" customFormat="false" ht="15" hidden="false" customHeight="false" outlineLevel="0" collapsed="false">
      <c r="A7" s="0" t="s">
        <v>83</v>
      </c>
      <c r="B7" s="3" t="n">
        <v>11215.184</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1.1747</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10</v>
      </c>
      <c r="D13" s="3" t="n">
        <v>-5</v>
      </c>
      <c r="E13" s="3" t="n">
        <v>-10</v>
      </c>
      <c r="F13" s="3" t="n">
        <v>-5</v>
      </c>
      <c r="G13" s="3" t="n">
        <v>0</v>
      </c>
      <c r="H13" s="3" t="n">
        <v>2</v>
      </c>
      <c r="I13" s="3" t="n">
        <v>2</v>
      </c>
      <c r="J13" s="3" t="n">
        <v>2</v>
      </c>
      <c r="K13" s="3" t="n">
        <v>2</v>
      </c>
      <c r="L13" s="3" t="n">
        <v>2</v>
      </c>
    </row>
    <row r="14" customFormat="false" ht="15" hidden="false" customHeight="false" outlineLevel="0" collapsed="false">
      <c r="A14" s="0" t="s">
        <v>100</v>
      </c>
      <c r="C14" s="3" t="n">
        <v>13</v>
      </c>
      <c r="D14" s="3" t="n">
        <v>11</v>
      </c>
      <c r="E14" s="3" t="n">
        <v>8</v>
      </c>
      <c r="F14" s="3" t="n">
        <v>8</v>
      </c>
      <c r="G14" s="3" t="n">
        <v>9</v>
      </c>
      <c r="H14" s="3" t="n">
        <v>10</v>
      </c>
      <c r="I14" s="3" t="n">
        <v>10.5</v>
      </c>
      <c r="J14" s="3" t="n">
        <v>11</v>
      </c>
      <c r="K14" s="3" t="n">
        <v>11</v>
      </c>
      <c r="L14" s="3" t="n">
        <v>11</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2</v>
      </c>
      <c r="D17" s="3" t="n">
        <v>2.1</v>
      </c>
      <c r="E17" s="3" t="n">
        <v>2.3</v>
      </c>
      <c r="F17" s="3" t="n">
        <v>2.3</v>
      </c>
      <c r="G17" s="3" t="n">
        <v>2.2</v>
      </c>
      <c r="H17" s="3" t="n">
        <v>2</v>
      </c>
      <c r="I17" s="3" t="n">
        <v>1.9</v>
      </c>
      <c r="J17" s="3" t="n">
        <v>1.8</v>
      </c>
      <c r="K17" s="3" t="n">
        <v>1.8</v>
      </c>
      <c r="L17" s="3" t="n">
        <v>1.8</v>
      </c>
    </row>
    <row r="18" customFormat="false" ht="15" hidden="false" customHeight="false" outlineLevel="0" collapsed="false">
      <c r="A18" s="0" t="s">
        <v>104</v>
      </c>
      <c r="C18" s="3" t="n">
        <v>1</v>
      </c>
      <c r="D18" s="3" t="n">
        <v>1.2</v>
      </c>
      <c r="E18" s="3" t="n">
        <v>1.3</v>
      </c>
      <c r="F18" s="3" t="n">
        <v>1.4</v>
      </c>
      <c r="G18" s="3" t="n">
        <v>1.5</v>
      </c>
      <c r="H18" s="3" t="n">
        <v>1.6</v>
      </c>
      <c r="I18" s="3" t="n">
        <v>1.7</v>
      </c>
      <c r="J18" s="3" t="n">
        <v>1.8</v>
      </c>
      <c r="K18" s="3" t="n">
        <v>1.8</v>
      </c>
      <c r="L18" s="3" t="n">
        <v>1.8</v>
      </c>
    </row>
    <row r="19" customFormat="false" ht="15" hidden="false" customHeight="false" outlineLevel="0" collapsed="false">
      <c r="A19" s="0" t="s">
        <v>105</v>
      </c>
      <c r="C19" s="3" t="n">
        <v>16</v>
      </c>
      <c r="D19" s="3" t="n">
        <v>17</v>
      </c>
      <c r="E19" s="3" t="n">
        <v>18</v>
      </c>
      <c r="F19" s="3" t="n">
        <v>18</v>
      </c>
      <c r="G19" s="3" t="n">
        <v>18</v>
      </c>
      <c r="H19" s="3" t="n">
        <v>18</v>
      </c>
      <c r="I19" s="3" t="n">
        <v>18</v>
      </c>
      <c r="J19" s="3" t="n">
        <v>18</v>
      </c>
      <c r="K19" s="3" t="n">
        <v>18</v>
      </c>
      <c r="L19" s="3" t="n">
        <v>18</v>
      </c>
    </row>
    <row r="20" customFormat="false" ht="15" hidden="false" customHeight="false" outlineLevel="0" collapsed="false">
      <c r="A20" s="0" t="s">
        <v>106</v>
      </c>
      <c r="B20" s="3" t="n">
        <v>9.5</v>
      </c>
    </row>
    <row r="21" customFormat="false" ht="15" hidden="false" customHeight="false" outlineLevel="0" collapsed="false">
      <c r="A21" s="0" t="s">
        <v>107</v>
      </c>
      <c r="B21" s="3" t="n">
        <v>2</v>
      </c>
    </row>
    <row r="22" customFormat="false" ht="15" hidden="false" customHeight="false" outlineLevel="0" collapsed="false">
      <c r="A22" s="0" t="s">
        <v>108</v>
      </c>
      <c r="B22" s="3" t="n">
        <v>5.6</v>
      </c>
    </row>
    <row r="23" customFormat="false" ht="15" hidden="false" customHeight="false" outlineLevel="0" collapsed="false">
      <c r="A23" s="0" t="s">
        <v>109</v>
      </c>
      <c r="B23" s="3" t="n">
        <v>-12</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15</v>
      </c>
      <c r="D27" s="3" t="n">
        <v>3</v>
      </c>
      <c r="E27" s="3" t="n">
        <v>2</v>
      </c>
      <c r="F27" s="3" t="n">
        <v>1.5</v>
      </c>
      <c r="G27" s="3" t="n">
        <v>1.5</v>
      </c>
      <c r="H27" s="3" t="n">
        <v>1.5</v>
      </c>
      <c r="I27" s="3" t="n">
        <v>1</v>
      </c>
      <c r="J27" s="3" t="n">
        <v>1</v>
      </c>
      <c r="K27" s="3" t="n">
        <v>1</v>
      </c>
      <c r="L27" s="3" t="n">
        <v>1</v>
      </c>
    </row>
    <row r="28" customFormat="false" ht="15" hidden="false" customHeight="false" outlineLevel="0" collapsed="false">
      <c r="A28" s="0" t="s">
        <v>100</v>
      </c>
      <c r="C28" s="3" t="n">
        <v>13.75</v>
      </c>
      <c r="D28" s="3" t="n">
        <v>13.75</v>
      </c>
      <c r="E28" s="3" t="n">
        <v>13.5</v>
      </c>
      <c r="F28" s="3" t="n">
        <v>13.25</v>
      </c>
      <c r="G28" s="3" t="n">
        <v>13</v>
      </c>
      <c r="H28" s="3" t="n">
        <v>13</v>
      </c>
      <c r="I28" s="3" t="n">
        <v>13</v>
      </c>
      <c r="J28" s="3" t="n">
        <v>13</v>
      </c>
      <c r="K28" s="3" t="n">
        <v>13</v>
      </c>
      <c r="L28" s="3" t="n">
        <v>13</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2</v>
      </c>
      <c r="D31" s="3" t="n">
        <v>1.9</v>
      </c>
      <c r="E31" s="3" t="n">
        <v>1.85</v>
      </c>
      <c r="F31" s="3" t="n">
        <v>1.8</v>
      </c>
      <c r="G31" s="3" t="n">
        <v>1.8</v>
      </c>
      <c r="H31" s="3" t="n">
        <v>1.8</v>
      </c>
      <c r="I31" s="3" t="n">
        <v>1.8</v>
      </c>
      <c r="J31" s="3" t="n">
        <v>1.8</v>
      </c>
      <c r="K31" s="3" t="n">
        <v>1.8</v>
      </c>
      <c r="L31" s="3" t="n">
        <v>1.8</v>
      </c>
    </row>
    <row r="32" customFormat="false" ht="15" hidden="false" customHeight="false" outlineLevel="0" collapsed="false">
      <c r="A32" s="0" t="s">
        <v>104</v>
      </c>
      <c r="C32" s="3" t="n">
        <v>1</v>
      </c>
      <c r="D32" s="3" t="n">
        <v>1.3</v>
      </c>
      <c r="E32" s="3" t="n">
        <v>1.5</v>
      </c>
      <c r="F32" s="3" t="n">
        <v>1.6</v>
      </c>
      <c r="G32" s="3" t="n">
        <v>1.7</v>
      </c>
      <c r="H32" s="3" t="n">
        <v>1.8</v>
      </c>
      <c r="I32" s="3" t="n">
        <v>1.8</v>
      </c>
      <c r="J32" s="3" t="n">
        <v>1.8</v>
      </c>
      <c r="K32" s="3" t="n">
        <v>1.8</v>
      </c>
      <c r="L32" s="3" t="n">
        <v>1.8</v>
      </c>
    </row>
    <row r="33" customFormat="false" ht="15" hidden="false" customHeight="false" outlineLevel="0" collapsed="false">
      <c r="A33" s="0" t="s">
        <v>105</v>
      </c>
      <c r="C33" s="3" t="n">
        <v>16</v>
      </c>
      <c r="D33" s="3" t="n">
        <v>16</v>
      </c>
      <c r="E33" s="3" t="n">
        <v>17</v>
      </c>
      <c r="F33" s="3" t="n">
        <v>17</v>
      </c>
      <c r="G33" s="3" t="n">
        <v>18</v>
      </c>
      <c r="H33" s="3" t="n">
        <v>18</v>
      </c>
      <c r="I33" s="3" t="n">
        <v>18</v>
      </c>
      <c r="J33" s="3" t="n">
        <v>18</v>
      </c>
      <c r="K33" s="3" t="n">
        <v>18</v>
      </c>
      <c r="L33" s="3" t="n">
        <v>18</v>
      </c>
    </row>
    <row r="34" customFormat="false" ht="15" hidden="false" customHeight="false" outlineLevel="0" collapsed="false">
      <c r="A34" s="0" t="s">
        <v>106</v>
      </c>
      <c r="B34" s="3" t="n">
        <v>9.5</v>
      </c>
    </row>
    <row r="35" customFormat="false" ht="15" hidden="false" customHeight="false" outlineLevel="0" collapsed="false">
      <c r="A35" s="0" t="s">
        <v>107</v>
      </c>
      <c r="B35" s="3" t="n">
        <v>2</v>
      </c>
    </row>
    <row r="36" customFormat="false" ht="15" hidden="false" customHeight="false" outlineLevel="0" collapsed="false">
      <c r="A36" s="0" t="s">
        <v>108</v>
      </c>
      <c r="B36" s="3" t="n">
        <v>9.5</v>
      </c>
    </row>
    <row r="37" customFormat="false" ht="15" hidden="false" customHeight="false" outlineLevel="0" collapsed="false">
      <c r="A37" s="0" t="s">
        <v>109</v>
      </c>
      <c r="B37" s="3" t="n">
        <v>-12</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18</v>
      </c>
      <c r="D41" s="3" t="n">
        <v>8</v>
      </c>
      <c r="E41" s="3" t="n">
        <v>5</v>
      </c>
      <c r="F41" s="3" t="n">
        <v>3.5</v>
      </c>
      <c r="G41" s="3" t="n">
        <v>3</v>
      </c>
      <c r="H41" s="3" t="n">
        <v>3</v>
      </c>
      <c r="I41" s="3" t="n">
        <v>3</v>
      </c>
      <c r="J41" s="3" t="n">
        <v>2.5</v>
      </c>
      <c r="K41" s="3" t="n">
        <v>2.5</v>
      </c>
      <c r="L41" s="3" t="n">
        <v>2.5</v>
      </c>
    </row>
    <row r="42" customFormat="false" ht="15" hidden="false" customHeight="false" outlineLevel="0" collapsed="false">
      <c r="A42" s="0" t="s">
        <v>100</v>
      </c>
      <c r="C42" s="3" t="n">
        <v>14.25</v>
      </c>
      <c r="D42" s="3" t="n">
        <v>14.75</v>
      </c>
      <c r="E42" s="3" t="n">
        <v>15.25</v>
      </c>
      <c r="F42" s="3" t="n">
        <v>15.5</v>
      </c>
      <c r="G42" s="3" t="n">
        <v>15.5</v>
      </c>
      <c r="H42" s="3" t="n">
        <v>15.5</v>
      </c>
      <c r="I42" s="3" t="n">
        <v>15.5</v>
      </c>
      <c r="J42" s="3" t="n">
        <v>15.5</v>
      </c>
      <c r="K42" s="3" t="n">
        <v>15.5</v>
      </c>
      <c r="L42" s="3" t="n">
        <v>15.5</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2</v>
      </c>
      <c r="D45" s="3" t="n">
        <v>1.9</v>
      </c>
      <c r="E45" s="3" t="n">
        <v>1.85</v>
      </c>
      <c r="F45" s="3" t="n">
        <v>1.8</v>
      </c>
      <c r="G45" s="3" t="n">
        <v>1.8</v>
      </c>
      <c r="H45" s="3" t="n">
        <v>1.8</v>
      </c>
      <c r="I45" s="3" t="n">
        <v>1.8</v>
      </c>
      <c r="J45" s="3" t="n">
        <v>1.8</v>
      </c>
      <c r="K45" s="3" t="n">
        <v>1.8</v>
      </c>
      <c r="L45" s="3" t="n">
        <v>1.8</v>
      </c>
    </row>
    <row r="46" customFormat="false" ht="15" hidden="false" customHeight="false" outlineLevel="0" collapsed="false">
      <c r="A46" s="0" t="s">
        <v>104</v>
      </c>
      <c r="C46" s="3" t="n">
        <v>1</v>
      </c>
      <c r="D46" s="3" t="n">
        <v>1.3</v>
      </c>
      <c r="E46" s="3" t="n">
        <v>1.5</v>
      </c>
      <c r="F46" s="3" t="n">
        <v>1.6</v>
      </c>
      <c r="G46" s="3" t="n">
        <v>1.7</v>
      </c>
      <c r="H46" s="3" t="n">
        <v>1.8</v>
      </c>
      <c r="I46" s="3" t="n">
        <v>1.8</v>
      </c>
      <c r="J46" s="3" t="n">
        <v>1.8</v>
      </c>
      <c r="K46" s="3" t="n">
        <v>1.8</v>
      </c>
      <c r="L46" s="3" t="n">
        <v>1.8</v>
      </c>
    </row>
    <row r="47" customFormat="false" ht="15" hidden="false" customHeight="false" outlineLevel="0" collapsed="false">
      <c r="A47" s="0" t="s">
        <v>105</v>
      </c>
      <c r="C47" s="3" t="n">
        <v>16</v>
      </c>
      <c r="D47" s="3" t="n">
        <v>16</v>
      </c>
      <c r="E47" s="3" t="n">
        <v>17</v>
      </c>
      <c r="F47" s="3" t="n">
        <v>17</v>
      </c>
      <c r="G47" s="3" t="n">
        <v>18</v>
      </c>
      <c r="H47" s="3" t="n">
        <v>18</v>
      </c>
      <c r="I47" s="3" t="n">
        <v>18</v>
      </c>
      <c r="J47" s="3" t="n">
        <v>18</v>
      </c>
      <c r="K47" s="3" t="n">
        <v>18</v>
      </c>
      <c r="L47" s="3" t="n">
        <v>18</v>
      </c>
    </row>
    <row r="48" customFormat="false" ht="15" hidden="false" customHeight="false" outlineLevel="0" collapsed="false">
      <c r="A48" s="0" t="s">
        <v>106</v>
      </c>
      <c r="B48" s="3" t="n">
        <v>9.5</v>
      </c>
    </row>
    <row r="49" customFormat="false" ht="15" hidden="false" customHeight="false" outlineLevel="0" collapsed="false">
      <c r="A49" s="0" t="s">
        <v>107</v>
      </c>
      <c r="B49" s="3" t="n">
        <v>3</v>
      </c>
    </row>
    <row r="50" customFormat="false" ht="15" hidden="false" customHeight="false" outlineLevel="0" collapsed="false">
      <c r="A50" s="0" t="s">
        <v>108</v>
      </c>
      <c r="B50" s="3" t="n">
        <v>14</v>
      </c>
    </row>
    <row r="51" customFormat="false" ht="15" hidden="false" customHeight="false" outlineLevel="0" collapsed="false">
      <c r="A51" s="0" t="s">
        <v>109</v>
      </c>
      <c r="B51" s="3" t="n">
        <v>-12</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10</v>
      </c>
      <c r="D5" s="4" t="n">
        <f aca="false">Assumptions!D13</f>
        <v>-5</v>
      </c>
      <c r="E5" s="4" t="n">
        <f aca="false">Assumptions!E13</f>
        <v>-10</v>
      </c>
      <c r="F5" s="4" t="n">
        <f aca="false">Assumptions!F13</f>
        <v>-5</v>
      </c>
      <c r="G5" s="4" t="n">
        <f aca="false">Assumptions!G13</f>
        <v>0</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11215.184</v>
      </c>
      <c r="C6" s="0" t="n">
        <f aca="false">B6*(1+C5/100)</f>
        <v>12336.7024</v>
      </c>
      <c r="D6" s="0" t="n">
        <f aca="false">C6*(1+D5/100)</f>
        <v>11719.86728</v>
      </c>
      <c r="E6" s="0" t="n">
        <f aca="false">D6*(1+E5/100)</f>
        <v>10547.880552</v>
      </c>
      <c r="F6" s="0" t="n">
        <f aca="false">E6*(1+F5/100)</f>
        <v>10020.4865244</v>
      </c>
      <c r="G6" s="0" t="n">
        <f aca="false">F6*(1+G5/100)</f>
        <v>10020.4865244</v>
      </c>
      <c r="H6" s="0" t="n">
        <f aca="false">G6*(1+H5/100)</f>
        <v>10220.896254888</v>
      </c>
      <c r="I6" s="0" t="n">
        <f aca="false">H6*(1+I5/100)</f>
        <v>10425.3141799858</v>
      </c>
      <c r="J6" s="0" t="n">
        <f aca="false">I6*(1+J5/100)</f>
        <v>10633.8204635855</v>
      </c>
      <c r="K6" s="0" t="n">
        <f aca="false">J6*(1+K5/100)</f>
        <v>10846.4968728572</v>
      </c>
      <c r="L6" s="0" t="n">
        <f aca="false">K6*(1+L5/100)</f>
        <v>11063.4268103143</v>
      </c>
    </row>
    <row r="7" customFormat="false" ht="15" hidden="false" customHeight="false" outlineLevel="0" collapsed="false">
      <c r="A7" s="0" t="s">
        <v>100</v>
      </c>
      <c r="C7" s="4" t="n">
        <f aca="false">Assumptions!C14</f>
        <v>13</v>
      </c>
      <c r="D7" s="4" t="n">
        <f aca="false">Assumptions!D14</f>
        <v>11</v>
      </c>
      <c r="E7" s="4" t="n">
        <f aca="false">Assumptions!E14</f>
        <v>8</v>
      </c>
      <c r="F7" s="4" t="n">
        <f aca="false">Assumptions!F14</f>
        <v>8</v>
      </c>
      <c r="G7" s="4" t="n">
        <f aca="false">Assumptions!G14</f>
        <v>9</v>
      </c>
      <c r="H7" s="4" t="n">
        <f aca="false">Assumptions!H14</f>
        <v>10</v>
      </c>
      <c r="I7" s="4" t="n">
        <f aca="false">Assumptions!I14</f>
        <v>10.5</v>
      </c>
      <c r="J7" s="4" t="n">
        <f aca="false">Assumptions!J14</f>
        <v>11</v>
      </c>
      <c r="K7" s="4" t="n">
        <f aca="false">Assumptions!K14</f>
        <v>11</v>
      </c>
      <c r="L7" s="4" t="n">
        <f aca="false">Assumptions!L14</f>
        <v>11</v>
      </c>
    </row>
    <row r="8" customFormat="false" ht="15" hidden="false" customHeight="false" outlineLevel="0" collapsed="false">
      <c r="A8" s="0" t="s">
        <v>44</v>
      </c>
      <c r="C8" s="0" t="n">
        <f aca="false">C6*C7/100</f>
        <v>1603.771312</v>
      </c>
      <c r="D8" s="0" t="n">
        <f aca="false">D6*D7/100</f>
        <v>1289.1854008</v>
      </c>
      <c r="E8" s="0" t="n">
        <f aca="false">E6*E7/100</f>
        <v>843.83044416</v>
      </c>
      <c r="F8" s="0" t="n">
        <f aca="false">F6*F7/100</f>
        <v>801.638921952</v>
      </c>
      <c r="G8" s="0" t="n">
        <f aca="false">G6*G7/100</f>
        <v>901.843787196</v>
      </c>
      <c r="H8" s="0" t="n">
        <f aca="false">H6*H7/100</f>
        <v>1022.0896254888</v>
      </c>
      <c r="I8" s="0" t="n">
        <f aca="false">I6*I7/100</f>
        <v>1094.6579888985</v>
      </c>
      <c r="J8" s="0" t="n">
        <f aca="false">J6*J7/100</f>
        <v>1169.7202509944</v>
      </c>
      <c r="K8" s="0" t="n">
        <f aca="false">K6*K7/100</f>
        <v>1193.11465601429</v>
      </c>
      <c r="L8" s="0" t="n">
        <f aca="false">L6*L7/100</f>
        <v>1216.97694913458</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1603.771312</v>
      </c>
      <c r="D11" s="0" t="n">
        <f aca="false">D8+D10+D24</f>
        <v>1289.1854008</v>
      </c>
      <c r="E11" s="0" t="n">
        <f aca="false">E8+E10+E24</f>
        <v>843.83044416</v>
      </c>
      <c r="F11" s="0" t="n">
        <f aca="false">F8+F10+F24</f>
        <v>801.638921952</v>
      </c>
      <c r="G11" s="0" t="n">
        <f aca="false">G8+G10+G24</f>
        <v>901.843787196</v>
      </c>
      <c r="H11" s="0" t="n">
        <f aca="false">H8+H10+H24</f>
        <v>1022.0896254888</v>
      </c>
      <c r="I11" s="0" t="n">
        <f aca="false">I8+I10+I24</f>
        <v>1094.6579888985</v>
      </c>
      <c r="J11" s="0" t="n">
        <f aca="false">J8+J10+J24</f>
        <v>1169.7202509944</v>
      </c>
      <c r="K11" s="0" t="n">
        <f aca="false">K8+K10+K24</f>
        <v>1193.11465601429</v>
      </c>
      <c r="L11" s="0" t="n">
        <f aca="false">L8+L10+L24</f>
        <v>1216.97694913458</v>
      </c>
    </row>
    <row r="12" customFormat="false" ht="15" hidden="false" customHeight="false" outlineLevel="0" collapsed="false">
      <c r="A12" s="0" t="s">
        <v>118</v>
      </c>
      <c r="C12" s="4" t="n">
        <f aca="false">-C6*Assumptions!C17/100</f>
        <v>-246.734048</v>
      </c>
      <c r="D12" s="4" t="n">
        <f aca="false">-D6*Assumptions!D17/100</f>
        <v>-246.11721288</v>
      </c>
      <c r="E12" s="4" t="n">
        <f aca="false">-E6*Assumptions!E17/100</f>
        <v>-242.601252696</v>
      </c>
      <c r="F12" s="4" t="n">
        <f aca="false">-F6*Assumptions!F17/100</f>
        <v>-230.4711900612</v>
      </c>
      <c r="G12" s="4" t="n">
        <f aca="false">-G6*Assumptions!G17/100</f>
        <v>-220.4507035368</v>
      </c>
      <c r="H12" s="4" t="n">
        <f aca="false">-H6*Assumptions!H17/100</f>
        <v>-204.41792509776</v>
      </c>
      <c r="I12" s="4" t="n">
        <f aca="false">-I6*Assumptions!I17/100</f>
        <v>-198.080969419729</v>
      </c>
      <c r="J12" s="4" t="n">
        <f aca="false">-J6*Assumptions!J17/100</f>
        <v>-191.408768344539</v>
      </c>
      <c r="K12" s="4" t="n">
        <f aca="false">-K6*Assumptions!K17/100</f>
        <v>-195.236943711429</v>
      </c>
      <c r="L12" s="4" t="n">
        <f aca="false">-L6*Assumptions!L17/100</f>
        <v>-199.141682585658</v>
      </c>
    </row>
    <row r="13" customFormat="false" ht="15" hidden="false" customHeight="false" outlineLevel="0" collapsed="false">
      <c r="A13" s="0" t="s">
        <v>119</v>
      </c>
      <c r="C13" s="0" t="n">
        <f aca="false">C11+C12</f>
        <v>1357.037264</v>
      </c>
      <c r="D13" s="0" t="n">
        <f aca="false">D11+D12</f>
        <v>1043.06818792</v>
      </c>
      <c r="E13" s="0" t="n">
        <f aca="false">E11+E12</f>
        <v>601.229191464</v>
      </c>
      <c r="F13" s="0" t="n">
        <f aca="false">F11+F12</f>
        <v>571.1677318908</v>
      </c>
      <c r="G13" s="0" t="n">
        <f aca="false">G11+G12</f>
        <v>681.3930836592</v>
      </c>
      <c r="H13" s="0" t="n">
        <f aca="false">H11+H12</f>
        <v>817.67170039104</v>
      </c>
      <c r="I13" s="0" t="n">
        <f aca="false">I11+I12</f>
        <v>896.577019478775</v>
      </c>
      <c r="J13" s="0" t="n">
        <f aca="false">J11+J12</f>
        <v>978.311482649864</v>
      </c>
      <c r="K13" s="0" t="n">
        <f aca="false">K11+K12</f>
        <v>997.877712302861</v>
      </c>
      <c r="L13" s="0" t="n">
        <f aca="false">L11+L12</f>
        <v>1017.83526654892</v>
      </c>
    </row>
    <row r="14" customFormat="false" ht="15" hidden="false" customHeight="false" outlineLevel="0" collapsed="false">
      <c r="A14" s="0" t="s">
        <v>105</v>
      </c>
      <c r="C14" s="4" t="n">
        <f aca="false">Assumptions!C19</f>
        <v>16</v>
      </c>
      <c r="D14" s="4" t="n">
        <f aca="false">Assumptions!D19</f>
        <v>17</v>
      </c>
      <c r="E14" s="4" t="n">
        <f aca="false">Assumptions!E19</f>
        <v>18</v>
      </c>
      <c r="F14" s="4" t="n">
        <f aca="false">Assumptions!F19</f>
        <v>18</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120</v>
      </c>
      <c r="C15" s="0" t="n">
        <f aca="false">C13-MAX(0,C13)*C14/100</f>
        <v>1139.91130176</v>
      </c>
      <c r="D15" s="0" t="n">
        <f aca="false">D13-MAX(0,D13)*D14/100</f>
        <v>865.7465959736</v>
      </c>
      <c r="E15" s="0" t="n">
        <f aca="false">E13-MAX(0,E13)*E14/100</f>
        <v>493.00793700048</v>
      </c>
      <c r="F15" s="0" t="n">
        <f aca="false">F13-MAX(0,F13)*F14/100</f>
        <v>468.357540150456</v>
      </c>
      <c r="G15" s="0" t="n">
        <f aca="false">G13-MAX(0,G13)*G14/100</f>
        <v>558.742328600544</v>
      </c>
      <c r="H15" s="0" t="n">
        <f aca="false">H13-MAX(0,H13)*H14/100</f>
        <v>670.490794320653</v>
      </c>
      <c r="I15" s="0" t="n">
        <f aca="false">I13-MAX(0,I13)*I14/100</f>
        <v>735.193155972596</v>
      </c>
      <c r="J15" s="0" t="n">
        <f aca="false">J13-MAX(0,J13)*J14/100</f>
        <v>802.215415772888</v>
      </c>
      <c r="K15" s="0" t="n">
        <f aca="false">K13-MAX(0,K13)*K14/100</f>
        <v>818.259724088346</v>
      </c>
      <c r="L15" s="0" t="n">
        <f aca="false">L13-MAX(0,L13)*L14/100</f>
        <v>834.624918570113</v>
      </c>
    </row>
    <row r="16" customFormat="false" ht="15" hidden="false" customHeight="false" outlineLevel="0" collapsed="false">
      <c r="A16" s="0" t="s">
        <v>121</v>
      </c>
      <c r="C16" s="0" t="n">
        <f aca="false">-C12</f>
        <v>246.734048</v>
      </c>
      <c r="D16" s="0" t="n">
        <f aca="false">-D12</f>
        <v>246.11721288</v>
      </c>
      <c r="E16" s="0" t="n">
        <f aca="false">-E12</f>
        <v>242.601252696</v>
      </c>
      <c r="F16" s="0" t="n">
        <f aca="false">-F12</f>
        <v>230.4711900612</v>
      </c>
      <c r="G16" s="0" t="n">
        <f aca="false">-G12</f>
        <v>220.4507035368</v>
      </c>
      <c r="H16" s="0" t="n">
        <f aca="false">-H12</f>
        <v>204.41792509776</v>
      </c>
      <c r="I16" s="0" t="n">
        <f aca="false">-I12</f>
        <v>198.080969419729</v>
      </c>
      <c r="J16" s="0" t="n">
        <f aca="false">-J12</f>
        <v>191.408768344539</v>
      </c>
      <c r="K16" s="0" t="n">
        <f aca="false">-K12</f>
        <v>195.236943711429</v>
      </c>
      <c r="L16" s="0" t="n">
        <f aca="false">-L12</f>
        <v>199.141682585658</v>
      </c>
    </row>
    <row r="17" customFormat="false" ht="15" hidden="false" customHeight="false" outlineLevel="0" collapsed="false">
      <c r="A17" s="0" t="s">
        <v>122</v>
      </c>
      <c r="C17" s="4" t="n">
        <f aca="false">-C6*Assumptions!C18/100</f>
        <v>-123.367024</v>
      </c>
      <c r="D17" s="4" t="n">
        <f aca="false">-D6*Assumptions!D18/100</f>
        <v>-140.63840736</v>
      </c>
      <c r="E17" s="4" t="n">
        <f aca="false">-E6*Assumptions!E18/100</f>
        <v>-137.122447176</v>
      </c>
      <c r="F17" s="4" t="n">
        <f aca="false">-F6*Assumptions!F18/100</f>
        <v>-140.2868113416</v>
      </c>
      <c r="G17" s="4" t="n">
        <f aca="false">-G6*Assumptions!G18/100</f>
        <v>-150.307297866</v>
      </c>
      <c r="H17" s="4" t="n">
        <f aca="false">-H6*Assumptions!H18/100</f>
        <v>-163.534340078208</v>
      </c>
      <c r="I17" s="4" t="n">
        <f aca="false">-I6*Assumptions!I18/100</f>
        <v>-177.230341059758</v>
      </c>
      <c r="J17" s="4" t="n">
        <f aca="false">-J6*Assumptions!J18/100</f>
        <v>-191.408768344539</v>
      </c>
      <c r="K17" s="4" t="n">
        <f aca="false">-K6*Assumptions!K18/100</f>
        <v>-195.236943711429</v>
      </c>
      <c r="L17" s="4" t="n">
        <f aca="false">-L6*Assumptions!L18/100</f>
        <v>-199.141682585658</v>
      </c>
    </row>
    <row r="18" customFormat="false" ht="15" hidden="false" customHeight="false" outlineLevel="0" collapsed="false">
      <c r="A18" s="0" t="s">
        <v>123</v>
      </c>
      <c r="C18" s="4" t="n">
        <f aca="false">(C6-B6)*Assumptions!$B$23/100</f>
        <v>-134.582208</v>
      </c>
      <c r="D18" s="4" t="n">
        <f aca="false">(D6-C6)*Assumptions!$B$23/100</f>
        <v>74.0202144</v>
      </c>
      <c r="E18" s="4" t="n">
        <f aca="false">(E6-D6)*Assumptions!$B$23/100</f>
        <v>140.63840736</v>
      </c>
      <c r="F18" s="4" t="n">
        <f aca="false">(F6-E6)*Assumptions!$B$23/100</f>
        <v>63.2872833120001</v>
      </c>
      <c r="G18" s="4" t="n">
        <f aca="false">(G6-F6)*Assumptions!$B$23/100</f>
        <v>-0</v>
      </c>
      <c r="H18" s="4" t="n">
        <f aca="false">(H6-G6)*Assumptions!$B$23/100</f>
        <v>-24.04916765856</v>
      </c>
      <c r="I18" s="4" t="n">
        <f aca="false">(I6-H6)*Assumptions!$B$23/100</f>
        <v>-24.5301510117311</v>
      </c>
      <c r="J18" s="4" t="n">
        <f aca="false">(J6-I6)*Assumptions!$B$23/100</f>
        <v>-25.0207540319659</v>
      </c>
      <c r="K18" s="4" t="n">
        <f aca="false">(K6-J6)*Assumptions!$B$23/100</f>
        <v>-25.5211691126051</v>
      </c>
      <c r="L18" s="4" t="n">
        <f aca="false">(L6-K6)*Assumptions!$B$23/100</f>
        <v>-26.0315924948573</v>
      </c>
    </row>
    <row r="19" customFormat="false" ht="15" hidden="false" customHeight="false" outlineLevel="0" collapsed="false">
      <c r="A19" s="0" t="s">
        <v>124</v>
      </c>
      <c r="C19" s="0" t="n">
        <f aca="false">C15+C16+C17+C18</f>
        <v>1128.69611776</v>
      </c>
      <c r="D19" s="0" t="n">
        <f aca="false">D15+D16+D17+D18</f>
        <v>1045.2456158936</v>
      </c>
      <c r="E19" s="0" t="n">
        <f aca="false">E15+E16+E17+E18</f>
        <v>739.12514988048</v>
      </c>
      <c r="F19" s="0" t="n">
        <f aca="false">F15+F16+F17+F18</f>
        <v>621.829202182056</v>
      </c>
      <c r="G19" s="0" t="n">
        <f aca="false">G15+G16+G17+G18</f>
        <v>628.885734271344</v>
      </c>
      <c r="H19" s="0" t="n">
        <f aca="false">H15+H16+H17+H18</f>
        <v>687.325211681645</v>
      </c>
      <c r="I19" s="0" t="n">
        <f aca="false">I15+I16+I17+I18</f>
        <v>731.513633320836</v>
      </c>
      <c r="J19" s="0" t="n">
        <f aca="false">J15+J16+J17+J18</f>
        <v>777.194661740922</v>
      </c>
      <c r="K19" s="0" t="n">
        <f aca="false">K15+K16+K17+K18</f>
        <v>792.738554975741</v>
      </c>
      <c r="L19" s="0" t="n">
        <f aca="false">L15+L16+L17+L18</f>
        <v>808.593326075256</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1030.77271028311</v>
      </c>
      <c r="D21" s="0" t="n">
        <f aca="false">D19*D20</f>
        <v>871.746307119201</v>
      </c>
      <c r="E21" s="0" t="n">
        <f aca="false">E19*E20</f>
        <v>562.957517046893</v>
      </c>
      <c r="F21" s="0" t="n">
        <f aca="false">F19*F20</f>
        <v>432.528407975278</v>
      </c>
      <c r="G21" s="0" t="n">
        <f aca="false">G19*G20</f>
        <v>399.485616710255</v>
      </c>
      <c r="H21" s="0" t="n">
        <f aca="false">H19*H20</f>
        <v>398.728757539628</v>
      </c>
      <c r="I21" s="0" t="n">
        <f aca="false">I19*I20</f>
        <v>387.54629587894</v>
      </c>
      <c r="J21" s="0" t="n">
        <f aca="false">J19*J20</f>
        <v>376.025117399677</v>
      </c>
      <c r="K21" s="0" t="n">
        <f aca="false">K19*K20</f>
        <v>350.269972372302</v>
      </c>
      <c r="L21" s="0" t="n">
        <f aca="false">L19*L20</f>
        <v>326.278878374199</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9.5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5.6</v>
      </c>
    </row>
    <row r="30" customFormat="false" ht="15" hidden="false" customHeight="false" outlineLevel="0" collapsed="false">
      <c r="A30" s="0" t="s">
        <v>129</v>
      </c>
      <c r="B30" s="0" t="n">
        <f aca="false">SUM(C21:L21)</f>
        <v>5136.33958069948</v>
      </c>
    </row>
    <row r="31" customFormat="false" ht="15" hidden="false" customHeight="false" outlineLevel="0" collapsed="false">
      <c r="A31" s="0" t="s">
        <v>130</v>
      </c>
      <c r="B31" s="0" t="n">
        <f aca="false">L19</f>
        <v>808.593326075256</v>
      </c>
    </row>
    <row r="32" customFormat="false" ht="15" hidden="false" customHeight="false" outlineLevel="0" collapsed="false">
      <c r="A32" s="0" t="s">
        <v>131</v>
      </c>
      <c r="B32" s="0" t="n">
        <f aca="false">IF(B27&gt;B28,B31*(1+B28/100)/((B27-B28)/100),B31*B29)</f>
        <v>10996.8692346235</v>
      </c>
    </row>
    <row r="33" customFormat="false" ht="15" hidden="false" customHeight="false" outlineLevel="0" collapsed="false">
      <c r="A33" s="0" t="s">
        <v>132</v>
      </c>
      <c r="B33" s="0" t="n">
        <f aca="false">B31*B29</f>
        <v>4528.12262602143</v>
      </c>
    </row>
    <row r="34" customFormat="false" ht="15" hidden="false" customHeight="false" outlineLevel="0" collapsed="false">
      <c r="A34" s="0" t="s">
        <v>133</v>
      </c>
      <c r="B34" s="0" t="n">
        <f aca="false">MAX(0,MIN(B32,B33))</f>
        <v>4528.12262602143</v>
      </c>
    </row>
    <row r="35" customFormat="false" ht="15" hidden="false" customHeight="false" outlineLevel="0" collapsed="false">
      <c r="A35" s="0" t="s">
        <v>134</v>
      </c>
      <c r="B35" s="0" t="n">
        <f aca="false">B34/(1+B27/100)^L4</f>
        <v>1827.16171889552</v>
      </c>
    </row>
    <row r="36" customFormat="false" ht="15" hidden="false" customHeight="false" outlineLevel="0" collapsed="false">
      <c r="A36" s="0" t="s">
        <v>135</v>
      </c>
      <c r="B36" s="0" t="n">
        <f aca="false">B30+B35</f>
        <v>6963.501299595</v>
      </c>
    </row>
    <row r="37" customFormat="false" ht="15" hidden="false" customHeight="false" outlineLevel="0" collapsed="false">
      <c r="A37" s="0" t="s">
        <v>136</v>
      </c>
      <c r="B37" s="0" t="n">
        <f aca="false">B36+Assumptions!$B$5-Assumptions!$B$4</f>
        <v>14394.576299595</v>
      </c>
    </row>
    <row r="38" customFormat="false" ht="15" hidden="false" customHeight="false" outlineLevel="0" collapsed="false">
      <c r="A38" s="0" t="s">
        <v>137</v>
      </c>
      <c r="B38" s="0" t="n">
        <f aca="false">B37/Assumptions!$B$3*Assumptions!$B$10</f>
        <v>3.95068077361142</v>
      </c>
    </row>
    <row r="39" customFormat="false" ht="15" hidden="false" customHeight="false" outlineLevel="0" collapsed="false">
      <c r="A39" s="0" t="s">
        <v>138</v>
      </c>
      <c r="B39" s="4" t="n">
        <f aca="false">B38/Assumptions!$B$2-1</f>
        <v>0.413481493242011</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3.95068077361142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4528.12262602143</v>
      </c>
    </row>
    <row r="47" customFormat="false" ht="15" hidden="false" customHeight="false" outlineLevel="0" collapsed="false">
      <c r="A47" s="0" t="s">
        <v>143</v>
      </c>
      <c r="B47" s="0" t="n">
        <f aca="false">(SUMPRODUCT(C19:L19/(1+B45/100)^C4:L4)+B46/(1+B45/100)^L4+Assumptions!$B$5-Assumptions!$B$4)/Assumptions!$B$3*Assumptions!$B$10</f>
        <v>3.49322700364578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15</v>
      </c>
      <c r="D5" s="4" t="n">
        <f aca="false">Assumptions!D27</f>
        <v>3</v>
      </c>
      <c r="E5" s="4" t="n">
        <f aca="false">Assumptions!E27</f>
        <v>2</v>
      </c>
      <c r="F5" s="4" t="n">
        <f aca="false">Assumptions!F27</f>
        <v>1.5</v>
      </c>
      <c r="G5" s="4" t="n">
        <f aca="false">Assumptions!G27</f>
        <v>1.5</v>
      </c>
      <c r="H5" s="4" t="n">
        <f aca="false">Assumptions!H27</f>
        <v>1.5</v>
      </c>
      <c r="I5" s="4" t="n">
        <f aca="false">Assumptions!I27</f>
        <v>1</v>
      </c>
      <c r="J5" s="4" t="n">
        <f aca="false">Assumptions!J27</f>
        <v>1</v>
      </c>
      <c r="K5" s="4" t="n">
        <f aca="false">Assumptions!K27</f>
        <v>1</v>
      </c>
      <c r="L5" s="4" t="n">
        <f aca="false">Assumptions!L27</f>
        <v>1</v>
      </c>
    </row>
    <row r="6" customFormat="false" ht="15" hidden="false" customHeight="false" outlineLevel="0" collapsed="false">
      <c r="A6" s="0" t="s">
        <v>38</v>
      </c>
      <c r="B6" s="3" t="n">
        <v>11215.184</v>
      </c>
      <c r="C6" s="0" t="n">
        <f aca="false">B6*(1+C5/100)</f>
        <v>12897.4616</v>
      </c>
      <c r="D6" s="0" t="n">
        <f aca="false">C6*(1+D5/100)</f>
        <v>13284.385448</v>
      </c>
      <c r="E6" s="0" t="n">
        <f aca="false">D6*(1+E5/100)</f>
        <v>13550.07315696</v>
      </c>
      <c r="F6" s="0" t="n">
        <f aca="false">E6*(1+F5/100)</f>
        <v>13753.3242543144</v>
      </c>
      <c r="G6" s="0" t="n">
        <f aca="false">F6*(1+G5/100)</f>
        <v>13959.6241181291</v>
      </c>
      <c r="H6" s="0" t="n">
        <f aca="false">G6*(1+H5/100)</f>
        <v>14169.0184799011</v>
      </c>
      <c r="I6" s="0" t="n">
        <f aca="false">H6*(1+I5/100)</f>
        <v>14310.7086647001</v>
      </c>
      <c r="J6" s="0" t="n">
        <f aca="false">I6*(1+J5/100)</f>
        <v>14453.8157513471</v>
      </c>
      <c r="K6" s="0" t="n">
        <f aca="false">J6*(1+K5/100)</f>
        <v>14598.3539088605</v>
      </c>
      <c r="L6" s="0" t="n">
        <f aca="false">K6*(1+L5/100)</f>
        <v>14744.3374479491</v>
      </c>
    </row>
    <row r="7" customFormat="false" ht="15" hidden="false" customHeight="false" outlineLevel="0" collapsed="false">
      <c r="A7" s="0" t="s">
        <v>100</v>
      </c>
      <c r="C7" s="4" t="n">
        <f aca="false">Assumptions!C28</f>
        <v>13.75</v>
      </c>
      <c r="D7" s="4" t="n">
        <f aca="false">Assumptions!D28</f>
        <v>13.75</v>
      </c>
      <c r="E7" s="4" t="n">
        <f aca="false">Assumptions!E28</f>
        <v>13.5</v>
      </c>
      <c r="F7" s="4" t="n">
        <f aca="false">Assumptions!F28</f>
        <v>13.25</v>
      </c>
      <c r="G7" s="4" t="n">
        <f aca="false">Assumptions!G28</f>
        <v>13</v>
      </c>
      <c r="H7" s="4" t="n">
        <f aca="false">Assumptions!H28</f>
        <v>13</v>
      </c>
      <c r="I7" s="4" t="n">
        <f aca="false">Assumptions!I28</f>
        <v>13</v>
      </c>
      <c r="J7" s="4" t="n">
        <f aca="false">Assumptions!J28</f>
        <v>13</v>
      </c>
      <c r="K7" s="4" t="n">
        <f aca="false">Assumptions!K28</f>
        <v>13</v>
      </c>
      <c r="L7" s="4" t="n">
        <f aca="false">Assumptions!L28</f>
        <v>13</v>
      </c>
    </row>
    <row r="8" customFormat="false" ht="15" hidden="false" customHeight="false" outlineLevel="0" collapsed="false">
      <c r="A8" s="0" t="s">
        <v>44</v>
      </c>
      <c r="C8" s="0" t="n">
        <f aca="false">C6*C7/100</f>
        <v>1773.40097</v>
      </c>
      <c r="D8" s="0" t="n">
        <f aca="false">D6*D7/100</f>
        <v>1826.6029991</v>
      </c>
      <c r="E8" s="0" t="n">
        <f aca="false">E6*E7/100</f>
        <v>1829.2598761896</v>
      </c>
      <c r="F8" s="0" t="n">
        <f aca="false">F6*F7/100</f>
        <v>1822.31546369666</v>
      </c>
      <c r="G8" s="0" t="n">
        <f aca="false">G6*G7/100</f>
        <v>1814.75113535678</v>
      </c>
      <c r="H8" s="0" t="n">
        <f aca="false">H6*H7/100</f>
        <v>1841.97240238714</v>
      </c>
      <c r="I8" s="0" t="n">
        <f aca="false">I6*I7/100</f>
        <v>1860.39212641101</v>
      </c>
      <c r="J8" s="0" t="n">
        <f aca="false">J6*J7/100</f>
        <v>1878.99604767512</v>
      </c>
      <c r="K8" s="0" t="n">
        <f aca="false">K6*K7/100</f>
        <v>1897.78600815187</v>
      </c>
      <c r="L8" s="0" t="n">
        <f aca="false">L6*L7/100</f>
        <v>1916.76386823339</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1773.40097</v>
      </c>
      <c r="D11" s="0" t="n">
        <f aca="false">D8+D10+D24</f>
        <v>1826.6029991</v>
      </c>
      <c r="E11" s="0" t="n">
        <f aca="false">E8+E10+E24</f>
        <v>1829.2598761896</v>
      </c>
      <c r="F11" s="0" t="n">
        <f aca="false">F8+F10+F24</f>
        <v>1822.31546369666</v>
      </c>
      <c r="G11" s="0" t="n">
        <f aca="false">G8+G10+G24</f>
        <v>1814.75113535678</v>
      </c>
      <c r="H11" s="0" t="n">
        <f aca="false">H8+H10+H24</f>
        <v>1841.97240238714</v>
      </c>
      <c r="I11" s="0" t="n">
        <f aca="false">I8+I10+I24</f>
        <v>1860.39212641101</v>
      </c>
      <c r="J11" s="0" t="n">
        <f aca="false">J8+J10+J24</f>
        <v>1878.99604767512</v>
      </c>
      <c r="K11" s="0" t="n">
        <f aca="false">K8+K10+K24</f>
        <v>1897.78600815187</v>
      </c>
      <c r="L11" s="0" t="n">
        <f aca="false">L8+L10+L24</f>
        <v>1916.76386823339</v>
      </c>
    </row>
    <row r="12" customFormat="false" ht="15" hidden="false" customHeight="false" outlineLevel="0" collapsed="false">
      <c r="A12" s="0" t="s">
        <v>118</v>
      </c>
      <c r="C12" s="4" t="n">
        <f aca="false">-C6*Assumptions!C31/100</f>
        <v>-257.949232</v>
      </c>
      <c r="D12" s="4" t="n">
        <f aca="false">-D6*Assumptions!D31/100</f>
        <v>-252.403323512</v>
      </c>
      <c r="E12" s="4" t="n">
        <f aca="false">-E6*Assumptions!E31/100</f>
        <v>-250.67635340376</v>
      </c>
      <c r="F12" s="4" t="n">
        <f aca="false">-F6*Assumptions!F31/100</f>
        <v>-247.559836577659</v>
      </c>
      <c r="G12" s="4" t="n">
        <f aca="false">-G6*Assumptions!G31/100</f>
        <v>-251.273234126324</v>
      </c>
      <c r="H12" s="4" t="n">
        <f aca="false">-H6*Assumptions!H31/100</f>
        <v>-255.042332638219</v>
      </c>
      <c r="I12" s="4" t="n">
        <f aca="false">-I6*Assumptions!I31/100</f>
        <v>-257.592755964601</v>
      </c>
      <c r="J12" s="4" t="n">
        <f aca="false">-J6*Assumptions!J31/100</f>
        <v>-260.168683524247</v>
      </c>
      <c r="K12" s="4" t="n">
        <f aca="false">-K6*Assumptions!K31/100</f>
        <v>-262.77037035949</v>
      </c>
      <c r="L12" s="4" t="n">
        <f aca="false">-L6*Assumptions!L31/100</f>
        <v>-265.398074063084</v>
      </c>
    </row>
    <row r="13" customFormat="false" ht="15" hidden="false" customHeight="false" outlineLevel="0" collapsed="false">
      <c r="A13" s="0" t="s">
        <v>119</v>
      </c>
      <c r="C13" s="0" t="n">
        <f aca="false">C11+C12</f>
        <v>1515.451738</v>
      </c>
      <c r="D13" s="0" t="n">
        <f aca="false">D11+D12</f>
        <v>1574.199675588</v>
      </c>
      <c r="E13" s="0" t="n">
        <f aca="false">E11+E12</f>
        <v>1578.58352278584</v>
      </c>
      <c r="F13" s="0" t="n">
        <f aca="false">F11+F12</f>
        <v>1574.755627119</v>
      </c>
      <c r="G13" s="0" t="n">
        <f aca="false">G11+G12</f>
        <v>1563.47790123046</v>
      </c>
      <c r="H13" s="0" t="n">
        <f aca="false">H11+H12</f>
        <v>1586.93006974892</v>
      </c>
      <c r="I13" s="0" t="n">
        <f aca="false">I11+I12</f>
        <v>1602.79937044641</v>
      </c>
      <c r="J13" s="0" t="n">
        <f aca="false">J11+J12</f>
        <v>1618.82736415087</v>
      </c>
      <c r="K13" s="0" t="n">
        <f aca="false">K11+K12</f>
        <v>1635.01563779238</v>
      </c>
      <c r="L13" s="0" t="n">
        <f aca="false">L11+L12</f>
        <v>1651.3657941703</v>
      </c>
    </row>
    <row r="14" customFormat="false" ht="15" hidden="false" customHeight="false" outlineLevel="0" collapsed="false">
      <c r="A14" s="0" t="s">
        <v>105</v>
      </c>
      <c r="C14" s="4" t="n">
        <f aca="false">Assumptions!C33</f>
        <v>16</v>
      </c>
      <c r="D14" s="4" t="n">
        <f aca="false">Assumptions!D33</f>
        <v>16</v>
      </c>
      <c r="E14" s="4" t="n">
        <f aca="false">Assumptions!E33</f>
        <v>17</v>
      </c>
      <c r="F14" s="4" t="n">
        <f aca="false">Assumptions!F33</f>
        <v>17</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120</v>
      </c>
      <c r="C15" s="0" t="n">
        <f aca="false">C13-MAX(0,C13)*C14/100</f>
        <v>1272.97945992</v>
      </c>
      <c r="D15" s="0" t="n">
        <f aca="false">D13-MAX(0,D13)*D14/100</f>
        <v>1322.32772749392</v>
      </c>
      <c r="E15" s="0" t="n">
        <f aca="false">E13-MAX(0,E13)*E14/100</f>
        <v>1310.22432391225</v>
      </c>
      <c r="F15" s="0" t="n">
        <f aca="false">F13-MAX(0,F13)*F14/100</f>
        <v>1307.04717050877</v>
      </c>
      <c r="G15" s="0" t="n">
        <f aca="false">G13-MAX(0,G13)*G14/100</f>
        <v>1282.05187900898</v>
      </c>
      <c r="H15" s="0" t="n">
        <f aca="false">H13-MAX(0,H13)*H14/100</f>
        <v>1301.28265719411</v>
      </c>
      <c r="I15" s="0" t="n">
        <f aca="false">I13-MAX(0,I13)*I14/100</f>
        <v>1314.29548376605</v>
      </c>
      <c r="J15" s="0" t="n">
        <f aca="false">J13-MAX(0,J13)*J14/100</f>
        <v>1327.43843860371</v>
      </c>
      <c r="K15" s="0" t="n">
        <f aca="false">K13-MAX(0,K13)*K14/100</f>
        <v>1340.71282298975</v>
      </c>
      <c r="L15" s="0" t="n">
        <f aca="false">L13-MAX(0,L13)*L14/100</f>
        <v>1354.11995121965</v>
      </c>
    </row>
    <row r="16" customFormat="false" ht="15" hidden="false" customHeight="false" outlineLevel="0" collapsed="false">
      <c r="A16" s="0" t="s">
        <v>121</v>
      </c>
      <c r="C16" s="0" t="n">
        <f aca="false">-C12</f>
        <v>257.949232</v>
      </c>
      <c r="D16" s="0" t="n">
        <f aca="false">-D12</f>
        <v>252.403323512</v>
      </c>
      <c r="E16" s="0" t="n">
        <f aca="false">-E12</f>
        <v>250.67635340376</v>
      </c>
      <c r="F16" s="0" t="n">
        <f aca="false">-F12</f>
        <v>247.559836577659</v>
      </c>
      <c r="G16" s="0" t="n">
        <f aca="false">-G12</f>
        <v>251.273234126324</v>
      </c>
      <c r="H16" s="0" t="n">
        <f aca="false">-H12</f>
        <v>255.042332638219</v>
      </c>
      <c r="I16" s="0" t="n">
        <f aca="false">-I12</f>
        <v>257.592755964601</v>
      </c>
      <c r="J16" s="0" t="n">
        <f aca="false">-J12</f>
        <v>260.168683524247</v>
      </c>
      <c r="K16" s="0" t="n">
        <f aca="false">-K12</f>
        <v>262.77037035949</v>
      </c>
      <c r="L16" s="0" t="n">
        <f aca="false">-L12</f>
        <v>265.398074063084</v>
      </c>
    </row>
    <row r="17" customFormat="false" ht="15" hidden="false" customHeight="false" outlineLevel="0" collapsed="false">
      <c r="A17" s="0" t="s">
        <v>122</v>
      </c>
      <c r="C17" s="4" t="n">
        <f aca="false">-C6*Assumptions!C32/100</f>
        <v>-128.974616</v>
      </c>
      <c r="D17" s="4" t="n">
        <f aca="false">-D6*Assumptions!D32/100</f>
        <v>-172.697010824</v>
      </c>
      <c r="E17" s="4" t="n">
        <f aca="false">-E6*Assumptions!E32/100</f>
        <v>-203.2510973544</v>
      </c>
      <c r="F17" s="4" t="n">
        <f aca="false">-F6*Assumptions!F32/100</f>
        <v>-220.05318806903</v>
      </c>
      <c r="G17" s="4" t="n">
        <f aca="false">-G6*Assumptions!G32/100</f>
        <v>-237.313610008195</v>
      </c>
      <c r="H17" s="4" t="n">
        <f aca="false">-H6*Assumptions!H32/100</f>
        <v>-255.042332638219</v>
      </c>
      <c r="I17" s="4" t="n">
        <f aca="false">-I6*Assumptions!I32/100</f>
        <v>-257.592755964601</v>
      </c>
      <c r="J17" s="4" t="n">
        <f aca="false">-J6*Assumptions!J32/100</f>
        <v>-260.168683524247</v>
      </c>
      <c r="K17" s="4" t="n">
        <f aca="false">-K6*Assumptions!K32/100</f>
        <v>-262.77037035949</v>
      </c>
      <c r="L17" s="4" t="n">
        <f aca="false">-L6*Assumptions!L32/100</f>
        <v>-265.398074063084</v>
      </c>
    </row>
    <row r="18" customFormat="false" ht="15" hidden="false" customHeight="false" outlineLevel="0" collapsed="false">
      <c r="A18" s="0" t="s">
        <v>123</v>
      </c>
      <c r="C18" s="4" t="n">
        <f aca="false">(C6-B6)*Assumptions!$B$37/100</f>
        <v>-201.873312</v>
      </c>
      <c r="D18" s="4" t="n">
        <f aca="false">(D6-C6)*Assumptions!$B$37/100</f>
        <v>-46.43086176</v>
      </c>
      <c r="E18" s="4" t="n">
        <f aca="false">(E6-D6)*Assumptions!$B$37/100</f>
        <v>-31.8825250752</v>
      </c>
      <c r="F18" s="4" t="n">
        <f aca="false">(F6-E6)*Assumptions!$B$37/100</f>
        <v>-24.3901316825279</v>
      </c>
      <c r="G18" s="4" t="n">
        <f aca="false">(G6-F6)*Assumptions!$B$37/100</f>
        <v>-24.7559836577658</v>
      </c>
      <c r="H18" s="4" t="n">
        <f aca="false">(H6-G6)*Assumptions!$B$37/100</f>
        <v>-25.1273234126323</v>
      </c>
      <c r="I18" s="4" t="n">
        <f aca="false">(I6-H6)*Assumptions!$B$37/100</f>
        <v>-17.0028221758812</v>
      </c>
      <c r="J18" s="4" t="n">
        <f aca="false">(J6-I6)*Assumptions!$B$37/100</f>
        <v>-17.17285039764</v>
      </c>
      <c r="K18" s="4" t="n">
        <f aca="false">(K6-J6)*Assumptions!$B$37/100</f>
        <v>-17.3445789016165</v>
      </c>
      <c r="L18" s="4" t="n">
        <f aca="false">(L6-K6)*Assumptions!$B$37/100</f>
        <v>-17.5180246906327</v>
      </c>
    </row>
    <row r="19" customFormat="false" ht="15" hidden="false" customHeight="false" outlineLevel="0" collapsed="false">
      <c r="A19" s="0" t="s">
        <v>124</v>
      </c>
      <c r="C19" s="0" t="n">
        <f aca="false">C15+C16+C17+C18</f>
        <v>1200.08076392</v>
      </c>
      <c r="D19" s="0" t="n">
        <f aca="false">D15+D16+D17+D18</f>
        <v>1355.60317842192</v>
      </c>
      <c r="E19" s="0" t="n">
        <f aca="false">E15+E16+E17+E18</f>
        <v>1325.76705488641</v>
      </c>
      <c r="F19" s="0" t="n">
        <f aca="false">F15+F16+F17+F18</f>
        <v>1310.16368733487</v>
      </c>
      <c r="G19" s="0" t="n">
        <f aca="false">G15+G16+G17+G18</f>
        <v>1271.25551946934</v>
      </c>
      <c r="H19" s="0" t="n">
        <f aca="false">H15+H16+H17+H18</f>
        <v>1276.15533378148</v>
      </c>
      <c r="I19" s="0" t="n">
        <f aca="false">I15+I16+I17+I18</f>
        <v>1297.29266159017</v>
      </c>
      <c r="J19" s="0" t="n">
        <f aca="false">J15+J16+J17+J18</f>
        <v>1310.26558820607</v>
      </c>
      <c r="K19" s="0" t="n">
        <f aca="false">K15+K16+K17+K18</f>
        <v>1323.36824408813</v>
      </c>
      <c r="L19" s="0" t="n">
        <f aca="false">L15+L16+L17+L18</f>
        <v>1336.60192652902</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1095.96416796347</v>
      </c>
      <c r="D21" s="0" t="n">
        <f aca="false">D19*D20</f>
        <v>1130.587918035</v>
      </c>
      <c r="E21" s="0" t="n">
        <f aca="false">E19*E20</f>
        <v>1009.77558336651</v>
      </c>
      <c r="F21" s="0" t="n">
        <f aca="false">F19*F20</f>
        <v>911.316181165871</v>
      </c>
      <c r="G21" s="0" t="n">
        <f aca="false">G19*G20</f>
        <v>807.53667560919</v>
      </c>
      <c r="H21" s="0" t="n">
        <f aca="false">H19*H20</f>
        <v>740.318879648406</v>
      </c>
      <c r="I21" s="0" t="n">
        <f aca="false">I19*I20</f>
        <v>687.288579144903</v>
      </c>
      <c r="J21" s="0" t="n">
        <f aca="false">J19*J20</f>
        <v>633.937410900778</v>
      </c>
      <c r="K21" s="0" t="n">
        <f aca="false">K19*K20</f>
        <v>584.727657543183</v>
      </c>
      <c r="L21" s="0" t="n">
        <f aca="false">L19*L20</f>
        <v>539.337839377731</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9.5</v>
      </c>
    </row>
    <row r="28" customFormat="false" ht="15" hidden="false" customHeight="false" outlineLevel="0" collapsed="false">
      <c r="A28" s="0" t="s">
        <v>107</v>
      </c>
      <c r="B28" s="4" t="n">
        <f aca="false">Assumptions!$B$35</f>
        <v>2</v>
      </c>
    </row>
    <row r="29" customFormat="false" ht="15" hidden="false" customHeight="false" outlineLevel="0" collapsed="false">
      <c r="A29" s="0" t="s">
        <v>108</v>
      </c>
      <c r="B29" s="4" t="n">
        <f aca="false">Assumptions!$B$36</f>
        <v>9.5</v>
      </c>
    </row>
    <row r="30" customFormat="false" ht="15" hidden="false" customHeight="false" outlineLevel="0" collapsed="false">
      <c r="A30" s="0" t="s">
        <v>129</v>
      </c>
      <c r="B30" s="0" t="n">
        <f aca="false">SUM(C21:L21)</f>
        <v>8140.79089275505</v>
      </c>
    </row>
    <row r="31" customFormat="false" ht="15" hidden="false" customHeight="false" outlineLevel="0" collapsed="false">
      <c r="A31" s="0" t="s">
        <v>130</v>
      </c>
      <c r="B31" s="0" t="n">
        <f aca="false">L19</f>
        <v>1336.60192652902</v>
      </c>
    </row>
    <row r="32" customFormat="false" ht="15" hidden="false" customHeight="false" outlineLevel="0" collapsed="false">
      <c r="A32" s="0" t="s">
        <v>131</v>
      </c>
      <c r="B32" s="0" t="n">
        <f aca="false">IF(B27&gt;B28,B31*(1+B28/100)/((B27-B28)/100),B31*B29)</f>
        <v>18177.7862007946</v>
      </c>
    </row>
    <row r="33" customFormat="false" ht="15" hidden="false" customHeight="false" outlineLevel="0" collapsed="false">
      <c r="A33" s="0" t="s">
        <v>132</v>
      </c>
      <c r="B33" s="0" t="n">
        <f aca="false">B31*B29</f>
        <v>12697.7183020257</v>
      </c>
    </row>
    <row r="34" customFormat="false" ht="15" hidden="false" customHeight="false" outlineLevel="0" collapsed="false">
      <c r="A34" s="0" t="s">
        <v>133</v>
      </c>
      <c r="B34" s="0" t="n">
        <f aca="false">MAX(0,MIN(B32,B33))</f>
        <v>12697.7183020257</v>
      </c>
    </row>
    <row r="35" customFormat="false" ht="15" hidden="false" customHeight="false" outlineLevel="0" collapsed="false">
      <c r="A35" s="0" t="s">
        <v>134</v>
      </c>
      <c r="B35" s="0" t="n">
        <f aca="false">B34/(1+B27/100)^L4</f>
        <v>5123.70947408844</v>
      </c>
    </row>
    <row r="36" customFormat="false" ht="15" hidden="false" customHeight="false" outlineLevel="0" collapsed="false">
      <c r="A36" s="0" t="s">
        <v>135</v>
      </c>
      <c r="B36" s="0" t="n">
        <f aca="false">B30+B35</f>
        <v>13264.5003668435</v>
      </c>
    </row>
    <row r="37" customFormat="false" ht="15" hidden="false" customHeight="false" outlineLevel="0" collapsed="false">
      <c r="A37" s="0" t="s">
        <v>136</v>
      </c>
      <c r="B37" s="0" t="n">
        <f aca="false">B36+Assumptions!$B$5-Assumptions!$B$4</f>
        <v>20695.5753668435</v>
      </c>
    </row>
    <row r="38" customFormat="false" ht="15" hidden="false" customHeight="false" outlineLevel="0" collapsed="false">
      <c r="A38" s="0" t="s">
        <v>137</v>
      </c>
      <c r="B38" s="0" t="n">
        <f aca="false">B37/Assumptions!$B$3*Assumptions!$B$10</f>
        <v>5.68002906087032</v>
      </c>
    </row>
    <row r="39" customFormat="false" ht="15" hidden="false" customHeight="false" outlineLevel="0" collapsed="false">
      <c r="A39" s="0" t="s">
        <v>138</v>
      </c>
      <c r="B39" s="4" t="n">
        <f aca="false">B38/Assumptions!$B$2-1</f>
        <v>1.03221075523088</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5.68002906087032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10487.1843466123</v>
      </c>
    </row>
    <row r="47" customFormat="false" ht="15" hidden="false" customHeight="false" outlineLevel="0" collapsed="false">
      <c r="A47" s="0" t="s">
        <v>143</v>
      </c>
      <c r="B47" s="0" t="n">
        <f aca="false">(SUMPRODUCT(C19:L19/(1+B45/100)^C4:L4)+B46/(1+B45/100)^L4+Assumptions!$B$5-Assumptions!$B$4)/Assumptions!$B$3*Assumptions!$B$10</f>
        <v>4.53376544362836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18</v>
      </c>
      <c r="D5" s="4" t="n">
        <f aca="false">Assumptions!D41</f>
        <v>8</v>
      </c>
      <c r="E5" s="4" t="n">
        <f aca="false">Assumptions!E41</f>
        <v>5</v>
      </c>
      <c r="F5" s="4" t="n">
        <f aca="false">Assumptions!F41</f>
        <v>3.5</v>
      </c>
      <c r="G5" s="4" t="n">
        <f aca="false">Assumptions!G41</f>
        <v>3</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38</v>
      </c>
      <c r="B6" s="3" t="n">
        <v>11215.184</v>
      </c>
      <c r="C6" s="0" t="n">
        <f aca="false">B6*(1+C5/100)</f>
        <v>13233.91712</v>
      </c>
      <c r="D6" s="0" t="n">
        <f aca="false">C6*(1+D5/100)</f>
        <v>14292.6304896</v>
      </c>
      <c r="E6" s="0" t="n">
        <f aca="false">D6*(1+E5/100)</f>
        <v>15007.26201408</v>
      </c>
      <c r="F6" s="0" t="n">
        <f aca="false">E6*(1+F5/100)</f>
        <v>15532.5161845728</v>
      </c>
      <c r="G6" s="0" t="n">
        <f aca="false">F6*(1+G5/100)</f>
        <v>15998.49167011</v>
      </c>
      <c r="H6" s="0" t="n">
        <f aca="false">G6*(1+H5/100)</f>
        <v>16478.4464202133</v>
      </c>
      <c r="I6" s="0" t="n">
        <f aca="false">H6*(1+I5/100)</f>
        <v>16972.7998128197</v>
      </c>
      <c r="J6" s="0" t="n">
        <f aca="false">I6*(1+J5/100)</f>
        <v>17397.1198081402</v>
      </c>
      <c r="K6" s="0" t="n">
        <f aca="false">J6*(1+K5/100)</f>
        <v>17832.0478033437</v>
      </c>
      <c r="L6" s="0" t="n">
        <f aca="false">K6*(1+L5/100)</f>
        <v>18277.8489984273</v>
      </c>
    </row>
    <row r="7" customFormat="false" ht="15" hidden="false" customHeight="false" outlineLevel="0" collapsed="false">
      <c r="A7" s="0" t="s">
        <v>100</v>
      </c>
      <c r="C7" s="4" t="n">
        <f aca="false">Assumptions!C42</f>
        <v>14.25</v>
      </c>
      <c r="D7" s="4" t="n">
        <f aca="false">Assumptions!D42</f>
        <v>14.75</v>
      </c>
      <c r="E7" s="4" t="n">
        <f aca="false">Assumptions!E42</f>
        <v>15.25</v>
      </c>
      <c r="F7" s="4" t="n">
        <f aca="false">Assumptions!F42</f>
        <v>15.5</v>
      </c>
      <c r="G7" s="4" t="n">
        <f aca="false">Assumptions!G42</f>
        <v>15.5</v>
      </c>
      <c r="H7" s="4" t="n">
        <f aca="false">Assumptions!H42</f>
        <v>15.5</v>
      </c>
      <c r="I7" s="4" t="n">
        <f aca="false">Assumptions!I42</f>
        <v>15.5</v>
      </c>
      <c r="J7" s="4" t="n">
        <f aca="false">Assumptions!J42</f>
        <v>15.5</v>
      </c>
      <c r="K7" s="4" t="n">
        <f aca="false">Assumptions!K42</f>
        <v>15.5</v>
      </c>
      <c r="L7" s="4" t="n">
        <f aca="false">Assumptions!L42</f>
        <v>15.5</v>
      </c>
    </row>
    <row r="8" customFormat="false" ht="15" hidden="false" customHeight="false" outlineLevel="0" collapsed="false">
      <c r="A8" s="0" t="s">
        <v>44</v>
      </c>
      <c r="C8" s="0" t="n">
        <f aca="false">C6*C7/100</f>
        <v>1885.8331896</v>
      </c>
      <c r="D8" s="0" t="n">
        <f aca="false">D6*D7/100</f>
        <v>2108.162997216</v>
      </c>
      <c r="E8" s="0" t="n">
        <f aca="false">E6*E7/100</f>
        <v>2288.6074571472</v>
      </c>
      <c r="F8" s="0" t="n">
        <f aca="false">F6*F7/100</f>
        <v>2407.54000860878</v>
      </c>
      <c r="G8" s="0" t="n">
        <f aca="false">G6*G7/100</f>
        <v>2479.76620886705</v>
      </c>
      <c r="H8" s="0" t="n">
        <f aca="false">H6*H7/100</f>
        <v>2554.15919513306</v>
      </c>
      <c r="I8" s="0" t="n">
        <f aca="false">I6*I7/100</f>
        <v>2630.78397098705</v>
      </c>
      <c r="J8" s="0" t="n">
        <f aca="false">J6*J7/100</f>
        <v>2696.55357026173</v>
      </c>
      <c r="K8" s="0" t="n">
        <f aca="false">K6*K7/100</f>
        <v>2763.96740951827</v>
      </c>
      <c r="L8" s="0" t="n">
        <f aca="false">L6*L7/100</f>
        <v>2833.06659475623</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1885.8331896</v>
      </c>
      <c r="D11" s="0" t="n">
        <f aca="false">D8+D10+D24</f>
        <v>2108.162997216</v>
      </c>
      <c r="E11" s="0" t="n">
        <f aca="false">E8+E10+E24</f>
        <v>2288.6074571472</v>
      </c>
      <c r="F11" s="0" t="n">
        <f aca="false">F8+F10+F24</f>
        <v>2407.54000860878</v>
      </c>
      <c r="G11" s="0" t="n">
        <f aca="false">G8+G10+G24</f>
        <v>2479.76620886705</v>
      </c>
      <c r="H11" s="0" t="n">
        <f aca="false">H8+H10+H24</f>
        <v>2554.15919513306</v>
      </c>
      <c r="I11" s="0" t="n">
        <f aca="false">I8+I10+I24</f>
        <v>2630.78397098705</v>
      </c>
      <c r="J11" s="0" t="n">
        <f aca="false">J8+J10+J24</f>
        <v>2696.55357026173</v>
      </c>
      <c r="K11" s="0" t="n">
        <f aca="false">K8+K10+K24</f>
        <v>2763.96740951827</v>
      </c>
      <c r="L11" s="0" t="n">
        <f aca="false">L8+L10+L24</f>
        <v>2833.06659475623</v>
      </c>
    </row>
    <row r="12" customFormat="false" ht="15" hidden="false" customHeight="false" outlineLevel="0" collapsed="false">
      <c r="A12" s="0" t="s">
        <v>118</v>
      </c>
      <c r="C12" s="4" t="n">
        <f aca="false">-C6*Assumptions!C45/100</f>
        <v>-264.6783424</v>
      </c>
      <c r="D12" s="4" t="n">
        <f aca="false">-D6*Assumptions!D45/100</f>
        <v>-271.5599793024</v>
      </c>
      <c r="E12" s="4" t="n">
        <f aca="false">-E6*Assumptions!E45/100</f>
        <v>-277.63434726048</v>
      </c>
      <c r="F12" s="4" t="n">
        <f aca="false">-F6*Assumptions!F45/100</f>
        <v>-279.58529132231</v>
      </c>
      <c r="G12" s="4" t="n">
        <f aca="false">-G6*Assumptions!G45/100</f>
        <v>-287.97285006198</v>
      </c>
      <c r="H12" s="4" t="n">
        <f aca="false">-H6*Assumptions!H45/100</f>
        <v>-296.612035563839</v>
      </c>
      <c r="I12" s="4" t="n">
        <f aca="false">-I6*Assumptions!I45/100</f>
        <v>-305.510396630754</v>
      </c>
      <c r="J12" s="4" t="n">
        <f aca="false">-J6*Assumptions!J45/100</f>
        <v>-313.148156546523</v>
      </c>
      <c r="K12" s="4" t="n">
        <f aca="false">-K6*Assumptions!K45/100</f>
        <v>-320.976860460186</v>
      </c>
      <c r="L12" s="4" t="n">
        <f aca="false">-L6*Assumptions!L45/100</f>
        <v>-329.001281971691</v>
      </c>
    </row>
    <row r="13" customFormat="false" ht="15" hidden="false" customHeight="false" outlineLevel="0" collapsed="false">
      <c r="A13" s="0" t="s">
        <v>119</v>
      </c>
      <c r="C13" s="0" t="n">
        <f aca="false">C11+C12</f>
        <v>1621.1548472</v>
      </c>
      <c r="D13" s="0" t="n">
        <f aca="false">D11+D12</f>
        <v>1836.6030179136</v>
      </c>
      <c r="E13" s="0" t="n">
        <f aca="false">E11+E12</f>
        <v>2010.97310988672</v>
      </c>
      <c r="F13" s="0" t="n">
        <f aca="false">F11+F12</f>
        <v>2127.95471728647</v>
      </c>
      <c r="G13" s="0" t="n">
        <f aca="false">G11+G12</f>
        <v>2191.79335880507</v>
      </c>
      <c r="H13" s="0" t="n">
        <f aca="false">H11+H12</f>
        <v>2257.54715956922</v>
      </c>
      <c r="I13" s="0" t="n">
        <f aca="false">I11+I12</f>
        <v>2325.2735743563</v>
      </c>
      <c r="J13" s="0" t="n">
        <f aca="false">J11+J12</f>
        <v>2383.4054137152</v>
      </c>
      <c r="K13" s="0" t="n">
        <f aca="false">K11+K12</f>
        <v>2442.99054905808</v>
      </c>
      <c r="L13" s="0" t="n">
        <f aca="false">L11+L12</f>
        <v>2504.06531278454</v>
      </c>
    </row>
    <row r="14" customFormat="false" ht="15" hidden="false" customHeight="false" outlineLevel="0" collapsed="false">
      <c r="A14" s="0" t="s">
        <v>105</v>
      </c>
      <c r="C14" s="4" t="n">
        <f aca="false">Assumptions!C47</f>
        <v>16</v>
      </c>
      <c r="D14" s="4" t="n">
        <f aca="false">Assumptions!D47</f>
        <v>16</v>
      </c>
      <c r="E14" s="4" t="n">
        <f aca="false">Assumptions!E47</f>
        <v>17</v>
      </c>
      <c r="F14" s="4" t="n">
        <f aca="false">Assumptions!F47</f>
        <v>17</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120</v>
      </c>
      <c r="C15" s="0" t="n">
        <f aca="false">C13-MAX(0,C13)*C14/100</f>
        <v>1361.770071648</v>
      </c>
      <c r="D15" s="0" t="n">
        <f aca="false">D13-MAX(0,D13)*D14/100</f>
        <v>1542.74653504742</v>
      </c>
      <c r="E15" s="0" t="n">
        <f aca="false">E13-MAX(0,E13)*E14/100</f>
        <v>1669.10768120598</v>
      </c>
      <c r="F15" s="0" t="n">
        <f aca="false">F13-MAX(0,F13)*F14/100</f>
        <v>1766.20241534777</v>
      </c>
      <c r="G15" s="0" t="n">
        <f aca="false">G13-MAX(0,G13)*G14/100</f>
        <v>1797.27055422016</v>
      </c>
      <c r="H15" s="0" t="n">
        <f aca="false">H13-MAX(0,H13)*H14/100</f>
        <v>1851.18867084676</v>
      </c>
      <c r="I15" s="0" t="n">
        <f aca="false">I13-MAX(0,I13)*I14/100</f>
        <v>1906.72433097216</v>
      </c>
      <c r="J15" s="0" t="n">
        <f aca="false">J13-MAX(0,J13)*J14/100</f>
        <v>1954.39243924647</v>
      </c>
      <c r="K15" s="0" t="n">
        <f aca="false">K13-MAX(0,K13)*K14/100</f>
        <v>2003.25225022763</v>
      </c>
      <c r="L15" s="0" t="n">
        <f aca="false">L13-MAX(0,L13)*L14/100</f>
        <v>2053.33355648332</v>
      </c>
    </row>
    <row r="16" customFormat="false" ht="15" hidden="false" customHeight="false" outlineLevel="0" collapsed="false">
      <c r="A16" s="0" t="s">
        <v>121</v>
      </c>
      <c r="C16" s="0" t="n">
        <f aca="false">-C12</f>
        <v>264.6783424</v>
      </c>
      <c r="D16" s="0" t="n">
        <f aca="false">-D12</f>
        <v>271.5599793024</v>
      </c>
      <c r="E16" s="0" t="n">
        <f aca="false">-E12</f>
        <v>277.63434726048</v>
      </c>
      <c r="F16" s="0" t="n">
        <f aca="false">-F12</f>
        <v>279.58529132231</v>
      </c>
      <c r="G16" s="0" t="n">
        <f aca="false">-G12</f>
        <v>287.97285006198</v>
      </c>
      <c r="H16" s="0" t="n">
        <f aca="false">-H12</f>
        <v>296.612035563839</v>
      </c>
      <c r="I16" s="0" t="n">
        <f aca="false">-I12</f>
        <v>305.510396630754</v>
      </c>
      <c r="J16" s="0" t="n">
        <f aca="false">-J12</f>
        <v>313.148156546523</v>
      </c>
      <c r="K16" s="0" t="n">
        <f aca="false">-K12</f>
        <v>320.976860460186</v>
      </c>
      <c r="L16" s="0" t="n">
        <f aca="false">-L12</f>
        <v>329.001281971691</v>
      </c>
    </row>
    <row r="17" customFormat="false" ht="15" hidden="false" customHeight="false" outlineLevel="0" collapsed="false">
      <c r="A17" s="0" t="s">
        <v>122</v>
      </c>
      <c r="C17" s="4" t="n">
        <f aca="false">-C6*Assumptions!C46/100</f>
        <v>-132.3391712</v>
      </c>
      <c r="D17" s="4" t="n">
        <f aca="false">-D6*Assumptions!D46/100</f>
        <v>-185.8041963648</v>
      </c>
      <c r="E17" s="4" t="n">
        <f aca="false">-E6*Assumptions!E46/100</f>
        <v>-225.1089302112</v>
      </c>
      <c r="F17" s="4" t="n">
        <f aca="false">-F6*Assumptions!F46/100</f>
        <v>-248.520258953165</v>
      </c>
      <c r="G17" s="4" t="n">
        <f aca="false">-G6*Assumptions!G46/100</f>
        <v>-271.97435839187</v>
      </c>
      <c r="H17" s="4" t="n">
        <f aca="false">-H6*Assumptions!H46/100</f>
        <v>-296.612035563839</v>
      </c>
      <c r="I17" s="4" t="n">
        <f aca="false">-I6*Assumptions!I46/100</f>
        <v>-305.510396630754</v>
      </c>
      <c r="J17" s="4" t="n">
        <f aca="false">-J6*Assumptions!J46/100</f>
        <v>-313.148156546523</v>
      </c>
      <c r="K17" s="4" t="n">
        <f aca="false">-K6*Assumptions!K46/100</f>
        <v>-320.976860460186</v>
      </c>
      <c r="L17" s="4" t="n">
        <f aca="false">-L6*Assumptions!L46/100</f>
        <v>-329.001281971691</v>
      </c>
    </row>
    <row r="18" customFormat="false" ht="15" hidden="false" customHeight="false" outlineLevel="0" collapsed="false">
      <c r="A18" s="0" t="s">
        <v>123</v>
      </c>
      <c r="C18" s="4" t="n">
        <f aca="false">(C6-B6)*Assumptions!$B$51/100</f>
        <v>-242.2479744</v>
      </c>
      <c r="D18" s="4" t="n">
        <f aca="false">(D6-C6)*Assumptions!$B$51/100</f>
        <v>-127.045604352</v>
      </c>
      <c r="E18" s="4" t="n">
        <f aca="false">(E6-D6)*Assumptions!$B$51/100</f>
        <v>-85.7557829376001</v>
      </c>
      <c r="F18" s="4" t="n">
        <f aca="false">(F6-E6)*Assumptions!$B$51/100</f>
        <v>-63.0305004591359</v>
      </c>
      <c r="G18" s="4" t="n">
        <f aca="false">(G6-F6)*Assumptions!$B$51/100</f>
        <v>-55.9170582644622</v>
      </c>
      <c r="H18" s="4" t="n">
        <f aca="false">(H6-G6)*Assumptions!$B$51/100</f>
        <v>-57.5945700123961</v>
      </c>
      <c r="I18" s="4" t="n">
        <f aca="false">(I6-H6)*Assumptions!$B$51/100</f>
        <v>-59.3224071127677</v>
      </c>
      <c r="J18" s="4" t="n">
        <f aca="false">(J6-I6)*Assumptions!$B$51/100</f>
        <v>-50.9183994384587</v>
      </c>
      <c r="K18" s="4" t="n">
        <f aca="false">(K6-J6)*Assumptions!$B$51/100</f>
        <v>-52.1913594244204</v>
      </c>
      <c r="L18" s="4" t="n">
        <f aca="false">(L6-K6)*Assumptions!$B$51/100</f>
        <v>-53.4961434100308</v>
      </c>
    </row>
    <row r="19" customFormat="false" ht="15" hidden="false" customHeight="false" outlineLevel="0" collapsed="false">
      <c r="A19" s="0" t="s">
        <v>124</v>
      </c>
      <c r="C19" s="0" t="n">
        <f aca="false">C15+C16+C17+C18</f>
        <v>1251.861268448</v>
      </c>
      <c r="D19" s="0" t="n">
        <f aca="false">D15+D16+D17+D18</f>
        <v>1501.45671363302</v>
      </c>
      <c r="E19" s="0" t="n">
        <f aca="false">E15+E16+E17+E18</f>
        <v>1635.87731531766</v>
      </c>
      <c r="F19" s="0" t="n">
        <f aca="false">F15+F16+F17+F18</f>
        <v>1734.23694725778</v>
      </c>
      <c r="G19" s="0" t="n">
        <f aca="false">G15+G16+G17+G18</f>
        <v>1757.3519876258</v>
      </c>
      <c r="H19" s="0" t="n">
        <f aca="false">H15+H16+H17+H18</f>
        <v>1793.59410083436</v>
      </c>
      <c r="I19" s="0" t="n">
        <f aca="false">I15+I16+I17+I18</f>
        <v>1847.4019238594</v>
      </c>
      <c r="J19" s="0" t="n">
        <f aca="false">J15+J16+J17+J18</f>
        <v>1903.47403980801</v>
      </c>
      <c r="K19" s="0" t="n">
        <f aca="false">K15+K16+K17+K18</f>
        <v>1951.06089080321</v>
      </c>
      <c r="L19" s="0" t="n">
        <f aca="false">L15+L16+L17+L18</f>
        <v>1999.83741307329</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1143.25229995251</v>
      </c>
      <c r="D21" s="0" t="n">
        <f aca="false">D19*D20</f>
        <v>1252.2313660124</v>
      </c>
      <c r="E21" s="0" t="n">
        <f aca="false">E19*E20</f>
        <v>1245.97225757165</v>
      </c>
      <c r="F21" s="0" t="n">
        <f aca="false">F19*F20</f>
        <v>1206.29063932205</v>
      </c>
      <c r="G21" s="0" t="n">
        <f aca="false">G19*G20</f>
        <v>1116.31860017798</v>
      </c>
      <c r="H21" s="0" t="n">
        <f aca="false">H19*H20</f>
        <v>1040.49369236195</v>
      </c>
      <c r="I21" s="0" t="n">
        <f aca="false">I19*I20</f>
        <v>978.729226605303</v>
      </c>
      <c r="J21" s="0" t="n">
        <f aca="false">J19*J20</f>
        <v>920.945658173654</v>
      </c>
      <c r="K21" s="0" t="n">
        <f aca="false">K19*K20</f>
        <v>862.072419751594</v>
      </c>
      <c r="L21" s="0" t="n">
        <f aca="false">L19*L20</f>
        <v>806.962767347382</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9.5</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14</v>
      </c>
    </row>
    <row r="30" customFormat="false" ht="15" hidden="false" customHeight="false" outlineLevel="0" collapsed="false">
      <c r="A30" s="0" t="s">
        <v>129</v>
      </c>
      <c r="B30" s="0" t="n">
        <f aca="false">SUM(C21:L21)</f>
        <v>10573.2689272765</v>
      </c>
    </row>
    <row r="31" customFormat="false" ht="15" hidden="false" customHeight="false" outlineLevel="0" collapsed="false">
      <c r="A31" s="0" t="s">
        <v>130</v>
      </c>
      <c r="B31" s="0" t="n">
        <f aca="false">L19</f>
        <v>1999.83741307329</v>
      </c>
    </row>
    <row r="32" customFormat="false" ht="15" hidden="false" customHeight="false" outlineLevel="0" collapsed="false">
      <c r="A32" s="0" t="s">
        <v>131</v>
      </c>
      <c r="B32" s="0" t="n">
        <f aca="false">IF(B27&gt;B28,B31*(1+B28/100)/((B27-B28)/100),B31*B29)</f>
        <v>31689.7313148536</v>
      </c>
    </row>
    <row r="33" customFormat="false" ht="15" hidden="false" customHeight="false" outlineLevel="0" collapsed="false">
      <c r="A33" s="0" t="s">
        <v>132</v>
      </c>
      <c r="B33" s="0" t="n">
        <f aca="false">B31*B29</f>
        <v>27997.723783026</v>
      </c>
    </row>
    <row r="34" customFormat="false" ht="15" hidden="false" customHeight="false" outlineLevel="0" collapsed="false">
      <c r="A34" s="0" t="s">
        <v>133</v>
      </c>
      <c r="B34" s="0" t="n">
        <f aca="false">MAX(0,MIN(B32,B33))</f>
        <v>27997.723783026</v>
      </c>
    </row>
    <row r="35" customFormat="false" ht="15" hidden="false" customHeight="false" outlineLevel="0" collapsed="false">
      <c r="A35" s="0" t="s">
        <v>134</v>
      </c>
      <c r="B35" s="0" t="n">
        <f aca="false">B34/(1+B27/100)^L4</f>
        <v>11297.4787428634</v>
      </c>
    </row>
    <row r="36" customFormat="false" ht="15" hidden="false" customHeight="false" outlineLevel="0" collapsed="false">
      <c r="A36" s="0" t="s">
        <v>135</v>
      </c>
      <c r="B36" s="0" t="n">
        <f aca="false">B30+B35</f>
        <v>21870.7476701398</v>
      </c>
    </row>
    <row r="37" customFormat="false" ht="15" hidden="false" customHeight="false" outlineLevel="0" collapsed="false">
      <c r="A37" s="0" t="s">
        <v>136</v>
      </c>
      <c r="B37" s="0" t="n">
        <f aca="false">B36+Assumptions!$B$5-Assumptions!$B$4</f>
        <v>29301.8226701398</v>
      </c>
    </row>
    <row r="38" customFormat="false" ht="15" hidden="false" customHeight="false" outlineLevel="0" collapsed="false">
      <c r="A38" s="0" t="s">
        <v>137</v>
      </c>
      <c r="B38" s="0" t="n">
        <f aca="false">B37/Assumptions!$B$3*Assumptions!$B$10</f>
        <v>8.04206702895102</v>
      </c>
    </row>
    <row r="39" customFormat="false" ht="15" hidden="false" customHeight="false" outlineLevel="0" collapsed="false">
      <c r="A39" s="0" t="s">
        <v>138</v>
      </c>
      <c r="B39" s="4" t="n">
        <f aca="false">B38/Assumptions!$B$2-1</f>
        <v>1.87730484041181</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8.04206702895102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17165.2711288791</v>
      </c>
    </row>
    <row r="47" customFormat="false" ht="15" hidden="false" customHeight="false" outlineLevel="0" collapsed="false">
      <c r="A47" s="0" t="s">
        <v>143</v>
      </c>
      <c r="B47" s="0" t="n">
        <f aca="false">(SUMPRODUCT(C19:L19/(1+B45/100)^C4:L4)+B46/(1+B45/100)^L4+Assumptions!$B$5-Assumptions!$B$4)/Assumptions!$B$3*Assumptions!$B$10</f>
        <v>5.48362510668125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3.95068077361142</v>
      </c>
      <c r="C4" s="0" t="n">
        <f aca="false">B4/Assumptions!$B$2-1</f>
        <v>0.413481493242011</v>
      </c>
      <c r="D4" s="4" t="n">
        <f aca="false">Assumptions!$B$24</f>
        <v>0.25</v>
      </c>
      <c r="E4" s="4" t="n">
        <f aca="false">DCF_Bear!$B$43</f>
        <v>3.95068077361142</v>
      </c>
      <c r="F4" s="4" t="n">
        <f aca="false">DCF_Bear!$B$47</f>
        <v>3.49322700364578</v>
      </c>
    </row>
    <row r="5" customFormat="false" ht="15" hidden="false" customHeight="false" outlineLevel="0" collapsed="false">
      <c r="A5" s="0" t="s">
        <v>152</v>
      </c>
      <c r="B5" s="4" t="n">
        <f aca="false">DCF_Base!$B$38</f>
        <v>5.68002906087032</v>
      </c>
      <c r="C5" s="0" t="n">
        <f aca="false">B5/Assumptions!$B$2-1</f>
        <v>1.03221075523088</v>
      </c>
      <c r="D5" s="4" t="n">
        <f aca="false">Assumptions!$B$38</f>
        <v>0.5</v>
      </c>
      <c r="E5" s="4" t="n">
        <f aca="false">DCF_Base!$B$43</f>
        <v>5.68002906087032</v>
      </c>
      <c r="F5" s="4" t="n">
        <f aca="false">DCF_Base!$B$47</f>
        <v>4.53376544362836</v>
      </c>
    </row>
    <row r="6" customFormat="false" ht="15" hidden="false" customHeight="false" outlineLevel="0" collapsed="false">
      <c r="A6" s="0" t="s">
        <v>153</v>
      </c>
      <c r="B6" s="4" t="n">
        <f aca="false">DCF_Bull!$B$38</f>
        <v>8.04206702895102</v>
      </c>
      <c r="C6" s="0" t="n">
        <f aca="false">B6/Assumptions!$B$2-1</f>
        <v>1.87730484041181</v>
      </c>
      <c r="D6" s="4" t="n">
        <f aca="false">Assumptions!$B$52</f>
        <v>0.25</v>
      </c>
      <c r="E6" s="4" t="n">
        <f aca="false">DCF_Bull!$B$43</f>
        <v>8.04206702895102</v>
      </c>
      <c r="F6" s="4" t="n">
        <f aca="false">DCF_Bull!$B$47</f>
        <v>5.48362510668125</v>
      </c>
    </row>
    <row r="8" customFormat="false" ht="15" hidden="false" customHeight="false" outlineLevel="0" collapsed="false">
      <c r="A8" s="0" t="s">
        <v>154</v>
      </c>
      <c r="B8" s="0" t="n">
        <f aca="false">SUMPRODUCT(B4:B6,D4:D6)</f>
        <v>5.83820148107577</v>
      </c>
    </row>
    <row r="9" customFormat="false" ht="15" hidden="false" customHeight="false" outlineLevel="0" collapsed="false">
      <c r="A9" s="0" t="s">
        <v>155</v>
      </c>
      <c r="B9" s="0" t="n">
        <f aca="false">SUMPRODUCT(E4:E6,D4:D6)</f>
        <v>5.83820148107577</v>
      </c>
    </row>
    <row r="10" customFormat="false" ht="15" hidden="false" customHeight="false" outlineLevel="0" collapsed="false">
      <c r="A10" s="0" t="s">
        <v>156</v>
      </c>
      <c r="B10" s="0" t="n">
        <f aca="false">1-Assumptions!$B$2/B8</f>
        <v>0.521256673127872</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4.51109574939594</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5.79566511488742</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5.68002906087032</v>
      </c>
      <c r="C16" s="3" t="n">
        <v>9.5</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5.56928307298708</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5.3615109336923</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5.1705751896989</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4.53376544362836</v>
      </c>
      <c r="C20" s="3" t="n">
        <v>15</v>
      </c>
    </row>
    <row r="22" customFormat="false" ht="15" hidden="false" customHeight="false" outlineLevel="0" collapsed="false">
      <c r="A22" s="2" t="s">
        <v>167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6.17453843432226</v>
      </c>
      <c r="C24" s="0" t="n">
        <f aca="false">(SUMPRODUCT(DCF_Base!$C$19:$L$19/(1+$A$24/100)^DCF_Base!$C$4:$L$4)+MAX(0,MIN(IF($A$24&gt;$C$23,DCF_Base!$L$19*(1+$C$23/100)/(($A$24-$C$23)/100),DCF_Base!$L$19*DCF_Base!$B$29),DCF_Base!$L$19*DCF_Base!$B$29))/(1+$A$24/100)^DCF_Base!$L$4+Assumptions!$B$5-Assumptions!$B$4)/Assumptions!$B$3*Assumptions!$B$10</f>
        <v>6.17453843432226</v>
      </c>
      <c r="D24" s="0" t="n">
        <f aca="false">(SUMPRODUCT(DCF_Base!$C$19:$L$19/(1+$A$24/100)^DCF_Base!$C$4:$L$4)+MAX(0,MIN(IF($A$24&gt;$D$23,DCF_Base!$L$19*(1+$D$23/100)/(($A$24-$D$23)/100),DCF_Base!$L$19*DCF_Base!$B$29),DCF_Base!$L$19*DCF_Base!$B$29))/(1+$A$24/100)^DCF_Base!$L$4+Assumptions!$B$5-Assumptions!$B$4)/Assumptions!$B$3*Assumptions!$B$10</f>
        <v>6.17453843432226</v>
      </c>
      <c r="E24" s="0" t="n">
        <f aca="false">(SUMPRODUCT(DCF_Base!$C$19:$L$19/(1+$A$24/100)^DCF_Base!$C$4:$L$4)+MAX(0,MIN(IF($A$24&gt;$E$23,DCF_Base!$L$19*(1+$E$23/100)/(($A$24-$E$23)/100),DCF_Base!$L$19*DCF_Base!$B$29),DCF_Base!$L$19*DCF_Base!$B$29))/(1+$A$24/100)^DCF_Base!$L$4+Assumptions!$B$5-Assumptions!$B$4)/Assumptions!$B$3*Assumptions!$B$10</f>
        <v>6.17453843432226</v>
      </c>
      <c r="F24" s="0" t="n">
        <f aca="false">(SUMPRODUCT(DCF_Base!$C$19:$L$19/(1+$A$24/100)^DCF_Base!$C$4:$L$4)+MAX(0,MIN(IF($A$24&gt;$F$23,DCF_Base!$L$19*(1+$F$23/100)/(($A$24-$F$23)/100),DCF_Base!$L$19*DCF_Base!$B$29),DCF_Base!$L$19*DCF_Base!$B$29))/(1+$A$24/100)^DCF_Base!$L$4+Assumptions!$B$5-Assumptions!$B$4)/Assumptions!$B$3*Assumptions!$B$10</f>
        <v>6.17453843432226</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5.91644615132859</v>
      </c>
      <c r="C25" s="0" t="n">
        <f aca="false">(SUMPRODUCT(DCF_Base!$C$19:$L$19/(1+$A$25/100)^DCF_Base!$C$4:$L$4)+MAX(0,MIN(IF($A$25&gt;$C$23,DCF_Base!$L$19*(1+$C$23/100)/(($A$25-$C$23)/100),DCF_Base!$L$19*DCF_Base!$B$29),DCF_Base!$L$19*DCF_Base!$B$29))/(1+$A$25/100)^DCF_Base!$L$4+Assumptions!$B$5-Assumptions!$B$4)/Assumptions!$B$3*Assumptions!$B$10</f>
        <v>5.91644615132859</v>
      </c>
      <c r="D25" s="0" t="n">
        <f aca="false">(SUMPRODUCT(DCF_Base!$C$19:$L$19/(1+$A$25/100)^DCF_Base!$C$4:$L$4)+MAX(0,MIN(IF($A$25&gt;$D$23,DCF_Base!$L$19*(1+$D$23/100)/(($A$25-$D$23)/100),DCF_Base!$L$19*DCF_Base!$B$29),DCF_Base!$L$19*DCF_Base!$B$29))/(1+$A$25/100)^DCF_Base!$L$4+Assumptions!$B$5-Assumptions!$B$4)/Assumptions!$B$3*Assumptions!$B$10</f>
        <v>5.91644615132859</v>
      </c>
      <c r="E25" s="0" t="n">
        <f aca="false">(SUMPRODUCT(DCF_Base!$C$19:$L$19/(1+$A$25/100)^DCF_Base!$C$4:$L$4)+MAX(0,MIN(IF($A$25&gt;$E$23,DCF_Base!$L$19*(1+$E$23/100)/(($A$25-$E$23)/100),DCF_Base!$L$19*DCF_Base!$B$29),DCF_Base!$L$19*DCF_Base!$B$29))/(1+$A$25/100)^DCF_Base!$L$4+Assumptions!$B$5-Assumptions!$B$4)/Assumptions!$B$3*Assumptions!$B$10</f>
        <v>5.91644615132859</v>
      </c>
      <c r="F25" s="0" t="n">
        <f aca="false">(SUMPRODUCT(DCF_Base!$C$19:$L$19/(1+$A$25/100)^DCF_Base!$C$4:$L$4)+MAX(0,MIN(IF($A$25&gt;$F$23,DCF_Base!$L$19*(1+$F$23/100)/(($A$25-$F$23)/100),DCF_Base!$L$19*DCF_Base!$B$29),DCF_Base!$L$19*DCF_Base!$B$29))/(1+$A$25/100)^DCF_Base!$L$4+Assumptions!$B$5-Assumptions!$B$4)/Assumptions!$B$3*Assumptions!$B$10</f>
        <v>5.91644615132859</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5.68002906087032</v>
      </c>
      <c r="C26" s="0" t="n">
        <f aca="false">(SUMPRODUCT(DCF_Base!$C$19:$L$19/(1+$A$26/100)^DCF_Base!$C$4:$L$4)+MAX(0,MIN(IF($A$26&gt;$C$23,DCF_Base!$L$19*(1+$C$23/100)/(($A$26-$C$23)/100),DCF_Base!$L$19*DCF_Base!$B$29),DCF_Base!$L$19*DCF_Base!$B$29))/(1+$A$26/100)^DCF_Base!$L$4+Assumptions!$B$5-Assumptions!$B$4)/Assumptions!$B$3*Assumptions!$B$10</f>
        <v>5.68002906087032</v>
      </c>
      <c r="D26" s="0" t="n">
        <f aca="false">(SUMPRODUCT(DCF_Base!$C$19:$L$19/(1+$A$26/100)^DCF_Base!$C$4:$L$4)+MAX(0,MIN(IF($A$26&gt;$D$23,DCF_Base!$L$19*(1+$D$23/100)/(($A$26-$D$23)/100),DCF_Base!$L$19*DCF_Base!$B$29),DCF_Base!$L$19*DCF_Base!$B$29))/(1+$A$26/100)^DCF_Base!$L$4+Assumptions!$B$5-Assumptions!$B$4)/Assumptions!$B$3*Assumptions!$B$10</f>
        <v>5.68002906087032</v>
      </c>
      <c r="E26" s="0" t="n">
        <f aca="false">(SUMPRODUCT(DCF_Base!$C$19:$L$19/(1+$A$26/100)^DCF_Base!$C$4:$L$4)+MAX(0,MIN(IF($A$26&gt;$E$23,DCF_Base!$L$19*(1+$E$23/100)/(($A$26-$E$23)/100),DCF_Base!$L$19*DCF_Base!$B$29),DCF_Base!$L$19*DCF_Base!$B$29))/(1+$A$26/100)^DCF_Base!$L$4+Assumptions!$B$5-Assumptions!$B$4)/Assumptions!$B$3*Assumptions!$B$10</f>
        <v>5.68002906087032</v>
      </c>
      <c r="F26" s="0" t="n">
        <f aca="false">(SUMPRODUCT(DCF_Base!$C$19:$L$19/(1+$A$26/100)^DCF_Base!$C$4:$L$4)+MAX(0,MIN(IF($A$26&gt;$F$23,DCF_Base!$L$19*(1+$F$23/100)/(($A$26-$F$23)/100),DCF_Base!$L$19*DCF_Base!$B$29),DCF_Base!$L$19*DCF_Base!$B$29))/(1+$A$26/100)^DCF_Base!$L$4+Assumptions!$B$5-Assumptions!$B$4)/Assumptions!$B$3*Assumptions!$B$10</f>
        <v>5.68002906087032</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5.46318626367087</v>
      </c>
      <c r="C27" s="0" t="n">
        <f aca="false">(SUMPRODUCT(DCF_Base!$C$19:$L$19/(1+$A$27/100)^DCF_Base!$C$4:$L$4)+MAX(0,MIN(IF($A$27&gt;$C$23,DCF_Base!$L$19*(1+$C$23/100)/(($A$27-$C$23)/100),DCF_Base!$L$19*DCF_Base!$B$29),DCF_Base!$L$19*DCF_Base!$B$29))/(1+$A$27/100)^DCF_Base!$L$4+Assumptions!$B$5-Assumptions!$B$4)/Assumptions!$B$3*Assumptions!$B$10</f>
        <v>5.46318626367087</v>
      </c>
      <c r="D27" s="0" t="n">
        <f aca="false">(SUMPRODUCT(DCF_Base!$C$19:$L$19/(1+$A$27/100)^DCF_Base!$C$4:$L$4)+MAX(0,MIN(IF($A$27&gt;$D$23,DCF_Base!$L$19*(1+$D$23/100)/(($A$27-$D$23)/100),DCF_Base!$L$19*DCF_Base!$B$29),DCF_Base!$L$19*DCF_Base!$B$29))/(1+$A$27/100)^DCF_Base!$L$4+Assumptions!$B$5-Assumptions!$B$4)/Assumptions!$B$3*Assumptions!$B$10</f>
        <v>5.46318626367087</v>
      </c>
      <c r="E27" s="0" t="n">
        <f aca="false">(SUMPRODUCT(DCF_Base!$C$19:$L$19/(1+$A$27/100)^DCF_Base!$C$4:$L$4)+MAX(0,MIN(IF($A$27&gt;$E$23,DCF_Base!$L$19*(1+$E$23/100)/(($A$27-$E$23)/100),DCF_Base!$L$19*DCF_Base!$B$29),DCF_Base!$L$19*DCF_Base!$B$29))/(1+$A$27/100)^DCF_Base!$L$4+Assumptions!$B$5-Assumptions!$B$4)/Assumptions!$B$3*Assumptions!$B$10</f>
        <v>5.46318626367087</v>
      </c>
      <c r="F27" s="0" t="n">
        <f aca="false">(SUMPRODUCT(DCF_Base!$C$19:$L$19/(1+$A$27/100)^DCF_Base!$C$4:$L$4)+MAX(0,MIN(IF($A$27&gt;$F$23,DCF_Base!$L$19*(1+$F$23/100)/(($A$27-$F$23)/100),DCF_Base!$L$19*DCF_Base!$B$29),DCF_Base!$L$19*DCF_Base!$B$29))/(1+$A$27/100)^DCF_Base!$L$4+Assumptions!$B$5-Assumptions!$B$4)/Assumptions!$B$3*Assumptions!$B$10</f>
        <v>5.46318626367087</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5.26404178594866</v>
      </c>
      <c r="C28" s="0" t="n">
        <f aca="false">(SUMPRODUCT(DCF_Base!$C$19:$L$19/(1+$A$28/100)^DCF_Base!$C$4:$L$4)+MAX(0,MIN(IF($A$28&gt;$C$23,DCF_Base!$L$19*(1+$C$23/100)/(($A$28-$C$23)/100),DCF_Base!$L$19*DCF_Base!$B$29),DCF_Base!$L$19*DCF_Base!$B$29))/(1+$A$28/100)^DCF_Base!$L$4+Assumptions!$B$5-Assumptions!$B$4)/Assumptions!$B$3*Assumptions!$B$10</f>
        <v>5.26404178594866</v>
      </c>
      <c r="D28" s="0" t="n">
        <f aca="false">(SUMPRODUCT(DCF_Base!$C$19:$L$19/(1+$A$28/100)^DCF_Base!$C$4:$L$4)+MAX(0,MIN(IF($A$28&gt;$D$23,DCF_Base!$L$19*(1+$D$23/100)/(($A$28-$D$23)/100),DCF_Base!$L$19*DCF_Base!$B$29),DCF_Base!$L$19*DCF_Base!$B$29))/(1+$A$28/100)^DCF_Base!$L$4+Assumptions!$B$5-Assumptions!$B$4)/Assumptions!$B$3*Assumptions!$B$10</f>
        <v>5.26404178594866</v>
      </c>
      <c r="E28" s="0" t="n">
        <f aca="false">(SUMPRODUCT(DCF_Base!$C$19:$L$19/(1+$A$28/100)^DCF_Base!$C$4:$L$4)+MAX(0,MIN(IF($A$28&gt;$E$23,DCF_Base!$L$19*(1+$E$23/100)/(($A$28-$E$23)/100),DCF_Base!$L$19*DCF_Base!$B$29),DCF_Base!$L$19*DCF_Base!$B$29))/(1+$A$28/100)^DCF_Base!$L$4+Assumptions!$B$5-Assumptions!$B$4)/Assumptions!$B$3*Assumptions!$B$10</f>
        <v>5.26404178594866</v>
      </c>
      <c r="F28" s="0" t="n">
        <f aca="false">(SUMPRODUCT(DCF_Base!$C$19:$L$19/(1+$A$28/100)^DCF_Base!$C$4:$L$4)+MAX(0,MIN(IF($A$28&gt;$F$23,DCF_Base!$L$19*(1+$F$23/100)/(($A$28-$F$23)/100),DCF_Base!$L$19*DCF_Base!$B$29),DCF_Base!$L$19*DCF_Base!$B$29))/(1+$A$28/100)^DCF_Base!$L$4+Assumptions!$B$5-Assumptions!$B$4)/Assumptions!$B$3*Assumptions!$B$10</f>
        <v>5.26404178594866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2026-10-22T08:58:13Z</dcterms:created>
  <dc:creator>openpyxl</dc:creator>
  <dc:description/>
  <dc:language>en-NZ</dc:language>
  <cp:lastModifiedBy/>
  <dcterms:modified xsi:type="dcterms:W3CDTF">2026-10-22T08:58:13Z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