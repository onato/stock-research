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<sst xmlns="http://schemas.openxmlformats.org/spreadsheetml/2006/main" count="387" uniqueCount="174">
  <si>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</si>
  <si>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PKG</t>
  </si>
  <si>
    <t xml:space="preserve">Company</t>
  </si>
  <si>
    <t xml:space="preserve">Packaging Corporation of America</t>
  </si>
  <si>
    <t xml:space="preserve">Valuation date</t>
  </si>
  <si>
    <t xml:space="preserve">2026-10-02</t>
  </si>
  <si>
    <t xml:space="preserve">Current price</t>
  </si>
  <si>
    <t xml:space="preserve">Price as of</t>
  </si>
  <si>
    <t xml:space="preserve">2026-10-01T20:03:16Z regular close (NYSE, 1 Oct 2026); not an after-hours print</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</si>
  <si>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</si>
  <si>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</si>
  <si>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</si>
  <si>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</si>
  <si>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</si>
  <si>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</si>
  <si>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</si>
  <si>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</si>
  <si>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</si>
  <si>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</si>
  <si>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</si>
  <si>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</si>
  <si>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2026-10-02T07:16:20Z</t>
  </si>
  <si>
    <t xml:space="preserve">Drivers file</t>
  </si>
  <si>
    <t xml:space="preserve">PKG_Drivers.json</t>
  </si>
  <si>
    <t xml:space="preserve">Convention</t>
  </si>
  <si>
    <t xml:space="preserve">Percents stored as percents; formulas divide by 100. Blue = input, green = link, black = formula.</t>
  </si>
  <si>
    <t xml:space="preserve">Methodology</t>
  </si>
  <si>
    <t xml:space="preserve">summary: Owner-FCF DCF of a best-in-class but cyclical containerboard producer, valued at a mid-cycle margin rather than the FY2026-27 price-spike margin, with the Greif acquisition's debt deducted at the latest balance sheet and its capacity and synergies in the flows. SBC plus equity-award taxes are expensed and the diluted share count held flat; working capital consumes cash with growth; cash tax ramps to statutory; the terminal value is capped at 15x Y10 owner FCF so a small change in terminal growth cannot swing the answer. Risk is charged once - in the scenario flows and weights - not again in the WACC. The market is paying roughly 30x trailing earnings for PCA; the required-return table says what IRR that price implies on the base path, and the band between house and street values shows how little of the gap is SBC accounting (SBC is &lt;1% of revenue).
key_risks_to_valuation: Containerboard price durability: the base assumes roughly half of the 2026 $260/ton is given back by 2031; if the industry's post-closure discipline holds, value sits between base and bull, if it collapses as in 2023 the bear path applies; Mid-cycle margin level: each 1pp of terminal pre-SBC EBITDA margin is ~$9-10/share at a 15x cap; Capex intensity: PCA has run capex at 8-9.7% of revenue in 2022 and 2025; if the mill-modernisation cadence stays at that level rather than the 7.2% assumed, FCF conversion is ~10% lower; Terminal multiple: the 15x owner-FCF cap is below the ~30x the market currently pays; the valuation embeds multiple compression, which is a stance, not a forecast; Greif integration and leverage: synergies are ahead of plan per management, but a trough with ~$3.5B net debt would constrain buybacks and capex timing; Secular decline of the Paper segment (~8% of revenue) is a permanent drag on the consolidated growth rate</t>
  </si>
  <si>
    <t xml:space="preserve">Data sources</t>
  </si>
  <si>
    <t xml:space="preserve">price: Yahoo Finance chart API, regularMarketPrice at inputs.price_as_of (regular close); 52-week range 191.50-259.98
financials: research/PKG/Reports/PKG_Metrics.csv (SEC XBRL companyfacts, FY2008-Q2 2026) via make dcf-context; SBC, equity-award taxes, cash taxes, D&amp;A and buybacks from the kpis table; diluted shares, debt, operating-lease liability and dividends cross-checked against data.sec.gov companyfacts for CIK 75677 (10-K filed 2026-02-26, 10-Q filed 2026-08-07)
qualitative: research/PKG/Reports/PKG_Analysis.json (2026-10-02): Greif acquisition, 2026 price increases, Q3-2026 guidance, capacity-closure data</t>
  </si>
  <si>
    <t xml:space="preserve">Scenario narrative: bear</t>
  </si>
  <si>
    <t xml:space="preserve">The September $140/ton increase proves to be the top of the cycle: it is only partly recognised, idled competitor capacity restarts into 2027, and an industrial/consumer slowdown cuts box shipments, producing a 2023-style down year in 2028 (revenue -4%, margin at the FY2020 trough). The doubled debt load (~$3.5B net) is serviceable (ND/EBITDA stays under ~2x) but removes the balance-sheet optionality PCA historically had, and the Paper segment's secular decline drags the mid-cycle margin to ~19.5% pre-SBC. Capex is cut in the trough as in 2023, so FCF does not collapse, but the recovery is slow and terminal growth is 1.5%.</t>
  </si>
  <si>
    <t xml:space="preserve">Scenario narrative: base</t>
  </si>
  <si>
    <t xml:space="preserve">PCA annualises the Greif containerboard business and realises most of the 2026 price increases ($70 Mar, $50 Jun, $140 Sep) over FY2026-27, lifting the pre-SBC EBITDA margin to ~23.5% in FY2027 - above the FY2022 peak because ~10% of US capacity has been permanently closed. Containerboard remains a capacity-utilisation commodity, so roughly half of that spike erodes over 2028-2031 to a 21% mid-cycle margin that is still a point above the FY2023-25 average, funded by Greif synergies (&gt;$30M run-rate) and PCA's best-in-class mill cost position. Revenue growth settles at 2-2.5% (box volumes ~1% + modest price), capex runs a little above D&amp;A at ~7.2% of revenue, cash tax normalises from the bonus-depreciation-depressed 17% to 25%, and growth consumes working capital. Net debt of ~$3.5B from the debt-funded deal is deducted at the Q2-2026 balance sheet.</t>
  </si>
  <si>
    <t xml:space="preserve">Scenario narrative: bull</t>
  </si>
  <si>
    <t xml:space="preserve">The industry's capacity discipline holds: no restarts, the full $260/ton sticks, and PCA's integrated system converts it at best-in-class margins, so pre-SBC EBITDA margin sits at 25% in 2027-28 and the mid-cycle resets to 23% (the FY2022 peak made structural). Greif synergies run well past the $30M guide and the acquired mills are debottlenecked with a modestly higher capex year. E-commerce and reshoring keep box volumes growing ~1-2%, supporting 2.5% terminal growth. Even here the terminal value is capped at 15x owner FCF - the bull case is about the level of cash flow, not a richer exit multiple.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</si>
  <si>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</si>
  <si>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</si>
  <si>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</si>
  <si>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</si>
  <si>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</si>
  <si>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</si>
  <si>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</si>
  <si>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</si>
  <si>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</si>
  <si>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</si>
  <si>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</si>
  <si>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</si>
  <si>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</si>
  <si>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</si>
  <si>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</si>
  <si>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</si>
  <si>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</si>
  <si>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</si>
  <si>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</si>
  <si>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</si>
  <si>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</si>
  <si>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</si>
  <si>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</si>
  <si>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</si>
  <si>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</si>
  <si>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</si>
  <si>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</si>
  <si>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</si>
  <si>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</si>
  <si>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</si>
  <si>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</si>
  <si>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</si>
  <si>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</si>
  <si>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</si>
  <si>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</si>
  <si>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</si>
  <si>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</si>
  <si>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</si>
  <si>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</si>
  <si>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</si>
  <si>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</si>
  <si>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</si>
  <si>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</si>
  <si>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</si>
  <si>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</si>
  <si>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</si>
  <si>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</si>
  <si>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</si>
  <si>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</si>
  <si>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</si>
  <si>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</si>
  <si>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</si>
  <si>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</si>
  <si>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</si>
  <si>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</si>
  <si>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</si>
  <si>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</si>
  <si>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</si>
  <si>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</si>
  <si>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</si>
  <si>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</si>
  <si>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</si>
  <si>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</si>
  <si>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</si>
  <si>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</si>
  <si>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</si>
  <si>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</si>
  <si>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</si>
  <si>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</si>
  <si>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</si>
  <si>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</si>
  <si>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</si>
  <si>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</si>
  <si>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</si>
  <si>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</si>
  <si>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</si>
  <si>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</si>
  <si>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</si>
  <si>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</si>
  <si>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</si>
  <si>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</si>
  <si>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</si>
  <si>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</si>
  <si>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PKG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</si>
  <si>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</si>
  <si>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</si>
  <si>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</si>
  <si>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</si>
  <si>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</si>
  <si>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</si>
  <si>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</si>
  <si>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</si>
  <si>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</si>
  <si>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</si>
  <si>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</si>
  <si>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</si>
  <si>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</si>
  <si>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</si>
  <si>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</si>
  <si>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</si>
  <si>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</si>
  <si>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</si>
  <si>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</si>
  <si>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</si>
  <si>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</si>
  <si>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</si>
  <si>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</si>
  <si>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</si>
  <si>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</si>
  <si>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</si>
  <si>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</si>
  <si>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</si>
  <si>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</si>
  <si>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</si>
  <si>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PKG owner-FCF component DCF: base case (millions, USD)</t>
  </si>
  <si>
    <t xml:space="preserve">PKG owner-FCF component DCF: bull case (millions, USD)</t>
  </si>
  <si>
    <t xml:space="preserve">PKG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</si>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</sst>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229.71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760.861</v>
      </c>
      <c r="S2" s="0" t="n">
        <v>228.143</v>
      </c>
      <c r="AA2" s="0" t="s">
        <v>17</v>
      </c>
      <c r="AB2" s="0" t="s">
        <v>14</v>
      </c>
    </row>
    <row r="3" customFormat="false" ht="15" hidden="false" customHeight="false" outlineLevel="0" collapsed="false">
      <c r="A3" s="0" t="s">
        <v>64</v>
      </c>
      <c r="B3" s="0" t="n">
        <v>2360.493</v>
      </c>
      <c r="D3" s="0" t="n">
        <v>491.358</v>
      </c>
      <c r="E3" s="0" t="n">
        <v>20.8159058298415</v>
      </c>
      <c r="F3" s="0" t="n">
        <v>241.812</v>
      </c>
      <c r="G3" s="0" t="n">
        <v>10.2441312047949</v>
      </c>
      <c r="H3" s="0" t="n">
        <v>389.581</v>
      </c>
      <c r="I3" s="0" t="n">
        <v>135.609</v>
      </c>
      <c r="J3" s="0" t="n">
        <v>5.74494395874082</v>
      </c>
      <c r="K3" s="0" t="n">
        <v>1.32</v>
      </c>
      <c r="L3" s="0" t="n">
        <v>269.322</v>
      </c>
      <c r="M3" s="0" t="n">
        <v>132.972</v>
      </c>
      <c r="N3" s="0" t="n">
        <v>136.35</v>
      </c>
      <c r="O3" s="0" t="n">
        <v>683.949</v>
      </c>
      <c r="S3" s="0" t="n">
        <v>149.397</v>
      </c>
      <c r="T3" s="0" t="n">
        <v>103.593</v>
      </c>
      <c r="U3" s="0" t="n">
        <v>8.695</v>
      </c>
      <c r="V3" s="0" t="n">
        <v>1.2</v>
      </c>
      <c r="AA3" s="0" t="s">
        <v>17</v>
      </c>
      <c r="AB3" s="0" t="s">
        <v>14</v>
      </c>
    </row>
    <row r="4" customFormat="false" ht="15" hidden="false" customHeight="false" outlineLevel="0" collapsed="false">
      <c r="A4" s="0" t="s">
        <v>65</v>
      </c>
      <c r="B4" s="0" t="n">
        <v>2147.589</v>
      </c>
      <c r="D4" s="0" t="n">
        <v>426.577</v>
      </c>
      <c r="E4" s="0" t="n">
        <v>19.8630650464311</v>
      </c>
      <c r="F4" s="0" t="n">
        <v>352.454</v>
      </c>
      <c r="G4" s="0" t="n">
        <v>16.4116132090451</v>
      </c>
      <c r="H4" s="0" t="n">
        <v>503.671</v>
      </c>
      <c r="I4" s="0" t="n">
        <v>265.895</v>
      </c>
      <c r="J4" s="0" t="n">
        <v>12.3810934028811</v>
      </c>
      <c r="K4" s="0" t="n">
        <v>2.62</v>
      </c>
      <c r="L4" s="0" t="n">
        <v>306.131</v>
      </c>
      <c r="M4" s="0" t="n">
        <v>114.197</v>
      </c>
      <c r="N4" s="0" t="n">
        <v>191.934</v>
      </c>
      <c r="O4" s="0" t="n">
        <v>898.845</v>
      </c>
      <c r="P4" s="0" t="n">
        <v>2152.84</v>
      </c>
      <c r="R4" s="0" t="n">
        <v>548.749</v>
      </c>
      <c r="S4" s="0" t="n">
        <v>260.727</v>
      </c>
      <c r="T4" s="0" t="n">
        <v>102.358</v>
      </c>
      <c r="U4" s="0" t="n">
        <v>7.261</v>
      </c>
      <c r="V4" s="0" t="n">
        <v>0.6</v>
      </c>
      <c r="AA4" s="0" t="s">
        <v>17</v>
      </c>
      <c r="AB4" s="0" t="s">
        <v>14</v>
      </c>
    </row>
    <row r="5" customFormat="false" ht="15" hidden="false" customHeight="false" outlineLevel="0" collapsed="false">
      <c r="A5" s="0" t="s">
        <v>66</v>
      </c>
      <c r="B5" s="0" t="n">
        <v>2435.606</v>
      </c>
      <c r="D5" s="0" t="n">
        <v>532.2</v>
      </c>
      <c r="E5" s="0" t="n">
        <v>21.8508248049972</v>
      </c>
      <c r="F5" s="0" t="n">
        <v>185.382</v>
      </c>
      <c r="G5" s="0" t="n">
        <v>7.61132958286357</v>
      </c>
      <c r="H5" s="0" t="n">
        <v>341.68</v>
      </c>
      <c r="I5" s="0" t="n">
        <v>205.435</v>
      </c>
      <c r="J5" s="0" t="n">
        <v>8.4346565084829</v>
      </c>
      <c r="K5" s="0" t="n">
        <v>2.02</v>
      </c>
      <c r="L5" s="0" t="n">
        <v>349.92</v>
      </c>
      <c r="M5" s="0" t="n">
        <v>320.2</v>
      </c>
      <c r="N5" s="0" t="n">
        <v>29.72</v>
      </c>
      <c r="O5" s="0" t="n">
        <v>1009.001</v>
      </c>
      <c r="P5" s="0" t="n">
        <v>2225.91</v>
      </c>
      <c r="R5" s="0" t="n">
        <v>767.099</v>
      </c>
      <c r="S5" s="0" t="n">
        <v>196.556</v>
      </c>
      <c r="T5" s="0" t="n">
        <v>102.608</v>
      </c>
      <c r="U5" s="0" t="n">
        <v>7.006</v>
      </c>
      <c r="V5" s="0" t="n">
        <v>0.6</v>
      </c>
      <c r="AA5" s="0" t="s">
        <v>17</v>
      </c>
      <c r="AB5" s="0" t="s">
        <v>14</v>
      </c>
    </row>
    <row r="6" customFormat="false" ht="15" hidden="false" customHeight="false" outlineLevel="0" collapsed="false">
      <c r="A6" s="0" t="s">
        <v>67</v>
      </c>
      <c r="B6" s="0" t="n">
        <v>2620.111</v>
      </c>
      <c r="D6" s="0" t="n">
        <v>542.023</v>
      </c>
      <c r="E6" s="0" t="n">
        <v>20.6870243283586</v>
      </c>
      <c r="F6" s="0" t="n">
        <v>272.749</v>
      </c>
      <c r="G6" s="0" t="n">
        <v>10.4098261485868</v>
      </c>
      <c r="H6" s="0" t="n">
        <v>436.349</v>
      </c>
      <c r="I6" s="0" t="n">
        <v>158.027</v>
      </c>
      <c r="J6" s="0" t="n">
        <v>6.03130936055763</v>
      </c>
      <c r="K6" s="0" t="n">
        <v>1.59</v>
      </c>
      <c r="L6" s="0" t="n">
        <v>345.514</v>
      </c>
      <c r="M6" s="0" t="n">
        <v>280.213</v>
      </c>
      <c r="N6" s="0" t="n">
        <v>65.301</v>
      </c>
      <c r="O6" s="0" t="n">
        <v>971.3</v>
      </c>
      <c r="P6" s="0" t="n">
        <v>2412.5</v>
      </c>
      <c r="R6" s="0" t="n">
        <v>823.448</v>
      </c>
      <c r="S6" s="0" t="n">
        <v>156.3</v>
      </c>
      <c r="T6" s="0" t="n">
        <v>100.376</v>
      </c>
      <c r="U6" s="0" t="n">
        <v>9.736</v>
      </c>
      <c r="V6" s="0" t="n">
        <v>0.8</v>
      </c>
      <c r="AA6" s="0" t="s">
        <v>17</v>
      </c>
      <c r="AB6" s="0" t="s">
        <v>14</v>
      </c>
    </row>
    <row r="7" customFormat="false" ht="15" hidden="false" customHeight="false" outlineLevel="0" collapsed="false">
      <c r="A7" s="0" t="s">
        <v>68</v>
      </c>
      <c r="B7" s="0" t="n">
        <v>2843.9</v>
      </c>
      <c r="D7" s="0" t="n">
        <v>634.7</v>
      </c>
      <c r="E7" s="0" t="n">
        <v>22.3179436689054</v>
      </c>
      <c r="F7" s="0" t="n">
        <v>437.6</v>
      </c>
      <c r="G7" s="0" t="n">
        <v>15.3873202292626</v>
      </c>
      <c r="H7" s="0" t="n">
        <v>608.4</v>
      </c>
      <c r="I7" s="0" t="n">
        <v>160.2</v>
      </c>
      <c r="J7" s="0" t="n">
        <v>5.63310946235803</v>
      </c>
      <c r="K7" s="0" t="n">
        <v>1.66</v>
      </c>
      <c r="L7" s="0" t="n">
        <v>404.2</v>
      </c>
      <c r="M7" s="0" t="n">
        <v>128.5</v>
      </c>
      <c r="N7" s="0" t="n">
        <v>275.7</v>
      </c>
      <c r="O7" s="0" t="n">
        <v>1008.3</v>
      </c>
      <c r="P7" s="0" t="n">
        <v>2494.9</v>
      </c>
      <c r="R7" s="0" t="n">
        <v>808.63</v>
      </c>
      <c r="S7" s="0" t="n">
        <v>207.4</v>
      </c>
      <c r="T7" s="0" t="n">
        <v>97.5</v>
      </c>
      <c r="U7" s="0" t="n">
        <v>11.7</v>
      </c>
      <c r="V7" s="0" t="n">
        <v>1</v>
      </c>
      <c r="AA7" s="0" t="s">
        <v>17</v>
      </c>
      <c r="AB7" s="0" t="s">
        <v>14</v>
      </c>
    </row>
    <row r="8" customFormat="false" ht="15" hidden="false" customHeight="false" outlineLevel="0" collapsed="false">
      <c r="A8" s="0" t="s">
        <v>69</v>
      </c>
      <c r="B8" s="0" t="n">
        <v>3665.3</v>
      </c>
      <c r="D8" s="0" t="n">
        <v>867.5</v>
      </c>
      <c r="E8" s="0" t="n">
        <v>23.6679125856001</v>
      </c>
      <c r="F8" s="0" t="n">
        <v>481.9</v>
      </c>
      <c r="G8" s="0" t="n">
        <v>13.1476277521622</v>
      </c>
      <c r="H8" s="0" t="n">
        <v>683.7</v>
      </c>
      <c r="I8" s="0" t="n">
        <v>441.3</v>
      </c>
      <c r="J8" s="0" t="n">
        <v>12.0399421602597</v>
      </c>
      <c r="K8" s="0" t="n">
        <v>4.57</v>
      </c>
      <c r="L8" s="0" t="n">
        <v>608.2</v>
      </c>
      <c r="M8" s="0" t="n">
        <v>234.4</v>
      </c>
      <c r="N8" s="0" t="n">
        <v>373.8</v>
      </c>
      <c r="O8" s="0" t="n">
        <v>1356.8</v>
      </c>
      <c r="P8" s="0" t="n">
        <v>5196.2</v>
      </c>
      <c r="R8" s="0" t="n">
        <v>2586.8</v>
      </c>
      <c r="S8" s="0" t="n">
        <v>191</v>
      </c>
      <c r="T8" s="0" t="n">
        <v>97.5</v>
      </c>
      <c r="U8" s="0" t="n">
        <v>14.8</v>
      </c>
      <c r="V8" s="0" t="n">
        <v>1.51</v>
      </c>
      <c r="AA8" s="0" t="s">
        <v>17</v>
      </c>
      <c r="AB8" s="0" t="s">
        <v>14</v>
      </c>
    </row>
    <row r="9" customFormat="false" ht="15" hidden="false" customHeight="false" outlineLevel="0" collapsed="false">
      <c r="A9" s="0" t="s">
        <v>70</v>
      </c>
      <c r="B9" s="0" t="n">
        <v>5852.6</v>
      </c>
      <c r="D9" s="0" t="n">
        <v>1229.5</v>
      </c>
      <c r="E9" s="0" t="n">
        <v>21.0077572361002</v>
      </c>
      <c r="F9" s="0" t="n">
        <v>702.7</v>
      </c>
      <c r="G9" s="0" t="n">
        <v>12.0066295321737</v>
      </c>
      <c r="H9" s="0" t="n">
        <v>1083.7</v>
      </c>
      <c r="I9" s="0" t="n">
        <v>392.6</v>
      </c>
      <c r="J9" s="0" t="n">
        <v>6.70812972012439</v>
      </c>
      <c r="K9" s="0" t="n">
        <v>3.99</v>
      </c>
      <c r="L9" s="0" t="n">
        <v>736.1</v>
      </c>
      <c r="M9" s="0" t="n">
        <v>420.2</v>
      </c>
      <c r="N9" s="0" t="n">
        <v>315.9</v>
      </c>
      <c r="O9" s="0" t="n">
        <v>1521.4</v>
      </c>
      <c r="P9" s="0" t="n">
        <v>5258.7</v>
      </c>
      <c r="R9" s="0" t="n">
        <v>2361.9</v>
      </c>
      <c r="S9" s="0" t="n">
        <v>124.9</v>
      </c>
      <c r="T9" s="0" t="n">
        <v>97.1</v>
      </c>
      <c r="U9" s="0" t="n">
        <v>15.6</v>
      </c>
      <c r="V9" s="0" t="n">
        <v>1.6</v>
      </c>
      <c r="AA9" s="0" t="s">
        <v>17</v>
      </c>
      <c r="AB9" s="0" t="s">
        <v>14</v>
      </c>
    </row>
    <row r="10" customFormat="false" ht="15" hidden="false" customHeight="false" outlineLevel="0" collapsed="false">
      <c r="A10" s="0" t="s">
        <v>71</v>
      </c>
      <c r="B10" s="0" t="n">
        <v>5741.7</v>
      </c>
      <c r="D10" s="0" t="n">
        <v>1208</v>
      </c>
      <c r="E10" s="0" t="n">
        <v>21.0390650852535</v>
      </c>
      <c r="F10" s="0" t="n">
        <v>750</v>
      </c>
      <c r="G10" s="0" t="n">
        <v>13.0623334552485</v>
      </c>
      <c r="H10" s="0" t="n">
        <v>1106.5</v>
      </c>
      <c r="I10" s="0" t="n">
        <v>436.8</v>
      </c>
      <c r="J10" s="0" t="n">
        <v>7.6075030043367</v>
      </c>
      <c r="K10" s="0" t="n">
        <v>4.47</v>
      </c>
      <c r="L10" s="0" t="n">
        <v>768.6</v>
      </c>
      <c r="M10" s="0" t="n">
        <v>314.5</v>
      </c>
      <c r="N10" s="0" t="n">
        <v>454.1</v>
      </c>
      <c r="O10" s="0" t="n">
        <v>1633.3</v>
      </c>
      <c r="P10" s="0" t="n">
        <v>5272.3</v>
      </c>
      <c r="R10" s="0" t="n">
        <v>2315.7</v>
      </c>
      <c r="S10" s="0" t="n">
        <v>184.2</v>
      </c>
      <c r="T10" s="0" t="n">
        <v>96.7</v>
      </c>
      <c r="U10" s="0" t="n">
        <v>18.2</v>
      </c>
      <c r="V10" s="0" t="n">
        <v>2.2</v>
      </c>
      <c r="AA10" s="0" t="s">
        <v>17</v>
      </c>
      <c r="AB10" s="0" t="s">
        <v>14</v>
      </c>
    </row>
    <row r="11" customFormat="false" ht="15" hidden="false" customHeight="false" outlineLevel="0" collapsed="false">
      <c r="A11" s="0" t="s">
        <v>72</v>
      </c>
      <c r="B11" s="0" t="n">
        <v>5779</v>
      </c>
      <c r="C11" s="0" t="n">
        <v>4502.9</v>
      </c>
      <c r="D11" s="0" t="n">
        <v>1276.1</v>
      </c>
      <c r="E11" s="0" t="n">
        <v>22.0816750302821</v>
      </c>
      <c r="F11" s="0" t="n">
        <v>783.3</v>
      </c>
      <c r="G11" s="0" t="n">
        <v>13.5542481398166</v>
      </c>
      <c r="H11" s="0" t="n">
        <v>1141.3</v>
      </c>
      <c r="I11" s="0" t="n">
        <v>449.6</v>
      </c>
      <c r="J11" s="0" t="n">
        <v>7.7798927150026</v>
      </c>
      <c r="K11" s="0" t="n">
        <v>4.76</v>
      </c>
      <c r="L11" s="0" t="n">
        <v>806.9</v>
      </c>
      <c r="M11" s="0" t="n">
        <v>274.3</v>
      </c>
      <c r="N11" s="0" t="n">
        <v>532.6</v>
      </c>
      <c r="O11" s="0" t="n">
        <v>1759.8</v>
      </c>
      <c r="P11" s="0" t="n">
        <v>5777</v>
      </c>
      <c r="R11" s="0" t="n">
        <v>2684</v>
      </c>
      <c r="S11" s="0" t="n">
        <v>239.3</v>
      </c>
      <c r="T11" s="0" t="n">
        <v>93.7</v>
      </c>
      <c r="U11" s="0" t="n">
        <v>19.7</v>
      </c>
      <c r="V11" s="0" t="n">
        <v>2.36</v>
      </c>
      <c r="AA11" s="0" t="s">
        <v>17</v>
      </c>
      <c r="AB11" s="0" t="s">
        <v>14</v>
      </c>
    </row>
    <row r="12" customFormat="false" ht="15" hidden="false" customHeight="false" outlineLevel="0" collapsed="false">
      <c r="A12" s="0" t="s">
        <v>73</v>
      </c>
      <c r="B12" s="0" t="n">
        <v>6444.9</v>
      </c>
      <c r="C12" s="0" t="n">
        <v>4974.1</v>
      </c>
      <c r="D12" s="0" t="n">
        <v>1470.8</v>
      </c>
      <c r="E12" s="0" t="n">
        <v>22.8211454017906</v>
      </c>
      <c r="F12" s="0" t="n">
        <v>932.5</v>
      </c>
      <c r="G12" s="0" t="n">
        <v>14.4688047913854</v>
      </c>
      <c r="H12" s="0" t="n">
        <v>1323.9</v>
      </c>
      <c r="I12" s="0" t="n">
        <v>668.6</v>
      </c>
      <c r="J12" s="0" t="n">
        <v>10.374094245062</v>
      </c>
      <c r="K12" s="0" t="n">
        <v>7.09</v>
      </c>
      <c r="L12" s="0" t="n">
        <v>856.1</v>
      </c>
      <c r="M12" s="0" t="n">
        <v>343</v>
      </c>
      <c r="N12" s="0" t="n">
        <v>513.1</v>
      </c>
      <c r="O12" s="0" t="n">
        <v>2182.6</v>
      </c>
      <c r="P12" s="0" t="n">
        <v>6197.5</v>
      </c>
      <c r="R12" s="0" t="n">
        <v>2795.7</v>
      </c>
      <c r="S12" s="0" t="n">
        <v>216.9</v>
      </c>
      <c r="T12" s="0" t="n">
        <v>93.7</v>
      </c>
      <c r="U12" s="0" t="n">
        <v>20.6</v>
      </c>
      <c r="V12" s="0" t="n">
        <v>2.52</v>
      </c>
      <c r="AA12" s="0" t="s">
        <v>17</v>
      </c>
      <c r="AB12" s="0" t="s">
        <v>14</v>
      </c>
    </row>
    <row r="13" customFormat="false" ht="15" hidden="false" customHeight="false" outlineLevel="0" collapsed="false">
      <c r="A13" s="0" t="s">
        <v>74</v>
      </c>
      <c r="B13" s="0" t="n">
        <v>7014.6</v>
      </c>
      <c r="C13" s="0" t="n">
        <v>5369.3</v>
      </c>
      <c r="D13" s="0" t="n">
        <v>1645.3</v>
      </c>
      <c r="E13" s="0" t="n">
        <v>23.4553645254184</v>
      </c>
      <c r="F13" s="0" t="n">
        <v>1067.7</v>
      </c>
      <c r="G13" s="0" t="n">
        <v>15.2211102557523</v>
      </c>
      <c r="H13" s="0" t="n">
        <v>1478.6</v>
      </c>
      <c r="I13" s="0" t="n">
        <v>738</v>
      </c>
      <c r="J13" s="0" t="n">
        <v>10.520913523223</v>
      </c>
      <c r="K13" s="0" t="n">
        <v>7.82</v>
      </c>
      <c r="L13" s="0" t="n">
        <v>1180.1</v>
      </c>
      <c r="M13" s="0" t="n">
        <v>551.4</v>
      </c>
      <c r="N13" s="0" t="n">
        <v>628.7</v>
      </c>
      <c r="O13" s="0" t="n">
        <v>2672.4</v>
      </c>
      <c r="P13" s="0" t="n">
        <v>6569.7</v>
      </c>
      <c r="R13" s="0" t="n">
        <v>2496.3</v>
      </c>
      <c r="S13" s="0" t="n">
        <v>361.5</v>
      </c>
      <c r="T13" s="0" t="n">
        <v>93.9</v>
      </c>
      <c r="U13" s="0" t="n">
        <v>23.5</v>
      </c>
      <c r="V13" s="0" t="n">
        <v>3</v>
      </c>
      <c r="AA13" s="0" t="s">
        <v>17</v>
      </c>
      <c r="AB13" s="0" t="s">
        <v>14</v>
      </c>
    </row>
    <row r="14" customFormat="false" ht="15" hidden="false" customHeight="false" outlineLevel="0" collapsed="false">
      <c r="A14" s="0" t="s">
        <v>75</v>
      </c>
      <c r="B14" s="0" t="n">
        <v>6964.3</v>
      </c>
      <c r="C14" s="0" t="n">
        <v>5320.3</v>
      </c>
      <c r="D14" s="0" t="n">
        <v>1644</v>
      </c>
      <c r="E14" s="0" t="n">
        <v>23.6061054233735</v>
      </c>
      <c r="F14" s="0" t="n">
        <v>1053.7</v>
      </c>
      <c r="G14" s="0" t="n">
        <v>15.1300202461123</v>
      </c>
      <c r="H14" s="0" t="n">
        <v>1441.2</v>
      </c>
      <c r="I14" s="0" t="n">
        <v>696.4</v>
      </c>
      <c r="J14" s="0" t="n">
        <v>9.99956923165286</v>
      </c>
      <c r="K14" s="0" t="n">
        <v>7.36</v>
      </c>
      <c r="L14" s="0" t="n">
        <v>1207.4</v>
      </c>
      <c r="M14" s="0" t="n">
        <v>399.5</v>
      </c>
      <c r="N14" s="0" t="n">
        <v>807.9</v>
      </c>
      <c r="O14" s="0" t="n">
        <v>3071</v>
      </c>
      <c r="P14" s="0" t="n">
        <v>7235.8</v>
      </c>
      <c r="R14" s="0" t="n">
        <v>2493.1</v>
      </c>
      <c r="S14" s="0" t="n">
        <v>679.5</v>
      </c>
      <c r="T14" s="0" t="n">
        <v>94.1</v>
      </c>
      <c r="U14" s="0" t="n">
        <v>30.4</v>
      </c>
      <c r="V14" s="0" t="n">
        <v>3.16</v>
      </c>
      <c r="AA14" s="0" t="s">
        <v>17</v>
      </c>
      <c r="AB14" s="0" t="s">
        <v>14</v>
      </c>
    </row>
    <row r="15" customFormat="false" ht="15" hidden="false" customHeight="false" outlineLevel="0" collapsed="false">
      <c r="A15" s="0" t="s">
        <v>76</v>
      </c>
      <c r="B15" s="0" t="n">
        <v>6658.2</v>
      </c>
      <c r="C15" s="0" t="n">
        <v>5288.8</v>
      </c>
      <c r="D15" s="0" t="n">
        <v>1369.4</v>
      </c>
      <c r="E15" s="0" t="n">
        <v>20.5671202427082</v>
      </c>
      <c r="F15" s="0" t="n">
        <v>723.9</v>
      </c>
      <c r="G15" s="0" t="n">
        <v>10.8723078309453</v>
      </c>
      <c r="H15" s="0" t="n">
        <v>1133.9</v>
      </c>
      <c r="I15" s="0" t="n">
        <v>461</v>
      </c>
      <c r="J15" s="0" t="n">
        <v>6.92379321738608</v>
      </c>
      <c r="K15" s="0" t="n">
        <v>4.86</v>
      </c>
      <c r="L15" s="0" t="n">
        <v>1032.8</v>
      </c>
      <c r="M15" s="0" t="n">
        <v>421.2</v>
      </c>
      <c r="N15" s="0" t="n">
        <v>611.6</v>
      </c>
      <c r="O15" s="0" t="n">
        <v>3246.3</v>
      </c>
      <c r="P15" s="0" t="n">
        <v>7433.2</v>
      </c>
      <c r="R15" s="0" t="n">
        <v>2493.7</v>
      </c>
      <c r="S15" s="0" t="n">
        <v>974.6</v>
      </c>
      <c r="T15" s="0" t="n">
        <v>94.4</v>
      </c>
      <c r="U15" s="0" t="n">
        <v>30</v>
      </c>
      <c r="V15" s="0" t="n">
        <v>3.37</v>
      </c>
      <c r="AA15" s="0" t="s">
        <v>17</v>
      </c>
      <c r="AB15" s="0" t="s">
        <v>14</v>
      </c>
    </row>
    <row r="16" customFormat="false" ht="15" hidden="false" customHeight="false" outlineLevel="0" collapsed="false">
      <c r="A16" s="0" t="s">
        <v>77</v>
      </c>
      <c r="B16" s="0" t="n">
        <v>7730.3</v>
      </c>
      <c r="C16" s="0" t="n">
        <v>5857.3</v>
      </c>
      <c r="D16" s="0" t="n">
        <v>1873</v>
      </c>
      <c r="E16" s="0" t="n">
        <v>24.2293313325485</v>
      </c>
      <c r="F16" s="0" t="n">
        <v>1241.4</v>
      </c>
      <c r="G16" s="0" t="n">
        <v>16.0588851661643</v>
      </c>
      <c r="H16" s="0" t="n">
        <v>1658.9</v>
      </c>
      <c r="I16" s="0" t="n">
        <v>841.1</v>
      </c>
      <c r="J16" s="0" t="n">
        <v>10.8805609096672</v>
      </c>
      <c r="K16" s="0" t="n">
        <v>8.87</v>
      </c>
      <c r="L16" s="0" t="n">
        <v>1094.1</v>
      </c>
      <c r="M16" s="0" t="n">
        <v>605.1</v>
      </c>
      <c r="N16" s="0" t="n">
        <v>489</v>
      </c>
      <c r="O16" s="0" t="n">
        <v>3607.2</v>
      </c>
      <c r="P16" s="0" t="n">
        <v>7836.8</v>
      </c>
      <c r="R16" s="0" t="n">
        <v>2491</v>
      </c>
      <c r="S16" s="0" t="n">
        <v>618.7</v>
      </c>
      <c r="T16" s="0" t="n">
        <v>94.5</v>
      </c>
      <c r="U16" s="0" t="n">
        <v>35.5</v>
      </c>
      <c r="V16" s="0" t="n">
        <v>4</v>
      </c>
      <c r="AA16" s="0" t="s">
        <v>17</v>
      </c>
      <c r="AB16" s="0" t="s">
        <v>14</v>
      </c>
    </row>
    <row r="17" customFormat="false" ht="15" hidden="false" customHeight="false" outlineLevel="0" collapsed="false">
      <c r="A17" s="0" t="s">
        <v>78</v>
      </c>
      <c r="B17" s="0" t="n">
        <v>8478</v>
      </c>
      <c r="C17" s="0" t="n">
        <v>6387.4</v>
      </c>
      <c r="D17" s="0" t="n">
        <v>2090.6</v>
      </c>
      <c r="E17" s="0" t="n">
        <v>24.6591177164426</v>
      </c>
      <c r="F17" s="0" t="n">
        <v>1420.7</v>
      </c>
      <c r="G17" s="0" t="n">
        <v>16.7574899740505</v>
      </c>
      <c r="H17" s="0" t="n">
        <v>1877.5</v>
      </c>
      <c r="I17" s="0" t="n">
        <v>1029.8</v>
      </c>
      <c r="J17" s="0" t="n">
        <v>12.1467327199811</v>
      </c>
      <c r="K17" s="0" t="n">
        <v>11.08</v>
      </c>
      <c r="L17" s="0" t="n">
        <v>1495</v>
      </c>
      <c r="M17" s="0" t="n">
        <v>824.2</v>
      </c>
      <c r="N17" s="0" t="n">
        <v>670.8</v>
      </c>
      <c r="O17" s="0" t="n">
        <v>3667.1</v>
      </c>
      <c r="P17" s="0" t="n">
        <v>8003.8</v>
      </c>
      <c r="R17" s="0" t="n">
        <v>2491.5</v>
      </c>
      <c r="S17" s="0" t="n">
        <v>320</v>
      </c>
      <c r="T17" s="0" t="n">
        <v>92.7</v>
      </c>
      <c r="U17" s="0" t="n">
        <v>35.6</v>
      </c>
      <c r="V17" s="0" t="n">
        <v>4.75</v>
      </c>
      <c r="AA17" s="0" t="s">
        <v>17</v>
      </c>
      <c r="AB17" s="0" t="s">
        <v>14</v>
      </c>
    </row>
    <row r="18" customFormat="false" ht="15" hidden="false" customHeight="false" outlineLevel="0" collapsed="false">
      <c r="A18" s="0" t="s">
        <v>79</v>
      </c>
      <c r="B18" s="0" t="n">
        <v>7802.4</v>
      </c>
      <c r="C18" s="0" t="n">
        <v>6103.5</v>
      </c>
      <c r="D18" s="0" t="n">
        <v>1698.9</v>
      </c>
      <c r="E18" s="0" t="n">
        <v>21.7740695170717</v>
      </c>
      <c r="F18" s="0" t="n">
        <v>1075.1</v>
      </c>
      <c r="G18" s="0" t="n">
        <v>13.7790936122219</v>
      </c>
      <c r="H18" s="0" t="n">
        <v>1592.8</v>
      </c>
      <c r="I18" s="0" t="n">
        <v>765.2</v>
      </c>
      <c r="J18" s="0" t="n">
        <v>9.80723879831847</v>
      </c>
      <c r="K18" s="0" t="n">
        <v>8.52</v>
      </c>
      <c r="L18" s="0" t="n">
        <v>1315.1</v>
      </c>
      <c r="M18" s="0" t="n">
        <v>469.7</v>
      </c>
      <c r="N18" s="0" t="n">
        <v>845.4</v>
      </c>
      <c r="O18" s="0" t="n">
        <v>3997.3</v>
      </c>
      <c r="P18" s="0" t="n">
        <v>8681.1</v>
      </c>
      <c r="R18" s="0" t="n">
        <v>3291.3</v>
      </c>
      <c r="S18" s="0" t="n">
        <v>648</v>
      </c>
      <c r="T18" s="0" t="n">
        <v>89.5</v>
      </c>
      <c r="U18" s="0" t="n">
        <v>40</v>
      </c>
      <c r="V18" s="0" t="n">
        <v>5</v>
      </c>
      <c r="AA18" s="0" t="s">
        <v>17</v>
      </c>
      <c r="AB18" s="0" t="s">
        <v>14</v>
      </c>
    </row>
    <row r="19" customFormat="false" ht="15" hidden="false" customHeight="false" outlineLevel="0" collapsed="false">
      <c r="A19" s="0" t="s">
        <v>80</v>
      </c>
      <c r="B19" s="0" t="n">
        <v>8383.3</v>
      </c>
      <c r="C19" s="0" t="n">
        <v>6600.2</v>
      </c>
      <c r="D19" s="0" t="n">
        <v>1783.1</v>
      </c>
      <c r="E19" s="0" t="n">
        <v>21.269667076211</v>
      </c>
      <c r="F19" s="0" t="n">
        <v>1101.3</v>
      </c>
      <c r="G19" s="0" t="n">
        <v>13.1368315579784</v>
      </c>
      <c r="H19" s="0" t="n">
        <v>1626.9</v>
      </c>
      <c r="I19" s="0" t="n">
        <v>805.1</v>
      </c>
      <c r="J19" s="0" t="n">
        <v>9.60361671418177</v>
      </c>
      <c r="K19" s="0" t="n">
        <v>8.97</v>
      </c>
      <c r="L19" s="0" t="n">
        <v>1191.2</v>
      </c>
      <c r="M19" s="0" t="n">
        <v>669.7</v>
      </c>
      <c r="N19" s="0" t="n">
        <v>521.5</v>
      </c>
      <c r="O19" s="0" t="n">
        <v>4404</v>
      </c>
      <c r="P19" s="0" t="n">
        <v>8833.2</v>
      </c>
      <c r="R19" s="0" t="n">
        <v>2492.2</v>
      </c>
      <c r="S19" s="0" t="n">
        <v>685</v>
      </c>
      <c r="T19" s="0" t="n">
        <v>89.5</v>
      </c>
      <c r="U19" s="0" t="n">
        <v>48.8</v>
      </c>
      <c r="V19" s="0" t="n">
        <v>5</v>
      </c>
      <c r="AA19" s="0" t="s">
        <v>17</v>
      </c>
      <c r="AB19" s="0" t="s">
        <v>14</v>
      </c>
    </row>
    <row r="20" customFormat="false" ht="15" hidden="false" customHeight="false" outlineLevel="0" collapsed="false">
      <c r="A20" s="0" t="s">
        <v>81</v>
      </c>
      <c r="B20" s="0" t="n">
        <v>8989.3</v>
      </c>
      <c r="C20" s="0" t="n">
        <v>7099.7</v>
      </c>
      <c r="D20" s="0" t="n">
        <v>1889.6</v>
      </c>
      <c r="E20" s="0" t="n">
        <v>21.020546649906</v>
      </c>
      <c r="F20" s="0" t="n">
        <v>1107</v>
      </c>
      <c r="G20" s="0" t="n">
        <v>12.3146407395459</v>
      </c>
      <c r="H20" s="0" t="n">
        <v>1759.8</v>
      </c>
      <c r="I20" s="0" t="n">
        <v>774.1</v>
      </c>
      <c r="J20" s="0" t="n">
        <v>8.611349048313</v>
      </c>
      <c r="K20" s="0" t="n">
        <v>8.61</v>
      </c>
      <c r="L20" s="0" t="n">
        <v>1557.5</v>
      </c>
      <c r="M20" s="0" t="n">
        <v>828.9</v>
      </c>
      <c r="N20" s="0" t="n">
        <v>728.6</v>
      </c>
      <c r="O20" s="0" t="n">
        <v>4598</v>
      </c>
      <c r="P20" s="0" t="n">
        <v>10725.5</v>
      </c>
      <c r="R20" s="0" t="n">
        <v>3992.5</v>
      </c>
      <c r="S20" s="0" t="n">
        <v>529</v>
      </c>
      <c r="T20" s="0" t="n">
        <v>89.6</v>
      </c>
      <c r="U20" s="0" t="n">
        <v>45.2</v>
      </c>
      <c r="V20" s="0" t="n">
        <v>5</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229.71</v>
      </c>
    </row>
    <row r="3" customFormat="false" ht="15" hidden="false" customHeight="false" outlineLevel="0" collapsed="false">
      <c r="A3" s="0" t="s">
        <v>85</v>
      </c>
      <c r="B3" s="3" t="n">
        <v>89</v>
      </c>
    </row>
    <row r="4" customFormat="false" ht="15" hidden="false" customHeight="false" outlineLevel="0" collapsed="false">
      <c r="A4" s="0" t="s">
        <v>86</v>
      </c>
      <c r="B4" s="3" t="n">
        <v>3526.1</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8989.3</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10</v>
      </c>
      <c r="D13" s="3" t="n">
        <v>-1</v>
      </c>
      <c r="E13" s="3" t="n">
        <v>-4</v>
      </c>
      <c r="F13" s="3" t="n">
        <v>1</v>
      </c>
      <c r="G13" s="3" t="n">
        <v>2</v>
      </c>
      <c r="H13" s="3" t="n">
        <v>2</v>
      </c>
      <c r="I13" s="3" t="n">
        <v>2</v>
      </c>
      <c r="J13" s="3" t="n">
        <v>2</v>
      </c>
      <c r="K13" s="3" t="n">
        <v>2</v>
      </c>
      <c r="L13" s="3" t="n">
        <v>2</v>
      </c>
    </row>
    <row r="14" customFormat="false" ht="15" hidden="false" customHeight="false" outlineLevel="0" collapsed="false">
      <c r="A14" s="0" t="s">
        <v>106</v>
      </c>
      <c r="C14" s="3" t="n">
        <v>20.5</v>
      </c>
      <c r="D14" s="3" t="n">
        <v>19.5</v>
      </c>
      <c r="E14" s="3" t="n">
        <v>17.5</v>
      </c>
      <c r="F14" s="3" t="n">
        <v>18</v>
      </c>
      <c r="G14" s="3" t="n">
        <v>19</v>
      </c>
      <c r="H14" s="3" t="n">
        <v>19.5</v>
      </c>
      <c r="I14" s="3" t="n">
        <v>19.5</v>
      </c>
      <c r="J14" s="3" t="n">
        <v>19.5</v>
      </c>
      <c r="K14" s="3" t="n">
        <v>19.5</v>
      </c>
      <c r="L14" s="3" t="n">
        <v>19.5</v>
      </c>
    </row>
    <row r="15" customFormat="false" ht="15" hidden="false" customHeight="false" outlineLevel="0" collapsed="false">
      <c r="A15" s="0" t="s">
        <v>107</v>
      </c>
      <c r="C15" s="3" t="n">
        <v>0.85</v>
      </c>
      <c r="D15" s="3" t="n">
        <v>0.8</v>
      </c>
      <c r="E15" s="3" t="n">
        <v>0.8</v>
      </c>
      <c r="F15" s="3" t="n">
        <v>0.8</v>
      </c>
      <c r="G15" s="3" t="n">
        <v>0.8</v>
      </c>
      <c r="H15" s="3" t="n">
        <v>0.8</v>
      </c>
      <c r="I15" s="3" t="n">
        <v>0.8</v>
      </c>
      <c r="J15" s="3" t="n">
        <v>0.8</v>
      </c>
      <c r="K15" s="3" t="n">
        <v>0.8</v>
      </c>
      <c r="L15" s="3" t="n">
        <v>0.8</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8</v>
      </c>
      <c r="D17" s="3" t="n">
        <v>7.8</v>
      </c>
      <c r="E17" s="3" t="n">
        <v>7.6</v>
      </c>
      <c r="F17" s="3" t="n">
        <v>7.4</v>
      </c>
      <c r="G17" s="3" t="n">
        <v>7.2</v>
      </c>
      <c r="H17" s="3" t="n">
        <v>7</v>
      </c>
      <c r="I17" s="3" t="n">
        <v>7</v>
      </c>
      <c r="J17" s="3" t="n">
        <v>7</v>
      </c>
      <c r="K17" s="3" t="n">
        <v>7</v>
      </c>
      <c r="L17" s="3" t="n">
        <v>7</v>
      </c>
    </row>
    <row r="18" customFormat="false" ht="15" hidden="false" customHeight="false" outlineLevel="0" collapsed="false">
      <c r="A18" s="0" t="s">
        <v>110</v>
      </c>
      <c r="C18" s="3" t="n">
        <v>8</v>
      </c>
      <c r="D18" s="3" t="n">
        <v>7</v>
      </c>
      <c r="E18" s="3" t="n">
        <v>6.5</v>
      </c>
      <c r="F18" s="3" t="n">
        <v>6.5</v>
      </c>
      <c r="G18" s="3" t="n">
        <v>7</v>
      </c>
      <c r="H18" s="3" t="n">
        <v>7</v>
      </c>
      <c r="I18" s="3" t="n">
        <v>7</v>
      </c>
      <c r="J18" s="3" t="n">
        <v>7</v>
      </c>
      <c r="K18" s="3" t="n">
        <v>7</v>
      </c>
      <c r="L18" s="3" t="n">
        <v>7</v>
      </c>
    </row>
    <row r="19" customFormat="false" ht="15" hidden="false" customHeight="false" outlineLevel="0" collapsed="false">
      <c r="A19" s="0" t="s">
        <v>111</v>
      </c>
      <c r="C19" s="3" t="n">
        <v>22</v>
      </c>
      <c r="D19" s="3" t="n">
        <v>22</v>
      </c>
      <c r="E19" s="3" t="n">
        <v>22</v>
      </c>
      <c r="F19" s="3" t="n">
        <v>24</v>
      </c>
      <c r="G19" s="3" t="n">
        <v>25</v>
      </c>
      <c r="H19" s="3" t="n">
        <v>25</v>
      </c>
      <c r="I19" s="3" t="n">
        <v>25</v>
      </c>
      <c r="J19" s="3" t="n">
        <v>25</v>
      </c>
      <c r="K19" s="3" t="n">
        <v>25</v>
      </c>
      <c r="L19" s="3" t="n">
        <v>25</v>
      </c>
    </row>
    <row r="20" customFormat="false" ht="15" hidden="false" customHeight="false" outlineLevel="0" collapsed="false">
      <c r="A20" s="0" t="s">
        <v>112</v>
      </c>
      <c r="B20" s="3" t="n">
        <v>8</v>
      </c>
    </row>
    <row r="21" customFormat="false" ht="15" hidden="false" customHeight="false" outlineLevel="0" collapsed="false">
      <c r="A21" s="0" t="s">
        <v>113</v>
      </c>
      <c r="B21" s="3" t="n">
        <v>1.5</v>
      </c>
    </row>
    <row r="22" customFormat="false" ht="15" hidden="false" customHeight="false" outlineLevel="0" collapsed="false">
      <c r="A22" s="0" t="s">
        <v>114</v>
      </c>
      <c r="B22" s="3" t="n">
        <v>15</v>
      </c>
    </row>
    <row r="23" customFormat="false" ht="15" hidden="false" customHeight="false" outlineLevel="0" collapsed="false">
      <c r="A23" s="0" t="s">
        <v>115</v>
      </c>
      <c r="B23" s="3" t="n">
        <v>-15</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11.5</v>
      </c>
      <c r="D27" s="3" t="n">
        <v>5.5</v>
      </c>
      <c r="E27" s="3" t="n">
        <v>3</v>
      </c>
      <c r="F27" s="3" t="n">
        <v>2.5</v>
      </c>
      <c r="G27" s="3" t="n">
        <v>2.5</v>
      </c>
      <c r="H27" s="3" t="n">
        <v>2.5</v>
      </c>
      <c r="I27" s="3" t="n">
        <v>2.5</v>
      </c>
      <c r="J27" s="3" t="n">
        <v>2</v>
      </c>
      <c r="K27" s="3" t="n">
        <v>2</v>
      </c>
      <c r="L27" s="3" t="n">
        <v>2</v>
      </c>
    </row>
    <row r="28" customFormat="false" ht="15" hidden="false" customHeight="false" outlineLevel="0" collapsed="false">
      <c r="A28" s="0" t="s">
        <v>106</v>
      </c>
      <c r="C28" s="3" t="n">
        <v>21.5</v>
      </c>
      <c r="D28" s="3" t="n">
        <v>23.5</v>
      </c>
      <c r="E28" s="3" t="n">
        <v>22.5</v>
      </c>
      <c r="F28" s="3" t="n">
        <v>22</v>
      </c>
      <c r="G28" s="3" t="n">
        <v>21.5</v>
      </c>
      <c r="H28" s="3" t="n">
        <v>21</v>
      </c>
      <c r="I28" s="3" t="n">
        <v>21</v>
      </c>
      <c r="J28" s="3" t="n">
        <v>21</v>
      </c>
      <c r="K28" s="3" t="n">
        <v>21</v>
      </c>
      <c r="L28" s="3" t="n">
        <v>21</v>
      </c>
    </row>
    <row r="29" customFormat="false" ht="15" hidden="false" customHeight="false" outlineLevel="0" collapsed="false">
      <c r="A29" s="0" t="s">
        <v>107</v>
      </c>
      <c r="C29" s="3" t="n">
        <v>0.85</v>
      </c>
      <c r="D29" s="3" t="n">
        <v>0.8</v>
      </c>
      <c r="E29" s="3" t="n">
        <v>0.8</v>
      </c>
      <c r="F29" s="3" t="n">
        <v>0.8</v>
      </c>
      <c r="G29" s="3" t="n">
        <v>0.8</v>
      </c>
      <c r="H29" s="3" t="n">
        <v>0.8</v>
      </c>
      <c r="I29" s="3" t="n">
        <v>0.8</v>
      </c>
      <c r="J29" s="3" t="n">
        <v>0.8</v>
      </c>
      <c r="K29" s="3" t="n">
        <v>0.8</v>
      </c>
      <c r="L29" s="3" t="n">
        <v>0.8</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8</v>
      </c>
      <c r="D31" s="3" t="n">
        <v>7.8</v>
      </c>
      <c r="E31" s="3" t="n">
        <v>7.6</v>
      </c>
      <c r="F31" s="3" t="n">
        <v>7.4</v>
      </c>
      <c r="G31" s="3" t="n">
        <v>7.2</v>
      </c>
      <c r="H31" s="3" t="n">
        <v>7</v>
      </c>
      <c r="I31" s="3" t="n">
        <v>7</v>
      </c>
      <c r="J31" s="3" t="n">
        <v>7</v>
      </c>
      <c r="K31" s="3" t="n">
        <v>7</v>
      </c>
      <c r="L31" s="3" t="n">
        <v>7</v>
      </c>
    </row>
    <row r="32" customFormat="false" ht="15" hidden="false" customHeight="false" outlineLevel="0" collapsed="false">
      <c r="A32" s="0" t="s">
        <v>110</v>
      </c>
      <c r="C32" s="3" t="n">
        <v>8</v>
      </c>
      <c r="D32" s="3" t="n">
        <v>8</v>
      </c>
      <c r="E32" s="3" t="n">
        <v>7.5</v>
      </c>
      <c r="F32" s="3" t="n">
        <v>7.5</v>
      </c>
      <c r="G32" s="3" t="n">
        <v>7.5</v>
      </c>
      <c r="H32" s="3" t="n">
        <v>7.3</v>
      </c>
      <c r="I32" s="3" t="n">
        <v>7.2</v>
      </c>
      <c r="J32" s="3" t="n">
        <v>7.2</v>
      </c>
      <c r="K32" s="3" t="n">
        <v>7.2</v>
      </c>
      <c r="L32" s="3" t="n">
        <v>7.2</v>
      </c>
    </row>
    <row r="33" customFormat="false" ht="15" hidden="false" customHeight="false" outlineLevel="0" collapsed="false">
      <c r="A33" s="0" t="s">
        <v>111</v>
      </c>
      <c r="C33" s="3" t="n">
        <v>22</v>
      </c>
      <c r="D33" s="3" t="n">
        <v>23</v>
      </c>
      <c r="E33" s="3" t="n">
        <v>24</v>
      </c>
      <c r="F33" s="3" t="n">
        <v>25</v>
      </c>
      <c r="G33" s="3" t="n">
        <v>25</v>
      </c>
      <c r="H33" s="3" t="n">
        <v>25</v>
      </c>
      <c r="I33" s="3" t="n">
        <v>25</v>
      </c>
      <c r="J33" s="3" t="n">
        <v>25</v>
      </c>
      <c r="K33" s="3" t="n">
        <v>25</v>
      </c>
      <c r="L33" s="3" t="n">
        <v>25</v>
      </c>
    </row>
    <row r="34" customFormat="false" ht="15" hidden="false" customHeight="false" outlineLevel="0" collapsed="false">
      <c r="A34" s="0" t="s">
        <v>112</v>
      </c>
      <c r="B34" s="3" t="n">
        <v>8</v>
      </c>
    </row>
    <row r="35" customFormat="false" ht="15" hidden="false" customHeight="false" outlineLevel="0" collapsed="false">
      <c r="A35" s="0" t="s">
        <v>113</v>
      </c>
      <c r="B35" s="3" t="n">
        <v>2</v>
      </c>
    </row>
    <row r="36" customFormat="false" ht="15" hidden="false" customHeight="false" outlineLevel="0" collapsed="false">
      <c r="A36" s="0" t="s">
        <v>114</v>
      </c>
      <c r="B36" s="3" t="n">
        <v>15</v>
      </c>
    </row>
    <row r="37" customFormat="false" ht="15" hidden="false" customHeight="false" outlineLevel="0" collapsed="false">
      <c r="A37" s="0" t="s">
        <v>115</v>
      </c>
      <c r="B37" s="3" t="n">
        <v>-15</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12.5</v>
      </c>
      <c r="D41" s="3" t="n">
        <v>8</v>
      </c>
      <c r="E41" s="3" t="n">
        <v>4</v>
      </c>
      <c r="F41" s="3" t="n">
        <v>3.5</v>
      </c>
      <c r="G41" s="3" t="n">
        <v>3</v>
      </c>
      <c r="H41" s="3" t="n">
        <v>3</v>
      </c>
      <c r="I41" s="3" t="n">
        <v>2.5</v>
      </c>
      <c r="J41" s="3" t="n">
        <v>2.5</v>
      </c>
      <c r="K41" s="3" t="n">
        <v>2.5</v>
      </c>
      <c r="L41" s="3" t="n">
        <v>2.5</v>
      </c>
    </row>
    <row r="42" customFormat="false" ht="15" hidden="false" customHeight="false" outlineLevel="0" collapsed="false">
      <c r="A42" s="0" t="s">
        <v>106</v>
      </c>
      <c r="C42" s="3" t="n">
        <v>22</v>
      </c>
      <c r="D42" s="3" t="n">
        <v>25</v>
      </c>
      <c r="E42" s="3" t="n">
        <v>25</v>
      </c>
      <c r="F42" s="3" t="n">
        <v>24.5</v>
      </c>
      <c r="G42" s="3" t="n">
        <v>24</v>
      </c>
      <c r="H42" s="3" t="n">
        <v>23.5</v>
      </c>
      <c r="I42" s="3" t="n">
        <v>23</v>
      </c>
      <c r="J42" s="3" t="n">
        <v>23</v>
      </c>
      <c r="K42" s="3" t="n">
        <v>23</v>
      </c>
      <c r="L42" s="3" t="n">
        <v>23</v>
      </c>
    </row>
    <row r="43" customFormat="false" ht="15" hidden="false" customHeight="false" outlineLevel="0" collapsed="false">
      <c r="A43" s="0" t="s">
        <v>107</v>
      </c>
      <c r="C43" s="3" t="n">
        <v>0.85</v>
      </c>
      <c r="D43" s="3" t="n">
        <v>0.8</v>
      </c>
      <c r="E43" s="3" t="n">
        <v>0.8</v>
      </c>
      <c r="F43" s="3" t="n">
        <v>0.8</v>
      </c>
      <c r="G43" s="3" t="n">
        <v>0.8</v>
      </c>
      <c r="H43" s="3" t="n">
        <v>0.8</v>
      </c>
      <c r="I43" s="3" t="n">
        <v>0.8</v>
      </c>
      <c r="J43" s="3" t="n">
        <v>0.8</v>
      </c>
      <c r="K43" s="3" t="n">
        <v>0.8</v>
      </c>
      <c r="L43" s="3" t="n">
        <v>0.8</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8</v>
      </c>
      <c r="D45" s="3" t="n">
        <v>7.8</v>
      </c>
      <c r="E45" s="3" t="n">
        <v>7.6</v>
      </c>
      <c r="F45" s="3" t="n">
        <v>7.4</v>
      </c>
      <c r="G45" s="3" t="n">
        <v>7.2</v>
      </c>
      <c r="H45" s="3" t="n">
        <v>7</v>
      </c>
      <c r="I45" s="3" t="n">
        <v>7</v>
      </c>
      <c r="J45" s="3" t="n">
        <v>7</v>
      </c>
      <c r="K45" s="3" t="n">
        <v>7</v>
      </c>
      <c r="L45" s="3" t="n">
        <v>7</v>
      </c>
    </row>
    <row r="46" customFormat="false" ht="15" hidden="false" customHeight="false" outlineLevel="0" collapsed="false">
      <c r="A46" s="0" t="s">
        <v>110</v>
      </c>
      <c r="C46" s="3" t="n">
        <v>8</v>
      </c>
      <c r="D46" s="3" t="n">
        <v>8.5</v>
      </c>
      <c r="E46" s="3" t="n">
        <v>8</v>
      </c>
      <c r="F46" s="3" t="n">
        <v>7.5</v>
      </c>
      <c r="G46" s="3" t="n">
        <v>7.5</v>
      </c>
      <c r="H46" s="3" t="n">
        <v>7.5</v>
      </c>
      <c r="I46" s="3" t="n">
        <v>7.2</v>
      </c>
      <c r="J46" s="3" t="n">
        <v>7.2</v>
      </c>
      <c r="K46" s="3" t="n">
        <v>7.2</v>
      </c>
      <c r="L46" s="3" t="n">
        <v>7.2</v>
      </c>
    </row>
    <row r="47" customFormat="false" ht="15" hidden="false" customHeight="false" outlineLevel="0" collapsed="false">
      <c r="A47" s="0" t="s">
        <v>111</v>
      </c>
      <c r="C47" s="3" t="n">
        <v>22</v>
      </c>
      <c r="D47" s="3" t="n">
        <v>23</v>
      </c>
      <c r="E47" s="3" t="n">
        <v>24</v>
      </c>
      <c r="F47" s="3" t="n">
        <v>25</v>
      </c>
      <c r="G47" s="3" t="n">
        <v>25</v>
      </c>
      <c r="H47" s="3" t="n">
        <v>25</v>
      </c>
      <c r="I47" s="3" t="n">
        <v>25</v>
      </c>
      <c r="J47" s="3" t="n">
        <v>25</v>
      </c>
      <c r="K47" s="3" t="n">
        <v>25</v>
      </c>
      <c r="L47" s="3" t="n">
        <v>25</v>
      </c>
    </row>
    <row r="48" customFormat="false" ht="15" hidden="false" customHeight="false" outlineLevel="0" collapsed="false">
      <c r="A48" s="0" t="s">
        <v>112</v>
      </c>
      <c r="B48" s="3" t="n">
        <v>8</v>
      </c>
    </row>
    <row r="49" customFormat="false" ht="15" hidden="false" customHeight="false" outlineLevel="0" collapsed="false">
      <c r="A49" s="0" t="s">
        <v>113</v>
      </c>
      <c r="B49" s="3" t="n">
        <v>2.5</v>
      </c>
    </row>
    <row r="50" customFormat="false" ht="15" hidden="false" customHeight="false" outlineLevel="0" collapsed="false">
      <c r="A50" s="0" t="s">
        <v>114</v>
      </c>
      <c r="B50" s="3" t="n">
        <v>15</v>
      </c>
    </row>
    <row r="51" customFormat="false" ht="15" hidden="false" customHeight="false" outlineLevel="0" collapsed="false">
      <c r="A51" s="0" t="s">
        <v>115</v>
      </c>
      <c r="B51" s="3" t="n">
        <v>-15</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10</v>
      </c>
      <c r="D5" s="4" t="n">
        <f aca="false">Assumptions!D13</f>
        <v>-1</v>
      </c>
      <c r="E5" s="4" t="n">
        <f aca="false">Assumptions!E13</f>
        <v>-4</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8989.3</v>
      </c>
      <c r="C6" s="0" t="n">
        <f aca="false">B6*(1+C5/100)</f>
        <v>9888.23</v>
      </c>
      <c r="D6" s="0" t="n">
        <f aca="false">C6*(1+D5/100)</f>
        <v>9789.3477</v>
      </c>
      <c r="E6" s="0" t="n">
        <f aca="false">D6*(1+E5/100)</f>
        <v>9397.773792</v>
      </c>
      <c r="F6" s="0" t="n">
        <f aca="false">E6*(1+F5/100)</f>
        <v>9491.75152992</v>
      </c>
      <c r="G6" s="0" t="n">
        <f aca="false">F6*(1+G5/100)</f>
        <v>9681.5865605184</v>
      </c>
      <c r="H6" s="0" t="n">
        <f aca="false">G6*(1+H5/100)</f>
        <v>9875.21829172877</v>
      </c>
      <c r="I6" s="0" t="n">
        <f aca="false">H6*(1+I5/100)</f>
        <v>10072.7226575633</v>
      </c>
      <c r="J6" s="0" t="n">
        <f aca="false">I6*(1+J5/100)</f>
        <v>10274.1771107146</v>
      </c>
      <c r="K6" s="0" t="n">
        <f aca="false">J6*(1+K5/100)</f>
        <v>10479.6606529289</v>
      </c>
      <c r="L6" s="0" t="n">
        <f aca="false">K6*(1+L5/100)</f>
        <v>10689.2538659875</v>
      </c>
    </row>
    <row r="7" customFormat="false" ht="15" hidden="false" customHeight="false" outlineLevel="0" collapsed="false">
      <c r="A7" s="0" t="s">
        <v>106</v>
      </c>
      <c r="C7" s="4" t="n">
        <f aca="false">Assumptions!C14</f>
        <v>20.5</v>
      </c>
      <c r="D7" s="4" t="n">
        <f aca="false">Assumptions!D14</f>
        <v>19.5</v>
      </c>
      <c r="E7" s="4" t="n">
        <f aca="false">Assumptions!E14</f>
        <v>17.5</v>
      </c>
      <c r="F7" s="4" t="n">
        <f aca="false">Assumptions!F14</f>
        <v>18</v>
      </c>
      <c r="G7" s="4" t="n">
        <f aca="false">Assumptions!G14</f>
        <v>19</v>
      </c>
      <c r="H7" s="4" t="n">
        <f aca="false">Assumptions!H14</f>
        <v>19.5</v>
      </c>
      <c r="I7" s="4" t="n">
        <f aca="false">Assumptions!I14</f>
        <v>19.5</v>
      </c>
      <c r="J7" s="4" t="n">
        <f aca="false">Assumptions!J14</f>
        <v>19.5</v>
      </c>
      <c r="K7" s="4" t="n">
        <f aca="false">Assumptions!K14</f>
        <v>19.5</v>
      </c>
      <c r="L7" s="4" t="n">
        <f aca="false">Assumptions!L14</f>
        <v>19.5</v>
      </c>
    </row>
    <row r="8" customFormat="false" ht="15" hidden="false" customHeight="false" outlineLevel="0" collapsed="false">
      <c r="A8" s="0" t="s">
        <v>43</v>
      </c>
      <c r="C8" s="0" t="n">
        <f aca="false">C6*C7/100</f>
        <v>2027.08715</v>
      </c>
      <c r="D8" s="0" t="n">
        <f aca="false">D6*D7/100</f>
        <v>1908.9228015</v>
      </c>
      <c r="E8" s="0" t="n">
        <f aca="false">E6*E7/100</f>
        <v>1644.6104136</v>
      </c>
      <c r="F8" s="0" t="n">
        <f aca="false">F6*F7/100</f>
        <v>1708.5152753856</v>
      </c>
      <c r="G8" s="0" t="n">
        <f aca="false">G6*G7/100</f>
        <v>1839.5014464985</v>
      </c>
      <c r="H8" s="0" t="n">
        <f aca="false">H6*H7/100</f>
        <v>1925.66756688711</v>
      </c>
      <c r="I8" s="0" t="n">
        <f aca="false">I6*I7/100</f>
        <v>1964.18091822485</v>
      </c>
      <c r="J8" s="0" t="n">
        <f aca="false">J6*J7/100</f>
        <v>2003.46453658935</v>
      </c>
      <c r="K8" s="0" t="n">
        <f aca="false">K6*K7/100</f>
        <v>2043.53382732114</v>
      </c>
      <c r="L8" s="0" t="n">
        <f aca="false">L6*L7/100</f>
        <v>2084.40450386756</v>
      </c>
    </row>
    <row r="9" customFormat="false" ht="15" hidden="false" customHeight="false" outlineLevel="0" collapsed="false">
      <c r="A9" s="0" t="s">
        <v>107</v>
      </c>
      <c r="C9" s="4" t="n">
        <f aca="false">Assumptions!C15</f>
        <v>0.85</v>
      </c>
      <c r="D9" s="4" t="n">
        <f aca="false">Assumptions!D15</f>
        <v>0.8</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122</v>
      </c>
      <c r="C10" s="0" t="n">
        <f aca="false">-C6*C9/100</f>
        <v>-84.049955</v>
      </c>
      <c r="D10" s="0" t="n">
        <f aca="false">-D6*D9/100</f>
        <v>-78.3147816</v>
      </c>
      <c r="E10" s="0" t="n">
        <f aca="false">-E6*E9/100</f>
        <v>-75.182190336</v>
      </c>
      <c r="F10" s="0" t="n">
        <f aca="false">-F6*F9/100</f>
        <v>-75.93401223936</v>
      </c>
      <c r="G10" s="0" t="n">
        <f aca="false">-G6*G9/100</f>
        <v>-77.4526924841472</v>
      </c>
      <c r="H10" s="0" t="n">
        <f aca="false">-H6*H9/100</f>
        <v>-79.0017463338302</v>
      </c>
      <c r="I10" s="0" t="n">
        <f aca="false">-I6*I9/100</f>
        <v>-80.5817812605067</v>
      </c>
      <c r="J10" s="0" t="n">
        <f aca="false">-J6*J9/100</f>
        <v>-82.1934168857169</v>
      </c>
      <c r="K10" s="0" t="n">
        <f aca="false">-K6*K9/100</f>
        <v>-83.8372852234312</v>
      </c>
      <c r="L10" s="0" t="n">
        <f aca="false">-L6*L9/100</f>
        <v>-85.5140309278999</v>
      </c>
    </row>
    <row r="11" customFormat="false" ht="15" hidden="false" customHeight="false" outlineLevel="0" collapsed="false">
      <c r="A11" s="0" t="s">
        <v>123</v>
      </c>
      <c r="C11" s="0" t="n">
        <f aca="false">C8+C10+C24</f>
        <v>1943.037195</v>
      </c>
      <c r="D11" s="0" t="n">
        <f aca="false">D8+D10+D24</f>
        <v>1830.6080199</v>
      </c>
      <c r="E11" s="0" t="n">
        <f aca="false">E8+E10+E24</f>
        <v>1569.428223264</v>
      </c>
      <c r="F11" s="0" t="n">
        <f aca="false">F8+F10+F24</f>
        <v>1632.58126314624</v>
      </c>
      <c r="G11" s="0" t="n">
        <f aca="false">G8+G10+G24</f>
        <v>1762.04875401435</v>
      </c>
      <c r="H11" s="0" t="n">
        <f aca="false">H8+H10+H24</f>
        <v>1846.66582055328</v>
      </c>
      <c r="I11" s="0" t="n">
        <f aca="false">I8+I10+I24</f>
        <v>1883.59913696435</v>
      </c>
      <c r="J11" s="0" t="n">
        <f aca="false">J8+J10+J24</f>
        <v>1921.27111970363</v>
      </c>
      <c r="K11" s="0" t="n">
        <f aca="false">K8+K10+K24</f>
        <v>1959.6965420977</v>
      </c>
      <c r="L11" s="0" t="n">
        <f aca="false">L8+L10+L24</f>
        <v>1998.89047293966</v>
      </c>
    </row>
    <row r="12" customFormat="false" ht="15" hidden="false" customHeight="false" outlineLevel="0" collapsed="false">
      <c r="A12" s="0" t="s">
        <v>124</v>
      </c>
      <c r="C12" s="4" t="n">
        <f aca="false">-C6*Assumptions!C17/100</f>
        <v>-791.0584</v>
      </c>
      <c r="D12" s="4" t="n">
        <f aca="false">-D6*Assumptions!D17/100</f>
        <v>-763.5691206</v>
      </c>
      <c r="E12" s="4" t="n">
        <f aca="false">-E6*Assumptions!E17/100</f>
        <v>-714.230808192</v>
      </c>
      <c r="F12" s="4" t="n">
        <f aca="false">-F6*Assumptions!F17/100</f>
        <v>-702.38961321408</v>
      </c>
      <c r="G12" s="4" t="n">
        <f aca="false">-G6*Assumptions!G17/100</f>
        <v>-697.074232357325</v>
      </c>
      <c r="H12" s="4" t="n">
        <f aca="false">-H6*Assumptions!H17/100</f>
        <v>-691.265280421014</v>
      </c>
      <c r="I12" s="4" t="n">
        <f aca="false">-I6*Assumptions!I17/100</f>
        <v>-705.090586029434</v>
      </c>
      <c r="J12" s="4" t="n">
        <f aca="false">-J6*Assumptions!J17/100</f>
        <v>-719.192397750023</v>
      </c>
      <c r="K12" s="4" t="n">
        <f aca="false">-K6*Assumptions!K17/100</f>
        <v>-733.576245705023</v>
      </c>
      <c r="L12" s="4" t="n">
        <f aca="false">-L6*Assumptions!L17/100</f>
        <v>-748.247770619124</v>
      </c>
    </row>
    <row r="13" customFormat="false" ht="15" hidden="false" customHeight="false" outlineLevel="0" collapsed="false">
      <c r="A13" s="0" t="s">
        <v>125</v>
      </c>
      <c r="C13" s="0" t="n">
        <f aca="false">C11+C12</f>
        <v>1151.978795</v>
      </c>
      <c r="D13" s="0" t="n">
        <f aca="false">D11+D12</f>
        <v>1067.0388993</v>
      </c>
      <c r="E13" s="0" t="n">
        <f aca="false">E11+E12</f>
        <v>855.197415072</v>
      </c>
      <c r="F13" s="0" t="n">
        <f aca="false">F11+F12</f>
        <v>930.19164993216</v>
      </c>
      <c r="G13" s="0" t="n">
        <f aca="false">G11+G12</f>
        <v>1064.97452165702</v>
      </c>
      <c r="H13" s="0" t="n">
        <f aca="false">H11+H12</f>
        <v>1155.40054013227</v>
      </c>
      <c r="I13" s="0" t="n">
        <f aca="false">I11+I12</f>
        <v>1178.50855093491</v>
      </c>
      <c r="J13" s="0" t="n">
        <f aca="false">J11+J12</f>
        <v>1202.07872195361</v>
      </c>
      <c r="K13" s="0" t="n">
        <f aca="false">K11+K12</f>
        <v>1226.12029639268</v>
      </c>
      <c r="L13" s="0" t="n">
        <f aca="false">L11+L12</f>
        <v>1250.64270232054</v>
      </c>
    </row>
    <row r="14" customFormat="false" ht="15" hidden="false" customHeight="false" outlineLevel="0" collapsed="false">
      <c r="A14" s="0" t="s">
        <v>111</v>
      </c>
      <c r="C14" s="4" t="n">
        <f aca="false">Assumptions!C19</f>
        <v>22</v>
      </c>
      <c r="D14" s="4" t="n">
        <f aca="false">Assumptions!D19</f>
        <v>22</v>
      </c>
      <c r="E14" s="4" t="n">
        <f aca="false">Assumptions!E19</f>
        <v>22</v>
      </c>
      <c r="F14" s="4" t="n">
        <f aca="false">Assumptions!F19</f>
        <v>24</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126</v>
      </c>
      <c r="C15" s="0" t="n">
        <f aca="false">C13-MAX(0,C13)*C14/100</f>
        <v>898.5434601</v>
      </c>
      <c r="D15" s="0" t="n">
        <f aca="false">D13-MAX(0,D13)*D14/100</f>
        <v>832.290341454</v>
      </c>
      <c r="E15" s="0" t="n">
        <f aca="false">E13-MAX(0,E13)*E14/100</f>
        <v>667.05398375616</v>
      </c>
      <c r="F15" s="0" t="n">
        <f aca="false">F13-MAX(0,F13)*F14/100</f>
        <v>706.945653948442</v>
      </c>
      <c r="G15" s="0" t="n">
        <f aca="false">G13-MAX(0,G13)*G14/100</f>
        <v>798.730891242768</v>
      </c>
      <c r="H15" s="0" t="n">
        <f aca="false">H13-MAX(0,H13)*H14/100</f>
        <v>866.550405099199</v>
      </c>
      <c r="I15" s="0" t="n">
        <f aca="false">I13-MAX(0,I13)*I14/100</f>
        <v>883.881413201183</v>
      </c>
      <c r="J15" s="0" t="n">
        <f aca="false">J13-MAX(0,J13)*J14/100</f>
        <v>901.559041465207</v>
      </c>
      <c r="K15" s="0" t="n">
        <f aca="false">K13-MAX(0,K13)*K14/100</f>
        <v>919.590222294511</v>
      </c>
      <c r="L15" s="0" t="n">
        <f aca="false">L13-MAX(0,L13)*L14/100</f>
        <v>937.982026740402</v>
      </c>
    </row>
    <row r="16" customFormat="false" ht="15" hidden="false" customHeight="false" outlineLevel="0" collapsed="false">
      <c r="A16" s="0" t="s">
        <v>127</v>
      </c>
      <c r="C16" s="0" t="n">
        <f aca="false">-C12</f>
        <v>791.0584</v>
      </c>
      <c r="D16" s="0" t="n">
        <f aca="false">-D12</f>
        <v>763.5691206</v>
      </c>
      <c r="E16" s="0" t="n">
        <f aca="false">-E12</f>
        <v>714.230808192</v>
      </c>
      <c r="F16" s="0" t="n">
        <f aca="false">-F12</f>
        <v>702.38961321408</v>
      </c>
      <c r="G16" s="0" t="n">
        <f aca="false">-G12</f>
        <v>697.074232357325</v>
      </c>
      <c r="H16" s="0" t="n">
        <f aca="false">-H12</f>
        <v>691.265280421014</v>
      </c>
      <c r="I16" s="0" t="n">
        <f aca="false">-I12</f>
        <v>705.090586029434</v>
      </c>
      <c r="J16" s="0" t="n">
        <f aca="false">-J12</f>
        <v>719.192397750023</v>
      </c>
      <c r="K16" s="0" t="n">
        <f aca="false">-K12</f>
        <v>733.576245705023</v>
      </c>
      <c r="L16" s="0" t="n">
        <f aca="false">-L12</f>
        <v>748.247770619124</v>
      </c>
    </row>
    <row r="17" customFormat="false" ht="15" hidden="false" customHeight="false" outlineLevel="0" collapsed="false">
      <c r="A17" s="0" t="s">
        <v>128</v>
      </c>
      <c r="C17" s="4" t="n">
        <f aca="false">-C6*Assumptions!C18/100</f>
        <v>-791.0584</v>
      </c>
      <c r="D17" s="4" t="n">
        <f aca="false">-D6*Assumptions!D18/100</f>
        <v>-685.254339</v>
      </c>
      <c r="E17" s="4" t="n">
        <f aca="false">-E6*Assumptions!E18/100</f>
        <v>-610.85529648</v>
      </c>
      <c r="F17" s="4" t="n">
        <f aca="false">-F6*Assumptions!F18/100</f>
        <v>-616.9638494448</v>
      </c>
      <c r="G17" s="4" t="n">
        <f aca="false">-G6*Assumptions!G18/100</f>
        <v>-677.711059236288</v>
      </c>
      <c r="H17" s="4" t="n">
        <f aca="false">-H6*Assumptions!H18/100</f>
        <v>-691.265280421014</v>
      </c>
      <c r="I17" s="4" t="n">
        <f aca="false">-I6*Assumptions!I18/100</f>
        <v>-705.090586029434</v>
      </c>
      <c r="J17" s="4" t="n">
        <f aca="false">-J6*Assumptions!J18/100</f>
        <v>-719.192397750023</v>
      </c>
      <c r="K17" s="4" t="n">
        <f aca="false">-K6*Assumptions!K18/100</f>
        <v>-733.576245705023</v>
      </c>
      <c r="L17" s="4" t="n">
        <f aca="false">-L6*Assumptions!L18/100</f>
        <v>-748.247770619124</v>
      </c>
    </row>
    <row r="18" customFormat="false" ht="15" hidden="false" customHeight="false" outlineLevel="0" collapsed="false">
      <c r="A18" s="0" t="s">
        <v>129</v>
      </c>
      <c r="C18" s="4" t="n">
        <f aca="false">(C6-B6)*Assumptions!$B$23/100</f>
        <v>-134.8395</v>
      </c>
      <c r="D18" s="4" t="n">
        <f aca="false">(D6-C6)*Assumptions!$B$23/100</f>
        <v>14.8323449999999</v>
      </c>
      <c r="E18" s="4" t="n">
        <f aca="false">(E6-D6)*Assumptions!$B$23/100</f>
        <v>58.7360862</v>
      </c>
      <c r="F18" s="4" t="n">
        <f aca="false">(F6-E6)*Assumptions!$B$23/100</f>
        <v>-14.0966606880001</v>
      </c>
      <c r="G18" s="4" t="n">
        <f aca="false">(G6-F6)*Assumptions!$B$23/100</f>
        <v>-28.4752545897601</v>
      </c>
      <c r="H18" s="4" t="n">
        <f aca="false">(H6-G6)*Assumptions!$B$23/100</f>
        <v>-29.0447596815551</v>
      </c>
      <c r="I18" s="4" t="n">
        <f aca="false">(I6-H6)*Assumptions!$B$23/100</f>
        <v>-29.6256548751862</v>
      </c>
      <c r="J18" s="4" t="n">
        <f aca="false">(J6-I6)*Assumptions!$B$23/100</f>
        <v>-30.2181679726901</v>
      </c>
      <c r="K18" s="4" t="n">
        <f aca="false">(K6-J6)*Assumptions!$B$23/100</f>
        <v>-30.822531332144</v>
      </c>
      <c r="L18" s="4" t="n">
        <f aca="false">(L6-K6)*Assumptions!$B$23/100</f>
        <v>-31.4389819587868</v>
      </c>
    </row>
    <row r="19" customFormat="false" ht="15" hidden="false" customHeight="false" outlineLevel="0" collapsed="false">
      <c r="A19" s="0" t="s">
        <v>130</v>
      </c>
      <c r="C19" s="0" t="n">
        <f aca="false">C15+C16+C17+C18</f>
        <v>763.7039601</v>
      </c>
      <c r="D19" s="0" t="n">
        <f aca="false">D15+D16+D17+D18</f>
        <v>925.437468054</v>
      </c>
      <c r="E19" s="0" t="n">
        <f aca="false">E15+E16+E17+E18</f>
        <v>829.16558166816</v>
      </c>
      <c r="F19" s="0" t="n">
        <f aca="false">F15+F16+F17+F18</f>
        <v>778.274757029722</v>
      </c>
      <c r="G19" s="0" t="n">
        <f aca="false">G15+G16+G17+G18</f>
        <v>789.618809774045</v>
      </c>
      <c r="H19" s="0" t="n">
        <f aca="false">H15+H16+H17+H18</f>
        <v>837.505645417644</v>
      </c>
      <c r="I19" s="0" t="n">
        <f aca="false">I15+I16+I17+I18</f>
        <v>854.255758325997</v>
      </c>
      <c r="J19" s="0" t="n">
        <f aca="false">J15+J16+J17+J18</f>
        <v>871.340873492517</v>
      </c>
      <c r="K19" s="0" t="n">
        <f aca="false">K15+K16+K17+K18</f>
        <v>888.767690962367</v>
      </c>
      <c r="L19" s="0" t="n">
        <f aca="false">L15+L16+L17+L18</f>
        <v>906.543044781615</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707.133296388889</v>
      </c>
      <c r="D21" s="0" t="n">
        <f aca="false">D19*D20</f>
        <v>793.413467124486</v>
      </c>
      <c r="E21" s="0" t="n">
        <f aca="false">E19*E20</f>
        <v>658.218371872428</v>
      </c>
      <c r="F21" s="0" t="n">
        <f aca="false">F19*F20</f>
        <v>572.055180094752</v>
      </c>
      <c r="G21" s="0" t="n">
        <f aca="false">G19*G20</f>
        <v>537.401293994006</v>
      </c>
      <c r="H21" s="0" t="n">
        <f aca="false">H19*H20</f>
        <v>527.77062008533</v>
      </c>
      <c r="I21" s="0" t="n">
        <f aca="false">I19*I20</f>
        <v>498.45003008059</v>
      </c>
      <c r="J21" s="0" t="n">
        <f aca="false">J19*J20</f>
        <v>470.758361742779</v>
      </c>
      <c r="K21" s="0" t="n">
        <f aca="false">K19*K20</f>
        <v>444.605119423736</v>
      </c>
      <c r="L21" s="0" t="n">
        <f aca="false">L19*L20</f>
        <v>419.904835011306</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1.5</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5629.7105758183</v>
      </c>
    </row>
    <row r="31" customFormat="false" ht="15" hidden="false" customHeight="false" outlineLevel="0" collapsed="false">
      <c r="A31" s="0" t="s">
        <v>136</v>
      </c>
      <c r="B31" s="0" t="n">
        <f aca="false">L19</f>
        <v>906.543044781615</v>
      </c>
    </row>
    <row r="32" customFormat="false" ht="15" hidden="false" customHeight="false" outlineLevel="0" collapsed="false">
      <c r="A32" s="0" t="s">
        <v>137</v>
      </c>
      <c r="B32" s="0" t="n">
        <f aca="false">IF(B27&gt;B28,B31*(1+B28/100)/((B27-B28)/100),B31*B29)</f>
        <v>14156.0183146668</v>
      </c>
    </row>
    <row r="33" customFormat="false" ht="15" hidden="false" customHeight="false" outlineLevel="0" collapsed="false">
      <c r="A33" s="0" t="s">
        <v>138</v>
      </c>
      <c r="B33" s="0" t="n">
        <f aca="false">B31*B29</f>
        <v>13598.1456717242</v>
      </c>
    </row>
    <row r="34" customFormat="false" ht="15" hidden="false" customHeight="false" outlineLevel="0" collapsed="false">
      <c r="A34" s="0" t="s">
        <v>139</v>
      </c>
      <c r="B34" s="0" t="n">
        <f aca="false">MAX(0,MIN(B32,B33))</f>
        <v>13598.1456717242</v>
      </c>
    </row>
    <row r="35" customFormat="false" ht="15" hidden="false" customHeight="false" outlineLevel="0" collapsed="false">
      <c r="A35" s="0" t="s">
        <v>140</v>
      </c>
      <c r="B35" s="0" t="n">
        <f aca="false">B34/(1+B27/100)^L4</f>
        <v>6298.57252516959</v>
      </c>
    </row>
    <row r="36" customFormat="false" ht="15" hidden="false" customHeight="false" outlineLevel="0" collapsed="false">
      <c r="A36" s="0" t="s">
        <v>141</v>
      </c>
      <c r="B36" s="0" t="n">
        <f aca="false">B30+B35</f>
        <v>11928.2831009879</v>
      </c>
    </row>
    <row r="37" customFormat="false" ht="15" hidden="false" customHeight="false" outlineLevel="0" collapsed="false">
      <c r="A37" s="0" t="s">
        <v>142</v>
      </c>
      <c r="B37" s="0" t="n">
        <f aca="false">B36+Assumptions!$B$5-Assumptions!$B$4</f>
        <v>8402.1831009879</v>
      </c>
    </row>
    <row r="38" customFormat="false" ht="15" hidden="false" customHeight="false" outlineLevel="0" collapsed="false">
      <c r="A38" s="0" t="s">
        <v>143</v>
      </c>
      <c r="B38" s="0" t="n">
        <f aca="false">B37/Assumptions!$B$3*Assumptions!$B$10</f>
        <v>94.4065516964932</v>
      </c>
    </row>
    <row r="39" customFormat="false" ht="15" hidden="false" customHeight="false" outlineLevel="0" collapsed="false">
      <c r="A39" s="0" t="s">
        <v>144</v>
      </c>
      <c r="B39" s="4" t="n">
        <f aca="false">B38/Assumptions!$B$2-1</f>
        <v>-0.589018537736741</v>
      </c>
    </row>
    <row r="41" customFormat="false" ht="15" hidden="false" customHeight="false" outlineLevel="0" collapsed="false">
      <c r="A41" s="0" t="s">
        <v>145</v>
      </c>
      <c r="B41" s="0" t="n">
        <f aca="false">SUMPRODUCT(-C10:L10/(1+$B$27/100)^C4:L4)</f>
        <v>535.933948093027</v>
      </c>
    </row>
    <row r="42" customFormat="false" ht="15" hidden="false" customHeight="false" outlineLevel="0" collapsed="false">
      <c r="A42" s="0" t="s">
        <v>146</v>
      </c>
      <c r="B42" s="0" t="n">
        <f aca="false">IF(B27&gt;B28,-L10*(1+B28/100)/((B27-B28)/100),-L10*20)/(1+B27/100)^L4</f>
        <v>618.518236917856</v>
      </c>
    </row>
    <row r="43" customFormat="false" ht="15" hidden="false" customHeight="false" outlineLevel="0" collapsed="false">
      <c r="A43" s="0" t="s">
        <v>147</v>
      </c>
      <c r="B43" s="0" t="n">
        <f aca="false">(B37+B41+B42)/Assumptions!$B$3*Assumptions!$B$10</f>
        <v>107.377924561784</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6815.86067002473</v>
      </c>
    </row>
    <row r="47" customFormat="false" ht="15" hidden="false" customHeight="false" outlineLevel="0" collapsed="false">
      <c r="A47" s="0" t="s">
        <v>149</v>
      </c>
      <c r="B47" s="0" t="n">
        <f aca="false">(SUMPRODUCT(C19:L19/(1+B45/100)^C4:L4)+B46/(1+B45/100)^L4+Assumptions!$B$5-Assumptions!$B$4)/Assumptions!$B$3*Assumptions!$B$10</f>
        <v>26.4053318150218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11.5</v>
      </c>
      <c r="D5" s="4" t="n">
        <f aca="false">Assumptions!D27</f>
        <v>5.5</v>
      </c>
      <c r="E5" s="4" t="n">
        <f aca="false">Assumptions!E27</f>
        <v>3</v>
      </c>
      <c r="F5" s="4" t="n">
        <f aca="false">Assumptions!F27</f>
        <v>2.5</v>
      </c>
      <c r="G5" s="4" t="n">
        <f aca="false">Assumptions!G27</f>
        <v>2.5</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8989.3</v>
      </c>
      <c r="C6" s="0" t="n">
        <f aca="false">B6*(1+C5/100)</f>
        <v>10023.0695</v>
      </c>
      <c r="D6" s="0" t="n">
        <f aca="false">C6*(1+D5/100)</f>
        <v>10574.3383225</v>
      </c>
      <c r="E6" s="0" t="n">
        <f aca="false">D6*(1+E5/100)</f>
        <v>10891.568472175</v>
      </c>
      <c r="F6" s="0" t="n">
        <f aca="false">E6*(1+F5/100)</f>
        <v>11163.8576839794</v>
      </c>
      <c r="G6" s="0" t="n">
        <f aca="false">F6*(1+G5/100)</f>
        <v>11442.9541260789</v>
      </c>
      <c r="H6" s="0" t="n">
        <f aca="false">G6*(1+H5/100)</f>
        <v>11729.0279792308</v>
      </c>
      <c r="I6" s="0" t="n">
        <f aca="false">H6*(1+I5/100)</f>
        <v>12022.2536787116</v>
      </c>
      <c r="J6" s="0" t="n">
        <f aca="false">I6*(1+J5/100)</f>
        <v>12262.6987522858</v>
      </c>
      <c r="K6" s="0" t="n">
        <f aca="false">J6*(1+K5/100)</f>
        <v>12507.9527273315</v>
      </c>
      <c r="L6" s="0" t="n">
        <f aca="false">K6*(1+L5/100)</f>
        <v>12758.1117818782</v>
      </c>
    </row>
    <row r="7" customFormat="false" ht="15" hidden="false" customHeight="false" outlineLevel="0" collapsed="false">
      <c r="A7" s="0" t="s">
        <v>106</v>
      </c>
      <c r="C7" s="4" t="n">
        <f aca="false">Assumptions!C28</f>
        <v>21.5</v>
      </c>
      <c r="D7" s="4" t="n">
        <f aca="false">Assumptions!D28</f>
        <v>23.5</v>
      </c>
      <c r="E7" s="4" t="n">
        <f aca="false">Assumptions!E28</f>
        <v>22.5</v>
      </c>
      <c r="F7" s="4" t="n">
        <f aca="false">Assumptions!F28</f>
        <v>22</v>
      </c>
      <c r="G7" s="4" t="n">
        <f aca="false">Assumptions!G28</f>
        <v>21.5</v>
      </c>
      <c r="H7" s="4" t="n">
        <f aca="false">Assumptions!H28</f>
        <v>21</v>
      </c>
      <c r="I7" s="4" t="n">
        <f aca="false">Assumptions!I28</f>
        <v>21</v>
      </c>
      <c r="J7" s="4" t="n">
        <f aca="false">Assumptions!J28</f>
        <v>21</v>
      </c>
      <c r="K7" s="4" t="n">
        <f aca="false">Assumptions!K28</f>
        <v>21</v>
      </c>
      <c r="L7" s="4" t="n">
        <f aca="false">Assumptions!L28</f>
        <v>21</v>
      </c>
    </row>
    <row r="8" customFormat="false" ht="15" hidden="false" customHeight="false" outlineLevel="0" collapsed="false">
      <c r="A8" s="0" t="s">
        <v>43</v>
      </c>
      <c r="C8" s="0" t="n">
        <f aca="false">C6*C7/100</f>
        <v>2154.9599425</v>
      </c>
      <c r="D8" s="0" t="n">
        <f aca="false">D6*D7/100</f>
        <v>2484.9695057875</v>
      </c>
      <c r="E8" s="0" t="n">
        <f aca="false">E6*E7/100</f>
        <v>2450.60290623938</v>
      </c>
      <c r="F8" s="0" t="n">
        <f aca="false">F6*F7/100</f>
        <v>2456.04869047546</v>
      </c>
      <c r="G8" s="0" t="n">
        <f aca="false">G6*G7/100</f>
        <v>2460.23513710695</v>
      </c>
      <c r="H8" s="0" t="n">
        <f aca="false">H6*H7/100</f>
        <v>2463.09587563847</v>
      </c>
      <c r="I8" s="0" t="n">
        <f aca="false">I6*I7/100</f>
        <v>2524.67327252944</v>
      </c>
      <c r="J8" s="0" t="n">
        <f aca="false">J6*J7/100</f>
        <v>2575.16673798002</v>
      </c>
      <c r="K8" s="0" t="n">
        <f aca="false">K6*K7/100</f>
        <v>2626.67007273963</v>
      </c>
      <c r="L8" s="0" t="n">
        <f aca="false">L6*L7/100</f>
        <v>2679.20347419442</v>
      </c>
    </row>
    <row r="9" customFormat="false" ht="15" hidden="false" customHeight="false" outlineLevel="0" collapsed="false">
      <c r="A9" s="0" t="s">
        <v>107</v>
      </c>
      <c r="C9" s="4" t="n">
        <f aca="false">Assumptions!C29</f>
        <v>0.85</v>
      </c>
      <c r="D9" s="4" t="n">
        <f aca="false">Assumptions!D29</f>
        <v>0.8</v>
      </c>
      <c r="E9" s="4" t="n">
        <f aca="false">Assumptions!E29</f>
        <v>0.8</v>
      </c>
      <c r="F9" s="4" t="n">
        <f aca="false">Assumptions!F29</f>
        <v>0.8</v>
      </c>
      <c r="G9" s="4" t="n">
        <f aca="false">Assumptions!G29</f>
        <v>0.8</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122</v>
      </c>
      <c r="C10" s="0" t="n">
        <f aca="false">-C6*C9/100</f>
        <v>-85.19609075</v>
      </c>
      <c r="D10" s="0" t="n">
        <f aca="false">-D6*D9/100</f>
        <v>-84.59470658</v>
      </c>
      <c r="E10" s="0" t="n">
        <f aca="false">-E6*E9/100</f>
        <v>-87.1325477774</v>
      </c>
      <c r="F10" s="0" t="n">
        <f aca="false">-F6*F9/100</f>
        <v>-89.310861471835</v>
      </c>
      <c r="G10" s="0" t="n">
        <f aca="false">-G6*G9/100</f>
        <v>-91.5436330086309</v>
      </c>
      <c r="H10" s="0" t="n">
        <f aca="false">-H6*H9/100</f>
        <v>-93.8322238338466</v>
      </c>
      <c r="I10" s="0" t="n">
        <f aca="false">-I6*I9/100</f>
        <v>-96.1780294296928</v>
      </c>
      <c r="J10" s="0" t="n">
        <f aca="false">-J6*J9/100</f>
        <v>-98.1015900182867</v>
      </c>
      <c r="K10" s="0" t="n">
        <f aca="false">-K6*K9/100</f>
        <v>-100.063621818652</v>
      </c>
      <c r="L10" s="0" t="n">
        <f aca="false">-L6*L9/100</f>
        <v>-102.064894255025</v>
      </c>
    </row>
    <row r="11" customFormat="false" ht="15" hidden="false" customHeight="false" outlineLevel="0" collapsed="false">
      <c r="A11" s="0" t="s">
        <v>123</v>
      </c>
      <c r="C11" s="0" t="n">
        <f aca="false">C8+C10+C24</f>
        <v>2069.76385175</v>
      </c>
      <c r="D11" s="0" t="n">
        <f aca="false">D8+D10+D24</f>
        <v>2400.3747992075</v>
      </c>
      <c r="E11" s="0" t="n">
        <f aca="false">E8+E10+E24</f>
        <v>2363.47035846198</v>
      </c>
      <c r="F11" s="0" t="n">
        <f aca="false">F8+F10+F24</f>
        <v>2366.73782900363</v>
      </c>
      <c r="G11" s="0" t="n">
        <f aca="false">G8+G10+G24</f>
        <v>2368.69150409832</v>
      </c>
      <c r="H11" s="0" t="n">
        <f aca="false">H8+H10+H24</f>
        <v>2369.26365180463</v>
      </c>
      <c r="I11" s="0" t="n">
        <f aca="false">I8+I10+I24</f>
        <v>2428.49524309974</v>
      </c>
      <c r="J11" s="0" t="n">
        <f aca="false">J8+J10+J24</f>
        <v>2477.06514796174</v>
      </c>
      <c r="K11" s="0" t="n">
        <f aca="false">K8+K10+K24</f>
        <v>2526.60645092097</v>
      </c>
      <c r="L11" s="0" t="n">
        <f aca="false">L8+L10+L24</f>
        <v>2577.13857993939</v>
      </c>
    </row>
    <row r="12" customFormat="false" ht="15" hidden="false" customHeight="false" outlineLevel="0" collapsed="false">
      <c r="A12" s="0" t="s">
        <v>124</v>
      </c>
      <c r="C12" s="4" t="n">
        <f aca="false">-C6*Assumptions!C31/100</f>
        <v>-801.84556</v>
      </c>
      <c r="D12" s="4" t="n">
        <f aca="false">-D6*Assumptions!D31/100</f>
        <v>-824.798389155</v>
      </c>
      <c r="E12" s="4" t="n">
        <f aca="false">-E6*Assumptions!E31/100</f>
        <v>-827.7592038853</v>
      </c>
      <c r="F12" s="4" t="n">
        <f aca="false">-F6*Assumptions!F31/100</f>
        <v>-826.125468614474</v>
      </c>
      <c r="G12" s="4" t="n">
        <f aca="false">-G6*Assumptions!G31/100</f>
        <v>-823.892697077678</v>
      </c>
      <c r="H12" s="4" t="n">
        <f aca="false">-H6*Assumptions!H31/100</f>
        <v>-821.031958546158</v>
      </c>
      <c r="I12" s="4" t="n">
        <f aca="false">-I6*Assumptions!I31/100</f>
        <v>-841.557757509812</v>
      </c>
      <c r="J12" s="4" t="n">
        <f aca="false">-J6*Assumptions!J31/100</f>
        <v>-858.388912660008</v>
      </c>
      <c r="K12" s="4" t="n">
        <f aca="false">-K6*Assumptions!K31/100</f>
        <v>-875.556690913208</v>
      </c>
      <c r="L12" s="4" t="n">
        <f aca="false">-L6*Assumptions!L31/100</f>
        <v>-893.067824731473</v>
      </c>
    </row>
    <row r="13" customFormat="false" ht="15" hidden="false" customHeight="false" outlineLevel="0" collapsed="false">
      <c r="A13" s="0" t="s">
        <v>125</v>
      </c>
      <c r="C13" s="0" t="n">
        <f aca="false">C11+C12</f>
        <v>1267.91829175</v>
      </c>
      <c r="D13" s="0" t="n">
        <f aca="false">D11+D12</f>
        <v>1575.5764100525</v>
      </c>
      <c r="E13" s="0" t="n">
        <f aca="false">E11+E12</f>
        <v>1535.71115457668</v>
      </c>
      <c r="F13" s="0" t="n">
        <f aca="false">F11+F12</f>
        <v>1540.61236038915</v>
      </c>
      <c r="G13" s="0" t="n">
        <f aca="false">G11+G12</f>
        <v>1544.79880702065</v>
      </c>
      <c r="H13" s="0" t="n">
        <f aca="false">H11+H12</f>
        <v>1548.23169325847</v>
      </c>
      <c r="I13" s="0" t="n">
        <f aca="false">I11+I12</f>
        <v>1586.93748558993</v>
      </c>
      <c r="J13" s="0" t="n">
        <f aca="false">J11+J12</f>
        <v>1618.67623530173</v>
      </c>
      <c r="K13" s="0" t="n">
        <f aca="false">K11+K12</f>
        <v>1651.04976000776</v>
      </c>
      <c r="L13" s="0" t="n">
        <f aca="false">L11+L12</f>
        <v>1684.07075520792</v>
      </c>
    </row>
    <row r="14" customFormat="false" ht="15" hidden="false" customHeight="false" outlineLevel="0" collapsed="false">
      <c r="A14" s="0" t="s">
        <v>111</v>
      </c>
      <c r="C14" s="4" t="n">
        <f aca="false">Assumptions!C33</f>
        <v>22</v>
      </c>
      <c r="D14" s="4" t="n">
        <f aca="false">Assumptions!D33</f>
        <v>23</v>
      </c>
      <c r="E14" s="4" t="n">
        <f aca="false">Assumptions!E33</f>
        <v>24</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126</v>
      </c>
      <c r="C15" s="0" t="n">
        <f aca="false">C13-MAX(0,C13)*C14/100</f>
        <v>988.976267565</v>
      </c>
      <c r="D15" s="0" t="n">
        <f aca="false">D13-MAX(0,D13)*D14/100</f>
        <v>1213.19383574043</v>
      </c>
      <c r="E15" s="0" t="n">
        <f aca="false">E13-MAX(0,E13)*E14/100</f>
        <v>1167.14047747827</v>
      </c>
      <c r="F15" s="0" t="n">
        <f aca="false">F13-MAX(0,F13)*F14/100</f>
        <v>1155.45927029187</v>
      </c>
      <c r="G15" s="0" t="n">
        <f aca="false">G13-MAX(0,G13)*G14/100</f>
        <v>1158.59910526548</v>
      </c>
      <c r="H15" s="0" t="n">
        <f aca="false">H13-MAX(0,H13)*H14/100</f>
        <v>1161.17376994385</v>
      </c>
      <c r="I15" s="0" t="n">
        <f aca="false">I13-MAX(0,I13)*I14/100</f>
        <v>1190.20311419245</v>
      </c>
      <c r="J15" s="0" t="n">
        <f aca="false">J13-MAX(0,J13)*J14/100</f>
        <v>1214.0071764763</v>
      </c>
      <c r="K15" s="0" t="n">
        <f aca="false">K13-MAX(0,K13)*K14/100</f>
        <v>1238.28732000582</v>
      </c>
      <c r="L15" s="0" t="n">
        <f aca="false">L13-MAX(0,L13)*L14/100</f>
        <v>1263.05306640594</v>
      </c>
    </row>
    <row r="16" customFormat="false" ht="15" hidden="false" customHeight="false" outlineLevel="0" collapsed="false">
      <c r="A16" s="0" t="s">
        <v>127</v>
      </c>
      <c r="C16" s="0" t="n">
        <f aca="false">-C12</f>
        <v>801.84556</v>
      </c>
      <c r="D16" s="0" t="n">
        <f aca="false">-D12</f>
        <v>824.798389155</v>
      </c>
      <c r="E16" s="0" t="n">
        <f aca="false">-E12</f>
        <v>827.7592038853</v>
      </c>
      <c r="F16" s="0" t="n">
        <f aca="false">-F12</f>
        <v>826.125468614474</v>
      </c>
      <c r="G16" s="0" t="n">
        <f aca="false">-G12</f>
        <v>823.892697077678</v>
      </c>
      <c r="H16" s="0" t="n">
        <f aca="false">-H12</f>
        <v>821.031958546158</v>
      </c>
      <c r="I16" s="0" t="n">
        <f aca="false">-I12</f>
        <v>841.557757509812</v>
      </c>
      <c r="J16" s="0" t="n">
        <f aca="false">-J12</f>
        <v>858.388912660008</v>
      </c>
      <c r="K16" s="0" t="n">
        <f aca="false">-K12</f>
        <v>875.556690913208</v>
      </c>
      <c r="L16" s="0" t="n">
        <f aca="false">-L12</f>
        <v>893.067824731473</v>
      </c>
    </row>
    <row r="17" customFormat="false" ht="15" hidden="false" customHeight="false" outlineLevel="0" collapsed="false">
      <c r="A17" s="0" t="s">
        <v>128</v>
      </c>
      <c r="C17" s="4" t="n">
        <f aca="false">-C6*Assumptions!C32/100</f>
        <v>-801.84556</v>
      </c>
      <c r="D17" s="4" t="n">
        <f aca="false">-D6*Assumptions!D32/100</f>
        <v>-845.9470658</v>
      </c>
      <c r="E17" s="4" t="n">
        <f aca="false">-E6*Assumptions!E32/100</f>
        <v>-816.867635413125</v>
      </c>
      <c r="F17" s="4" t="n">
        <f aca="false">-F6*Assumptions!F32/100</f>
        <v>-837.289326298453</v>
      </c>
      <c r="G17" s="4" t="n">
        <f aca="false">-G6*Assumptions!G32/100</f>
        <v>-858.221559455914</v>
      </c>
      <c r="H17" s="4" t="n">
        <f aca="false">-H6*Assumptions!H32/100</f>
        <v>-856.219042483851</v>
      </c>
      <c r="I17" s="4" t="n">
        <f aca="false">-I6*Assumptions!I32/100</f>
        <v>-865.602264867235</v>
      </c>
      <c r="J17" s="4" t="n">
        <f aca="false">-J6*Assumptions!J32/100</f>
        <v>-882.91431016458</v>
      </c>
      <c r="K17" s="4" t="n">
        <f aca="false">-K6*Assumptions!K32/100</f>
        <v>-900.572596367872</v>
      </c>
      <c r="L17" s="4" t="n">
        <f aca="false">-L6*Assumptions!L32/100</f>
        <v>-918.584048295229</v>
      </c>
    </row>
    <row r="18" customFormat="false" ht="15" hidden="false" customHeight="false" outlineLevel="0" collapsed="false">
      <c r="A18" s="0" t="s">
        <v>129</v>
      </c>
      <c r="C18" s="4" t="n">
        <f aca="false">(C6-B6)*Assumptions!$B$37/100</f>
        <v>-155.065425</v>
      </c>
      <c r="D18" s="4" t="n">
        <f aca="false">(D6-C6)*Assumptions!$B$37/100</f>
        <v>-82.690323375</v>
      </c>
      <c r="E18" s="4" t="n">
        <f aca="false">(E6-D6)*Assumptions!$B$37/100</f>
        <v>-47.5845224512501</v>
      </c>
      <c r="F18" s="4" t="n">
        <f aca="false">(F6-E6)*Assumptions!$B$37/100</f>
        <v>-40.8433817706562</v>
      </c>
      <c r="G18" s="4" t="n">
        <f aca="false">(G6-F6)*Assumptions!$B$37/100</f>
        <v>-41.8644663149226</v>
      </c>
      <c r="H18" s="4" t="n">
        <f aca="false">(H6-G6)*Assumptions!$B$37/100</f>
        <v>-42.9110779727956</v>
      </c>
      <c r="I18" s="4" t="n">
        <f aca="false">(I6-H6)*Assumptions!$B$37/100</f>
        <v>-43.9838549221156</v>
      </c>
      <c r="J18" s="4" t="n">
        <f aca="false">(J6-I6)*Assumptions!$B$37/100</f>
        <v>-36.0667610361348</v>
      </c>
      <c r="K18" s="4" t="n">
        <f aca="false">(K6-J6)*Assumptions!$B$37/100</f>
        <v>-36.7880962568574</v>
      </c>
      <c r="L18" s="4" t="n">
        <f aca="false">(L6-K6)*Assumptions!$B$37/100</f>
        <v>-37.5238581819947</v>
      </c>
    </row>
    <row r="19" customFormat="false" ht="15" hidden="false" customHeight="false" outlineLevel="0" collapsed="false">
      <c r="A19" s="0" t="s">
        <v>130</v>
      </c>
      <c r="C19" s="0" t="n">
        <f aca="false">C15+C16+C17+C18</f>
        <v>833.910842565</v>
      </c>
      <c r="D19" s="0" t="n">
        <f aca="false">D15+D16+D17+D18</f>
        <v>1109.35483572043</v>
      </c>
      <c r="E19" s="0" t="n">
        <f aca="false">E15+E16+E17+E18</f>
        <v>1130.4475234992</v>
      </c>
      <c r="F19" s="0" t="n">
        <f aca="false">F15+F16+F17+F18</f>
        <v>1103.45203083723</v>
      </c>
      <c r="G19" s="0" t="n">
        <f aca="false">G15+G16+G17+G18</f>
        <v>1082.40577657233</v>
      </c>
      <c r="H19" s="0" t="n">
        <f aca="false">H15+H16+H17+H18</f>
        <v>1083.07560803336</v>
      </c>
      <c r="I19" s="0" t="n">
        <f aca="false">I15+I16+I17+I18</f>
        <v>1122.17475191291</v>
      </c>
      <c r="J19" s="0" t="n">
        <f aca="false">J15+J16+J17+J18</f>
        <v>1153.41501793559</v>
      </c>
      <c r="K19" s="0" t="n">
        <f aca="false">K15+K16+K17+K18</f>
        <v>1176.4833182943</v>
      </c>
      <c r="L19" s="0" t="n">
        <f aca="false">L15+L16+L17+L18</f>
        <v>1200.01298466019</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772.139669041666</v>
      </c>
      <c r="D21" s="0" t="n">
        <f aca="false">D19*D20</f>
        <v>951.092966152628</v>
      </c>
      <c r="E21" s="0" t="n">
        <f aca="false">E19*E20</f>
        <v>897.385690935069</v>
      </c>
      <c r="F21" s="0" t="n">
        <f aca="false">F19*F20</f>
        <v>811.070183794237</v>
      </c>
      <c r="G21" s="0" t="n">
        <f aca="false">G19*G20</f>
        <v>736.667183907395</v>
      </c>
      <c r="H21" s="0" t="n">
        <f aca="false">H19*H20</f>
        <v>682.521351800577</v>
      </c>
      <c r="I21" s="0" t="n">
        <f aca="false">I19*I20</f>
        <v>654.778189546851</v>
      </c>
      <c r="J21" s="0" t="n">
        <f aca="false">J19*J20</f>
        <v>623.154245107888</v>
      </c>
      <c r="K21" s="0" t="n">
        <f aca="false">K19*K20</f>
        <v>588.534564824117</v>
      </c>
      <c r="L21" s="0" t="n">
        <f aca="false">L19*L20</f>
        <v>555.838200111665</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2</v>
      </c>
    </row>
    <row r="29" customFormat="false" ht="15" hidden="false" customHeight="false" outlineLevel="0" collapsed="false">
      <c r="A29" s="0" t="s">
        <v>114</v>
      </c>
      <c r="B29" s="4" t="n">
        <f aca="false">Assumptions!$B$36</f>
        <v>15</v>
      </c>
    </row>
    <row r="30" customFormat="false" ht="15" hidden="false" customHeight="false" outlineLevel="0" collapsed="false">
      <c r="A30" s="0" t="s">
        <v>135</v>
      </c>
      <c r="B30" s="0" t="n">
        <f aca="false">SUM(C21:L21)</f>
        <v>7273.18224522209</v>
      </c>
    </row>
    <row r="31" customFormat="false" ht="15" hidden="false" customHeight="false" outlineLevel="0" collapsed="false">
      <c r="A31" s="0" t="s">
        <v>136</v>
      </c>
      <c r="B31" s="0" t="n">
        <f aca="false">L19</f>
        <v>1200.01298466019</v>
      </c>
    </row>
    <row r="32" customFormat="false" ht="15" hidden="false" customHeight="false" outlineLevel="0" collapsed="false">
      <c r="A32" s="0" t="s">
        <v>137</v>
      </c>
      <c r="B32" s="0" t="n">
        <f aca="false">IF(B27&gt;B28,B31*(1+B28/100)/((B27-B28)/100),B31*B29)</f>
        <v>20400.2207392232</v>
      </c>
    </row>
    <row r="33" customFormat="false" ht="15" hidden="false" customHeight="false" outlineLevel="0" collapsed="false">
      <c r="A33" s="0" t="s">
        <v>138</v>
      </c>
      <c r="B33" s="0" t="n">
        <f aca="false">B31*B29</f>
        <v>18000.1947699028</v>
      </c>
    </row>
    <row r="34" customFormat="false" ht="15" hidden="false" customHeight="false" outlineLevel="0" collapsed="false">
      <c r="A34" s="0" t="s">
        <v>139</v>
      </c>
      <c r="B34" s="0" t="n">
        <f aca="false">MAX(0,MIN(B32,B33))</f>
        <v>18000.1947699028</v>
      </c>
    </row>
    <row r="35" customFormat="false" ht="15" hidden="false" customHeight="false" outlineLevel="0" collapsed="false">
      <c r="A35" s="0" t="s">
        <v>140</v>
      </c>
      <c r="B35" s="0" t="n">
        <f aca="false">B34/(1+B27/100)^L4</f>
        <v>8337.57300167498</v>
      </c>
    </row>
    <row r="36" customFormat="false" ht="15" hidden="false" customHeight="false" outlineLevel="0" collapsed="false">
      <c r="A36" s="0" t="s">
        <v>141</v>
      </c>
      <c r="B36" s="0" t="n">
        <f aca="false">B30+B35</f>
        <v>15610.7552468971</v>
      </c>
    </row>
    <row r="37" customFormat="false" ht="15" hidden="false" customHeight="false" outlineLevel="0" collapsed="false">
      <c r="A37" s="0" t="s">
        <v>142</v>
      </c>
      <c r="B37" s="0" t="n">
        <f aca="false">B36+Assumptions!$B$5-Assumptions!$B$4</f>
        <v>12084.6552468971</v>
      </c>
    </row>
    <row r="38" customFormat="false" ht="15" hidden="false" customHeight="false" outlineLevel="0" collapsed="false">
      <c r="A38" s="0" t="s">
        <v>143</v>
      </c>
      <c r="B38" s="0" t="n">
        <f aca="false">B37/Assumptions!$B$3*Assumptions!$B$10</f>
        <v>135.782643223563</v>
      </c>
    </row>
    <row r="39" customFormat="false" ht="15" hidden="false" customHeight="false" outlineLevel="0" collapsed="false">
      <c r="A39" s="0" t="s">
        <v>144</v>
      </c>
      <c r="B39" s="4" t="n">
        <f aca="false">B38/Assumptions!$B$2-1</f>
        <v>-0.408895375806179</v>
      </c>
    </row>
    <row r="41" customFormat="false" ht="15" hidden="false" customHeight="false" outlineLevel="0" collapsed="false">
      <c r="A41" s="0" t="s">
        <v>145</v>
      </c>
      <c r="B41" s="0" t="n">
        <f aca="false">SUMPRODUCT(-C10:L10/(1+$B$27/100)^C4:L4)</f>
        <v>614.112356946527</v>
      </c>
    </row>
    <row r="42" customFormat="false" ht="15" hidden="false" customHeight="false" outlineLevel="0" collapsed="false">
      <c r="A42" s="0" t="s">
        <v>146</v>
      </c>
      <c r="B42" s="0" t="n">
        <f aca="false">IF(B27&gt;B28,-L10*(1+B28/100)/((B27-B28)/100),-L10*20)/(1+B27/100)^L4</f>
        <v>803.688504476655</v>
      </c>
    </row>
    <row r="43" customFormat="false" ht="15" hidden="false" customHeight="false" outlineLevel="0" collapsed="false">
      <c r="A43" s="0" t="s">
        <v>147</v>
      </c>
      <c r="B43" s="0" t="n">
        <f aca="false">(B37+B41+B42)/Assumptions!$B$3*Assumptions!$B$10</f>
        <v>151.712989981127</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9415.4864950261</v>
      </c>
    </row>
    <row r="47" customFormat="false" ht="15" hidden="false" customHeight="false" outlineLevel="0" collapsed="false">
      <c r="A47" s="0" t="s">
        <v>149</v>
      </c>
      <c r="B47" s="0" t="n">
        <f aca="false">(SUMPRODUCT(C19:L19/(1+B45/100)^C4:L4)+B46/(1+B45/100)^L4+Assumptions!$B$5-Assumptions!$B$4)/Assumptions!$B$3*Assumptions!$B$10</f>
        <v>46.9190044095778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12.5</v>
      </c>
      <c r="D5" s="4" t="n">
        <f aca="false">Assumptions!D41</f>
        <v>8</v>
      </c>
      <c r="E5" s="4" t="n">
        <f aca="false">Assumptions!E41</f>
        <v>4</v>
      </c>
      <c r="F5" s="4" t="n">
        <f aca="false">Assumptions!F41</f>
        <v>3.5</v>
      </c>
      <c r="G5" s="4" t="n">
        <f aca="false">Assumptions!G41</f>
        <v>3</v>
      </c>
      <c r="H5" s="4" t="n">
        <f aca="false">Assumptions!H41</f>
        <v>3</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37</v>
      </c>
      <c r="B6" s="3" t="n">
        <v>8989.3</v>
      </c>
      <c r="C6" s="0" t="n">
        <f aca="false">B6*(1+C5/100)</f>
        <v>10112.9625</v>
      </c>
      <c r="D6" s="0" t="n">
        <f aca="false">C6*(1+D5/100)</f>
        <v>10921.9995</v>
      </c>
      <c r="E6" s="0" t="n">
        <f aca="false">D6*(1+E5/100)</f>
        <v>11358.87948</v>
      </c>
      <c r="F6" s="0" t="n">
        <f aca="false">E6*(1+F5/100)</f>
        <v>11756.4402618</v>
      </c>
      <c r="G6" s="0" t="n">
        <f aca="false">F6*(1+G5/100)</f>
        <v>12109.133469654</v>
      </c>
      <c r="H6" s="0" t="n">
        <f aca="false">G6*(1+H5/100)</f>
        <v>12472.4074737436</v>
      </c>
      <c r="I6" s="0" t="n">
        <f aca="false">H6*(1+I5/100)</f>
        <v>12784.2176605872</v>
      </c>
      <c r="J6" s="0" t="n">
        <f aca="false">I6*(1+J5/100)</f>
        <v>13103.8231021019</v>
      </c>
      <c r="K6" s="0" t="n">
        <f aca="false">J6*(1+K5/100)</f>
        <v>13431.4186796544</v>
      </c>
      <c r="L6" s="0" t="n">
        <f aca="false">K6*(1+L5/100)</f>
        <v>13767.2041466458</v>
      </c>
    </row>
    <row r="7" customFormat="false" ht="15" hidden="false" customHeight="false" outlineLevel="0" collapsed="false">
      <c r="A7" s="0" t="s">
        <v>106</v>
      </c>
      <c r="C7" s="4" t="n">
        <f aca="false">Assumptions!C42</f>
        <v>22</v>
      </c>
      <c r="D7" s="4" t="n">
        <f aca="false">Assumptions!D42</f>
        <v>25</v>
      </c>
      <c r="E7" s="4" t="n">
        <f aca="false">Assumptions!E42</f>
        <v>25</v>
      </c>
      <c r="F7" s="4" t="n">
        <f aca="false">Assumptions!F42</f>
        <v>24.5</v>
      </c>
      <c r="G7" s="4" t="n">
        <f aca="false">Assumptions!G42</f>
        <v>24</v>
      </c>
      <c r="H7" s="4" t="n">
        <f aca="false">Assumptions!H42</f>
        <v>23.5</v>
      </c>
      <c r="I7" s="4" t="n">
        <f aca="false">Assumptions!I42</f>
        <v>23</v>
      </c>
      <c r="J7" s="4" t="n">
        <f aca="false">Assumptions!J42</f>
        <v>23</v>
      </c>
      <c r="K7" s="4" t="n">
        <f aca="false">Assumptions!K42</f>
        <v>23</v>
      </c>
      <c r="L7" s="4" t="n">
        <f aca="false">Assumptions!L42</f>
        <v>23</v>
      </c>
    </row>
    <row r="8" customFormat="false" ht="15" hidden="false" customHeight="false" outlineLevel="0" collapsed="false">
      <c r="A8" s="0" t="s">
        <v>43</v>
      </c>
      <c r="C8" s="0" t="n">
        <f aca="false">C6*C7/100</f>
        <v>2224.85175</v>
      </c>
      <c r="D8" s="0" t="n">
        <f aca="false">D6*D7/100</f>
        <v>2730.499875</v>
      </c>
      <c r="E8" s="0" t="n">
        <f aca="false">E6*E7/100</f>
        <v>2839.71987</v>
      </c>
      <c r="F8" s="0" t="n">
        <f aca="false">F6*F7/100</f>
        <v>2880.327864141</v>
      </c>
      <c r="G8" s="0" t="n">
        <f aca="false">G6*G7/100</f>
        <v>2906.19203271696</v>
      </c>
      <c r="H8" s="0" t="n">
        <f aca="false">H6*H7/100</f>
        <v>2931.01575632975</v>
      </c>
      <c r="I8" s="0" t="n">
        <f aca="false">I6*I7/100</f>
        <v>2940.37006193506</v>
      </c>
      <c r="J8" s="0" t="n">
        <f aca="false">J6*J7/100</f>
        <v>3013.87931348343</v>
      </c>
      <c r="K8" s="0" t="n">
        <f aca="false">K6*K7/100</f>
        <v>3089.22629632052</v>
      </c>
      <c r="L8" s="0" t="n">
        <f aca="false">L6*L7/100</f>
        <v>3166.45695372853</v>
      </c>
    </row>
    <row r="9" customFormat="false" ht="15" hidden="false" customHeight="false" outlineLevel="0" collapsed="false">
      <c r="A9" s="0" t="s">
        <v>107</v>
      </c>
      <c r="C9" s="4" t="n">
        <f aca="false">Assumptions!C43</f>
        <v>0.85</v>
      </c>
      <c r="D9" s="4" t="n">
        <f aca="false">Assumptions!D43</f>
        <v>0.8</v>
      </c>
      <c r="E9" s="4" t="n">
        <f aca="false">Assumptions!E43</f>
        <v>0.8</v>
      </c>
      <c r="F9" s="4" t="n">
        <f aca="false">Assumptions!F43</f>
        <v>0.8</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122</v>
      </c>
      <c r="C10" s="0" t="n">
        <f aca="false">-C6*C9/100</f>
        <v>-85.96018125</v>
      </c>
      <c r="D10" s="0" t="n">
        <f aca="false">-D6*D9/100</f>
        <v>-87.375996</v>
      </c>
      <c r="E10" s="0" t="n">
        <f aca="false">-E6*E9/100</f>
        <v>-90.87103584</v>
      </c>
      <c r="F10" s="0" t="n">
        <f aca="false">-F6*F9/100</f>
        <v>-94.0515220944</v>
      </c>
      <c r="G10" s="0" t="n">
        <f aca="false">-G6*G9/100</f>
        <v>-96.873067757232</v>
      </c>
      <c r="H10" s="0" t="n">
        <f aca="false">-H6*H9/100</f>
        <v>-99.779259789949</v>
      </c>
      <c r="I10" s="0" t="n">
        <f aca="false">-I6*I9/100</f>
        <v>-102.273741284698</v>
      </c>
      <c r="J10" s="0" t="n">
        <f aca="false">-J6*J9/100</f>
        <v>-104.830584816815</v>
      </c>
      <c r="K10" s="0" t="n">
        <f aca="false">-K6*K9/100</f>
        <v>-107.451349437235</v>
      </c>
      <c r="L10" s="0" t="n">
        <f aca="false">-L6*L9/100</f>
        <v>-110.137633173166</v>
      </c>
    </row>
    <row r="11" customFormat="false" ht="15" hidden="false" customHeight="false" outlineLevel="0" collapsed="false">
      <c r="A11" s="0" t="s">
        <v>123</v>
      </c>
      <c r="C11" s="0" t="n">
        <f aca="false">C8+C10+C24</f>
        <v>2138.89156875</v>
      </c>
      <c r="D11" s="0" t="n">
        <f aca="false">D8+D10+D24</f>
        <v>2643.123879</v>
      </c>
      <c r="E11" s="0" t="n">
        <f aca="false">E8+E10+E24</f>
        <v>2748.84883416</v>
      </c>
      <c r="F11" s="0" t="n">
        <f aca="false">F8+F10+F24</f>
        <v>2786.2763420466</v>
      </c>
      <c r="G11" s="0" t="n">
        <f aca="false">G8+G10+G24</f>
        <v>2809.31896495973</v>
      </c>
      <c r="H11" s="0" t="n">
        <f aca="false">H8+H10+H24</f>
        <v>2831.2364965398</v>
      </c>
      <c r="I11" s="0" t="n">
        <f aca="false">I8+I10+I24</f>
        <v>2838.09632065036</v>
      </c>
      <c r="J11" s="0" t="n">
        <f aca="false">J8+J10+J24</f>
        <v>2909.04872866662</v>
      </c>
      <c r="K11" s="0" t="n">
        <f aca="false">K8+K10+K24</f>
        <v>2981.77494688328</v>
      </c>
      <c r="L11" s="0" t="n">
        <f aca="false">L8+L10+L24</f>
        <v>3056.31932055537</v>
      </c>
    </row>
    <row r="12" customFormat="false" ht="15" hidden="false" customHeight="false" outlineLevel="0" collapsed="false">
      <c r="A12" s="0" t="s">
        <v>124</v>
      </c>
      <c r="C12" s="4" t="n">
        <f aca="false">-C6*Assumptions!C45/100</f>
        <v>-809.037</v>
      </c>
      <c r="D12" s="4" t="n">
        <f aca="false">-D6*Assumptions!D45/100</f>
        <v>-851.915961</v>
      </c>
      <c r="E12" s="4" t="n">
        <f aca="false">-E6*Assumptions!E45/100</f>
        <v>-863.27484048</v>
      </c>
      <c r="F12" s="4" t="n">
        <f aca="false">-F6*Assumptions!F45/100</f>
        <v>-869.9765793732</v>
      </c>
      <c r="G12" s="4" t="n">
        <f aca="false">-G6*Assumptions!G45/100</f>
        <v>-871.857609815088</v>
      </c>
      <c r="H12" s="4" t="n">
        <f aca="false">-H6*Assumptions!H45/100</f>
        <v>-873.068523162053</v>
      </c>
      <c r="I12" s="4" t="n">
        <f aca="false">-I6*Assumptions!I45/100</f>
        <v>-894.895236241105</v>
      </c>
      <c r="J12" s="4" t="n">
        <f aca="false">-J6*Assumptions!J45/100</f>
        <v>-917.267617147132</v>
      </c>
      <c r="K12" s="4" t="n">
        <f aca="false">-K6*Assumptions!K45/100</f>
        <v>-940.19930757581</v>
      </c>
      <c r="L12" s="4" t="n">
        <f aca="false">-L6*Assumptions!L45/100</f>
        <v>-963.704290265206</v>
      </c>
    </row>
    <row r="13" customFormat="false" ht="15" hidden="false" customHeight="false" outlineLevel="0" collapsed="false">
      <c r="A13" s="0" t="s">
        <v>125</v>
      </c>
      <c r="C13" s="0" t="n">
        <f aca="false">C11+C12</f>
        <v>1329.85456875</v>
      </c>
      <c r="D13" s="0" t="n">
        <f aca="false">D11+D12</f>
        <v>1791.207918</v>
      </c>
      <c r="E13" s="0" t="n">
        <f aca="false">E11+E12</f>
        <v>1885.57399368</v>
      </c>
      <c r="F13" s="0" t="n">
        <f aca="false">F11+F12</f>
        <v>1916.2997626734</v>
      </c>
      <c r="G13" s="0" t="n">
        <f aca="false">G11+G12</f>
        <v>1937.46135514464</v>
      </c>
      <c r="H13" s="0" t="n">
        <f aca="false">H11+H12</f>
        <v>1958.16797337775</v>
      </c>
      <c r="I13" s="0" t="n">
        <f aca="false">I11+I12</f>
        <v>1943.20108440926</v>
      </c>
      <c r="J13" s="0" t="n">
        <f aca="false">J11+J12</f>
        <v>1991.78111151949</v>
      </c>
      <c r="K13" s="0" t="n">
        <f aca="false">K11+K12</f>
        <v>2041.57563930747</v>
      </c>
      <c r="L13" s="0" t="n">
        <f aca="false">L11+L12</f>
        <v>2092.61503029016</v>
      </c>
    </row>
    <row r="14" customFormat="false" ht="15" hidden="false" customHeight="false" outlineLevel="0" collapsed="false">
      <c r="A14" s="0" t="s">
        <v>111</v>
      </c>
      <c r="C14" s="4" t="n">
        <f aca="false">Assumptions!C47</f>
        <v>22</v>
      </c>
      <c r="D14" s="4" t="n">
        <f aca="false">Assumptions!D47</f>
        <v>23</v>
      </c>
      <c r="E14" s="4" t="n">
        <f aca="false">Assumptions!E47</f>
        <v>24</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126</v>
      </c>
      <c r="C15" s="0" t="n">
        <f aca="false">C13-MAX(0,C13)*C14/100</f>
        <v>1037.286563625</v>
      </c>
      <c r="D15" s="0" t="n">
        <f aca="false">D13-MAX(0,D13)*D14/100</f>
        <v>1379.23009686</v>
      </c>
      <c r="E15" s="0" t="n">
        <f aca="false">E13-MAX(0,E13)*E14/100</f>
        <v>1433.0362351968</v>
      </c>
      <c r="F15" s="0" t="n">
        <f aca="false">F13-MAX(0,F13)*F14/100</f>
        <v>1437.22482200505</v>
      </c>
      <c r="G15" s="0" t="n">
        <f aca="false">G13-MAX(0,G13)*G14/100</f>
        <v>1453.09601635848</v>
      </c>
      <c r="H15" s="0" t="n">
        <f aca="false">H13-MAX(0,H13)*H14/100</f>
        <v>1468.62598003331</v>
      </c>
      <c r="I15" s="0" t="n">
        <f aca="false">I13-MAX(0,I13)*I14/100</f>
        <v>1457.40081330694</v>
      </c>
      <c r="J15" s="0" t="n">
        <f aca="false">J13-MAX(0,J13)*J14/100</f>
        <v>1493.83583363961</v>
      </c>
      <c r="K15" s="0" t="n">
        <f aca="false">K13-MAX(0,K13)*K14/100</f>
        <v>1531.18172948061</v>
      </c>
      <c r="L15" s="0" t="n">
        <f aca="false">L13-MAX(0,L13)*L14/100</f>
        <v>1569.46127271762</v>
      </c>
    </row>
    <row r="16" customFormat="false" ht="15" hidden="false" customHeight="false" outlineLevel="0" collapsed="false">
      <c r="A16" s="0" t="s">
        <v>127</v>
      </c>
      <c r="C16" s="0" t="n">
        <f aca="false">-C12</f>
        <v>809.037</v>
      </c>
      <c r="D16" s="0" t="n">
        <f aca="false">-D12</f>
        <v>851.915961</v>
      </c>
      <c r="E16" s="0" t="n">
        <f aca="false">-E12</f>
        <v>863.27484048</v>
      </c>
      <c r="F16" s="0" t="n">
        <f aca="false">-F12</f>
        <v>869.9765793732</v>
      </c>
      <c r="G16" s="0" t="n">
        <f aca="false">-G12</f>
        <v>871.857609815088</v>
      </c>
      <c r="H16" s="0" t="n">
        <f aca="false">-H12</f>
        <v>873.068523162053</v>
      </c>
      <c r="I16" s="0" t="n">
        <f aca="false">-I12</f>
        <v>894.895236241105</v>
      </c>
      <c r="J16" s="0" t="n">
        <f aca="false">-J12</f>
        <v>917.267617147132</v>
      </c>
      <c r="K16" s="0" t="n">
        <f aca="false">-K12</f>
        <v>940.19930757581</v>
      </c>
      <c r="L16" s="0" t="n">
        <f aca="false">-L12</f>
        <v>963.704290265206</v>
      </c>
    </row>
    <row r="17" customFormat="false" ht="15" hidden="false" customHeight="false" outlineLevel="0" collapsed="false">
      <c r="A17" s="0" t="s">
        <v>128</v>
      </c>
      <c r="C17" s="4" t="n">
        <f aca="false">-C6*Assumptions!C46/100</f>
        <v>-809.037</v>
      </c>
      <c r="D17" s="4" t="n">
        <f aca="false">-D6*Assumptions!D46/100</f>
        <v>-928.3699575</v>
      </c>
      <c r="E17" s="4" t="n">
        <f aca="false">-E6*Assumptions!E46/100</f>
        <v>-908.7103584</v>
      </c>
      <c r="F17" s="4" t="n">
        <f aca="false">-F6*Assumptions!F46/100</f>
        <v>-881.733019635</v>
      </c>
      <c r="G17" s="4" t="n">
        <f aca="false">-G6*Assumptions!G46/100</f>
        <v>-908.18501022405</v>
      </c>
      <c r="H17" s="4" t="n">
        <f aca="false">-H6*Assumptions!H46/100</f>
        <v>-935.430560530771</v>
      </c>
      <c r="I17" s="4" t="n">
        <f aca="false">-I6*Assumptions!I46/100</f>
        <v>-920.463671562279</v>
      </c>
      <c r="J17" s="4" t="n">
        <f aca="false">-J6*Assumptions!J46/100</f>
        <v>-943.475263351336</v>
      </c>
      <c r="K17" s="4" t="n">
        <f aca="false">-K6*Assumptions!K46/100</f>
        <v>-967.062144935119</v>
      </c>
      <c r="L17" s="4" t="n">
        <f aca="false">-L6*Assumptions!L46/100</f>
        <v>-991.238698558497</v>
      </c>
    </row>
    <row r="18" customFormat="false" ht="15" hidden="false" customHeight="false" outlineLevel="0" collapsed="false">
      <c r="A18" s="0" t="s">
        <v>129</v>
      </c>
      <c r="C18" s="4" t="n">
        <f aca="false">(C6-B6)*Assumptions!$B$51/100</f>
        <v>-168.549375</v>
      </c>
      <c r="D18" s="4" t="n">
        <f aca="false">(D6-C6)*Assumptions!$B$51/100</f>
        <v>-121.35555</v>
      </c>
      <c r="E18" s="4" t="n">
        <f aca="false">(E6-D6)*Assumptions!$B$51/100</f>
        <v>-65.531997</v>
      </c>
      <c r="F18" s="4" t="n">
        <f aca="false">(F6-E6)*Assumptions!$B$51/100</f>
        <v>-59.6341172699998</v>
      </c>
      <c r="G18" s="4" t="n">
        <f aca="false">(G6-F6)*Assumptions!$B$51/100</f>
        <v>-52.9039811780999</v>
      </c>
      <c r="H18" s="4" t="n">
        <f aca="false">(H6-G6)*Assumptions!$B$51/100</f>
        <v>-54.4911006134431</v>
      </c>
      <c r="I18" s="4" t="n">
        <f aca="false">(I6-H6)*Assumptions!$B$51/100</f>
        <v>-46.7715280265385</v>
      </c>
      <c r="J18" s="4" t="n">
        <f aca="false">(J6-I6)*Assumptions!$B$51/100</f>
        <v>-47.9408162272019</v>
      </c>
      <c r="K18" s="4" t="n">
        <f aca="false">(K6-J6)*Assumptions!$B$51/100</f>
        <v>-49.1393366328818</v>
      </c>
      <c r="L18" s="4" t="n">
        <f aca="false">(L6-K6)*Assumptions!$B$51/100</f>
        <v>-50.3678200487039</v>
      </c>
    </row>
    <row r="19" customFormat="false" ht="15" hidden="false" customHeight="false" outlineLevel="0" collapsed="false">
      <c r="A19" s="0" t="s">
        <v>130</v>
      </c>
      <c r="C19" s="0" t="n">
        <f aca="false">C15+C16+C17+C18</f>
        <v>868.737188625</v>
      </c>
      <c r="D19" s="0" t="n">
        <f aca="false">D15+D16+D17+D18</f>
        <v>1181.42055036</v>
      </c>
      <c r="E19" s="0" t="n">
        <f aca="false">E15+E16+E17+E18</f>
        <v>1322.0687202768</v>
      </c>
      <c r="F19" s="0" t="n">
        <f aca="false">F15+F16+F17+F18</f>
        <v>1365.83426447325</v>
      </c>
      <c r="G19" s="0" t="n">
        <f aca="false">G15+G16+G17+G18</f>
        <v>1363.86463477142</v>
      </c>
      <c r="H19" s="0" t="n">
        <f aca="false">H15+H16+H17+H18</f>
        <v>1351.77284205115</v>
      </c>
      <c r="I19" s="0" t="n">
        <f aca="false">I15+I16+I17+I18</f>
        <v>1385.06084995923</v>
      </c>
      <c r="J19" s="0" t="n">
        <f aca="false">J15+J16+J17+J18</f>
        <v>1419.68737120821</v>
      </c>
      <c r="K19" s="0" t="n">
        <f aca="false">K15+K16+K17+K18</f>
        <v>1455.17955548842</v>
      </c>
      <c r="L19" s="0" t="n">
        <f aca="false">L15+L16+L17+L18</f>
        <v>1491.55904437562</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804.386285763889</v>
      </c>
      <c r="D21" s="0" t="n">
        <f aca="false">D19*D20</f>
        <v>1012.87770092593</v>
      </c>
      <c r="E21" s="0" t="n">
        <f aca="false">E19*E20</f>
        <v>1049.500775</v>
      </c>
      <c r="F21" s="0" t="n">
        <f aca="false">F19*F20</f>
        <v>1003.92895836013</v>
      </c>
      <c r="G21" s="0" t="n">
        <f aca="false">G19*G20</f>
        <v>928.223353454003</v>
      </c>
      <c r="H21" s="0" t="n">
        <f aca="false">H19*H20</f>
        <v>851.846187506087</v>
      </c>
      <c r="I21" s="0" t="n">
        <f aca="false">I19*I20</f>
        <v>808.169702804818</v>
      </c>
      <c r="J21" s="0" t="n">
        <f aca="false">J19*J20</f>
        <v>767.012912384202</v>
      </c>
      <c r="K21" s="0" t="n">
        <f aca="false">K19*K20</f>
        <v>727.952069623895</v>
      </c>
      <c r="L21" s="0" t="n">
        <f aca="false">L19*L20</f>
        <v>690.880436448604</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2.5</v>
      </c>
    </row>
    <row r="29" customFormat="false" ht="15" hidden="false" customHeight="false" outlineLevel="0" collapsed="false">
      <c r="A29" s="0" t="s">
        <v>114</v>
      </c>
      <c r="B29" s="4" t="n">
        <f aca="false">Assumptions!$B$50</f>
        <v>15</v>
      </c>
    </row>
    <row r="30" customFormat="false" ht="15" hidden="false" customHeight="false" outlineLevel="0" collapsed="false">
      <c r="A30" s="0" t="s">
        <v>135</v>
      </c>
      <c r="B30" s="0" t="n">
        <f aca="false">SUM(C21:L21)</f>
        <v>8644.77838227155</v>
      </c>
    </row>
    <row r="31" customFormat="false" ht="15" hidden="false" customHeight="false" outlineLevel="0" collapsed="false">
      <c r="A31" s="0" t="s">
        <v>136</v>
      </c>
      <c r="B31" s="0" t="n">
        <f aca="false">L19</f>
        <v>1491.55904437562</v>
      </c>
    </row>
    <row r="32" customFormat="false" ht="15" hidden="false" customHeight="false" outlineLevel="0" collapsed="false">
      <c r="A32" s="0" t="s">
        <v>137</v>
      </c>
      <c r="B32" s="0" t="n">
        <f aca="false">IF(B27&gt;B28,B31*(1+B28/100)/((B27-B28)/100),B31*B29)</f>
        <v>27797.2367360912</v>
      </c>
    </row>
    <row r="33" customFormat="false" ht="15" hidden="false" customHeight="false" outlineLevel="0" collapsed="false">
      <c r="A33" s="0" t="s">
        <v>138</v>
      </c>
      <c r="B33" s="0" t="n">
        <f aca="false">B31*B29</f>
        <v>22373.3856656344</v>
      </c>
    </row>
    <row r="34" customFormat="false" ht="15" hidden="false" customHeight="false" outlineLevel="0" collapsed="false">
      <c r="A34" s="0" t="s">
        <v>139</v>
      </c>
      <c r="B34" s="0" t="n">
        <f aca="false">MAX(0,MIN(B32,B33))</f>
        <v>22373.3856656344</v>
      </c>
    </row>
    <row r="35" customFormat="false" ht="15" hidden="false" customHeight="false" outlineLevel="0" collapsed="false">
      <c r="A35" s="0" t="s">
        <v>140</v>
      </c>
      <c r="B35" s="0" t="n">
        <f aca="false">B34/(1+B27/100)^L4</f>
        <v>10363.2065467291</v>
      </c>
    </row>
    <row r="36" customFormat="false" ht="15" hidden="false" customHeight="false" outlineLevel="0" collapsed="false">
      <c r="A36" s="0" t="s">
        <v>141</v>
      </c>
      <c r="B36" s="0" t="n">
        <f aca="false">B30+B35</f>
        <v>19007.9849290006</v>
      </c>
    </row>
    <row r="37" customFormat="false" ht="15" hidden="false" customHeight="false" outlineLevel="0" collapsed="false">
      <c r="A37" s="0" t="s">
        <v>142</v>
      </c>
      <c r="B37" s="0" t="n">
        <f aca="false">B36+Assumptions!$B$5-Assumptions!$B$4</f>
        <v>15481.8849290006</v>
      </c>
    </row>
    <row r="38" customFormat="false" ht="15" hidden="false" customHeight="false" outlineLevel="0" collapsed="false">
      <c r="A38" s="0" t="s">
        <v>143</v>
      </c>
      <c r="B38" s="0" t="n">
        <f aca="false">B37/Assumptions!$B$3*Assumptions!$B$10</f>
        <v>173.953763247198</v>
      </c>
    </row>
    <row r="39" customFormat="false" ht="15" hidden="false" customHeight="false" outlineLevel="0" collapsed="false">
      <c r="A39" s="0" t="s">
        <v>144</v>
      </c>
      <c r="B39" s="4" t="n">
        <f aca="false">B38/Assumptions!$B$2-1</f>
        <v>-0.242724464554448</v>
      </c>
    </row>
    <row r="41" customFormat="false" ht="15" hidden="false" customHeight="false" outlineLevel="0" collapsed="false">
      <c r="A41" s="0" t="s">
        <v>145</v>
      </c>
      <c r="B41" s="0" t="n">
        <f aca="false">SUMPRODUCT(-C10:L10/(1+$B$27/100)^C4:L4)</f>
        <v>645.658579187754</v>
      </c>
    </row>
    <row r="42" customFormat="false" ht="15" hidden="false" customHeight="false" outlineLevel="0" collapsed="false">
      <c r="A42" s="0" t="s">
        <v>146</v>
      </c>
      <c r="B42" s="0" t="n">
        <f aca="false">IF(B27&gt;B28,-L10*(1+B28/100)/((B27-B28)/100),-L10*20)/(1+B27/100)^L4</f>
        <v>950.734733469856</v>
      </c>
    </row>
    <row r="43" customFormat="false" ht="15" hidden="false" customHeight="false" outlineLevel="0" collapsed="false">
      <c r="A43" s="0" t="s">
        <v>147</v>
      </c>
      <c r="B43" s="0" t="n">
        <f aca="false">(B37+B41+B42)/Assumptions!$B$3*Assumptions!$B$10</f>
        <v>191.890766760205</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12230.7841638801</v>
      </c>
    </row>
    <row r="47" customFormat="false" ht="15" hidden="false" customHeight="false" outlineLevel="0" collapsed="false">
      <c r="A47" s="0" t="s">
        <v>149</v>
      </c>
      <c r="B47" s="0" t="n">
        <f aca="false">(SUMPRODUCT(C19:L19/(1+B45/100)^C4:L4)+B46/(1+B45/100)^L4+Assumptions!$B$5-Assumptions!$B$4)/Assumptions!$B$3*Assumptions!$B$10</f>
        <v>65.4577507487485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94.4065516964932</v>
      </c>
      <c r="C4" s="0" t="n">
        <f aca="false">B4/Assumptions!$B$2-1</f>
        <v>-0.589018537736741</v>
      </c>
      <c r="D4" s="4" t="n">
        <f aca="false">Assumptions!$B$24</f>
        <v>0.25</v>
      </c>
      <c r="E4" s="4" t="n">
        <f aca="false">DCF_Bear!$B$43</f>
        <v>107.377924561784</v>
      </c>
      <c r="F4" s="4" t="n">
        <f aca="false">DCF_Bear!$B$47</f>
        <v>26.4053318150218</v>
      </c>
    </row>
    <row r="5" customFormat="false" ht="15" hidden="false" customHeight="false" outlineLevel="0" collapsed="false">
      <c r="A5" s="0" t="s">
        <v>158</v>
      </c>
      <c r="B5" s="4" t="n">
        <f aca="false">DCF_Base!$B$38</f>
        <v>135.782643223563</v>
      </c>
      <c r="C5" s="0" t="n">
        <f aca="false">B5/Assumptions!$B$2-1</f>
        <v>-0.408895375806179</v>
      </c>
      <c r="D5" s="4" t="n">
        <f aca="false">Assumptions!$B$38</f>
        <v>0.5</v>
      </c>
      <c r="E5" s="4" t="n">
        <f aca="false">DCF_Base!$B$43</f>
        <v>151.712989981127</v>
      </c>
      <c r="F5" s="4" t="n">
        <f aca="false">DCF_Base!$B$47</f>
        <v>46.9190044095778</v>
      </c>
    </row>
    <row r="6" customFormat="false" ht="15" hidden="false" customHeight="false" outlineLevel="0" collapsed="false">
      <c r="A6" s="0" t="s">
        <v>159</v>
      </c>
      <c r="B6" s="4" t="n">
        <f aca="false">DCF_Bull!$B$38</f>
        <v>173.953763247198</v>
      </c>
      <c r="C6" s="0" t="n">
        <f aca="false">B6/Assumptions!$B$2-1</f>
        <v>-0.242724464554448</v>
      </c>
      <c r="D6" s="4" t="n">
        <f aca="false">Assumptions!$B$52</f>
        <v>0.25</v>
      </c>
      <c r="E6" s="4" t="n">
        <f aca="false">DCF_Bull!$B$43</f>
        <v>191.890766760205</v>
      </c>
      <c r="F6" s="4" t="n">
        <f aca="false">DCF_Bull!$B$47</f>
        <v>65.4577507487485</v>
      </c>
    </row>
    <row r="8" customFormat="false" ht="15" hidden="false" customHeight="false" outlineLevel="0" collapsed="false">
      <c r="A8" s="0" t="s">
        <v>160</v>
      </c>
      <c r="B8" s="0" t="n">
        <f aca="false">SUMPRODUCT(B4:B6,D4:D6)</f>
        <v>134.981400347704</v>
      </c>
    </row>
    <row r="9" customFormat="false" ht="15" hidden="false" customHeight="false" outlineLevel="0" collapsed="false">
      <c r="A9" s="0" t="s">
        <v>161</v>
      </c>
      <c r="B9" s="0" t="n">
        <f aca="false">SUMPRODUCT(E4:E6,D4:D6)</f>
        <v>150.67366782106</v>
      </c>
    </row>
    <row r="10" customFormat="false" ht="15" hidden="false" customHeight="false" outlineLevel="0" collapsed="false">
      <c r="A10" s="0" t="s">
        <v>162</v>
      </c>
      <c r="B10" s="0" t="n">
        <f aca="false">1-Assumptions!$B$2/B8</f>
        <v>-0.701790020019652</v>
      </c>
    </row>
    <row r="11" customFormat="false" ht="15" hidden="false" customHeight="false" outlineLevel="0" collapsed="false">
      <c r="A11" s="0" t="s">
        <v>163</v>
      </c>
      <c r="B11" s="0" t="n">
        <f aca="false">IF(ABS(B9-B8)&gt;0.01*ABS(B8),(Assumptions!$B$2-B8)/(B9-B8)*100,"n/a")</f>
        <v>603.664192017719</v>
      </c>
    </row>
    <row r="12" customFormat="false" ht="15" hidden="false" customHeight="false" outlineLevel="0" collapsed="false">
      <c r="A12" s="0" t="s">
        <v>164</v>
      </c>
      <c r="B12" s="0" t="n">
        <f aca="false">SUMPRODUCT(F4:F6,D4:D6)</f>
        <v>46.4252728457315</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135.782643223563</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121.394860611502</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101.232369015734</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85.5473799524459</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72.9967711883378</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46.9190044095778</v>
      </c>
      <c r="C20" s="3" t="n">
        <v>15</v>
      </c>
    </row>
    <row r="22" customFormat="false" ht="15" hidden="false" customHeight="false" outlineLevel="0" collapsed="false">
      <c r="A22" s="2" t="s">
        <v>173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163.270862620836</v>
      </c>
      <c r="C24" s="0" t="n">
        <f aca="false">(SUMPRODUCT(DCF_Base!$C$19:$L$19/(1+$A$24/100)^DCF_Base!$C$4:$L$4)+MAX(0,MIN(IF($A$24&gt;$C$23,DCF_Base!$L$19*(1+$C$23/100)/(($A$24-$C$23)/100),DCF_Base!$L$19*DCF_Base!$B$29),DCF_Base!$L$19*DCF_Base!$B$29))/(1+$A$24/100)^DCF_Base!$L$4+Assumptions!$B$5-Assumptions!$B$4)/Assumptions!$B$3*Assumptions!$B$10</f>
        <v>163.270862620836</v>
      </c>
      <c r="D24" s="0" t="n">
        <f aca="false">(SUMPRODUCT(DCF_Base!$C$19:$L$19/(1+$A$24/100)^DCF_Base!$C$4:$L$4)+MAX(0,MIN(IF($A$24&gt;$D$23,DCF_Base!$L$19*(1+$D$23/100)/(($A$24-$D$23)/100),DCF_Base!$L$19*DCF_Base!$B$29),DCF_Base!$L$19*DCF_Base!$B$29))/(1+$A$24/100)^DCF_Base!$L$4+Assumptions!$B$5-Assumptions!$B$4)/Assumptions!$B$3*Assumptions!$B$10</f>
        <v>163.270862620836</v>
      </c>
      <c r="E24" s="0" t="n">
        <f aca="false">(SUMPRODUCT(DCF_Base!$C$19:$L$19/(1+$A$24/100)^DCF_Base!$C$4:$L$4)+MAX(0,MIN(IF($A$24&gt;$E$23,DCF_Base!$L$19*(1+$E$23/100)/(($A$24-$E$23)/100),DCF_Base!$L$19*DCF_Base!$B$29),DCF_Base!$L$19*DCF_Base!$B$29))/(1+$A$24/100)^DCF_Base!$L$4+Assumptions!$B$5-Assumptions!$B$4)/Assumptions!$B$3*Assumptions!$B$10</f>
        <v>163.270862620836</v>
      </c>
      <c r="F24" s="0" t="n">
        <f aca="false">(SUMPRODUCT(DCF_Base!$C$19:$L$19/(1+$A$24/100)^DCF_Base!$C$4:$L$4)+MAX(0,MIN(IF($A$24&gt;$F$23,DCF_Base!$L$19*(1+$F$23/100)/(($A$24-$F$23)/100),DCF_Base!$L$19*DCF_Base!$B$29),DCF_Base!$L$19*DCF_Base!$B$29))/(1+$A$24/100)^DCF_Base!$L$4+Assumptions!$B$5-Assumptions!$B$4)/Assumptions!$B$3*Assumptions!$B$10</f>
        <v>163.270862620836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148.88451720939</v>
      </c>
      <c r="C25" s="0" t="n">
        <f aca="false">(SUMPRODUCT(DCF_Base!$C$19:$L$19/(1+$A$25/100)^DCF_Base!$C$4:$L$4)+MAX(0,MIN(IF($A$25&gt;$C$23,DCF_Base!$L$19*(1+$C$23/100)/(($A$25-$C$23)/100),DCF_Base!$L$19*DCF_Base!$B$29),DCF_Base!$L$19*DCF_Base!$B$29))/(1+$A$25/100)^DCF_Base!$L$4+Assumptions!$B$5-Assumptions!$B$4)/Assumptions!$B$3*Assumptions!$B$10</f>
        <v>148.88451720939</v>
      </c>
      <c r="D25" s="0" t="n">
        <f aca="false">(SUMPRODUCT(DCF_Base!$C$19:$L$19/(1+$A$25/100)^DCF_Base!$C$4:$L$4)+MAX(0,MIN(IF($A$25&gt;$D$23,DCF_Base!$L$19*(1+$D$23/100)/(($A$25-$D$23)/100),DCF_Base!$L$19*DCF_Base!$B$29),DCF_Base!$L$19*DCF_Base!$B$29))/(1+$A$25/100)^DCF_Base!$L$4+Assumptions!$B$5-Assumptions!$B$4)/Assumptions!$B$3*Assumptions!$B$10</f>
        <v>148.88451720939</v>
      </c>
      <c r="E25" s="0" t="n">
        <f aca="false">(SUMPRODUCT(DCF_Base!$C$19:$L$19/(1+$A$25/100)^DCF_Base!$C$4:$L$4)+MAX(0,MIN(IF($A$25&gt;$E$23,DCF_Base!$L$19*(1+$E$23/100)/(($A$25-$E$23)/100),DCF_Base!$L$19*DCF_Base!$B$29),DCF_Base!$L$19*DCF_Base!$B$29))/(1+$A$25/100)^DCF_Base!$L$4+Assumptions!$B$5-Assumptions!$B$4)/Assumptions!$B$3*Assumptions!$B$10</f>
        <v>148.88451720939</v>
      </c>
      <c r="F25" s="0" t="n">
        <f aca="false">(SUMPRODUCT(DCF_Base!$C$19:$L$19/(1+$A$25/100)^DCF_Base!$C$4:$L$4)+MAX(0,MIN(IF($A$25&gt;$F$23,DCF_Base!$L$19*(1+$F$23/100)/(($A$25-$F$23)/100),DCF_Base!$L$19*DCF_Base!$B$29),DCF_Base!$L$19*DCF_Base!$B$29))/(1+$A$25/100)^DCF_Base!$L$4+Assumptions!$B$5-Assumptions!$B$4)/Assumptions!$B$3*Assumptions!$B$10</f>
        <v>148.88451720939</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132.213858632155</v>
      </c>
      <c r="C26" s="0" t="n">
        <f aca="false">(SUMPRODUCT(DCF_Base!$C$19:$L$19/(1+$A$26/100)^DCF_Base!$C$4:$L$4)+MAX(0,MIN(IF($A$26&gt;$C$23,DCF_Base!$L$19*(1+$C$23/100)/(($A$26-$C$23)/100),DCF_Base!$L$19*DCF_Base!$B$29),DCF_Base!$L$19*DCF_Base!$B$29))/(1+$A$26/100)^DCF_Base!$L$4+Assumptions!$B$5-Assumptions!$B$4)/Assumptions!$B$3*Assumptions!$B$10</f>
        <v>135.782643223563</v>
      </c>
      <c r="D26" s="0" t="n">
        <f aca="false">(SUMPRODUCT(DCF_Base!$C$19:$L$19/(1+$A$26/100)^DCF_Base!$C$4:$L$4)+MAX(0,MIN(IF($A$26&gt;$D$23,DCF_Base!$L$19*(1+$D$23/100)/(($A$26-$D$23)/100),DCF_Base!$L$19*DCF_Base!$B$29),DCF_Base!$L$19*DCF_Base!$B$29))/(1+$A$26/100)^DCF_Base!$L$4+Assumptions!$B$5-Assumptions!$B$4)/Assumptions!$B$3*Assumptions!$B$10</f>
        <v>135.782643223563</v>
      </c>
      <c r="E26" s="0" t="n">
        <f aca="false">(SUMPRODUCT(DCF_Base!$C$19:$L$19/(1+$A$26/100)^DCF_Base!$C$4:$L$4)+MAX(0,MIN(IF($A$26&gt;$E$23,DCF_Base!$L$19*(1+$E$23/100)/(($A$26-$E$23)/100),DCF_Base!$L$19*DCF_Base!$B$29),DCF_Base!$L$19*DCF_Base!$B$29))/(1+$A$26/100)^DCF_Base!$L$4+Assumptions!$B$5-Assumptions!$B$4)/Assumptions!$B$3*Assumptions!$B$10</f>
        <v>135.782643223563</v>
      </c>
      <c r="F26" s="0" t="n">
        <f aca="false">(SUMPRODUCT(DCF_Base!$C$19:$L$19/(1+$A$26/100)^DCF_Base!$C$4:$L$4)+MAX(0,MIN(IF($A$26&gt;$F$23,DCF_Base!$L$19*(1+$F$23/100)/(($A$26-$F$23)/100),DCF_Base!$L$19*DCF_Base!$B$29),DCF_Base!$L$19*DCF_Base!$B$29))/(1+$A$26/100)^DCF_Base!$L$4+Assumptions!$B$5-Assumptions!$B$4)/Assumptions!$B$3*Assumptions!$B$10</f>
        <v>135.782643223563</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110.308999577838</v>
      </c>
      <c r="C27" s="0" t="n">
        <f aca="false">(SUMPRODUCT(DCF_Base!$C$19:$L$19/(1+$A$27/100)^DCF_Base!$C$4:$L$4)+MAX(0,MIN(IF($A$27&gt;$C$23,DCF_Base!$L$19*(1+$C$23/100)/(($A$27-$C$23)/100),DCF_Base!$L$19*DCF_Base!$B$29),DCF_Base!$L$19*DCF_Base!$B$29))/(1+$A$27/100)^DCF_Base!$L$4+Assumptions!$B$5-Assumptions!$B$4)/Assumptions!$B$3*Assumptions!$B$10</f>
        <v>115.482401393548</v>
      </c>
      <c r="D27" s="0" t="n">
        <f aca="false">(SUMPRODUCT(DCF_Base!$C$19:$L$19/(1+$A$27/100)^DCF_Base!$C$4:$L$4)+MAX(0,MIN(IF($A$27&gt;$D$23,DCF_Base!$L$19*(1+$D$23/100)/(($A$27-$D$23)/100),DCF_Base!$L$19*DCF_Base!$B$29),DCF_Base!$L$19*DCF_Base!$B$29))/(1+$A$27/100)^DCF_Base!$L$4+Assumptions!$B$5-Assumptions!$B$4)/Assumptions!$B$3*Assumptions!$B$10</f>
        <v>121.394860611502</v>
      </c>
      <c r="E27" s="0" t="n">
        <f aca="false">(SUMPRODUCT(DCF_Base!$C$19:$L$19/(1+$A$27/100)^DCF_Base!$C$4:$L$4)+MAX(0,MIN(IF($A$27&gt;$E$23,DCF_Base!$L$19*(1+$E$23/100)/(($A$27-$E$23)/100),DCF_Base!$L$19*DCF_Base!$B$29),DCF_Base!$L$19*DCF_Base!$B$29))/(1+$A$27/100)^DCF_Base!$L$4+Assumptions!$B$5-Assumptions!$B$4)/Assumptions!$B$3*Assumptions!$B$10</f>
        <v>123.83578414185</v>
      </c>
      <c r="F27" s="0" t="n">
        <f aca="false">(SUMPRODUCT(DCF_Base!$C$19:$L$19/(1+$A$27/100)^DCF_Base!$C$4:$L$4)+MAX(0,MIN(IF($A$27&gt;$F$23,DCF_Base!$L$19*(1+$F$23/100)/(($A$27-$F$23)/100),DCF_Base!$L$19*DCF_Base!$B$29),DCF_Base!$L$19*DCF_Base!$B$29))/(1+$A$27/100)^DCF_Base!$L$4+Assumptions!$B$5-Assumptions!$B$4)/Assumptions!$B$3*Assumptions!$B$10</f>
        <v>123.83578414185</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93.2903801141977</v>
      </c>
      <c r="C28" s="0" t="n">
        <f aca="false">(SUMPRODUCT(DCF_Base!$C$19:$L$19/(1+$A$28/100)^DCF_Base!$C$4:$L$4)+MAX(0,MIN(IF($A$28&gt;$C$23,DCF_Base!$L$19*(1+$C$23/100)/(($A$28-$C$23)/100),DCF_Base!$L$19*DCF_Base!$B$29),DCF_Base!$L$19*DCF_Base!$B$29))/(1+$A$28/100)^DCF_Base!$L$4+Assumptions!$B$5-Assumptions!$B$4)/Assumptions!$B$3*Assumptions!$B$10</f>
        <v>97.0277866560971</v>
      </c>
      <c r="D28" s="0" t="n">
        <f aca="false">(SUMPRODUCT(DCF_Base!$C$19:$L$19/(1+$A$28/100)^DCF_Base!$C$4:$L$4)+MAX(0,MIN(IF($A$28&gt;$D$23,DCF_Base!$L$19*(1+$D$23/100)/(($A$28-$D$23)/100),DCF_Base!$L$19*DCF_Base!$B$29),DCF_Base!$L$19*DCF_Base!$B$29))/(1+$A$28/100)^DCF_Base!$L$4+Assumptions!$B$5-Assumptions!$B$4)/Assumptions!$B$3*Assumptions!$B$10</f>
        <v>101.232369015734</v>
      </c>
      <c r="E28" s="0" t="n">
        <f aca="false">(SUMPRODUCT(DCF_Base!$C$19:$L$19/(1+$A$28/100)^DCF_Base!$C$4:$L$4)+MAX(0,MIN(IF($A$28&gt;$E$23,DCF_Base!$L$19*(1+$E$23/100)/(($A$28-$E$23)/100),DCF_Base!$L$19*DCF_Base!$B$29),DCF_Base!$L$19*DCF_Base!$B$29))/(1+$A$28/100)^DCF_Base!$L$4+Assumptions!$B$5-Assumptions!$B$4)/Assumptions!$B$3*Assumptions!$B$10</f>
        <v>105.997562356656</v>
      </c>
      <c r="F28" s="0" t="n">
        <f aca="false">(SUMPRODUCT(DCF_Base!$C$19:$L$19/(1+$A$28/100)^DCF_Base!$C$4:$L$4)+MAX(0,MIN(IF($A$28&gt;$F$23,DCF_Base!$L$19*(1+$F$23/100)/(($A$28-$F$23)/100),DCF_Base!$L$19*DCF_Base!$B$29),DCF_Base!$L$19*DCF_Base!$B$29))/(1+$A$28/100)^DCF_Base!$L$4+Assumptions!$B$5-Assumptions!$B$4)/Assumptions!$B$3*Assumptions!$B$10</f>
        <v>111.443497603423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2026-10-02T07:16:20Z</dcterms:created>
  <dc:creator>openpyxl</dc:creator>
  <dc:description/>
  <dc:language>en-NZ</dc:language>
  <cp:lastModifiedBy/>
  <dcterms:modified xsi:type="dcterms:W3CDTF">2026-10-02T07:16:20Z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