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<sst xmlns="http://schemas.openxmlformats.org/spreadsheetml/2006/main" count="363" uniqueCount="166">
  <si>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</si>
  <si>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SJ.TO</t>
  </si>
  <si>
    <t xml:space="preserve">Company</t>
  </si>
  <si>
    <t xml:space="preserve">Stella-Jones Inc.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</si>
  <si>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</si>
  <si>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</si>
  <si>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</si>
  <si>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</si>
  <si>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</si>
  <si>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</si>
  <si>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</si>
  <si>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</si>
  <si>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</si>
  <si>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</si>
  <si>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</si>
  <si>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</si>
  <si>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</si>
  <si>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</si>
  <si>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</si>
  <si>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</si>
  <si>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</si>
  <si>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2026-10-10T10:43:41Z</t>
  </si>
  <si>
    <t xml:space="preserve">Drivers file</t>
  </si>
  <si>
    <t xml:space="preserve">SJ.TO_Drivers.json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</si>
  <si>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</si>
  <si>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</si>
  <si>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</si>
  <si>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Stella-Jones is a maintenance-replacement infrastructure supplier with a cyclical tail (residential lumber, pole pricing). Value rests on whether the FY2023-25 ~18% EBITDA margin is the new normal or a pricing peak; the base case accepts management's recovery to only the bottom of its 17.5-18.5% range, and the bear case prices a reversion toward the pre-2023 mid-teens. Working capital is a real growth cost (inventory ~43% of sales), so reported FCF in release years overstates the run-rate.
key_risks_to_valuation: Class-1 railway tie renewals in 2026-27 and further railroad insourcing of tie treatment (CPKC precedent); Utility pole spot-price normalization eroding the post-2023 margin step-up; Margin recovery to 17.5% by 2028 depends on cost recovery through pricing mechanisms and network optimization; Residential lumber price and demand cyclicality; Execution on the Fayetteville steel greenfield and Candiac expansion; Inventory-driven working-capital swings make any single year's FCF unrepresentative; USD/CAD translation: ~76% of sales and most debt are USD</t>
  </si>
  <si>
    <t xml:space="preserve">Data sources</t>
  </si>
  <si>
    <t xml:space="preserve">price: Yahoo Finance chart API at inputs.price_as_of (regular close); 52-week range 63.58-101.31, the price sits at the bottom of the range after the Q2-2026 margin warning
financials: SJ.TO_Metrics.csv / core_metrics (FY2015-H1 2026); FY2025 annual report and financial statements (EBITDA, insurance gain, D&amp;A and ROU depreciation, lease principal and interest, taxes paid, SBC note); Q2-2026 MD&amp;A and interim statements (balance sheet at 2026-06-30, adjusted EBITDA, impairment and restructuring, buybacks); Q2-2026 shareholder report (share count 2026-08-04, CEO margin outlook)
qualitative: SJ.TO_Analysis.json (segments, moat, risks, 2026-2028 objectives from the November 2025 investor day)</t>
  </si>
  <si>
    <t xml:space="preserve">Scenario narrative: bear</t>
  </si>
  <si>
    <t xml:space="preserve">Peak-margin unwind: pole pricing normalizes further, rail insourcing spreads beyond CPKC and the 2026-27 renewals reprice, residential lumber stays weak; margin settles at 15.5% on near-flat sales.</t>
  </si>
  <si>
    <t xml:space="preserve">Scenario narrative: base</t>
  </si>
  <si>
    <t xml:space="preserve">Utility-led mid-single-digit growth offset by a shrinking rail-tie book and flat residential lumber; FY2026 adjusted EBITDA margin ~16.8% (management: below 17.5%), back to 17.5% by 2028 and held at the bottom of the target range. Sales reach ~C$3.9bn in 2028, short of the ~C$4bn objective.</t>
  </si>
  <si>
    <t xml:space="preserve">Scenario narrative: bull</t>
  </si>
  <si>
    <t xml:space="preserve">The 2026-2028 objectives are met in full: ~C$4bn sales in 2028, margin at 18.5% as network optimization, pricing pass-through and the steel structures ramp (Candiac, Fayetteville) land, and the 2026 Class-1 tie renewals hold volume.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</si>
  <si>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</si>
  <si>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</si>
  <si>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</si>
  <si>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</si>
  <si>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</si>
  <si>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</si>
  <si>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</si>
  <si>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</si>
  <si>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</si>
  <si>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</si>
  <si>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</si>
  <si>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</si>
  <si>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</si>
  <si>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</si>
  <si>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</si>
  <si>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</si>
  <si>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</si>
  <si>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</si>
  <si>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</si>
  <si>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</si>
  <si>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</si>
  <si>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</si>
  <si>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</si>
  <si>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</si>
  <si>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</si>
  <si>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</si>
  <si>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</si>
  <si>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</si>
  <si>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</si>
  <si>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</si>
  <si>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</si>
  <si>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</si>
  <si>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</si>
  <si>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</si>
  <si>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</si>
  <si>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</si>
  <si>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</si>
  <si>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</si>
  <si>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</si>
  <si>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</si>
  <si>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</si>
  <si>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</si>
  <si>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</si>
  <si>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</si>
  <si>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</si>
  <si>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</si>
  <si>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</si>
  <si>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</si>
  <si>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</si>
  <si>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</si>
  <si>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</si>
  <si>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</si>
  <si>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</si>
  <si>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</si>
  <si>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</si>
  <si>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</si>
  <si>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</si>
  <si>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</si>
  <si>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</si>
  <si>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</si>
  <si>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</si>
  <si>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</si>
  <si>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</si>
  <si>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</si>
  <si>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</si>
  <si>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</si>
  <si>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</si>
  <si>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</si>
  <si>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</si>
  <si>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</si>
  <si>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</si>
  <si>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</si>
  <si>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</si>
  <si>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</si>
  <si>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</si>
  <si>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SJ.TO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</si>
  <si>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</si>
  <si>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</si>
  <si>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</si>
  <si>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</si>
  <si>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</si>
  <si>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</si>
  <si>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</si>
  <si>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</si>
  <si>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</si>
  <si>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</si>
  <si>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</si>
  <si>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</si>
  <si>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</si>
  <si>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</si>
  <si>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</si>
  <si>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</si>
  <si>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</si>
  <si>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</si>
  <si>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</si>
  <si>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</si>
  <si>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</si>
  <si>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</si>
  <si>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</si>
  <si>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</si>
  <si>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</si>
  <si>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</si>
  <si>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</si>
  <si>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</si>
  <si>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</si>
  <si>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</si>
  <si>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SJ.TO owner-FCF component DCF: base case (millions, CAD)</t>
  </si>
  <si>
    <t xml:space="preserve">SJ.TO owner-FCF component DCF: bull case (millions, CAD)</t>
  </si>
  <si>
    <t xml:space="preserve">SJ.TO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</si>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</sst>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1559.3</v>
      </c>
      <c r="F2" s="0" t="n">
        <v>220.1</v>
      </c>
      <c r="G2" s="0" t="n">
        <v>14.1</v>
      </c>
      <c r="H2" s="0" t="n">
        <v>243.4</v>
      </c>
      <c r="I2" s="0" t="n">
        <v>141.4</v>
      </c>
      <c r="J2" s="0" t="n">
        <v>9.1</v>
      </c>
      <c r="K2" s="0" t="n">
        <v>2.04</v>
      </c>
      <c r="T2" s="0" t="n">
        <v>69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1838.4</v>
      </c>
      <c r="C3" s="0" t="n">
        <v>1504.7</v>
      </c>
      <c r="D3" s="0" t="n">
        <v>333.7</v>
      </c>
      <c r="E3" s="0" t="n">
        <v>18.2</v>
      </c>
      <c r="F3" s="0" t="n">
        <v>233.2</v>
      </c>
      <c r="G3" s="0" t="n">
        <v>12.7</v>
      </c>
      <c r="H3" s="0" t="n">
        <v>264.8</v>
      </c>
      <c r="I3" s="0" t="n">
        <v>153.9</v>
      </c>
      <c r="J3" s="0" t="n">
        <v>8.4</v>
      </c>
      <c r="K3" s="0" t="n">
        <v>2.22</v>
      </c>
      <c r="L3" s="0" t="n">
        <v>181.8</v>
      </c>
      <c r="M3" s="0" t="n">
        <v>63.2</v>
      </c>
      <c r="N3" s="0" t="n">
        <v>118.6</v>
      </c>
      <c r="O3" s="0" t="n">
        <v>1026.4</v>
      </c>
      <c r="P3" s="0" t="n">
        <v>1960.9</v>
      </c>
      <c r="Q3" s="0" t="n">
        <v>935.5</v>
      </c>
      <c r="R3" s="0" t="n">
        <v>694.4</v>
      </c>
      <c r="S3" s="0" t="n">
        <v>3.7</v>
      </c>
      <c r="T3" s="0" t="n">
        <v>69.2</v>
      </c>
      <c r="U3" s="0" t="n">
        <v>5.5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1886.1</v>
      </c>
      <c r="C4" s="0" t="n">
        <v>1586.2</v>
      </c>
      <c r="D4" s="0" t="n">
        <v>299.9</v>
      </c>
      <c r="E4" s="0" t="n">
        <v>15.9</v>
      </c>
      <c r="F4" s="0" t="n">
        <v>207.4</v>
      </c>
      <c r="G4" s="0" t="n">
        <v>11</v>
      </c>
      <c r="H4" s="0" t="n">
        <v>243.1</v>
      </c>
      <c r="I4" s="0" t="n">
        <v>167.9</v>
      </c>
      <c r="J4" s="0" t="n">
        <v>8.9</v>
      </c>
      <c r="K4" s="0" t="n">
        <v>2.42</v>
      </c>
      <c r="L4" s="0" t="n">
        <v>301.1</v>
      </c>
      <c r="M4" s="0" t="n">
        <v>52.2</v>
      </c>
      <c r="N4" s="0" t="n">
        <v>248.9</v>
      </c>
      <c r="O4" s="0" t="n">
        <v>1115.5</v>
      </c>
      <c r="P4" s="0" t="n">
        <v>1786</v>
      </c>
      <c r="Q4" s="0" t="n">
        <v>670.4</v>
      </c>
      <c r="R4" s="0" t="n">
        <v>455.6</v>
      </c>
      <c r="S4" s="0" t="n">
        <v>6.4</v>
      </c>
      <c r="T4" s="0" t="n">
        <v>69.3</v>
      </c>
      <c r="U4" s="0" t="n">
        <v>4.5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2123.9</v>
      </c>
      <c r="C5" s="0" t="n">
        <v>1795.9</v>
      </c>
      <c r="D5" s="0" t="n">
        <v>328</v>
      </c>
      <c r="E5" s="0" t="n">
        <v>15.4</v>
      </c>
      <c r="F5" s="0" t="n">
        <v>206.3</v>
      </c>
      <c r="G5" s="0" t="n">
        <v>9.7</v>
      </c>
      <c r="H5" s="0" t="n">
        <v>244.4</v>
      </c>
      <c r="I5" s="0" t="n">
        <v>137.6</v>
      </c>
      <c r="J5" s="0" t="n">
        <v>6.5</v>
      </c>
      <c r="K5" s="0" t="n">
        <v>1.98</v>
      </c>
      <c r="L5" s="0" t="n">
        <v>128.1</v>
      </c>
      <c r="M5" s="0" t="n">
        <v>51.6</v>
      </c>
      <c r="N5" s="0" t="n">
        <v>76.5</v>
      </c>
      <c r="O5" s="0" t="n">
        <v>1281.4</v>
      </c>
      <c r="P5" s="0" t="n">
        <v>2062.2</v>
      </c>
      <c r="Q5" s="0" t="n">
        <v>780.8</v>
      </c>
      <c r="R5" s="0" t="n">
        <v>513.5</v>
      </c>
      <c r="S5" s="0" t="n">
        <v>0</v>
      </c>
      <c r="T5" s="0" t="n">
        <v>69.4</v>
      </c>
      <c r="U5" s="0" t="n">
        <v>7.2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2169</v>
      </c>
      <c r="C6" s="0" t="n">
        <v>1810.5</v>
      </c>
      <c r="D6" s="0" t="n">
        <v>358.5</v>
      </c>
      <c r="E6" s="0" t="n">
        <v>16.5</v>
      </c>
      <c r="F6" s="0" t="n">
        <v>242.3</v>
      </c>
      <c r="G6" s="0" t="n">
        <v>11.2</v>
      </c>
      <c r="H6" s="0" t="n">
        <v>312.9</v>
      </c>
      <c r="I6" s="0" t="n">
        <v>163.1</v>
      </c>
      <c r="J6" s="0" t="n">
        <v>7.5</v>
      </c>
      <c r="K6" s="0" t="n">
        <v>2.37</v>
      </c>
      <c r="L6" s="0" t="n">
        <v>89.9</v>
      </c>
      <c r="M6" s="0" t="n">
        <v>65.8</v>
      </c>
      <c r="N6" s="0" t="n">
        <v>24.1</v>
      </c>
      <c r="O6" s="0" t="n">
        <v>1288.3</v>
      </c>
      <c r="P6" s="0" t="n">
        <v>2281.1</v>
      </c>
      <c r="Q6" s="0" t="n">
        <v>992.8</v>
      </c>
      <c r="R6" s="0" t="n">
        <v>604.9</v>
      </c>
      <c r="S6" s="0" t="n">
        <v>0</v>
      </c>
      <c r="T6" s="0" t="n">
        <v>68.8</v>
      </c>
      <c r="U6" s="0" t="n">
        <v>2.6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2551</v>
      </c>
      <c r="C7" s="0" t="n">
        <v>2105</v>
      </c>
      <c r="D7" s="0" t="n">
        <v>446</v>
      </c>
      <c r="E7" s="0" t="n">
        <v>17.5</v>
      </c>
      <c r="F7" s="0" t="n">
        <v>309</v>
      </c>
      <c r="G7" s="0" t="n">
        <v>12.1</v>
      </c>
      <c r="H7" s="0" t="n">
        <v>385</v>
      </c>
      <c r="I7" s="0" t="n">
        <v>210</v>
      </c>
      <c r="J7" s="0" t="n">
        <v>8.2</v>
      </c>
      <c r="K7" s="0" t="n">
        <v>3.12</v>
      </c>
      <c r="L7" s="0" t="n">
        <v>178</v>
      </c>
      <c r="M7" s="0" t="n">
        <v>42</v>
      </c>
      <c r="N7" s="0" t="n">
        <v>136</v>
      </c>
      <c r="O7" s="0" t="n">
        <v>1373</v>
      </c>
      <c r="P7" s="0" t="n">
        <v>2426</v>
      </c>
      <c r="Q7" s="0" t="n">
        <v>1053</v>
      </c>
      <c r="R7" s="0" t="n">
        <v>606</v>
      </c>
      <c r="S7" s="0" t="n">
        <v>0</v>
      </c>
      <c r="T7" s="0" t="n">
        <v>67.3</v>
      </c>
      <c r="U7" s="0" t="n">
        <v>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2750</v>
      </c>
      <c r="C8" s="0" t="n">
        <v>2294</v>
      </c>
      <c r="D8" s="0" t="n">
        <v>456</v>
      </c>
      <c r="E8" s="0" t="n">
        <v>16.6</v>
      </c>
      <c r="F8" s="0" t="n">
        <v>326</v>
      </c>
      <c r="G8" s="0" t="n">
        <v>11.9</v>
      </c>
      <c r="H8" s="0" t="n">
        <v>400</v>
      </c>
      <c r="I8" s="0" t="n">
        <v>227</v>
      </c>
      <c r="J8" s="0" t="n">
        <v>8.3</v>
      </c>
      <c r="K8" s="0" t="n">
        <v>3.49</v>
      </c>
      <c r="L8" s="0" t="n">
        <v>251</v>
      </c>
      <c r="M8" s="0" t="n">
        <v>48</v>
      </c>
      <c r="N8" s="0" t="n">
        <v>203</v>
      </c>
      <c r="O8" s="0" t="n">
        <v>1448</v>
      </c>
      <c r="P8" s="0" t="n">
        <v>2665</v>
      </c>
      <c r="Q8" s="0" t="n">
        <v>1217</v>
      </c>
      <c r="R8" s="0" t="n">
        <v>734</v>
      </c>
      <c r="S8" s="0" t="n">
        <v>0</v>
      </c>
      <c r="T8" s="0" t="n">
        <v>65</v>
      </c>
      <c r="U8" s="0" t="n">
        <v>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3065</v>
      </c>
      <c r="C9" s="0" t="n">
        <v>2541</v>
      </c>
      <c r="D9" s="0" t="n">
        <v>524</v>
      </c>
      <c r="E9" s="0" t="n">
        <v>17.1</v>
      </c>
      <c r="F9" s="0" t="n">
        <v>359</v>
      </c>
      <c r="G9" s="0" t="n">
        <v>11.7</v>
      </c>
      <c r="H9" s="0" t="n">
        <v>448</v>
      </c>
      <c r="I9" s="0" t="n">
        <v>241</v>
      </c>
      <c r="J9" s="0" t="n">
        <v>7.9</v>
      </c>
      <c r="K9" s="0" t="n">
        <v>3.93</v>
      </c>
      <c r="L9" s="0" t="n">
        <v>255</v>
      </c>
      <c r="M9" s="0" t="n">
        <v>97</v>
      </c>
      <c r="N9" s="0" t="n">
        <v>158</v>
      </c>
      <c r="O9" s="0" t="n">
        <v>1557</v>
      </c>
      <c r="P9" s="0" t="n">
        <v>3073</v>
      </c>
      <c r="Q9" s="0" t="n">
        <v>1516</v>
      </c>
      <c r="R9" s="0" t="n">
        <v>941</v>
      </c>
      <c r="S9" s="0" t="n">
        <v>0</v>
      </c>
      <c r="T9" s="0" t="n">
        <v>61.4</v>
      </c>
      <c r="U9" s="0" t="n">
        <v>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3319</v>
      </c>
      <c r="C10" s="0" t="n">
        <v>2631</v>
      </c>
      <c r="D10" s="0" t="n">
        <v>688</v>
      </c>
      <c r="E10" s="0" t="n">
        <v>20.7</v>
      </c>
      <c r="F10" s="0" t="n">
        <v>499</v>
      </c>
      <c r="G10" s="0" t="n">
        <v>15</v>
      </c>
      <c r="H10" s="0" t="n">
        <v>608</v>
      </c>
      <c r="I10" s="0" t="n">
        <v>326</v>
      </c>
      <c r="J10" s="0" t="n">
        <v>9.8</v>
      </c>
      <c r="K10" s="0" t="n">
        <v>5.62</v>
      </c>
      <c r="L10" s="0" t="n">
        <v>107</v>
      </c>
      <c r="M10" s="0" t="n">
        <v>155</v>
      </c>
      <c r="N10" s="0" t="n">
        <v>-48</v>
      </c>
      <c r="O10" s="0" t="n">
        <v>1652</v>
      </c>
      <c r="P10" s="0" t="n">
        <v>3708</v>
      </c>
      <c r="Q10" s="0" t="n">
        <v>2056</v>
      </c>
      <c r="R10" s="0" t="n">
        <v>1316</v>
      </c>
      <c r="S10" s="0" t="n">
        <v>0</v>
      </c>
      <c r="T10" s="0" t="n">
        <v>58</v>
      </c>
      <c r="U10" s="0" t="n">
        <v>13</v>
      </c>
      <c r="V10" s="0" t="n">
        <v>0.92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3469</v>
      </c>
      <c r="C11" s="0" t="n">
        <v>2745</v>
      </c>
      <c r="D11" s="0" t="n">
        <v>724</v>
      </c>
      <c r="E11" s="0" t="n">
        <v>20.9</v>
      </c>
      <c r="F11" s="0" t="n">
        <v>503</v>
      </c>
      <c r="G11" s="0" t="n">
        <v>14.5</v>
      </c>
      <c r="H11" s="0" t="n">
        <v>633</v>
      </c>
      <c r="I11" s="0" t="n">
        <v>319</v>
      </c>
      <c r="J11" s="0" t="n">
        <v>9.2</v>
      </c>
      <c r="K11" s="0" t="n">
        <v>5.66</v>
      </c>
      <c r="L11" s="0" t="n">
        <v>408</v>
      </c>
      <c r="M11" s="0" t="n">
        <v>132</v>
      </c>
      <c r="N11" s="0" t="n">
        <v>276</v>
      </c>
      <c r="O11" s="0" t="n">
        <v>1941</v>
      </c>
      <c r="P11" s="0" t="n">
        <v>4103</v>
      </c>
      <c r="Q11" s="0" t="n">
        <v>2162</v>
      </c>
      <c r="R11" s="0" t="n">
        <v>1380</v>
      </c>
      <c r="S11" s="0" t="n">
        <v>50</v>
      </c>
      <c r="T11" s="0" t="n">
        <v>56.4</v>
      </c>
      <c r="U11" s="0" t="n">
        <v>14</v>
      </c>
      <c r="V11" s="0" t="n">
        <v>1.12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3492</v>
      </c>
      <c r="C12" s="0" t="n">
        <v>2787</v>
      </c>
      <c r="D12" s="0" t="n">
        <v>705</v>
      </c>
      <c r="E12" s="0" t="n">
        <v>20.2</v>
      </c>
      <c r="F12" s="0" t="n">
        <v>516</v>
      </c>
      <c r="G12" s="0" t="n">
        <v>14.8</v>
      </c>
      <c r="H12" s="0" t="n">
        <v>661</v>
      </c>
      <c r="I12" s="0" t="n">
        <v>337</v>
      </c>
      <c r="J12" s="0" t="n">
        <v>9.7</v>
      </c>
      <c r="K12" s="0" t="n">
        <v>6.09</v>
      </c>
      <c r="L12" s="0" t="n">
        <v>557</v>
      </c>
      <c r="M12" s="0" t="n">
        <v>103</v>
      </c>
      <c r="N12" s="0" t="n">
        <v>454</v>
      </c>
      <c r="O12" s="0" t="n">
        <v>2039</v>
      </c>
      <c r="P12" s="0" t="n">
        <v>4117</v>
      </c>
      <c r="Q12" s="0" t="n">
        <v>2078</v>
      </c>
      <c r="R12" s="0" t="n">
        <v>1339</v>
      </c>
      <c r="S12" s="0" t="n">
        <v>44</v>
      </c>
      <c r="T12" s="0" t="n">
        <v>55.3</v>
      </c>
      <c r="U12" s="0" t="n">
        <v>14</v>
      </c>
      <c r="V12" s="0" t="n">
        <v>1.24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65</v>
      </c>
    </row>
    <row r="3" customFormat="false" ht="15" hidden="false" customHeight="false" outlineLevel="0" collapsed="false">
      <c r="A3" s="0" t="s">
        <v>77</v>
      </c>
      <c r="B3" s="3" t="n">
        <v>54.57</v>
      </c>
    </row>
    <row r="4" customFormat="false" ht="15" hidden="false" customHeight="false" outlineLevel="0" collapsed="false">
      <c r="A4" s="0" t="s">
        <v>78</v>
      </c>
      <c r="B4" s="3" t="n">
        <v>1208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3492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0.5</v>
      </c>
      <c r="D13" s="3" t="n">
        <v>1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16.4</v>
      </c>
      <c r="D14" s="3" t="n">
        <v>16</v>
      </c>
      <c r="E14" s="3" t="n">
        <v>15.8</v>
      </c>
      <c r="F14" s="3" t="n">
        <v>15.5</v>
      </c>
      <c r="G14" s="3" t="n">
        <v>15.5</v>
      </c>
      <c r="H14" s="3" t="n">
        <v>15.5</v>
      </c>
      <c r="I14" s="3" t="n">
        <v>15.5</v>
      </c>
      <c r="J14" s="3" t="n">
        <v>15.5</v>
      </c>
      <c r="K14" s="3" t="n">
        <v>15.5</v>
      </c>
      <c r="L14" s="3" t="n">
        <v>15.5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2.2</v>
      </c>
      <c r="D16" s="3" t="n">
        <v>2.2</v>
      </c>
      <c r="E16" s="3" t="n">
        <v>2.2</v>
      </c>
      <c r="F16" s="3" t="n">
        <v>2.2</v>
      </c>
      <c r="G16" s="3" t="n">
        <v>2.2</v>
      </c>
      <c r="H16" s="3" t="n">
        <v>2.2</v>
      </c>
      <c r="I16" s="3" t="n">
        <v>2.2</v>
      </c>
      <c r="J16" s="3" t="n">
        <v>2.2</v>
      </c>
      <c r="K16" s="3" t="n">
        <v>2.2</v>
      </c>
      <c r="L16" s="3" t="n">
        <v>2.2</v>
      </c>
    </row>
    <row r="17" customFormat="false" ht="15" hidden="false" customHeight="false" outlineLevel="0" collapsed="false">
      <c r="A17" s="0" t="s">
        <v>101</v>
      </c>
      <c r="C17" s="3" t="n">
        <v>2.5</v>
      </c>
      <c r="D17" s="3" t="n">
        <v>2.5</v>
      </c>
      <c r="E17" s="3" t="n">
        <v>2.5</v>
      </c>
      <c r="F17" s="3" t="n">
        <v>2.4</v>
      </c>
      <c r="G17" s="3" t="n">
        <v>2.4</v>
      </c>
      <c r="H17" s="3" t="n">
        <v>2.4</v>
      </c>
      <c r="I17" s="3" t="n">
        <v>2.4</v>
      </c>
      <c r="J17" s="3" t="n">
        <v>2.4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102</v>
      </c>
      <c r="C18" s="3" t="n">
        <v>4.2</v>
      </c>
      <c r="D18" s="3" t="n">
        <v>3.8</v>
      </c>
      <c r="E18" s="3" t="n">
        <v>3.2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103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104</v>
      </c>
      <c r="B20" s="3" t="n">
        <v>7.5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13</v>
      </c>
    </row>
    <row r="23" customFormat="false" ht="15" hidden="false" customHeight="false" outlineLevel="0" collapsed="false">
      <c r="A23" s="0" t="s">
        <v>107</v>
      </c>
      <c r="B23" s="3" t="n">
        <v>-30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</v>
      </c>
      <c r="D27" s="3" t="n">
        <v>4.5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16.8</v>
      </c>
      <c r="D28" s="3" t="n">
        <v>17.2</v>
      </c>
      <c r="E28" s="3" t="n">
        <v>17.5</v>
      </c>
      <c r="F28" s="3" t="n">
        <v>17.5</v>
      </c>
      <c r="G28" s="3" t="n">
        <v>17.5</v>
      </c>
      <c r="H28" s="3" t="n">
        <v>17.5</v>
      </c>
      <c r="I28" s="3" t="n">
        <v>17.5</v>
      </c>
      <c r="J28" s="3" t="n">
        <v>17.5</v>
      </c>
      <c r="K28" s="3" t="n">
        <v>17.5</v>
      </c>
      <c r="L28" s="3" t="n">
        <v>17.5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2.2</v>
      </c>
      <c r="D30" s="3" t="n">
        <v>2.2</v>
      </c>
      <c r="E30" s="3" t="n">
        <v>2.2</v>
      </c>
      <c r="F30" s="3" t="n">
        <v>2.2</v>
      </c>
      <c r="G30" s="3" t="n">
        <v>2.2</v>
      </c>
      <c r="H30" s="3" t="n">
        <v>2.2</v>
      </c>
      <c r="I30" s="3" t="n">
        <v>2.2</v>
      </c>
      <c r="J30" s="3" t="n">
        <v>2.2</v>
      </c>
      <c r="K30" s="3" t="n">
        <v>2.2</v>
      </c>
      <c r="L30" s="3" t="n">
        <v>2.2</v>
      </c>
    </row>
    <row r="31" customFormat="false" ht="15" hidden="false" customHeight="false" outlineLevel="0" collapsed="false">
      <c r="A31" s="0" t="s">
        <v>101</v>
      </c>
      <c r="C31" s="3" t="n">
        <v>2.5</v>
      </c>
      <c r="D31" s="3" t="n">
        <v>2.5</v>
      </c>
      <c r="E31" s="3" t="n">
        <v>2.5</v>
      </c>
      <c r="F31" s="3" t="n">
        <v>2.4</v>
      </c>
      <c r="G31" s="3" t="n">
        <v>2.4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102</v>
      </c>
      <c r="C32" s="3" t="n">
        <v>4.2</v>
      </c>
      <c r="D32" s="3" t="n">
        <v>4</v>
      </c>
      <c r="E32" s="3" t="n">
        <v>3.4</v>
      </c>
      <c r="F32" s="3" t="n">
        <v>3.2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103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104</v>
      </c>
      <c r="B34" s="3" t="n">
        <v>7.5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-30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</v>
      </c>
      <c r="D41" s="3" t="n">
        <v>6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17</v>
      </c>
      <c r="D42" s="3" t="n">
        <v>17.8</v>
      </c>
      <c r="E42" s="3" t="n">
        <v>18.3</v>
      </c>
      <c r="F42" s="3" t="n">
        <v>18.5</v>
      </c>
      <c r="G42" s="3" t="n">
        <v>18.5</v>
      </c>
      <c r="H42" s="3" t="n">
        <v>18.5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2.2</v>
      </c>
      <c r="D44" s="3" t="n">
        <v>2.2</v>
      </c>
      <c r="E44" s="3" t="n">
        <v>2.2</v>
      </c>
      <c r="F44" s="3" t="n">
        <v>2.2</v>
      </c>
      <c r="G44" s="3" t="n">
        <v>2.2</v>
      </c>
      <c r="H44" s="3" t="n">
        <v>2.2</v>
      </c>
      <c r="I44" s="3" t="n">
        <v>2.2</v>
      </c>
      <c r="J44" s="3" t="n">
        <v>2.2</v>
      </c>
      <c r="K44" s="3" t="n">
        <v>2.2</v>
      </c>
      <c r="L44" s="3" t="n">
        <v>2.2</v>
      </c>
    </row>
    <row r="45" customFormat="false" ht="15" hidden="false" customHeight="false" outlineLevel="0" collapsed="false">
      <c r="A45" s="0" t="s">
        <v>101</v>
      </c>
      <c r="C45" s="3" t="n">
        <v>2.5</v>
      </c>
      <c r="D45" s="3" t="n">
        <v>2.5</v>
      </c>
      <c r="E45" s="3" t="n">
        <v>2.5</v>
      </c>
      <c r="F45" s="3" t="n">
        <v>2.4</v>
      </c>
      <c r="G45" s="3" t="n">
        <v>2.4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102</v>
      </c>
      <c r="C46" s="3" t="n">
        <v>4.2</v>
      </c>
      <c r="D46" s="3" t="n">
        <v>4</v>
      </c>
      <c r="E46" s="3" t="n">
        <v>3.5</v>
      </c>
      <c r="F46" s="3" t="n">
        <v>3.2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103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104</v>
      </c>
      <c r="B48" s="3" t="n">
        <v>7.5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-30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0.5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3492</v>
      </c>
      <c r="C6" s="0" t="n">
        <f aca="false">B6*(1+C5/100)</f>
        <v>3509.46</v>
      </c>
      <c r="D6" s="0" t="n">
        <f aca="false">C6*(1+D5/100)</f>
        <v>3544.5546</v>
      </c>
      <c r="E6" s="0" t="n">
        <f aca="false">D6*(1+E5/100)</f>
        <v>3597.722919</v>
      </c>
      <c r="F6" s="0" t="n">
        <f aca="false">E6*(1+F5/100)</f>
        <v>3669.67737738</v>
      </c>
      <c r="G6" s="0" t="n">
        <f aca="false">F6*(1+G5/100)</f>
        <v>3743.0709249276</v>
      </c>
      <c r="H6" s="0" t="n">
        <f aca="false">G6*(1+H5/100)</f>
        <v>3817.93234342615</v>
      </c>
      <c r="I6" s="0" t="n">
        <f aca="false">H6*(1+I5/100)</f>
        <v>3894.29099029467</v>
      </c>
      <c r="J6" s="0" t="n">
        <f aca="false">I6*(1+J5/100)</f>
        <v>3972.17681010057</v>
      </c>
      <c r="K6" s="0" t="n">
        <f aca="false">J6*(1+K5/100)</f>
        <v>4031.75946225208</v>
      </c>
      <c r="L6" s="0" t="n">
        <f aca="false">K6*(1+L5/100)</f>
        <v>4092.23585418586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16.4</v>
      </c>
      <c r="D7" s="4" t="n">
        <f aca="false">Assumptions!D14</f>
        <v>16</v>
      </c>
      <c r="E7" s="4" t="n">
        <f aca="false">Assumptions!E14</f>
        <v>15.8</v>
      </c>
      <c r="F7" s="4" t="n">
        <f aca="false">Assumptions!F14</f>
        <v>15.5</v>
      </c>
      <c r="G7" s="4" t="n">
        <f aca="false">Assumptions!G14</f>
        <v>15.5</v>
      </c>
      <c r="H7" s="4" t="n">
        <f aca="false">Assumptions!H14</f>
        <v>15.5</v>
      </c>
      <c r="I7" s="4" t="n">
        <f aca="false">Assumptions!I14</f>
        <v>15.5</v>
      </c>
      <c r="J7" s="4" t="n">
        <f aca="false">Assumptions!J14</f>
        <v>15.5</v>
      </c>
      <c r="K7" s="4" t="n">
        <f aca="false">Assumptions!K14</f>
        <v>15.5</v>
      </c>
      <c r="L7" s="4" t="n">
        <f aca="false">Assumptions!L14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575.55144</v>
      </c>
      <c r="D8" s="0" t="n">
        <f aca="false">D6*D7/100</f>
        <v>567.128736</v>
      </c>
      <c r="E8" s="0" t="n">
        <f aca="false">E6*E7/100</f>
        <v>568.440221202</v>
      </c>
      <c r="F8" s="0" t="n">
        <f aca="false">F6*F7/100</f>
        <v>568.7999934939</v>
      </c>
      <c r="G8" s="0" t="n">
        <f aca="false">G6*G7/100</f>
        <v>580.175993363778</v>
      </c>
      <c r="H8" s="0" t="n">
        <f aca="false">H6*H7/100</f>
        <v>591.779513231053</v>
      </c>
      <c r="I8" s="0" t="n">
        <f aca="false">I6*I7/100</f>
        <v>603.615103495675</v>
      </c>
      <c r="J8" s="0" t="n">
        <f aca="false">J6*J7/100</f>
        <v>615.687405565588</v>
      </c>
      <c r="K8" s="0" t="n">
        <f aca="false">K6*K7/100</f>
        <v>624.922716649072</v>
      </c>
      <c r="L8" s="0" t="n">
        <f aca="false">L6*L7/100</f>
        <v>634.296557398808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498.34332</v>
      </c>
      <c r="D11" s="0" t="n">
        <f aca="false">D8+D10+D24</f>
        <v>489.1485348</v>
      </c>
      <c r="E11" s="0" t="n">
        <f aca="false">E8+E10+E24</f>
        <v>489.290316984</v>
      </c>
      <c r="F11" s="0" t="n">
        <f aca="false">F8+F10+F24</f>
        <v>488.06709119154</v>
      </c>
      <c r="G11" s="0" t="n">
        <f aca="false">G8+G10+G24</f>
        <v>497.828433015371</v>
      </c>
      <c r="H11" s="0" t="n">
        <f aca="false">H8+H10+H24</f>
        <v>507.785001675678</v>
      </c>
      <c r="I11" s="0" t="n">
        <f aca="false">I8+I10+I24</f>
        <v>517.940701709192</v>
      </c>
      <c r="J11" s="0" t="n">
        <f aca="false">J8+J10+J24</f>
        <v>528.299515743375</v>
      </c>
      <c r="K11" s="0" t="n">
        <f aca="false">K8+K10+K24</f>
        <v>536.224008479526</v>
      </c>
      <c r="L11" s="0" t="n">
        <f aca="false">L8+L10+L24</f>
        <v>544.267368606719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-87.7365</v>
      </c>
      <c r="D12" s="4" t="n">
        <f aca="false">-D6*Assumptions!D17/100</f>
        <v>-88.613865</v>
      </c>
      <c r="E12" s="4" t="n">
        <f aca="false">-E6*Assumptions!E17/100</f>
        <v>-89.943072975</v>
      </c>
      <c r="F12" s="4" t="n">
        <f aca="false">-F6*Assumptions!F17/100</f>
        <v>-88.07225705712</v>
      </c>
      <c r="G12" s="4" t="n">
        <f aca="false">-G6*Assumptions!G17/100</f>
        <v>-89.8337021982624</v>
      </c>
      <c r="H12" s="4" t="n">
        <f aca="false">-H6*Assumptions!H17/100</f>
        <v>-91.6303762422276</v>
      </c>
      <c r="I12" s="4" t="n">
        <f aca="false">-I6*Assumptions!I17/100</f>
        <v>-93.4629837670722</v>
      </c>
      <c r="J12" s="4" t="n">
        <f aca="false">-J6*Assumptions!J17/100</f>
        <v>-95.3322434424136</v>
      </c>
      <c r="K12" s="4" t="n">
        <f aca="false">-K6*Assumptions!K17/100</f>
        <v>-96.7622270940498</v>
      </c>
      <c r="L12" s="4" t="n">
        <f aca="false">-L6*Assumptions!L17/100</f>
        <v>-98.2136605004606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410.60682</v>
      </c>
      <c r="D13" s="0" t="n">
        <f aca="false">D11+D12</f>
        <v>400.5346698</v>
      </c>
      <c r="E13" s="0" t="n">
        <f aca="false">E11+E12</f>
        <v>399.347244009</v>
      </c>
      <c r="F13" s="0" t="n">
        <f aca="false">F11+F12</f>
        <v>399.99483413442</v>
      </c>
      <c r="G13" s="0" t="n">
        <f aca="false">G11+G12</f>
        <v>407.994730817108</v>
      </c>
      <c r="H13" s="0" t="n">
        <f aca="false">H11+H12</f>
        <v>416.154625433451</v>
      </c>
      <c r="I13" s="0" t="n">
        <f aca="false">I11+I12</f>
        <v>424.47771794212</v>
      </c>
      <c r="J13" s="0" t="n">
        <f aca="false">J11+J12</f>
        <v>432.967272300962</v>
      </c>
      <c r="K13" s="0" t="n">
        <f aca="false">K11+K12</f>
        <v>439.461781385476</v>
      </c>
      <c r="L13" s="0" t="n">
        <f aca="false">L11+L12</f>
        <v>446.053708106258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312.0611832</v>
      </c>
      <c r="D15" s="0" t="n">
        <f aca="false">D13-MAX(0,D13)*D14/100</f>
        <v>304.406349048</v>
      </c>
      <c r="E15" s="0" t="n">
        <f aca="false">E13-MAX(0,E13)*E14/100</f>
        <v>303.50390544684</v>
      </c>
      <c r="F15" s="0" t="n">
        <f aca="false">F13-MAX(0,F13)*F14/100</f>
        <v>303.996073942159</v>
      </c>
      <c r="G15" s="0" t="n">
        <f aca="false">G13-MAX(0,G13)*G14/100</f>
        <v>310.075995421002</v>
      </c>
      <c r="H15" s="0" t="n">
        <f aca="false">H13-MAX(0,H13)*H14/100</f>
        <v>316.277515329422</v>
      </c>
      <c r="I15" s="0" t="n">
        <f aca="false">I13-MAX(0,I13)*I14/100</f>
        <v>322.603065636011</v>
      </c>
      <c r="J15" s="0" t="n">
        <f aca="false">J13-MAX(0,J13)*J14/100</f>
        <v>329.055126948731</v>
      </c>
      <c r="K15" s="0" t="n">
        <f aca="false">K13-MAX(0,K13)*K14/100</f>
        <v>333.990953852962</v>
      </c>
      <c r="L15" s="0" t="n">
        <f aca="false">L13-MAX(0,L13)*L14/100</f>
        <v>339.000818160756</v>
      </c>
    </row>
    <row r="16" customFormat="false" ht="15" hidden="false" customHeight="false" outlineLevel="0" collapsed="false">
      <c r="A16" s="0" t="s">
        <v>119</v>
      </c>
      <c r="C16" s="0" t="n">
        <f aca="false">-C12</f>
        <v>87.7365</v>
      </c>
      <c r="D16" s="0" t="n">
        <f aca="false">-D12</f>
        <v>88.613865</v>
      </c>
      <c r="E16" s="0" t="n">
        <f aca="false">-E12</f>
        <v>89.943072975</v>
      </c>
      <c r="F16" s="0" t="n">
        <f aca="false">-F12</f>
        <v>88.07225705712</v>
      </c>
      <c r="G16" s="0" t="n">
        <f aca="false">-G12</f>
        <v>89.8337021982624</v>
      </c>
      <c r="H16" s="0" t="n">
        <f aca="false">-H12</f>
        <v>91.6303762422276</v>
      </c>
      <c r="I16" s="0" t="n">
        <f aca="false">-I12</f>
        <v>93.4629837670722</v>
      </c>
      <c r="J16" s="0" t="n">
        <f aca="false">-J12</f>
        <v>95.3322434424136</v>
      </c>
      <c r="K16" s="0" t="n">
        <f aca="false">-K12</f>
        <v>96.7622270940498</v>
      </c>
      <c r="L16" s="0" t="n">
        <f aca="false">-L12</f>
        <v>98.2136605004606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-147.39732</v>
      </c>
      <c r="D17" s="4" t="n">
        <f aca="false">-D6*Assumptions!D18/100</f>
        <v>-134.6930748</v>
      </c>
      <c r="E17" s="4" t="n">
        <f aca="false">-E6*Assumptions!E18/100</f>
        <v>-115.127133408</v>
      </c>
      <c r="F17" s="4" t="n">
        <f aca="false">-F6*Assumptions!F18/100</f>
        <v>-110.0903213214</v>
      </c>
      <c r="G17" s="4" t="n">
        <f aca="false">-G6*Assumptions!G18/100</f>
        <v>-112.292127747828</v>
      </c>
      <c r="H17" s="4" t="n">
        <f aca="false">-H6*Assumptions!H18/100</f>
        <v>-114.537970302785</v>
      </c>
      <c r="I17" s="4" t="n">
        <f aca="false">-I6*Assumptions!I18/100</f>
        <v>-116.82872970884</v>
      </c>
      <c r="J17" s="4" t="n">
        <f aca="false">-J6*Assumptions!J18/100</f>
        <v>-119.165304303017</v>
      </c>
      <c r="K17" s="4" t="n">
        <f aca="false">-K6*Assumptions!K18/100</f>
        <v>-120.952783867562</v>
      </c>
      <c r="L17" s="4" t="n">
        <f aca="false">-L6*Assumptions!L18/100</f>
        <v>-122.767075625576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-5.23799999999987</v>
      </c>
      <c r="D18" s="4" t="n">
        <f aca="false">(D6-C6)*Assumptions!$B$23/100</f>
        <v>-10.52838</v>
      </c>
      <c r="E18" s="4" t="n">
        <f aca="false">(E6-D6)*Assumptions!$B$23/100</f>
        <v>-15.9504956999998</v>
      </c>
      <c r="F18" s="4" t="n">
        <f aca="false">(F6-E6)*Assumptions!$B$23/100</f>
        <v>-21.5863375140001</v>
      </c>
      <c r="G18" s="4" t="n">
        <f aca="false">(G6-F6)*Assumptions!$B$23/100</f>
        <v>-22.01806426428</v>
      </c>
      <c r="H18" s="4" t="n">
        <f aca="false">(H6-G6)*Assumptions!$B$23/100</f>
        <v>-22.4584255495657</v>
      </c>
      <c r="I18" s="4" t="n">
        <f aca="false">(I6-H6)*Assumptions!$B$23/100</f>
        <v>-22.9075940605569</v>
      </c>
      <c r="J18" s="4" t="n">
        <f aca="false">(J6-I6)*Assumptions!$B$23/100</f>
        <v>-23.365745941768</v>
      </c>
      <c r="K18" s="4" t="n">
        <f aca="false">(K6-J6)*Assumptions!$B$23/100</f>
        <v>-17.8747956454525</v>
      </c>
      <c r="L18" s="4" t="n">
        <f aca="false">(L6-K6)*Assumptions!$B$23/100</f>
        <v>-18.1429175801342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247.1623632</v>
      </c>
      <c r="D19" s="0" t="n">
        <f aca="false">D15+D16+D17+D18</f>
        <v>247.798759248</v>
      </c>
      <c r="E19" s="0" t="n">
        <f aca="false">E15+E16+E17+E18</f>
        <v>262.36934931384</v>
      </c>
      <c r="F19" s="0" t="n">
        <f aca="false">F15+F16+F17+F18</f>
        <v>260.391672163879</v>
      </c>
      <c r="G19" s="0" t="n">
        <f aca="false">G15+G16+G17+G18</f>
        <v>265.599505607157</v>
      </c>
      <c r="H19" s="0" t="n">
        <f aca="false">H15+H16+H17+H18</f>
        <v>270.9114957193</v>
      </c>
      <c r="I19" s="0" t="n">
        <f aca="false">I15+I16+I17+I18</f>
        <v>276.329725633686</v>
      </c>
      <c r="J19" s="0" t="n">
        <f aca="false">J15+J16+J17+J18</f>
        <v>281.85632014636</v>
      </c>
      <c r="K19" s="0" t="n">
        <f aca="false">K15+K16+K17+K18</f>
        <v>291.925601433997</v>
      </c>
      <c r="L19" s="0" t="n">
        <f aca="false">L15+L16+L17+L18</f>
        <v>296.304485455507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229.918477395349</v>
      </c>
      <c r="D21" s="0" t="n">
        <f aca="false">D19*D20</f>
        <v>214.428347645646</v>
      </c>
      <c r="E21" s="0" t="n">
        <f aca="false">E19*E20</f>
        <v>211.196980845533</v>
      </c>
      <c r="F21" s="0" t="n">
        <f aca="false">F19*F20</f>
        <v>194.981422065669</v>
      </c>
      <c r="G21" s="0" t="n">
        <f aca="false">G19*G20</f>
        <v>185.005628378588</v>
      </c>
      <c r="H21" s="0" t="n">
        <f aca="false">H19*H20</f>
        <v>175.540224135963</v>
      </c>
      <c r="I21" s="0" t="n">
        <f aca="false">I19*I20</f>
        <v>166.559096389472</v>
      </c>
      <c r="J21" s="0" t="n">
        <f aca="false">J19*J20</f>
        <v>158.037468202103</v>
      </c>
      <c r="K21" s="0" t="n">
        <f aca="false">K19*K20</f>
        <v>152.263569031393</v>
      </c>
      <c r="L21" s="0" t="n">
        <f aca="false">L19*L20</f>
        <v>143.765137271502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2.2</v>
      </c>
      <c r="D23" s="4" t="n">
        <f aca="false">Assumptions!D16</f>
        <v>2.2</v>
      </c>
      <c r="E23" s="4" t="n">
        <f aca="false">Assumptions!E16</f>
        <v>2.2</v>
      </c>
      <c r="F23" s="4" t="n">
        <f aca="false">Assumptions!F16</f>
        <v>2.2</v>
      </c>
      <c r="G23" s="4" t="n">
        <f aca="false">Assumptions!G16</f>
        <v>2.2</v>
      </c>
      <c r="H23" s="4" t="n">
        <f aca="false">Assumptions!H16</f>
        <v>2.2</v>
      </c>
      <c r="I23" s="4" t="n">
        <f aca="false">Assumptions!I16</f>
        <v>2.2</v>
      </c>
      <c r="J23" s="4" t="n">
        <f aca="false">Assumptions!J16</f>
        <v>2.2</v>
      </c>
      <c r="K23" s="4" t="n">
        <f aca="false">Assumptions!K16</f>
        <v>2.2</v>
      </c>
      <c r="L23" s="4" t="n">
        <f aca="false">Assumptions!L16</f>
        <v>2.2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-77.20812</v>
      </c>
      <c r="D24" s="0" t="n">
        <f aca="false">-D6*D23/100</f>
        <v>-77.9802012</v>
      </c>
      <c r="E24" s="0" t="n">
        <f aca="false">-E6*E23/100</f>
        <v>-79.149904218</v>
      </c>
      <c r="F24" s="0" t="n">
        <f aca="false">-F6*F23/100</f>
        <v>-80.73290230236</v>
      </c>
      <c r="G24" s="0" t="n">
        <f aca="false">-G6*G23/100</f>
        <v>-82.3475603484072</v>
      </c>
      <c r="H24" s="0" t="n">
        <f aca="false">-H6*H23/100</f>
        <v>-83.9945115553753</v>
      </c>
      <c r="I24" s="0" t="n">
        <f aca="false">-I6*I23/100</f>
        <v>-85.6744017864829</v>
      </c>
      <c r="J24" s="0" t="n">
        <f aca="false">-J6*J23/100</f>
        <v>-87.3878898222125</v>
      </c>
      <c r="K24" s="0" t="n">
        <f aca="false">-K6*K23/100</f>
        <v>-88.6987081695457</v>
      </c>
      <c r="L24" s="0" t="n">
        <f aca="false">-L6*L23/100</f>
        <v>-90.0291887920889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1831.69635136122</v>
      </c>
    </row>
    <row r="31" customFormat="false" ht="15" hidden="false" customHeight="false" outlineLevel="0" collapsed="false">
      <c r="A31" s="0" t="s">
        <v>128</v>
      </c>
      <c r="B31" s="0" t="n">
        <f aca="false">L19</f>
        <v>296.304485455507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5012.48421228899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3851.95831092159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3851.95831092159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1868.94678452952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3700.64313589074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2492.64313589074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45.6779024352343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-0.297263039457933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45.6779024352343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2227.77076101733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12.2370852282111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3492</v>
      </c>
      <c r="C6" s="0" t="n">
        <f aca="false">B6*(1+C5/100)</f>
        <v>3561.84</v>
      </c>
      <c r="D6" s="0" t="n">
        <f aca="false">C6*(1+D5/100)</f>
        <v>3722.1228</v>
      </c>
      <c r="E6" s="0" t="n">
        <f aca="false">D6*(1+E5/100)</f>
        <v>3889.618326</v>
      </c>
      <c r="F6" s="0" t="n">
        <f aca="false">E6*(1+F5/100)</f>
        <v>4045.20305904</v>
      </c>
      <c r="G6" s="0" t="n">
        <f aca="false">F6*(1+G5/100)</f>
        <v>4186.7851661064</v>
      </c>
      <c r="H6" s="0" t="n">
        <f aca="false">G6*(1+H5/100)</f>
        <v>4312.38872108959</v>
      </c>
      <c r="I6" s="0" t="n">
        <f aca="false">H6*(1+I5/100)</f>
        <v>4441.76038272228</v>
      </c>
      <c r="J6" s="0" t="n">
        <f aca="false">I6*(1+J5/100)</f>
        <v>4552.80439229034</v>
      </c>
      <c r="K6" s="0" t="n">
        <f aca="false">J6*(1+K5/100)</f>
        <v>4666.6245020976</v>
      </c>
      <c r="L6" s="0" t="n">
        <f aca="false">K6*(1+L5/100)</f>
        <v>4783.29011465003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16.8</v>
      </c>
      <c r="D7" s="4" t="n">
        <f aca="false">Assumptions!D28</f>
        <v>17.2</v>
      </c>
      <c r="E7" s="4" t="n">
        <f aca="false">Assumptions!E28</f>
        <v>17.5</v>
      </c>
      <c r="F7" s="4" t="n">
        <f aca="false">Assumptions!F28</f>
        <v>17.5</v>
      </c>
      <c r="G7" s="4" t="n">
        <f aca="false">Assumptions!G28</f>
        <v>17.5</v>
      </c>
      <c r="H7" s="4" t="n">
        <f aca="false">Assumptions!H28</f>
        <v>17.5</v>
      </c>
      <c r="I7" s="4" t="n">
        <f aca="false">Assumptions!I28</f>
        <v>17.5</v>
      </c>
      <c r="J7" s="4" t="n">
        <f aca="false">Assumptions!J28</f>
        <v>17.5</v>
      </c>
      <c r="K7" s="4" t="n">
        <f aca="false">Assumptions!K28</f>
        <v>17.5</v>
      </c>
      <c r="L7" s="4" t="n">
        <f aca="false">Assumptions!L28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598.38912</v>
      </c>
      <c r="D8" s="0" t="n">
        <f aca="false">D6*D7/100</f>
        <v>640.2051216</v>
      </c>
      <c r="E8" s="0" t="n">
        <f aca="false">E6*E7/100</f>
        <v>680.68320705</v>
      </c>
      <c r="F8" s="0" t="n">
        <f aca="false">F6*F7/100</f>
        <v>707.910535332</v>
      </c>
      <c r="G8" s="0" t="n">
        <f aca="false">G6*G7/100</f>
        <v>732.68740406862</v>
      </c>
      <c r="H8" s="0" t="n">
        <f aca="false">H6*H7/100</f>
        <v>754.668026190679</v>
      </c>
      <c r="I8" s="0" t="n">
        <f aca="false">I6*I7/100</f>
        <v>777.308066976399</v>
      </c>
      <c r="J8" s="0" t="n">
        <f aca="false">J6*J7/100</f>
        <v>796.740768650809</v>
      </c>
      <c r="K8" s="0" t="n">
        <f aca="false">K6*K7/100</f>
        <v>816.659287867079</v>
      </c>
      <c r="L8" s="0" t="n">
        <f aca="false">L6*L7/100</f>
        <v>837.075770063756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520.02864</v>
      </c>
      <c r="D11" s="0" t="n">
        <f aca="false">D8+D10+D24</f>
        <v>558.31842</v>
      </c>
      <c r="E11" s="0" t="n">
        <f aca="false">E8+E10+E24</f>
        <v>595.111603878</v>
      </c>
      <c r="F11" s="0" t="n">
        <f aca="false">F8+F10+F24</f>
        <v>618.91606803312</v>
      </c>
      <c r="G11" s="0" t="n">
        <f aca="false">G8+G10+G24</f>
        <v>640.578130414279</v>
      </c>
      <c r="H11" s="0" t="n">
        <f aca="false">H8+H10+H24</f>
        <v>659.795474326708</v>
      </c>
      <c r="I11" s="0" t="n">
        <f aca="false">I8+I10+I24</f>
        <v>679.589338556509</v>
      </c>
      <c r="J11" s="0" t="n">
        <f aca="false">J8+J10+J24</f>
        <v>696.579072020422</v>
      </c>
      <c r="K11" s="0" t="n">
        <f aca="false">K8+K10+K24</f>
        <v>713.993548820932</v>
      </c>
      <c r="L11" s="0" t="n">
        <f aca="false">L8+L10+L24</f>
        <v>731.843387541455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-89.046</v>
      </c>
      <c r="D12" s="4" t="n">
        <f aca="false">-D6*Assumptions!D31/100</f>
        <v>-93.05307</v>
      </c>
      <c r="E12" s="4" t="n">
        <f aca="false">-E6*Assumptions!E31/100</f>
        <v>-97.24045815</v>
      </c>
      <c r="F12" s="4" t="n">
        <f aca="false">-F6*Assumptions!F31/100</f>
        <v>-97.08487341696</v>
      </c>
      <c r="G12" s="4" t="n">
        <f aca="false">-G6*Assumptions!G31/100</f>
        <v>-100.482843986554</v>
      </c>
      <c r="H12" s="4" t="n">
        <f aca="false">-H6*Assumptions!H31/100</f>
        <v>-103.49732930615</v>
      </c>
      <c r="I12" s="4" t="n">
        <f aca="false">-I6*Assumptions!I31/100</f>
        <v>-106.602249185335</v>
      </c>
      <c r="J12" s="4" t="n">
        <f aca="false">-J6*Assumptions!J31/100</f>
        <v>-109.267305414968</v>
      </c>
      <c r="K12" s="4" t="n">
        <f aca="false">-K6*Assumptions!K31/100</f>
        <v>-111.998988050342</v>
      </c>
      <c r="L12" s="4" t="n">
        <f aca="false">-L6*Assumptions!L31/100</f>
        <v>-114.798962751601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430.98264</v>
      </c>
      <c r="D13" s="0" t="n">
        <f aca="false">D11+D12</f>
        <v>465.26535</v>
      </c>
      <c r="E13" s="0" t="n">
        <f aca="false">E11+E12</f>
        <v>497.871145728</v>
      </c>
      <c r="F13" s="0" t="n">
        <f aca="false">F11+F12</f>
        <v>521.83119461616</v>
      </c>
      <c r="G13" s="0" t="n">
        <f aca="false">G11+G12</f>
        <v>540.095286427726</v>
      </c>
      <c r="H13" s="0" t="n">
        <f aca="false">H11+H12</f>
        <v>556.298145020558</v>
      </c>
      <c r="I13" s="0" t="n">
        <f aca="false">I11+I12</f>
        <v>572.987089371174</v>
      </c>
      <c r="J13" s="0" t="n">
        <f aca="false">J11+J12</f>
        <v>587.311766605454</v>
      </c>
      <c r="K13" s="0" t="n">
        <f aca="false">K11+K12</f>
        <v>601.99456077059</v>
      </c>
      <c r="L13" s="0" t="n">
        <f aca="false">L11+L12</f>
        <v>617.044424789855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327.5468064</v>
      </c>
      <c r="D15" s="0" t="n">
        <f aca="false">D13-MAX(0,D13)*D14/100</f>
        <v>353.601666</v>
      </c>
      <c r="E15" s="0" t="n">
        <f aca="false">E13-MAX(0,E13)*E14/100</f>
        <v>378.38207075328</v>
      </c>
      <c r="F15" s="0" t="n">
        <f aca="false">F13-MAX(0,F13)*F14/100</f>
        <v>396.591707908282</v>
      </c>
      <c r="G15" s="0" t="n">
        <f aca="false">G13-MAX(0,G13)*G14/100</f>
        <v>410.472417685071</v>
      </c>
      <c r="H15" s="0" t="n">
        <f aca="false">H13-MAX(0,H13)*H14/100</f>
        <v>422.786590215624</v>
      </c>
      <c r="I15" s="0" t="n">
        <f aca="false">I13-MAX(0,I13)*I14/100</f>
        <v>435.470187922092</v>
      </c>
      <c r="J15" s="0" t="n">
        <f aca="false">J13-MAX(0,J13)*J14/100</f>
        <v>446.356942620145</v>
      </c>
      <c r="K15" s="0" t="n">
        <f aca="false">K13-MAX(0,K13)*K14/100</f>
        <v>457.515866185648</v>
      </c>
      <c r="L15" s="0" t="n">
        <f aca="false">L13-MAX(0,L13)*L14/100</f>
        <v>468.953762840289</v>
      </c>
    </row>
    <row r="16" customFormat="false" ht="15" hidden="false" customHeight="false" outlineLevel="0" collapsed="false">
      <c r="A16" s="0" t="s">
        <v>119</v>
      </c>
      <c r="C16" s="0" t="n">
        <f aca="false">-C12</f>
        <v>89.046</v>
      </c>
      <c r="D16" s="0" t="n">
        <f aca="false">-D12</f>
        <v>93.05307</v>
      </c>
      <c r="E16" s="0" t="n">
        <f aca="false">-E12</f>
        <v>97.24045815</v>
      </c>
      <c r="F16" s="0" t="n">
        <f aca="false">-F12</f>
        <v>97.08487341696</v>
      </c>
      <c r="G16" s="0" t="n">
        <f aca="false">-G12</f>
        <v>100.482843986554</v>
      </c>
      <c r="H16" s="0" t="n">
        <f aca="false">-H12</f>
        <v>103.49732930615</v>
      </c>
      <c r="I16" s="0" t="n">
        <f aca="false">-I12</f>
        <v>106.602249185335</v>
      </c>
      <c r="J16" s="0" t="n">
        <f aca="false">-J12</f>
        <v>109.267305414968</v>
      </c>
      <c r="K16" s="0" t="n">
        <f aca="false">-K12</f>
        <v>111.998988050342</v>
      </c>
      <c r="L16" s="0" t="n">
        <f aca="false">-L12</f>
        <v>114.798962751601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-149.59728</v>
      </c>
      <c r="D17" s="4" t="n">
        <f aca="false">-D6*Assumptions!D32/100</f>
        <v>-148.884912</v>
      </c>
      <c r="E17" s="4" t="n">
        <f aca="false">-E6*Assumptions!E32/100</f>
        <v>-132.247023084</v>
      </c>
      <c r="F17" s="4" t="n">
        <f aca="false">-F6*Assumptions!F32/100</f>
        <v>-129.44649788928</v>
      </c>
      <c r="G17" s="4" t="n">
        <f aca="false">-G6*Assumptions!G32/100</f>
        <v>-125.603554983192</v>
      </c>
      <c r="H17" s="4" t="n">
        <f aca="false">-H6*Assumptions!H32/100</f>
        <v>-129.371661632688</v>
      </c>
      <c r="I17" s="4" t="n">
        <f aca="false">-I6*Assumptions!I32/100</f>
        <v>-133.252811481668</v>
      </c>
      <c r="J17" s="4" t="n">
        <f aca="false">-J6*Assumptions!J32/100</f>
        <v>-136.58413176871</v>
      </c>
      <c r="K17" s="4" t="n">
        <f aca="false">-K6*Assumptions!K32/100</f>
        <v>-139.998735062928</v>
      </c>
      <c r="L17" s="4" t="n">
        <f aca="false">-L6*Assumptions!L32/100</f>
        <v>-143.498703439501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-20.952</v>
      </c>
      <c r="D18" s="4" t="n">
        <f aca="false">(D6-C6)*Assumptions!$B$37/100</f>
        <v>-48.08484</v>
      </c>
      <c r="E18" s="4" t="n">
        <f aca="false">(E6-D6)*Assumptions!$B$37/100</f>
        <v>-50.2486577999999</v>
      </c>
      <c r="F18" s="4" t="n">
        <f aca="false">(F6-E6)*Assumptions!$B$37/100</f>
        <v>-46.6754199120001</v>
      </c>
      <c r="G18" s="4" t="n">
        <f aca="false">(G6-F6)*Assumptions!$B$37/100</f>
        <v>-42.4746321199199</v>
      </c>
      <c r="H18" s="4" t="n">
        <f aca="false">(H6-G6)*Assumptions!$B$37/100</f>
        <v>-37.6810664949577</v>
      </c>
      <c r="I18" s="4" t="n">
        <f aca="false">(I6-H6)*Assumptions!$B$37/100</f>
        <v>-38.8114984898065</v>
      </c>
      <c r="J18" s="4" t="n">
        <f aca="false">(J6-I6)*Assumptions!$B$37/100</f>
        <v>-33.3132028704171</v>
      </c>
      <c r="K18" s="4" t="n">
        <f aca="false">(K6-J6)*Assumptions!$B$37/100</f>
        <v>-34.1460329421773</v>
      </c>
      <c r="L18" s="4" t="n">
        <f aca="false">(L6-K6)*Assumptions!$B$37/100</f>
        <v>-34.9996837657319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246.0435264</v>
      </c>
      <c r="D19" s="0" t="n">
        <f aca="false">D15+D16+D17+D18</f>
        <v>249.684984</v>
      </c>
      <c r="E19" s="0" t="n">
        <f aca="false">E15+E16+E17+E18</f>
        <v>293.12684801928</v>
      </c>
      <c r="F19" s="0" t="n">
        <f aca="false">F15+F16+F17+F18</f>
        <v>317.554663523961</v>
      </c>
      <c r="G19" s="0" t="n">
        <f aca="false">G15+G16+G17+G18</f>
        <v>342.877074568513</v>
      </c>
      <c r="H19" s="0" t="n">
        <f aca="false">H15+H16+H17+H18</f>
        <v>359.231191394129</v>
      </c>
      <c r="I19" s="0" t="n">
        <f aca="false">I15+I16+I17+I18</f>
        <v>370.008127135952</v>
      </c>
      <c r="J19" s="0" t="n">
        <f aca="false">J15+J16+J17+J18</f>
        <v>385.726913395986</v>
      </c>
      <c r="K19" s="0" t="n">
        <f aca="false">K15+K16+K17+K18</f>
        <v>395.370086230885</v>
      </c>
      <c r="L19" s="0" t="n">
        <f aca="false">L15+L16+L17+L18</f>
        <v>405.254338386657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228.877698976744</v>
      </c>
      <c r="D21" s="0" t="n">
        <f aca="false">D19*D20</f>
        <v>216.060559437534</v>
      </c>
      <c r="E21" s="0" t="n">
        <f aca="false">E19*E20</f>
        <v>235.955554520155</v>
      </c>
      <c r="F21" s="0" t="n">
        <f aca="false">F19*F20</f>
        <v>237.785100279701</v>
      </c>
      <c r="G21" s="0" t="n">
        <f aca="false">G19*G20</f>
        <v>238.833986125652</v>
      </c>
      <c r="H21" s="0" t="n">
        <f aca="false">H19*H20</f>
        <v>232.767988255811</v>
      </c>
      <c r="I21" s="0" t="n">
        <f aca="false">I19*I20</f>
        <v>223.024212003242</v>
      </c>
      <c r="J21" s="0" t="n">
        <f aca="false">J19*J20</f>
        <v>216.277941821064</v>
      </c>
      <c r="K21" s="0" t="n">
        <f aca="false">K19*K20</f>
        <v>206.218502666596</v>
      </c>
      <c r="L21" s="0" t="n">
        <f aca="false">L19*L20</f>
        <v>196.626944403033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2.2</v>
      </c>
      <c r="D23" s="4" t="n">
        <f aca="false">Assumptions!D30</f>
        <v>2.2</v>
      </c>
      <c r="E23" s="4" t="n">
        <f aca="false">Assumptions!E30</f>
        <v>2.2</v>
      </c>
      <c r="F23" s="4" t="n">
        <f aca="false">Assumptions!F30</f>
        <v>2.2</v>
      </c>
      <c r="G23" s="4" t="n">
        <f aca="false">Assumptions!G30</f>
        <v>2.2</v>
      </c>
      <c r="H23" s="4" t="n">
        <f aca="false">Assumptions!H30</f>
        <v>2.2</v>
      </c>
      <c r="I23" s="4" t="n">
        <f aca="false">Assumptions!I30</f>
        <v>2.2</v>
      </c>
      <c r="J23" s="4" t="n">
        <f aca="false">Assumptions!J30</f>
        <v>2.2</v>
      </c>
      <c r="K23" s="4" t="n">
        <f aca="false">Assumptions!K30</f>
        <v>2.2</v>
      </c>
      <c r="L23" s="4" t="n">
        <f aca="false">Assumptions!L30</f>
        <v>2.2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-78.36048</v>
      </c>
      <c r="D24" s="0" t="n">
        <f aca="false">-D6*D23/100</f>
        <v>-81.8867016</v>
      </c>
      <c r="E24" s="0" t="n">
        <f aca="false">-E6*E23/100</f>
        <v>-85.571603172</v>
      </c>
      <c r="F24" s="0" t="n">
        <f aca="false">-F6*F23/100</f>
        <v>-88.99446729888</v>
      </c>
      <c r="G24" s="0" t="n">
        <f aca="false">-G6*G23/100</f>
        <v>-92.1092736543408</v>
      </c>
      <c r="H24" s="0" t="n">
        <f aca="false">-H6*H23/100</f>
        <v>-94.872551863971</v>
      </c>
      <c r="I24" s="0" t="n">
        <f aca="false">-I6*I23/100</f>
        <v>-97.7187284198902</v>
      </c>
      <c r="J24" s="0" t="n">
        <f aca="false">-J6*J23/100</f>
        <v>-100.161696630387</v>
      </c>
      <c r="K24" s="0" t="n">
        <f aca="false">-K6*K23/100</f>
        <v>-102.665739046147</v>
      </c>
      <c r="L24" s="0" t="n">
        <f aca="false">-L6*L23/100</f>
        <v>-105.232382522301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2232.42848848953</v>
      </c>
    </row>
    <row r="31" customFormat="false" ht="15" hidden="false" customHeight="false" outlineLevel="0" collapsed="false">
      <c r="A31" s="0" t="s">
        <v>128</v>
      </c>
      <c r="B31" s="0" t="n">
        <f aca="false">L19</f>
        <v>405.254338386657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8307.71393692647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6078.81507579986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6078.81507579986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2949.4041660455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5181.83265453503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3973.83265453503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72.8208292932936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0.120320450666055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72.8208292932936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3323.08557477059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21.8800673727923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3492</v>
      </c>
      <c r="C6" s="0" t="n">
        <f aca="false">B6*(1+C5/100)</f>
        <v>3596.76</v>
      </c>
      <c r="D6" s="0" t="n">
        <f aca="false">C6*(1+D5/100)</f>
        <v>3812.5656</v>
      </c>
      <c r="E6" s="0" t="n">
        <f aca="false">D6*(1+E5/100)</f>
        <v>4041.319536</v>
      </c>
      <c r="F6" s="0" t="n">
        <f aca="false">E6*(1+F5/100)</f>
        <v>4263.59211048</v>
      </c>
      <c r="G6" s="0" t="n">
        <f aca="false">F6*(1+G5/100)</f>
        <v>4476.771716004</v>
      </c>
      <c r="H6" s="0" t="n">
        <f aca="false">G6*(1+H5/100)</f>
        <v>4678.22644322418</v>
      </c>
      <c r="I6" s="0" t="n">
        <f aca="false">H6*(1+I5/100)</f>
        <v>4865.35550095315</v>
      </c>
      <c r="J6" s="0" t="n">
        <f aca="false">I6*(1+J5/100)</f>
        <v>5035.64294348651</v>
      </c>
      <c r="K6" s="0" t="n">
        <f aca="false">J6*(1+K5/100)</f>
        <v>5186.7122317911</v>
      </c>
      <c r="L6" s="0" t="n">
        <f aca="false">K6*(1+L5/100)</f>
        <v>5342.31359874484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17</v>
      </c>
      <c r="D7" s="4" t="n">
        <f aca="false">Assumptions!D42</f>
        <v>17.8</v>
      </c>
      <c r="E7" s="4" t="n">
        <f aca="false">Assumptions!E42</f>
        <v>18.3</v>
      </c>
      <c r="F7" s="4" t="n">
        <f aca="false">Assumptions!F42</f>
        <v>18.5</v>
      </c>
      <c r="G7" s="4" t="n">
        <f aca="false">Assumptions!G42</f>
        <v>18.5</v>
      </c>
      <c r="H7" s="4" t="n">
        <f aca="false">Assumptions!H42</f>
        <v>18.5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611.4492</v>
      </c>
      <c r="D8" s="0" t="n">
        <f aca="false">D6*D7/100</f>
        <v>678.6366768</v>
      </c>
      <c r="E8" s="0" t="n">
        <f aca="false">E6*E7/100</f>
        <v>739.561475088</v>
      </c>
      <c r="F8" s="0" t="n">
        <f aca="false">F6*F7/100</f>
        <v>788.7645404388</v>
      </c>
      <c r="G8" s="0" t="n">
        <f aca="false">G6*G7/100</f>
        <v>828.20276746074</v>
      </c>
      <c r="H8" s="0" t="n">
        <f aca="false">H6*H7/100</f>
        <v>865.471891996473</v>
      </c>
      <c r="I8" s="0" t="n">
        <f aca="false">I6*I7/100</f>
        <v>900.090767676332</v>
      </c>
      <c r="J8" s="0" t="n">
        <f aca="false">J6*J7/100</f>
        <v>931.593944545004</v>
      </c>
      <c r="K8" s="0" t="n">
        <f aca="false">K6*K7/100</f>
        <v>959.541762881354</v>
      </c>
      <c r="L8" s="0" t="n">
        <f aca="false">L6*L7/100</f>
        <v>988.328015767795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532.32048</v>
      </c>
      <c r="D11" s="0" t="n">
        <f aca="false">D8+D10+D24</f>
        <v>594.7602336</v>
      </c>
      <c r="E11" s="0" t="n">
        <f aca="false">E8+E10+E24</f>
        <v>650.652445296</v>
      </c>
      <c r="F11" s="0" t="n">
        <f aca="false">F8+F10+F24</f>
        <v>694.96551400824</v>
      </c>
      <c r="G11" s="0" t="n">
        <f aca="false">G8+G10+G24</f>
        <v>729.713789708652</v>
      </c>
      <c r="H11" s="0" t="n">
        <f aca="false">H8+H10+H24</f>
        <v>762.550910245541</v>
      </c>
      <c r="I11" s="0" t="n">
        <f aca="false">I8+I10+I24</f>
        <v>793.052946655363</v>
      </c>
      <c r="J11" s="0" t="n">
        <f aca="false">J8+J10+J24</f>
        <v>820.809799788301</v>
      </c>
      <c r="K11" s="0" t="n">
        <f aca="false">K8+K10+K24</f>
        <v>845.43409378195</v>
      </c>
      <c r="L11" s="0" t="n">
        <f aca="false">L8+L10+L24</f>
        <v>870.797116595408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-89.919</v>
      </c>
      <c r="D12" s="4" t="n">
        <f aca="false">-D6*Assumptions!D45/100</f>
        <v>-95.31414</v>
      </c>
      <c r="E12" s="4" t="n">
        <f aca="false">-E6*Assumptions!E45/100</f>
        <v>-101.0329884</v>
      </c>
      <c r="F12" s="4" t="n">
        <f aca="false">-F6*Assumptions!F45/100</f>
        <v>-102.32621065152</v>
      </c>
      <c r="G12" s="4" t="n">
        <f aca="false">-G6*Assumptions!G45/100</f>
        <v>-107.442521184096</v>
      </c>
      <c r="H12" s="4" t="n">
        <f aca="false">-H6*Assumptions!H45/100</f>
        <v>-112.27743463738</v>
      </c>
      <c r="I12" s="4" t="n">
        <f aca="false">-I6*Assumptions!I45/100</f>
        <v>-116.768532022876</v>
      </c>
      <c r="J12" s="4" t="n">
        <f aca="false">-J6*Assumptions!J45/100</f>
        <v>-120.855430643676</v>
      </c>
      <c r="K12" s="4" t="n">
        <f aca="false">-K6*Assumptions!K45/100</f>
        <v>-124.481093562986</v>
      </c>
      <c r="L12" s="4" t="n">
        <f aca="false">-L6*Assumptions!L45/100</f>
        <v>-128.215526369876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442.40148</v>
      </c>
      <c r="D13" s="0" t="n">
        <f aca="false">D11+D12</f>
        <v>499.4460936</v>
      </c>
      <c r="E13" s="0" t="n">
        <f aca="false">E11+E12</f>
        <v>549.619456896</v>
      </c>
      <c r="F13" s="0" t="n">
        <f aca="false">F11+F12</f>
        <v>592.63930335672</v>
      </c>
      <c r="G13" s="0" t="n">
        <f aca="false">G11+G12</f>
        <v>622.271268524556</v>
      </c>
      <c r="H13" s="0" t="n">
        <f aca="false">H11+H12</f>
        <v>650.273475608161</v>
      </c>
      <c r="I13" s="0" t="n">
        <f aca="false">I11+I12</f>
        <v>676.284414632488</v>
      </c>
      <c r="J13" s="0" t="n">
        <f aca="false">J11+J12</f>
        <v>699.954369144624</v>
      </c>
      <c r="K13" s="0" t="n">
        <f aca="false">K11+K12</f>
        <v>720.953000218963</v>
      </c>
      <c r="L13" s="0" t="n">
        <f aca="false">L11+L12</f>
        <v>742.581590225532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336.2251248</v>
      </c>
      <c r="D15" s="0" t="n">
        <f aca="false">D13-MAX(0,D13)*D14/100</f>
        <v>379.579031136</v>
      </c>
      <c r="E15" s="0" t="n">
        <f aca="false">E13-MAX(0,E13)*E14/100</f>
        <v>417.71078724096</v>
      </c>
      <c r="F15" s="0" t="n">
        <f aca="false">F13-MAX(0,F13)*F14/100</f>
        <v>450.405870551107</v>
      </c>
      <c r="G15" s="0" t="n">
        <f aca="false">G13-MAX(0,G13)*G14/100</f>
        <v>472.926164078663</v>
      </c>
      <c r="H15" s="0" t="n">
        <f aca="false">H13-MAX(0,H13)*H14/100</f>
        <v>494.207841462202</v>
      </c>
      <c r="I15" s="0" t="n">
        <f aca="false">I13-MAX(0,I13)*I14/100</f>
        <v>513.976155120691</v>
      </c>
      <c r="J15" s="0" t="n">
        <f aca="false">J13-MAX(0,J13)*J14/100</f>
        <v>531.965320549915</v>
      </c>
      <c r="K15" s="0" t="n">
        <f aca="false">K13-MAX(0,K13)*K14/100</f>
        <v>547.924280166412</v>
      </c>
      <c r="L15" s="0" t="n">
        <f aca="false">L13-MAX(0,L13)*L14/100</f>
        <v>564.362008571404</v>
      </c>
    </row>
    <row r="16" customFormat="false" ht="15" hidden="false" customHeight="false" outlineLevel="0" collapsed="false">
      <c r="A16" s="0" t="s">
        <v>119</v>
      </c>
      <c r="C16" s="0" t="n">
        <f aca="false">-C12</f>
        <v>89.919</v>
      </c>
      <c r="D16" s="0" t="n">
        <f aca="false">-D12</f>
        <v>95.31414</v>
      </c>
      <c r="E16" s="0" t="n">
        <f aca="false">-E12</f>
        <v>101.0329884</v>
      </c>
      <c r="F16" s="0" t="n">
        <f aca="false">-F12</f>
        <v>102.32621065152</v>
      </c>
      <c r="G16" s="0" t="n">
        <f aca="false">-G12</f>
        <v>107.442521184096</v>
      </c>
      <c r="H16" s="0" t="n">
        <f aca="false">-H12</f>
        <v>112.27743463738</v>
      </c>
      <c r="I16" s="0" t="n">
        <f aca="false">-I12</f>
        <v>116.768532022876</v>
      </c>
      <c r="J16" s="0" t="n">
        <f aca="false">-J12</f>
        <v>120.855430643676</v>
      </c>
      <c r="K16" s="0" t="n">
        <f aca="false">-K12</f>
        <v>124.481093562986</v>
      </c>
      <c r="L16" s="0" t="n">
        <f aca="false">-L12</f>
        <v>128.215526369876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-151.06392</v>
      </c>
      <c r="D17" s="4" t="n">
        <f aca="false">-D6*Assumptions!D46/100</f>
        <v>-152.502624</v>
      </c>
      <c r="E17" s="4" t="n">
        <f aca="false">-E6*Assumptions!E46/100</f>
        <v>-141.44618376</v>
      </c>
      <c r="F17" s="4" t="n">
        <f aca="false">-F6*Assumptions!F46/100</f>
        <v>-136.43494753536</v>
      </c>
      <c r="G17" s="4" t="n">
        <f aca="false">-G6*Assumptions!G46/100</f>
        <v>-134.30315148012</v>
      </c>
      <c r="H17" s="4" t="n">
        <f aca="false">-H6*Assumptions!H46/100</f>
        <v>-140.346793296725</v>
      </c>
      <c r="I17" s="4" t="n">
        <f aca="false">-I6*Assumptions!I46/100</f>
        <v>-145.960665028594</v>
      </c>
      <c r="J17" s="4" t="n">
        <f aca="false">-J6*Assumptions!J46/100</f>
        <v>-151.069288304595</v>
      </c>
      <c r="K17" s="4" t="n">
        <f aca="false">-K6*Assumptions!K46/100</f>
        <v>-155.601366953733</v>
      </c>
      <c r="L17" s="4" t="n">
        <f aca="false">-L6*Assumptions!L46/100</f>
        <v>-160.269407962345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-31.4280000000001</v>
      </c>
      <c r="D18" s="4" t="n">
        <f aca="false">(D6-C6)*Assumptions!$B$51/100</f>
        <v>-64.74168</v>
      </c>
      <c r="E18" s="4" t="n">
        <f aca="false">(E6-D6)*Assumptions!$B$51/100</f>
        <v>-68.6261808</v>
      </c>
      <c r="F18" s="4" t="n">
        <f aca="false">(F6-E6)*Assumptions!$B$51/100</f>
        <v>-66.6817723439999</v>
      </c>
      <c r="G18" s="4" t="n">
        <f aca="false">(G6-F6)*Assumptions!$B$51/100</f>
        <v>-63.9538816572001</v>
      </c>
      <c r="H18" s="4" t="n">
        <f aca="false">(H6-G6)*Assumptions!$B$51/100</f>
        <v>-60.436418166054</v>
      </c>
      <c r="I18" s="4" t="n">
        <f aca="false">(I6-H6)*Assumptions!$B$51/100</f>
        <v>-56.1387173186902</v>
      </c>
      <c r="J18" s="4" t="n">
        <f aca="false">(J6-I6)*Assumptions!$B$51/100</f>
        <v>-51.0862327600078</v>
      </c>
      <c r="K18" s="4" t="n">
        <f aca="false">(K6-J6)*Assumptions!$B$51/100</f>
        <v>-45.3207864913785</v>
      </c>
      <c r="L18" s="4" t="n">
        <f aca="false">(L6-K6)*Assumptions!$B$51/100</f>
        <v>-46.68041008612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243.6522048</v>
      </c>
      <c r="D19" s="0" t="n">
        <f aca="false">D15+D16+D17+D18</f>
        <v>257.648867136</v>
      </c>
      <c r="E19" s="0" t="n">
        <f aca="false">E15+E16+E17+E18</f>
        <v>308.67141108096</v>
      </c>
      <c r="F19" s="0" t="n">
        <f aca="false">F15+F16+F17+F18</f>
        <v>349.615361323267</v>
      </c>
      <c r="G19" s="0" t="n">
        <f aca="false">G15+G16+G17+G18</f>
        <v>382.111652125439</v>
      </c>
      <c r="H19" s="0" t="n">
        <f aca="false">H15+H16+H17+H18</f>
        <v>405.702064636803</v>
      </c>
      <c r="I19" s="0" t="n">
        <f aca="false">I15+I16+I17+I18</f>
        <v>428.645304796281</v>
      </c>
      <c r="J19" s="0" t="n">
        <f aca="false">J15+J16+J17+J18</f>
        <v>450.665230128988</v>
      </c>
      <c r="K19" s="0" t="n">
        <f aca="false">K15+K16+K17+K18</f>
        <v>471.483220284287</v>
      </c>
      <c r="L19" s="0" t="n">
        <f aca="false">L15+L16+L17+L18</f>
        <v>485.627716892815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226.653213767442</v>
      </c>
      <c r="D21" s="0" t="n">
        <f aca="false">D19*D20</f>
        <v>222.951967235046</v>
      </c>
      <c r="E21" s="0" t="n">
        <f aca="false">E19*E20</f>
        <v>248.468314855062</v>
      </c>
      <c r="F21" s="0" t="n">
        <f aca="false">F19*F20</f>
        <v>261.792167776821</v>
      </c>
      <c r="G21" s="0" t="n">
        <f aca="false">G19*G20</f>
        <v>266.163169809539</v>
      </c>
      <c r="H21" s="0" t="n">
        <f aca="false">H19*H20</f>
        <v>262.87932584654</v>
      </c>
      <c r="I21" s="0" t="n">
        <f aca="false">I19*I20</f>
        <v>258.368058212826</v>
      </c>
      <c r="J21" s="0" t="n">
        <f aca="false">J19*J20</f>
        <v>252.689001046065</v>
      </c>
      <c r="K21" s="0" t="n">
        <f aca="false">K19*K20</f>
        <v>245.917855461305</v>
      </c>
      <c r="L21" s="0" t="n">
        <f aca="false">L19*L20</f>
        <v>235.623619651296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2.2</v>
      </c>
      <c r="D23" s="4" t="n">
        <f aca="false">Assumptions!D44</f>
        <v>2.2</v>
      </c>
      <c r="E23" s="4" t="n">
        <f aca="false">Assumptions!E44</f>
        <v>2.2</v>
      </c>
      <c r="F23" s="4" t="n">
        <f aca="false">Assumptions!F44</f>
        <v>2.2</v>
      </c>
      <c r="G23" s="4" t="n">
        <f aca="false">Assumptions!G44</f>
        <v>2.2</v>
      </c>
      <c r="H23" s="4" t="n">
        <f aca="false">Assumptions!H44</f>
        <v>2.2</v>
      </c>
      <c r="I23" s="4" t="n">
        <f aca="false">Assumptions!I44</f>
        <v>2.2</v>
      </c>
      <c r="J23" s="4" t="n">
        <f aca="false">Assumptions!J44</f>
        <v>2.2</v>
      </c>
      <c r="K23" s="4" t="n">
        <f aca="false">Assumptions!K44</f>
        <v>2.2</v>
      </c>
      <c r="L23" s="4" t="n">
        <f aca="false">Assumptions!L44</f>
        <v>2.2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-79.12872</v>
      </c>
      <c r="D24" s="0" t="n">
        <f aca="false">-D6*D23/100</f>
        <v>-83.8764432</v>
      </c>
      <c r="E24" s="0" t="n">
        <f aca="false">-E6*E23/100</f>
        <v>-88.909029792</v>
      </c>
      <c r="F24" s="0" t="n">
        <f aca="false">-F6*F23/100</f>
        <v>-93.79902643056</v>
      </c>
      <c r="G24" s="0" t="n">
        <f aca="false">-G6*G23/100</f>
        <v>-98.488977752088</v>
      </c>
      <c r="H24" s="0" t="n">
        <f aca="false">-H6*H23/100</f>
        <v>-102.920981750932</v>
      </c>
      <c r="I24" s="0" t="n">
        <f aca="false">-I6*I23/100</f>
        <v>-107.037821020969</v>
      </c>
      <c r="J24" s="0" t="n">
        <f aca="false">-J6*J23/100</f>
        <v>-110.784144756703</v>
      </c>
      <c r="K24" s="0" t="n">
        <f aca="false">-K6*K23/100</f>
        <v>-114.107669099404</v>
      </c>
      <c r="L24" s="0" t="n">
        <f aca="false">-L6*L23/100</f>
        <v>-117.530899172386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2481.50669366194</v>
      </c>
    </row>
    <row r="31" customFormat="false" ht="15" hidden="false" customHeight="false" outlineLevel="0" collapsed="false">
      <c r="A31" s="0" t="s">
        <v>128</v>
      </c>
      <c r="B31" s="0" t="n">
        <f aca="false">L19</f>
        <v>485.627716892815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11115.4788533244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7770.04347028504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7770.04347028504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3769.97791442074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6251.48460808269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5043.48460808269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92.4222944490138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0.421881453061751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92.4222944490138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4168.30456999666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28.5832361515721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45.6779024352343</v>
      </c>
      <c r="C4" s="0" t="n">
        <f aca="false">B4/Assumptions!$B$2-1</f>
        <v>-0.297263039457933</v>
      </c>
      <c r="D4" s="4" t="n">
        <f aca="false">Assumptions!$B$24</f>
        <v>0.25</v>
      </c>
      <c r="E4" s="4" t="n">
        <f aca="false">DCF_Bear!$B$43</f>
        <v>45.6779024352343</v>
      </c>
      <c r="F4" s="4" t="n">
        <f aca="false">DCF_Bear!$B$47</f>
        <v>12.2370852282111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72.8208292932936</v>
      </c>
      <c r="C5" s="0" t="n">
        <f aca="false">B5/Assumptions!$B$2-1</f>
        <v>0.120320450666055</v>
      </c>
      <c r="D5" s="4" t="n">
        <f aca="false">Assumptions!$B$38</f>
        <v>0.5</v>
      </c>
      <c r="E5" s="4" t="n">
        <f aca="false">DCF_Base!$B$43</f>
        <v>72.8208292932936</v>
      </c>
      <c r="F5" s="4" t="n">
        <f aca="false">DCF_Base!$B$47</f>
        <v>21.8800673727923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92.4222944490138</v>
      </c>
      <c r="C6" s="0" t="n">
        <f aca="false">B6/Assumptions!$B$2-1</f>
        <v>0.421881453061751</v>
      </c>
      <c r="D6" s="4" t="n">
        <f aca="false">Assumptions!$B$52</f>
        <v>0.25</v>
      </c>
      <c r="E6" s="4" t="n">
        <f aca="false">DCF_Bull!$B$43</f>
        <v>92.4222944490138</v>
      </c>
      <c r="F6" s="4" t="n">
        <f aca="false">DCF_Bull!$B$47</f>
        <v>28.5832361515721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70.9354638677088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70.9354638677088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0.083674139056568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21.145114031342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72.8208292932936</v>
      </c>
      <c r="C15" s="3" t="n">
        <v>7.5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62.9138630529685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53.2139656251144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43.9679697833795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36.6827359812737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21.8800673727923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88.4048376290984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88.4048376290984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88.4048376290984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88.4048376290984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88.4048376290984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80.242658654461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80.242658654461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80.242658654461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80.242658654461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80.242658654461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72.8208292932936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72.8208292932936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72.8208292932936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72.8208292932936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72.8208292932936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64.4217860054334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66.0640627440155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66.0640627440155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66.0640627440155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66.0640627440155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52.9757276103946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55.7101487343411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58.8352014474228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59.9054249793001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59.9054249793001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2026-10-10T10:43:41Z</dcterms:created>
  <dc:creator>openpyxl</dc:creator>
  <dc:description/>
  <dc:language>en-NZ</dc:language>
  <cp:lastModifiedBy/>
  <dcterms:modified xsi:type="dcterms:W3CDTF">2026-10-10T10:43:41Z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