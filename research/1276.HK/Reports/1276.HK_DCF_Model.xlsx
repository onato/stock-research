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<sst xmlns="http://schemas.openxmlformats.org/spreadsheetml/2006/main" count="347" uniqueCount="165">
  <si>
    <t xml:space="preserve">Ticker</t>
  </si>
  <si>
    <t xml:space="preserve">1276.HK</t>
  </si>
  <si>
    <t xml:space="preserve">Company</t>
  </si>
  <si>
    <t xml:space="preserve">Jiangsu Hengrui Pharmaceuticals Co., Ltd.</t>
  </si>
  <si>
    <t xml:space="preserve">Valuation date</t>
  </si>
  <si>
    <t xml:space="preserve">2026-10-16</t>
  </si>
  <si>
    <t xml:space="preserve">Current price</t>
  </si>
  <si>
    <t xml:space="preserve">Price as of</t>
  </si>
  <si>
    <t xml:space="preserve">2026-10-16T07:06:03Z (HKEX regular session, not after-hours)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</si>
  <si>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</si>
  <si>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</si>
  <si>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</si>
  <si>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</si>
  <si>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</si>
  <si>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</si>
  <si>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</si>
  <si>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</si>
  <si>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</si>
  <si>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</si>
  <si>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</si>
  <si>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</si>
  <si>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</si>
  <si>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2026-10-16T07:26:57Z</t>
  </si>
  <si>
    <t xml:space="preserve">Drivers file</t>
  </si>
  <si>
    <t xml:space="preserve">1276.HK_Drivers.json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</si>
  <si>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</si>
  <si>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</si>
  <si>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</si>
  <si>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Hengrui as the owner cash flow of its China drug franchise plus a normalised, mid-cycle out-licensing stream, with capitalised R&amp;D charged as capex and interest, fair-value and FX items stripped and matched by their assets in the bridge. The net cash pile (RMB38.7bn, ~RMB5.85/share) is added at book. The resulting value is what a 9% CNY discount rate pays for 5-8% near-term growth maturing to a ~19% owner-FCF margin; the market's ~40x P/E on the A-share implies either the bull pipeline/deal path or a much lower required return, and the required-return table shows which.
key_risks_to_valuation: NRDL renewal price cuts (&gt;60% in the 2025 round) and VBP rounds on the generic book: the single largest driver of the bear-base spread; Licensing revenue is deal-timing dependent; the base normalises it at ~RMB4.5bn and a multi-year gap in deal flow would push the stream toward the bear's RMB2.5bn; Pipeline/clinical execution against the ~53-approval 2026-28 target; a cluster of failures removes the innovative-growth engine the base case relies on; US-China biotech policy (BIOSECURE-type legislation, DoD listings of Chinese CROs) complicating future multinational deals or HSR clearances; Capitalised R&amp;D treated as capex (15% of revenue today) is a judgment: treating it as pure growth investment would raise value materially, treating it as perpetual would lower it; RMB/USD volatility on USD deposits and USD deal proceeds (H1 FY2026 unrealised FX loss RMB665.5m), excluded from operating flows but a real swing in reported profit; FX bridge CNY-&gt;HKD 1.1731 dated 2026-10-16 is not refreshed by price-only updates; the 12.5% A/H discount is a market-structure spread the model does not take a view on</t>
  </si>
  <si>
    <t xml:space="preserve">Data sources</t>
  </si>
  <si>
    <t xml:space="preserve">price: Yahoo Finance chart API for 1276.HK at inputs.price_as_of (regular session); 52-week range HKD43.02-84.50; CNY/HKD from Yahoo CNYHKD=X and the 600276.SH A-share quote used for the parity check, same timestamp
financials: 1276.HK_Metrics.csv / core_metrics and kpis (FY2022-FY2025 annual, interims to H1 FY2026); FY2025 annual report (consolidated P&amp;L, cash flow statement, notes 5-6 other income/expenses, note on share capital and EPS, revenue disaggregation note); H1 FY2026 interim report (condensed P&amp;L, balance sheet at 30 June 2026, EPS note, MD&amp;A on licensing, Kailera and FX)
qualitative: 1276.HK_Analysis.json (business model, licensing deals, NRDL/VBP risks, bull/bear cases, guidance on ~53 approvals 2026-28)</t>
  </si>
  <si>
    <t xml:space="preserve">Scenario narrative: bear</t>
  </si>
  <si>
    <t xml:space="preserve">The bear axes are domestic pricing policy and cross-border politics. NRDL negotiations keep extracting &gt;60% cuts on newly listed innovative drugs, VBP keeps compressing generics at ~18%/yr, PD-1/ADC/CDK4/6 competition from BeiGene/BeOne, Innovent, Junshi and Hansoh caps innovative growth near 9%, and BIOSECURE-type scrutiny plus a multinational capital-allocation downturn cut licensing to ~RMB2.5bn/yr. Revenue is flat in FY2026 and grows 1-4.5% thereafter; margin compresses to 25% as R&amp;D is defended at ~27% of revenue. The balance sheet (RMB38.7bn net cash, no borrowings) means there is no solvency path: the bear case is a slow-growth, lower-margin pharma, not a distressed one.</t>
  </si>
  <si>
    <t xml:space="preserve">Scenario narrative: base</t>
  </si>
  <si>
    <t xml:space="preserve">Hengrui becomes a predominantly innovative-drug company by 2028: innovative sales (FY2025 RMB16.3bn, 58% of drug sales) grow 15-16%/yr on the ~53 approvals management targets for 2026-28, while the RMB11.7bn generic book shrinks ~15%/yr under successive VBP rounds, so total drug sales grow only 3-9%/yr. Licensing is treated as a normalised mid-cycle stream (~RMB4.5bn, +5%/yr) rather than a run-rate of the BMS/Novo upfronts. The operating EBITDA margin drifts from 29% to 32% as the 86%-gross-margin innovative mix rises, partly offset by NRDL cuts and R&amp;D held near 22% of revenue. Capex (incl. capitalised R&amp;D) tapers from 15% of revenue to 8% as the manufacturing build and the capitalised-development step-up mature; cash tax ramps from ~12% to the 15% HNTE rate. Owner-FCF margin matures from ~10% to ~19% by year 10.</t>
  </si>
  <si>
    <t xml:space="preserve">Scenario narrative: bull</t>
  </si>
  <si>
    <t xml:space="preserve">The bull axes are pipeline conversion and deal flow. Approvals arrive on schedule, GLP-1/metabolic (ribupatide, HRS9531, HRS-1596) and ADC franchises scale, innovative drugs compound &gt;20% for five years, generics decline more slowly, and the BMS/Novo/Kailera relationships convert into milestones and royalties so licensing runs at RMB6-8bn/yr. Revenue grows 11-13% through 2030; EBITDA margin reaches 36%; capex falls to 7% of revenue. This needs pipeline, deal flow and margins to all deliver, which is why its weight is held at 25%.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</si>
  <si>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</si>
  <si>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</si>
  <si>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</si>
  <si>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</si>
  <si>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</si>
  <si>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</si>
  <si>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</si>
  <si>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</si>
  <si>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</si>
  <si>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</si>
  <si>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</si>
  <si>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</si>
  <si>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</si>
  <si>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</si>
  <si>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</si>
  <si>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</si>
  <si>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</si>
  <si>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</si>
  <si>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</si>
  <si>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</si>
  <si>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</si>
  <si>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</si>
  <si>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</si>
  <si>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</si>
  <si>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</si>
  <si>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</si>
  <si>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</si>
  <si>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CapitalisedDevelopment</t>
  </si>
  <si>
    <t xml:space="preserve">EPSBasic</t>
  </si>
  <si>
    <t xml:space="preserve">IntangibleAssetPurchases</t>
  </si>
  <si>
    <t xml:space="preserve">NetIncomeTotal</t>
  </si>
  <si>
    <t xml:space="preserve">ResearchAndDevelopment</t>
  </si>
  <si>
    <t xml:space="preserve">TotalEquityInclNCI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</si>
  <si>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</si>
  <si>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</si>
  <si>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</si>
  <si>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</si>
  <si>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</si>
  <si>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</si>
  <si>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</si>
  <si>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</si>
  <si>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</si>
  <si>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</si>
  <si>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</si>
  <si>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</si>
  <si>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</si>
  <si>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</si>
  <si>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</si>
  <si>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</si>
  <si>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</si>
  <si>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</si>
  <si>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</si>
  <si>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</si>
  <si>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</si>
  <si>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</si>
  <si>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</si>
  <si>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</si>
  <si>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</si>
  <si>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</si>
  <si>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</si>
  <si>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</si>
  <si>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</si>
  <si>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</si>
  <si>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</si>
  <si>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</si>
  <si>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</si>
  <si>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</si>
  <si>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</si>
  <si>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</si>
  <si>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</si>
  <si>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</si>
  <si>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</si>
  <si>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</si>
  <si>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</si>
  <si>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1276.HK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</si>
  <si>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</si>
  <si>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</si>
  <si>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</si>
  <si>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</si>
  <si>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</si>
  <si>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</si>
  <si>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</si>
  <si>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</si>
  <si>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</si>
  <si>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</si>
  <si>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</si>
  <si>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</si>
  <si>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</si>
  <si>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</si>
  <si>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</si>
  <si>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</si>
  <si>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</si>
  <si>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</si>
  <si>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</si>
  <si>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</si>
  <si>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</si>
  <si>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</si>
  <si>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</si>
  <si>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</si>
  <si>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</si>
  <si>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</si>
  <si>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</si>
  <si>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</si>
  <si>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</si>
  <si>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</si>
  <si>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1276.HK owner-FCF component DCF: base case (millions, CNY)</t>
  </si>
  <si>
    <t xml:space="preserve">1276.HK owner-FCF component DCF: bull case (millions, CNY)</t>
  </si>
  <si>
    <t xml:space="preserve">1276.HK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</si>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</sst>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47.84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  <c r="AG1" s="2" t="s">
        <v>68</v>
      </c>
      <c r="AH1" s="2" t="s">
        <v>69</v>
      </c>
    </row>
    <row r="2" customFormat="false" ht="15" hidden="false" customHeight="false" outlineLevel="0" collapsed="false">
      <c r="A2" s="0" t="s">
        <v>70</v>
      </c>
      <c r="B2" s="0" t="n">
        <v>21275.271</v>
      </c>
      <c r="C2" s="0" t="n">
        <v>3486.639</v>
      </c>
      <c r="D2" s="0" t="n">
        <v>17788.632</v>
      </c>
      <c r="E2" s="0" t="n">
        <v>83.6</v>
      </c>
      <c r="H2" s="0" t="n">
        <v>4230.219</v>
      </c>
      <c r="I2" s="0" t="n">
        <v>3906.374</v>
      </c>
      <c r="J2" s="0" t="n">
        <v>18.4</v>
      </c>
      <c r="K2" s="0" t="n">
        <v>0.61</v>
      </c>
      <c r="P2" s="0" t="n">
        <v>42370.875</v>
      </c>
      <c r="Q2" s="0" t="n">
        <v>3957.967</v>
      </c>
      <c r="AA2" s="0" t="s">
        <v>18</v>
      </c>
      <c r="AB2" s="0" t="s">
        <v>14</v>
      </c>
      <c r="AC2" s="0" t="n">
        <v>1459.008</v>
      </c>
      <c r="AD2" s="0" t="n">
        <v>0.61</v>
      </c>
      <c r="AF2" s="0" t="n">
        <v>3815.141</v>
      </c>
      <c r="AG2" s="0" t="n">
        <v>4886.553</v>
      </c>
      <c r="AH2" s="0" t="n">
        <v>38412.908</v>
      </c>
    </row>
    <row r="3" customFormat="false" ht="15" hidden="false" customHeight="false" outlineLevel="0" collapsed="false">
      <c r="A3" s="0" t="s">
        <v>71</v>
      </c>
      <c r="B3" s="0" t="n">
        <v>22819.785</v>
      </c>
      <c r="C3" s="0" t="n">
        <v>3525.248</v>
      </c>
      <c r="D3" s="0" t="n">
        <v>19294.537</v>
      </c>
      <c r="E3" s="0" t="n">
        <v>84.6</v>
      </c>
      <c r="H3" s="0" t="n">
        <v>4989.809</v>
      </c>
      <c r="I3" s="0" t="n">
        <v>4302.436</v>
      </c>
      <c r="J3" s="0" t="n">
        <v>18.9</v>
      </c>
      <c r="K3" s="0" t="n">
        <v>0.68</v>
      </c>
      <c r="P3" s="0" t="n">
        <v>43784.507</v>
      </c>
      <c r="Q3" s="0" t="n">
        <v>2751.421</v>
      </c>
      <c r="AA3" s="0" t="s">
        <v>18</v>
      </c>
      <c r="AB3" s="0" t="s">
        <v>14</v>
      </c>
      <c r="AC3" s="0" t="n">
        <v>1196.12</v>
      </c>
      <c r="AD3" s="0" t="n">
        <v>0.68</v>
      </c>
      <c r="AF3" s="0" t="n">
        <v>4277.821</v>
      </c>
      <c r="AG3" s="0" t="n">
        <v>4953.887</v>
      </c>
      <c r="AH3" s="0" t="n">
        <v>41033.086</v>
      </c>
    </row>
    <row r="4" customFormat="false" ht="15" hidden="false" customHeight="false" outlineLevel="0" collapsed="false">
      <c r="A4" s="0" t="s">
        <v>72</v>
      </c>
      <c r="B4" s="0" t="n">
        <v>27984.605</v>
      </c>
      <c r="C4" s="0" t="n">
        <v>3848.177</v>
      </c>
      <c r="D4" s="0" t="n">
        <v>24136.428</v>
      </c>
      <c r="E4" s="0" t="n">
        <v>86.2</v>
      </c>
      <c r="F4" s="0" t="n">
        <v>6571.972</v>
      </c>
      <c r="G4" s="0" t="n">
        <v>23.5</v>
      </c>
      <c r="H4" s="0" t="n">
        <v>7442.791</v>
      </c>
      <c r="I4" s="0" t="n">
        <v>6336.527</v>
      </c>
      <c r="J4" s="0" t="n">
        <v>22.6</v>
      </c>
      <c r="K4" s="0" t="n">
        <v>1</v>
      </c>
      <c r="L4" s="0" t="n">
        <v>7422.753</v>
      </c>
      <c r="M4" s="0" t="n">
        <v>1969.198</v>
      </c>
      <c r="N4" s="0" t="n">
        <v>5453.555</v>
      </c>
      <c r="O4" s="0" t="n">
        <v>45519.862</v>
      </c>
      <c r="P4" s="0" t="n">
        <v>50135.644</v>
      </c>
      <c r="Q4" s="0" t="n">
        <v>4045.393</v>
      </c>
      <c r="R4" s="0" t="n">
        <v>159.992</v>
      </c>
      <c r="S4" s="0" t="n">
        <v>24802.475</v>
      </c>
      <c r="T4" s="0" t="n">
        <v>6357.133</v>
      </c>
      <c r="U4" s="0" t="n">
        <v>209.255</v>
      </c>
      <c r="AA4" s="0" t="s">
        <v>18</v>
      </c>
      <c r="AB4" s="0" t="s">
        <v>14</v>
      </c>
      <c r="AC4" s="0" t="n">
        <v>1644.922</v>
      </c>
      <c r="AD4" s="0" t="n">
        <v>1</v>
      </c>
      <c r="AE4" s="0" t="n">
        <v>1745.808</v>
      </c>
      <c r="AF4" s="0" t="n">
        <v>6336.995</v>
      </c>
      <c r="AG4" s="0" t="n">
        <v>6582.916</v>
      </c>
      <c r="AH4" s="0" t="n">
        <v>46090.251</v>
      </c>
    </row>
    <row r="5" customFormat="false" ht="15" hidden="false" customHeight="false" outlineLevel="0" collapsed="false">
      <c r="A5" s="0" t="s">
        <v>73</v>
      </c>
      <c r="B5" s="0" t="n">
        <v>31629.416</v>
      </c>
      <c r="C5" s="0" t="n">
        <v>4362.656</v>
      </c>
      <c r="D5" s="0" t="n">
        <v>27266.76</v>
      </c>
      <c r="E5" s="0" t="n">
        <v>86.2</v>
      </c>
      <c r="F5" s="0" t="n">
        <v>7936.587</v>
      </c>
      <c r="G5" s="0" t="n">
        <v>25.1</v>
      </c>
      <c r="H5" s="0" t="n">
        <v>8879.057</v>
      </c>
      <c r="I5" s="0" t="n">
        <v>7711.055</v>
      </c>
      <c r="J5" s="0" t="n">
        <v>24.4</v>
      </c>
      <c r="K5" s="0" t="n">
        <v>1.18</v>
      </c>
      <c r="L5" s="0" t="n">
        <v>11235.378</v>
      </c>
      <c r="M5" s="0" t="n">
        <v>2961.908</v>
      </c>
      <c r="N5" s="0" t="n">
        <v>8273.47</v>
      </c>
      <c r="O5" s="0" t="n">
        <v>61272.068</v>
      </c>
      <c r="P5" s="0" t="n">
        <v>69867.316</v>
      </c>
      <c r="Q5" s="0" t="n">
        <v>8070.493</v>
      </c>
      <c r="R5" s="0" t="n">
        <v>0</v>
      </c>
      <c r="S5" s="0" t="n">
        <v>40854.732</v>
      </c>
      <c r="T5" s="0" t="n">
        <v>6509.313</v>
      </c>
      <c r="U5" s="0" t="n">
        <v>283.395</v>
      </c>
      <c r="AA5" s="0" t="s">
        <v>18</v>
      </c>
      <c r="AB5" s="0" t="s">
        <v>14</v>
      </c>
      <c r="AC5" s="0" t="n">
        <v>1762.697</v>
      </c>
      <c r="AD5" s="0" t="n">
        <v>1.19</v>
      </c>
      <c r="AE5" s="0" t="n">
        <v>1841.005</v>
      </c>
      <c r="AF5" s="0" t="n">
        <v>7717.002</v>
      </c>
      <c r="AG5" s="0" t="n">
        <v>6961.155</v>
      </c>
      <c r="AH5" s="0" t="n">
        <v>61796.823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47.84</v>
      </c>
    </row>
    <row r="3" customFormat="false" ht="15" hidden="false" customHeight="false" outlineLevel="0" collapsed="false">
      <c r="A3" s="0" t="s">
        <v>77</v>
      </c>
      <c r="B3" s="3" t="n">
        <v>6606.341</v>
      </c>
    </row>
    <row r="4" customFormat="false" ht="15" hidden="false" customHeight="false" outlineLevel="0" collapsed="false">
      <c r="A4" s="0" t="s">
        <v>78</v>
      </c>
      <c r="B4" s="3" t="n">
        <v>-38653.6</v>
      </c>
    </row>
    <row r="5" customFormat="false" ht="15" hidden="false" customHeight="false" outlineLevel="0" collapsed="false">
      <c r="A5" s="0" t="s">
        <v>79</v>
      </c>
      <c r="B5" s="3" t="n">
        <v>968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31629.416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1.1731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0</v>
      </c>
      <c r="D13" s="3" t="n">
        <v>1</v>
      </c>
      <c r="E13" s="3" t="n">
        <v>3</v>
      </c>
      <c r="F13" s="3" t="n">
        <v>4</v>
      </c>
      <c r="G13" s="3" t="n">
        <v>4.5</v>
      </c>
      <c r="H13" s="3" t="n">
        <v>4.5</v>
      </c>
      <c r="I13" s="3" t="n">
        <v>4</v>
      </c>
      <c r="J13" s="3" t="n">
        <v>3.5</v>
      </c>
      <c r="K13" s="3" t="n">
        <v>3</v>
      </c>
      <c r="L13" s="3" t="n">
        <v>2.5</v>
      </c>
    </row>
    <row r="14" customFormat="false" ht="15" hidden="false" customHeight="false" outlineLevel="0" collapsed="false">
      <c r="A14" s="0" t="s">
        <v>98</v>
      </c>
      <c r="C14" s="3" t="n">
        <v>27</v>
      </c>
      <c r="D14" s="3" t="n">
        <v>26.5</v>
      </c>
      <c r="E14" s="3" t="n">
        <v>26</v>
      </c>
      <c r="F14" s="3" t="n">
        <v>25.5</v>
      </c>
      <c r="G14" s="3" t="n">
        <v>25</v>
      </c>
      <c r="H14" s="3" t="n">
        <v>25</v>
      </c>
      <c r="I14" s="3" t="n">
        <v>25</v>
      </c>
      <c r="J14" s="3" t="n">
        <v>25</v>
      </c>
      <c r="K14" s="3" t="n">
        <v>25</v>
      </c>
      <c r="L14" s="3" t="n">
        <v>25</v>
      </c>
    </row>
    <row r="15" customFormat="false" ht="15" hidden="false" customHeight="false" outlineLevel="0" collapsed="false">
      <c r="A15" s="0" t="s">
        <v>99</v>
      </c>
      <c r="C15" s="3" t="n">
        <v>1</v>
      </c>
      <c r="D15" s="3" t="n">
        <v>1</v>
      </c>
      <c r="E15" s="3" t="n">
        <v>1</v>
      </c>
      <c r="F15" s="3" t="n">
        <v>1</v>
      </c>
      <c r="G15" s="3" t="n">
        <v>1</v>
      </c>
      <c r="H15" s="3" t="n">
        <v>1</v>
      </c>
      <c r="I15" s="3" t="n">
        <v>1</v>
      </c>
      <c r="J15" s="3" t="n">
        <v>1</v>
      </c>
      <c r="K15" s="3" t="n">
        <v>1</v>
      </c>
      <c r="L15" s="3" t="n">
        <v>1</v>
      </c>
    </row>
    <row r="16" customFormat="false" ht="15" hidden="false" customHeight="false" outlineLevel="0" collapsed="false">
      <c r="A16" s="0" t="s">
        <v>100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101</v>
      </c>
      <c r="C17" s="3" t="n">
        <v>3.2</v>
      </c>
      <c r="D17" s="3" t="n">
        <v>3.5</v>
      </c>
      <c r="E17" s="3" t="n">
        <v>3.8</v>
      </c>
      <c r="F17" s="3" t="n">
        <v>4.1</v>
      </c>
      <c r="G17" s="3" t="n">
        <v>4.4</v>
      </c>
      <c r="H17" s="3" t="n">
        <v>4.7</v>
      </c>
      <c r="I17" s="3" t="n">
        <v>5</v>
      </c>
      <c r="J17" s="3" t="n">
        <v>5.2</v>
      </c>
      <c r="K17" s="3" t="n">
        <v>5.4</v>
      </c>
      <c r="L17" s="3" t="n">
        <v>5.5</v>
      </c>
    </row>
    <row r="18" customFormat="false" ht="15" hidden="false" customHeight="false" outlineLevel="0" collapsed="false">
      <c r="A18" s="0" t="s">
        <v>102</v>
      </c>
      <c r="C18" s="3" t="n">
        <v>15</v>
      </c>
      <c r="D18" s="3" t="n">
        <v>14</v>
      </c>
      <c r="E18" s="3" t="n">
        <v>13</v>
      </c>
      <c r="F18" s="3" t="n">
        <v>12</v>
      </c>
      <c r="G18" s="3" t="n">
        <v>11</v>
      </c>
      <c r="H18" s="3" t="n">
        <v>10</v>
      </c>
      <c r="I18" s="3" t="n">
        <v>9.5</v>
      </c>
      <c r="J18" s="3" t="n">
        <v>9</v>
      </c>
      <c r="K18" s="3" t="n">
        <v>8.5</v>
      </c>
      <c r="L18" s="3" t="n">
        <v>8</v>
      </c>
    </row>
    <row r="19" customFormat="false" ht="15" hidden="false" customHeight="false" outlineLevel="0" collapsed="false">
      <c r="A19" s="0" t="s">
        <v>103</v>
      </c>
      <c r="C19" s="3" t="n">
        <v>13</v>
      </c>
      <c r="D19" s="3" t="n">
        <v>14</v>
      </c>
      <c r="E19" s="3" t="n">
        <v>15</v>
      </c>
      <c r="F19" s="3" t="n">
        <v>15</v>
      </c>
      <c r="G19" s="3" t="n">
        <v>15</v>
      </c>
      <c r="H19" s="3" t="n">
        <v>15</v>
      </c>
      <c r="I19" s="3" t="n">
        <v>15</v>
      </c>
      <c r="J19" s="3" t="n">
        <v>15</v>
      </c>
      <c r="K19" s="3" t="n">
        <v>15</v>
      </c>
      <c r="L19" s="3" t="n">
        <v>15</v>
      </c>
    </row>
    <row r="20" customFormat="false" ht="15" hidden="false" customHeight="false" outlineLevel="0" collapsed="false">
      <c r="A20" s="0" t="s">
        <v>104</v>
      </c>
      <c r="B20" s="3" t="n">
        <v>9</v>
      </c>
    </row>
    <row r="21" customFormat="false" ht="15" hidden="false" customHeight="false" outlineLevel="0" collapsed="false">
      <c r="A21" s="0" t="s">
        <v>105</v>
      </c>
      <c r="B21" s="3" t="n">
        <v>2.5</v>
      </c>
    </row>
    <row r="22" customFormat="false" ht="15" hidden="false" customHeight="false" outlineLevel="0" collapsed="false">
      <c r="A22" s="0" t="s">
        <v>106</v>
      </c>
      <c r="B22" s="3" t="n">
        <v>20</v>
      </c>
    </row>
    <row r="23" customFormat="false" ht="15" hidden="false" customHeight="false" outlineLevel="0" collapsed="false">
      <c r="A23" s="0" t="s">
        <v>107</v>
      </c>
      <c r="B23" s="3" t="n">
        <v>-10</v>
      </c>
    </row>
    <row r="24" customFormat="false" ht="15" hidden="false" customHeight="false" outlineLevel="0" collapsed="false">
      <c r="A24" s="0" t="s">
        <v>108</v>
      </c>
      <c r="B24" s="3" t="n">
        <v>0.25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6.5</v>
      </c>
      <c r="D27" s="3" t="n">
        <v>5</v>
      </c>
      <c r="E27" s="3" t="n">
        <v>6.5</v>
      </c>
      <c r="F27" s="3" t="n">
        <v>8</v>
      </c>
      <c r="G27" s="3" t="n">
        <v>8</v>
      </c>
      <c r="H27" s="3" t="n">
        <v>7.5</v>
      </c>
      <c r="I27" s="3" t="n">
        <v>6.5</v>
      </c>
      <c r="J27" s="3" t="n">
        <v>5.5</v>
      </c>
      <c r="K27" s="3" t="n">
        <v>4.5</v>
      </c>
      <c r="L27" s="3" t="n">
        <v>3.5</v>
      </c>
    </row>
    <row r="28" customFormat="false" ht="15" hidden="false" customHeight="false" outlineLevel="0" collapsed="false">
      <c r="A28" s="0" t="s">
        <v>98</v>
      </c>
      <c r="C28" s="3" t="n">
        <v>29</v>
      </c>
      <c r="D28" s="3" t="n">
        <v>29.5</v>
      </c>
      <c r="E28" s="3" t="n">
        <v>30</v>
      </c>
      <c r="F28" s="3" t="n">
        <v>30.5</v>
      </c>
      <c r="G28" s="3" t="n">
        <v>31</v>
      </c>
      <c r="H28" s="3" t="n">
        <v>31.5</v>
      </c>
      <c r="I28" s="3" t="n">
        <v>32</v>
      </c>
      <c r="J28" s="3" t="n">
        <v>32</v>
      </c>
      <c r="K28" s="3" t="n">
        <v>32</v>
      </c>
      <c r="L28" s="3" t="n">
        <v>32</v>
      </c>
    </row>
    <row r="29" customFormat="false" ht="15" hidden="false" customHeight="false" outlineLevel="0" collapsed="false">
      <c r="A29" s="0" t="s">
        <v>99</v>
      </c>
      <c r="C29" s="3" t="n">
        <v>1</v>
      </c>
      <c r="D29" s="3" t="n">
        <v>1</v>
      </c>
      <c r="E29" s="3" t="n">
        <v>1</v>
      </c>
      <c r="F29" s="3" t="n">
        <v>1</v>
      </c>
      <c r="G29" s="3" t="n">
        <v>1</v>
      </c>
      <c r="H29" s="3" t="n">
        <v>0.95</v>
      </c>
      <c r="I29" s="3" t="n">
        <v>0.95</v>
      </c>
      <c r="J29" s="3" t="n">
        <v>0.9</v>
      </c>
      <c r="K29" s="3" t="n">
        <v>0.9</v>
      </c>
      <c r="L29" s="3" t="n">
        <v>0.9</v>
      </c>
    </row>
    <row r="30" customFormat="false" ht="15" hidden="false" customHeight="false" outlineLevel="0" collapsed="false">
      <c r="A30" s="0" t="s">
        <v>100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101</v>
      </c>
      <c r="C31" s="3" t="n">
        <v>3.2</v>
      </c>
      <c r="D31" s="3" t="n">
        <v>3.5</v>
      </c>
      <c r="E31" s="3" t="n">
        <v>3.8</v>
      </c>
      <c r="F31" s="3" t="n">
        <v>4.1</v>
      </c>
      <c r="G31" s="3" t="n">
        <v>4.4</v>
      </c>
      <c r="H31" s="3" t="n">
        <v>4.7</v>
      </c>
      <c r="I31" s="3" t="n">
        <v>5</v>
      </c>
      <c r="J31" s="3" t="n">
        <v>5.2</v>
      </c>
      <c r="K31" s="3" t="n">
        <v>5.4</v>
      </c>
      <c r="L31" s="3" t="n">
        <v>5.5</v>
      </c>
    </row>
    <row r="32" customFormat="false" ht="15" hidden="false" customHeight="false" outlineLevel="0" collapsed="false">
      <c r="A32" s="0" t="s">
        <v>102</v>
      </c>
      <c r="C32" s="3" t="n">
        <v>15</v>
      </c>
      <c r="D32" s="3" t="n">
        <v>14</v>
      </c>
      <c r="E32" s="3" t="n">
        <v>13</v>
      </c>
      <c r="F32" s="3" t="n">
        <v>12</v>
      </c>
      <c r="G32" s="3" t="n">
        <v>11</v>
      </c>
      <c r="H32" s="3" t="n">
        <v>10</v>
      </c>
      <c r="I32" s="3" t="n">
        <v>9.5</v>
      </c>
      <c r="J32" s="3" t="n">
        <v>9</v>
      </c>
      <c r="K32" s="3" t="n">
        <v>8.5</v>
      </c>
      <c r="L32" s="3" t="n">
        <v>8</v>
      </c>
    </row>
    <row r="33" customFormat="false" ht="15" hidden="false" customHeight="false" outlineLevel="0" collapsed="false">
      <c r="A33" s="0" t="s">
        <v>103</v>
      </c>
      <c r="C33" s="3" t="n">
        <v>12</v>
      </c>
      <c r="D33" s="3" t="n">
        <v>12.5</v>
      </c>
      <c r="E33" s="3" t="n">
        <v>13</v>
      </c>
      <c r="F33" s="3" t="n">
        <v>13.5</v>
      </c>
      <c r="G33" s="3" t="n">
        <v>14</v>
      </c>
      <c r="H33" s="3" t="n">
        <v>14.5</v>
      </c>
      <c r="I33" s="3" t="n">
        <v>15</v>
      </c>
      <c r="J33" s="3" t="n">
        <v>15</v>
      </c>
      <c r="K33" s="3" t="n">
        <v>15</v>
      </c>
      <c r="L33" s="3" t="n">
        <v>15</v>
      </c>
    </row>
    <row r="34" customFormat="false" ht="15" hidden="false" customHeight="false" outlineLevel="0" collapsed="false">
      <c r="A34" s="0" t="s">
        <v>104</v>
      </c>
      <c r="B34" s="3" t="n">
        <v>9</v>
      </c>
    </row>
    <row r="35" customFormat="false" ht="15" hidden="false" customHeight="false" outlineLevel="0" collapsed="false">
      <c r="A35" s="0" t="s">
        <v>105</v>
      </c>
      <c r="B35" s="3" t="n">
        <v>3</v>
      </c>
    </row>
    <row r="36" customFormat="false" ht="15" hidden="false" customHeight="false" outlineLevel="0" collapsed="false">
      <c r="A36" s="0" t="s">
        <v>106</v>
      </c>
      <c r="B36" s="3" t="n">
        <v>20</v>
      </c>
    </row>
    <row r="37" customFormat="false" ht="15" hidden="false" customHeight="false" outlineLevel="0" collapsed="false">
      <c r="A37" s="0" t="s">
        <v>107</v>
      </c>
      <c r="B37" s="3" t="n">
        <v>-8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12</v>
      </c>
      <c r="D41" s="3" t="n">
        <v>11</v>
      </c>
      <c r="E41" s="3" t="n">
        <v>12</v>
      </c>
      <c r="F41" s="3" t="n">
        <v>13</v>
      </c>
      <c r="G41" s="3" t="n">
        <v>12</v>
      </c>
      <c r="H41" s="3" t="n">
        <v>11</v>
      </c>
      <c r="I41" s="3" t="n">
        <v>9</v>
      </c>
      <c r="J41" s="3" t="n">
        <v>7</v>
      </c>
      <c r="K41" s="3" t="n">
        <v>6</v>
      </c>
      <c r="L41" s="3" t="n">
        <v>4</v>
      </c>
    </row>
    <row r="42" customFormat="false" ht="15" hidden="false" customHeight="false" outlineLevel="0" collapsed="false">
      <c r="A42" s="0" t="s">
        <v>98</v>
      </c>
      <c r="C42" s="3" t="n">
        <v>30</v>
      </c>
      <c r="D42" s="3" t="n">
        <v>31</v>
      </c>
      <c r="E42" s="3" t="n">
        <v>32</v>
      </c>
      <c r="F42" s="3" t="n">
        <v>33</v>
      </c>
      <c r="G42" s="3" t="n">
        <v>34</v>
      </c>
      <c r="H42" s="3" t="n">
        <v>35</v>
      </c>
      <c r="I42" s="3" t="n">
        <v>35.5</v>
      </c>
      <c r="J42" s="3" t="n">
        <v>36</v>
      </c>
      <c r="K42" s="3" t="n">
        <v>36</v>
      </c>
      <c r="L42" s="3" t="n">
        <v>36</v>
      </c>
    </row>
    <row r="43" customFormat="false" ht="15" hidden="false" customHeight="false" outlineLevel="0" collapsed="false">
      <c r="A43" s="0" t="s">
        <v>99</v>
      </c>
      <c r="C43" s="3" t="n">
        <v>1</v>
      </c>
      <c r="D43" s="3" t="n">
        <v>1</v>
      </c>
      <c r="E43" s="3" t="n">
        <v>1</v>
      </c>
      <c r="F43" s="3" t="n">
        <v>1</v>
      </c>
      <c r="G43" s="3" t="n">
        <v>1</v>
      </c>
      <c r="H43" s="3" t="n">
        <v>0.95</v>
      </c>
      <c r="I43" s="3" t="n">
        <v>0.95</v>
      </c>
      <c r="J43" s="3" t="n">
        <v>0.9</v>
      </c>
      <c r="K43" s="3" t="n">
        <v>0.9</v>
      </c>
      <c r="L43" s="3" t="n">
        <v>0.9</v>
      </c>
    </row>
    <row r="44" customFormat="false" ht="15" hidden="false" customHeight="false" outlineLevel="0" collapsed="false">
      <c r="A44" s="0" t="s">
        <v>100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101</v>
      </c>
      <c r="C45" s="3" t="n">
        <v>3.2</v>
      </c>
      <c r="D45" s="3" t="n">
        <v>3.5</v>
      </c>
      <c r="E45" s="3" t="n">
        <v>3.8</v>
      </c>
      <c r="F45" s="3" t="n">
        <v>4</v>
      </c>
      <c r="G45" s="3" t="n">
        <v>4.2</v>
      </c>
      <c r="H45" s="3" t="n">
        <v>4.4</v>
      </c>
      <c r="I45" s="3" t="n">
        <v>4.6</v>
      </c>
      <c r="J45" s="3" t="n">
        <v>4.8</v>
      </c>
      <c r="K45" s="3" t="n">
        <v>5</v>
      </c>
      <c r="L45" s="3" t="n">
        <v>5</v>
      </c>
    </row>
    <row r="46" customFormat="false" ht="15" hidden="false" customHeight="false" outlineLevel="0" collapsed="false">
      <c r="A46" s="0" t="s">
        <v>102</v>
      </c>
      <c r="C46" s="3" t="n">
        <v>15</v>
      </c>
      <c r="D46" s="3" t="n">
        <v>13.5</v>
      </c>
      <c r="E46" s="3" t="n">
        <v>12</v>
      </c>
      <c r="F46" s="3" t="n">
        <v>11</v>
      </c>
      <c r="G46" s="3" t="n">
        <v>10</v>
      </c>
      <c r="H46" s="3" t="n">
        <v>9</v>
      </c>
      <c r="I46" s="3" t="n">
        <v>8.5</v>
      </c>
      <c r="J46" s="3" t="n">
        <v>8</v>
      </c>
      <c r="K46" s="3" t="n">
        <v>7.5</v>
      </c>
      <c r="L46" s="3" t="n">
        <v>7</v>
      </c>
    </row>
    <row r="47" customFormat="false" ht="15" hidden="false" customHeight="false" outlineLevel="0" collapsed="false">
      <c r="A47" s="0" t="s">
        <v>103</v>
      </c>
      <c r="C47" s="3" t="n">
        <v>12</v>
      </c>
      <c r="D47" s="3" t="n">
        <v>12.5</v>
      </c>
      <c r="E47" s="3" t="n">
        <v>13</v>
      </c>
      <c r="F47" s="3" t="n">
        <v>13.5</v>
      </c>
      <c r="G47" s="3" t="n">
        <v>14</v>
      </c>
      <c r="H47" s="3" t="n">
        <v>14.5</v>
      </c>
      <c r="I47" s="3" t="n">
        <v>15</v>
      </c>
      <c r="J47" s="3" t="n">
        <v>15</v>
      </c>
      <c r="K47" s="3" t="n">
        <v>15</v>
      </c>
      <c r="L47" s="3" t="n">
        <v>15</v>
      </c>
    </row>
    <row r="48" customFormat="false" ht="15" hidden="false" customHeight="false" outlineLevel="0" collapsed="false">
      <c r="A48" s="0" t="s">
        <v>104</v>
      </c>
      <c r="B48" s="3" t="n">
        <v>9</v>
      </c>
    </row>
    <row r="49" customFormat="false" ht="15" hidden="false" customHeight="false" outlineLevel="0" collapsed="false">
      <c r="A49" s="0" t="s">
        <v>105</v>
      </c>
      <c r="B49" s="3" t="n">
        <v>3</v>
      </c>
    </row>
    <row r="50" customFormat="false" ht="15" hidden="false" customHeight="false" outlineLevel="0" collapsed="false">
      <c r="A50" s="0" t="s">
        <v>106</v>
      </c>
      <c r="B50" s="3" t="n">
        <v>20</v>
      </c>
    </row>
    <row r="51" customFormat="false" ht="15" hidden="false" customHeight="false" outlineLevel="0" collapsed="false">
      <c r="A51" s="0" t="s">
        <v>107</v>
      </c>
      <c r="B51" s="3" t="n">
        <v>-6</v>
      </c>
    </row>
    <row r="52" customFormat="false" ht="15" hidden="false" customHeight="false" outlineLevel="0" collapsed="false">
      <c r="A52" s="0" t="s">
        <v>108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0</v>
      </c>
      <c r="D5" s="4" t="n">
        <f aca="false">Assumptions!D13</f>
        <v>1</v>
      </c>
      <c r="E5" s="4" t="n">
        <f aca="false">Assumptions!E13</f>
        <v>3</v>
      </c>
      <c r="F5" s="4" t="n">
        <f aca="false">Assumptions!F13</f>
        <v>4</v>
      </c>
      <c r="G5" s="4" t="n">
        <f aca="false">Assumptions!G13</f>
        <v>4.5</v>
      </c>
      <c r="H5" s="4" t="n">
        <f aca="false">Assumptions!H13</f>
        <v>4.5</v>
      </c>
      <c r="I5" s="4" t="n">
        <f aca="false">Assumptions!I13</f>
        <v>4</v>
      </c>
      <c r="J5" s="4" t="n">
        <f aca="false">Assumptions!J13</f>
        <v>3.5</v>
      </c>
      <c r="K5" s="4" t="n">
        <f aca="false">Assumptions!K13</f>
        <v>3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38</v>
      </c>
      <c r="B6" s="3" t="n">
        <v>31629.416</v>
      </c>
      <c r="C6" s="0" t="n">
        <f aca="false">B6*(1+C5/100)</f>
        <v>31629.416</v>
      </c>
      <c r="D6" s="0" t="n">
        <f aca="false">C6*(1+D5/100)</f>
        <v>31945.71016</v>
      </c>
      <c r="E6" s="0" t="n">
        <f aca="false">D6*(1+E5/100)</f>
        <v>32904.0814648</v>
      </c>
      <c r="F6" s="0" t="n">
        <f aca="false">E6*(1+F5/100)</f>
        <v>34220.244723392</v>
      </c>
      <c r="G6" s="0" t="n">
        <f aca="false">F6*(1+G5/100)</f>
        <v>35760.1557359446</v>
      </c>
      <c r="H6" s="0" t="n">
        <f aca="false">G6*(1+H5/100)</f>
        <v>37369.3627440621</v>
      </c>
      <c r="I6" s="0" t="n">
        <f aca="false">H6*(1+I5/100)</f>
        <v>38864.1372538246</v>
      </c>
      <c r="J6" s="0" t="n">
        <f aca="false">I6*(1+J5/100)</f>
        <v>40224.3820577085</v>
      </c>
      <c r="K6" s="0" t="n">
        <f aca="false">J6*(1+K5/100)</f>
        <v>41431.1135194397</v>
      </c>
      <c r="L6" s="0" t="n">
        <f aca="false">K6*(1+L5/100)</f>
        <v>42466.8913574257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27</v>
      </c>
      <c r="D7" s="4" t="n">
        <f aca="false">Assumptions!D14</f>
        <v>26.5</v>
      </c>
      <c r="E7" s="4" t="n">
        <f aca="false">Assumptions!E14</f>
        <v>26</v>
      </c>
      <c r="F7" s="4" t="n">
        <f aca="false">Assumptions!F14</f>
        <v>25.5</v>
      </c>
      <c r="G7" s="4" t="n">
        <f aca="false">Assumptions!G14</f>
        <v>25</v>
      </c>
      <c r="H7" s="4" t="n">
        <f aca="false">Assumptions!H14</f>
        <v>25</v>
      </c>
      <c r="I7" s="4" t="n">
        <f aca="false">Assumptions!I14</f>
        <v>25</v>
      </c>
      <c r="J7" s="4" t="n">
        <f aca="false">Assumptions!J14</f>
        <v>25</v>
      </c>
      <c r="K7" s="4" t="n">
        <f aca="false">Assumptions!K14</f>
        <v>25</v>
      </c>
      <c r="L7" s="4" t="n">
        <f aca="false">Assumptions!L14</f>
        <v>25</v>
      </c>
    </row>
    <row r="8" customFormat="false" ht="15" hidden="false" customHeight="false" outlineLevel="0" collapsed="false">
      <c r="A8" s="0" t="s">
        <v>44</v>
      </c>
      <c r="C8" s="0" t="n">
        <f aca="false">C6*C7/100</f>
        <v>8539.94232</v>
      </c>
      <c r="D8" s="0" t="n">
        <f aca="false">D6*D7/100</f>
        <v>8465.6131924</v>
      </c>
      <c r="E8" s="0" t="n">
        <f aca="false">E6*E7/100</f>
        <v>8555.061180848</v>
      </c>
      <c r="F8" s="0" t="n">
        <f aca="false">F6*F7/100</f>
        <v>8726.16240446496</v>
      </c>
      <c r="G8" s="0" t="n">
        <f aca="false">G6*G7/100</f>
        <v>8940.03893398616</v>
      </c>
      <c r="H8" s="0" t="n">
        <f aca="false">H6*H7/100</f>
        <v>9342.34068601554</v>
      </c>
      <c r="I8" s="0" t="n">
        <f aca="false">I6*I7/100</f>
        <v>9716.03431345616</v>
      </c>
      <c r="J8" s="0" t="n">
        <f aca="false">J6*J7/100</f>
        <v>10056.0955144271</v>
      </c>
      <c r="K8" s="0" t="n">
        <f aca="false">K6*K7/100</f>
        <v>10357.7783798599</v>
      </c>
      <c r="L8" s="0" t="n">
        <f aca="false">L6*L7/100</f>
        <v>10616.7228393564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1</v>
      </c>
      <c r="D9" s="4" t="n">
        <f aca="false">Assumptions!D15</f>
        <v>1</v>
      </c>
      <c r="E9" s="4" t="n">
        <f aca="false">Assumptions!E15</f>
        <v>1</v>
      </c>
      <c r="F9" s="4" t="n">
        <f aca="false">Assumptions!F15</f>
        <v>1</v>
      </c>
      <c r="G9" s="4" t="n">
        <f aca="false">Assumptions!G15</f>
        <v>1</v>
      </c>
      <c r="H9" s="4" t="n">
        <f aca="false">Assumptions!H15</f>
        <v>1</v>
      </c>
      <c r="I9" s="4" t="n">
        <f aca="false">Assumptions!I15</f>
        <v>1</v>
      </c>
      <c r="J9" s="4" t="n">
        <f aca="false">Assumptions!J15</f>
        <v>1</v>
      </c>
      <c r="K9" s="4" t="n">
        <f aca="false">Assumptions!K15</f>
        <v>1</v>
      </c>
      <c r="L9" s="4" t="n">
        <f aca="false">Assumptions!L15</f>
        <v>1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-316.29416</v>
      </c>
      <c r="D10" s="0" t="n">
        <f aca="false">-D6*D9/100</f>
        <v>-319.4571016</v>
      </c>
      <c r="E10" s="0" t="n">
        <f aca="false">-E6*E9/100</f>
        <v>-329.040814648</v>
      </c>
      <c r="F10" s="0" t="n">
        <f aca="false">-F6*F9/100</f>
        <v>-342.20244723392</v>
      </c>
      <c r="G10" s="0" t="n">
        <f aca="false">-G6*G9/100</f>
        <v>-357.601557359446</v>
      </c>
      <c r="H10" s="0" t="n">
        <f aca="false">-H6*H9/100</f>
        <v>-373.693627440621</v>
      </c>
      <c r="I10" s="0" t="n">
        <f aca="false">-I6*I9/100</f>
        <v>-388.641372538246</v>
      </c>
      <c r="J10" s="0" t="n">
        <f aca="false">-J6*J9/100</f>
        <v>-402.243820577085</v>
      </c>
      <c r="K10" s="0" t="n">
        <f aca="false">-K6*K9/100</f>
        <v>-414.311135194397</v>
      </c>
      <c r="L10" s="0" t="n">
        <f aca="false">-L6*L9/100</f>
        <v>-424.668913574257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8223.64816</v>
      </c>
      <c r="D11" s="0" t="n">
        <f aca="false">D8+D10+D24</f>
        <v>8146.1560908</v>
      </c>
      <c r="E11" s="0" t="n">
        <f aca="false">E8+E10+E24</f>
        <v>8226.0203662</v>
      </c>
      <c r="F11" s="0" t="n">
        <f aca="false">F8+F10+F24</f>
        <v>8383.95995723104</v>
      </c>
      <c r="G11" s="0" t="n">
        <f aca="false">G8+G10+G24</f>
        <v>8582.43737662671</v>
      </c>
      <c r="H11" s="0" t="n">
        <f aca="false">H8+H10+H24</f>
        <v>8968.64705857491</v>
      </c>
      <c r="I11" s="0" t="n">
        <f aca="false">I8+I10+I24</f>
        <v>9327.39294091791</v>
      </c>
      <c r="J11" s="0" t="n">
        <f aca="false">J8+J10+J24</f>
        <v>9653.85169385004</v>
      </c>
      <c r="K11" s="0" t="n">
        <f aca="false">K8+K10+K24</f>
        <v>9943.46724466554</v>
      </c>
      <c r="L11" s="0" t="n">
        <f aca="false">L8+L10+L24</f>
        <v>10192.0539257822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-1012.141312</v>
      </c>
      <c r="D12" s="4" t="n">
        <f aca="false">-D6*Assumptions!D17/100</f>
        <v>-1118.0998556</v>
      </c>
      <c r="E12" s="4" t="n">
        <f aca="false">-E6*Assumptions!E17/100</f>
        <v>-1250.3550956624</v>
      </c>
      <c r="F12" s="4" t="n">
        <f aca="false">-F6*Assumptions!F17/100</f>
        <v>-1403.03003365907</v>
      </c>
      <c r="G12" s="4" t="n">
        <f aca="false">-G6*Assumptions!G17/100</f>
        <v>-1573.44685238156</v>
      </c>
      <c r="H12" s="4" t="n">
        <f aca="false">-H6*Assumptions!H17/100</f>
        <v>-1756.36004897092</v>
      </c>
      <c r="I12" s="4" t="n">
        <f aca="false">-I6*Assumptions!I17/100</f>
        <v>-1943.20686269123</v>
      </c>
      <c r="J12" s="4" t="n">
        <f aca="false">-J6*Assumptions!J17/100</f>
        <v>-2091.66786700084</v>
      </c>
      <c r="K12" s="4" t="n">
        <f aca="false">-K6*Assumptions!K17/100</f>
        <v>-2237.28013004975</v>
      </c>
      <c r="L12" s="4" t="n">
        <f aca="false">-L6*Assumptions!L17/100</f>
        <v>-2335.67902465842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7211.506848</v>
      </c>
      <c r="D13" s="0" t="n">
        <f aca="false">D11+D12</f>
        <v>7028.0562352</v>
      </c>
      <c r="E13" s="0" t="n">
        <f aca="false">E11+E12</f>
        <v>6975.6652705376</v>
      </c>
      <c r="F13" s="0" t="n">
        <f aca="false">F11+F12</f>
        <v>6980.92992357197</v>
      </c>
      <c r="G13" s="0" t="n">
        <f aca="false">G11+G12</f>
        <v>7008.99052424515</v>
      </c>
      <c r="H13" s="0" t="n">
        <f aca="false">H11+H12</f>
        <v>7212.28700960399</v>
      </c>
      <c r="I13" s="0" t="n">
        <f aca="false">I11+I12</f>
        <v>7384.18607822668</v>
      </c>
      <c r="J13" s="0" t="n">
        <f aca="false">J11+J12</f>
        <v>7562.1838268492</v>
      </c>
      <c r="K13" s="0" t="n">
        <f aca="false">K11+K12</f>
        <v>7706.18711461579</v>
      </c>
      <c r="L13" s="0" t="n">
        <f aca="false">L11+L12</f>
        <v>7856.37490112376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13</v>
      </c>
      <c r="D14" s="4" t="n">
        <f aca="false">Assumptions!D19</f>
        <v>14</v>
      </c>
      <c r="E14" s="4" t="n">
        <f aca="false">Assumptions!E19</f>
        <v>15</v>
      </c>
      <c r="F14" s="4" t="n">
        <f aca="false">Assumptions!F19</f>
        <v>15</v>
      </c>
      <c r="G14" s="4" t="n">
        <f aca="false">Assumptions!G19</f>
        <v>15</v>
      </c>
      <c r="H14" s="4" t="n">
        <f aca="false">Assumptions!H19</f>
        <v>15</v>
      </c>
      <c r="I14" s="4" t="n">
        <f aca="false">Assumptions!I19</f>
        <v>15</v>
      </c>
      <c r="J14" s="4" t="n">
        <f aca="false">Assumptions!J19</f>
        <v>15</v>
      </c>
      <c r="K14" s="4" t="n">
        <f aca="false">Assumptions!K19</f>
        <v>15</v>
      </c>
      <c r="L14" s="4" t="n">
        <f aca="false">Assumptions!L19</f>
        <v>15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6274.01095776</v>
      </c>
      <c r="D15" s="0" t="n">
        <f aca="false">D13-MAX(0,D13)*D14/100</f>
        <v>6044.128362272</v>
      </c>
      <c r="E15" s="0" t="n">
        <f aca="false">E13-MAX(0,E13)*E14/100</f>
        <v>5929.31547995696</v>
      </c>
      <c r="F15" s="0" t="n">
        <f aca="false">F13-MAX(0,F13)*F14/100</f>
        <v>5933.79043503617</v>
      </c>
      <c r="G15" s="0" t="n">
        <f aca="false">G13-MAX(0,G13)*G14/100</f>
        <v>5957.64194560838</v>
      </c>
      <c r="H15" s="0" t="n">
        <f aca="false">H13-MAX(0,H13)*H14/100</f>
        <v>6130.44395816339</v>
      </c>
      <c r="I15" s="0" t="n">
        <f aca="false">I13-MAX(0,I13)*I14/100</f>
        <v>6276.55816649268</v>
      </c>
      <c r="J15" s="0" t="n">
        <f aca="false">J13-MAX(0,J13)*J14/100</f>
        <v>6427.85625282182</v>
      </c>
      <c r="K15" s="0" t="n">
        <f aca="false">K13-MAX(0,K13)*K14/100</f>
        <v>6550.25904742342</v>
      </c>
      <c r="L15" s="0" t="n">
        <f aca="false">L13-MAX(0,L13)*L14/100</f>
        <v>6677.9186659552</v>
      </c>
    </row>
    <row r="16" customFormat="false" ht="15" hidden="false" customHeight="false" outlineLevel="0" collapsed="false">
      <c r="A16" s="0" t="s">
        <v>119</v>
      </c>
      <c r="C16" s="0" t="n">
        <f aca="false">-C12</f>
        <v>1012.141312</v>
      </c>
      <c r="D16" s="0" t="n">
        <f aca="false">-D12</f>
        <v>1118.0998556</v>
      </c>
      <c r="E16" s="0" t="n">
        <f aca="false">-E12</f>
        <v>1250.3550956624</v>
      </c>
      <c r="F16" s="0" t="n">
        <f aca="false">-F12</f>
        <v>1403.03003365907</v>
      </c>
      <c r="G16" s="0" t="n">
        <f aca="false">-G12</f>
        <v>1573.44685238156</v>
      </c>
      <c r="H16" s="0" t="n">
        <f aca="false">-H12</f>
        <v>1756.36004897092</v>
      </c>
      <c r="I16" s="0" t="n">
        <f aca="false">-I12</f>
        <v>1943.20686269123</v>
      </c>
      <c r="J16" s="0" t="n">
        <f aca="false">-J12</f>
        <v>2091.66786700084</v>
      </c>
      <c r="K16" s="0" t="n">
        <f aca="false">-K12</f>
        <v>2237.28013004975</v>
      </c>
      <c r="L16" s="0" t="n">
        <f aca="false">-L12</f>
        <v>2335.67902465842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-4744.4124</v>
      </c>
      <c r="D17" s="4" t="n">
        <f aca="false">-D6*Assumptions!D18/100</f>
        <v>-4472.3994224</v>
      </c>
      <c r="E17" s="4" t="n">
        <f aca="false">-E6*Assumptions!E18/100</f>
        <v>-4277.530590424</v>
      </c>
      <c r="F17" s="4" t="n">
        <f aca="false">-F6*Assumptions!F18/100</f>
        <v>-4106.42936680704</v>
      </c>
      <c r="G17" s="4" t="n">
        <f aca="false">-G6*Assumptions!G18/100</f>
        <v>-3933.61713095391</v>
      </c>
      <c r="H17" s="4" t="n">
        <f aca="false">-H6*Assumptions!H18/100</f>
        <v>-3736.93627440621</v>
      </c>
      <c r="I17" s="4" t="n">
        <f aca="false">-I6*Assumptions!I18/100</f>
        <v>-3692.09303911334</v>
      </c>
      <c r="J17" s="4" t="n">
        <f aca="false">-J6*Assumptions!J18/100</f>
        <v>-3620.19438519376</v>
      </c>
      <c r="K17" s="4" t="n">
        <f aca="false">-K6*Assumptions!K18/100</f>
        <v>-3521.64464915238</v>
      </c>
      <c r="L17" s="4" t="n">
        <f aca="false">-L6*Assumptions!L18/100</f>
        <v>-3397.35130859406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-0</v>
      </c>
      <c r="D18" s="4" t="n">
        <f aca="false">(D6-C6)*Assumptions!$B$23/100</f>
        <v>-31.6294160000001</v>
      </c>
      <c r="E18" s="4" t="n">
        <f aca="false">(E6-D6)*Assumptions!$B$23/100</f>
        <v>-95.8371304799999</v>
      </c>
      <c r="F18" s="4" t="n">
        <f aca="false">(F6-E6)*Assumptions!$B$23/100</f>
        <v>-131.6163258592</v>
      </c>
      <c r="G18" s="4" t="n">
        <f aca="false">(G6-F6)*Assumptions!$B$23/100</f>
        <v>-153.991101255264</v>
      </c>
      <c r="H18" s="4" t="n">
        <f aca="false">(H6-G6)*Assumptions!$B$23/100</f>
        <v>-160.92070081175</v>
      </c>
      <c r="I18" s="4" t="n">
        <f aca="false">(I6-H6)*Assumptions!$B$23/100</f>
        <v>-149.477450976249</v>
      </c>
      <c r="J18" s="4" t="n">
        <f aca="false">(J6-I6)*Assumptions!$B$23/100</f>
        <v>-136.024480388386</v>
      </c>
      <c r="K18" s="4" t="n">
        <f aca="false">(K6-J6)*Assumptions!$B$23/100</f>
        <v>-120.673146173126</v>
      </c>
      <c r="L18" s="4" t="n">
        <f aca="false">(L6-K6)*Assumptions!$B$23/100</f>
        <v>-103.577783798599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2541.73986976</v>
      </c>
      <c r="D19" s="0" t="n">
        <f aca="false">D15+D16+D17+D18</f>
        <v>2658.199379472</v>
      </c>
      <c r="E19" s="0" t="n">
        <f aca="false">E15+E16+E17+E18</f>
        <v>2806.30285471536</v>
      </c>
      <c r="F19" s="0" t="n">
        <f aca="false">F15+F16+F17+F18</f>
        <v>3098.774776029</v>
      </c>
      <c r="G19" s="0" t="n">
        <f aca="false">G15+G16+G17+G18</f>
        <v>3443.48056578077</v>
      </c>
      <c r="H19" s="0" t="n">
        <f aca="false">H15+H16+H17+H18</f>
        <v>3988.94703191635</v>
      </c>
      <c r="I19" s="0" t="n">
        <f aca="false">I15+I16+I17+I18</f>
        <v>4378.19453909432</v>
      </c>
      <c r="J19" s="0" t="n">
        <f aca="false">J15+J16+J17+J18</f>
        <v>4763.30525424051</v>
      </c>
      <c r="K19" s="0" t="n">
        <f aca="false">K15+K16+K17+K18</f>
        <v>5145.22138214766</v>
      </c>
      <c r="L19" s="0" t="n">
        <f aca="false">L15+L16+L17+L18</f>
        <v>5512.66859822095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2331.87144014679</v>
      </c>
      <c r="D21" s="0" t="n">
        <f aca="false">D19*D20</f>
        <v>2237.35323581517</v>
      </c>
      <c r="E21" s="0" t="n">
        <f aca="false">E19*E20</f>
        <v>2166.98070445941</v>
      </c>
      <c r="F21" s="0" t="n">
        <f aca="false">F19*F20</f>
        <v>2195.25017475185</v>
      </c>
      <c r="G21" s="0" t="n">
        <f aca="false">G19*G20</f>
        <v>2238.0260978093</v>
      </c>
      <c r="H21" s="0" t="n">
        <f aca="false">H19*H20</f>
        <v>2378.47878378354</v>
      </c>
      <c r="I21" s="0" t="n">
        <f aca="false">I19*I20</f>
        <v>2395.0223434706</v>
      </c>
      <c r="J21" s="0" t="n">
        <f aca="false">J19*J20</f>
        <v>2390.54228689143</v>
      </c>
      <c r="K21" s="0" t="n">
        <f aca="false">K19*K20</f>
        <v>2369.00285610204</v>
      </c>
      <c r="L21" s="0" t="n">
        <f aca="false">L19*L20</f>
        <v>2328.61079072304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20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23031.1387139532</v>
      </c>
    </row>
    <row r="31" customFormat="false" ht="15" hidden="false" customHeight="false" outlineLevel="0" collapsed="false">
      <c r="A31" s="0" t="s">
        <v>128</v>
      </c>
      <c r="B31" s="0" t="n">
        <f aca="false">L19</f>
        <v>5512.66859822095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86930.5432796381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110253.371964419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86930.5432796381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36720.4009306325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59751.5396445857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99373.1396445857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17.6458693423581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-0.631148216087832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2295.4191219812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2828.75933703966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18.5557790412788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45203.8825054118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12.0921563981919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6.5</v>
      </c>
      <c r="D5" s="4" t="n">
        <f aca="false">Assumptions!D27</f>
        <v>5</v>
      </c>
      <c r="E5" s="4" t="n">
        <f aca="false">Assumptions!E27</f>
        <v>6.5</v>
      </c>
      <c r="F5" s="4" t="n">
        <f aca="false">Assumptions!F27</f>
        <v>8</v>
      </c>
      <c r="G5" s="4" t="n">
        <f aca="false">Assumptions!G27</f>
        <v>8</v>
      </c>
      <c r="H5" s="4" t="n">
        <f aca="false">Assumptions!H27</f>
        <v>7.5</v>
      </c>
      <c r="I5" s="4" t="n">
        <f aca="false">Assumptions!I27</f>
        <v>6.5</v>
      </c>
      <c r="J5" s="4" t="n">
        <f aca="false">Assumptions!J27</f>
        <v>5.5</v>
      </c>
      <c r="K5" s="4" t="n">
        <f aca="false">Assumptions!K27</f>
        <v>4.5</v>
      </c>
      <c r="L5" s="4" t="n">
        <f aca="false">Assumptions!L27</f>
        <v>3.5</v>
      </c>
    </row>
    <row r="6" customFormat="false" ht="15" hidden="false" customHeight="false" outlineLevel="0" collapsed="false">
      <c r="A6" s="0" t="s">
        <v>38</v>
      </c>
      <c r="B6" s="3" t="n">
        <v>31629.416</v>
      </c>
      <c r="C6" s="0" t="n">
        <f aca="false">B6*(1+C5/100)</f>
        <v>33685.32804</v>
      </c>
      <c r="D6" s="0" t="n">
        <f aca="false">C6*(1+D5/100)</f>
        <v>35369.594442</v>
      </c>
      <c r="E6" s="0" t="n">
        <f aca="false">D6*(1+E5/100)</f>
        <v>37668.61808073</v>
      </c>
      <c r="F6" s="0" t="n">
        <f aca="false">E6*(1+F5/100)</f>
        <v>40682.1075271884</v>
      </c>
      <c r="G6" s="0" t="n">
        <f aca="false">F6*(1+G5/100)</f>
        <v>43936.6761293635</v>
      </c>
      <c r="H6" s="0" t="n">
        <f aca="false">G6*(1+H5/100)</f>
        <v>47231.9268390657</v>
      </c>
      <c r="I6" s="0" t="n">
        <f aca="false">H6*(1+I5/100)</f>
        <v>50302.002083605</v>
      </c>
      <c r="J6" s="0" t="n">
        <f aca="false">I6*(1+J5/100)</f>
        <v>53068.6121982033</v>
      </c>
      <c r="K6" s="0" t="n">
        <f aca="false">J6*(1+K5/100)</f>
        <v>55456.6997471224</v>
      </c>
      <c r="L6" s="0" t="n">
        <f aca="false">K6*(1+L5/100)</f>
        <v>57397.6842382717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29</v>
      </c>
      <c r="D7" s="4" t="n">
        <f aca="false">Assumptions!D28</f>
        <v>29.5</v>
      </c>
      <c r="E7" s="4" t="n">
        <f aca="false">Assumptions!E28</f>
        <v>30</v>
      </c>
      <c r="F7" s="4" t="n">
        <f aca="false">Assumptions!F28</f>
        <v>30.5</v>
      </c>
      <c r="G7" s="4" t="n">
        <f aca="false">Assumptions!G28</f>
        <v>31</v>
      </c>
      <c r="H7" s="4" t="n">
        <f aca="false">Assumptions!H28</f>
        <v>31.5</v>
      </c>
      <c r="I7" s="4" t="n">
        <f aca="false">Assumptions!I28</f>
        <v>32</v>
      </c>
      <c r="J7" s="4" t="n">
        <f aca="false">Assumptions!J28</f>
        <v>32</v>
      </c>
      <c r="K7" s="4" t="n">
        <f aca="false">Assumptions!K28</f>
        <v>32</v>
      </c>
      <c r="L7" s="4" t="n">
        <f aca="false">Assumptions!L28</f>
        <v>32</v>
      </c>
    </row>
    <row r="8" customFormat="false" ht="15" hidden="false" customHeight="false" outlineLevel="0" collapsed="false">
      <c r="A8" s="0" t="s">
        <v>44</v>
      </c>
      <c r="C8" s="0" t="n">
        <f aca="false">C6*C7/100</f>
        <v>9768.7451316</v>
      </c>
      <c r="D8" s="0" t="n">
        <f aca="false">D6*D7/100</f>
        <v>10434.03036039</v>
      </c>
      <c r="E8" s="0" t="n">
        <f aca="false">E6*E7/100</f>
        <v>11300.585424219</v>
      </c>
      <c r="F8" s="0" t="n">
        <f aca="false">F6*F7/100</f>
        <v>12408.0427957925</v>
      </c>
      <c r="G8" s="0" t="n">
        <f aca="false">G6*G7/100</f>
        <v>13620.3696001027</v>
      </c>
      <c r="H8" s="0" t="n">
        <f aca="false">H6*H7/100</f>
        <v>14878.0569543057</v>
      </c>
      <c r="I8" s="0" t="n">
        <f aca="false">I6*I7/100</f>
        <v>16096.6406667536</v>
      </c>
      <c r="J8" s="0" t="n">
        <f aca="false">J6*J7/100</f>
        <v>16981.955903425</v>
      </c>
      <c r="K8" s="0" t="n">
        <f aca="false">K6*K7/100</f>
        <v>17746.1439190792</v>
      </c>
      <c r="L8" s="0" t="n">
        <f aca="false">L6*L7/100</f>
        <v>18367.2589562469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1</v>
      </c>
      <c r="D9" s="4" t="n">
        <f aca="false">Assumptions!D29</f>
        <v>1</v>
      </c>
      <c r="E9" s="4" t="n">
        <f aca="false">Assumptions!E29</f>
        <v>1</v>
      </c>
      <c r="F9" s="4" t="n">
        <f aca="false">Assumptions!F29</f>
        <v>1</v>
      </c>
      <c r="G9" s="4" t="n">
        <f aca="false">Assumptions!G29</f>
        <v>1</v>
      </c>
      <c r="H9" s="4" t="n">
        <f aca="false">Assumptions!H29</f>
        <v>0.95</v>
      </c>
      <c r="I9" s="4" t="n">
        <f aca="false">Assumptions!I29</f>
        <v>0.95</v>
      </c>
      <c r="J9" s="4" t="n">
        <f aca="false">Assumptions!J29</f>
        <v>0.9</v>
      </c>
      <c r="K9" s="4" t="n">
        <f aca="false">Assumptions!K29</f>
        <v>0.9</v>
      </c>
      <c r="L9" s="4" t="n">
        <f aca="false">Assumptions!L29</f>
        <v>0.9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-336.8532804</v>
      </c>
      <c r="D10" s="0" t="n">
        <f aca="false">-D6*D9/100</f>
        <v>-353.69594442</v>
      </c>
      <c r="E10" s="0" t="n">
        <f aca="false">-E6*E9/100</f>
        <v>-376.6861808073</v>
      </c>
      <c r="F10" s="0" t="n">
        <f aca="false">-F6*F9/100</f>
        <v>-406.821075271884</v>
      </c>
      <c r="G10" s="0" t="n">
        <f aca="false">-G6*G9/100</f>
        <v>-439.366761293635</v>
      </c>
      <c r="H10" s="0" t="n">
        <f aca="false">-H6*H9/100</f>
        <v>-448.703304971124</v>
      </c>
      <c r="I10" s="0" t="n">
        <f aca="false">-I6*I9/100</f>
        <v>-477.869019794248</v>
      </c>
      <c r="J10" s="0" t="n">
        <f aca="false">-J6*J9/100</f>
        <v>-477.617509783829</v>
      </c>
      <c r="K10" s="0" t="n">
        <f aca="false">-K6*K9/100</f>
        <v>-499.110297724102</v>
      </c>
      <c r="L10" s="0" t="n">
        <f aca="false">-L6*L9/100</f>
        <v>-516.579158144445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9431.8918512</v>
      </c>
      <c r="D11" s="0" t="n">
        <f aca="false">D8+D10+D24</f>
        <v>10080.33441597</v>
      </c>
      <c r="E11" s="0" t="n">
        <f aca="false">E8+E10+E24</f>
        <v>10923.8992434117</v>
      </c>
      <c r="F11" s="0" t="n">
        <f aca="false">F8+F10+F24</f>
        <v>12001.2217205206</v>
      </c>
      <c r="G11" s="0" t="n">
        <f aca="false">G8+G10+G24</f>
        <v>13181.002838809</v>
      </c>
      <c r="H11" s="0" t="n">
        <f aca="false">H8+H10+H24</f>
        <v>14429.3536493346</v>
      </c>
      <c r="I11" s="0" t="n">
        <f aca="false">I8+I10+I24</f>
        <v>15618.7716469594</v>
      </c>
      <c r="J11" s="0" t="n">
        <f aca="false">J8+J10+J24</f>
        <v>16504.3383936412</v>
      </c>
      <c r="K11" s="0" t="n">
        <f aca="false">K8+K10+K24</f>
        <v>17247.0336213551</v>
      </c>
      <c r="L11" s="0" t="n">
        <f aca="false">L8+L10+L24</f>
        <v>17850.6797981025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-1077.93049728</v>
      </c>
      <c r="D12" s="4" t="n">
        <f aca="false">-D6*Assumptions!D31/100</f>
        <v>-1237.93580547</v>
      </c>
      <c r="E12" s="4" t="n">
        <f aca="false">-E6*Assumptions!E31/100</f>
        <v>-1431.40748706774</v>
      </c>
      <c r="F12" s="4" t="n">
        <f aca="false">-F6*Assumptions!F31/100</f>
        <v>-1667.96640861472</v>
      </c>
      <c r="G12" s="4" t="n">
        <f aca="false">-G6*Assumptions!G31/100</f>
        <v>-1933.21374969199</v>
      </c>
      <c r="H12" s="4" t="n">
        <f aca="false">-H6*Assumptions!H31/100</f>
        <v>-2219.90056143609</v>
      </c>
      <c r="I12" s="4" t="n">
        <f aca="false">-I6*Assumptions!I31/100</f>
        <v>-2515.10010418025</v>
      </c>
      <c r="J12" s="4" t="n">
        <f aca="false">-J6*Assumptions!J31/100</f>
        <v>-2759.56783430657</v>
      </c>
      <c r="K12" s="4" t="n">
        <f aca="false">-K6*Assumptions!K31/100</f>
        <v>-2994.66178634461</v>
      </c>
      <c r="L12" s="4" t="n">
        <f aca="false">-L6*Assumptions!L31/100</f>
        <v>-3156.87263310494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8353.96135392</v>
      </c>
      <c r="D13" s="0" t="n">
        <f aca="false">D11+D12</f>
        <v>8842.3986105</v>
      </c>
      <c r="E13" s="0" t="n">
        <f aca="false">E11+E12</f>
        <v>9492.49175634396</v>
      </c>
      <c r="F13" s="0" t="n">
        <f aca="false">F11+F12</f>
        <v>10333.2553119059</v>
      </c>
      <c r="G13" s="0" t="n">
        <f aca="false">G11+G12</f>
        <v>11247.789089117</v>
      </c>
      <c r="H13" s="0" t="n">
        <f aca="false">H11+H12</f>
        <v>12209.4530878985</v>
      </c>
      <c r="I13" s="0" t="n">
        <f aca="false">I11+I12</f>
        <v>13103.6715427791</v>
      </c>
      <c r="J13" s="0" t="n">
        <f aca="false">J11+J12</f>
        <v>13744.7705593346</v>
      </c>
      <c r="K13" s="0" t="n">
        <f aca="false">K11+K12</f>
        <v>14252.3718350105</v>
      </c>
      <c r="L13" s="0" t="n">
        <f aca="false">L11+L12</f>
        <v>14693.8071649976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12</v>
      </c>
      <c r="D14" s="4" t="n">
        <f aca="false">Assumptions!D33</f>
        <v>12.5</v>
      </c>
      <c r="E14" s="4" t="n">
        <f aca="false">Assumptions!E33</f>
        <v>13</v>
      </c>
      <c r="F14" s="4" t="n">
        <f aca="false">Assumptions!F33</f>
        <v>13.5</v>
      </c>
      <c r="G14" s="4" t="n">
        <f aca="false">Assumptions!G33</f>
        <v>14</v>
      </c>
      <c r="H14" s="4" t="n">
        <f aca="false">Assumptions!H33</f>
        <v>14.5</v>
      </c>
      <c r="I14" s="4" t="n">
        <f aca="false">Assumptions!I33</f>
        <v>15</v>
      </c>
      <c r="J14" s="4" t="n">
        <f aca="false">Assumptions!J33</f>
        <v>15</v>
      </c>
      <c r="K14" s="4" t="n">
        <f aca="false">Assumptions!K33</f>
        <v>15</v>
      </c>
      <c r="L14" s="4" t="n">
        <f aca="false">Assumptions!L33</f>
        <v>15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7351.4859914496</v>
      </c>
      <c r="D15" s="0" t="n">
        <f aca="false">D13-MAX(0,D13)*D14/100</f>
        <v>7737.0987841875</v>
      </c>
      <c r="E15" s="0" t="n">
        <f aca="false">E13-MAX(0,E13)*E14/100</f>
        <v>8258.46782801925</v>
      </c>
      <c r="F15" s="0" t="n">
        <f aca="false">F13-MAX(0,F13)*F14/100</f>
        <v>8938.26584479856</v>
      </c>
      <c r="G15" s="0" t="n">
        <f aca="false">G13-MAX(0,G13)*G14/100</f>
        <v>9673.09861664066</v>
      </c>
      <c r="H15" s="0" t="n">
        <f aca="false">H13-MAX(0,H13)*H14/100</f>
        <v>10439.0823901532</v>
      </c>
      <c r="I15" s="0" t="n">
        <f aca="false">I13-MAX(0,I13)*I14/100</f>
        <v>11138.1208113622</v>
      </c>
      <c r="J15" s="0" t="n">
        <f aca="false">J13-MAX(0,J13)*J14/100</f>
        <v>11683.0549754345</v>
      </c>
      <c r="K15" s="0" t="n">
        <f aca="false">K13-MAX(0,K13)*K14/100</f>
        <v>12114.5160597589</v>
      </c>
      <c r="L15" s="0" t="n">
        <f aca="false">L13-MAX(0,L13)*L14/100</f>
        <v>12489.7360902479</v>
      </c>
    </row>
    <row r="16" customFormat="false" ht="15" hidden="false" customHeight="false" outlineLevel="0" collapsed="false">
      <c r="A16" s="0" t="s">
        <v>119</v>
      </c>
      <c r="C16" s="0" t="n">
        <f aca="false">-C12</f>
        <v>1077.93049728</v>
      </c>
      <c r="D16" s="0" t="n">
        <f aca="false">-D12</f>
        <v>1237.93580547</v>
      </c>
      <c r="E16" s="0" t="n">
        <f aca="false">-E12</f>
        <v>1431.40748706774</v>
      </c>
      <c r="F16" s="0" t="n">
        <f aca="false">-F12</f>
        <v>1667.96640861472</v>
      </c>
      <c r="G16" s="0" t="n">
        <f aca="false">-G12</f>
        <v>1933.21374969199</v>
      </c>
      <c r="H16" s="0" t="n">
        <f aca="false">-H12</f>
        <v>2219.90056143609</v>
      </c>
      <c r="I16" s="0" t="n">
        <f aca="false">-I12</f>
        <v>2515.10010418025</v>
      </c>
      <c r="J16" s="0" t="n">
        <f aca="false">-J12</f>
        <v>2759.56783430657</v>
      </c>
      <c r="K16" s="0" t="n">
        <f aca="false">-K12</f>
        <v>2994.66178634461</v>
      </c>
      <c r="L16" s="0" t="n">
        <f aca="false">-L12</f>
        <v>3156.87263310494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-5052.799206</v>
      </c>
      <c r="D17" s="4" t="n">
        <f aca="false">-D6*Assumptions!D32/100</f>
        <v>-4951.74322188</v>
      </c>
      <c r="E17" s="4" t="n">
        <f aca="false">-E6*Assumptions!E32/100</f>
        <v>-4896.9203504949</v>
      </c>
      <c r="F17" s="4" t="n">
        <f aca="false">-F6*Assumptions!F32/100</f>
        <v>-4881.85290326261</v>
      </c>
      <c r="G17" s="4" t="n">
        <f aca="false">-G6*Assumptions!G32/100</f>
        <v>-4833.03437422998</v>
      </c>
      <c r="H17" s="4" t="n">
        <f aca="false">-H6*Assumptions!H32/100</f>
        <v>-4723.19268390657</v>
      </c>
      <c r="I17" s="4" t="n">
        <f aca="false">-I6*Assumptions!I32/100</f>
        <v>-4778.69019794248</v>
      </c>
      <c r="J17" s="4" t="n">
        <f aca="false">-J6*Assumptions!J32/100</f>
        <v>-4776.17509783829</v>
      </c>
      <c r="K17" s="4" t="n">
        <f aca="false">-K6*Assumptions!K32/100</f>
        <v>-4713.81947850541</v>
      </c>
      <c r="L17" s="4" t="n">
        <f aca="false">-L6*Assumptions!L32/100</f>
        <v>-4591.81473906174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-164.4729632</v>
      </c>
      <c r="D18" s="4" t="n">
        <f aca="false">(D6-C6)*Assumptions!$B$37/100</f>
        <v>-134.74131216</v>
      </c>
      <c r="E18" s="4" t="n">
        <f aca="false">(E6-D6)*Assumptions!$B$37/100</f>
        <v>-183.9218910984</v>
      </c>
      <c r="F18" s="4" t="n">
        <f aca="false">(F6-E6)*Assumptions!$B$37/100</f>
        <v>-241.079155716672</v>
      </c>
      <c r="G18" s="4" t="n">
        <f aca="false">(G6-F6)*Assumptions!$B$37/100</f>
        <v>-260.365488174006</v>
      </c>
      <c r="H18" s="4" t="n">
        <f aca="false">(H6-G6)*Assumptions!$B$37/100</f>
        <v>-263.620056776181</v>
      </c>
      <c r="I18" s="4" t="n">
        <f aca="false">(I6-H6)*Assumptions!$B$37/100</f>
        <v>-245.606019563142</v>
      </c>
      <c r="J18" s="4" t="n">
        <f aca="false">(J6-I6)*Assumptions!$B$37/100</f>
        <v>-221.328809167861</v>
      </c>
      <c r="K18" s="4" t="n">
        <f aca="false">(K6-J6)*Assumptions!$B$37/100</f>
        <v>-191.047003913532</v>
      </c>
      <c r="L18" s="4" t="n">
        <f aca="false">(L6-K6)*Assumptions!$B$37/100</f>
        <v>-155.278759291943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3212.1443195296</v>
      </c>
      <c r="D19" s="0" t="n">
        <f aca="false">D15+D16+D17+D18</f>
        <v>3888.5500556175</v>
      </c>
      <c r="E19" s="0" t="n">
        <f aca="false">E15+E16+E17+E18</f>
        <v>4609.03307349369</v>
      </c>
      <c r="F19" s="0" t="n">
        <f aca="false">F15+F16+F17+F18</f>
        <v>5483.30019443401</v>
      </c>
      <c r="G19" s="0" t="n">
        <f aca="false">G15+G16+G17+G18</f>
        <v>6512.91250392867</v>
      </c>
      <c r="H19" s="0" t="n">
        <f aca="false">H15+H16+H17+H18</f>
        <v>7672.17021090655</v>
      </c>
      <c r="I19" s="0" t="n">
        <f aca="false">I15+I16+I17+I18</f>
        <v>8628.92469803687</v>
      </c>
      <c r="J19" s="0" t="n">
        <f aca="false">J15+J16+J17+J18</f>
        <v>9445.11890273486</v>
      </c>
      <c r="K19" s="0" t="n">
        <f aca="false">K15+K16+K17+K18</f>
        <v>10204.3113636846</v>
      </c>
      <c r="L19" s="0" t="n">
        <f aca="false">L15+L16+L17+L18</f>
        <v>10899.5152249992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2946.92139406385</v>
      </c>
      <c r="D21" s="0" t="n">
        <f aca="false">D19*D20</f>
        <v>3272.91478462882</v>
      </c>
      <c r="E21" s="0" t="n">
        <f aca="false">E19*E20</f>
        <v>3559.0191984069</v>
      </c>
      <c r="F21" s="0" t="n">
        <f aca="false">F19*F20</f>
        <v>3884.50809757574</v>
      </c>
      <c r="G21" s="0" t="n">
        <f aca="false">G19*G20</f>
        <v>4232.94625251819</v>
      </c>
      <c r="H21" s="0" t="n">
        <f aca="false">H19*H20</f>
        <v>4574.6644230196</v>
      </c>
      <c r="I21" s="0" t="n">
        <f aca="false">I19*I20</f>
        <v>4720.31730600045</v>
      </c>
      <c r="J21" s="0" t="n">
        <f aca="false">J19*J20</f>
        <v>4740.18668478248</v>
      </c>
      <c r="K21" s="0" t="n">
        <f aca="false">K19*K20</f>
        <v>4698.34842267424</v>
      </c>
      <c r="L21" s="0" t="n">
        <f aca="false">L19*L20</f>
        <v>4604.07302096375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41233.899584634</v>
      </c>
    </row>
    <row r="31" customFormat="false" ht="15" hidden="false" customHeight="false" outlineLevel="0" collapsed="false">
      <c r="A31" s="0" t="s">
        <v>128</v>
      </c>
      <c r="B31" s="0" t="n">
        <f aca="false">L19</f>
        <v>10899.5152249992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187108.344695819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217990.304499984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187108.344695819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79036.5868598778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120270.486444512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159892.086444512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28.3923289167266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-0.406514863780798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2688.04073373782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3745.91462646349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29.5348180847929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93554.1723479097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16.5367761370592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12</v>
      </c>
      <c r="D5" s="4" t="n">
        <f aca="false">Assumptions!D41</f>
        <v>11</v>
      </c>
      <c r="E5" s="4" t="n">
        <f aca="false">Assumptions!E41</f>
        <v>12</v>
      </c>
      <c r="F5" s="4" t="n">
        <f aca="false">Assumptions!F41</f>
        <v>13</v>
      </c>
      <c r="G5" s="4" t="n">
        <f aca="false">Assumptions!G41</f>
        <v>12</v>
      </c>
      <c r="H5" s="4" t="n">
        <f aca="false">Assumptions!H41</f>
        <v>11</v>
      </c>
      <c r="I5" s="4" t="n">
        <f aca="false">Assumptions!I41</f>
        <v>9</v>
      </c>
      <c r="J5" s="4" t="n">
        <f aca="false">Assumptions!J41</f>
        <v>7</v>
      </c>
      <c r="K5" s="4" t="n">
        <f aca="false">Assumptions!K41</f>
        <v>6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38</v>
      </c>
      <c r="B6" s="3" t="n">
        <v>31629.416</v>
      </c>
      <c r="C6" s="0" t="n">
        <f aca="false">B6*(1+C5/100)</f>
        <v>35424.94592</v>
      </c>
      <c r="D6" s="0" t="n">
        <f aca="false">C6*(1+D5/100)</f>
        <v>39321.6899712</v>
      </c>
      <c r="E6" s="0" t="n">
        <f aca="false">D6*(1+E5/100)</f>
        <v>44040.292767744</v>
      </c>
      <c r="F6" s="0" t="n">
        <f aca="false">E6*(1+F5/100)</f>
        <v>49765.5308275507</v>
      </c>
      <c r="G6" s="0" t="n">
        <f aca="false">F6*(1+G5/100)</f>
        <v>55737.3945268568</v>
      </c>
      <c r="H6" s="0" t="n">
        <f aca="false">G6*(1+H5/100)</f>
        <v>61868.5079248111</v>
      </c>
      <c r="I6" s="0" t="n">
        <f aca="false">H6*(1+I5/100)</f>
        <v>67436.6736380441</v>
      </c>
      <c r="J6" s="0" t="n">
        <f aca="false">I6*(1+J5/100)</f>
        <v>72157.2407927072</v>
      </c>
      <c r="K6" s="0" t="n">
        <f aca="false">J6*(1+K5/100)</f>
        <v>76486.6752402696</v>
      </c>
      <c r="L6" s="0" t="n">
        <f aca="false">K6*(1+L5/100)</f>
        <v>79546.1422498804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30</v>
      </c>
      <c r="D7" s="4" t="n">
        <f aca="false">Assumptions!D42</f>
        <v>31</v>
      </c>
      <c r="E7" s="4" t="n">
        <f aca="false">Assumptions!E42</f>
        <v>32</v>
      </c>
      <c r="F7" s="4" t="n">
        <f aca="false">Assumptions!F42</f>
        <v>33</v>
      </c>
      <c r="G7" s="4" t="n">
        <f aca="false">Assumptions!G42</f>
        <v>34</v>
      </c>
      <c r="H7" s="4" t="n">
        <f aca="false">Assumptions!H42</f>
        <v>35</v>
      </c>
      <c r="I7" s="4" t="n">
        <f aca="false">Assumptions!I42</f>
        <v>35.5</v>
      </c>
      <c r="J7" s="4" t="n">
        <f aca="false">Assumptions!J42</f>
        <v>36</v>
      </c>
      <c r="K7" s="4" t="n">
        <f aca="false">Assumptions!K42</f>
        <v>36</v>
      </c>
      <c r="L7" s="4" t="n">
        <f aca="false">Assumptions!L42</f>
        <v>36</v>
      </c>
    </row>
    <row r="8" customFormat="false" ht="15" hidden="false" customHeight="false" outlineLevel="0" collapsed="false">
      <c r="A8" s="0" t="s">
        <v>44</v>
      </c>
      <c r="C8" s="0" t="n">
        <f aca="false">C6*C7/100</f>
        <v>10627.483776</v>
      </c>
      <c r="D8" s="0" t="n">
        <f aca="false">D6*D7/100</f>
        <v>12189.723891072</v>
      </c>
      <c r="E8" s="0" t="n">
        <f aca="false">E6*E7/100</f>
        <v>14092.8936856781</v>
      </c>
      <c r="F8" s="0" t="n">
        <f aca="false">F6*F7/100</f>
        <v>16422.6251730917</v>
      </c>
      <c r="G8" s="0" t="n">
        <f aca="false">G6*G7/100</f>
        <v>18950.7141391313</v>
      </c>
      <c r="H8" s="0" t="n">
        <f aca="false">H6*H7/100</f>
        <v>21653.9777736839</v>
      </c>
      <c r="I8" s="0" t="n">
        <f aca="false">I6*I7/100</f>
        <v>23940.0191415057</v>
      </c>
      <c r="J8" s="0" t="n">
        <f aca="false">J6*J7/100</f>
        <v>25976.6066853746</v>
      </c>
      <c r="K8" s="0" t="n">
        <f aca="false">K6*K7/100</f>
        <v>27535.2030864971</v>
      </c>
      <c r="L8" s="0" t="n">
        <f aca="false">L6*L7/100</f>
        <v>28636.6112099569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1</v>
      </c>
      <c r="D9" s="4" t="n">
        <f aca="false">Assumptions!D43</f>
        <v>1</v>
      </c>
      <c r="E9" s="4" t="n">
        <f aca="false">Assumptions!E43</f>
        <v>1</v>
      </c>
      <c r="F9" s="4" t="n">
        <f aca="false">Assumptions!F43</f>
        <v>1</v>
      </c>
      <c r="G9" s="4" t="n">
        <f aca="false">Assumptions!G43</f>
        <v>1</v>
      </c>
      <c r="H9" s="4" t="n">
        <f aca="false">Assumptions!H43</f>
        <v>0.95</v>
      </c>
      <c r="I9" s="4" t="n">
        <f aca="false">Assumptions!I43</f>
        <v>0.95</v>
      </c>
      <c r="J9" s="4" t="n">
        <f aca="false">Assumptions!J43</f>
        <v>0.9</v>
      </c>
      <c r="K9" s="4" t="n">
        <f aca="false">Assumptions!K43</f>
        <v>0.9</v>
      </c>
      <c r="L9" s="4" t="n">
        <f aca="false">Assumptions!L43</f>
        <v>0.9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-354.2494592</v>
      </c>
      <c r="D10" s="0" t="n">
        <f aca="false">-D6*D9/100</f>
        <v>-393.216899712</v>
      </c>
      <c r="E10" s="0" t="n">
        <f aca="false">-E6*E9/100</f>
        <v>-440.40292767744</v>
      </c>
      <c r="F10" s="0" t="n">
        <f aca="false">-F6*F9/100</f>
        <v>-497.655308275507</v>
      </c>
      <c r="G10" s="0" t="n">
        <f aca="false">-G6*G9/100</f>
        <v>-557.373945268568</v>
      </c>
      <c r="H10" s="0" t="n">
        <f aca="false">-H6*H9/100</f>
        <v>-587.750825285705</v>
      </c>
      <c r="I10" s="0" t="n">
        <f aca="false">-I6*I9/100</f>
        <v>-640.648399561419</v>
      </c>
      <c r="J10" s="0" t="n">
        <f aca="false">-J6*J9/100</f>
        <v>-649.415167134365</v>
      </c>
      <c r="K10" s="0" t="n">
        <f aca="false">-K6*K9/100</f>
        <v>-688.380077162427</v>
      </c>
      <c r="L10" s="0" t="n">
        <f aca="false">-L6*L9/100</f>
        <v>-715.915280248924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10273.2343168</v>
      </c>
      <c r="D11" s="0" t="n">
        <f aca="false">D8+D10+D24</f>
        <v>11796.50699136</v>
      </c>
      <c r="E11" s="0" t="n">
        <f aca="false">E8+E10+E24</f>
        <v>13652.4907580006</v>
      </c>
      <c r="F11" s="0" t="n">
        <f aca="false">F8+F10+F24</f>
        <v>15924.9698648162</v>
      </c>
      <c r="G11" s="0" t="n">
        <f aca="false">G8+G10+G24</f>
        <v>18393.3401938628</v>
      </c>
      <c r="H11" s="0" t="n">
        <f aca="false">H8+H10+H24</f>
        <v>21066.2269483982</v>
      </c>
      <c r="I11" s="0" t="n">
        <f aca="false">I8+I10+I24</f>
        <v>23299.3707419442</v>
      </c>
      <c r="J11" s="0" t="n">
        <f aca="false">J8+J10+J24</f>
        <v>25327.1915182402</v>
      </c>
      <c r="K11" s="0" t="n">
        <f aca="false">K8+K10+K24</f>
        <v>26846.8230093346</v>
      </c>
      <c r="L11" s="0" t="n">
        <f aca="false">L8+L10+L24</f>
        <v>27920.695929708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-1133.59826944</v>
      </c>
      <c r="D12" s="4" t="n">
        <f aca="false">-D6*Assumptions!D45/100</f>
        <v>-1376.259148992</v>
      </c>
      <c r="E12" s="4" t="n">
        <f aca="false">-E6*Assumptions!E45/100</f>
        <v>-1673.53112517427</v>
      </c>
      <c r="F12" s="4" t="n">
        <f aca="false">-F6*Assumptions!F45/100</f>
        <v>-1990.62123310203</v>
      </c>
      <c r="G12" s="4" t="n">
        <f aca="false">-G6*Assumptions!G45/100</f>
        <v>-2340.97057012799</v>
      </c>
      <c r="H12" s="4" t="n">
        <f aca="false">-H6*Assumptions!H45/100</f>
        <v>-2722.21434869169</v>
      </c>
      <c r="I12" s="4" t="n">
        <f aca="false">-I6*Assumptions!I45/100</f>
        <v>-3102.08698735003</v>
      </c>
      <c r="J12" s="4" t="n">
        <f aca="false">-J6*Assumptions!J45/100</f>
        <v>-3463.54755804994</v>
      </c>
      <c r="K12" s="4" t="n">
        <f aca="false">-K6*Assumptions!K45/100</f>
        <v>-3824.33376201348</v>
      </c>
      <c r="L12" s="4" t="n">
        <f aca="false">-L6*Assumptions!L45/100</f>
        <v>-3977.30711249402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9139.63604736</v>
      </c>
      <c r="D13" s="0" t="n">
        <f aca="false">D11+D12</f>
        <v>10420.247842368</v>
      </c>
      <c r="E13" s="0" t="n">
        <f aca="false">E11+E12</f>
        <v>11978.9596328264</v>
      </c>
      <c r="F13" s="0" t="n">
        <f aca="false">F11+F12</f>
        <v>13934.3486317142</v>
      </c>
      <c r="G13" s="0" t="n">
        <f aca="false">G11+G12</f>
        <v>16052.3696237348</v>
      </c>
      <c r="H13" s="0" t="n">
        <f aca="false">H11+H12</f>
        <v>18344.0125997065</v>
      </c>
      <c r="I13" s="0" t="n">
        <f aca="false">I11+I12</f>
        <v>20197.2837545942</v>
      </c>
      <c r="J13" s="0" t="n">
        <f aca="false">J11+J12</f>
        <v>21863.6439601903</v>
      </c>
      <c r="K13" s="0" t="n">
        <f aca="false">K11+K12</f>
        <v>23022.4892473212</v>
      </c>
      <c r="L13" s="0" t="n">
        <f aca="false">L11+L12</f>
        <v>23943.388817214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12</v>
      </c>
      <c r="D14" s="4" t="n">
        <f aca="false">Assumptions!D47</f>
        <v>12.5</v>
      </c>
      <c r="E14" s="4" t="n">
        <f aca="false">Assumptions!E47</f>
        <v>13</v>
      </c>
      <c r="F14" s="4" t="n">
        <f aca="false">Assumptions!F47</f>
        <v>13.5</v>
      </c>
      <c r="G14" s="4" t="n">
        <f aca="false">Assumptions!G47</f>
        <v>14</v>
      </c>
      <c r="H14" s="4" t="n">
        <f aca="false">Assumptions!H47</f>
        <v>14.5</v>
      </c>
      <c r="I14" s="4" t="n">
        <f aca="false">Assumptions!I47</f>
        <v>15</v>
      </c>
      <c r="J14" s="4" t="n">
        <f aca="false">Assumptions!J47</f>
        <v>15</v>
      </c>
      <c r="K14" s="4" t="n">
        <f aca="false">Assumptions!K47</f>
        <v>15</v>
      </c>
      <c r="L14" s="4" t="n">
        <f aca="false">Assumptions!L47</f>
        <v>15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8042.8797216768</v>
      </c>
      <c r="D15" s="0" t="n">
        <f aca="false">D13-MAX(0,D13)*D14/100</f>
        <v>9117.716862072</v>
      </c>
      <c r="E15" s="0" t="n">
        <f aca="false">E13-MAX(0,E13)*E14/100</f>
        <v>10421.6948805589</v>
      </c>
      <c r="F15" s="0" t="n">
        <f aca="false">F13-MAX(0,F13)*F14/100</f>
        <v>12053.2115664328</v>
      </c>
      <c r="G15" s="0" t="n">
        <f aca="false">G13-MAX(0,G13)*G14/100</f>
        <v>13805.0378764119</v>
      </c>
      <c r="H15" s="0" t="n">
        <f aca="false">H13-MAX(0,H13)*H14/100</f>
        <v>15684.1307727491</v>
      </c>
      <c r="I15" s="0" t="n">
        <f aca="false">I13-MAX(0,I13)*I14/100</f>
        <v>17167.6911914051</v>
      </c>
      <c r="J15" s="0" t="n">
        <f aca="false">J13-MAX(0,J13)*J14/100</f>
        <v>18584.0973661617</v>
      </c>
      <c r="K15" s="0" t="n">
        <f aca="false">K13-MAX(0,K13)*K14/100</f>
        <v>19569.115860223</v>
      </c>
      <c r="L15" s="0" t="n">
        <f aca="false">L13-MAX(0,L13)*L14/100</f>
        <v>20351.8804946319</v>
      </c>
    </row>
    <row r="16" customFormat="false" ht="15" hidden="false" customHeight="false" outlineLevel="0" collapsed="false">
      <c r="A16" s="0" t="s">
        <v>119</v>
      </c>
      <c r="C16" s="0" t="n">
        <f aca="false">-C12</f>
        <v>1133.59826944</v>
      </c>
      <c r="D16" s="0" t="n">
        <f aca="false">-D12</f>
        <v>1376.259148992</v>
      </c>
      <c r="E16" s="0" t="n">
        <f aca="false">-E12</f>
        <v>1673.53112517427</v>
      </c>
      <c r="F16" s="0" t="n">
        <f aca="false">-F12</f>
        <v>1990.62123310203</v>
      </c>
      <c r="G16" s="0" t="n">
        <f aca="false">-G12</f>
        <v>2340.97057012799</v>
      </c>
      <c r="H16" s="0" t="n">
        <f aca="false">-H12</f>
        <v>2722.21434869169</v>
      </c>
      <c r="I16" s="0" t="n">
        <f aca="false">-I12</f>
        <v>3102.08698735003</v>
      </c>
      <c r="J16" s="0" t="n">
        <f aca="false">-J12</f>
        <v>3463.54755804994</v>
      </c>
      <c r="K16" s="0" t="n">
        <f aca="false">-K12</f>
        <v>3824.33376201348</v>
      </c>
      <c r="L16" s="0" t="n">
        <f aca="false">-L12</f>
        <v>3977.30711249402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-5313.741888</v>
      </c>
      <c r="D17" s="4" t="n">
        <f aca="false">-D6*Assumptions!D46/100</f>
        <v>-5308.428146112</v>
      </c>
      <c r="E17" s="4" t="n">
        <f aca="false">-E6*Assumptions!E46/100</f>
        <v>-5284.83513212928</v>
      </c>
      <c r="F17" s="4" t="n">
        <f aca="false">-F6*Assumptions!F46/100</f>
        <v>-5474.20839103058</v>
      </c>
      <c r="G17" s="4" t="n">
        <f aca="false">-G6*Assumptions!G46/100</f>
        <v>-5573.73945268568</v>
      </c>
      <c r="H17" s="4" t="n">
        <f aca="false">-H6*Assumptions!H46/100</f>
        <v>-5568.165713233</v>
      </c>
      <c r="I17" s="4" t="n">
        <f aca="false">-I6*Assumptions!I46/100</f>
        <v>-5732.11725923375</v>
      </c>
      <c r="J17" s="4" t="n">
        <f aca="false">-J6*Assumptions!J46/100</f>
        <v>-5772.57926341657</v>
      </c>
      <c r="K17" s="4" t="n">
        <f aca="false">-K6*Assumptions!K46/100</f>
        <v>-5736.50064302022</v>
      </c>
      <c r="L17" s="4" t="n">
        <f aca="false">-L6*Assumptions!L46/100</f>
        <v>-5568.22995749163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-227.7317952</v>
      </c>
      <c r="D18" s="4" t="n">
        <f aca="false">(D6-C6)*Assumptions!$B$51/100</f>
        <v>-233.804643072</v>
      </c>
      <c r="E18" s="4" t="n">
        <f aca="false">(E6-D6)*Assumptions!$B$51/100</f>
        <v>-283.11616779264</v>
      </c>
      <c r="F18" s="4" t="n">
        <f aca="false">(F6-E6)*Assumptions!$B$51/100</f>
        <v>-343.514283588403</v>
      </c>
      <c r="G18" s="4" t="n">
        <f aca="false">(G6-F6)*Assumptions!$B$51/100</f>
        <v>-358.311821958366</v>
      </c>
      <c r="H18" s="4" t="n">
        <f aca="false">(H6-G6)*Assumptions!$B$51/100</f>
        <v>-367.866803877255</v>
      </c>
      <c r="I18" s="4" t="n">
        <f aca="false">(I6-H6)*Assumptions!$B$51/100</f>
        <v>-334.08994279398</v>
      </c>
      <c r="J18" s="4" t="n">
        <f aca="false">(J6-I6)*Assumptions!$B$51/100</f>
        <v>-283.234029279786</v>
      </c>
      <c r="K18" s="4" t="n">
        <f aca="false">(K6-J6)*Assumptions!$B$51/100</f>
        <v>-259.766066853746</v>
      </c>
      <c r="L18" s="4" t="n">
        <f aca="false">(L6-K6)*Assumptions!$B$51/100</f>
        <v>-183.568020576647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3635.0043079168</v>
      </c>
      <c r="D19" s="0" t="n">
        <f aca="false">D15+D16+D17+D18</f>
        <v>4951.74322188</v>
      </c>
      <c r="E19" s="0" t="n">
        <f aca="false">E15+E16+E17+E18</f>
        <v>6527.2747058113</v>
      </c>
      <c r="F19" s="0" t="n">
        <f aca="false">F15+F16+F17+F18</f>
        <v>8226.11012491583</v>
      </c>
      <c r="G19" s="0" t="n">
        <f aca="false">G15+G16+G17+G18</f>
        <v>10213.9571718958</v>
      </c>
      <c r="H19" s="0" t="n">
        <f aca="false">H15+H16+H17+H18</f>
        <v>12470.3126043305</v>
      </c>
      <c r="I19" s="0" t="n">
        <f aca="false">I15+I16+I17+I18</f>
        <v>14203.5709767274</v>
      </c>
      <c r="J19" s="0" t="n">
        <f aca="false">J15+J16+J17+J18</f>
        <v>15991.8316315153</v>
      </c>
      <c r="K19" s="0" t="n">
        <f aca="false">K15+K16+K17+K18</f>
        <v>17397.1829123625</v>
      </c>
      <c r="L19" s="0" t="n">
        <f aca="false">L15+L16+L17+L18</f>
        <v>18577.3896290576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3334.86633753835</v>
      </c>
      <c r="D21" s="0" t="n">
        <f aca="false">D19*D20</f>
        <v>4167.78320164969</v>
      </c>
      <c r="E21" s="0" t="n">
        <f aca="false">E19*E20</f>
        <v>5040.25369764792</v>
      </c>
      <c r="F21" s="0" t="n">
        <f aca="false">F19*F20</f>
        <v>5827.58380148905</v>
      </c>
      <c r="G21" s="0" t="n">
        <f aca="false">G19*G20</f>
        <v>6638.37134432219</v>
      </c>
      <c r="H21" s="0" t="n">
        <f aca="false">H19*H20</f>
        <v>7435.63996193233</v>
      </c>
      <c r="I21" s="0" t="n">
        <f aca="false">I19*I20</f>
        <v>7769.83972333252</v>
      </c>
      <c r="J21" s="0" t="n">
        <f aca="false">J19*J20</f>
        <v>8025.76104606188</v>
      </c>
      <c r="K21" s="0" t="n">
        <f aca="false">K19*K20</f>
        <v>8010.146298178</v>
      </c>
      <c r="L21" s="0" t="n">
        <f aca="false">L19*L20</f>
        <v>7847.29014322584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64097.5355553778</v>
      </c>
    </row>
    <row r="31" customFormat="false" ht="15" hidden="false" customHeight="false" outlineLevel="0" collapsed="false">
      <c r="A31" s="0" t="s">
        <v>128</v>
      </c>
      <c r="B31" s="0" t="n">
        <f aca="false">L19</f>
        <v>18577.3896290576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318911.855298823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371547.792581153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318911.855298823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134711.814125377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198809.349680755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238430.949680755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42.338617862822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-0.114995446011246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3357.03301682709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5191.37769558113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43.8565747177173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159455.927649411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22.2872316986878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17.6458693423581</v>
      </c>
      <c r="C4" s="0" t="n">
        <f aca="false">B4/Assumptions!$B$2-1</f>
        <v>-0.631148216087832</v>
      </c>
      <c r="D4" s="4" t="n">
        <f aca="false">Assumptions!$B$24</f>
        <v>0.25</v>
      </c>
      <c r="E4" s="4" t="n">
        <f aca="false">DCF_Bear!$B$43</f>
        <v>18.5557790412788</v>
      </c>
      <c r="F4" s="4" t="n">
        <f aca="false">DCF_Bear!$B$47</f>
        <v>12.0921563981919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28.3923289167266</v>
      </c>
      <c r="C5" s="0" t="n">
        <f aca="false">B5/Assumptions!$B$2-1</f>
        <v>-0.406514863780798</v>
      </c>
      <c r="D5" s="4" t="n">
        <f aca="false">Assumptions!$B$38</f>
        <v>0.5</v>
      </c>
      <c r="E5" s="4" t="n">
        <f aca="false">DCF_Base!$B$43</f>
        <v>29.5348180847929</v>
      </c>
      <c r="F5" s="4" t="n">
        <f aca="false">DCF_Base!$B$47</f>
        <v>16.5367761370592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42.338617862822</v>
      </c>
      <c r="C6" s="0" t="n">
        <f aca="false">B6/Assumptions!$B$2-1</f>
        <v>-0.114995446011246</v>
      </c>
      <c r="D6" s="4" t="n">
        <f aca="false">Assumptions!$B$52</f>
        <v>0.25</v>
      </c>
      <c r="E6" s="4" t="n">
        <f aca="false">DCF_Bull!$B$43</f>
        <v>43.8565747177173</v>
      </c>
      <c r="F6" s="4" t="n">
        <f aca="false">DCF_Bull!$B$47</f>
        <v>22.2872316986878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29.1922862596583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30.3704974821455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-0.63878908196757</v>
      </c>
    </row>
    <row r="11" customFormat="false" ht="15" hidden="false" customHeight="false" outlineLevel="0" collapsed="false">
      <c r="A11" s="0" t="s">
        <v>155</v>
      </c>
      <c r="B11" s="0" t="n">
        <f aca="false">IF(ABS(B9-B8)&gt;0.01*ABS(B8),(Assumptions!$B$2-B8)/(B9-B8)*100,"n/a")</f>
        <v>1582.71398068823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16.8632350927495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28.3923289167266</v>
      </c>
      <c r="C15" s="3" t="n">
        <v>9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24.955077691488</v>
      </c>
      <c r="C16" s="3" t="n">
        <v>10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22.3963250922357</v>
      </c>
      <c r="C17" s="3" t="n">
        <v>11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20.4220306044442</v>
      </c>
      <c r="C18" s="3" t="n">
        <v>12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16.5367761370592</v>
      </c>
      <c r="C19" s="3" t="n">
        <v>15</v>
      </c>
    </row>
    <row r="21" customFormat="false" ht="15" hidden="false" customHeight="false" outlineLevel="0" collapsed="false">
      <c r="A21" s="2" t="s">
        <v>164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34.8926323145981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34.8926323145981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34.8926323145981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34.8926323145981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34.8926323145981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30.0101995079159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31.4771771513063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32.6996585207984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32.6996585207984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32.6996585207984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26.2705825930871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27.2498501270746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28.3923289167266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29.7425311226791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30.7087308663882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23.4893306145119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24.1733459171007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24.955077691488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25.857075892704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26.909407127456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21.3454721979896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21.8399912070466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22.3963250922357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23.0268368287833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23.7474216705521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2026-10-16T07:26:57Z</dcterms:created>
  <dc:creator>openpyxl</dc:creator>
  <dc:description/>
  <dc:language>en-NZ</dc:language>
  <cp:lastModifiedBy/>
  <dcterms:modified xsi:type="dcterms:W3CDTF">2026-10-16T07:26:57Z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