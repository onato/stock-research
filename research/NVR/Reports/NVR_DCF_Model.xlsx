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<sst xmlns="http://schemas.openxmlformats.org/spreadsheetml/2006/main" count="387" uniqueCount="174">
  <si>
    <t xml:space="preserve">Ticker</t>
  </si>
  <si>
    <t xml:space="preserve">NVR</t>
  </si>
  <si>
    <t xml:space="preserve">Company</t>
  </si>
  <si>
    <t xml:space="preserve">NVR, Inc.</t>
  </si>
  <si>
    <t xml:space="preserve">Valuation date</t>
  </si>
  <si>
    <t xml:space="preserve">2026-10-02</t>
  </si>
  <si>
    <t xml:space="preserve">Current price</t>
  </si>
  <si>
    <t xml:space="preserve">Price as of</t>
  </si>
  <si>
    <t xml:space="preserve">2026-10-01T20:00:55Z regular close</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</si>
  <si>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</si>
  <si>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</si>
  <si>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</si>
  <si>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</si>
  <si>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</si>
  <si>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</si>
  <si>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</si>
  <si>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</si>
  <si>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</si>
  <si>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</si>
  <si>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</si>
  <si>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</si>
  <si>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2026-10-02T02:59:22Z</t>
  </si>
  <si>
    <t xml:space="preserve">Drivers file</t>
  </si>
  <si>
    <t xml:space="preserve">NVR_Drivers.json</t>
  </si>
  <si>
    <t xml:space="preserve">Convention</t>
  </si>
  <si>
    <t xml:space="preserve">Percents stored as percents; formulas divide by 100. Blue = input, green = link, black = formula.</t>
  </si>
  <si>
    <t xml:space="preserve">Methodology</t>
  </si>
  <si>
    <t xml:space="preserve">summary: NVR is valued as an operating cyclical on owner FCF: SBC expensed, interest income on the (now much smaller) cash pile stripped and the net cash added once, the share count held flat, and cyclicality handled by normalising the EBITDA margin from the FY2026 trough across three explicit paths rather than by a WACC premium. The capital-light lot-option model makes owner FCF track net income closely (capex and D&amp;A are ~0.25% of revenue), so the valuation is essentially a question of what mid-cycle margin and growth the market should capitalise -- and at the current price the market is paying for something closer to the bull margin path than the base.
key_risks_to_valuation: Mid-cycle margin judgment: each 1pp of mature EBITDA margin is worth roughly 7-8% of base value; the 14.5% base sits between the 12.9% pre-2017 average and the 16.9% post-2017 average.; Mortgage-rate path drives both volume and price; the scenarios span high-5s to a re-tightening but a 2008-style credit event is outside all three.; Community-count bottleneck: controlled lots are up 76% since 2019 but active communities are flat; if permitting does not clear, the FY2028-30 growth in base does not arrive.; Lot-deposit impairments scale with price declines ($21.7M in Q2 2026); a sharper price reset would add to the bear case.; Flat share count understates the per-share compounding NVR has delivered historically; buybacks executed below intrinsic value add value the model does not credit (and above it, destroy value it does not debit).</t>
  </si>
  <si>
    <t xml:space="preserve">Data sources</t>
  </si>
  <si>
    <t xml:space="preserve">price: Yahoo Finance chart API regular close at inputs.price_as_of; 52-week range 5501.01-8200.00.
financials: NVR_Metrics.csv / core_metrics (SEC XBRL companyfacts, FY2009-FY2025 annual and quarterlies through Q2 2026, USD millions); SEC companyfacts API for cover-page shares (2026-07-31), dilutive increment, buybacks, cash taxes and restricted cash (2026-06-30 10-Q); kpis table for interest income (split out by the financial-parser) and buybacks.
qualitative: NVR_Analysis.json (2026-10-02): Q2 2026 results, $750M Feb-2026 buyback authorisation, controlled-lot pipeline, permitting bottleneck, consensus FY2026 EPS ~$367, Morgan Stanley Underweight initiation 2026-10-01.</t>
  </si>
  <si>
    <t xml:space="preserve">Scenario narrative: bear</t>
  </si>
  <si>
    <t xml:space="preserve">Rates re-tighten and spec-builder discounting takes share from build-to-order NVR; two down years, 11% trough margin recovering only to 12%; earnings-power case, not solvency.</t>
  </si>
  <si>
    <t xml:space="preserve">Scenario narrative: base</t>
  </si>
  <si>
    <t xml:space="preserve">Rates ease toward 6% by 2028; FY2026 revenue -8% and EBITDA margin 14%, a 13.5% trough in FY2027, then 4-5% growth as the lot pipeline converts and a 14.5% mid-cycle margin -- below the 2021-24 house-price-inflation years, above the pre-2017 range.</t>
  </si>
  <si>
    <t xml:space="preserve">Scenario narrative: bull</t>
  </si>
  <si>
    <t xml:space="preserve">High-5s mortgage rates by 2027 plus permitting relief unlock the 184k controlled lots; entry-level shortage drives 8% growth in FY2028-29 and margins recapture 16.5%.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</si>
  <si>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</si>
  <si>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</si>
  <si>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</si>
  <si>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</si>
  <si>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</si>
  <si>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</si>
  <si>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</si>
  <si>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</si>
  <si>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</si>
  <si>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</si>
  <si>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</si>
  <si>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</si>
  <si>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</si>
  <si>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</si>
  <si>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</si>
  <si>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</si>
  <si>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</si>
  <si>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</si>
  <si>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</si>
  <si>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</si>
  <si>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</si>
  <si>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</si>
  <si>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</si>
  <si>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</si>
  <si>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</si>
  <si>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</si>
  <si>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</si>
  <si>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</si>
  <si>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</si>
  <si>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</si>
  <si>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</si>
  <si>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</si>
  <si>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</si>
  <si>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</si>
  <si>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</si>
  <si>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</si>
  <si>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</si>
  <si>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</si>
  <si>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</si>
  <si>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</si>
  <si>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</si>
  <si>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</si>
  <si>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</si>
  <si>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</si>
  <si>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</si>
  <si>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</si>
  <si>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</si>
  <si>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</si>
  <si>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</si>
  <si>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</si>
  <si>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</si>
  <si>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</si>
  <si>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</si>
  <si>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</si>
  <si>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</si>
  <si>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</si>
  <si>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</si>
  <si>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</si>
  <si>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</si>
  <si>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</si>
  <si>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</si>
  <si>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</si>
  <si>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</si>
  <si>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</si>
  <si>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</si>
  <si>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</si>
  <si>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</si>
  <si>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</si>
  <si>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</si>
  <si>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</si>
  <si>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</si>
  <si>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</si>
  <si>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</si>
  <si>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</si>
  <si>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</si>
  <si>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</si>
  <si>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</si>
  <si>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</si>
  <si>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</si>
  <si>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</si>
  <si>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</si>
  <si>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</si>
  <si>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</si>
  <si>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NVR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</si>
  <si>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</si>
  <si>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</si>
  <si>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</si>
  <si>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</si>
  <si>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</si>
  <si>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</si>
  <si>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</si>
  <si>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</si>
  <si>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</si>
  <si>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</si>
  <si>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</si>
  <si>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</si>
  <si>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</si>
  <si>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</si>
  <si>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</si>
  <si>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</si>
  <si>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</si>
  <si>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</si>
  <si>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</si>
  <si>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</si>
  <si>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</si>
  <si>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</si>
  <si>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</si>
  <si>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</si>
  <si>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</si>
  <si>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</si>
  <si>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</si>
  <si>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</si>
  <si>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</si>
  <si>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</si>
  <si>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NVR owner-FCF component DCF: base case (millions, USD)</t>
  </si>
  <si>
    <t xml:space="preserve">NVR owner-FCF component DCF: bull case (millions, USD)</t>
  </si>
  <si>
    <t xml:space="preserve">NVR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</si>
  <si>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</si>
  <si>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</si>
  <si>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</si>
  <si>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</si>
  <si>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</si>
  <si>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</si>
  <si>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</si>
  <si>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</si>
  <si>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</si>
  <si>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</si>
  <si>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</si>
  <si>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</si>
  <si>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</si>
  <si>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</si>
  <si>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</si>
  <si>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9.5%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</si>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</sst>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6126.38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1129.375</v>
      </c>
      <c r="S2" s="0" t="n">
        <v>664.209</v>
      </c>
      <c r="AA2" s="0" t="s">
        <v>17</v>
      </c>
      <c r="AB2" s="0" t="s">
        <v>14</v>
      </c>
    </row>
    <row r="3" customFormat="false" ht="15" hidden="false" customHeight="false" outlineLevel="0" collapsed="false">
      <c r="A3" s="0" t="s">
        <v>64</v>
      </c>
      <c r="I3" s="0" t="n">
        <v>100.892</v>
      </c>
      <c r="K3" s="0" t="n">
        <v>17.04</v>
      </c>
      <c r="L3" s="0" t="n">
        <v>462.361</v>
      </c>
      <c r="M3" s="0" t="n">
        <v>6.899</v>
      </c>
      <c r="N3" s="0" t="n">
        <v>455.462</v>
      </c>
      <c r="O3" s="0" t="n">
        <v>1373.789</v>
      </c>
      <c r="S3" s="0" t="n">
        <v>1147.643</v>
      </c>
      <c r="T3" s="0" t="n">
        <v>5.92</v>
      </c>
      <c r="U3" s="0" t="n">
        <v>41.204</v>
      </c>
      <c r="AA3" s="0" t="s">
        <v>17</v>
      </c>
      <c r="AB3" s="0" t="s">
        <v>14</v>
      </c>
    </row>
    <row r="4" customFormat="false" ht="15" hidden="false" customHeight="false" outlineLevel="0" collapsed="false">
      <c r="A4" s="0" t="s">
        <v>65</v>
      </c>
      <c r="B4" s="0" t="n">
        <v>2743.848</v>
      </c>
      <c r="I4" s="0" t="n">
        <v>192.18</v>
      </c>
      <c r="J4" s="0" t="n">
        <v>7.00403229333403</v>
      </c>
      <c r="K4" s="0" t="n">
        <v>31.26</v>
      </c>
      <c r="L4" s="0" t="n">
        <v>241.642</v>
      </c>
      <c r="M4" s="0" t="n">
        <v>3.044</v>
      </c>
      <c r="N4" s="0" t="n">
        <v>238.598</v>
      </c>
      <c r="O4" s="0" t="n">
        <v>1757.262</v>
      </c>
      <c r="P4" s="0" t="n">
        <v>2395.77</v>
      </c>
      <c r="Q4" s="0" t="n">
        <v>638.508</v>
      </c>
      <c r="S4" s="0" t="n">
        <v>1250.15</v>
      </c>
      <c r="T4" s="0" t="n">
        <v>6.149</v>
      </c>
      <c r="U4" s="0" t="n">
        <v>46.302</v>
      </c>
      <c r="AA4" s="0" t="s">
        <v>17</v>
      </c>
      <c r="AB4" s="0" t="s">
        <v>14</v>
      </c>
    </row>
    <row r="5" customFormat="false" ht="15" hidden="false" customHeight="false" outlineLevel="0" collapsed="false">
      <c r="A5" s="0" t="s">
        <v>66</v>
      </c>
      <c r="B5" s="0" t="n">
        <v>3041.892</v>
      </c>
      <c r="I5" s="0" t="n">
        <v>206.005</v>
      </c>
      <c r="J5" s="0" t="n">
        <v>6.77226541902211</v>
      </c>
      <c r="K5" s="0" t="n">
        <v>33.42</v>
      </c>
      <c r="L5" s="0" t="n">
        <v>55.388</v>
      </c>
      <c r="M5" s="0" t="n">
        <v>6.943</v>
      </c>
      <c r="N5" s="0" t="n">
        <v>48.445</v>
      </c>
      <c r="O5" s="0" t="n">
        <v>1740.374</v>
      </c>
      <c r="P5" s="0" t="n">
        <v>2260.061</v>
      </c>
      <c r="Q5" s="0" t="n">
        <v>519.687</v>
      </c>
      <c r="S5" s="0" t="n">
        <v>1193.75</v>
      </c>
      <c r="T5" s="0" t="n">
        <v>6.165</v>
      </c>
      <c r="U5" s="0" t="n">
        <v>53.136</v>
      </c>
      <c r="AA5" s="0" t="s">
        <v>17</v>
      </c>
      <c r="AB5" s="0" t="s">
        <v>14</v>
      </c>
    </row>
    <row r="6" customFormat="false" ht="15" hidden="false" customHeight="false" outlineLevel="0" collapsed="false">
      <c r="A6" s="0" t="s">
        <v>67</v>
      </c>
      <c r="B6" s="0" t="n">
        <v>2659.149</v>
      </c>
      <c r="I6" s="0" t="n">
        <v>129.42</v>
      </c>
      <c r="J6" s="0" t="n">
        <v>4.86697059848846</v>
      </c>
      <c r="K6" s="0" t="n">
        <v>23.01</v>
      </c>
      <c r="L6" s="0" t="n">
        <v>1.463</v>
      </c>
      <c r="M6" s="0" t="n">
        <v>11.444</v>
      </c>
      <c r="N6" s="0" t="n">
        <v>-9.981</v>
      </c>
      <c r="O6" s="0" t="n">
        <v>1374.799</v>
      </c>
      <c r="P6" s="0" t="n">
        <v>1779.485</v>
      </c>
      <c r="Q6" s="0" t="n">
        <v>404.686</v>
      </c>
      <c r="S6" s="0" t="n">
        <v>480.794</v>
      </c>
      <c r="T6" s="0" t="n">
        <v>5.623817</v>
      </c>
      <c r="U6" s="0" t="n">
        <v>64.473</v>
      </c>
      <c r="AA6" s="0" t="s">
        <v>17</v>
      </c>
      <c r="AB6" s="0" t="s">
        <v>14</v>
      </c>
    </row>
    <row r="7" customFormat="false" ht="15" hidden="false" customHeight="false" outlineLevel="0" collapsed="false">
      <c r="A7" s="0" t="s">
        <v>68</v>
      </c>
      <c r="B7" s="0" t="n">
        <v>3184.65</v>
      </c>
      <c r="I7" s="0" t="n">
        <v>180.588</v>
      </c>
      <c r="J7" s="0" t="n">
        <v>5.67057604446328</v>
      </c>
      <c r="K7" s="0" t="n">
        <v>35.12</v>
      </c>
      <c r="L7" s="0" t="n">
        <v>264.384</v>
      </c>
      <c r="M7" s="0" t="n">
        <v>12.365</v>
      </c>
      <c r="N7" s="0" t="n">
        <v>252.019</v>
      </c>
      <c r="O7" s="0" t="n">
        <v>1480.477</v>
      </c>
      <c r="P7" s="0" t="n">
        <v>2604.842</v>
      </c>
      <c r="Q7" s="0" t="n">
        <v>1124.365</v>
      </c>
      <c r="R7" s="0" t="n">
        <v>598.988</v>
      </c>
      <c r="S7" s="0" t="n">
        <v>1153.507</v>
      </c>
      <c r="T7" s="0" t="n">
        <v>5.142</v>
      </c>
      <c r="U7" s="0" t="n">
        <v>64.841</v>
      </c>
      <c r="AA7" s="0" t="s">
        <v>17</v>
      </c>
      <c r="AB7" s="0" t="s">
        <v>14</v>
      </c>
    </row>
    <row r="8" customFormat="false" ht="15" hidden="false" customHeight="false" outlineLevel="0" collapsed="false">
      <c r="A8" s="0" t="s">
        <v>69</v>
      </c>
      <c r="B8" s="0" t="n">
        <v>4211.267</v>
      </c>
      <c r="F8" s="0" t="n">
        <v>436.574</v>
      </c>
      <c r="G8" s="0" t="n">
        <v>10.37</v>
      </c>
      <c r="H8" s="0" t="n">
        <v>449.965</v>
      </c>
      <c r="I8" s="0" t="n">
        <v>266.477</v>
      </c>
      <c r="J8" s="0" t="n">
        <v>6.32771562572499</v>
      </c>
      <c r="K8" s="0" t="n">
        <v>54.81</v>
      </c>
      <c r="L8" s="0" t="n">
        <v>270.222</v>
      </c>
      <c r="M8" s="0" t="n">
        <v>19.016</v>
      </c>
      <c r="N8" s="0" t="n">
        <v>251.206</v>
      </c>
      <c r="O8" s="0" t="n">
        <v>1261.352</v>
      </c>
      <c r="P8" s="0" t="n">
        <v>2486.148</v>
      </c>
      <c r="Q8" s="0" t="n">
        <v>1224.796</v>
      </c>
      <c r="R8" s="0" t="n">
        <v>600.115</v>
      </c>
      <c r="S8" s="0" t="n">
        <v>866.253</v>
      </c>
      <c r="T8" s="0" t="n">
        <v>4.862</v>
      </c>
      <c r="U8" s="0" t="n">
        <v>34.296</v>
      </c>
      <c r="AA8" s="0" t="s">
        <v>17</v>
      </c>
      <c r="AB8" s="0" t="s">
        <v>14</v>
      </c>
    </row>
    <row r="9" customFormat="false" ht="15" hidden="false" customHeight="false" outlineLevel="0" collapsed="false">
      <c r="A9" s="0" t="s">
        <v>70</v>
      </c>
      <c r="B9" s="0" t="n">
        <v>4444.568</v>
      </c>
      <c r="F9" s="0" t="n">
        <v>473.284</v>
      </c>
      <c r="G9" s="0" t="n">
        <v>10.65</v>
      </c>
      <c r="H9" s="0" t="n">
        <v>490.898</v>
      </c>
      <c r="I9" s="0" t="n">
        <v>281.63</v>
      </c>
      <c r="J9" s="0" t="n">
        <v>6.3364988453321</v>
      </c>
      <c r="K9" s="0" t="n">
        <v>63.5</v>
      </c>
      <c r="L9" s="0" t="n">
        <v>184.549</v>
      </c>
      <c r="M9" s="0" t="n">
        <v>31.672</v>
      </c>
      <c r="N9" s="0" t="n">
        <v>152.877</v>
      </c>
      <c r="O9" s="0" t="n">
        <v>1124.255</v>
      </c>
      <c r="P9" s="0" t="n">
        <v>2351.335</v>
      </c>
      <c r="Q9" s="0" t="n">
        <v>1227.08</v>
      </c>
      <c r="R9" s="0" t="n">
        <v>599.166</v>
      </c>
      <c r="S9" s="0" t="n">
        <v>545.419</v>
      </c>
      <c r="T9" s="0" t="n">
        <v>4.435</v>
      </c>
      <c r="U9" s="0" t="n">
        <v>63.227</v>
      </c>
      <c r="AA9" s="0" t="s">
        <v>17</v>
      </c>
      <c r="AB9" s="0" t="s">
        <v>14</v>
      </c>
    </row>
    <row r="10" customFormat="false" ht="15" hidden="false" customHeight="false" outlineLevel="0" collapsed="false">
      <c r="A10" s="0" t="s">
        <v>71</v>
      </c>
      <c r="B10" s="0" t="n">
        <v>5159.008</v>
      </c>
      <c r="F10" s="0" t="n">
        <v>623.174</v>
      </c>
      <c r="G10" s="0" t="n">
        <v>12.08</v>
      </c>
      <c r="H10" s="0" t="n">
        <v>644.708</v>
      </c>
      <c r="I10" s="0" t="n">
        <v>382.927</v>
      </c>
      <c r="J10" s="0" t="n">
        <v>7.42249285133886</v>
      </c>
      <c r="K10" s="0" t="n">
        <v>89.99</v>
      </c>
      <c r="L10" s="0" t="n">
        <v>203.391</v>
      </c>
      <c r="M10" s="0" t="n">
        <v>18.277</v>
      </c>
      <c r="N10" s="0" t="n">
        <v>185.114</v>
      </c>
      <c r="O10" s="0" t="n">
        <v>1239.165</v>
      </c>
      <c r="P10" s="0" t="n">
        <v>2511.718</v>
      </c>
      <c r="Q10" s="0" t="n">
        <v>1272.553</v>
      </c>
      <c r="R10" s="0" t="n">
        <v>599.26</v>
      </c>
      <c r="S10" s="0" t="n">
        <v>450.794</v>
      </c>
      <c r="T10" s="0" t="n">
        <v>4.255</v>
      </c>
      <c r="U10" s="0" t="n">
        <v>54.091</v>
      </c>
      <c r="AA10" s="0" t="s">
        <v>17</v>
      </c>
      <c r="AB10" s="0" t="s">
        <v>14</v>
      </c>
    </row>
    <row r="11" customFormat="false" ht="15" hidden="false" customHeight="false" outlineLevel="0" collapsed="false">
      <c r="A11" s="0" t="s">
        <v>72</v>
      </c>
      <c r="B11" s="0" t="n">
        <v>5822.544</v>
      </c>
      <c r="F11" s="0" t="n">
        <v>679.498</v>
      </c>
      <c r="G11" s="0" t="n">
        <v>11.67</v>
      </c>
      <c r="H11" s="0" t="n">
        <v>701.767</v>
      </c>
      <c r="I11" s="0" t="n">
        <v>425.262</v>
      </c>
      <c r="J11" s="0" t="n">
        <v>7.30371466492997</v>
      </c>
      <c r="K11" s="0" t="n">
        <v>103.61</v>
      </c>
      <c r="L11" s="0" t="n">
        <v>398.126</v>
      </c>
      <c r="M11" s="0" t="n">
        <v>22.369</v>
      </c>
      <c r="N11" s="0" t="n">
        <v>375.757</v>
      </c>
      <c r="O11" s="0" t="n">
        <v>1304.441</v>
      </c>
      <c r="P11" s="0" t="n">
        <v>2643.943</v>
      </c>
      <c r="Q11" s="0" t="n">
        <v>1339.502</v>
      </c>
      <c r="R11" s="0" t="n">
        <v>596.455</v>
      </c>
      <c r="S11" s="0" t="n">
        <v>395.405</v>
      </c>
      <c r="T11" s="0" t="n">
        <v>4.104</v>
      </c>
      <c r="U11" s="0" t="n">
        <v>43.598</v>
      </c>
      <c r="AA11" s="0" t="s">
        <v>17</v>
      </c>
      <c r="AB11" s="0" t="s">
        <v>14</v>
      </c>
    </row>
    <row r="12" customFormat="false" ht="15" hidden="false" customHeight="false" outlineLevel="0" collapsed="false">
      <c r="A12" s="0" t="s">
        <v>73</v>
      </c>
      <c r="B12" s="0" t="n">
        <v>6305.84</v>
      </c>
      <c r="F12" s="0" t="n">
        <v>863.412</v>
      </c>
      <c r="G12" s="0" t="n">
        <v>13.69</v>
      </c>
      <c r="H12" s="0" t="n">
        <v>886.079</v>
      </c>
      <c r="I12" s="0" t="n">
        <v>537.521</v>
      </c>
      <c r="J12" s="0" t="n">
        <v>8.52417758775992</v>
      </c>
      <c r="K12" s="0" t="n">
        <v>126.77</v>
      </c>
      <c r="L12" s="0" t="n">
        <v>570.354</v>
      </c>
      <c r="M12" s="0" t="n">
        <v>20.269</v>
      </c>
      <c r="N12" s="0" t="n">
        <v>550.085</v>
      </c>
      <c r="O12" s="0" t="n">
        <v>1605.492</v>
      </c>
      <c r="P12" s="0" t="n">
        <v>2989.279</v>
      </c>
      <c r="Q12" s="0" t="n">
        <v>1383.787</v>
      </c>
      <c r="R12" s="0" t="n">
        <v>597.066</v>
      </c>
      <c r="S12" s="0" t="n">
        <v>666.794</v>
      </c>
      <c r="T12" s="0" t="n">
        <v>4.24</v>
      </c>
      <c r="U12" s="0" t="n">
        <v>44.562</v>
      </c>
      <c r="AA12" s="0" t="s">
        <v>17</v>
      </c>
      <c r="AB12" s="0" t="s">
        <v>14</v>
      </c>
    </row>
    <row r="13" customFormat="false" ht="15" hidden="false" customHeight="false" outlineLevel="0" collapsed="false">
      <c r="A13" s="0" t="s">
        <v>74</v>
      </c>
      <c r="B13" s="0" t="n">
        <v>7163.674</v>
      </c>
      <c r="F13" s="0" t="n">
        <v>971.929</v>
      </c>
      <c r="G13" s="0" t="n">
        <v>13.57</v>
      </c>
      <c r="H13" s="0" t="n">
        <v>992.097</v>
      </c>
      <c r="I13" s="0" t="n">
        <v>797.197</v>
      </c>
      <c r="J13" s="0" t="n">
        <v>11.128326051688</v>
      </c>
      <c r="K13" s="0" t="n">
        <v>194.8</v>
      </c>
      <c r="L13" s="0" t="n">
        <v>723.126</v>
      </c>
      <c r="M13" s="0" t="n">
        <v>19.665</v>
      </c>
      <c r="N13" s="0" t="n">
        <v>703.461</v>
      </c>
      <c r="O13" s="0" t="n">
        <v>1808.562</v>
      </c>
      <c r="P13" s="0" t="n">
        <v>3165.933</v>
      </c>
      <c r="Q13" s="0" t="n">
        <v>1357.371</v>
      </c>
      <c r="R13" s="0" t="n">
        <v>597.681</v>
      </c>
      <c r="S13" s="0" t="n">
        <v>711.875</v>
      </c>
      <c r="T13" s="0" t="n">
        <v>4.092</v>
      </c>
      <c r="U13" s="0" t="n">
        <v>75.701</v>
      </c>
      <c r="AA13" s="0" t="s">
        <v>17</v>
      </c>
      <c r="AB13" s="0" t="s">
        <v>14</v>
      </c>
    </row>
    <row r="14" customFormat="false" ht="15" hidden="false" customHeight="false" outlineLevel="0" collapsed="false">
      <c r="A14" s="0" t="s">
        <v>75</v>
      </c>
      <c r="B14" s="0" t="n">
        <v>7388.664</v>
      </c>
      <c r="F14" s="0" t="n">
        <v>1025.351</v>
      </c>
      <c r="G14" s="0" t="n">
        <v>13.88</v>
      </c>
      <c r="H14" s="0" t="n">
        <v>1046.169</v>
      </c>
      <c r="I14" s="0" t="n">
        <v>878.539</v>
      </c>
      <c r="J14" s="0" t="n">
        <v>11.8903633999327</v>
      </c>
      <c r="K14" s="0" t="n">
        <v>221.13</v>
      </c>
      <c r="L14" s="0" t="n">
        <v>866.535</v>
      </c>
      <c r="M14" s="0" t="n">
        <v>22.699</v>
      </c>
      <c r="N14" s="0" t="n">
        <v>843.836</v>
      </c>
      <c r="O14" s="0" t="n">
        <v>2341.244</v>
      </c>
      <c r="P14" s="0" t="n">
        <v>3809.815</v>
      </c>
      <c r="Q14" s="0" t="n">
        <v>1468.571</v>
      </c>
      <c r="R14" s="0" t="n">
        <v>598.301</v>
      </c>
      <c r="S14" s="0" t="n">
        <v>1140.304</v>
      </c>
      <c r="T14" s="0" t="n">
        <v>3.973027</v>
      </c>
      <c r="U14" s="0" t="n">
        <v>78.532</v>
      </c>
      <c r="AA14" s="0" t="s">
        <v>17</v>
      </c>
      <c r="AB14" s="0" t="s">
        <v>14</v>
      </c>
    </row>
    <row r="15" customFormat="false" ht="15" hidden="false" customHeight="false" outlineLevel="0" collapsed="false">
      <c r="A15" s="0" t="s">
        <v>76</v>
      </c>
      <c r="B15" s="0" t="n">
        <v>7536.923</v>
      </c>
      <c r="F15" s="0" t="n">
        <v>1100.553</v>
      </c>
      <c r="G15" s="0" t="n">
        <v>14.6</v>
      </c>
      <c r="H15" s="0" t="n">
        <v>1122.545</v>
      </c>
      <c r="I15" s="0" t="n">
        <v>901.248</v>
      </c>
      <c r="J15" s="0" t="n">
        <v>11.9577710957111</v>
      </c>
      <c r="K15" s="0" t="n">
        <v>230.11</v>
      </c>
      <c r="L15" s="0" t="n">
        <v>925.269</v>
      </c>
      <c r="M15" s="0" t="n">
        <v>16.119</v>
      </c>
      <c r="N15" s="0" t="n">
        <v>909.15</v>
      </c>
      <c r="O15" s="0" t="n">
        <v>3103.074</v>
      </c>
      <c r="P15" s="0" t="n">
        <v>5777.141</v>
      </c>
      <c r="Q15" s="0" t="n">
        <v>2674.067</v>
      </c>
      <c r="R15" s="0" t="n">
        <v>1517.395</v>
      </c>
      <c r="S15" s="0" t="n">
        <v>2778.267</v>
      </c>
      <c r="T15" s="0" t="n">
        <v>3.916661</v>
      </c>
      <c r="U15" s="0" t="n">
        <v>50.794</v>
      </c>
      <c r="AA15" s="0" t="s">
        <v>17</v>
      </c>
      <c r="AB15" s="0" t="s">
        <v>14</v>
      </c>
    </row>
    <row r="16" customFormat="false" ht="15" hidden="false" customHeight="false" outlineLevel="0" collapsed="false">
      <c r="A16" s="0" t="s">
        <v>77</v>
      </c>
      <c r="B16" s="0" t="n">
        <v>8951.025</v>
      </c>
      <c r="F16" s="0" t="n">
        <v>1635.374</v>
      </c>
      <c r="G16" s="0" t="n">
        <v>18.27</v>
      </c>
      <c r="H16" s="0" t="n">
        <v>1654.837</v>
      </c>
      <c r="I16" s="0" t="n">
        <v>1236.719</v>
      </c>
      <c r="J16" s="0" t="n">
        <v>13.8165070480755</v>
      </c>
      <c r="K16" s="0" t="n">
        <v>320.48</v>
      </c>
      <c r="L16" s="0" t="n">
        <v>1242.393</v>
      </c>
      <c r="M16" s="0" t="n">
        <v>17.875</v>
      </c>
      <c r="N16" s="0" t="n">
        <v>1224.518</v>
      </c>
      <c r="O16" s="0" t="n">
        <v>3002.378</v>
      </c>
      <c r="P16" s="0" t="n">
        <v>5834.475</v>
      </c>
      <c r="Q16" s="0" t="n">
        <v>2832.097</v>
      </c>
      <c r="R16" s="0" t="n">
        <v>1516.255</v>
      </c>
      <c r="S16" s="0" t="n">
        <v>2573.467</v>
      </c>
      <c r="T16" s="0" t="n">
        <v>3.858912</v>
      </c>
      <c r="U16" s="0" t="n">
        <v>58.234</v>
      </c>
      <c r="AA16" s="0" t="s">
        <v>17</v>
      </c>
      <c r="AB16" s="0" t="s">
        <v>14</v>
      </c>
    </row>
    <row r="17" customFormat="false" ht="15" hidden="false" customHeight="false" outlineLevel="0" collapsed="false">
      <c r="A17" s="0" t="s">
        <v>78</v>
      </c>
      <c r="B17" s="0" t="n">
        <v>10526.434</v>
      </c>
      <c r="F17" s="0" t="n">
        <v>2254.296</v>
      </c>
      <c r="G17" s="0" t="n">
        <v>21.42</v>
      </c>
      <c r="H17" s="0" t="n">
        <v>2271.692</v>
      </c>
      <c r="I17" s="0" t="n">
        <v>1725.575</v>
      </c>
      <c r="J17" s="0" t="n">
        <v>16.3927784090985</v>
      </c>
      <c r="K17" s="0" t="n">
        <v>491.82</v>
      </c>
      <c r="L17" s="0" t="n">
        <v>1870.101</v>
      </c>
      <c r="M17" s="0" t="n">
        <v>18.428</v>
      </c>
      <c r="N17" s="0" t="n">
        <v>1851.673</v>
      </c>
      <c r="O17" s="0" t="n">
        <v>3506.849</v>
      </c>
      <c r="P17" s="0" t="n">
        <v>5660.973</v>
      </c>
      <c r="Q17" s="0" t="n">
        <v>2154.124</v>
      </c>
      <c r="R17" s="0" t="n">
        <v>914.888</v>
      </c>
      <c r="S17" s="0" t="n">
        <v>2522.839</v>
      </c>
      <c r="T17" s="0" t="n">
        <v>3.508524</v>
      </c>
      <c r="U17" s="0" t="n">
        <v>82.537</v>
      </c>
      <c r="AA17" s="0" t="s">
        <v>17</v>
      </c>
      <c r="AB17" s="0" t="s">
        <v>14</v>
      </c>
    </row>
    <row r="18" customFormat="false" ht="15" hidden="false" customHeight="false" outlineLevel="0" collapsed="false">
      <c r="A18" s="0" t="s">
        <v>79</v>
      </c>
      <c r="B18" s="0" t="n">
        <v>9518.202</v>
      </c>
      <c r="F18" s="0" t="n">
        <v>1807.238</v>
      </c>
      <c r="G18" s="0" t="n">
        <v>18.99</v>
      </c>
      <c r="H18" s="0" t="n">
        <v>1824.154</v>
      </c>
      <c r="I18" s="0" t="n">
        <v>1591.611</v>
      </c>
      <c r="J18" s="0" t="n">
        <v>16.7217611057214</v>
      </c>
      <c r="K18" s="0" t="n">
        <v>463.31</v>
      </c>
      <c r="L18" s="0" t="n">
        <v>1497.993</v>
      </c>
      <c r="M18" s="0" t="n">
        <v>24.877</v>
      </c>
      <c r="N18" s="0" t="n">
        <v>1473.116</v>
      </c>
      <c r="O18" s="0" t="n">
        <v>4364.725</v>
      </c>
      <c r="P18" s="0" t="n">
        <v>6601.757</v>
      </c>
      <c r="Q18" s="0" t="n">
        <v>2237.032</v>
      </c>
      <c r="R18" s="0" t="n">
        <v>913.027</v>
      </c>
      <c r="S18" s="0" t="n">
        <v>3162.894</v>
      </c>
      <c r="T18" s="0" t="n">
        <v>3.435294</v>
      </c>
      <c r="U18" s="0" t="n">
        <v>99.507</v>
      </c>
      <c r="AA18" s="0" t="s">
        <v>17</v>
      </c>
      <c r="AB18" s="0" t="s">
        <v>14</v>
      </c>
    </row>
    <row r="19" customFormat="false" ht="15" hidden="false" customHeight="false" outlineLevel="0" collapsed="false">
      <c r="A19" s="0" t="s">
        <v>80</v>
      </c>
      <c r="B19" s="0" t="n">
        <v>10524.479</v>
      </c>
      <c r="F19" s="0" t="n">
        <v>1998.604</v>
      </c>
      <c r="G19" s="0" t="n">
        <v>18.99</v>
      </c>
      <c r="H19" s="0" t="n">
        <v>2016.979</v>
      </c>
      <c r="I19" s="0" t="n">
        <v>1681.928</v>
      </c>
      <c r="J19" s="0" t="n">
        <v>15.9811046228512</v>
      </c>
      <c r="K19" s="0" t="n">
        <v>506.69</v>
      </c>
      <c r="L19" s="0" t="n">
        <v>1374.462</v>
      </c>
      <c r="M19" s="0" t="n">
        <v>29.212</v>
      </c>
      <c r="N19" s="0" t="n">
        <v>1345.25</v>
      </c>
      <c r="O19" s="0" t="n">
        <v>4210.072</v>
      </c>
      <c r="P19" s="0" t="n">
        <v>6380.988</v>
      </c>
      <c r="Q19" s="0" t="n">
        <v>2170.916</v>
      </c>
      <c r="R19" s="0" t="n">
        <v>911.118</v>
      </c>
      <c r="S19" s="0" t="n">
        <v>2610.975</v>
      </c>
      <c r="T19" s="0" t="n">
        <v>3.319434</v>
      </c>
      <c r="U19" s="0" t="n">
        <v>73.925</v>
      </c>
      <c r="AA19" s="0" t="s">
        <v>17</v>
      </c>
      <c r="AB19" s="0" t="s">
        <v>14</v>
      </c>
    </row>
    <row r="20" customFormat="false" ht="15" hidden="false" customHeight="false" outlineLevel="0" collapsed="false">
      <c r="A20" s="0" t="s">
        <v>81</v>
      </c>
      <c r="B20" s="0" t="n">
        <v>10323.959</v>
      </c>
      <c r="F20" s="0" t="n">
        <v>1693.25</v>
      </c>
      <c r="G20" s="0" t="n">
        <v>16.4</v>
      </c>
      <c r="H20" s="0" t="n">
        <v>1717.76</v>
      </c>
      <c r="I20" s="0" t="n">
        <v>1339.816</v>
      </c>
      <c r="J20" s="0" t="n">
        <v>12.9777346074311</v>
      </c>
      <c r="K20" s="0" t="n">
        <v>436.55</v>
      </c>
      <c r="L20" s="0" t="n">
        <v>1121.32</v>
      </c>
      <c r="M20" s="0" t="n">
        <v>24.508</v>
      </c>
      <c r="N20" s="0" t="n">
        <v>1096.812</v>
      </c>
      <c r="O20" s="0" t="n">
        <v>3864.869</v>
      </c>
      <c r="P20" s="0" t="n">
        <v>5856.93</v>
      </c>
      <c r="Q20" s="0" t="n">
        <v>1992.061</v>
      </c>
      <c r="R20" s="0" t="n">
        <v>909.16</v>
      </c>
      <c r="S20" s="0" t="n">
        <v>1916.486</v>
      </c>
      <c r="T20" s="0" t="n">
        <v>3.069103</v>
      </c>
      <c r="U20" s="0" t="n">
        <v>69.213</v>
      </c>
      <c r="AA20" s="0" t="s">
        <v>17</v>
      </c>
      <c r="AB2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6126.38</v>
      </c>
    </row>
    <row r="3" customFormat="false" ht="15" hidden="false" customHeight="false" outlineLevel="0" collapsed="false">
      <c r="A3" s="0" t="s">
        <v>85</v>
      </c>
      <c r="B3" s="3" t="n">
        <v>2.784</v>
      </c>
    </row>
    <row r="4" customFormat="false" ht="15" hidden="false" customHeight="false" outlineLevel="0" collapsed="false">
      <c r="A4" s="0" t="s">
        <v>86</v>
      </c>
      <c r="B4" s="3" t="n">
        <v>-236.512</v>
      </c>
    </row>
    <row r="5" customFormat="false" ht="15" hidden="false" customHeight="false" outlineLevel="0" collapsed="false">
      <c r="A5" s="0" t="s">
        <v>87</v>
      </c>
      <c r="B5" s="3" t="n">
        <v>0</v>
      </c>
    </row>
    <row r="6" customFormat="false" ht="15" hidden="false" customHeight="false" outlineLevel="0" collapsed="false">
      <c r="A6" s="0" t="s">
        <v>88</v>
      </c>
      <c r="B6" s="3" t="n">
        <v>15</v>
      </c>
    </row>
    <row r="7" customFormat="false" ht="15" hidden="false" customHeight="false" outlineLevel="0" collapsed="false">
      <c r="A7" s="0" t="s">
        <v>89</v>
      </c>
      <c r="B7" s="3" t="n">
        <v>10323.959</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-12</v>
      </c>
      <c r="D13" s="3" t="n">
        <v>-8</v>
      </c>
      <c r="E13" s="3" t="n">
        <v>0</v>
      </c>
      <c r="F13" s="3" t="n">
        <v>3</v>
      </c>
      <c r="G13" s="3" t="n">
        <v>3</v>
      </c>
      <c r="H13" s="3" t="n">
        <v>3</v>
      </c>
      <c r="I13" s="3" t="n">
        <v>3</v>
      </c>
      <c r="J13" s="3" t="n">
        <v>2.5</v>
      </c>
      <c r="K13" s="3" t="n">
        <v>2.5</v>
      </c>
      <c r="L13" s="3" t="n">
        <v>2</v>
      </c>
    </row>
    <row r="14" customFormat="false" ht="15" hidden="false" customHeight="false" outlineLevel="0" collapsed="false">
      <c r="A14" s="0" t="s">
        <v>106</v>
      </c>
      <c r="C14" s="3" t="n">
        <v>13</v>
      </c>
      <c r="D14" s="3" t="n">
        <v>11</v>
      </c>
      <c r="E14" s="3" t="n">
        <v>11</v>
      </c>
      <c r="F14" s="3" t="n">
        <v>11.5</v>
      </c>
      <c r="G14" s="3" t="n">
        <v>12</v>
      </c>
      <c r="H14" s="3" t="n">
        <v>12</v>
      </c>
      <c r="I14" s="3" t="n">
        <v>12</v>
      </c>
      <c r="J14" s="3" t="n">
        <v>12</v>
      </c>
      <c r="K14" s="3" t="n">
        <v>12</v>
      </c>
      <c r="L14" s="3" t="n">
        <v>12</v>
      </c>
    </row>
    <row r="15" customFormat="false" ht="15" hidden="false" customHeight="false" outlineLevel="0" collapsed="false">
      <c r="A15" s="0" t="s">
        <v>107</v>
      </c>
      <c r="C15" s="3" t="n">
        <v>0.75</v>
      </c>
      <c r="D15" s="3" t="n">
        <v>0.75</v>
      </c>
      <c r="E15" s="3" t="n">
        <v>0.75</v>
      </c>
      <c r="F15" s="3" t="n">
        <v>0.75</v>
      </c>
      <c r="G15" s="3" t="n">
        <v>0.75</v>
      </c>
      <c r="H15" s="3" t="n">
        <v>0.75</v>
      </c>
      <c r="I15" s="3" t="n">
        <v>0.75</v>
      </c>
      <c r="J15" s="3" t="n">
        <v>0.75</v>
      </c>
      <c r="K15" s="3" t="n">
        <v>0.75</v>
      </c>
      <c r="L15" s="3" t="n">
        <v>0.75</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0.25</v>
      </c>
      <c r="D17" s="3" t="n">
        <v>0.25</v>
      </c>
      <c r="E17" s="3" t="n">
        <v>0.25</v>
      </c>
      <c r="F17" s="3" t="n">
        <v>0.25</v>
      </c>
      <c r="G17" s="3" t="n">
        <v>0.25</v>
      </c>
      <c r="H17" s="3" t="n">
        <v>0.25</v>
      </c>
      <c r="I17" s="3" t="n">
        <v>0.25</v>
      </c>
      <c r="J17" s="3" t="n">
        <v>0.25</v>
      </c>
      <c r="K17" s="3" t="n">
        <v>0.25</v>
      </c>
      <c r="L17" s="3" t="n">
        <v>0.25</v>
      </c>
    </row>
    <row r="18" customFormat="false" ht="15" hidden="false" customHeight="false" outlineLevel="0" collapsed="false">
      <c r="A18" s="0" t="s">
        <v>110</v>
      </c>
      <c r="C18" s="3" t="n">
        <v>0.28</v>
      </c>
      <c r="D18" s="3" t="n">
        <v>0.28</v>
      </c>
      <c r="E18" s="3" t="n">
        <v>0.28</v>
      </c>
      <c r="F18" s="3" t="n">
        <v>0.28</v>
      </c>
      <c r="G18" s="3" t="n">
        <v>0.28</v>
      </c>
      <c r="H18" s="3" t="n">
        <v>0.28</v>
      </c>
      <c r="I18" s="3" t="n">
        <v>0.28</v>
      </c>
      <c r="J18" s="3" t="n">
        <v>0.28</v>
      </c>
      <c r="K18" s="3" t="n">
        <v>0.28</v>
      </c>
      <c r="L18" s="3" t="n">
        <v>0.28</v>
      </c>
    </row>
    <row r="19" customFormat="false" ht="15" hidden="false" customHeight="false" outlineLevel="0" collapsed="false">
      <c r="A19" s="0" t="s">
        <v>111</v>
      </c>
      <c r="C19" s="3" t="n">
        <v>24.5</v>
      </c>
      <c r="D19" s="3" t="n">
        <v>24.5</v>
      </c>
      <c r="E19" s="3" t="n">
        <v>24.5</v>
      </c>
      <c r="F19" s="3" t="n">
        <v>24.5</v>
      </c>
      <c r="G19" s="3" t="n">
        <v>24.5</v>
      </c>
      <c r="H19" s="3" t="n">
        <v>24.5</v>
      </c>
      <c r="I19" s="3" t="n">
        <v>24.5</v>
      </c>
      <c r="J19" s="3" t="n">
        <v>24.5</v>
      </c>
      <c r="K19" s="3" t="n">
        <v>24.5</v>
      </c>
      <c r="L19" s="3" t="n">
        <v>24.5</v>
      </c>
    </row>
    <row r="20" customFormat="false" ht="15" hidden="false" customHeight="false" outlineLevel="0" collapsed="false">
      <c r="A20" s="0" t="s">
        <v>112</v>
      </c>
      <c r="B20" s="3" t="n">
        <v>9.5</v>
      </c>
    </row>
    <row r="21" customFormat="false" ht="15" hidden="false" customHeight="false" outlineLevel="0" collapsed="false">
      <c r="A21" s="0" t="s">
        <v>113</v>
      </c>
      <c r="B21" s="3" t="n">
        <v>2</v>
      </c>
    </row>
    <row r="22" customFormat="false" ht="15" hidden="false" customHeight="false" outlineLevel="0" collapsed="false">
      <c r="A22" s="0" t="s">
        <v>114</v>
      </c>
      <c r="B22" s="3" t="n">
        <v>15</v>
      </c>
    </row>
    <row r="23" customFormat="false" ht="15" hidden="false" customHeight="false" outlineLevel="0" collapsed="false">
      <c r="A23" s="0" t="s">
        <v>115</v>
      </c>
      <c r="B23" s="3" t="n">
        <v>-10</v>
      </c>
    </row>
    <row r="24" customFormat="false" ht="15" hidden="false" customHeight="false" outlineLevel="0" collapsed="false">
      <c r="A24" s="0" t="s">
        <v>116</v>
      </c>
      <c r="B24" s="3" t="n">
        <v>0.25</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-8</v>
      </c>
      <c r="D27" s="3" t="n">
        <v>0</v>
      </c>
      <c r="E27" s="3" t="n">
        <v>4</v>
      </c>
      <c r="F27" s="3" t="n">
        <v>5</v>
      </c>
      <c r="G27" s="3" t="n">
        <v>5</v>
      </c>
      <c r="H27" s="3" t="n">
        <v>4</v>
      </c>
      <c r="I27" s="3" t="n">
        <v>4</v>
      </c>
      <c r="J27" s="3" t="n">
        <v>3</v>
      </c>
      <c r="K27" s="3" t="n">
        <v>3</v>
      </c>
      <c r="L27" s="3" t="n">
        <v>2.5</v>
      </c>
    </row>
    <row r="28" customFormat="false" ht="15" hidden="false" customHeight="false" outlineLevel="0" collapsed="false">
      <c r="A28" s="0" t="s">
        <v>106</v>
      </c>
      <c r="C28" s="3" t="n">
        <v>14</v>
      </c>
      <c r="D28" s="3" t="n">
        <v>13.5</v>
      </c>
      <c r="E28" s="3" t="n">
        <v>14</v>
      </c>
      <c r="F28" s="3" t="n">
        <v>14.5</v>
      </c>
      <c r="G28" s="3" t="n">
        <v>14.5</v>
      </c>
      <c r="H28" s="3" t="n">
        <v>14.5</v>
      </c>
      <c r="I28" s="3" t="n">
        <v>14.5</v>
      </c>
      <c r="J28" s="3" t="n">
        <v>14.5</v>
      </c>
      <c r="K28" s="3" t="n">
        <v>14.5</v>
      </c>
      <c r="L28" s="3" t="n">
        <v>14.5</v>
      </c>
    </row>
    <row r="29" customFormat="false" ht="15" hidden="false" customHeight="false" outlineLevel="0" collapsed="false">
      <c r="A29" s="0" t="s">
        <v>107</v>
      </c>
      <c r="C29" s="3" t="n">
        <v>0.75</v>
      </c>
      <c r="D29" s="3" t="n">
        <v>0.75</v>
      </c>
      <c r="E29" s="3" t="n">
        <v>0.75</v>
      </c>
      <c r="F29" s="3" t="n">
        <v>0.75</v>
      </c>
      <c r="G29" s="3" t="n">
        <v>0.75</v>
      </c>
      <c r="H29" s="3" t="n">
        <v>0.75</v>
      </c>
      <c r="I29" s="3" t="n">
        <v>0.75</v>
      </c>
      <c r="J29" s="3" t="n">
        <v>0.75</v>
      </c>
      <c r="K29" s="3" t="n">
        <v>0.75</v>
      </c>
      <c r="L29" s="3" t="n">
        <v>0.75</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0.25</v>
      </c>
      <c r="D31" s="3" t="n">
        <v>0.25</v>
      </c>
      <c r="E31" s="3" t="n">
        <v>0.25</v>
      </c>
      <c r="F31" s="3" t="n">
        <v>0.25</v>
      </c>
      <c r="G31" s="3" t="n">
        <v>0.25</v>
      </c>
      <c r="H31" s="3" t="n">
        <v>0.25</v>
      </c>
      <c r="I31" s="3" t="n">
        <v>0.25</v>
      </c>
      <c r="J31" s="3" t="n">
        <v>0.25</v>
      </c>
      <c r="K31" s="3" t="n">
        <v>0.25</v>
      </c>
      <c r="L31" s="3" t="n">
        <v>0.25</v>
      </c>
    </row>
    <row r="32" customFormat="false" ht="15" hidden="false" customHeight="false" outlineLevel="0" collapsed="false">
      <c r="A32" s="0" t="s">
        <v>110</v>
      </c>
      <c r="C32" s="3" t="n">
        <v>0.28</v>
      </c>
      <c r="D32" s="3" t="n">
        <v>0.28</v>
      </c>
      <c r="E32" s="3" t="n">
        <v>0.28</v>
      </c>
      <c r="F32" s="3" t="n">
        <v>0.28</v>
      </c>
      <c r="G32" s="3" t="n">
        <v>0.28</v>
      </c>
      <c r="H32" s="3" t="n">
        <v>0.28</v>
      </c>
      <c r="I32" s="3" t="n">
        <v>0.28</v>
      </c>
      <c r="J32" s="3" t="n">
        <v>0.28</v>
      </c>
      <c r="K32" s="3" t="n">
        <v>0.28</v>
      </c>
      <c r="L32" s="3" t="n">
        <v>0.28</v>
      </c>
    </row>
    <row r="33" customFormat="false" ht="15" hidden="false" customHeight="false" outlineLevel="0" collapsed="false">
      <c r="A33" s="0" t="s">
        <v>111</v>
      </c>
      <c r="C33" s="3" t="n">
        <v>24.5</v>
      </c>
      <c r="D33" s="3" t="n">
        <v>24.5</v>
      </c>
      <c r="E33" s="3" t="n">
        <v>24.5</v>
      </c>
      <c r="F33" s="3" t="n">
        <v>24.5</v>
      </c>
      <c r="G33" s="3" t="n">
        <v>24.5</v>
      </c>
      <c r="H33" s="3" t="n">
        <v>24.5</v>
      </c>
      <c r="I33" s="3" t="n">
        <v>24.5</v>
      </c>
      <c r="J33" s="3" t="n">
        <v>24.5</v>
      </c>
      <c r="K33" s="3" t="n">
        <v>24.5</v>
      </c>
      <c r="L33" s="3" t="n">
        <v>24.5</v>
      </c>
    </row>
    <row r="34" customFormat="false" ht="15" hidden="false" customHeight="false" outlineLevel="0" collapsed="false">
      <c r="A34" s="0" t="s">
        <v>112</v>
      </c>
      <c r="B34" s="3" t="n">
        <v>9.5</v>
      </c>
    </row>
    <row r="35" customFormat="false" ht="15" hidden="false" customHeight="false" outlineLevel="0" collapsed="false">
      <c r="A35" s="0" t="s">
        <v>113</v>
      </c>
      <c r="B35" s="3" t="n">
        <v>2.5</v>
      </c>
    </row>
    <row r="36" customFormat="false" ht="15" hidden="false" customHeight="false" outlineLevel="0" collapsed="false">
      <c r="A36" s="0" t="s">
        <v>114</v>
      </c>
      <c r="B36" s="3" t="n">
        <v>15</v>
      </c>
    </row>
    <row r="37" customFormat="false" ht="15" hidden="false" customHeight="false" outlineLevel="0" collapsed="false">
      <c r="A37" s="0" t="s">
        <v>115</v>
      </c>
      <c r="B37" s="3" t="n">
        <v>-10</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-6</v>
      </c>
      <c r="D41" s="3" t="n">
        <v>4</v>
      </c>
      <c r="E41" s="3" t="n">
        <v>8</v>
      </c>
      <c r="F41" s="3" t="n">
        <v>8</v>
      </c>
      <c r="G41" s="3" t="n">
        <v>7</v>
      </c>
      <c r="H41" s="3" t="n">
        <v>6</v>
      </c>
      <c r="I41" s="3" t="n">
        <v>5</v>
      </c>
      <c r="J41" s="3" t="n">
        <v>4</v>
      </c>
      <c r="K41" s="3" t="n">
        <v>3.5</v>
      </c>
      <c r="L41" s="3" t="n">
        <v>3</v>
      </c>
    </row>
    <row r="42" customFormat="false" ht="15" hidden="false" customHeight="false" outlineLevel="0" collapsed="false">
      <c r="A42" s="0" t="s">
        <v>106</v>
      </c>
      <c r="C42" s="3" t="n">
        <v>14.5</v>
      </c>
      <c r="D42" s="3" t="n">
        <v>15</v>
      </c>
      <c r="E42" s="3" t="n">
        <v>15.5</v>
      </c>
      <c r="F42" s="3" t="n">
        <v>16</v>
      </c>
      <c r="G42" s="3" t="n">
        <v>16.5</v>
      </c>
      <c r="H42" s="3" t="n">
        <v>16.5</v>
      </c>
      <c r="I42" s="3" t="n">
        <v>16.5</v>
      </c>
      <c r="J42" s="3" t="n">
        <v>16.5</v>
      </c>
      <c r="K42" s="3" t="n">
        <v>16.5</v>
      </c>
      <c r="L42" s="3" t="n">
        <v>16.5</v>
      </c>
    </row>
    <row r="43" customFormat="false" ht="15" hidden="false" customHeight="false" outlineLevel="0" collapsed="false">
      <c r="A43" s="0" t="s">
        <v>107</v>
      </c>
      <c r="C43" s="3" t="n">
        <v>0.75</v>
      </c>
      <c r="D43" s="3" t="n">
        <v>0.75</v>
      </c>
      <c r="E43" s="3" t="n">
        <v>0.75</v>
      </c>
      <c r="F43" s="3" t="n">
        <v>0.75</v>
      </c>
      <c r="G43" s="3" t="n">
        <v>0.75</v>
      </c>
      <c r="H43" s="3" t="n">
        <v>0.75</v>
      </c>
      <c r="I43" s="3" t="n">
        <v>0.75</v>
      </c>
      <c r="J43" s="3" t="n">
        <v>0.75</v>
      </c>
      <c r="K43" s="3" t="n">
        <v>0.75</v>
      </c>
      <c r="L43" s="3" t="n">
        <v>0.75</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0.25</v>
      </c>
      <c r="D45" s="3" t="n">
        <v>0.25</v>
      </c>
      <c r="E45" s="3" t="n">
        <v>0.25</v>
      </c>
      <c r="F45" s="3" t="n">
        <v>0.25</v>
      </c>
      <c r="G45" s="3" t="n">
        <v>0.25</v>
      </c>
      <c r="H45" s="3" t="n">
        <v>0.25</v>
      </c>
      <c r="I45" s="3" t="n">
        <v>0.25</v>
      </c>
      <c r="J45" s="3" t="n">
        <v>0.25</v>
      </c>
      <c r="K45" s="3" t="n">
        <v>0.25</v>
      </c>
      <c r="L45" s="3" t="n">
        <v>0.25</v>
      </c>
    </row>
    <row r="46" customFormat="false" ht="15" hidden="false" customHeight="false" outlineLevel="0" collapsed="false">
      <c r="A46" s="0" t="s">
        <v>110</v>
      </c>
      <c r="C46" s="3" t="n">
        <v>0.28</v>
      </c>
      <c r="D46" s="3" t="n">
        <v>0.28</v>
      </c>
      <c r="E46" s="3" t="n">
        <v>0.28</v>
      </c>
      <c r="F46" s="3" t="n">
        <v>0.28</v>
      </c>
      <c r="G46" s="3" t="n">
        <v>0.28</v>
      </c>
      <c r="H46" s="3" t="n">
        <v>0.28</v>
      </c>
      <c r="I46" s="3" t="n">
        <v>0.28</v>
      </c>
      <c r="J46" s="3" t="n">
        <v>0.28</v>
      </c>
      <c r="K46" s="3" t="n">
        <v>0.28</v>
      </c>
      <c r="L46" s="3" t="n">
        <v>0.28</v>
      </c>
    </row>
    <row r="47" customFormat="false" ht="15" hidden="false" customHeight="false" outlineLevel="0" collapsed="false">
      <c r="A47" s="0" t="s">
        <v>111</v>
      </c>
      <c r="C47" s="3" t="n">
        <v>24.5</v>
      </c>
      <c r="D47" s="3" t="n">
        <v>24.5</v>
      </c>
      <c r="E47" s="3" t="n">
        <v>24.5</v>
      </c>
      <c r="F47" s="3" t="n">
        <v>24.5</v>
      </c>
      <c r="G47" s="3" t="n">
        <v>24.5</v>
      </c>
      <c r="H47" s="3" t="n">
        <v>24.5</v>
      </c>
      <c r="I47" s="3" t="n">
        <v>24.5</v>
      </c>
      <c r="J47" s="3" t="n">
        <v>24.5</v>
      </c>
      <c r="K47" s="3" t="n">
        <v>24.5</v>
      </c>
      <c r="L47" s="3" t="n">
        <v>24.5</v>
      </c>
    </row>
    <row r="48" customFormat="false" ht="15" hidden="false" customHeight="false" outlineLevel="0" collapsed="false">
      <c r="A48" s="0" t="s">
        <v>112</v>
      </c>
      <c r="B48" s="3" t="n">
        <v>9.5</v>
      </c>
    </row>
    <row r="49" customFormat="false" ht="15" hidden="false" customHeight="false" outlineLevel="0" collapsed="false">
      <c r="A49" s="0" t="s">
        <v>113</v>
      </c>
      <c r="B49" s="3" t="n">
        <v>3</v>
      </c>
    </row>
    <row r="50" customFormat="false" ht="15" hidden="false" customHeight="false" outlineLevel="0" collapsed="false">
      <c r="A50" s="0" t="s">
        <v>114</v>
      </c>
      <c r="B50" s="3" t="n">
        <v>15</v>
      </c>
    </row>
    <row r="51" customFormat="false" ht="15" hidden="false" customHeight="false" outlineLevel="0" collapsed="false">
      <c r="A51" s="0" t="s">
        <v>115</v>
      </c>
      <c r="B51" s="3" t="n">
        <v>-10</v>
      </c>
    </row>
    <row r="52" customFormat="false" ht="15" hidden="false" customHeight="false" outlineLevel="0" collapsed="false">
      <c r="A52" s="0" t="s">
        <v>116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-12</v>
      </c>
      <c r="D5" s="4" t="n">
        <f aca="false">Assumptions!D13</f>
        <v>-8</v>
      </c>
      <c r="E5" s="4" t="n">
        <f aca="false">Assumptions!E13</f>
        <v>0</v>
      </c>
      <c r="F5" s="4" t="n">
        <f aca="false">Assumptions!F13</f>
        <v>3</v>
      </c>
      <c r="G5" s="4" t="n">
        <f aca="false">Assumptions!G13</f>
        <v>3</v>
      </c>
      <c r="H5" s="4" t="n">
        <f aca="false">Assumptions!H13</f>
        <v>3</v>
      </c>
      <c r="I5" s="4" t="n">
        <f aca="false">Assumptions!I13</f>
        <v>3</v>
      </c>
      <c r="J5" s="4" t="n">
        <f aca="false">Assumptions!J13</f>
        <v>2.5</v>
      </c>
      <c r="K5" s="4" t="n">
        <f aca="false">Assumptions!K13</f>
        <v>2.5</v>
      </c>
      <c r="L5" s="4" t="n">
        <f aca="false">Assumptions!L13</f>
        <v>2</v>
      </c>
    </row>
    <row r="6" customFormat="false" ht="15" hidden="false" customHeight="false" outlineLevel="0" collapsed="false">
      <c r="A6" s="0" t="s">
        <v>37</v>
      </c>
      <c r="B6" s="3" t="n">
        <v>10323.959</v>
      </c>
      <c r="C6" s="0" t="n">
        <f aca="false">B6*(1+C5/100)</f>
        <v>9085.08392</v>
      </c>
      <c r="D6" s="0" t="n">
        <f aca="false">C6*(1+D5/100)</f>
        <v>8358.2772064</v>
      </c>
      <c r="E6" s="0" t="n">
        <f aca="false">D6*(1+E5/100)</f>
        <v>8358.2772064</v>
      </c>
      <c r="F6" s="0" t="n">
        <f aca="false">E6*(1+F5/100)</f>
        <v>8609.025522592</v>
      </c>
      <c r="G6" s="0" t="n">
        <f aca="false">F6*(1+G5/100)</f>
        <v>8867.29628826976</v>
      </c>
      <c r="H6" s="0" t="n">
        <f aca="false">G6*(1+H5/100)</f>
        <v>9133.31517691786</v>
      </c>
      <c r="I6" s="0" t="n">
        <f aca="false">H6*(1+I5/100)</f>
        <v>9407.31463222539</v>
      </c>
      <c r="J6" s="0" t="n">
        <f aca="false">I6*(1+J5/100)</f>
        <v>9642.49749803103</v>
      </c>
      <c r="K6" s="0" t="n">
        <f aca="false">J6*(1+K5/100)</f>
        <v>9883.5599354818</v>
      </c>
      <c r="L6" s="0" t="n">
        <f aca="false">K6*(1+L5/100)</f>
        <v>10081.2311341914</v>
      </c>
    </row>
    <row r="7" customFormat="false" ht="15" hidden="false" customHeight="false" outlineLevel="0" collapsed="false">
      <c r="A7" s="0" t="s">
        <v>106</v>
      </c>
      <c r="C7" s="4" t="n">
        <f aca="false">Assumptions!C14</f>
        <v>13</v>
      </c>
      <c r="D7" s="4" t="n">
        <f aca="false">Assumptions!D14</f>
        <v>11</v>
      </c>
      <c r="E7" s="4" t="n">
        <f aca="false">Assumptions!E14</f>
        <v>11</v>
      </c>
      <c r="F7" s="4" t="n">
        <f aca="false">Assumptions!F14</f>
        <v>11.5</v>
      </c>
      <c r="G7" s="4" t="n">
        <f aca="false">Assumptions!G14</f>
        <v>12</v>
      </c>
      <c r="H7" s="4" t="n">
        <f aca="false">Assumptions!H14</f>
        <v>12</v>
      </c>
      <c r="I7" s="4" t="n">
        <f aca="false">Assumptions!I14</f>
        <v>12</v>
      </c>
      <c r="J7" s="4" t="n">
        <f aca="false">Assumptions!J14</f>
        <v>12</v>
      </c>
      <c r="K7" s="4" t="n">
        <f aca="false">Assumptions!K14</f>
        <v>12</v>
      </c>
      <c r="L7" s="4" t="n">
        <f aca="false">Assumptions!L14</f>
        <v>12</v>
      </c>
    </row>
    <row r="8" customFormat="false" ht="15" hidden="false" customHeight="false" outlineLevel="0" collapsed="false">
      <c r="A8" s="0" t="s">
        <v>43</v>
      </c>
      <c r="C8" s="0" t="n">
        <f aca="false">C6*C7/100</f>
        <v>1181.0609096</v>
      </c>
      <c r="D8" s="0" t="n">
        <f aca="false">D6*D7/100</f>
        <v>919.410492704</v>
      </c>
      <c r="E8" s="0" t="n">
        <f aca="false">E6*E7/100</f>
        <v>919.410492704</v>
      </c>
      <c r="F8" s="0" t="n">
        <f aca="false">F6*F7/100</f>
        <v>990.03793509808</v>
      </c>
      <c r="G8" s="0" t="n">
        <f aca="false">G6*G7/100</f>
        <v>1064.07555459237</v>
      </c>
      <c r="H8" s="0" t="n">
        <f aca="false">H6*H7/100</f>
        <v>1095.99782123014</v>
      </c>
      <c r="I8" s="0" t="n">
        <f aca="false">I6*I7/100</f>
        <v>1128.87775586705</v>
      </c>
      <c r="J8" s="0" t="n">
        <f aca="false">J6*J7/100</f>
        <v>1157.09969976372</v>
      </c>
      <c r="K8" s="0" t="n">
        <f aca="false">K6*K7/100</f>
        <v>1186.02719225782</v>
      </c>
      <c r="L8" s="0" t="n">
        <f aca="false">L6*L7/100</f>
        <v>1209.74773610297</v>
      </c>
    </row>
    <row r="9" customFormat="false" ht="15" hidden="false" customHeight="false" outlineLevel="0" collapsed="false">
      <c r="A9" s="0" t="s">
        <v>107</v>
      </c>
      <c r="C9" s="4" t="n">
        <f aca="false">Assumptions!C15</f>
        <v>0.75</v>
      </c>
      <c r="D9" s="4" t="n">
        <f aca="false">Assumptions!D15</f>
        <v>0.75</v>
      </c>
      <c r="E9" s="4" t="n">
        <f aca="false">Assumptions!E15</f>
        <v>0.75</v>
      </c>
      <c r="F9" s="4" t="n">
        <f aca="false">Assumptions!F15</f>
        <v>0.75</v>
      </c>
      <c r="G9" s="4" t="n">
        <f aca="false">Assumptions!G15</f>
        <v>0.75</v>
      </c>
      <c r="H9" s="4" t="n">
        <f aca="false">Assumptions!H15</f>
        <v>0.75</v>
      </c>
      <c r="I9" s="4" t="n">
        <f aca="false">Assumptions!I15</f>
        <v>0.75</v>
      </c>
      <c r="J9" s="4" t="n">
        <f aca="false">Assumptions!J15</f>
        <v>0.75</v>
      </c>
      <c r="K9" s="4" t="n">
        <f aca="false">Assumptions!K15</f>
        <v>0.75</v>
      </c>
      <c r="L9" s="4" t="n">
        <f aca="false">Assumptions!L15</f>
        <v>0.75</v>
      </c>
    </row>
    <row r="10" customFormat="false" ht="15" hidden="false" customHeight="false" outlineLevel="0" collapsed="false">
      <c r="A10" s="0" t="s">
        <v>122</v>
      </c>
      <c r="C10" s="0" t="n">
        <f aca="false">-C6*C9/100</f>
        <v>-68.1381294</v>
      </c>
      <c r="D10" s="0" t="n">
        <f aca="false">-D6*D9/100</f>
        <v>-62.687079048</v>
      </c>
      <c r="E10" s="0" t="n">
        <f aca="false">-E6*E9/100</f>
        <v>-62.687079048</v>
      </c>
      <c r="F10" s="0" t="n">
        <f aca="false">-F6*F9/100</f>
        <v>-64.56769141944</v>
      </c>
      <c r="G10" s="0" t="n">
        <f aca="false">-G6*G9/100</f>
        <v>-66.5047221620232</v>
      </c>
      <c r="H10" s="0" t="n">
        <f aca="false">-H6*H9/100</f>
        <v>-68.4998638268839</v>
      </c>
      <c r="I10" s="0" t="n">
        <f aca="false">-I6*I9/100</f>
        <v>-70.5548597416905</v>
      </c>
      <c r="J10" s="0" t="n">
        <f aca="false">-J6*J9/100</f>
        <v>-72.3187312352327</v>
      </c>
      <c r="K10" s="0" t="n">
        <f aca="false">-K6*K9/100</f>
        <v>-74.1266995161135</v>
      </c>
      <c r="L10" s="0" t="n">
        <f aca="false">-L6*L9/100</f>
        <v>-75.6092335064358</v>
      </c>
    </row>
    <row r="11" customFormat="false" ht="15" hidden="false" customHeight="false" outlineLevel="0" collapsed="false">
      <c r="A11" s="0" t="s">
        <v>123</v>
      </c>
      <c r="C11" s="0" t="n">
        <f aca="false">C8+C10+C24</f>
        <v>1112.9227802</v>
      </c>
      <c r="D11" s="0" t="n">
        <f aca="false">D8+D10+D24</f>
        <v>856.723413656</v>
      </c>
      <c r="E11" s="0" t="n">
        <f aca="false">E8+E10+E24</f>
        <v>856.723413656</v>
      </c>
      <c r="F11" s="0" t="n">
        <f aca="false">F8+F10+F24</f>
        <v>925.47024367864</v>
      </c>
      <c r="G11" s="0" t="n">
        <f aca="false">G8+G10+G24</f>
        <v>997.570832430348</v>
      </c>
      <c r="H11" s="0" t="n">
        <f aca="false">H8+H10+H24</f>
        <v>1027.49795740326</v>
      </c>
      <c r="I11" s="0" t="n">
        <f aca="false">I8+I10+I24</f>
        <v>1058.32289612536</v>
      </c>
      <c r="J11" s="0" t="n">
        <f aca="false">J8+J10+J24</f>
        <v>1084.78096852849</v>
      </c>
      <c r="K11" s="0" t="n">
        <f aca="false">K8+K10+K24</f>
        <v>1111.9004927417</v>
      </c>
      <c r="L11" s="0" t="n">
        <f aca="false">L8+L10+L24</f>
        <v>1134.13850259654</v>
      </c>
    </row>
    <row r="12" customFormat="false" ht="15" hidden="false" customHeight="false" outlineLevel="0" collapsed="false">
      <c r="A12" s="0" t="s">
        <v>124</v>
      </c>
      <c r="C12" s="4" t="n">
        <f aca="false">-C6*Assumptions!C17/100</f>
        <v>-22.7127098</v>
      </c>
      <c r="D12" s="4" t="n">
        <f aca="false">-D6*Assumptions!D17/100</f>
        <v>-20.895693016</v>
      </c>
      <c r="E12" s="4" t="n">
        <f aca="false">-E6*Assumptions!E17/100</f>
        <v>-20.895693016</v>
      </c>
      <c r="F12" s="4" t="n">
        <f aca="false">-F6*Assumptions!F17/100</f>
        <v>-21.52256380648</v>
      </c>
      <c r="G12" s="4" t="n">
        <f aca="false">-G6*Assumptions!G17/100</f>
        <v>-22.1682407206744</v>
      </c>
      <c r="H12" s="4" t="n">
        <f aca="false">-H6*Assumptions!H17/100</f>
        <v>-22.8332879422946</v>
      </c>
      <c r="I12" s="4" t="n">
        <f aca="false">-I6*Assumptions!I17/100</f>
        <v>-23.5182865805635</v>
      </c>
      <c r="J12" s="4" t="n">
        <f aca="false">-J6*Assumptions!J17/100</f>
        <v>-24.1062437450776</v>
      </c>
      <c r="K12" s="4" t="n">
        <f aca="false">-K6*Assumptions!K17/100</f>
        <v>-24.7088998387045</v>
      </c>
      <c r="L12" s="4" t="n">
        <f aca="false">-L6*Assumptions!L17/100</f>
        <v>-25.2030778354786</v>
      </c>
    </row>
    <row r="13" customFormat="false" ht="15" hidden="false" customHeight="false" outlineLevel="0" collapsed="false">
      <c r="A13" s="0" t="s">
        <v>125</v>
      </c>
      <c r="C13" s="0" t="n">
        <f aca="false">C11+C12</f>
        <v>1090.2100704</v>
      </c>
      <c r="D13" s="0" t="n">
        <f aca="false">D11+D12</f>
        <v>835.82772064</v>
      </c>
      <c r="E13" s="0" t="n">
        <f aca="false">E11+E12</f>
        <v>835.82772064</v>
      </c>
      <c r="F13" s="0" t="n">
        <f aca="false">F11+F12</f>
        <v>903.94767987216</v>
      </c>
      <c r="G13" s="0" t="n">
        <f aca="false">G11+G12</f>
        <v>975.402591709674</v>
      </c>
      <c r="H13" s="0" t="n">
        <f aca="false">H11+H12</f>
        <v>1004.66466946096</v>
      </c>
      <c r="I13" s="0" t="n">
        <f aca="false">I11+I12</f>
        <v>1034.80460954479</v>
      </c>
      <c r="J13" s="0" t="n">
        <f aca="false">J11+J12</f>
        <v>1060.67472478341</v>
      </c>
      <c r="K13" s="0" t="n">
        <f aca="false">K11+K12</f>
        <v>1087.191592903</v>
      </c>
      <c r="L13" s="0" t="n">
        <f aca="false">L11+L12</f>
        <v>1108.93542476106</v>
      </c>
    </row>
    <row r="14" customFormat="false" ht="15" hidden="false" customHeight="false" outlineLevel="0" collapsed="false">
      <c r="A14" s="0" t="s">
        <v>111</v>
      </c>
      <c r="C14" s="4" t="n">
        <f aca="false">Assumptions!C19</f>
        <v>24.5</v>
      </c>
      <c r="D14" s="4" t="n">
        <f aca="false">Assumptions!D19</f>
        <v>24.5</v>
      </c>
      <c r="E14" s="4" t="n">
        <f aca="false">Assumptions!E19</f>
        <v>24.5</v>
      </c>
      <c r="F14" s="4" t="n">
        <f aca="false">Assumptions!F19</f>
        <v>24.5</v>
      </c>
      <c r="G14" s="4" t="n">
        <f aca="false">Assumptions!G19</f>
        <v>24.5</v>
      </c>
      <c r="H14" s="4" t="n">
        <f aca="false">Assumptions!H19</f>
        <v>24.5</v>
      </c>
      <c r="I14" s="4" t="n">
        <f aca="false">Assumptions!I19</f>
        <v>24.5</v>
      </c>
      <c r="J14" s="4" t="n">
        <f aca="false">Assumptions!J19</f>
        <v>24.5</v>
      </c>
      <c r="K14" s="4" t="n">
        <f aca="false">Assumptions!K19</f>
        <v>24.5</v>
      </c>
      <c r="L14" s="4" t="n">
        <f aca="false">Assumptions!L19</f>
        <v>24.5</v>
      </c>
    </row>
    <row r="15" customFormat="false" ht="15" hidden="false" customHeight="false" outlineLevel="0" collapsed="false">
      <c r="A15" s="0" t="s">
        <v>126</v>
      </c>
      <c r="C15" s="0" t="n">
        <f aca="false">C13-MAX(0,C13)*C14/100</f>
        <v>823.108603152</v>
      </c>
      <c r="D15" s="0" t="n">
        <f aca="false">D13-MAX(0,D13)*D14/100</f>
        <v>631.0499290832</v>
      </c>
      <c r="E15" s="0" t="n">
        <f aca="false">E13-MAX(0,E13)*E14/100</f>
        <v>631.0499290832</v>
      </c>
      <c r="F15" s="0" t="n">
        <f aca="false">F13-MAX(0,F13)*F14/100</f>
        <v>682.480498303481</v>
      </c>
      <c r="G15" s="0" t="n">
        <f aca="false">G13-MAX(0,G13)*G14/100</f>
        <v>736.428956740804</v>
      </c>
      <c r="H15" s="0" t="n">
        <f aca="false">H13-MAX(0,H13)*H14/100</f>
        <v>758.521825443028</v>
      </c>
      <c r="I15" s="0" t="n">
        <f aca="false">I13-MAX(0,I13)*I14/100</f>
        <v>781.277480206319</v>
      </c>
      <c r="J15" s="0" t="n">
        <f aca="false">J13-MAX(0,J13)*J14/100</f>
        <v>800.809417211477</v>
      </c>
      <c r="K15" s="0" t="n">
        <f aca="false">K13-MAX(0,K13)*K14/100</f>
        <v>820.829652641764</v>
      </c>
      <c r="L15" s="0" t="n">
        <f aca="false">L13-MAX(0,L13)*L14/100</f>
        <v>837.246245694599</v>
      </c>
    </row>
    <row r="16" customFormat="false" ht="15" hidden="false" customHeight="false" outlineLevel="0" collapsed="false">
      <c r="A16" s="0" t="s">
        <v>127</v>
      </c>
      <c r="C16" s="0" t="n">
        <f aca="false">-C12</f>
        <v>22.7127098</v>
      </c>
      <c r="D16" s="0" t="n">
        <f aca="false">-D12</f>
        <v>20.895693016</v>
      </c>
      <c r="E16" s="0" t="n">
        <f aca="false">-E12</f>
        <v>20.895693016</v>
      </c>
      <c r="F16" s="0" t="n">
        <f aca="false">-F12</f>
        <v>21.52256380648</v>
      </c>
      <c r="G16" s="0" t="n">
        <f aca="false">-G12</f>
        <v>22.1682407206744</v>
      </c>
      <c r="H16" s="0" t="n">
        <f aca="false">-H12</f>
        <v>22.8332879422946</v>
      </c>
      <c r="I16" s="0" t="n">
        <f aca="false">-I12</f>
        <v>23.5182865805635</v>
      </c>
      <c r="J16" s="0" t="n">
        <f aca="false">-J12</f>
        <v>24.1062437450776</v>
      </c>
      <c r="K16" s="0" t="n">
        <f aca="false">-K12</f>
        <v>24.7088998387045</v>
      </c>
      <c r="L16" s="0" t="n">
        <f aca="false">-L12</f>
        <v>25.2030778354786</v>
      </c>
    </row>
    <row r="17" customFormat="false" ht="15" hidden="false" customHeight="false" outlineLevel="0" collapsed="false">
      <c r="A17" s="0" t="s">
        <v>128</v>
      </c>
      <c r="C17" s="4" t="n">
        <f aca="false">-C6*Assumptions!C18/100</f>
        <v>-25.438234976</v>
      </c>
      <c r="D17" s="4" t="n">
        <f aca="false">-D6*Assumptions!D18/100</f>
        <v>-23.40317617792</v>
      </c>
      <c r="E17" s="4" t="n">
        <f aca="false">-E6*Assumptions!E18/100</f>
        <v>-23.40317617792</v>
      </c>
      <c r="F17" s="4" t="n">
        <f aca="false">-F6*Assumptions!F18/100</f>
        <v>-24.1052714632576</v>
      </c>
      <c r="G17" s="4" t="n">
        <f aca="false">-G6*Assumptions!G18/100</f>
        <v>-24.8284296071553</v>
      </c>
      <c r="H17" s="4" t="n">
        <f aca="false">-H6*Assumptions!H18/100</f>
        <v>-25.57328249537</v>
      </c>
      <c r="I17" s="4" t="n">
        <f aca="false">-I6*Assumptions!I18/100</f>
        <v>-26.3404809702311</v>
      </c>
      <c r="J17" s="4" t="n">
        <f aca="false">-J6*Assumptions!J18/100</f>
        <v>-26.9989929944869</v>
      </c>
      <c r="K17" s="4" t="n">
        <f aca="false">-K6*Assumptions!K18/100</f>
        <v>-27.6739678193491</v>
      </c>
      <c r="L17" s="4" t="n">
        <f aca="false">-L6*Assumptions!L18/100</f>
        <v>-28.227447175736</v>
      </c>
    </row>
    <row r="18" customFormat="false" ht="15" hidden="false" customHeight="false" outlineLevel="0" collapsed="false">
      <c r="A18" s="0" t="s">
        <v>129</v>
      </c>
      <c r="C18" s="4" t="n">
        <f aca="false">(C6-B6)*Assumptions!$B$23/100</f>
        <v>123.887508</v>
      </c>
      <c r="D18" s="4" t="n">
        <f aca="false">(D6-C6)*Assumptions!$B$23/100</f>
        <v>72.6806713599999</v>
      </c>
      <c r="E18" s="4" t="n">
        <f aca="false">(E6-D6)*Assumptions!$B$23/100</f>
        <v>-0</v>
      </c>
      <c r="F18" s="4" t="n">
        <f aca="false">(F6-E6)*Assumptions!$B$23/100</f>
        <v>-25.0748316192001</v>
      </c>
      <c r="G18" s="4" t="n">
        <f aca="false">(G6-F6)*Assumptions!$B$23/100</f>
        <v>-25.827076567776</v>
      </c>
      <c r="H18" s="4" t="n">
        <f aca="false">(H6-G6)*Assumptions!$B$23/100</f>
        <v>-26.6018888648094</v>
      </c>
      <c r="I18" s="4" t="n">
        <f aca="false">(I6-H6)*Assumptions!$B$23/100</f>
        <v>-27.3999455307536</v>
      </c>
      <c r="J18" s="4" t="n">
        <f aca="false">(J6-I6)*Assumptions!$B$23/100</f>
        <v>-23.5182865805635</v>
      </c>
      <c r="K18" s="4" t="n">
        <f aca="false">(K6-J6)*Assumptions!$B$23/100</f>
        <v>-24.1062437450775</v>
      </c>
      <c r="L18" s="4" t="n">
        <f aca="false">(L6-K6)*Assumptions!$B$23/100</f>
        <v>-19.7671198709637</v>
      </c>
    </row>
    <row r="19" customFormat="false" ht="15" hidden="false" customHeight="false" outlineLevel="0" collapsed="false">
      <c r="A19" s="0" t="s">
        <v>130</v>
      </c>
      <c r="C19" s="0" t="n">
        <f aca="false">C15+C16+C17+C18</f>
        <v>944.270585976</v>
      </c>
      <c r="D19" s="0" t="n">
        <f aca="false">D15+D16+D17+D18</f>
        <v>701.22311728128</v>
      </c>
      <c r="E19" s="0" t="n">
        <f aca="false">E15+E16+E17+E18</f>
        <v>628.54244592128</v>
      </c>
      <c r="F19" s="0" t="n">
        <f aca="false">F15+F16+F17+F18</f>
        <v>654.822959027503</v>
      </c>
      <c r="G19" s="0" t="n">
        <f aca="false">G15+G16+G17+G18</f>
        <v>707.941691286547</v>
      </c>
      <c r="H19" s="0" t="n">
        <f aca="false">H15+H16+H17+H18</f>
        <v>729.179942025143</v>
      </c>
      <c r="I19" s="0" t="n">
        <f aca="false">I15+I16+I17+I18</f>
        <v>751.055340285898</v>
      </c>
      <c r="J19" s="0" t="n">
        <f aca="false">J15+J16+J17+J18</f>
        <v>774.398381381504</v>
      </c>
      <c r="K19" s="0" t="n">
        <f aca="false">K15+K16+K17+K18</f>
        <v>793.758340916041</v>
      </c>
      <c r="L19" s="0" t="n">
        <f aca="false">L15+L16+L17+L18</f>
        <v>814.454756483378</v>
      </c>
    </row>
    <row r="20" customFormat="false" ht="15" hidden="false" customHeight="false" outlineLevel="0" collapsed="false">
      <c r="A20" s="0" t="s">
        <v>131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132</v>
      </c>
      <c r="C21" s="0" t="n">
        <f aca="false">C19*C20</f>
        <v>862.34756710137</v>
      </c>
      <c r="D21" s="0" t="n">
        <f aca="false">D19*D20</f>
        <v>584.827770297767</v>
      </c>
      <c r="E21" s="0" t="n">
        <f aca="false">E19*E20</f>
        <v>478.731774682059</v>
      </c>
      <c r="F21" s="0" t="n">
        <f aca="false">F19*F20</f>
        <v>455.478017082421</v>
      </c>
      <c r="G21" s="0" t="n">
        <f aca="false">G19*G20</f>
        <v>449.704147711646</v>
      </c>
      <c r="H21" s="0" t="n">
        <f aca="false">H19*H20</f>
        <v>423.009380952507</v>
      </c>
      <c r="I21" s="0" t="n">
        <f aca="false">I19*I20</f>
        <v>397.899235051216</v>
      </c>
      <c r="J21" s="0" t="n">
        <f aca="false">J19*J20</f>
        <v>374.672210975851</v>
      </c>
      <c r="K21" s="0" t="n">
        <f aca="false">K19*K20</f>
        <v>350.720562785614</v>
      </c>
      <c r="L21" s="0" t="n">
        <f aca="false">L19*L20</f>
        <v>328.644048698463</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9.5</v>
      </c>
    </row>
    <row r="28" customFormat="false" ht="15" hidden="false" customHeight="false" outlineLevel="0" collapsed="false">
      <c r="A28" s="0" t="s">
        <v>113</v>
      </c>
      <c r="B28" s="4" t="n">
        <f aca="false">Assumptions!$B$21</f>
        <v>2</v>
      </c>
    </row>
    <row r="29" customFormat="false" ht="15" hidden="false" customHeight="false" outlineLevel="0" collapsed="false">
      <c r="A29" s="0" t="s">
        <v>114</v>
      </c>
      <c r="B29" s="4" t="n">
        <f aca="false">Assumptions!$B$22</f>
        <v>15</v>
      </c>
    </row>
    <row r="30" customFormat="false" ht="15" hidden="false" customHeight="false" outlineLevel="0" collapsed="false">
      <c r="A30" s="0" t="s">
        <v>135</v>
      </c>
      <c r="B30" s="0" t="n">
        <f aca="false">SUM(C21:L21)</f>
        <v>4706.03471533891</v>
      </c>
    </row>
    <row r="31" customFormat="false" ht="15" hidden="false" customHeight="false" outlineLevel="0" collapsed="false">
      <c r="A31" s="0" t="s">
        <v>136</v>
      </c>
      <c r="B31" s="0" t="n">
        <f aca="false">L19</f>
        <v>814.454756483378</v>
      </c>
    </row>
    <row r="32" customFormat="false" ht="15" hidden="false" customHeight="false" outlineLevel="0" collapsed="false">
      <c r="A32" s="0" t="s">
        <v>137</v>
      </c>
      <c r="B32" s="0" t="n">
        <f aca="false">IF(B27&gt;B28,B31*(1+B28/100)/((B27-B28)/100),B31*B29)</f>
        <v>11076.5846881739</v>
      </c>
    </row>
    <row r="33" customFormat="false" ht="15" hidden="false" customHeight="false" outlineLevel="0" collapsed="false">
      <c r="A33" s="0" t="s">
        <v>138</v>
      </c>
      <c r="B33" s="0" t="n">
        <f aca="false">B31*B29</f>
        <v>12216.8213472507</v>
      </c>
    </row>
    <row r="34" customFormat="false" ht="15" hidden="false" customHeight="false" outlineLevel="0" collapsed="false">
      <c r="A34" s="0" t="s">
        <v>139</v>
      </c>
      <c r="B34" s="0" t="n">
        <f aca="false">MAX(0,MIN(B32,B33))</f>
        <v>11076.5846881739</v>
      </c>
    </row>
    <row r="35" customFormat="false" ht="15" hidden="false" customHeight="false" outlineLevel="0" collapsed="false">
      <c r="A35" s="0" t="s">
        <v>140</v>
      </c>
      <c r="B35" s="0" t="n">
        <f aca="false">B34/(1+B27/100)^L4</f>
        <v>4469.55906229909</v>
      </c>
    </row>
    <row r="36" customFormat="false" ht="15" hidden="false" customHeight="false" outlineLevel="0" collapsed="false">
      <c r="A36" s="0" t="s">
        <v>141</v>
      </c>
      <c r="B36" s="0" t="n">
        <f aca="false">B30+B35</f>
        <v>9175.59377763801</v>
      </c>
    </row>
    <row r="37" customFormat="false" ht="15" hidden="false" customHeight="false" outlineLevel="0" collapsed="false">
      <c r="A37" s="0" t="s">
        <v>142</v>
      </c>
      <c r="B37" s="0" t="n">
        <f aca="false">B36+Assumptions!$B$5-Assumptions!$B$4</f>
        <v>9412.10577763801</v>
      </c>
    </row>
    <row r="38" customFormat="false" ht="15" hidden="false" customHeight="false" outlineLevel="0" collapsed="false">
      <c r="A38" s="0" t="s">
        <v>143</v>
      </c>
      <c r="B38" s="0" t="n">
        <f aca="false">B37/Assumptions!$B$3*Assumptions!$B$10</f>
        <v>3380.78512127802</v>
      </c>
    </row>
    <row r="39" customFormat="false" ht="15" hidden="false" customHeight="false" outlineLevel="0" collapsed="false">
      <c r="A39" s="0" t="s">
        <v>144</v>
      </c>
      <c r="B39" s="4" t="n">
        <f aca="false">B38/Assumptions!$B$2-1</f>
        <v>-0.448159415302671</v>
      </c>
    </row>
    <row r="41" customFormat="false" ht="15" hidden="false" customHeight="false" outlineLevel="0" collapsed="false">
      <c r="A41" s="0" t="s">
        <v>145</v>
      </c>
      <c r="B41" s="0" t="n">
        <f aca="false">SUMPRODUCT(-C10:L10/(1+$B$27/100)^C4:L4)</f>
        <v>424.780021651045</v>
      </c>
    </row>
    <row r="42" customFormat="false" ht="15" hidden="false" customHeight="false" outlineLevel="0" collapsed="false">
      <c r="A42" s="0" t="s">
        <v>146</v>
      </c>
      <c r="B42" s="0" t="n">
        <f aca="false">IF(B27&gt;B28,-L10*(1+B28/100)/((B27-B28)/100),-L10*20)/(1+B27/100)^L4</f>
        <v>414.927817809454</v>
      </c>
    </row>
    <row r="43" customFormat="false" ht="15" hidden="false" customHeight="false" outlineLevel="0" collapsed="false">
      <c r="A43" s="0" t="s">
        <v>147</v>
      </c>
      <c r="B43" s="0" t="n">
        <f aca="false">(B37+B41+B42)/Assumptions!$B$3*Assumptions!$B$10</f>
        <v>3682.40431648653</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6390.33732010035</v>
      </c>
    </row>
    <row r="47" customFormat="false" ht="15" hidden="false" customHeight="false" outlineLevel="0" collapsed="false">
      <c r="A47" s="0" t="s">
        <v>149</v>
      </c>
      <c r="B47" s="0" t="n">
        <f aca="false">(SUMPRODUCT(C19:L19/(1+B45/100)^C4:L4)+B46/(1+B45/100)^L4+Assumptions!$B$5-Assumptions!$B$4)/Assumptions!$B$3*Assumptions!$B$10</f>
        <v>2006.02903692148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-8</v>
      </c>
      <c r="D5" s="4" t="n">
        <f aca="false">Assumptions!D27</f>
        <v>0</v>
      </c>
      <c r="E5" s="4" t="n">
        <f aca="false">Assumptions!E27</f>
        <v>4</v>
      </c>
      <c r="F5" s="4" t="n">
        <f aca="false">Assumptions!F27</f>
        <v>5</v>
      </c>
      <c r="G5" s="4" t="n">
        <f aca="false">Assumptions!G27</f>
        <v>5</v>
      </c>
      <c r="H5" s="4" t="n">
        <f aca="false">Assumptions!H27</f>
        <v>4</v>
      </c>
      <c r="I5" s="4" t="n">
        <f aca="false">Assumptions!I27</f>
        <v>4</v>
      </c>
      <c r="J5" s="4" t="n">
        <f aca="false">Assumptions!J27</f>
        <v>3</v>
      </c>
      <c r="K5" s="4" t="n">
        <f aca="false">Assumptions!K27</f>
        <v>3</v>
      </c>
      <c r="L5" s="4" t="n">
        <f aca="false">Assumptions!L27</f>
        <v>2.5</v>
      </c>
    </row>
    <row r="6" customFormat="false" ht="15" hidden="false" customHeight="false" outlineLevel="0" collapsed="false">
      <c r="A6" s="0" t="s">
        <v>37</v>
      </c>
      <c r="B6" s="3" t="n">
        <v>10323.959</v>
      </c>
      <c r="C6" s="0" t="n">
        <f aca="false">B6*(1+C5/100)</f>
        <v>9498.04228</v>
      </c>
      <c r="D6" s="0" t="n">
        <f aca="false">C6*(1+D5/100)</f>
        <v>9498.04228</v>
      </c>
      <c r="E6" s="0" t="n">
        <f aca="false">D6*(1+E5/100)</f>
        <v>9877.9639712</v>
      </c>
      <c r="F6" s="0" t="n">
        <f aca="false">E6*(1+F5/100)</f>
        <v>10371.86216976</v>
      </c>
      <c r="G6" s="0" t="n">
        <f aca="false">F6*(1+G5/100)</f>
        <v>10890.455278248</v>
      </c>
      <c r="H6" s="0" t="n">
        <f aca="false">G6*(1+H5/100)</f>
        <v>11326.0734893779</v>
      </c>
      <c r="I6" s="0" t="n">
        <f aca="false">H6*(1+I5/100)</f>
        <v>11779.116428953</v>
      </c>
      <c r="J6" s="0" t="n">
        <f aca="false">I6*(1+J5/100)</f>
        <v>12132.4899218216</v>
      </c>
      <c r="K6" s="0" t="n">
        <f aca="false">J6*(1+K5/100)</f>
        <v>12496.4646194763</v>
      </c>
      <c r="L6" s="0" t="n">
        <f aca="false">K6*(1+L5/100)</f>
        <v>12808.8762349632</v>
      </c>
    </row>
    <row r="7" customFormat="false" ht="15" hidden="false" customHeight="false" outlineLevel="0" collapsed="false">
      <c r="A7" s="0" t="s">
        <v>106</v>
      </c>
      <c r="C7" s="4" t="n">
        <f aca="false">Assumptions!C28</f>
        <v>14</v>
      </c>
      <c r="D7" s="4" t="n">
        <f aca="false">Assumptions!D28</f>
        <v>13.5</v>
      </c>
      <c r="E7" s="4" t="n">
        <f aca="false">Assumptions!E28</f>
        <v>14</v>
      </c>
      <c r="F7" s="4" t="n">
        <f aca="false">Assumptions!F28</f>
        <v>14.5</v>
      </c>
      <c r="G7" s="4" t="n">
        <f aca="false">Assumptions!G28</f>
        <v>14.5</v>
      </c>
      <c r="H7" s="4" t="n">
        <f aca="false">Assumptions!H28</f>
        <v>14.5</v>
      </c>
      <c r="I7" s="4" t="n">
        <f aca="false">Assumptions!I28</f>
        <v>14.5</v>
      </c>
      <c r="J7" s="4" t="n">
        <f aca="false">Assumptions!J28</f>
        <v>14.5</v>
      </c>
      <c r="K7" s="4" t="n">
        <f aca="false">Assumptions!K28</f>
        <v>14.5</v>
      </c>
      <c r="L7" s="4" t="n">
        <f aca="false">Assumptions!L28</f>
        <v>14.5</v>
      </c>
    </row>
    <row r="8" customFormat="false" ht="15" hidden="false" customHeight="false" outlineLevel="0" collapsed="false">
      <c r="A8" s="0" t="s">
        <v>43</v>
      </c>
      <c r="C8" s="0" t="n">
        <f aca="false">C6*C7/100</f>
        <v>1329.7259192</v>
      </c>
      <c r="D8" s="0" t="n">
        <f aca="false">D6*D7/100</f>
        <v>1282.2357078</v>
      </c>
      <c r="E8" s="0" t="n">
        <f aca="false">E6*E7/100</f>
        <v>1382.914955968</v>
      </c>
      <c r="F8" s="0" t="n">
        <f aca="false">F6*F7/100</f>
        <v>1503.9200146152</v>
      </c>
      <c r="G8" s="0" t="n">
        <f aca="false">G6*G7/100</f>
        <v>1579.11601534596</v>
      </c>
      <c r="H8" s="0" t="n">
        <f aca="false">H6*H7/100</f>
        <v>1642.2806559598</v>
      </c>
      <c r="I8" s="0" t="n">
        <f aca="false">I6*I7/100</f>
        <v>1707.97188219819</v>
      </c>
      <c r="J8" s="0" t="n">
        <f aca="false">J6*J7/100</f>
        <v>1759.21103866414</v>
      </c>
      <c r="K8" s="0" t="n">
        <f aca="false">K6*K7/100</f>
        <v>1811.98736982406</v>
      </c>
      <c r="L8" s="0" t="n">
        <f aca="false">L6*L7/100</f>
        <v>1857.28705406966</v>
      </c>
    </row>
    <row r="9" customFormat="false" ht="15" hidden="false" customHeight="false" outlineLevel="0" collapsed="false">
      <c r="A9" s="0" t="s">
        <v>107</v>
      </c>
      <c r="C9" s="4" t="n">
        <f aca="false">Assumptions!C29</f>
        <v>0.75</v>
      </c>
      <c r="D9" s="4" t="n">
        <f aca="false">Assumptions!D29</f>
        <v>0.75</v>
      </c>
      <c r="E9" s="4" t="n">
        <f aca="false">Assumptions!E29</f>
        <v>0.75</v>
      </c>
      <c r="F9" s="4" t="n">
        <f aca="false">Assumptions!F29</f>
        <v>0.75</v>
      </c>
      <c r="G9" s="4" t="n">
        <f aca="false">Assumptions!G29</f>
        <v>0.75</v>
      </c>
      <c r="H9" s="4" t="n">
        <f aca="false">Assumptions!H29</f>
        <v>0.75</v>
      </c>
      <c r="I9" s="4" t="n">
        <f aca="false">Assumptions!I29</f>
        <v>0.75</v>
      </c>
      <c r="J9" s="4" t="n">
        <f aca="false">Assumptions!J29</f>
        <v>0.75</v>
      </c>
      <c r="K9" s="4" t="n">
        <f aca="false">Assumptions!K29</f>
        <v>0.75</v>
      </c>
      <c r="L9" s="4" t="n">
        <f aca="false">Assumptions!L29</f>
        <v>0.75</v>
      </c>
    </row>
    <row r="10" customFormat="false" ht="15" hidden="false" customHeight="false" outlineLevel="0" collapsed="false">
      <c r="A10" s="0" t="s">
        <v>122</v>
      </c>
      <c r="C10" s="0" t="n">
        <f aca="false">-C6*C9/100</f>
        <v>-71.2353171</v>
      </c>
      <c r="D10" s="0" t="n">
        <f aca="false">-D6*D9/100</f>
        <v>-71.2353171</v>
      </c>
      <c r="E10" s="0" t="n">
        <f aca="false">-E6*E9/100</f>
        <v>-74.084729784</v>
      </c>
      <c r="F10" s="0" t="n">
        <f aca="false">-F6*F9/100</f>
        <v>-77.7889662732</v>
      </c>
      <c r="G10" s="0" t="n">
        <f aca="false">-G6*G9/100</f>
        <v>-81.67841458686</v>
      </c>
      <c r="H10" s="0" t="n">
        <f aca="false">-H6*H9/100</f>
        <v>-84.9455511703344</v>
      </c>
      <c r="I10" s="0" t="n">
        <f aca="false">-I6*I9/100</f>
        <v>-88.3433732171478</v>
      </c>
      <c r="J10" s="0" t="n">
        <f aca="false">-J6*J9/100</f>
        <v>-90.9936744136623</v>
      </c>
      <c r="K10" s="0" t="n">
        <f aca="false">-K6*K9/100</f>
        <v>-93.7234846460721</v>
      </c>
      <c r="L10" s="0" t="n">
        <f aca="false">-L6*L9/100</f>
        <v>-96.0665717622239</v>
      </c>
    </row>
    <row r="11" customFormat="false" ht="15" hidden="false" customHeight="false" outlineLevel="0" collapsed="false">
      <c r="A11" s="0" t="s">
        <v>123</v>
      </c>
      <c r="C11" s="0" t="n">
        <f aca="false">C8+C10+C24</f>
        <v>1258.4906021</v>
      </c>
      <c r="D11" s="0" t="n">
        <f aca="false">D8+D10+D24</f>
        <v>1211.0003907</v>
      </c>
      <c r="E11" s="0" t="n">
        <f aca="false">E8+E10+E24</f>
        <v>1308.830226184</v>
      </c>
      <c r="F11" s="0" t="n">
        <f aca="false">F8+F10+F24</f>
        <v>1426.131048342</v>
      </c>
      <c r="G11" s="0" t="n">
        <f aca="false">G8+G10+G24</f>
        <v>1497.4376007591</v>
      </c>
      <c r="H11" s="0" t="n">
        <f aca="false">H8+H10+H24</f>
        <v>1557.33510478946</v>
      </c>
      <c r="I11" s="0" t="n">
        <f aca="false">I8+I10+I24</f>
        <v>1619.62850898104</v>
      </c>
      <c r="J11" s="0" t="n">
        <f aca="false">J8+J10+J24</f>
        <v>1668.21736425047</v>
      </c>
      <c r="K11" s="0" t="n">
        <f aca="false">K8+K10+K24</f>
        <v>1718.26388517799</v>
      </c>
      <c r="L11" s="0" t="n">
        <f aca="false">L8+L10+L24</f>
        <v>1761.22048230744</v>
      </c>
    </row>
    <row r="12" customFormat="false" ht="15" hidden="false" customHeight="false" outlineLevel="0" collapsed="false">
      <c r="A12" s="0" t="s">
        <v>124</v>
      </c>
      <c r="C12" s="4" t="n">
        <f aca="false">-C6*Assumptions!C31/100</f>
        <v>-23.7451057</v>
      </c>
      <c r="D12" s="4" t="n">
        <f aca="false">-D6*Assumptions!D31/100</f>
        <v>-23.7451057</v>
      </c>
      <c r="E12" s="4" t="n">
        <f aca="false">-E6*Assumptions!E31/100</f>
        <v>-24.694909928</v>
      </c>
      <c r="F12" s="4" t="n">
        <f aca="false">-F6*Assumptions!F31/100</f>
        <v>-25.9296554244</v>
      </c>
      <c r="G12" s="4" t="n">
        <f aca="false">-G6*Assumptions!G31/100</f>
        <v>-27.22613819562</v>
      </c>
      <c r="H12" s="4" t="n">
        <f aca="false">-H6*Assumptions!H31/100</f>
        <v>-28.3151837234448</v>
      </c>
      <c r="I12" s="4" t="n">
        <f aca="false">-I6*Assumptions!I31/100</f>
        <v>-29.4477910723826</v>
      </c>
      <c r="J12" s="4" t="n">
        <f aca="false">-J6*Assumptions!J31/100</f>
        <v>-30.3312248045541</v>
      </c>
      <c r="K12" s="4" t="n">
        <f aca="false">-K6*Assumptions!K31/100</f>
        <v>-31.2411615486907</v>
      </c>
      <c r="L12" s="4" t="n">
        <f aca="false">-L6*Assumptions!L31/100</f>
        <v>-32.022190587408</v>
      </c>
    </row>
    <row r="13" customFormat="false" ht="15" hidden="false" customHeight="false" outlineLevel="0" collapsed="false">
      <c r="A13" s="0" t="s">
        <v>125</v>
      </c>
      <c r="C13" s="0" t="n">
        <f aca="false">C11+C12</f>
        <v>1234.7454964</v>
      </c>
      <c r="D13" s="0" t="n">
        <f aca="false">D11+D12</f>
        <v>1187.255285</v>
      </c>
      <c r="E13" s="0" t="n">
        <f aca="false">E11+E12</f>
        <v>1284.135316256</v>
      </c>
      <c r="F13" s="0" t="n">
        <f aca="false">F11+F12</f>
        <v>1400.2013929176</v>
      </c>
      <c r="G13" s="0" t="n">
        <f aca="false">G11+G12</f>
        <v>1470.21146256348</v>
      </c>
      <c r="H13" s="0" t="n">
        <f aca="false">H11+H12</f>
        <v>1529.01992106602</v>
      </c>
      <c r="I13" s="0" t="n">
        <f aca="false">I11+I12</f>
        <v>1590.18071790866</v>
      </c>
      <c r="J13" s="0" t="n">
        <f aca="false">J11+J12</f>
        <v>1637.88613944592</v>
      </c>
      <c r="K13" s="0" t="n">
        <f aca="false">K11+K12</f>
        <v>1687.0227236293</v>
      </c>
      <c r="L13" s="0" t="n">
        <f aca="false">L11+L12</f>
        <v>1729.19829172003</v>
      </c>
    </row>
    <row r="14" customFormat="false" ht="15" hidden="false" customHeight="false" outlineLevel="0" collapsed="false">
      <c r="A14" s="0" t="s">
        <v>111</v>
      </c>
      <c r="C14" s="4" t="n">
        <f aca="false">Assumptions!C33</f>
        <v>24.5</v>
      </c>
      <c r="D14" s="4" t="n">
        <f aca="false">Assumptions!D33</f>
        <v>24.5</v>
      </c>
      <c r="E14" s="4" t="n">
        <f aca="false">Assumptions!E33</f>
        <v>24.5</v>
      </c>
      <c r="F14" s="4" t="n">
        <f aca="false">Assumptions!F33</f>
        <v>24.5</v>
      </c>
      <c r="G14" s="4" t="n">
        <f aca="false">Assumptions!G33</f>
        <v>24.5</v>
      </c>
      <c r="H14" s="4" t="n">
        <f aca="false">Assumptions!H33</f>
        <v>24.5</v>
      </c>
      <c r="I14" s="4" t="n">
        <f aca="false">Assumptions!I33</f>
        <v>24.5</v>
      </c>
      <c r="J14" s="4" t="n">
        <f aca="false">Assumptions!J33</f>
        <v>24.5</v>
      </c>
      <c r="K14" s="4" t="n">
        <f aca="false">Assumptions!K33</f>
        <v>24.5</v>
      </c>
      <c r="L14" s="4" t="n">
        <f aca="false">Assumptions!L33</f>
        <v>24.5</v>
      </c>
    </row>
    <row r="15" customFormat="false" ht="15" hidden="false" customHeight="false" outlineLevel="0" collapsed="false">
      <c r="A15" s="0" t="s">
        <v>126</v>
      </c>
      <c r="C15" s="0" t="n">
        <f aca="false">C13-MAX(0,C13)*C14/100</f>
        <v>932.232849782</v>
      </c>
      <c r="D15" s="0" t="n">
        <f aca="false">D13-MAX(0,D13)*D14/100</f>
        <v>896.377740175</v>
      </c>
      <c r="E15" s="0" t="n">
        <f aca="false">E13-MAX(0,E13)*E14/100</f>
        <v>969.52216377328</v>
      </c>
      <c r="F15" s="0" t="n">
        <f aca="false">F13-MAX(0,F13)*F14/100</f>
        <v>1057.15205165279</v>
      </c>
      <c r="G15" s="0" t="n">
        <f aca="false">G13-MAX(0,G13)*G14/100</f>
        <v>1110.00965423543</v>
      </c>
      <c r="H15" s="0" t="n">
        <f aca="false">H13-MAX(0,H13)*H14/100</f>
        <v>1154.41004040485</v>
      </c>
      <c r="I15" s="0" t="n">
        <f aca="false">I13-MAX(0,I13)*I14/100</f>
        <v>1200.58644202104</v>
      </c>
      <c r="J15" s="0" t="n">
        <f aca="false">J13-MAX(0,J13)*J14/100</f>
        <v>1236.60403528167</v>
      </c>
      <c r="K15" s="0" t="n">
        <f aca="false">K13-MAX(0,K13)*K14/100</f>
        <v>1273.70215634012</v>
      </c>
      <c r="L15" s="0" t="n">
        <f aca="false">L13-MAX(0,L13)*L14/100</f>
        <v>1305.54471024862</v>
      </c>
    </row>
    <row r="16" customFormat="false" ht="15" hidden="false" customHeight="false" outlineLevel="0" collapsed="false">
      <c r="A16" s="0" t="s">
        <v>127</v>
      </c>
      <c r="C16" s="0" t="n">
        <f aca="false">-C12</f>
        <v>23.7451057</v>
      </c>
      <c r="D16" s="0" t="n">
        <f aca="false">-D12</f>
        <v>23.7451057</v>
      </c>
      <c r="E16" s="0" t="n">
        <f aca="false">-E12</f>
        <v>24.694909928</v>
      </c>
      <c r="F16" s="0" t="n">
        <f aca="false">-F12</f>
        <v>25.9296554244</v>
      </c>
      <c r="G16" s="0" t="n">
        <f aca="false">-G12</f>
        <v>27.22613819562</v>
      </c>
      <c r="H16" s="0" t="n">
        <f aca="false">-H12</f>
        <v>28.3151837234448</v>
      </c>
      <c r="I16" s="0" t="n">
        <f aca="false">-I12</f>
        <v>29.4477910723826</v>
      </c>
      <c r="J16" s="0" t="n">
        <f aca="false">-J12</f>
        <v>30.3312248045541</v>
      </c>
      <c r="K16" s="0" t="n">
        <f aca="false">-K12</f>
        <v>31.2411615486907</v>
      </c>
      <c r="L16" s="0" t="n">
        <f aca="false">-L12</f>
        <v>32.022190587408</v>
      </c>
    </row>
    <row r="17" customFormat="false" ht="15" hidden="false" customHeight="false" outlineLevel="0" collapsed="false">
      <c r="A17" s="0" t="s">
        <v>128</v>
      </c>
      <c r="C17" s="4" t="n">
        <f aca="false">-C6*Assumptions!C32/100</f>
        <v>-26.594518384</v>
      </c>
      <c r="D17" s="4" t="n">
        <f aca="false">-D6*Assumptions!D32/100</f>
        <v>-26.594518384</v>
      </c>
      <c r="E17" s="4" t="n">
        <f aca="false">-E6*Assumptions!E32/100</f>
        <v>-27.65829911936</v>
      </c>
      <c r="F17" s="4" t="n">
        <f aca="false">-F6*Assumptions!F32/100</f>
        <v>-29.041214075328</v>
      </c>
      <c r="G17" s="4" t="n">
        <f aca="false">-G6*Assumptions!G32/100</f>
        <v>-30.4932747790944</v>
      </c>
      <c r="H17" s="4" t="n">
        <f aca="false">-H6*Assumptions!H32/100</f>
        <v>-31.7130057702582</v>
      </c>
      <c r="I17" s="4" t="n">
        <f aca="false">-I6*Assumptions!I32/100</f>
        <v>-32.9815260010685</v>
      </c>
      <c r="J17" s="4" t="n">
        <f aca="false">-J6*Assumptions!J32/100</f>
        <v>-33.9709717811006</v>
      </c>
      <c r="K17" s="4" t="n">
        <f aca="false">-K6*Assumptions!K32/100</f>
        <v>-34.9901009345336</v>
      </c>
      <c r="L17" s="4" t="n">
        <f aca="false">-L6*Assumptions!L32/100</f>
        <v>-35.8648534578969</v>
      </c>
    </row>
    <row r="18" customFormat="false" ht="15" hidden="false" customHeight="false" outlineLevel="0" collapsed="false">
      <c r="A18" s="0" t="s">
        <v>129</v>
      </c>
      <c r="C18" s="4" t="n">
        <f aca="false">(C6-B6)*Assumptions!$B$37/100</f>
        <v>82.5916719999999</v>
      </c>
      <c r="D18" s="4" t="n">
        <f aca="false">(D6-C6)*Assumptions!$B$37/100</f>
        <v>-0</v>
      </c>
      <c r="E18" s="4" t="n">
        <f aca="false">(E6-D6)*Assumptions!$B$37/100</f>
        <v>-37.9921691200001</v>
      </c>
      <c r="F18" s="4" t="n">
        <f aca="false">(F6-E6)*Assumptions!$B$37/100</f>
        <v>-49.389819856</v>
      </c>
      <c r="G18" s="4" t="n">
        <f aca="false">(G6-F6)*Assumptions!$B$37/100</f>
        <v>-51.8593108488001</v>
      </c>
      <c r="H18" s="4" t="n">
        <f aca="false">(H6-G6)*Assumptions!$B$37/100</f>
        <v>-43.561821112992</v>
      </c>
      <c r="I18" s="4" t="n">
        <f aca="false">(I6-H6)*Assumptions!$B$37/100</f>
        <v>-45.3042939575118</v>
      </c>
      <c r="J18" s="4" t="n">
        <f aca="false">(J6-I6)*Assumptions!$B$37/100</f>
        <v>-35.3373492868592</v>
      </c>
      <c r="K18" s="4" t="n">
        <f aca="false">(K6-J6)*Assumptions!$B$37/100</f>
        <v>-36.3974697654649</v>
      </c>
      <c r="L18" s="4" t="n">
        <f aca="false">(L6-K6)*Assumptions!$B$37/100</f>
        <v>-31.2411615486906</v>
      </c>
    </row>
    <row r="19" customFormat="false" ht="15" hidden="false" customHeight="false" outlineLevel="0" collapsed="false">
      <c r="A19" s="0" t="s">
        <v>130</v>
      </c>
      <c r="C19" s="0" t="n">
        <f aca="false">C15+C16+C17+C18</f>
        <v>1011.975109098</v>
      </c>
      <c r="D19" s="0" t="n">
        <f aca="false">D15+D16+D17+D18</f>
        <v>893.528327491</v>
      </c>
      <c r="E19" s="0" t="n">
        <f aca="false">E15+E16+E17+E18</f>
        <v>928.56660546192</v>
      </c>
      <c r="F19" s="0" t="n">
        <f aca="false">F15+F16+F17+F18</f>
        <v>1004.65067314586</v>
      </c>
      <c r="G19" s="0" t="n">
        <f aca="false">G15+G16+G17+G18</f>
        <v>1054.88320680315</v>
      </c>
      <c r="H19" s="0" t="n">
        <f aca="false">H15+H16+H17+H18</f>
        <v>1107.45039724504</v>
      </c>
      <c r="I19" s="0" t="n">
        <f aca="false">I15+I16+I17+I18</f>
        <v>1151.74841313484</v>
      </c>
      <c r="J19" s="0" t="n">
        <f aca="false">J15+J16+J17+J18</f>
        <v>1197.62693901826</v>
      </c>
      <c r="K19" s="0" t="n">
        <f aca="false">K15+K16+K17+K18</f>
        <v>1233.55574718881</v>
      </c>
      <c r="L19" s="0" t="n">
        <f aca="false">L15+L16+L17+L18</f>
        <v>1270.46088582944</v>
      </c>
    </row>
    <row r="20" customFormat="false" ht="15" hidden="false" customHeight="false" outlineLevel="0" collapsed="false">
      <c r="A20" s="0" t="s">
        <v>131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132</v>
      </c>
      <c r="C21" s="0" t="n">
        <f aca="false">C19*C20</f>
        <v>924.178181824658</v>
      </c>
      <c r="D21" s="0" t="n">
        <f aca="false">D19*D20</f>
        <v>745.212424670879</v>
      </c>
      <c r="E21" s="0" t="n">
        <f aca="false">E19*E20</f>
        <v>707.246331298609</v>
      </c>
      <c r="F21" s="0" t="n">
        <f aca="false">F19*F20</f>
        <v>698.809182171293</v>
      </c>
      <c r="G21" s="0" t="n">
        <f aca="false">G19*G20</f>
        <v>670.09099660261</v>
      </c>
      <c r="H21" s="0" t="n">
        <f aca="false">H19*H20</f>
        <v>642.450347267065</v>
      </c>
      <c r="I21" s="0" t="n">
        <f aca="false">I19*I20</f>
        <v>610.181151742235</v>
      </c>
      <c r="J21" s="0" t="n">
        <f aca="false">J19*J20</f>
        <v>579.440174404439</v>
      </c>
      <c r="K21" s="0" t="n">
        <f aca="false">K19*K20</f>
        <v>545.044182316504</v>
      </c>
      <c r="L21" s="0" t="n">
        <f aca="false">L19*L20</f>
        <v>512.648991129742</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9.5</v>
      </c>
    </row>
    <row r="28" customFormat="false" ht="15" hidden="false" customHeight="false" outlineLevel="0" collapsed="false">
      <c r="A28" s="0" t="s">
        <v>113</v>
      </c>
      <c r="B28" s="4" t="n">
        <f aca="false">Assumptions!$B$35</f>
        <v>2.5</v>
      </c>
    </row>
    <row r="29" customFormat="false" ht="15" hidden="false" customHeight="false" outlineLevel="0" collapsed="false">
      <c r="A29" s="0" t="s">
        <v>114</v>
      </c>
      <c r="B29" s="4" t="n">
        <f aca="false">Assumptions!$B$36</f>
        <v>15</v>
      </c>
    </row>
    <row r="30" customFormat="false" ht="15" hidden="false" customHeight="false" outlineLevel="0" collapsed="false">
      <c r="A30" s="0" t="s">
        <v>135</v>
      </c>
      <c r="B30" s="0" t="n">
        <f aca="false">SUM(C21:L21)</f>
        <v>6635.30196342804</v>
      </c>
    </row>
    <row r="31" customFormat="false" ht="15" hidden="false" customHeight="false" outlineLevel="0" collapsed="false">
      <c r="A31" s="0" t="s">
        <v>136</v>
      </c>
      <c r="B31" s="0" t="n">
        <f aca="false">L19</f>
        <v>1270.46088582944</v>
      </c>
    </row>
    <row r="32" customFormat="false" ht="15" hidden="false" customHeight="false" outlineLevel="0" collapsed="false">
      <c r="A32" s="0" t="s">
        <v>137</v>
      </c>
      <c r="B32" s="0" t="n">
        <f aca="false">IF(B27&gt;B28,B31*(1+B28/100)/((B27-B28)/100),B31*B29)</f>
        <v>18603.1772567883</v>
      </c>
    </row>
    <row r="33" customFormat="false" ht="15" hidden="false" customHeight="false" outlineLevel="0" collapsed="false">
      <c r="A33" s="0" t="s">
        <v>138</v>
      </c>
      <c r="B33" s="0" t="n">
        <f aca="false">B31*B29</f>
        <v>19056.9132874417</v>
      </c>
    </row>
    <row r="34" customFormat="false" ht="15" hidden="false" customHeight="false" outlineLevel="0" collapsed="false">
      <c r="A34" s="0" t="s">
        <v>139</v>
      </c>
      <c r="B34" s="0" t="n">
        <f aca="false">MAX(0,MIN(B32,B33))</f>
        <v>18603.1772567883</v>
      </c>
    </row>
    <row r="35" customFormat="false" ht="15" hidden="false" customHeight="false" outlineLevel="0" collapsed="false">
      <c r="A35" s="0" t="s">
        <v>140</v>
      </c>
      <c r="B35" s="0" t="n">
        <f aca="false">B34/(1+B27/100)^L4</f>
        <v>7506.64594154265</v>
      </c>
    </row>
    <row r="36" customFormat="false" ht="15" hidden="false" customHeight="false" outlineLevel="0" collapsed="false">
      <c r="A36" s="0" t="s">
        <v>141</v>
      </c>
      <c r="B36" s="0" t="n">
        <f aca="false">B30+B35</f>
        <v>14141.9479049707</v>
      </c>
    </row>
    <row r="37" customFormat="false" ht="15" hidden="false" customHeight="false" outlineLevel="0" collapsed="false">
      <c r="A37" s="0" t="s">
        <v>142</v>
      </c>
      <c r="B37" s="0" t="n">
        <f aca="false">B36+Assumptions!$B$5-Assumptions!$B$4</f>
        <v>14378.4599049707</v>
      </c>
    </row>
    <row r="38" customFormat="false" ht="15" hidden="false" customHeight="false" outlineLevel="0" collapsed="false">
      <c r="A38" s="0" t="s">
        <v>143</v>
      </c>
      <c r="B38" s="0" t="n">
        <f aca="false">B37/Assumptions!$B$3*Assumptions!$B$10</f>
        <v>5164.67669000384</v>
      </c>
    </row>
    <row r="39" customFormat="false" ht="15" hidden="false" customHeight="false" outlineLevel="0" collapsed="false">
      <c r="A39" s="0" t="s">
        <v>144</v>
      </c>
      <c r="B39" s="4" t="n">
        <f aca="false">B38/Assumptions!$B$2-1</f>
        <v>-0.156977417332284</v>
      </c>
    </row>
    <row r="41" customFormat="false" ht="15" hidden="false" customHeight="false" outlineLevel="0" collapsed="false">
      <c r="A41" s="0" t="s">
        <v>145</v>
      </c>
      <c r="B41" s="0" t="n">
        <f aca="false">SUMPRODUCT(-C10:L10/(1+$B$27/100)^C4:L4)</f>
        <v>507.167562344569</v>
      </c>
    </row>
    <row r="42" customFormat="false" ht="15" hidden="false" customHeight="false" outlineLevel="0" collapsed="false">
      <c r="A42" s="0" t="s">
        <v>146</v>
      </c>
      <c r="B42" s="0" t="n">
        <f aca="false">IF(B27&gt;B28,-L10*(1+B28/100)/((B27-B28)/100),-L10*20)/(1+B27/100)^L4</f>
        <v>567.619002741675</v>
      </c>
    </row>
    <row r="43" customFormat="false" ht="15" hidden="false" customHeight="false" outlineLevel="0" collapsed="false">
      <c r="A43" s="0" t="s">
        <v>147</v>
      </c>
      <c r="B43" s="0" t="n">
        <f aca="false">(B37+B41+B42)/Assumptions!$B$3*Assumptions!$B$10</f>
        <v>5550.73508263539</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10417.7792638014</v>
      </c>
    </row>
    <row r="47" customFormat="false" ht="15" hidden="false" customHeight="false" outlineLevel="0" collapsed="false">
      <c r="A47" s="0" t="s">
        <v>149</v>
      </c>
      <c r="B47" s="0" t="n">
        <f aca="false">(SUMPRODUCT(C19:L19/(1+B45/100)^C4:L4)+B46/(1+B45/100)^L4+Assumptions!$B$5-Assumptions!$B$4)/Assumptions!$B$3*Assumptions!$B$10</f>
        <v>2889.59403605126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-6</v>
      </c>
      <c r="D5" s="4" t="n">
        <f aca="false">Assumptions!D41</f>
        <v>4</v>
      </c>
      <c r="E5" s="4" t="n">
        <f aca="false">Assumptions!E41</f>
        <v>8</v>
      </c>
      <c r="F5" s="4" t="n">
        <f aca="false">Assumptions!F41</f>
        <v>8</v>
      </c>
      <c r="G5" s="4" t="n">
        <f aca="false">Assumptions!G41</f>
        <v>7</v>
      </c>
      <c r="H5" s="4" t="n">
        <f aca="false">Assumptions!H41</f>
        <v>6</v>
      </c>
      <c r="I5" s="4" t="n">
        <f aca="false">Assumptions!I41</f>
        <v>5</v>
      </c>
      <c r="J5" s="4" t="n">
        <f aca="false">Assumptions!J41</f>
        <v>4</v>
      </c>
      <c r="K5" s="4" t="n">
        <f aca="false">Assumptions!K41</f>
        <v>3.5</v>
      </c>
      <c r="L5" s="4" t="n">
        <f aca="false">Assumptions!L41</f>
        <v>3</v>
      </c>
    </row>
    <row r="6" customFormat="false" ht="15" hidden="false" customHeight="false" outlineLevel="0" collapsed="false">
      <c r="A6" s="0" t="s">
        <v>37</v>
      </c>
      <c r="B6" s="3" t="n">
        <v>10323.959</v>
      </c>
      <c r="C6" s="0" t="n">
        <f aca="false">B6*(1+C5/100)</f>
        <v>9704.52146</v>
      </c>
      <c r="D6" s="0" t="n">
        <f aca="false">C6*(1+D5/100)</f>
        <v>10092.7023184</v>
      </c>
      <c r="E6" s="0" t="n">
        <f aca="false">D6*(1+E5/100)</f>
        <v>10900.118503872</v>
      </c>
      <c r="F6" s="0" t="n">
        <f aca="false">E6*(1+F5/100)</f>
        <v>11772.1279841818</v>
      </c>
      <c r="G6" s="0" t="n">
        <f aca="false">F6*(1+G5/100)</f>
        <v>12596.1769430745</v>
      </c>
      <c r="H6" s="0" t="n">
        <f aca="false">G6*(1+H5/100)</f>
        <v>13351.947559659</v>
      </c>
      <c r="I6" s="0" t="n">
        <f aca="false">H6*(1+I5/100)</f>
        <v>14019.5449376419</v>
      </c>
      <c r="J6" s="0" t="n">
        <f aca="false">I6*(1+J5/100)</f>
        <v>14580.3267351476</v>
      </c>
      <c r="K6" s="0" t="n">
        <f aca="false">J6*(1+K5/100)</f>
        <v>15090.6381708777</v>
      </c>
      <c r="L6" s="0" t="n">
        <f aca="false">K6*(1+L5/100)</f>
        <v>15543.3573160041</v>
      </c>
    </row>
    <row r="7" customFormat="false" ht="15" hidden="false" customHeight="false" outlineLevel="0" collapsed="false">
      <c r="A7" s="0" t="s">
        <v>106</v>
      </c>
      <c r="C7" s="4" t="n">
        <f aca="false">Assumptions!C42</f>
        <v>14.5</v>
      </c>
      <c r="D7" s="4" t="n">
        <f aca="false">Assumptions!D42</f>
        <v>15</v>
      </c>
      <c r="E7" s="4" t="n">
        <f aca="false">Assumptions!E42</f>
        <v>15.5</v>
      </c>
      <c r="F7" s="4" t="n">
        <f aca="false">Assumptions!F42</f>
        <v>16</v>
      </c>
      <c r="G7" s="4" t="n">
        <f aca="false">Assumptions!G42</f>
        <v>16.5</v>
      </c>
      <c r="H7" s="4" t="n">
        <f aca="false">Assumptions!H42</f>
        <v>16.5</v>
      </c>
      <c r="I7" s="4" t="n">
        <f aca="false">Assumptions!I42</f>
        <v>16.5</v>
      </c>
      <c r="J7" s="4" t="n">
        <f aca="false">Assumptions!J42</f>
        <v>16.5</v>
      </c>
      <c r="K7" s="4" t="n">
        <f aca="false">Assumptions!K42</f>
        <v>16.5</v>
      </c>
      <c r="L7" s="4" t="n">
        <f aca="false">Assumptions!L42</f>
        <v>16.5</v>
      </c>
    </row>
    <row r="8" customFormat="false" ht="15" hidden="false" customHeight="false" outlineLevel="0" collapsed="false">
      <c r="A8" s="0" t="s">
        <v>43</v>
      </c>
      <c r="C8" s="0" t="n">
        <f aca="false">C6*C7/100</f>
        <v>1407.1556117</v>
      </c>
      <c r="D8" s="0" t="n">
        <f aca="false">D6*D7/100</f>
        <v>1513.90534776</v>
      </c>
      <c r="E8" s="0" t="n">
        <f aca="false">E6*E7/100</f>
        <v>1689.51836810016</v>
      </c>
      <c r="F8" s="0" t="n">
        <f aca="false">F6*F7/100</f>
        <v>1883.54047746908</v>
      </c>
      <c r="G8" s="0" t="n">
        <f aca="false">G6*G7/100</f>
        <v>2078.36919560729</v>
      </c>
      <c r="H8" s="0" t="n">
        <f aca="false">H6*H7/100</f>
        <v>2203.07134734373</v>
      </c>
      <c r="I8" s="0" t="n">
        <f aca="false">I6*I7/100</f>
        <v>2313.22491471091</v>
      </c>
      <c r="J8" s="0" t="n">
        <f aca="false">J6*J7/100</f>
        <v>2405.75391129935</v>
      </c>
      <c r="K8" s="0" t="n">
        <f aca="false">K6*K7/100</f>
        <v>2489.95529819483</v>
      </c>
      <c r="L8" s="0" t="n">
        <f aca="false">L6*L7/100</f>
        <v>2564.65395714067</v>
      </c>
    </row>
    <row r="9" customFormat="false" ht="15" hidden="false" customHeight="false" outlineLevel="0" collapsed="false">
      <c r="A9" s="0" t="s">
        <v>107</v>
      </c>
      <c r="C9" s="4" t="n">
        <f aca="false">Assumptions!C43</f>
        <v>0.75</v>
      </c>
      <c r="D9" s="4" t="n">
        <f aca="false">Assumptions!D43</f>
        <v>0.75</v>
      </c>
      <c r="E9" s="4" t="n">
        <f aca="false">Assumptions!E43</f>
        <v>0.75</v>
      </c>
      <c r="F9" s="4" t="n">
        <f aca="false">Assumptions!F43</f>
        <v>0.75</v>
      </c>
      <c r="G9" s="4" t="n">
        <f aca="false">Assumptions!G43</f>
        <v>0.75</v>
      </c>
      <c r="H9" s="4" t="n">
        <f aca="false">Assumptions!H43</f>
        <v>0.75</v>
      </c>
      <c r="I9" s="4" t="n">
        <f aca="false">Assumptions!I43</f>
        <v>0.75</v>
      </c>
      <c r="J9" s="4" t="n">
        <f aca="false">Assumptions!J43</f>
        <v>0.75</v>
      </c>
      <c r="K9" s="4" t="n">
        <f aca="false">Assumptions!K43</f>
        <v>0.75</v>
      </c>
      <c r="L9" s="4" t="n">
        <f aca="false">Assumptions!L43</f>
        <v>0.75</v>
      </c>
    </row>
    <row r="10" customFormat="false" ht="15" hidden="false" customHeight="false" outlineLevel="0" collapsed="false">
      <c r="A10" s="0" t="s">
        <v>122</v>
      </c>
      <c r="C10" s="0" t="n">
        <f aca="false">-C6*C9/100</f>
        <v>-72.78391095</v>
      </c>
      <c r="D10" s="0" t="n">
        <f aca="false">-D6*D9/100</f>
        <v>-75.695267388</v>
      </c>
      <c r="E10" s="0" t="n">
        <f aca="false">-E6*E9/100</f>
        <v>-81.75088877904</v>
      </c>
      <c r="F10" s="0" t="n">
        <f aca="false">-F6*F9/100</f>
        <v>-88.2909598813632</v>
      </c>
      <c r="G10" s="0" t="n">
        <f aca="false">-G6*G9/100</f>
        <v>-94.4713270730587</v>
      </c>
      <c r="H10" s="0" t="n">
        <f aca="false">-H6*H9/100</f>
        <v>-100.139606697442</v>
      </c>
      <c r="I10" s="0" t="n">
        <f aca="false">-I6*I9/100</f>
        <v>-105.146587032314</v>
      </c>
      <c r="J10" s="0" t="n">
        <f aca="false">-J6*J9/100</f>
        <v>-109.352450513607</v>
      </c>
      <c r="K10" s="0" t="n">
        <f aca="false">-K6*K9/100</f>
        <v>-113.179786281583</v>
      </c>
      <c r="L10" s="0" t="n">
        <f aca="false">-L6*L9/100</f>
        <v>-116.575179870031</v>
      </c>
    </row>
    <row r="11" customFormat="false" ht="15" hidden="false" customHeight="false" outlineLevel="0" collapsed="false">
      <c r="A11" s="0" t="s">
        <v>123</v>
      </c>
      <c r="C11" s="0" t="n">
        <f aca="false">C8+C10+C24</f>
        <v>1334.37170075</v>
      </c>
      <c r="D11" s="0" t="n">
        <f aca="false">D8+D10+D24</f>
        <v>1438.210080372</v>
      </c>
      <c r="E11" s="0" t="n">
        <f aca="false">E8+E10+E24</f>
        <v>1607.76747932112</v>
      </c>
      <c r="F11" s="0" t="n">
        <f aca="false">F8+F10+F24</f>
        <v>1795.24951758772</v>
      </c>
      <c r="G11" s="0" t="n">
        <f aca="false">G8+G10+G24</f>
        <v>1983.89786853423</v>
      </c>
      <c r="H11" s="0" t="n">
        <f aca="false">H8+H10+H24</f>
        <v>2102.93174064629</v>
      </c>
      <c r="I11" s="0" t="n">
        <f aca="false">I8+I10+I24</f>
        <v>2208.0783276786</v>
      </c>
      <c r="J11" s="0" t="n">
        <f aca="false">J8+J10+J24</f>
        <v>2296.40146078574</v>
      </c>
      <c r="K11" s="0" t="n">
        <f aca="false">K8+K10+K24</f>
        <v>2376.77551191325</v>
      </c>
      <c r="L11" s="0" t="n">
        <f aca="false">L8+L10+L24</f>
        <v>2448.07877727064</v>
      </c>
    </row>
    <row r="12" customFormat="false" ht="15" hidden="false" customHeight="false" outlineLevel="0" collapsed="false">
      <c r="A12" s="0" t="s">
        <v>124</v>
      </c>
      <c r="C12" s="4" t="n">
        <f aca="false">-C6*Assumptions!C45/100</f>
        <v>-24.26130365</v>
      </c>
      <c r="D12" s="4" t="n">
        <f aca="false">-D6*Assumptions!D45/100</f>
        <v>-25.231755796</v>
      </c>
      <c r="E12" s="4" t="n">
        <f aca="false">-E6*Assumptions!E45/100</f>
        <v>-27.25029625968</v>
      </c>
      <c r="F12" s="4" t="n">
        <f aca="false">-F6*Assumptions!F45/100</f>
        <v>-29.4303199604544</v>
      </c>
      <c r="G12" s="4" t="n">
        <f aca="false">-G6*Assumptions!G45/100</f>
        <v>-31.4904423576862</v>
      </c>
      <c r="H12" s="4" t="n">
        <f aca="false">-H6*Assumptions!H45/100</f>
        <v>-33.3798688991474</v>
      </c>
      <c r="I12" s="4" t="n">
        <f aca="false">-I6*Assumptions!I45/100</f>
        <v>-35.0488623441048</v>
      </c>
      <c r="J12" s="4" t="n">
        <f aca="false">-J6*Assumptions!J45/100</f>
        <v>-36.450816837869</v>
      </c>
      <c r="K12" s="4" t="n">
        <f aca="false">-K6*Assumptions!K45/100</f>
        <v>-37.7265954271944</v>
      </c>
      <c r="L12" s="4" t="n">
        <f aca="false">-L6*Assumptions!L45/100</f>
        <v>-38.8583932900102</v>
      </c>
    </row>
    <row r="13" customFormat="false" ht="15" hidden="false" customHeight="false" outlineLevel="0" collapsed="false">
      <c r="A13" s="0" t="s">
        <v>125</v>
      </c>
      <c r="C13" s="0" t="n">
        <f aca="false">C11+C12</f>
        <v>1310.1103971</v>
      </c>
      <c r="D13" s="0" t="n">
        <f aca="false">D11+D12</f>
        <v>1412.978324576</v>
      </c>
      <c r="E13" s="0" t="n">
        <f aca="false">E11+E12</f>
        <v>1580.51718306144</v>
      </c>
      <c r="F13" s="0" t="n">
        <f aca="false">F11+F12</f>
        <v>1765.81919762726</v>
      </c>
      <c r="G13" s="0" t="n">
        <f aca="false">G11+G12</f>
        <v>1952.40742617655</v>
      </c>
      <c r="H13" s="0" t="n">
        <f aca="false">H11+H12</f>
        <v>2069.55187174714</v>
      </c>
      <c r="I13" s="0" t="n">
        <f aca="false">I11+I12</f>
        <v>2173.0294653345</v>
      </c>
      <c r="J13" s="0" t="n">
        <f aca="false">J11+J12</f>
        <v>2259.95064394788</v>
      </c>
      <c r="K13" s="0" t="n">
        <f aca="false">K11+K12</f>
        <v>2339.04891648605</v>
      </c>
      <c r="L13" s="0" t="n">
        <f aca="false">L11+L12</f>
        <v>2409.22038398063</v>
      </c>
    </row>
    <row r="14" customFormat="false" ht="15" hidden="false" customHeight="false" outlineLevel="0" collapsed="false">
      <c r="A14" s="0" t="s">
        <v>111</v>
      </c>
      <c r="C14" s="4" t="n">
        <f aca="false">Assumptions!C47</f>
        <v>24.5</v>
      </c>
      <c r="D14" s="4" t="n">
        <f aca="false">Assumptions!D47</f>
        <v>24.5</v>
      </c>
      <c r="E14" s="4" t="n">
        <f aca="false">Assumptions!E47</f>
        <v>24.5</v>
      </c>
      <c r="F14" s="4" t="n">
        <f aca="false">Assumptions!F47</f>
        <v>24.5</v>
      </c>
      <c r="G14" s="4" t="n">
        <f aca="false">Assumptions!G47</f>
        <v>24.5</v>
      </c>
      <c r="H14" s="4" t="n">
        <f aca="false">Assumptions!H47</f>
        <v>24.5</v>
      </c>
      <c r="I14" s="4" t="n">
        <f aca="false">Assumptions!I47</f>
        <v>24.5</v>
      </c>
      <c r="J14" s="4" t="n">
        <f aca="false">Assumptions!J47</f>
        <v>24.5</v>
      </c>
      <c r="K14" s="4" t="n">
        <f aca="false">Assumptions!K47</f>
        <v>24.5</v>
      </c>
      <c r="L14" s="4" t="n">
        <f aca="false">Assumptions!L47</f>
        <v>24.5</v>
      </c>
    </row>
    <row r="15" customFormat="false" ht="15" hidden="false" customHeight="false" outlineLevel="0" collapsed="false">
      <c r="A15" s="0" t="s">
        <v>126</v>
      </c>
      <c r="C15" s="0" t="n">
        <f aca="false">C13-MAX(0,C13)*C14/100</f>
        <v>989.1333498105</v>
      </c>
      <c r="D15" s="0" t="n">
        <f aca="false">D13-MAX(0,D13)*D14/100</f>
        <v>1066.79863505488</v>
      </c>
      <c r="E15" s="0" t="n">
        <f aca="false">E13-MAX(0,E13)*E14/100</f>
        <v>1193.29047321139</v>
      </c>
      <c r="F15" s="0" t="n">
        <f aca="false">F13-MAX(0,F13)*F14/100</f>
        <v>1333.19349420858</v>
      </c>
      <c r="G15" s="0" t="n">
        <f aca="false">G13-MAX(0,G13)*G14/100</f>
        <v>1474.06760676329</v>
      </c>
      <c r="H15" s="0" t="n">
        <f aca="false">H13-MAX(0,H13)*H14/100</f>
        <v>1562.51166316909</v>
      </c>
      <c r="I15" s="0" t="n">
        <f aca="false">I13-MAX(0,I13)*I14/100</f>
        <v>1640.63724632754</v>
      </c>
      <c r="J15" s="0" t="n">
        <f aca="false">J13-MAX(0,J13)*J14/100</f>
        <v>1706.26273618065</v>
      </c>
      <c r="K15" s="0" t="n">
        <f aca="false">K13-MAX(0,K13)*K14/100</f>
        <v>1765.98193194697</v>
      </c>
      <c r="L15" s="0" t="n">
        <f aca="false">L13-MAX(0,L13)*L14/100</f>
        <v>1818.96138990538</v>
      </c>
    </row>
    <row r="16" customFormat="false" ht="15" hidden="false" customHeight="false" outlineLevel="0" collapsed="false">
      <c r="A16" s="0" t="s">
        <v>127</v>
      </c>
      <c r="C16" s="0" t="n">
        <f aca="false">-C12</f>
        <v>24.26130365</v>
      </c>
      <c r="D16" s="0" t="n">
        <f aca="false">-D12</f>
        <v>25.231755796</v>
      </c>
      <c r="E16" s="0" t="n">
        <f aca="false">-E12</f>
        <v>27.25029625968</v>
      </c>
      <c r="F16" s="0" t="n">
        <f aca="false">-F12</f>
        <v>29.4303199604544</v>
      </c>
      <c r="G16" s="0" t="n">
        <f aca="false">-G12</f>
        <v>31.4904423576862</v>
      </c>
      <c r="H16" s="0" t="n">
        <f aca="false">-H12</f>
        <v>33.3798688991474</v>
      </c>
      <c r="I16" s="0" t="n">
        <f aca="false">-I12</f>
        <v>35.0488623441048</v>
      </c>
      <c r="J16" s="0" t="n">
        <f aca="false">-J12</f>
        <v>36.450816837869</v>
      </c>
      <c r="K16" s="0" t="n">
        <f aca="false">-K12</f>
        <v>37.7265954271944</v>
      </c>
      <c r="L16" s="0" t="n">
        <f aca="false">-L12</f>
        <v>38.8583932900102</v>
      </c>
    </row>
    <row r="17" customFormat="false" ht="15" hidden="false" customHeight="false" outlineLevel="0" collapsed="false">
      <c r="A17" s="0" t="s">
        <v>128</v>
      </c>
      <c r="C17" s="4" t="n">
        <f aca="false">-C6*Assumptions!C46/100</f>
        <v>-27.172660088</v>
      </c>
      <c r="D17" s="4" t="n">
        <f aca="false">-D6*Assumptions!D46/100</f>
        <v>-28.25956649152</v>
      </c>
      <c r="E17" s="4" t="n">
        <f aca="false">-E6*Assumptions!E46/100</f>
        <v>-30.5203318108416</v>
      </c>
      <c r="F17" s="4" t="n">
        <f aca="false">-F6*Assumptions!F46/100</f>
        <v>-32.9619583557089</v>
      </c>
      <c r="G17" s="4" t="n">
        <f aca="false">-G6*Assumptions!G46/100</f>
        <v>-35.2692954406086</v>
      </c>
      <c r="H17" s="4" t="n">
        <f aca="false">-H6*Assumptions!H46/100</f>
        <v>-37.3854531670451</v>
      </c>
      <c r="I17" s="4" t="n">
        <f aca="false">-I6*Assumptions!I46/100</f>
        <v>-39.2547258253973</v>
      </c>
      <c r="J17" s="4" t="n">
        <f aca="false">-J6*Assumptions!J46/100</f>
        <v>-40.8249148584132</v>
      </c>
      <c r="K17" s="4" t="n">
        <f aca="false">-K6*Assumptions!K46/100</f>
        <v>-42.2537868784577</v>
      </c>
      <c r="L17" s="4" t="n">
        <f aca="false">-L6*Assumptions!L46/100</f>
        <v>-43.5214004848114</v>
      </c>
    </row>
    <row r="18" customFormat="false" ht="15" hidden="false" customHeight="false" outlineLevel="0" collapsed="false">
      <c r="A18" s="0" t="s">
        <v>129</v>
      </c>
      <c r="C18" s="4" t="n">
        <f aca="false">(C6-B6)*Assumptions!$B$51/100</f>
        <v>61.9437540000001</v>
      </c>
      <c r="D18" s="4" t="n">
        <f aca="false">(D6-C6)*Assumptions!$B$51/100</f>
        <v>-38.8180858400001</v>
      </c>
      <c r="E18" s="4" t="n">
        <f aca="false">(E6-D6)*Assumptions!$B$51/100</f>
        <v>-80.7416185472001</v>
      </c>
      <c r="F18" s="4" t="n">
        <f aca="false">(F6-E6)*Assumptions!$B$51/100</f>
        <v>-87.2009480309762</v>
      </c>
      <c r="G18" s="4" t="n">
        <f aca="false">(G6-F6)*Assumptions!$B$51/100</f>
        <v>-82.4048958892725</v>
      </c>
      <c r="H18" s="4" t="n">
        <f aca="false">(H6-G6)*Assumptions!$B$51/100</f>
        <v>-75.577061658447</v>
      </c>
      <c r="I18" s="4" t="n">
        <f aca="false">(I6-H6)*Assumptions!$B$51/100</f>
        <v>-66.7597377982949</v>
      </c>
      <c r="J18" s="4" t="n">
        <f aca="false">(J6-I6)*Assumptions!$B$51/100</f>
        <v>-56.0781797505677</v>
      </c>
      <c r="K18" s="4" t="n">
        <f aca="false">(K6-J6)*Assumptions!$B$51/100</f>
        <v>-51.0311435730164</v>
      </c>
      <c r="L18" s="4" t="n">
        <f aca="false">(L6-K6)*Assumptions!$B$51/100</f>
        <v>-45.2719145126333</v>
      </c>
    </row>
    <row r="19" customFormat="false" ht="15" hidden="false" customHeight="false" outlineLevel="0" collapsed="false">
      <c r="A19" s="0" t="s">
        <v>130</v>
      </c>
      <c r="C19" s="0" t="n">
        <f aca="false">C15+C16+C17+C18</f>
        <v>1048.1657473725</v>
      </c>
      <c r="D19" s="0" t="n">
        <f aca="false">D15+D16+D17+D18</f>
        <v>1024.95273851936</v>
      </c>
      <c r="E19" s="0" t="n">
        <f aca="false">E15+E16+E17+E18</f>
        <v>1109.27881911303</v>
      </c>
      <c r="F19" s="0" t="n">
        <f aca="false">F15+F16+F17+F18</f>
        <v>1242.46090778235</v>
      </c>
      <c r="G19" s="0" t="n">
        <f aca="false">G15+G16+G17+G18</f>
        <v>1387.8838577911</v>
      </c>
      <c r="H19" s="0" t="n">
        <f aca="false">H15+H16+H17+H18</f>
        <v>1482.92901724274</v>
      </c>
      <c r="I19" s="0" t="n">
        <f aca="false">I15+I16+I17+I18</f>
        <v>1569.67164504796</v>
      </c>
      <c r="J19" s="0" t="n">
        <f aca="false">J15+J16+J17+J18</f>
        <v>1645.81045840953</v>
      </c>
      <c r="K19" s="0" t="n">
        <f aca="false">K15+K16+K17+K18</f>
        <v>1710.42359692269</v>
      </c>
      <c r="L19" s="0" t="n">
        <f aca="false">L15+L16+L17+L18</f>
        <v>1769.02646819794</v>
      </c>
    </row>
    <row r="20" customFormat="false" ht="15" hidden="false" customHeight="false" outlineLevel="0" collapsed="false">
      <c r="A20" s="0" t="s">
        <v>131</v>
      </c>
      <c r="C20" s="0" t="n">
        <f aca="false">1/(1+$B$27/100)^C4</f>
        <v>0.91324200913242</v>
      </c>
      <c r="D20" s="0" t="n">
        <f aca="false">1/(1+$B$27/100)^D4</f>
        <v>0.834010967244219</v>
      </c>
      <c r="E20" s="0" t="n">
        <f aca="false">1/(1+$B$27/100)^E4</f>
        <v>0.761653851364584</v>
      </c>
      <c r="F20" s="0" t="n">
        <f aca="false">1/(1+$B$27/100)^F4</f>
        <v>0.695574293483638</v>
      </c>
      <c r="G20" s="0" t="n">
        <f aca="false">1/(1+$B$27/100)^G4</f>
        <v>0.635227665281862</v>
      </c>
      <c r="H20" s="0" t="n">
        <f aca="false">1/(1+$B$27/100)^H4</f>
        <v>0.580116589298504</v>
      </c>
      <c r="I20" s="0" t="n">
        <f aca="false">1/(1+$B$27/100)^I4</f>
        <v>0.529786839542012</v>
      </c>
      <c r="J20" s="0" t="n">
        <f aca="false">1/(1+$B$27/100)^J4</f>
        <v>0.483823597755263</v>
      </c>
      <c r="K20" s="0" t="n">
        <f aca="false">1/(1+$B$27/100)^K4</f>
        <v>0.441848034479692</v>
      </c>
      <c r="L20" s="0" t="n">
        <f aca="false">1/(1+$B$27/100)^L4</f>
        <v>0.403514186739445</v>
      </c>
    </row>
    <row r="21" customFormat="false" ht="15" hidden="false" customHeight="false" outlineLevel="0" collapsed="false">
      <c r="A21" s="0" t="s">
        <v>132</v>
      </c>
      <c r="C21" s="0" t="n">
        <f aca="false">C19*C20</f>
        <v>957.228993034247</v>
      </c>
      <c r="D21" s="0" t="n">
        <f aca="false">D19*D20</f>
        <v>854.821824832143</v>
      </c>
      <c r="E21" s="0" t="n">
        <f aca="false">E19*E20</f>
        <v>844.886484814594</v>
      </c>
      <c r="F21" s="0" t="n">
        <f aca="false">F19*F20</f>
        <v>864.223868111751</v>
      </c>
      <c r="G21" s="0" t="n">
        <f aca="false">G19*G20</f>
        <v>881.622222667022</v>
      </c>
      <c r="H21" s="0" t="n">
        <f aca="false">H19*H20</f>
        <v>860.271723654643</v>
      </c>
      <c r="I21" s="0" t="n">
        <f aca="false">I19*I20</f>
        <v>831.591379948668</v>
      </c>
      <c r="J21" s="0" t="n">
        <f aca="false">J19*J20</f>
        <v>796.281937210939</v>
      </c>
      <c r="K21" s="0" t="n">
        <f aca="false">K19*K20</f>
        <v>755.747304427975</v>
      </c>
      <c r="L21" s="0" t="n">
        <f aca="false">L19*L20</f>
        <v>713.827276635445</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9.5</v>
      </c>
    </row>
    <row r="28" customFormat="false" ht="15" hidden="false" customHeight="false" outlineLevel="0" collapsed="false">
      <c r="A28" s="0" t="s">
        <v>113</v>
      </c>
      <c r="B28" s="4" t="n">
        <f aca="false">Assumptions!$B$49</f>
        <v>3</v>
      </c>
    </row>
    <row r="29" customFormat="false" ht="15" hidden="false" customHeight="false" outlineLevel="0" collapsed="false">
      <c r="A29" s="0" t="s">
        <v>114</v>
      </c>
      <c r="B29" s="4" t="n">
        <f aca="false">Assumptions!$B$50</f>
        <v>15</v>
      </c>
    </row>
    <row r="30" customFormat="false" ht="15" hidden="false" customHeight="false" outlineLevel="0" collapsed="false">
      <c r="A30" s="0" t="s">
        <v>135</v>
      </c>
      <c r="B30" s="0" t="n">
        <f aca="false">SUM(C21:L21)</f>
        <v>8360.50301533743</v>
      </c>
    </row>
    <row r="31" customFormat="false" ht="15" hidden="false" customHeight="false" outlineLevel="0" collapsed="false">
      <c r="A31" s="0" t="s">
        <v>136</v>
      </c>
      <c r="B31" s="0" t="n">
        <f aca="false">L19</f>
        <v>1769.02646819794</v>
      </c>
    </row>
    <row r="32" customFormat="false" ht="15" hidden="false" customHeight="false" outlineLevel="0" collapsed="false">
      <c r="A32" s="0" t="s">
        <v>137</v>
      </c>
      <c r="B32" s="0" t="n">
        <f aca="false">IF(B27&gt;B28,B31*(1+B28/100)/((B27-B28)/100),B31*B29)</f>
        <v>28032.2655729828</v>
      </c>
    </row>
    <row r="33" customFormat="false" ht="15" hidden="false" customHeight="false" outlineLevel="0" collapsed="false">
      <c r="A33" s="0" t="s">
        <v>138</v>
      </c>
      <c r="B33" s="0" t="n">
        <f aca="false">B31*B29</f>
        <v>26535.3970229691</v>
      </c>
    </row>
    <row r="34" customFormat="false" ht="15" hidden="false" customHeight="false" outlineLevel="0" collapsed="false">
      <c r="A34" s="0" t="s">
        <v>139</v>
      </c>
      <c r="B34" s="0" t="n">
        <f aca="false">MAX(0,MIN(B32,B33))</f>
        <v>26535.3970229691</v>
      </c>
    </row>
    <row r="35" customFormat="false" ht="15" hidden="false" customHeight="false" outlineLevel="0" collapsed="false">
      <c r="A35" s="0" t="s">
        <v>140</v>
      </c>
      <c r="B35" s="0" t="n">
        <f aca="false">B34/(1+B27/100)^L4</f>
        <v>10707.4091495317</v>
      </c>
    </row>
    <row r="36" customFormat="false" ht="15" hidden="false" customHeight="false" outlineLevel="0" collapsed="false">
      <c r="A36" s="0" t="s">
        <v>141</v>
      </c>
      <c r="B36" s="0" t="n">
        <f aca="false">B30+B35</f>
        <v>19067.9121648691</v>
      </c>
    </row>
    <row r="37" customFormat="false" ht="15" hidden="false" customHeight="false" outlineLevel="0" collapsed="false">
      <c r="A37" s="0" t="s">
        <v>142</v>
      </c>
      <c r="B37" s="0" t="n">
        <f aca="false">B36+Assumptions!$B$5-Assumptions!$B$4</f>
        <v>19304.4241648691</v>
      </c>
    </row>
    <row r="38" customFormat="false" ht="15" hidden="false" customHeight="false" outlineLevel="0" collapsed="false">
      <c r="A38" s="0" t="s">
        <v>143</v>
      </c>
      <c r="B38" s="0" t="n">
        <f aca="false">B37/Assumptions!$B$3*Assumptions!$B$10</f>
        <v>6934.06040404781</v>
      </c>
    </row>
    <row r="39" customFormat="false" ht="15" hidden="false" customHeight="false" outlineLevel="0" collapsed="false">
      <c r="A39" s="0" t="s">
        <v>144</v>
      </c>
      <c r="B39" s="4" t="n">
        <f aca="false">B38/Assumptions!$B$2-1</f>
        <v>0.13183648484877</v>
      </c>
    </row>
    <row r="41" customFormat="false" ht="15" hidden="false" customHeight="false" outlineLevel="0" collapsed="false">
      <c r="A41" s="0" t="s">
        <v>145</v>
      </c>
      <c r="B41" s="0" t="n">
        <f aca="false">SUMPRODUCT(-C10:L10/(1+$B$27/100)^C4:L4)</f>
        <v>577.042836267721</v>
      </c>
    </row>
    <row r="42" customFormat="false" ht="15" hidden="false" customHeight="false" outlineLevel="0" collapsed="false">
      <c r="A42" s="0" t="s">
        <v>146</v>
      </c>
      <c r="B42" s="0" t="n">
        <f aca="false">IF(B27&gt;B28,-L10*(1+B28/100)/((B27-B28)/100),-L10*20)/(1+B27/100)^L4</f>
        <v>745.39893948058</v>
      </c>
    </row>
    <row r="43" customFormat="false" ht="15" hidden="false" customHeight="false" outlineLevel="0" collapsed="false">
      <c r="A43" s="0" t="s">
        <v>147</v>
      </c>
      <c r="B43" s="0" t="n">
        <f aca="false">(B37+B41+B42)/Assumptions!$B$3*Assumptions!$B$10</f>
        <v>7409.07540970453</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15184.1438520323</v>
      </c>
    </row>
    <row r="47" customFormat="false" ht="15" hidden="false" customHeight="false" outlineLevel="0" collapsed="false">
      <c r="A47" s="0" t="s">
        <v>149</v>
      </c>
      <c r="B47" s="0" t="n">
        <f aca="false">(SUMPRODUCT(C19:L19/(1+B45/100)^C4:L4)+B46/(1+B45/100)^L4+Assumptions!$B$5-Assumptions!$B$4)/Assumptions!$B$3*Assumptions!$B$10</f>
        <v>3771.10137143877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3380.78512127802</v>
      </c>
      <c r="C4" s="0" t="n">
        <f aca="false">B4/Assumptions!$B$2-1</f>
        <v>-0.448159415302671</v>
      </c>
      <c r="D4" s="4" t="n">
        <f aca="false">Assumptions!$B$24</f>
        <v>0.25</v>
      </c>
      <c r="E4" s="4" t="n">
        <f aca="false">DCF_Bear!$B$43</f>
        <v>3682.40431648653</v>
      </c>
      <c r="F4" s="4" t="n">
        <f aca="false">DCF_Bear!$B$47</f>
        <v>2006.02903692148</v>
      </c>
    </row>
    <row r="5" customFormat="false" ht="15" hidden="false" customHeight="false" outlineLevel="0" collapsed="false">
      <c r="A5" s="0" t="s">
        <v>158</v>
      </c>
      <c r="B5" s="4" t="n">
        <f aca="false">DCF_Base!$B$38</f>
        <v>5164.67669000384</v>
      </c>
      <c r="C5" s="0" t="n">
        <f aca="false">B5/Assumptions!$B$2-1</f>
        <v>-0.156977417332284</v>
      </c>
      <c r="D5" s="4" t="n">
        <f aca="false">Assumptions!$B$38</f>
        <v>0.5</v>
      </c>
      <c r="E5" s="4" t="n">
        <f aca="false">DCF_Base!$B$43</f>
        <v>5550.73508263539</v>
      </c>
      <c r="F5" s="4" t="n">
        <f aca="false">DCF_Base!$B$47</f>
        <v>2889.59403605126</v>
      </c>
    </row>
    <row r="6" customFormat="false" ht="15" hidden="false" customHeight="false" outlineLevel="0" collapsed="false">
      <c r="A6" s="0" t="s">
        <v>159</v>
      </c>
      <c r="B6" s="4" t="n">
        <f aca="false">DCF_Bull!$B$38</f>
        <v>6934.06040404781</v>
      </c>
      <c r="C6" s="0" t="n">
        <f aca="false">B6/Assumptions!$B$2-1</f>
        <v>0.13183648484877</v>
      </c>
      <c r="D6" s="4" t="n">
        <f aca="false">Assumptions!$B$52</f>
        <v>0.25</v>
      </c>
      <c r="E6" s="4" t="n">
        <f aca="false">DCF_Bull!$B$43</f>
        <v>7409.07540970453</v>
      </c>
      <c r="F6" s="4" t="n">
        <f aca="false">DCF_Bull!$B$47</f>
        <v>3771.10137143877</v>
      </c>
    </row>
    <row r="8" customFormat="false" ht="15" hidden="false" customHeight="false" outlineLevel="0" collapsed="false">
      <c r="A8" s="0" t="s">
        <v>160</v>
      </c>
      <c r="B8" s="0" t="n">
        <f aca="false">SUMPRODUCT(B4:B6,D4:D6)</f>
        <v>5161.04972633338</v>
      </c>
    </row>
    <row r="9" customFormat="false" ht="15" hidden="false" customHeight="false" outlineLevel="0" collapsed="false">
      <c r="A9" s="0" t="s">
        <v>161</v>
      </c>
      <c r="B9" s="0" t="n">
        <f aca="false">SUMPRODUCT(E4:E6,D4:D6)</f>
        <v>5548.23747286546</v>
      </c>
    </row>
    <row r="10" customFormat="false" ht="15" hidden="false" customHeight="false" outlineLevel="0" collapsed="false">
      <c r="A10" s="0" t="s">
        <v>162</v>
      </c>
      <c r="B10" s="0" t="n">
        <f aca="false">1-Assumptions!$B$2/B8</f>
        <v>-0.187041459558351</v>
      </c>
    </row>
    <row r="11" customFormat="false" ht="15" hidden="false" customHeight="false" outlineLevel="0" collapsed="false">
      <c r="A11" s="0" t="s">
        <v>163</v>
      </c>
      <c r="B11" s="0" t="n">
        <f aca="false">IF(ABS(B9-B8)&gt;0.01*ABS(B8),(Assumptions!$B$2-B8)/(B9-B8)*100,"n/a")</f>
        <v>249.318394580607</v>
      </c>
    </row>
    <row r="12" customFormat="false" ht="15" hidden="false" customHeight="false" outlineLevel="0" collapsed="false">
      <c r="A12" s="0" t="s">
        <v>164</v>
      </c>
      <c r="B12" s="0" t="n">
        <f aca="false">SUMPRODUCT(F4:F6,D4:D6)</f>
        <v>2889.07962011569</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5415.67405133957</v>
      </c>
      <c r="C15" s="3" t="n">
        <v>9</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5164.67669000384</v>
      </c>
      <c r="C16" s="3" t="n">
        <v>9.5</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4818.88507154481</v>
      </c>
      <c r="C17" s="3" t="n">
        <v>10</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4249.97410876293</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3801.53953513717</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2889.59403605126</v>
      </c>
      <c r="C20" s="3" t="n">
        <v>15</v>
      </c>
    </row>
    <row r="22" customFormat="false" ht="15" hidden="false" customHeight="false" outlineLevel="0" collapsed="false">
      <c r="A22" s="2" t="s">
        <v>173</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7.5</v>
      </c>
      <c r="B24" s="0" t="n">
        <f aca="false">(SUMPRODUCT(DCF_Base!$C$19:$L$19/(1+$A$24/100)^DCF_Base!$C$4:$L$4)+MAX(0,MIN(IF($A$24&gt;$B$23,DCF_Base!$L$19*(1+$B$23/100)/(($A$24-$B$23)/100),DCF_Base!$L$19*DCF_Base!$B$29),DCF_Base!$L$19*DCF_Base!$B$29))/(1+$A$24/100)^DCF_Base!$L$4+Assumptions!$B$5-Assumptions!$B$4)/Assumptions!$B$3*Assumptions!$B$10</f>
        <v>6025.5222768943</v>
      </c>
      <c r="C24" s="0" t="n">
        <f aca="false">(SUMPRODUCT(DCF_Base!$C$19:$L$19/(1+$A$24/100)^DCF_Base!$C$4:$L$4)+MAX(0,MIN(IF($A$24&gt;$C$23,DCF_Base!$L$19*(1+$C$23/100)/(($A$24-$C$23)/100),DCF_Base!$L$19*DCF_Base!$B$29),DCF_Base!$L$19*DCF_Base!$B$29))/(1+$A$24/100)^DCF_Base!$L$4+Assumptions!$B$5-Assumptions!$B$4)/Assumptions!$B$3*Assumptions!$B$10</f>
        <v>6025.5222768943</v>
      </c>
      <c r="D24" s="0" t="n">
        <f aca="false">(SUMPRODUCT(DCF_Base!$C$19:$L$19/(1+$A$24/100)^DCF_Base!$C$4:$L$4)+MAX(0,MIN(IF($A$24&gt;$D$23,DCF_Base!$L$19*(1+$D$23/100)/(($A$24-$D$23)/100),DCF_Base!$L$19*DCF_Base!$B$29),DCF_Base!$L$19*DCF_Base!$B$29))/(1+$A$24/100)^DCF_Base!$L$4+Assumptions!$B$5-Assumptions!$B$4)/Assumptions!$B$3*Assumptions!$B$10</f>
        <v>6025.5222768943</v>
      </c>
      <c r="E24" s="0" t="n">
        <f aca="false">(SUMPRODUCT(DCF_Base!$C$19:$L$19/(1+$A$24/100)^DCF_Base!$C$4:$L$4)+MAX(0,MIN(IF($A$24&gt;$E$23,DCF_Base!$L$19*(1+$E$23/100)/(($A$24-$E$23)/100),DCF_Base!$L$19*DCF_Base!$B$29),DCF_Base!$L$19*DCF_Base!$B$29))/(1+$A$24/100)^DCF_Base!$L$4+Assumptions!$B$5-Assumptions!$B$4)/Assumptions!$B$3*Assumptions!$B$10</f>
        <v>6025.5222768943</v>
      </c>
      <c r="F24" s="0" t="n">
        <f aca="false">(SUMPRODUCT(DCF_Base!$C$19:$L$19/(1+$A$24/100)^DCF_Base!$C$4:$L$4)+MAX(0,MIN(IF($A$24&gt;$F$23,DCF_Base!$L$19*(1+$F$23/100)/(($A$24-$F$23)/100),DCF_Base!$L$19*DCF_Base!$B$29),DCF_Base!$L$19*DCF_Base!$B$29))/(1+$A$24/100)^DCF_Base!$L$4+Assumptions!$B$5-Assumptions!$B$4)/Assumptions!$B$3*Assumptions!$B$10</f>
        <v>6025.5222768943</v>
      </c>
    </row>
    <row r="25" customFormat="false" ht="15" hidden="false" customHeight="false" outlineLevel="0" collapsed="false">
      <c r="A25" s="3" t="n">
        <v>8.5</v>
      </c>
      <c r="B25" s="0" t="n">
        <f aca="false">(SUMPRODUCT(DCF_Base!$C$19:$L$19/(1+$A$25/100)^DCF_Base!$C$4:$L$4)+MAX(0,MIN(IF($A$25&gt;$B$23,DCF_Base!$L$19*(1+$B$23/100)/(($A$25-$B$23)/100),DCF_Base!$L$19*DCF_Base!$B$29),DCF_Base!$L$19*DCF_Base!$B$29))/(1+$A$25/100)^DCF_Base!$L$4+Assumptions!$B$5-Assumptions!$B$4)/Assumptions!$B$3*Assumptions!$B$10</f>
        <v>5508.69659932821</v>
      </c>
      <c r="C25" s="0" t="n">
        <f aca="false">(SUMPRODUCT(DCF_Base!$C$19:$L$19/(1+$A$25/100)^DCF_Base!$C$4:$L$4)+MAX(0,MIN(IF($A$25&gt;$C$23,DCF_Base!$L$19*(1+$C$23/100)/(($A$25-$C$23)/100),DCF_Base!$L$19*DCF_Base!$B$29),DCF_Base!$L$19*DCF_Base!$B$29))/(1+$A$25/100)^DCF_Base!$L$4+Assumptions!$B$5-Assumptions!$B$4)/Assumptions!$B$3*Assumptions!$B$10</f>
        <v>5609.61368269337</v>
      </c>
      <c r="D25" s="0" t="n">
        <f aca="false">(SUMPRODUCT(DCF_Base!$C$19:$L$19/(1+$A$25/100)^DCF_Base!$C$4:$L$4)+MAX(0,MIN(IF($A$25&gt;$D$23,DCF_Base!$L$19*(1+$D$23/100)/(($A$25-$D$23)/100),DCF_Base!$L$19*DCF_Base!$B$29),DCF_Base!$L$19*DCF_Base!$B$29))/(1+$A$25/100)^DCF_Base!$L$4+Assumptions!$B$5-Assumptions!$B$4)/Assumptions!$B$3*Assumptions!$B$10</f>
        <v>5609.61368269337</v>
      </c>
      <c r="E25" s="0" t="n">
        <f aca="false">(SUMPRODUCT(DCF_Base!$C$19:$L$19/(1+$A$25/100)^DCF_Base!$C$4:$L$4)+MAX(0,MIN(IF($A$25&gt;$E$23,DCF_Base!$L$19*(1+$E$23/100)/(($A$25-$E$23)/100),DCF_Base!$L$19*DCF_Base!$B$29),DCF_Base!$L$19*DCF_Base!$B$29))/(1+$A$25/100)^DCF_Base!$L$4+Assumptions!$B$5-Assumptions!$B$4)/Assumptions!$B$3*Assumptions!$B$10</f>
        <v>5609.61368269337</v>
      </c>
      <c r="F25" s="0" t="n">
        <f aca="false">(SUMPRODUCT(DCF_Base!$C$19:$L$19/(1+$A$25/100)^DCF_Base!$C$4:$L$4)+MAX(0,MIN(IF($A$25&gt;$F$23,DCF_Base!$L$19*(1+$F$23/100)/(($A$25-$F$23)/100),DCF_Base!$L$19*DCF_Base!$B$29),DCF_Base!$L$19*DCF_Base!$B$29))/(1+$A$25/100)^DCF_Base!$L$4+Assumptions!$B$5-Assumptions!$B$4)/Assumptions!$B$3*Assumptions!$B$10</f>
        <v>5609.61368269337</v>
      </c>
    </row>
    <row r="26" customFormat="false" ht="15" hidden="false" customHeight="false" outlineLevel="0" collapsed="false">
      <c r="A26" s="3" t="n">
        <v>9.5</v>
      </c>
      <c r="B26" s="0" t="n">
        <f aca="false">(SUMPRODUCT(DCF_Base!$C$19:$L$19/(1+$A$26/100)^DCF_Base!$C$4:$L$4)+MAX(0,MIN(IF($A$26&gt;$B$23,DCF_Base!$L$19*(1+$B$23/100)/(($A$26-$B$23)/100),DCF_Base!$L$19*DCF_Base!$B$29),DCF_Base!$L$19*DCF_Base!$B$29))/(1+$A$26/100)^DCF_Base!$L$4+Assumptions!$B$5-Assumptions!$B$4)/Assumptions!$B$3*Assumptions!$B$10</f>
        <v>4804.61495631704</v>
      </c>
      <c r="C26" s="0" t="n">
        <f aca="false">(SUMPRODUCT(DCF_Base!$C$19:$L$19/(1+$A$26/100)^DCF_Base!$C$4:$L$4)+MAX(0,MIN(IF($A$26&gt;$C$23,DCF_Base!$L$19*(1+$C$23/100)/(($A$26-$C$23)/100),DCF_Base!$L$19*DCF_Base!$B$29),DCF_Base!$L$19*DCF_Base!$B$29))/(1+$A$26/100)^DCF_Base!$L$4+Assumptions!$B$5-Assumptions!$B$4)/Assumptions!$B$3*Assumptions!$B$10</f>
        <v>4972.64376537088</v>
      </c>
      <c r="D26" s="0" t="n">
        <f aca="false">(SUMPRODUCT(DCF_Base!$C$19:$L$19/(1+$A$26/100)^DCF_Base!$C$4:$L$4)+MAX(0,MIN(IF($A$26&gt;$D$23,DCF_Base!$L$19*(1+$D$23/100)/(($A$26-$D$23)/100),DCF_Base!$L$19*DCF_Base!$B$29),DCF_Base!$L$19*DCF_Base!$B$29))/(1+$A$26/100)^DCF_Base!$L$4+Assumptions!$B$5-Assumptions!$B$4)/Assumptions!$B$3*Assumptions!$B$10</f>
        <v>5164.67669000384</v>
      </c>
      <c r="E26" s="0" t="n">
        <f aca="false">(SUMPRODUCT(DCF_Base!$C$19:$L$19/(1+$A$26/100)^DCF_Base!$C$4:$L$4)+MAX(0,MIN(IF($A$26&gt;$E$23,DCF_Base!$L$19*(1+$E$23/100)/(($A$26-$E$23)/100),DCF_Base!$L$19*DCF_Base!$B$29),DCF_Base!$L$19*DCF_Base!$B$29))/(1+$A$26/100)^DCF_Base!$L$4+Assumptions!$B$5-Assumptions!$B$4)/Assumptions!$B$3*Assumptions!$B$10</f>
        <v>5230.44139022061</v>
      </c>
      <c r="F26" s="0" t="n">
        <f aca="false">(SUMPRODUCT(DCF_Base!$C$19:$L$19/(1+$A$26/100)^DCF_Base!$C$4:$L$4)+MAX(0,MIN(IF($A$26&gt;$F$23,DCF_Base!$L$19*(1+$F$23/100)/(($A$26-$F$23)/100),DCF_Base!$L$19*DCF_Base!$B$29),DCF_Base!$L$19*DCF_Base!$B$29))/(1+$A$26/100)^DCF_Base!$L$4+Assumptions!$B$5-Assumptions!$B$4)/Assumptions!$B$3*Assumptions!$B$10</f>
        <v>5230.44139022061</v>
      </c>
    </row>
    <row r="27" customFormat="false" ht="15" hidden="false" customHeight="false" outlineLevel="0" collapsed="false">
      <c r="A27" s="3" t="n">
        <v>10.5</v>
      </c>
      <c r="B27" s="0" t="n">
        <f aca="false">(SUMPRODUCT(DCF_Base!$C$19:$L$19/(1+$A$27/100)^DCF_Base!$C$4:$L$4)+MAX(0,MIN(IF($A$27&gt;$B$23,DCF_Base!$L$19*(1+$B$23/100)/(($A$27-$B$23)/100),DCF_Base!$L$19*DCF_Base!$B$29),DCF_Base!$L$19*DCF_Base!$B$29))/(1+$A$27/100)^DCF_Base!$L$4+Assumptions!$B$5-Assumptions!$B$4)/Assumptions!$B$3*Assumptions!$B$10</f>
        <v>4258.49541038724</v>
      </c>
      <c r="C27" s="0" t="n">
        <f aca="false">(SUMPRODUCT(DCF_Base!$C$19:$L$19/(1+$A$27/100)^DCF_Base!$C$4:$L$4)+MAX(0,MIN(IF($A$27&gt;$C$23,DCF_Base!$L$19*(1+$C$23/100)/(($A$27-$C$23)/100),DCF_Base!$L$19*DCF_Base!$B$29),DCF_Base!$L$19*DCF_Base!$B$29))/(1+$A$27/100)^DCF_Base!$L$4+Assumptions!$B$5-Assumptions!$B$4)/Assumptions!$B$3*Assumptions!$B$10</f>
        <v>4379.92936399113</v>
      </c>
      <c r="D27" s="0" t="n">
        <f aca="false">(SUMPRODUCT(DCF_Base!$C$19:$L$19/(1+$A$27/100)^DCF_Base!$C$4:$L$4)+MAX(0,MIN(IF($A$27&gt;$D$23,DCF_Base!$L$19*(1+$D$23/100)/(($A$27-$D$23)/100),DCF_Base!$L$19*DCF_Base!$B$29),DCF_Base!$L$19*DCF_Base!$B$29))/(1+$A$27/100)^DCF_Base!$L$4+Assumptions!$B$5-Assumptions!$B$4)/Assumptions!$B$3*Assumptions!$B$10</f>
        <v>4516.5425617955</v>
      </c>
      <c r="E27" s="0" t="n">
        <f aca="false">(SUMPRODUCT(DCF_Base!$C$19:$L$19/(1+$A$27/100)^DCF_Base!$C$4:$L$4)+MAX(0,MIN(IF($A$27&gt;$E$23,DCF_Base!$L$19*(1+$E$23/100)/(($A$27-$E$23)/100),DCF_Base!$L$19*DCF_Base!$B$29),DCF_Base!$L$19*DCF_Base!$B$29))/(1+$A$27/100)^DCF_Base!$L$4+Assumptions!$B$5-Assumptions!$B$4)/Assumptions!$B$3*Assumptions!$B$10</f>
        <v>4671.37085264046</v>
      </c>
      <c r="F27" s="0" t="n">
        <f aca="false">(SUMPRODUCT(DCF_Base!$C$19:$L$19/(1+$A$27/100)^DCF_Base!$C$4:$L$4)+MAX(0,MIN(IF($A$27&gt;$F$23,DCF_Base!$L$19*(1+$F$23/100)/(($A$27-$F$23)/100),DCF_Base!$L$19*DCF_Base!$B$29),DCF_Base!$L$19*DCF_Base!$B$29))/(1+$A$27/100)^DCF_Base!$L$4+Assumptions!$B$5-Assumptions!$B$4)/Assumptions!$B$3*Assumptions!$B$10</f>
        <v>4848.31747074898</v>
      </c>
    </row>
    <row r="28" customFormat="false" ht="15" hidden="false" customHeight="false" outlineLevel="0" collapsed="false">
      <c r="A28" s="3" t="n">
        <v>11.5</v>
      </c>
      <c r="B28" s="0" t="n">
        <f aca="false">(SUMPRODUCT(DCF_Base!$C$19:$L$19/(1+$A$28/100)^DCF_Base!$C$4:$L$4)+MAX(0,MIN(IF($A$28&gt;$B$23,DCF_Base!$L$19*(1+$B$23/100)/(($A$28-$B$23)/100),DCF_Base!$L$19*DCF_Base!$B$29),DCF_Base!$L$19*DCF_Base!$B$29))/(1+$A$28/100)^DCF_Base!$L$4+Assumptions!$B$5-Assumptions!$B$4)/Assumptions!$B$3*Assumptions!$B$10</f>
        <v>3822.85049462094</v>
      </c>
      <c r="C28" s="0" t="n">
        <f aca="false">(SUMPRODUCT(DCF_Base!$C$19:$L$19/(1+$A$28/100)^DCF_Base!$C$4:$L$4)+MAX(0,MIN(IF($A$28&gt;$C$23,DCF_Base!$L$19*(1+$C$23/100)/(($A$28-$C$23)/100),DCF_Base!$L$19*DCF_Base!$B$29),DCF_Base!$L$19*DCF_Base!$B$29))/(1+$A$28/100)^DCF_Base!$L$4+Assumptions!$B$5-Assumptions!$B$4)/Assumptions!$B$3*Assumptions!$B$10</f>
        <v>3913.02103253009</v>
      </c>
      <c r="D28" s="0" t="n">
        <f aca="false">(SUMPRODUCT(DCF_Base!$C$19:$L$19/(1+$A$28/100)^DCF_Base!$C$4:$L$4)+MAX(0,MIN(IF($A$28&gt;$D$23,DCF_Base!$L$19*(1+$D$23/100)/(($A$28-$D$23)/100),DCF_Base!$L$19*DCF_Base!$B$29),DCF_Base!$L$19*DCF_Base!$B$29))/(1+$A$28/100)^DCF_Base!$L$4+Assumptions!$B$5-Assumptions!$B$4)/Assumptions!$B$3*Assumptions!$B$10</f>
        <v>4013.21051909581</v>
      </c>
      <c r="E28" s="0" t="n">
        <f aca="false">(SUMPRODUCT(DCF_Base!$C$19:$L$19/(1+$A$28/100)^DCF_Base!$C$4:$L$4)+MAX(0,MIN(IF($A$28&gt;$E$23,DCF_Base!$L$19*(1+$E$23/100)/(($A$28-$E$23)/100),DCF_Base!$L$19*DCF_Base!$B$29),DCF_Base!$L$19*DCF_Base!$B$29))/(1+$A$28/100)^DCF_Base!$L$4+Assumptions!$B$5-Assumptions!$B$4)/Assumptions!$B$3*Assumptions!$B$10</f>
        <v>4125.18700408102</v>
      </c>
      <c r="F28" s="0" t="n">
        <f aca="false">(SUMPRODUCT(DCF_Base!$C$19:$L$19/(1+$A$28/100)^DCF_Base!$C$4:$L$4)+MAX(0,MIN(IF($A$28&gt;$F$23,DCF_Base!$L$19*(1+$F$23/100)/(($A$28-$F$23)/100),DCF_Base!$L$19*DCF_Base!$B$29),DCF_Base!$L$19*DCF_Base!$B$29))/(1+$A$28/100)^DCF_Base!$L$4+Assumptions!$B$5-Assumptions!$B$4)/Assumptions!$B$3*Assumptions!$B$10</f>
        <v>4251.16054968939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2026-10-02T02:59:22Z</dcterms:created>
  <dc:creator>openpyxl</dc:creator>
  <dc:description/>
  <dc:language>en-NZ</dc:language>
  <cp:lastModifiedBy/>
  <dcterms:modified xsi:type="dcterms:W3CDTF">2026-10-02T02:59:22Z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